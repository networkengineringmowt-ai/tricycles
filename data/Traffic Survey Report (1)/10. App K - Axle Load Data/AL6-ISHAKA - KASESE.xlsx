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ing Folder\EDMP\Analysed Data\JT, FERRY, AXLE Data\Analyed Data\Axle Load Data_ Analysed\"/>
    </mc:Choice>
  </mc:AlternateContent>
  <xr:revisionPtr revIDLastSave="0" documentId="13_ncr:1_{7A248078-B6E0-4C55-9230-5D79664EFD76}" xr6:coauthVersionLast="45" xr6:coauthVersionMax="45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DAY1" sheetId="1" r:id="rId1"/>
    <sheet name="DAY2" sheetId="3" r:id="rId2"/>
    <sheet name="DAY3" sheetId="4" r:id="rId3"/>
    <sheet name="Mba-Kasese" sheetId="5" r:id="rId4"/>
    <sheet name="Kasese-Mba" sheetId="6" r:id="rId5"/>
    <sheet name="Graphs" sheetId="10" r:id="rId6"/>
    <sheet name="KEY" sheetId="7" r:id="rId7"/>
    <sheet name="Desc" sheetId="9" r:id="rId8"/>
  </sheets>
  <externalReferences>
    <externalReference r:id="rId9"/>
  </externalReferences>
  <definedNames>
    <definedName name="_xlnm.Print_Area" localSheetId="5">Graphs!$A$1:$X$78</definedName>
    <definedName name="_xlnm.Print_Area" localSheetId="4">'Kasese-Mba'!$A$1:$Z$128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2" i="10" l="1"/>
  <c r="O43" i="10"/>
  <c r="O44" i="10"/>
  <c r="O41" i="10"/>
  <c r="N42" i="10"/>
  <c r="N43" i="10"/>
  <c r="N44" i="10"/>
  <c r="N41" i="10"/>
  <c r="N6" i="10"/>
  <c r="N7" i="10"/>
  <c r="N8" i="10"/>
  <c r="N9" i="10"/>
  <c r="N10" i="10"/>
  <c r="N11" i="10"/>
  <c r="N12" i="10"/>
  <c r="N13" i="10"/>
  <c r="N14" i="10"/>
  <c r="N15" i="10"/>
  <c r="N5" i="10"/>
  <c r="M6" i="10"/>
  <c r="M7" i="10"/>
  <c r="M8" i="10"/>
  <c r="M9" i="10"/>
  <c r="M10" i="10"/>
  <c r="M11" i="10"/>
  <c r="M12" i="10"/>
  <c r="M13" i="10"/>
  <c r="M14" i="10"/>
  <c r="M15" i="10"/>
  <c r="M5" i="10"/>
  <c r="D59" i="10"/>
  <c r="D57" i="10"/>
  <c r="C59" i="10"/>
  <c r="C58" i="10"/>
  <c r="C57" i="10"/>
  <c r="D31" i="10"/>
  <c r="D29" i="10"/>
  <c r="C30" i="10"/>
  <c r="C31" i="10"/>
  <c r="C29" i="10"/>
  <c r="D6" i="10"/>
  <c r="D7" i="10"/>
  <c r="D5" i="10"/>
  <c r="C6" i="10"/>
  <c r="C7" i="10"/>
  <c r="C5" i="10"/>
  <c r="W8" i="6"/>
  <c r="X8" i="6" s="1"/>
  <c r="Y8" i="6" s="1"/>
  <c r="W9" i="6"/>
  <c r="X9" i="6"/>
  <c r="Y9" i="6" s="1"/>
  <c r="W10" i="6"/>
  <c r="X10" i="6"/>
  <c r="Y10" i="6"/>
  <c r="W11" i="6"/>
  <c r="X11" i="6" s="1"/>
  <c r="Y11" i="6" s="1"/>
  <c r="W12" i="6"/>
  <c r="X12" i="6" s="1"/>
  <c r="Y12" i="6" s="1"/>
  <c r="W13" i="6"/>
  <c r="X13" i="6"/>
  <c r="Y13" i="6" s="1"/>
  <c r="W14" i="6"/>
  <c r="X14" i="6"/>
  <c r="Y14" i="6"/>
  <c r="W15" i="6"/>
  <c r="X15" i="6"/>
  <c r="Y15" i="6"/>
  <c r="W16" i="6"/>
  <c r="X16" i="6" s="1"/>
  <c r="Y16" i="6" s="1"/>
  <c r="W17" i="6"/>
  <c r="X17" i="6"/>
  <c r="Y17" i="6" s="1"/>
  <c r="W18" i="6"/>
  <c r="X18" i="6"/>
  <c r="Y18" i="6"/>
  <c r="W19" i="6"/>
  <c r="X19" i="6" s="1"/>
  <c r="Y19" i="6" s="1"/>
  <c r="W20" i="6"/>
  <c r="X20" i="6" s="1"/>
  <c r="Y20" i="6" s="1"/>
  <c r="W21" i="6"/>
  <c r="X21" i="6"/>
  <c r="Y21" i="6" s="1"/>
  <c r="W22" i="6"/>
  <c r="X22" i="6"/>
  <c r="Y22" i="6"/>
  <c r="W23" i="6"/>
  <c r="X23" i="6"/>
  <c r="Y23" i="6"/>
  <c r="W24" i="6"/>
  <c r="X24" i="6" s="1"/>
  <c r="Y24" i="6" s="1"/>
  <c r="W25" i="6"/>
  <c r="X25" i="6"/>
  <c r="Y25" i="6" s="1"/>
  <c r="W26" i="6"/>
  <c r="X26" i="6"/>
  <c r="Y26" i="6"/>
  <c r="W27" i="6"/>
  <c r="X27" i="6" s="1"/>
  <c r="Y27" i="6" s="1"/>
  <c r="W28" i="6"/>
  <c r="X28" i="6" s="1"/>
  <c r="Y28" i="6" s="1"/>
  <c r="W29" i="6"/>
  <c r="X29" i="6"/>
  <c r="Y29" i="6" s="1"/>
  <c r="W30" i="6"/>
  <c r="X30" i="6"/>
  <c r="Y30" i="6"/>
  <c r="W31" i="6"/>
  <c r="X31" i="6"/>
  <c r="Y31" i="6"/>
  <c r="W32" i="6"/>
  <c r="X32" i="6" s="1"/>
  <c r="Y32" i="6" s="1"/>
  <c r="W33" i="6"/>
  <c r="X33" i="6"/>
  <c r="Y33" i="6" s="1"/>
  <c r="W34" i="6"/>
  <c r="X34" i="6"/>
  <c r="Y34" i="6"/>
  <c r="W35" i="6"/>
  <c r="X35" i="6" s="1"/>
  <c r="Y35" i="6" s="1"/>
  <c r="W36" i="6"/>
  <c r="X36" i="6" s="1"/>
  <c r="Y36" i="6" s="1"/>
  <c r="W37" i="6"/>
  <c r="X37" i="6"/>
  <c r="Y37" i="6" s="1"/>
  <c r="W38" i="6"/>
  <c r="X38" i="6"/>
  <c r="Y38" i="6"/>
  <c r="W39" i="6"/>
  <c r="X39" i="6"/>
  <c r="Y39" i="6"/>
  <c r="W40" i="6"/>
  <c r="X40" i="6" s="1"/>
  <c r="Y40" i="6" s="1"/>
  <c r="W41" i="6"/>
  <c r="X41" i="6"/>
  <c r="Y41" i="6" s="1"/>
  <c r="W42" i="6"/>
  <c r="X42" i="6"/>
  <c r="Y42" i="6"/>
  <c r="W43" i="6"/>
  <c r="X43" i="6" s="1"/>
  <c r="Y43" i="6" s="1"/>
  <c r="W44" i="6"/>
  <c r="X44" i="6" s="1"/>
  <c r="Y44" i="6" s="1"/>
  <c r="W45" i="6"/>
  <c r="X45" i="6"/>
  <c r="Y45" i="6" s="1"/>
  <c r="W46" i="6"/>
  <c r="X46" i="6"/>
  <c r="Y46" i="6"/>
  <c r="W47" i="6"/>
  <c r="X47" i="6"/>
  <c r="Y47" i="6"/>
  <c r="W48" i="6"/>
  <c r="X48" i="6" s="1"/>
  <c r="Y48" i="6" s="1"/>
  <c r="W49" i="6"/>
  <c r="X49" i="6"/>
  <c r="Y49" i="6" s="1"/>
  <c r="W50" i="6"/>
  <c r="X50" i="6"/>
  <c r="Y50" i="6"/>
  <c r="W51" i="6"/>
  <c r="X51" i="6" s="1"/>
  <c r="Y51" i="6" s="1"/>
  <c r="W52" i="6"/>
  <c r="X52" i="6" s="1"/>
  <c r="Y52" i="6" s="1"/>
  <c r="W53" i="6"/>
  <c r="X53" i="6"/>
  <c r="Y53" i="6" s="1"/>
  <c r="W54" i="6"/>
  <c r="X54" i="6"/>
  <c r="Y54" i="6"/>
  <c r="W55" i="6"/>
  <c r="X55" i="6"/>
  <c r="Y55" i="6"/>
  <c r="W56" i="6"/>
  <c r="X56" i="6" s="1"/>
  <c r="Y56" i="6" s="1"/>
  <c r="W57" i="6"/>
  <c r="X57" i="6"/>
  <c r="Y57" i="6" s="1"/>
  <c r="W58" i="6"/>
  <c r="X58" i="6"/>
  <c r="Y58" i="6"/>
  <c r="W8" i="5"/>
  <c r="X8" i="5"/>
  <c r="Y8" i="5"/>
  <c r="W9" i="5"/>
  <c r="X9" i="5"/>
  <c r="Y9" i="5" s="1"/>
  <c r="W10" i="5"/>
  <c r="X10" i="5"/>
  <c r="Y10" i="5"/>
  <c r="W11" i="5"/>
  <c r="X11" i="5"/>
  <c r="Y11" i="5" s="1"/>
  <c r="W12" i="5"/>
  <c r="X12" i="5" s="1"/>
  <c r="Y12" i="5" s="1"/>
  <c r="W13" i="5"/>
  <c r="X13" i="5"/>
  <c r="Y13" i="5"/>
  <c r="W14" i="5"/>
  <c r="X14" i="5" s="1"/>
  <c r="Y14" i="5" s="1"/>
  <c r="W15" i="5"/>
  <c r="X15" i="5"/>
  <c r="Y15" i="5"/>
  <c r="W16" i="5"/>
  <c r="X16" i="5"/>
  <c r="Y16" i="5"/>
  <c r="W17" i="5"/>
  <c r="X17" i="5"/>
  <c r="Y17" i="5" s="1"/>
  <c r="W18" i="5"/>
  <c r="X18" i="5"/>
  <c r="Y18" i="5"/>
  <c r="W19" i="5"/>
  <c r="X19" i="5"/>
  <c r="Y19" i="5" s="1"/>
  <c r="W20" i="5"/>
  <c r="X20" i="5" s="1"/>
  <c r="Y20" i="5" s="1"/>
  <c r="W21" i="5"/>
  <c r="X21" i="5"/>
  <c r="Y21" i="5"/>
  <c r="W22" i="5"/>
  <c r="X22" i="5" s="1"/>
  <c r="Y22" i="5" s="1"/>
  <c r="W23" i="5"/>
  <c r="X23" i="5"/>
  <c r="Y23" i="5"/>
  <c r="W24" i="5"/>
  <c r="X24" i="5"/>
  <c r="Y24" i="5"/>
  <c r="W25" i="5"/>
  <c r="X25" i="5"/>
  <c r="Y25" i="5" s="1"/>
  <c r="W26" i="5"/>
  <c r="X26" i="5"/>
  <c r="Y26" i="5"/>
  <c r="W27" i="5"/>
  <c r="X27" i="5"/>
  <c r="Y27" i="5" s="1"/>
  <c r="W28" i="5"/>
  <c r="X28" i="5" s="1"/>
  <c r="Y28" i="5" s="1"/>
  <c r="W29" i="5"/>
  <c r="X29" i="5"/>
  <c r="Y29" i="5"/>
  <c r="W30" i="5"/>
  <c r="X30" i="5" s="1"/>
  <c r="Y30" i="5" s="1"/>
  <c r="W31" i="5"/>
  <c r="X31" i="5"/>
  <c r="Y31" i="5"/>
  <c r="W32" i="5"/>
  <c r="X32" i="5"/>
  <c r="Y32" i="5"/>
  <c r="W33" i="5"/>
  <c r="X33" i="5"/>
  <c r="Y33" i="5" s="1"/>
  <c r="W34" i="5"/>
  <c r="X34" i="5"/>
  <c r="Y34" i="5"/>
  <c r="W35" i="5"/>
  <c r="X35" i="5"/>
  <c r="Y35" i="5" s="1"/>
  <c r="W36" i="5"/>
  <c r="X36" i="5" s="1"/>
  <c r="Y36" i="5" s="1"/>
  <c r="W37" i="5"/>
  <c r="X37" i="5"/>
  <c r="Y37" i="5"/>
  <c r="W38" i="5"/>
  <c r="X38" i="5" s="1"/>
  <c r="Y38" i="5" s="1"/>
  <c r="W39" i="5"/>
  <c r="X39" i="5"/>
  <c r="Y39" i="5"/>
  <c r="W40" i="5"/>
  <c r="X40" i="5"/>
  <c r="Y40" i="5"/>
  <c r="W41" i="5"/>
  <c r="X41" i="5"/>
  <c r="Y41" i="5" s="1"/>
  <c r="W42" i="5"/>
  <c r="X42" i="5"/>
  <c r="Y42" i="5"/>
  <c r="W43" i="5"/>
  <c r="X43" i="5" s="1"/>
  <c r="Y43" i="5" s="1"/>
  <c r="W44" i="5"/>
  <c r="X44" i="5" s="1"/>
  <c r="Y44" i="5" s="1"/>
  <c r="W45" i="5"/>
  <c r="X45" i="5"/>
  <c r="Y45" i="5"/>
  <c r="W46" i="5"/>
  <c r="X46" i="5" s="1"/>
  <c r="Y46" i="5" s="1"/>
  <c r="W47" i="5"/>
  <c r="X47" i="5"/>
  <c r="Y47" i="5"/>
  <c r="W48" i="5"/>
  <c r="X48" i="5"/>
  <c r="Y48" i="5"/>
  <c r="W49" i="5"/>
  <c r="X49" i="5"/>
  <c r="Y49" i="5" s="1"/>
  <c r="W50" i="5"/>
  <c r="X50" i="5"/>
  <c r="Y50" i="5"/>
  <c r="W51" i="5"/>
  <c r="X51" i="5"/>
  <c r="Y51" i="5" s="1"/>
  <c r="W52" i="5"/>
  <c r="X52" i="5" s="1"/>
  <c r="Y52" i="5" s="1"/>
  <c r="W53" i="5"/>
  <c r="X53" i="5"/>
  <c r="Y53" i="5"/>
  <c r="W54" i="5"/>
  <c r="X54" i="5" s="1"/>
  <c r="Y54" i="5" s="1"/>
  <c r="W7" i="5"/>
  <c r="X7" i="5" s="1"/>
  <c r="Y7" i="5" s="1"/>
  <c r="W7" i="6"/>
  <c r="X7" i="6" s="1"/>
  <c r="Y7" i="6" s="1"/>
  <c r="E31" i="10" l="1"/>
  <c r="E30" i="10"/>
  <c r="E29" i="10"/>
  <c r="E59" i="10"/>
  <c r="E6" i="10"/>
  <c r="E57" i="10"/>
  <c r="D8" i="10"/>
  <c r="O45" i="10" s="1"/>
  <c r="D60" i="10"/>
  <c r="E7" i="10"/>
  <c r="C8" i="10"/>
  <c r="E5" i="10"/>
  <c r="N25" i="5"/>
  <c r="N8" i="5"/>
  <c r="O8" i="5" s="1"/>
  <c r="N9" i="5"/>
  <c r="O9" i="5" s="1"/>
  <c r="N26" i="5"/>
  <c r="O26" i="5" s="1"/>
  <c r="N27" i="5"/>
  <c r="O27" i="5" s="1"/>
  <c r="N10" i="5"/>
  <c r="O10" i="5" s="1"/>
  <c r="N11" i="5"/>
  <c r="O11" i="5" s="1"/>
  <c r="N12" i="5"/>
  <c r="O12" i="5" s="1"/>
  <c r="N28" i="5"/>
  <c r="O28" i="5" s="1"/>
  <c r="N29" i="5"/>
  <c r="O29" i="5" s="1"/>
  <c r="N30" i="5"/>
  <c r="O30" i="5" s="1"/>
  <c r="N13" i="5"/>
  <c r="O13" i="5" s="1"/>
  <c r="N31" i="5"/>
  <c r="O31" i="5" s="1"/>
  <c r="N32" i="5"/>
  <c r="O32" i="5" s="1"/>
  <c r="N33" i="5"/>
  <c r="O33" i="5" s="1"/>
  <c r="N14" i="5"/>
  <c r="O14" i="5" s="1"/>
  <c r="N15" i="5"/>
  <c r="O15" i="5" s="1"/>
  <c r="N34" i="5"/>
  <c r="O34" i="5" s="1"/>
  <c r="N35" i="5"/>
  <c r="O35" i="5" s="1"/>
  <c r="N22" i="5"/>
  <c r="O22" i="5"/>
  <c r="N36" i="5"/>
  <c r="O36" i="5" s="1"/>
  <c r="N37" i="5"/>
  <c r="O37" i="5" s="1"/>
  <c r="N16" i="5"/>
  <c r="O16" i="5" s="1"/>
  <c r="N38" i="5"/>
  <c r="O38" i="5" s="1"/>
  <c r="N39" i="5"/>
  <c r="O39" i="5" s="1"/>
  <c r="N40" i="5"/>
  <c r="O40" i="5"/>
  <c r="N41" i="5"/>
  <c r="O41" i="5" s="1"/>
  <c r="N42" i="5"/>
  <c r="O42" i="5"/>
  <c r="N43" i="5"/>
  <c r="O43" i="5" s="1"/>
  <c r="N44" i="5"/>
  <c r="O44" i="5" s="1"/>
  <c r="N17" i="5"/>
  <c r="O17" i="5" s="1"/>
  <c r="N18" i="5"/>
  <c r="O18" i="5" s="1"/>
  <c r="N23" i="5"/>
  <c r="O23" i="5" s="1"/>
  <c r="N24" i="5"/>
  <c r="O24" i="5"/>
  <c r="N45" i="5"/>
  <c r="O45" i="5" s="1"/>
  <c r="N46" i="5"/>
  <c r="O46" i="5"/>
  <c r="N47" i="5"/>
  <c r="O47" i="5" s="1"/>
  <c r="N48" i="5"/>
  <c r="O48" i="5" s="1"/>
  <c r="N19" i="5"/>
  <c r="O19" i="5" s="1"/>
  <c r="N49" i="5"/>
  <c r="O49" i="5" s="1"/>
  <c r="N20" i="5"/>
  <c r="O20" i="5"/>
  <c r="N50" i="5"/>
  <c r="O50" i="5" s="1"/>
  <c r="N51" i="5"/>
  <c r="O51" i="5" s="1"/>
  <c r="N21" i="5"/>
  <c r="O21" i="5"/>
  <c r="N52" i="5"/>
  <c r="O52" i="5" s="1"/>
  <c r="N53" i="5"/>
  <c r="O53" i="5" s="1"/>
  <c r="N54" i="5"/>
  <c r="O54" i="5" s="1"/>
  <c r="N19" i="6"/>
  <c r="O19" i="6" s="1"/>
  <c r="N20" i="6"/>
  <c r="O20" i="6" s="1"/>
  <c r="N21" i="6"/>
  <c r="O21" i="6" s="1"/>
  <c r="N22" i="6"/>
  <c r="O22" i="6" s="1"/>
  <c r="N23" i="6"/>
  <c r="O23" i="6" s="1"/>
  <c r="N24" i="6"/>
  <c r="O24" i="6" s="1"/>
  <c r="N25" i="6"/>
  <c r="O25" i="6" s="1"/>
  <c r="N7" i="6"/>
  <c r="N26" i="6"/>
  <c r="O26" i="6" s="1"/>
  <c r="N27" i="6"/>
  <c r="O27" i="6" s="1"/>
  <c r="N28" i="6"/>
  <c r="O28" i="6" s="1"/>
  <c r="N8" i="6"/>
  <c r="O8" i="6" s="1"/>
  <c r="N9" i="6"/>
  <c r="O9" i="6" s="1"/>
  <c r="N29" i="6"/>
  <c r="O29" i="6" s="1"/>
  <c r="N10" i="6"/>
  <c r="O10" i="6" s="1"/>
  <c r="N11" i="6"/>
  <c r="O11" i="6" s="1"/>
  <c r="N30" i="6"/>
  <c r="O30" i="6"/>
  <c r="N31" i="6"/>
  <c r="O31" i="6" s="1"/>
  <c r="N32" i="6"/>
  <c r="O32" i="6" s="1"/>
  <c r="N33" i="6"/>
  <c r="O33" i="6" s="1"/>
  <c r="N34" i="6"/>
  <c r="O34" i="6" s="1"/>
  <c r="N35" i="6"/>
  <c r="O35" i="6" s="1"/>
  <c r="N36" i="6"/>
  <c r="O36" i="6"/>
  <c r="N37" i="6"/>
  <c r="O37" i="6" s="1"/>
  <c r="N38" i="6"/>
  <c r="O38" i="6"/>
  <c r="N12" i="6"/>
  <c r="O12" i="6"/>
  <c r="N13" i="6"/>
  <c r="O13" i="6" s="1"/>
  <c r="N14" i="6"/>
  <c r="O14" i="6" s="1"/>
  <c r="N15" i="6"/>
  <c r="O15" i="6" s="1"/>
  <c r="N16" i="6"/>
  <c r="O16" i="6" s="1"/>
  <c r="N39" i="6"/>
  <c r="O39" i="6" s="1"/>
  <c r="N40" i="6"/>
  <c r="O40" i="6" s="1"/>
  <c r="N41" i="6"/>
  <c r="O41" i="6" s="1"/>
  <c r="N42" i="6"/>
  <c r="O42" i="6" s="1"/>
  <c r="N43" i="6"/>
  <c r="O43" i="6" s="1"/>
  <c r="N44" i="6"/>
  <c r="O44" i="6" s="1"/>
  <c r="N45" i="6"/>
  <c r="O45" i="6" s="1"/>
  <c r="N46" i="6"/>
  <c r="O46" i="6"/>
  <c r="N47" i="6"/>
  <c r="O47" i="6" s="1"/>
  <c r="N48" i="6"/>
  <c r="O48" i="6" s="1"/>
  <c r="N49" i="6"/>
  <c r="O49" i="6" s="1"/>
  <c r="N50" i="6"/>
  <c r="O50" i="6" s="1"/>
  <c r="N51" i="6"/>
  <c r="O51" i="6" s="1"/>
  <c r="N52" i="6"/>
  <c r="O52" i="6" s="1"/>
  <c r="N53" i="6"/>
  <c r="O53" i="6" s="1"/>
  <c r="N54" i="6"/>
  <c r="O54" i="6"/>
  <c r="N55" i="6"/>
  <c r="O55" i="6" s="1"/>
  <c r="N56" i="6"/>
  <c r="O56" i="6" s="1"/>
  <c r="N57" i="6"/>
  <c r="O57" i="6" s="1"/>
  <c r="N17" i="6"/>
  <c r="O17" i="6"/>
  <c r="N58" i="6"/>
  <c r="O58" i="6" s="1"/>
  <c r="N18" i="6"/>
  <c r="N7" i="5"/>
  <c r="D25" i="5"/>
  <c r="D8" i="5"/>
  <c r="D9" i="5"/>
  <c r="D26" i="5"/>
  <c r="D27" i="5"/>
  <c r="D10" i="5"/>
  <c r="D11" i="5"/>
  <c r="D12" i="5"/>
  <c r="D28" i="5"/>
  <c r="D29" i="5"/>
  <c r="D30" i="5"/>
  <c r="D13" i="5"/>
  <c r="D31" i="5"/>
  <c r="D32" i="5"/>
  <c r="D33" i="5"/>
  <c r="D14" i="5"/>
  <c r="D15" i="5"/>
  <c r="D34" i="5"/>
  <c r="D35" i="5"/>
  <c r="D22" i="5"/>
  <c r="D36" i="5"/>
  <c r="D37" i="5"/>
  <c r="D16" i="5"/>
  <c r="D38" i="5"/>
  <c r="D39" i="5"/>
  <c r="D40" i="5"/>
  <c r="D41" i="5"/>
  <c r="D42" i="5"/>
  <c r="D43" i="5"/>
  <c r="D44" i="5"/>
  <c r="D17" i="5"/>
  <c r="D18" i="5"/>
  <c r="D23" i="5"/>
  <c r="D24" i="5"/>
  <c r="D45" i="5"/>
  <c r="D46" i="5"/>
  <c r="D47" i="5"/>
  <c r="D48" i="5"/>
  <c r="D19" i="5"/>
  <c r="D49" i="5"/>
  <c r="D20" i="5"/>
  <c r="D50" i="5"/>
  <c r="D51" i="5"/>
  <c r="D21" i="5"/>
  <c r="D52" i="5"/>
  <c r="D53" i="5"/>
  <c r="D54" i="5"/>
  <c r="D7" i="5"/>
  <c r="D19" i="6"/>
  <c r="D20" i="6"/>
  <c r="D21" i="6"/>
  <c r="D22" i="6"/>
  <c r="D23" i="6"/>
  <c r="D24" i="6"/>
  <c r="D25" i="6"/>
  <c r="D7" i="6"/>
  <c r="D26" i="6"/>
  <c r="D27" i="6"/>
  <c r="D28" i="6"/>
  <c r="D8" i="6"/>
  <c r="D9" i="6"/>
  <c r="D29" i="6"/>
  <c r="D10" i="6"/>
  <c r="D11" i="6"/>
  <c r="D30" i="6"/>
  <c r="D31" i="6"/>
  <c r="D32" i="6"/>
  <c r="D33" i="6"/>
  <c r="D34" i="6"/>
  <c r="D35" i="6"/>
  <c r="D36" i="6"/>
  <c r="D37" i="6"/>
  <c r="D38" i="6"/>
  <c r="D12" i="6"/>
  <c r="D13" i="6"/>
  <c r="D14" i="6"/>
  <c r="D15" i="6"/>
  <c r="D16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17" i="6"/>
  <c r="D58" i="6"/>
  <c r="D18" i="6"/>
  <c r="A33" i="6"/>
  <c r="A34" i="6" s="1"/>
  <c r="A35" i="6" s="1"/>
  <c r="A36" i="6" s="1"/>
  <c r="A37" i="6" s="1"/>
  <c r="A38" i="6" s="1"/>
  <c r="A19" i="6"/>
  <c r="A20" i="6" s="1"/>
  <c r="A21" i="6" s="1"/>
  <c r="A22" i="6" s="1"/>
  <c r="A23" i="6" s="1"/>
  <c r="A24" i="6" s="1"/>
  <c r="A25" i="6" s="1"/>
  <c r="A7" i="6" s="1"/>
  <c r="A26" i="6" s="1"/>
  <c r="A27" i="6" s="1"/>
  <c r="A28" i="6" s="1"/>
  <c r="A8" i="6" s="1"/>
  <c r="A9" i="6" s="1"/>
  <c r="A29" i="6" s="1"/>
  <c r="A10" i="6" s="1"/>
  <c r="A11" i="6" s="1"/>
  <c r="A18" i="5"/>
  <c r="A15" i="5"/>
  <c r="E58" i="10" l="1"/>
  <c r="E8" i="10"/>
  <c r="N16" i="10"/>
  <c r="C60" i="10"/>
  <c r="M16" i="10"/>
  <c r="N45" i="10"/>
  <c r="O7" i="5"/>
  <c r="O18" i="6"/>
  <c r="O7" i="6"/>
  <c r="A12" i="6"/>
  <c r="A13" i="6" s="1"/>
  <c r="A14" i="6" s="1"/>
  <c r="A15" i="6" s="1"/>
  <c r="A16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17" i="6" s="1"/>
  <c r="A58" i="6" s="1"/>
  <c r="O25" i="5"/>
  <c r="P41" i="10" l="1"/>
  <c r="P43" i="10"/>
  <c r="P44" i="10"/>
  <c r="P42" i="10"/>
  <c r="A8" i="4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8" i="3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19" i="5" l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16" i="5"/>
  <c r="A8" i="5"/>
  <c r="A9" i="5" s="1"/>
  <c r="A10" i="5" s="1"/>
  <c r="A11" i="5" s="1"/>
  <c r="A12" i="5" s="1"/>
  <c r="A13" i="5" s="1"/>
</calcChain>
</file>

<file path=xl/sharedStrings.xml><?xml version="1.0" encoding="utf-8"?>
<sst xmlns="http://schemas.openxmlformats.org/spreadsheetml/2006/main" count="866" uniqueCount="245">
  <si>
    <t>AXLE LOAD SURVEY FORM</t>
  </si>
  <si>
    <t>Date:</t>
  </si>
  <si>
    <t>Station Name:</t>
  </si>
  <si>
    <t>S/No.</t>
  </si>
  <si>
    <t>Time</t>
  </si>
  <si>
    <t>Reg. Number</t>
  </si>
  <si>
    <t>Number of Axles</t>
  </si>
  <si>
    <t>Axle Configuration</t>
  </si>
  <si>
    <t>Total (Tonnes)</t>
  </si>
  <si>
    <t>Vehicle Type</t>
  </si>
  <si>
    <t>Total (ESA's)</t>
  </si>
  <si>
    <t>COMMENTS</t>
  </si>
  <si>
    <t>1*2</t>
  </si>
  <si>
    <t>Direction:</t>
  </si>
  <si>
    <t>Rubirizi</t>
  </si>
  <si>
    <t>Mbarara-Kasese</t>
  </si>
  <si>
    <t>UAW 983V</t>
  </si>
  <si>
    <t>GOODS</t>
  </si>
  <si>
    <t>UBD 480T</t>
  </si>
  <si>
    <t>11*22</t>
  </si>
  <si>
    <t>UBB 322P</t>
  </si>
  <si>
    <t>BEER</t>
  </si>
  <si>
    <t>FISH</t>
  </si>
  <si>
    <t>UAV 799U</t>
  </si>
  <si>
    <t>UAM 930B</t>
  </si>
  <si>
    <t>11*222</t>
  </si>
  <si>
    <t>UAV 916C</t>
  </si>
  <si>
    <t>UBA 297T</t>
  </si>
  <si>
    <t>CATTLE</t>
  </si>
  <si>
    <t>UAQ 162Q</t>
  </si>
  <si>
    <t>SODA</t>
  </si>
  <si>
    <t>UBD 881D</t>
  </si>
  <si>
    <t>KCC 805S</t>
  </si>
  <si>
    <t>1*22-222</t>
  </si>
  <si>
    <t>KCQ 784Z</t>
  </si>
  <si>
    <t>1*12-222</t>
  </si>
  <si>
    <t>KBS 134K</t>
  </si>
  <si>
    <t>TIMBER</t>
  </si>
  <si>
    <t>IRON SHEETS</t>
  </si>
  <si>
    <t>FUEL</t>
  </si>
  <si>
    <t>UBB 621H</t>
  </si>
  <si>
    <t>T595 DNS</t>
  </si>
  <si>
    <t>1*12-111</t>
  </si>
  <si>
    <t>KCG 344H</t>
  </si>
  <si>
    <t>KBK 289K</t>
  </si>
  <si>
    <t>RAC 404Y</t>
  </si>
  <si>
    <t>RAC 890L</t>
  </si>
  <si>
    <t>1*22+22*22</t>
  </si>
  <si>
    <t>CEMENT</t>
  </si>
  <si>
    <t>RAD 019B</t>
  </si>
  <si>
    <t>RAC 126U</t>
  </si>
  <si>
    <t>UBA 918B</t>
  </si>
  <si>
    <t>RAB 567I</t>
  </si>
  <si>
    <t>UAV 753D</t>
  </si>
  <si>
    <t>RAD 209B</t>
  </si>
  <si>
    <t>UAY 764P</t>
  </si>
  <si>
    <t>RAB 182P</t>
  </si>
  <si>
    <t>COTTON SEEDS</t>
  </si>
  <si>
    <t>RAB 524R</t>
  </si>
  <si>
    <t>UBB 101A</t>
  </si>
  <si>
    <t>1822-222</t>
  </si>
  <si>
    <t>RAC 460B</t>
  </si>
  <si>
    <t>MAIZE</t>
  </si>
  <si>
    <t>UAK 689H</t>
  </si>
  <si>
    <t>RAD 177S</t>
  </si>
  <si>
    <t>1*22-111</t>
  </si>
  <si>
    <t>UAP 344Q</t>
  </si>
  <si>
    <t>UBC 266C</t>
  </si>
  <si>
    <t>SALT</t>
  </si>
  <si>
    <t>UAZ 623P</t>
  </si>
  <si>
    <t>UAP 580B</t>
  </si>
  <si>
    <t>UBB 212S</t>
  </si>
  <si>
    <t>UAS 763G</t>
  </si>
  <si>
    <t>UAY 971M</t>
  </si>
  <si>
    <t>1*21</t>
  </si>
  <si>
    <t>UAS 906V</t>
  </si>
  <si>
    <t>9460 AB19</t>
  </si>
  <si>
    <t>UBD 898X</t>
  </si>
  <si>
    <t>UAN 917J</t>
  </si>
  <si>
    <t>KCJ 660D</t>
  </si>
  <si>
    <t>UBB 652Z</t>
  </si>
  <si>
    <t>KBU 420G</t>
  </si>
  <si>
    <t>KBT 973S</t>
  </si>
  <si>
    <t>4683AE19</t>
  </si>
  <si>
    <t>UAY 583R</t>
  </si>
  <si>
    <t>11*21</t>
  </si>
  <si>
    <t>1*22-212</t>
  </si>
  <si>
    <t>RAD 129U</t>
  </si>
  <si>
    <t>RAB 638D</t>
  </si>
  <si>
    <t>UBB 231E</t>
  </si>
  <si>
    <t>UAN 229S</t>
  </si>
  <si>
    <t>KCK 224B</t>
  </si>
  <si>
    <t>RAB139R</t>
  </si>
  <si>
    <t>UAZ 357F</t>
  </si>
  <si>
    <t>UAX 936L</t>
  </si>
  <si>
    <t>UBA 813R</t>
  </si>
  <si>
    <t>UAW 233U</t>
  </si>
  <si>
    <t>UAG 173Y</t>
  </si>
  <si>
    <t>UBB 094A</t>
  </si>
  <si>
    <t>RAD829A</t>
  </si>
  <si>
    <t>UBB 955V</t>
  </si>
  <si>
    <t>RAC 050Q</t>
  </si>
  <si>
    <t>UAQ 604W</t>
  </si>
  <si>
    <t>UAX187X</t>
  </si>
  <si>
    <t>UAT013Y</t>
  </si>
  <si>
    <t>1*22-22</t>
  </si>
  <si>
    <t>1*22_222</t>
  </si>
  <si>
    <t>UAR 808C</t>
  </si>
  <si>
    <t>UBA 275C</t>
  </si>
  <si>
    <t>UAB 801C</t>
  </si>
  <si>
    <t>1*22</t>
  </si>
  <si>
    <t>UAU 912Y</t>
  </si>
  <si>
    <t>UAX 514A</t>
  </si>
  <si>
    <t>KCB 043Z</t>
  </si>
  <si>
    <t>KBX 74Q</t>
  </si>
  <si>
    <t>KCF 216Y</t>
  </si>
  <si>
    <t>UAL 156L</t>
  </si>
  <si>
    <t>UAP 910C</t>
  </si>
  <si>
    <t>KBS 896Y</t>
  </si>
  <si>
    <t>KCC 605W</t>
  </si>
  <si>
    <t>UAV 480K</t>
  </si>
  <si>
    <t>KCK 156Q</t>
  </si>
  <si>
    <t>KBX 838R</t>
  </si>
  <si>
    <t>UBD 990A</t>
  </si>
  <si>
    <t>RAD 858S</t>
  </si>
  <si>
    <t>RAD 864B</t>
  </si>
  <si>
    <t>RAD 080F</t>
  </si>
  <si>
    <t>UBC 263D</t>
  </si>
  <si>
    <t>RAC 253G</t>
  </si>
  <si>
    <t>UAX 152W</t>
  </si>
  <si>
    <t>UAV 052V</t>
  </si>
  <si>
    <t>UBB I04A</t>
  </si>
  <si>
    <t>UAN 879A</t>
  </si>
  <si>
    <t>RAD 931D</t>
  </si>
  <si>
    <t>1*2-111</t>
  </si>
  <si>
    <t>UAW 214U</t>
  </si>
  <si>
    <t>UAY 433E</t>
  </si>
  <si>
    <t>UAQ 662T</t>
  </si>
  <si>
    <t>AXLE 1</t>
  </si>
  <si>
    <t>AXLE 2</t>
  </si>
  <si>
    <t>AXLE 3</t>
  </si>
  <si>
    <t>AXLE 4</t>
  </si>
  <si>
    <t>AXLE 5</t>
  </si>
  <si>
    <t>AXLE 6</t>
  </si>
  <si>
    <t>AXLE 7</t>
  </si>
  <si>
    <t>TONNES</t>
  </si>
  <si>
    <t>KASESE - MBARARA</t>
  </si>
  <si>
    <t>SAND</t>
  </si>
  <si>
    <t>EMPTY</t>
  </si>
  <si>
    <t xml:space="preserve"> TRUCK TYPES</t>
  </si>
  <si>
    <t>2-Axles</t>
  </si>
  <si>
    <t>3-Axle</t>
  </si>
  <si>
    <t>4-Axle</t>
  </si>
  <si>
    <t>5-Axle</t>
  </si>
  <si>
    <t>6-Axle</t>
  </si>
  <si>
    <t>7-Axle</t>
  </si>
  <si>
    <t xml:space="preserve">LIGHT SINGLE UNIT TRUCK-DYNAS AND TRACTORS(2 axles) </t>
  </si>
  <si>
    <t xml:space="preserve">LIGHT/MEDIUM SINGLE UNIT TRUCKS (3 axles) </t>
  </si>
  <si>
    <t>MEDIUM - SINGLE UNIT TRUCKS-LORRIES, FUSOS (4 axles)</t>
  </si>
  <si>
    <t>1.1-22</t>
  </si>
  <si>
    <t>HEAVY TRUCK RIGID (5 axles)</t>
  </si>
  <si>
    <t>1.1-222</t>
  </si>
  <si>
    <t>1.2-222</t>
  </si>
  <si>
    <t>1.22-22</t>
  </si>
  <si>
    <t>TRUCK TRAILER AND SEMI TRAILER (6 axles)</t>
  </si>
  <si>
    <t>1.12-222</t>
  </si>
  <si>
    <t>1.22-222</t>
  </si>
  <si>
    <t>1.22+1-22</t>
  </si>
  <si>
    <t>1.22+2-22</t>
  </si>
  <si>
    <t>1.21-222</t>
  </si>
  <si>
    <t>1.22-111</t>
  </si>
  <si>
    <t>TRUCK TRAILER  TYPE 2 (7 axles)</t>
  </si>
  <si>
    <t>1.11+11-11</t>
  </si>
  <si>
    <t>1.22+22-22</t>
  </si>
  <si>
    <t>1.12+11-22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</si>
  <si>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</si>
  <si>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</si>
  <si>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</si>
  <si>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</si>
  <si>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1*1</t>
  </si>
  <si>
    <t>Light Truck</t>
  </si>
  <si>
    <t>Medium Truck</t>
  </si>
  <si>
    <t>Heavy Truck</t>
  </si>
  <si>
    <t>1*2*2</t>
  </si>
  <si>
    <t>Truck Trailer</t>
  </si>
  <si>
    <t>1*2*22</t>
  </si>
  <si>
    <t>1*2*2*2</t>
  </si>
  <si>
    <t>1*22*2*22</t>
  </si>
  <si>
    <t>OVERLOADED?</t>
  </si>
  <si>
    <t>Overloaded by?</t>
  </si>
  <si>
    <t>Vehicle Categories</t>
  </si>
  <si>
    <t>Load Description</t>
  </si>
  <si>
    <t>Truck Type</t>
  </si>
  <si>
    <t>Both Directions</t>
  </si>
  <si>
    <t>Category</t>
  </si>
  <si>
    <t>Light/Medium Trucks</t>
  </si>
  <si>
    <t>Agricultural produce</t>
  </si>
  <si>
    <t>Heavy Trucks</t>
  </si>
  <si>
    <t>Perishable</t>
  </si>
  <si>
    <t>Truck/Trailer</t>
  </si>
  <si>
    <t>Construction Material</t>
  </si>
  <si>
    <t>Totals</t>
  </si>
  <si>
    <t>Metal/machinery</t>
  </si>
  <si>
    <t>Forestry products</t>
  </si>
  <si>
    <t>Fuels</t>
  </si>
  <si>
    <t>Chemical Products</t>
  </si>
  <si>
    <t>Livestock</t>
  </si>
  <si>
    <t xml:space="preserve">Household retail products </t>
  </si>
  <si>
    <t>Empty</t>
  </si>
  <si>
    <t>Others</t>
  </si>
  <si>
    <t>Total</t>
  </si>
  <si>
    <t>Comment</t>
  </si>
  <si>
    <t>Food crop</t>
  </si>
  <si>
    <t xml:space="preserve"> (Maize,rice,wheat etc)</t>
  </si>
  <si>
    <t>Cash Crops</t>
  </si>
  <si>
    <t xml:space="preserve"> (coffee,tea etc)</t>
  </si>
  <si>
    <t xml:space="preserve"> (fish,milk,tea etc)</t>
  </si>
  <si>
    <t xml:space="preserve">Construction Material </t>
  </si>
  <si>
    <t>(cement, gravel,stones,gravel,pipes)</t>
  </si>
  <si>
    <t xml:space="preserve"> (timber &amp; charcoal)</t>
  </si>
  <si>
    <t xml:space="preserve"> (any petroleum products)</t>
  </si>
  <si>
    <t xml:space="preserve"> (fertilizer,paints)</t>
  </si>
  <si>
    <t xml:space="preserve"> (cows,goats,camel etc)</t>
  </si>
  <si>
    <t>(beverage,oil,sugar,salt,flour)</t>
  </si>
  <si>
    <t>Others (Pl specify)</t>
  </si>
  <si>
    <t>Kasese-Mbarara</t>
  </si>
  <si>
    <t>Load limit (Tonnes)</t>
  </si>
  <si>
    <t>Overload Bands</t>
  </si>
  <si>
    <t>Axle 1</t>
  </si>
  <si>
    <t>Axle 2</t>
  </si>
  <si>
    <t>Axle 3</t>
  </si>
  <si>
    <t>Axle 4</t>
  </si>
  <si>
    <t>Axle 5</t>
  </si>
  <si>
    <t>Axle 6</t>
  </si>
  <si>
    <t>Axle 7</t>
  </si>
  <si>
    <t>Household retail products</t>
  </si>
  <si>
    <t>Average Total Loading (Tonnes)</t>
  </si>
  <si>
    <t>Proportion of Overloaded Trucks</t>
  </si>
  <si>
    <t>0-4.9%</t>
  </si>
  <si>
    <t>5-25%</t>
  </si>
  <si>
    <t>25-50%</t>
  </si>
  <si>
    <t>Over 50%</t>
  </si>
  <si>
    <t>Overall</t>
  </si>
  <si>
    <t>AXLE LOAD DATA ANALYSIS (MBARARA - KASESE HIGHWAY)</t>
  </si>
  <si>
    <t>Veh. Load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</si>
</sst>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h:mm;@"/>
    <numFmt numFmtId="165" formatCode="0.000"/>
    <numFmt numFmtId="166" formatCode="0.0"/>
    <numFmt numFmtId="167" formatCode="0.0%"/>
    <numFmt numFmtId="168" formatCode="_-* #,##0.0_-;\-* #,##0.0_-;_-* &quot;-&quot;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9" fontId="9" fillId="0" borderId="0" applyFont="0" applyFill="0" applyBorder="0" applyAlignment="0" applyProtection="0"/>
    <xf numFmtId="0" fontId="10" fillId="0" borderId="0"/>
    <xf numFmtId="0" fontId="12" fillId="0" borderId="0"/>
    <xf numFmtId="41" fontId="9" fillId="0" borderId="0" applyFont="0" applyFill="0" applyBorder="0" applyAlignment="0" applyProtection="0"/>
  </cellStyleXfs>
  <cellXfs count="160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Border="1"/>
    <xf numFmtId="0" fontId="2" fillId="0" borderId="0" xfId="0" applyFont="1"/>
    <xf numFmtId="0" fontId="3" fillId="0" borderId="0" xfId="0" applyFont="1" applyBorder="1" applyAlignment="1"/>
    <xf numFmtId="0" fontId="2" fillId="0" borderId="1" xfId="0" applyFont="1" applyBorder="1"/>
    <xf numFmtId="0" fontId="0" fillId="0" borderId="6" xfId="0" applyBorder="1"/>
    <xf numFmtId="164" fontId="2" fillId="0" borderId="2" xfId="0" applyNumberFormat="1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3" xfId="0" applyFont="1" applyBorder="1"/>
    <xf numFmtId="0" fontId="0" fillId="0" borderId="16" xfId="0" applyBorder="1"/>
    <xf numFmtId="165" fontId="2" fillId="0" borderId="3" xfId="0" applyNumberFormat="1" applyFont="1" applyBorder="1"/>
    <xf numFmtId="165" fontId="2" fillId="0" borderId="1" xfId="0" applyNumberFormat="1" applyFont="1" applyBorder="1"/>
    <xf numFmtId="0" fontId="2" fillId="0" borderId="14" xfId="0" applyFont="1" applyFill="1" applyBorder="1"/>
    <xf numFmtId="0" fontId="2" fillId="0" borderId="3" xfId="0" applyFont="1" applyFill="1" applyBorder="1"/>
    <xf numFmtId="0" fontId="1" fillId="0" borderId="0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2" fillId="0" borderId="3" xfId="0" applyFont="1" applyBorder="1" applyAlignment="1">
      <alignment horizontal="left"/>
    </xf>
    <xf numFmtId="165" fontId="2" fillId="0" borderId="3" xfId="0" applyNumberFormat="1" applyFont="1" applyFill="1" applyBorder="1"/>
    <xf numFmtId="164" fontId="2" fillId="0" borderId="15" xfId="0" applyNumberFormat="1" applyFont="1" applyFill="1" applyBorder="1"/>
    <xf numFmtId="0" fontId="2" fillId="0" borderId="3" xfId="0" applyFont="1" applyFill="1" applyBorder="1" applyAlignment="1">
      <alignment horizontal="left"/>
    </xf>
    <xf numFmtId="0" fontId="0" fillId="0" borderId="16" xfId="0" applyFill="1" applyBorder="1"/>
    <xf numFmtId="0" fontId="2" fillId="0" borderId="2" xfId="0" applyFont="1" applyBorder="1"/>
    <xf numFmtId="164" fontId="2" fillId="0" borderId="17" xfId="0" applyNumberFormat="1" applyFont="1" applyBorder="1"/>
    <xf numFmtId="164" fontId="2" fillId="0" borderId="2" xfId="0" applyNumberFormat="1" applyFont="1" applyBorder="1" applyAlignment="1">
      <alignment horizontal="right"/>
    </xf>
    <xf numFmtId="14" fontId="1" fillId="0" borderId="0" xfId="0" applyNumberFormat="1" applyFont="1" applyBorder="1"/>
    <xf numFmtId="0" fontId="2" fillId="0" borderId="3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20" fontId="2" fillId="0" borderId="1" xfId="0" applyNumberFormat="1" applyFont="1" applyBorder="1"/>
    <xf numFmtId="0" fontId="1" fillId="0" borderId="0" xfId="0" applyFont="1" applyBorder="1" applyAlignment="1">
      <alignment horizontal="left"/>
    </xf>
    <xf numFmtId="0" fontId="0" fillId="0" borderId="0" xfId="0" applyAlignment="1">
      <alignment horizontal="left"/>
    </xf>
    <xf numFmtId="165" fontId="2" fillId="0" borderId="19" xfId="0" applyNumberFormat="1" applyFont="1" applyFill="1" applyBorder="1"/>
    <xf numFmtId="164" fontId="2" fillId="0" borderId="15" xfId="0" applyNumberFormat="1" applyFont="1" applyBorder="1"/>
    <xf numFmtId="0" fontId="0" fillId="0" borderId="0" xfId="0" applyBorder="1"/>
    <xf numFmtId="0" fontId="2" fillId="0" borderId="19" xfId="0" applyFont="1" applyFill="1" applyBorder="1"/>
    <xf numFmtId="0" fontId="2" fillId="0" borderId="13" xfId="0" applyFont="1" applyFill="1" applyBorder="1"/>
    <xf numFmtId="164" fontId="2" fillId="0" borderId="10" xfId="0" applyNumberFormat="1" applyFont="1" applyBorder="1"/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2" fillId="0" borderId="7" xfId="0" applyFont="1" applyFill="1" applyBorder="1" applyAlignment="1">
      <alignment horizontal="left"/>
    </xf>
    <xf numFmtId="165" fontId="2" fillId="0" borderId="7" xfId="0" applyNumberFormat="1" applyFont="1" applyBorder="1"/>
    <xf numFmtId="165" fontId="2" fillId="0" borderId="7" xfId="0" applyNumberFormat="1" applyFont="1" applyFill="1" applyBorder="1"/>
    <xf numFmtId="0" fontId="0" fillId="0" borderId="8" xfId="0" applyBorder="1"/>
    <xf numFmtId="0" fontId="0" fillId="0" borderId="1" xfId="0" applyBorder="1"/>
    <xf numFmtId="164" fontId="6" fillId="0" borderId="15" xfId="0" applyNumberFormat="1" applyFont="1" applyFill="1" applyBorder="1"/>
    <xf numFmtId="0" fontId="6" fillId="0" borderId="1" xfId="0" applyFont="1" applyBorder="1"/>
    <xf numFmtId="0" fontId="1" fillId="0" borderId="7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20" xfId="0" applyFont="1" applyFill="1" applyBorder="1"/>
    <xf numFmtId="164" fontId="2" fillId="0" borderId="21" xfId="0" applyNumberFormat="1" applyFont="1" applyBorder="1"/>
    <xf numFmtId="0" fontId="2" fillId="0" borderId="22" xfId="0" applyFont="1" applyBorder="1"/>
    <xf numFmtId="165" fontId="2" fillId="0" borderId="22" xfId="0" applyNumberFormat="1" applyFont="1" applyBorder="1"/>
    <xf numFmtId="165" fontId="2" fillId="0" borderId="19" xfId="0" applyNumberFormat="1" applyFont="1" applyBorder="1"/>
    <xf numFmtId="0" fontId="0" fillId="0" borderId="23" xfId="0" applyBorder="1"/>
    <xf numFmtId="0" fontId="2" fillId="0" borderId="11" xfId="0" applyFont="1" applyFill="1" applyBorder="1"/>
    <xf numFmtId="164" fontId="2" fillId="0" borderId="9" xfId="0" applyNumberFormat="1" applyFont="1" applyBorder="1"/>
    <xf numFmtId="0" fontId="2" fillId="0" borderId="4" xfId="0" applyFont="1" applyBorder="1"/>
    <xf numFmtId="0" fontId="2" fillId="0" borderId="4" xfId="0" applyFont="1" applyFill="1" applyBorder="1"/>
    <xf numFmtId="165" fontId="2" fillId="0" borderId="4" xfId="0" applyNumberFormat="1" applyFont="1" applyBorder="1"/>
    <xf numFmtId="165" fontId="2" fillId="0" borderId="4" xfId="0" applyNumberFormat="1" applyFont="1" applyFill="1" applyBorder="1"/>
    <xf numFmtId="0" fontId="2" fillId="0" borderId="24" xfId="0" applyFont="1" applyFill="1" applyBorder="1"/>
    <xf numFmtId="164" fontId="2" fillId="0" borderId="10" xfId="0" applyNumberFormat="1" applyFont="1" applyBorder="1" applyAlignment="1">
      <alignment horizontal="right"/>
    </xf>
    <xf numFmtId="0" fontId="2" fillId="0" borderId="25" xfId="0" applyFont="1" applyFill="1" applyBorder="1"/>
    <xf numFmtId="165" fontId="2" fillId="0" borderId="25" xfId="0" applyNumberFormat="1" applyFont="1" applyFill="1" applyBorder="1"/>
    <xf numFmtId="165" fontId="2" fillId="0" borderId="25" xfId="0" applyNumberFormat="1" applyFont="1" applyBorder="1"/>
    <xf numFmtId="0" fontId="6" fillId="0" borderId="19" xfId="0" applyFont="1" applyFill="1" applyBorder="1"/>
    <xf numFmtId="164" fontId="2" fillId="0" borderId="9" xfId="0" applyNumberFormat="1" applyFont="1" applyFill="1" applyBorder="1"/>
    <xf numFmtId="0" fontId="1" fillId="0" borderId="0" xfId="0" applyFont="1" applyBorder="1" applyAlignment="1">
      <alignment horizontal="center"/>
    </xf>
    <xf numFmtId="165" fontId="2" fillId="0" borderId="1" xfId="0" applyNumberFormat="1" applyFont="1" applyFill="1" applyBorder="1"/>
    <xf numFmtId="0" fontId="1" fillId="0" borderId="7" xfId="0" applyFont="1" applyBorder="1" applyAlignment="1">
      <alignment horizontal="center" vertical="center"/>
    </xf>
    <xf numFmtId="0" fontId="2" fillId="0" borderId="28" xfId="0" applyFont="1" applyFill="1" applyBorder="1"/>
    <xf numFmtId="0" fontId="2" fillId="0" borderId="22" xfId="0" applyFont="1" applyBorder="1" applyAlignment="1">
      <alignment horizontal="center"/>
    </xf>
    <xf numFmtId="0" fontId="2" fillId="0" borderId="22" xfId="0" applyFont="1" applyFill="1" applyBorder="1" applyAlignment="1">
      <alignment horizontal="left"/>
    </xf>
    <xf numFmtId="165" fontId="2" fillId="0" borderId="22" xfId="0" applyNumberFormat="1" applyFont="1" applyFill="1" applyBorder="1"/>
    <xf numFmtId="0" fontId="2" fillId="0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1" xfId="0" applyFont="1" applyBorder="1"/>
    <xf numFmtId="0" fontId="2" fillId="0" borderId="4" xfId="0" applyFont="1" applyFill="1" applyBorder="1" applyAlignment="1">
      <alignment horizontal="center"/>
    </xf>
    <xf numFmtId="0" fontId="2" fillId="0" borderId="19" xfId="0" applyFont="1" applyBorder="1" applyAlignment="1">
      <alignment horizontal="center"/>
    </xf>
    <xf numFmtId="165" fontId="2" fillId="0" borderId="29" xfId="0" applyNumberFormat="1" applyFont="1" applyBorder="1"/>
    <xf numFmtId="0" fontId="10" fillId="0" borderId="0" xfId="2"/>
    <xf numFmtId="0" fontId="10" fillId="0" borderId="0" xfId="2" applyAlignment="1">
      <alignment horizontal="left"/>
    </xf>
    <xf numFmtId="0" fontId="11" fillId="0" borderId="1" xfId="0" applyFont="1" applyBorder="1" applyAlignment="1">
      <alignment horizontal="left" vertical="center"/>
    </xf>
    <xf numFmtId="166" fontId="2" fillId="0" borderId="3" xfId="0" applyNumberFormat="1" applyFont="1" applyBorder="1"/>
    <xf numFmtId="166" fontId="2" fillId="0" borderId="29" xfId="0" applyNumberFormat="1" applyFont="1" applyBorder="1"/>
    <xf numFmtId="166" fontId="2" fillId="0" borderId="29" xfId="0" applyNumberFormat="1" applyFont="1" applyBorder="1" applyAlignment="1">
      <alignment horizontal="center"/>
    </xf>
    <xf numFmtId="20" fontId="2" fillId="0" borderId="15" xfId="0" applyNumberFormat="1" applyFont="1" applyBorder="1"/>
    <xf numFmtId="164" fontId="2" fillId="0" borderId="1" xfId="0" applyNumberFormat="1" applyFont="1" applyBorder="1"/>
    <xf numFmtId="0" fontId="2" fillId="0" borderId="19" xfId="0" applyFont="1" applyBorder="1"/>
    <xf numFmtId="164" fontId="2" fillId="0" borderId="2" xfId="0" applyNumberFormat="1" applyFont="1" applyFill="1" applyBorder="1"/>
    <xf numFmtId="164" fontId="6" fillId="0" borderId="2" xfId="0" applyNumberFormat="1" applyFont="1" applyFill="1" applyBorder="1"/>
    <xf numFmtId="20" fontId="2" fillId="0" borderId="7" xfId="0" applyNumberFormat="1" applyFont="1" applyBorder="1"/>
    <xf numFmtId="0" fontId="2" fillId="0" borderId="1" xfId="0" applyFont="1" applyFill="1" applyBorder="1" applyAlignment="1">
      <alignment horizontal="left"/>
    </xf>
    <xf numFmtId="0" fontId="0" fillId="0" borderId="6" xfId="0" applyFill="1" applyBorder="1"/>
    <xf numFmtId="0" fontId="8" fillId="0" borderId="0" xfId="0" applyFont="1"/>
    <xf numFmtId="0" fontId="5" fillId="0" borderId="0" xfId="0" applyFont="1"/>
    <xf numFmtId="166" fontId="0" fillId="0" borderId="1" xfId="0" applyNumberFormat="1" applyBorder="1"/>
    <xf numFmtId="0" fontId="13" fillId="0" borderId="0" xfId="3" applyFont="1" applyAlignment="1">
      <alignment vertical="center"/>
    </xf>
    <xf numFmtId="0" fontId="13" fillId="0" borderId="31" xfId="3" applyFont="1" applyBorder="1" applyAlignment="1">
      <alignment vertical="center" wrapText="1"/>
    </xf>
    <xf numFmtId="0" fontId="5" fillId="0" borderId="1" xfId="0" applyFont="1" applyBorder="1"/>
    <xf numFmtId="167" fontId="0" fillId="0" borderId="1" xfId="1" applyNumberFormat="1" applyFont="1" applyBorder="1"/>
    <xf numFmtId="0" fontId="13" fillId="0" borderId="0" xfId="3" applyFont="1" applyAlignment="1">
      <alignment vertical="center" wrapText="1"/>
    </xf>
    <xf numFmtId="0" fontId="13" fillId="0" borderId="32" xfId="3" applyFont="1" applyBorder="1" applyAlignment="1">
      <alignment vertical="center"/>
    </xf>
    <xf numFmtId="0" fontId="13" fillId="0" borderId="0" xfId="3" applyFont="1"/>
    <xf numFmtId="164" fontId="2" fillId="0" borderId="21" xfId="0" applyNumberFormat="1" applyFont="1" applyFill="1" applyBorder="1"/>
    <xf numFmtId="0" fontId="2" fillId="0" borderId="22" xfId="0" applyFont="1" applyFill="1" applyBorder="1"/>
    <xf numFmtId="166" fontId="2" fillId="0" borderId="3" xfId="0" applyNumberFormat="1" applyFont="1" applyFill="1" applyBorder="1"/>
    <xf numFmtId="0" fontId="0" fillId="0" borderId="0" xfId="0" applyFill="1"/>
    <xf numFmtId="0" fontId="1" fillId="0" borderId="0" xfId="0" applyFont="1" applyBorder="1" applyAlignment="1">
      <alignment horizontal="center"/>
    </xf>
    <xf numFmtId="0" fontId="1" fillId="0" borderId="25" xfId="0" applyFont="1" applyBorder="1" applyAlignment="1">
      <alignment horizontal="center" vertical="top" wrapText="1"/>
    </xf>
    <xf numFmtId="0" fontId="2" fillId="0" borderId="1" xfId="0" applyFont="1" applyFill="1" applyBorder="1" applyAlignment="1">
      <alignment horizontal="center"/>
    </xf>
    <xf numFmtId="164" fontId="2" fillId="0" borderId="10" xfId="0" applyNumberFormat="1" applyFont="1" applyFill="1" applyBorder="1"/>
    <xf numFmtId="0" fontId="2" fillId="0" borderId="7" xfId="0" applyFont="1" applyFill="1" applyBorder="1"/>
    <xf numFmtId="0" fontId="2" fillId="0" borderId="7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left"/>
    </xf>
    <xf numFmtId="164" fontId="2" fillId="0" borderId="17" xfId="0" applyNumberFormat="1" applyFont="1" applyFill="1" applyBorder="1"/>
    <xf numFmtId="0" fontId="2" fillId="0" borderId="2" xfId="0" applyFont="1" applyFill="1" applyBorder="1"/>
    <xf numFmtId="164" fontId="2" fillId="0" borderId="9" xfId="0" applyNumberFormat="1" applyFont="1" applyFill="1" applyBorder="1" applyAlignment="1">
      <alignment horizontal="right"/>
    </xf>
    <xf numFmtId="0" fontId="0" fillId="0" borderId="1" xfId="0" applyFill="1" applyBorder="1"/>
    <xf numFmtId="0" fontId="2" fillId="0" borderId="12" xfId="0" applyFont="1" applyFill="1" applyBorder="1"/>
    <xf numFmtId="165" fontId="2" fillId="0" borderId="29" xfId="0" applyNumberFormat="1" applyFont="1" applyFill="1" applyBorder="1"/>
    <xf numFmtId="0" fontId="1" fillId="0" borderId="25" xfId="0" applyFont="1" applyBorder="1" applyAlignment="1">
      <alignment vertical="top" wrapText="1"/>
    </xf>
    <xf numFmtId="167" fontId="2" fillId="0" borderId="29" xfId="1" applyNumberFormat="1" applyFont="1" applyBorder="1"/>
    <xf numFmtId="0" fontId="15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wrapText="1"/>
    </xf>
    <xf numFmtId="0" fontId="14" fillId="0" borderId="0" xfId="3" applyFont="1" applyAlignment="1">
      <alignment vertical="center"/>
    </xf>
    <xf numFmtId="0" fontId="13" fillId="0" borderId="1" xfId="3" applyFont="1" applyBorder="1" applyAlignment="1">
      <alignment vertical="center"/>
    </xf>
    <xf numFmtId="0" fontId="14" fillId="0" borderId="1" xfId="3" applyFont="1" applyBorder="1" applyAlignment="1">
      <alignment vertical="center"/>
    </xf>
    <xf numFmtId="168" fontId="0" fillId="0" borderId="0" xfId="4" applyNumberFormat="1" applyFont="1" applyBorder="1"/>
    <xf numFmtId="41" fontId="0" fillId="0" borderId="0" xfId="4" applyFont="1"/>
    <xf numFmtId="41" fontId="0" fillId="0" borderId="0" xfId="0" applyNumberFormat="1"/>
    <xf numFmtId="167" fontId="5" fillId="0" borderId="1" xfId="1" applyNumberFormat="1" applyFont="1" applyBorder="1"/>
    <xf numFmtId="0" fontId="1" fillId="0" borderId="4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15" fontId="4" fillId="0" borderId="18" xfId="0" applyNumberFormat="1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/>
    </xf>
    <xf numFmtId="0" fontId="1" fillId="0" borderId="11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30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34" xfId="0" applyFont="1" applyBorder="1" applyAlignment="1">
      <alignment horizontal="center" vertical="top" wrapText="1"/>
    </xf>
    <xf numFmtId="0" fontId="1" fillId="0" borderId="35" xfId="0" applyFont="1" applyBorder="1" applyAlignment="1">
      <alignment horizontal="center" vertical="top" wrapText="1"/>
    </xf>
    <xf numFmtId="0" fontId="10" fillId="0" borderId="0" xfId="2" applyAlignment="1">
      <alignment horizontal="center"/>
    </xf>
  </cellXfs>
  <cellStyles count="5">
    <cellStyle name="Comma [0]" xfId="4" builtinId="6"/>
    <cellStyle name="Normal" xfId="0" builtinId="0"/>
    <cellStyle name="Normal 2" xfId="2" xr:uid="{00000000-0005-0000-0000-000001000000}"/>
    <cellStyle name="Normal 2 2" xfId="3" xr:uid="{00000000-0005-0000-0000-00000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/>
              <a:t>Truck Composition for Mbarara - Kasese</a:t>
            </a:r>
            <a:r>
              <a:rPr lang="en-US" sz="1400" b="1" baseline="0"/>
              <a:t> Highway</a:t>
            </a:r>
            <a:endParaRPr lang="en-US" sz="1400" b="1"/>
          </a:p>
        </c:rich>
      </c:tx>
      <c:layout>
        <c:manualLayout>
          <c:xMode val="edge"/>
          <c:yMode val="edge"/>
          <c:x val="0.18979532600532667"/>
          <c:y val="4.56442527608693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374999999999999"/>
          <c:y val="0.13726649305555555"/>
          <c:w val="0.8525880758807588"/>
          <c:h val="0.7354173342402282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Graphs!$C$4</c:f>
              <c:strCache>
                <c:ptCount val="1"/>
                <c:pt idx="0">
                  <c:v>Mbarara-Kasese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explosion val="4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DC-4E2B-82D2-5C0571798A31}"/>
              </c:ext>
            </c:extLst>
          </c:dPt>
          <c:dPt>
            <c:idx val="1"/>
            <c:invertIfNegative val="0"/>
            <c:bubble3D val="0"/>
            <c:explosion val="16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2DC-4E2B-82D2-5C0571798A31}"/>
              </c:ext>
            </c:extLst>
          </c:dPt>
          <c:dPt>
            <c:idx val="2"/>
            <c:invertIfNegative val="0"/>
            <c:bubble3D val="0"/>
            <c:explosion val="19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2DC-4E2B-82D2-5C0571798A31}"/>
              </c:ext>
            </c:extLst>
          </c:dPt>
          <c:cat>
            <c:strRef>
              <c:f>Graphs!$B$5:$B$7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Graphs!$C$5:$C$7</c:f>
              <c:numCache>
                <c:formatCode>General</c:formatCode>
                <c:ptCount val="3"/>
                <c:pt idx="0">
                  <c:v>15</c:v>
                </c:pt>
                <c:pt idx="1">
                  <c:v>3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DC-4E2B-82D2-5C0571798A31}"/>
            </c:ext>
          </c:extLst>
        </c:ser>
        <c:ser>
          <c:idx val="1"/>
          <c:order val="1"/>
          <c:tx>
            <c:strRef>
              <c:f>Graphs!$D$4</c:f>
              <c:strCache>
                <c:ptCount val="1"/>
                <c:pt idx="0">
                  <c:v>Kasese-Mbarara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val>
            <c:numRef>
              <c:f>Graphs!$D$5:$D$7</c:f>
              <c:numCache>
                <c:formatCode>General</c:formatCode>
                <c:ptCount val="3"/>
                <c:pt idx="0">
                  <c:v>11</c:v>
                </c:pt>
                <c:pt idx="1">
                  <c:v>0</c:v>
                </c:pt>
                <c:pt idx="2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2DC-4E2B-82D2-5C0571798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735989920"/>
        <c:axId val="624706576"/>
      </c:barChart>
      <c:catAx>
        <c:axId val="73598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4706576"/>
        <c:crosses val="autoZero"/>
        <c:auto val="1"/>
        <c:lblAlgn val="ctr"/>
        <c:lblOffset val="100"/>
        <c:noMultiLvlLbl val="0"/>
      </c:catAx>
      <c:valAx>
        <c:axId val="62470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</a:rPr>
                  <a:t>Truck</a:t>
                </a:r>
                <a:r>
                  <a:rPr lang="en-US" sz="1200" b="1" baseline="0">
                    <a:solidFill>
                      <a:sysClr val="windowText" lastClr="000000"/>
                    </a:solidFill>
                  </a:rPr>
                  <a:t> Composition</a:t>
                </a:r>
                <a:endParaRPr lang="en-US" sz="1200" b="1">
                  <a:solidFill>
                    <a:sysClr val="windowText" lastClr="000000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73598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Average Truck Loading (Mbarara-Kasese Higwhay)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Mbarara-Kasese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Graphs!$C$29:$C$31</c:f>
              <c:numCache>
                <c:formatCode>0.0</c:formatCode>
                <c:ptCount val="3"/>
                <c:pt idx="0">
                  <c:v>13.550000000000002</c:v>
                </c:pt>
                <c:pt idx="1">
                  <c:v>24.566666666666666</c:v>
                </c:pt>
                <c:pt idx="2">
                  <c:v>40.173333333333325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13-41E1-9C39-933ABD96271E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Kasese-Mbarara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Graphs!$D$29:$D$31</c:f>
              <c:numCache>
                <c:formatCode>0.0</c:formatCode>
                <c:ptCount val="3"/>
                <c:pt idx="0">
                  <c:v>15.459090909090911</c:v>
                </c:pt>
                <c:pt idx="1">
                  <c:v>0</c:v>
                </c:pt>
                <c:pt idx="2">
                  <c:v>44.40143902439025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13-41E1-9C39-933ABD96271E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Graphs!$E$29:$E$31</c:f>
              <c:numCache>
                <c:formatCode>0.0</c:formatCode>
                <c:ptCount val="3"/>
                <c:pt idx="0">
                  <c:v>14.504545454545458</c:v>
                </c:pt>
                <c:pt idx="1">
                  <c:v>12.283333333333333</c:v>
                </c:pt>
                <c:pt idx="2">
                  <c:v>42.287386178861787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13-41E1-9C39-933ABD96271E}"/>
            </c:ext>
          </c:extLst>
        </c:ser>
        <c:ser>
          <c:idx val="3"/>
          <c:order val="3"/>
          <c:tx>
            <c:strRef>
              <c:f>Graphs!$F$28</c:f>
              <c:strCache>
                <c:ptCount val="1"/>
                <c:pt idx="0">
                  <c:v>Veh. Load Limit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Graphs!$F$29:$F$31</c:f>
              <c:numCache>
                <c:formatCode>General</c:formatCode>
                <c:ptCount val="3"/>
                <c:pt idx="0">
                  <c:v>18</c:v>
                </c:pt>
                <c:pt idx="1">
                  <c:v>27</c:v>
                </c:pt>
                <c:pt idx="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13-41E1-9C39-933ABD9627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Truck Loading (Ton)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ysClr val="windowText" lastClr="000000"/>
                </a:solidFill>
              </a:rPr>
              <a:t>Average Proportion of Overloaded Trucks (Mbarara-Kasese)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Graphs!$C$28</c:f>
              <c:strCache>
                <c:ptCount val="1"/>
                <c:pt idx="0">
                  <c:v>Mbarara-Kasese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Graphs!$C$57:$C$59</c:f>
              <c:numCache>
                <c:formatCode>0.0%</c:formatCode>
                <c:ptCount val="3"/>
                <c:pt idx="0">
                  <c:v>0.4</c:v>
                </c:pt>
                <c:pt idx="1">
                  <c:v>1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5-4AC9-8A35-444C9A7D691B}"/>
            </c:ext>
          </c:extLst>
        </c:ser>
        <c:ser>
          <c:idx val="1"/>
          <c:order val="1"/>
          <c:tx>
            <c:strRef>
              <c:f>Graphs!$D$28</c:f>
              <c:strCache>
                <c:ptCount val="1"/>
                <c:pt idx="0">
                  <c:v>Kasese-Mbarara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Graphs!$D$57:$D$59</c:f>
              <c:numCache>
                <c:formatCode>0.0%</c:formatCode>
                <c:ptCount val="3"/>
                <c:pt idx="0">
                  <c:v>0.72727272727272729</c:v>
                </c:pt>
                <c:pt idx="1">
                  <c:v>0</c:v>
                </c:pt>
                <c:pt idx="2">
                  <c:v>0.29268292682926828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5-4AC9-8A35-444C9A7D691B}"/>
            </c:ext>
          </c:extLst>
        </c:ser>
        <c:ser>
          <c:idx val="2"/>
          <c:order val="2"/>
          <c:tx>
            <c:strRef>
              <c:f>Graphs!$E$28</c:f>
              <c:strCache>
                <c:ptCount val="1"/>
                <c:pt idx="0">
                  <c:v>Both Directions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Graphs!$B$29:$B$31</c:f>
              <c:strCache>
                <c:ptCount val="3"/>
                <c:pt idx="0">
                  <c:v>Light/Medium Trucks</c:v>
                </c:pt>
                <c:pt idx="1">
                  <c:v>Heavy Trucks</c:v>
                </c:pt>
                <c:pt idx="2">
                  <c:v>Truck/Trailer</c:v>
                </c:pt>
              </c:strCache>
            </c:strRef>
          </c:cat>
          <c:val>
            <c:numRef>
              <c:f>Graphs!$E$57:$E$59</c:f>
              <c:numCache>
                <c:formatCode>0.0%</c:formatCode>
                <c:ptCount val="3"/>
                <c:pt idx="0">
                  <c:v>0.56363636363636371</c:v>
                </c:pt>
                <c:pt idx="1">
                  <c:v>0.5</c:v>
                </c:pt>
                <c:pt idx="2">
                  <c:v>0.34634146341463412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025-4AC9-8A35-444C9A7D69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7"/>
        <c:axId val="663656440"/>
        <c:axId val="663661032"/>
      </c:barChart>
      <c:catAx>
        <c:axId val="6636564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63661032"/>
        <c:crosses val="autoZero"/>
        <c:auto val="1"/>
        <c:lblAlgn val="ctr"/>
        <c:lblOffset val="100"/>
        <c:noMultiLvlLbl val="0"/>
      </c:catAx>
      <c:valAx>
        <c:axId val="663661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 b="1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Percentage of Overloading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G"/>
          </a:p>
        </c:txPr>
        <c:crossAx val="663656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Percentage By Which Vehicles Are</a:t>
            </a:r>
            <a:r>
              <a:rPr lang="en-US" sz="1400" b="1" baseline="0">
                <a:solidFill>
                  <a:sysClr val="windowText" lastClr="000000"/>
                </a:solidFill>
              </a:rPr>
              <a:t> Overloaded (Mbarara-Kasese)</a:t>
            </a:r>
            <a:endParaRPr lang="en-US" sz="14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2413569001226599"/>
          <c:y val="9.7963675213675216E-2"/>
          <c:w val="0.82436564718183825"/>
          <c:h val="0.6738940170940170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Graphs!$N$40</c:f>
              <c:strCache>
                <c:ptCount val="1"/>
                <c:pt idx="0">
                  <c:v>Mbarara-Kasese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Graphs!$N$41:$N$44</c:f>
              <c:numCache>
                <c:formatCode>0.0%</c:formatCode>
                <c:ptCount val="4"/>
                <c:pt idx="0">
                  <c:v>0.79166666666666663</c:v>
                </c:pt>
                <c:pt idx="1">
                  <c:v>0.1875</c:v>
                </c:pt>
                <c:pt idx="2">
                  <c:v>0</c:v>
                </c:pt>
                <c:pt idx="3">
                  <c:v>2.0833333333333332E-2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2A-4005-8DF3-1DBEE2F84EF2}"/>
            </c:ext>
          </c:extLst>
        </c:ser>
        <c:ser>
          <c:idx val="1"/>
          <c:order val="1"/>
          <c:tx>
            <c:strRef>
              <c:f>Graphs!$O$40</c:f>
              <c:strCache>
                <c:ptCount val="1"/>
                <c:pt idx="0">
                  <c:v>Kasese-Mbarara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Graphs!$M$41:$M$44</c:f>
              <c:strCache>
                <c:ptCount val="4"/>
                <c:pt idx="0">
                  <c:v>0-4.9%</c:v>
                </c:pt>
                <c:pt idx="1">
                  <c:v>5-25%</c:v>
                </c:pt>
                <c:pt idx="2">
                  <c:v>25-50%</c:v>
                </c:pt>
                <c:pt idx="3">
                  <c:v>Over 50%</c:v>
                </c:pt>
              </c:strCache>
            </c:strRef>
          </c:cat>
          <c:val>
            <c:numRef>
              <c:f>Graphs!$O$41:$O$44</c:f>
              <c:numCache>
                <c:formatCode>0.0%</c:formatCode>
                <c:ptCount val="4"/>
                <c:pt idx="0">
                  <c:v>0.71153846153846156</c:v>
                </c:pt>
                <c:pt idx="1">
                  <c:v>0.28846153846153844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2A-4005-8DF3-1DBEE2F84EF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9"/>
        <c:axId val="620641328"/>
        <c:axId val="620643624"/>
      </c:barChart>
      <c:catAx>
        <c:axId val="62064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3624"/>
        <c:crosses val="autoZero"/>
        <c:auto val="1"/>
        <c:lblAlgn val="ctr"/>
        <c:lblOffset val="100"/>
        <c:noMultiLvlLbl val="0"/>
      </c:catAx>
      <c:valAx>
        <c:axId val="620643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solidFill>
                      <a:sysClr val="windowText" lastClr="000000"/>
                    </a:solidFill>
                  </a:rPr>
                  <a:t>Percentage By Which Overloaded</a:t>
                </a:r>
              </a:p>
            </c:rich>
          </c:tx>
          <c:layout>
            <c:manualLayout>
              <c:xMode val="edge"/>
              <c:yMode val="edge"/>
              <c:x val="0.36296796766604333"/>
              <c:y val="0.84897222222222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2064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1">
                <a:solidFill>
                  <a:sysClr val="windowText" lastClr="000000"/>
                </a:solidFill>
              </a:rPr>
              <a:t>Load Description (Mbarara-Kasese Highway)</a:t>
            </a:r>
          </a:p>
        </c:rich>
      </c:tx>
      <c:layout>
        <c:manualLayout>
          <c:xMode val="edge"/>
          <c:yMode val="edge"/>
          <c:x val="0.32064069134850776"/>
          <c:y val="1.6836638994111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Graphs!$M$4</c:f>
              <c:strCache>
                <c:ptCount val="1"/>
                <c:pt idx="0">
                  <c:v>Mbarara-Kasese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Graphs!$M$5:$M$15</c:f>
              <c:numCache>
                <c:formatCode>0.0%</c:formatCode>
                <c:ptCount val="11"/>
                <c:pt idx="0">
                  <c:v>0</c:v>
                </c:pt>
                <c:pt idx="1">
                  <c:v>0.125</c:v>
                </c:pt>
                <c:pt idx="2">
                  <c:v>0.14583333333333334</c:v>
                </c:pt>
                <c:pt idx="3">
                  <c:v>0</c:v>
                </c:pt>
                <c:pt idx="4">
                  <c:v>6.25E-2</c:v>
                </c:pt>
                <c:pt idx="5">
                  <c:v>6.25E-2</c:v>
                </c:pt>
                <c:pt idx="6">
                  <c:v>0</c:v>
                </c:pt>
                <c:pt idx="7">
                  <c:v>6.25E-2</c:v>
                </c:pt>
                <c:pt idx="8">
                  <c:v>0.5</c:v>
                </c:pt>
                <c:pt idx="9">
                  <c:v>4.1666666666666664E-2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5E-48B8-BF27-37527D59B1FF}"/>
            </c:ext>
          </c:extLst>
        </c:ser>
        <c:ser>
          <c:idx val="1"/>
          <c:order val="1"/>
          <c:tx>
            <c:strRef>
              <c:f>Graphs!$N$4</c:f>
              <c:strCache>
                <c:ptCount val="1"/>
                <c:pt idx="0">
                  <c:v>Kasese-Mbarara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Graphs!$L$5:$L$15</c:f>
              <c:strCache>
                <c:ptCount val="11"/>
                <c:pt idx="0">
                  <c:v>Agricultural produce</c:v>
                </c:pt>
                <c:pt idx="1">
                  <c:v>Perishable</c:v>
                </c:pt>
                <c:pt idx="2">
                  <c:v>Construction Material</c:v>
                </c:pt>
                <c:pt idx="3">
                  <c:v>Metal/machinery</c:v>
                </c:pt>
                <c:pt idx="4">
                  <c:v>Forestry products</c:v>
                </c:pt>
                <c:pt idx="5">
                  <c:v>Fuels</c:v>
                </c:pt>
                <c:pt idx="6">
                  <c:v>Chemical Products</c:v>
                </c:pt>
                <c:pt idx="7">
                  <c:v>Livestock</c:v>
                </c:pt>
                <c:pt idx="8">
                  <c:v>Household retail products</c:v>
                </c:pt>
                <c:pt idx="9">
                  <c:v>Empty</c:v>
                </c:pt>
                <c:pt idx="10">
                  <c:v>Others</c:v>
                </c:pt>
              </c:strCache>
            </c:strRef>
          </c:cat>
          <c:val>
            <c:numRef>
              <c:f>Graphs!$N$5:$N$15</c:f>
              <c:numCache>
                <c:formatCode>0.0%</c:formatCode>
                <c:ptCount val="11"/>
                <c:pt idx="0">
                  <c:v>7.6923076923076927E-2</c:v>
                </c:pt>
                <c:pt idx="1">
                  <c:v>0</c:v>
                </c:pt>
                <c:pt idx="2">
                  <c:v>0.84615384615384615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3.8461538461538464E-2</c:v>
                </c:pt>
                <c:pt idx="9">
                  <c:v>3.8461538461538464E-2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5E-48B8-BF27-37527D59B1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92"/>
        <c:axId val="619720880"/>
        <c:axId val="619721536"/>
      </c:barChart>
      <c:catAx>
        <c:axId val="61972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1536"/>
        <c:crosses val="autoZero"/>
        <c:auto val="1"/>
        <c:lblAlgn val="ctr"/>
        <c:lblOffset val="100"/>
        <c:noMultiLvlLbl val="0"/>
      </c:catAx>
      <c:valAx>
        <c:axId val="61972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G"/>
          </a:p>
        </c:txPr>
        <c:crossAx val="61972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G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178800" y="381000"/>
          <a:ext cx="1236980" cy="40894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3C1A7-D46A-4925-BF24-AB5D15CE5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039600" y="190500"/>
          <a:ext cx="1478280" cy="405765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4806D1-2D1D-4F05-BB74-642BB7E0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2039600" y="190500"/>
          <a:ext cx="1478280" cy="40576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5789EE-BF23-4D5B-878F-EB46F5744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172450" y="381000"/>
          <a:ext cx="1230630" cy="405765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266700</xdr:colOff>
      <xdr:row>2</xdr:row>
      <xdr:rowOff>0</xdr:rowOff>
    </xdr:from>
    <xdr:to>
      <xdr:col>13</xdr:col>
      <xdr:colOff>297180</xdr:colOff>
      <xdr:row>4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BC804-6FE9-4B72-A630-D184717AB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8172450" y="381000"/>
          <a:ext cx="1230630" cy="405765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12314</xdr:colOff>
      <xdr:row>2</xdr:row>
      <xdr:rowOff>165870</xdr:rowOff>
    </xdr:from>
    <xdr:to>
      <xdr:col>9</xdr:col>
      <xdr:colOff>1047981</xdr:colOff>
      <xdr:row>25</xdr:row>
      <xdr:rowOff>117203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34B0EC-F6B7-4764-8FD9-E56F0365F1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14429</xdr:colOff>
      <xdr:row>26</xdr:row>
      <xdr:rowOff>160095</xdr:rowOff>
    </xdr:from>
    <xdr:to>
      <xdr:col>9</xdr:col>
      <xdr:colOff>1050096</xdr:colOff>
      <xdr:row>51</xdr:row>
      <xdr:rowOff>5595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2B3FBA-8316-4000-B919-F686B9FD89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14622</xdr:colOff>
      <xdr:row>53</xdr:row>
      <xdr:rowOff>61672</xdr:rowOff>
    </xdr:from>
    <xdr:to>
      <xdr:col>9</xdr:col>
      <xdr:colOff>1063144</xdr:colOff>
      <xdr:row>77</xdr:row>
      <xdr:rowOff>127480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329BAF-D901-440F-A376-7DF19E37C9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602287</xdr:colOff>
      <xdr:row>44</xdr:row>
      <xdr:rowOff>29346</xdr:rowOff>
    </xdr:from>
    <xdr:to>
      <xdr:col>21</xdr:col>
      <xdr:colOff>444500</xdr:colOff>
      <xdr:row>68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E0102B-0B54-4B0C-830F-84A8DFB37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69273</xdr:colOff>
      <xdr:row>1</xdr:row>
      <xdr:rowOff>65806</xdr:rowOff>
    </xdr:from>
    <xdr:to>
      <xdr:col>23</xdr:col>
      <xdr:colOff>398318</xdr:colOff>
      <xdr:row>36</xdr:row>
      <xdr:rowOff>142875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8B8C7E8-3949-4AA7-84B3-02E7B249C4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421821</xdr:colOff>
      <xdr:row>1</xdr:row>
      <xdr:rowOff>149678</xdr:rowOff>
    </xdr:from>
    <xdr:to>
      <xdr:col>20</xdr:col>
      <xdr:colOff>555170</xdr:colOff>
      <xdr:row>28</xdr:row>
      <xdr:rowOff>62593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FE794488-6806-40D2-8B71-151B04BA4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37296" y="311603"/>
          <a:ext cx="3181349" cy="42848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22</xdr:col>
      <xdr:colOff>485775</xdr:colOff>
      <xdr:row>1</xdr:row>
      <xdr:rowOff>57149</xdr:rowOff>
    </xdr:from>
    <xdr:to>
      <xdr:col>31</xdr:col>
      <xdr:colOff>464910</xdr:colOff>
      <xdr:row>44</xdr:row>
      <xdr:rowOff>52887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D0A12A6-AB0E-4C93-820D-FD612B64A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68450" y="219074"/>
          <a:ext cx="5465535" cy="71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5-BOMBO%20RO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Y1"/>
      <sheetName val="DAY2"/>
      <sheetName val="DAY3"/>
      <sheetName val="Kla-Bombo"/>
      <sheetName val="Bombo-Kla"/>
      <sheetName val="Graphs"/>
      <sheetName val="KEY"/>
      <sheetName val="Desc"/>
    </sheetNames>
    <sheetDataSet>
      <sheetData sheetId="0"/>
      <sheetData sheetId="1"/>
      <sheetData sheetId="2"/>
      <sheetData sheetId="3">
        <row r="7">
          <cell r="W7" t="str">
            <v>N</v>
          </cell>
        </row>
        <row r="8">
          <cell r="W8" t="str">
            <v>N</v>
          </cell>
        </row>
        <row r="9">
          <cell r="W9" t="str">
            <v>N</v>
          </cell>
        </row>
        <row r="10">
          <cell r="W10" t="str">
            <v>N</v>
          </cell>
        </row>
        <row r="11">
          <cell r="W11" t="str">
            <v>N</v>
          </cell>
        </row>
        <row r="12">
          <cell r="W12" t="str">
            <v>N</v>
          </cell>
        </row>
        <row r="13">
          <cell r="W13" t="str">
            <v>N</v>
          </cell>
        </row>
        <row r="14">
          <cell r="W14" t="str">
            <v>N</v>
          </cell>
        </row>
        <row r="15">
          <cell r="W15" t="str">
            <v>N</v>
          </cell>
        </row>
        <row r="16">
          <cell r="W16" t="str">
            <v>N</v>
          </cell>
        </row>
        <row r="17">
          <cell r="W17" t="str">
            <v>N</v>
          </cell>
        </row>
        <row r="18">
          <cell r="W18" t="str">
            <v>Y</v>
          </cell>
        </row>
        <row r="19">
          <cell r="W19" t="str">
            <v>N</v>
          </cell>
        </row>
        <row r="20">
          <cell r="W20" t="str">
            <v>N</v>
          </cell>
        </row>
        <row r="21">
          <cell r="W21" t="str">
            <v>N</v>
          </cell>
        </row>
        <row r="22">
          <cell r="W22" t="str">
            <v>N</v>
          </cell>
        </row>
        <row r="23">
          <cell r="W23" t="str">
            <v>Y</v>
          </cell>
        </row>
        <row r="24">
          <cell r="W24" t="str">
            <v>N</v>
          </cell>
        </row>
        <row r="25">
          <cell r="W25" t="str">
            <v>Y</v>
          </cell>
        </row>
        <row r="26">
          <cell r="W26" t="str">
            <v>N</v>
          </cell>
        </row>
        <row r="27">
          <cell r="W27" t="str">
            <v>N</v>
          </cell>
        </row>
        <row r="28">
          <cell r="W28" t="str">
            <v>Y</v>
          </cell>
        </row>
        <row r="29">
          <cell r="W29" t="str">
            <v>Y</v>
          </cell>
        </row>
        <row r="30">
          <cell r="W30" t="str">
            <v>Y</v>
          </cell>
        </row>
        <row r="31">
          <cell r="W31" t="str">
            <v>N</v>
          </cell>
        </row>
        <row r="32">
          <cell r="W32" t="str">
            <v>N</v>
          </cell>
        </row>
        <row r="33">
          <cell r="W33" t="str">
            <v>N</v>
          </cell>
        </row>
        <row r="34">
          <cell r="W34" t="str">
            <v>N</v>
          </cell>
        </row>
        <row r="35">
          <cell r="W35" t="str">
            <v>Y</v>
          </cell>
        </row>
        <row r="36">
          <cell r="W36" t="str">
            <v>N</v>
          </cell>
        </row>
        <row r="37">
          <cell r="W37" t="str">
            <v>N</v>
          </cell>
        </row>
        <row r="38">
          <cell r="W38" t="str">
            <v>N</v>
          </cell>
        </row>
        <row r="39">
          <cell r="W39" t="str">
            <v>N</v>
          </cell>
        </row>
        <row r="40">
          <cell r="W40" t="str">
            <v>Y</v>
          </cell>
        </row>
        <row r="41">
          <cell r="W41" t="str">
            <v>N</v>
          </cell>
        </row>
        <row r="42">
          <cell r="W42" t="str">
            <v>N</v>
          </cell>
        </row>
        <row r="43">
          <cell r="W43" t="str">
            <v>Y</v>
          </cell>
        </row>
        <row r="44">
          <cell r="W44" t="str">
            <v>N</v>
          </cell>
        </row>
        <row r="45">
          <cell r="W45" t="str">
            <v>N</v>
          </cell>
        </row>
        <row r="46">
          <cell r="W46" t="str">
            <v>N</v>
          </cell>
        </row>
        <row r="47">
          <cell r="W47" t="str">
            <v>N</v>
          </cell>
        </row>
        <row r="48">
          <cell r="W48" t="str">
            <v>N</v>
          </cell>
        </row>
        <row r="49">
          <cell r="W49" t="str">
            <v>N</v>
          </cell>
        </row>
        <row r="50">
          <cell r="W50" t="str">
            <v>N</v>
          </cell>
        </row>
        <row r="51">
          <cell r="W51" t="str">
            <v>N</v>
          </cell>
        </row>
        <row r="52">
          <cell r="W52" t="str">
            <v>N</v>
          </cell>
        </row>
        <row r="53">
          <cell r="W53" t="str">
            <v>N</v>
          </cell>
        </row>
        <row r="54">
          <cell r="W54" t="str">
            <v>N</v>
          </cell>
        </row>
        <row r="55">
          <cell r="W55" t="str">
            <v>N</v>
          </cell>
        </row>
        <row r="56">
          <cell r="W56" t="str">
            <v>N</v>
          </cell>
        </row>
        <row r="57">
          <cell r="W57" t="str">
            <v>Y</v>
          </cell>
        </row>
        <row r="58">
          <cell r="W58" t="str">
            <v>Y</v>
          </cell>
        </row>
        <row r="59">
          <cell r="W59" t="str">
            <v>Y</v>
          </cell>
        </row>
        <row r="60">
          <cell r="W60" t="str">
            <v>N</v>
          </cell>
        </row>
        <row r="61">
          <cell r="W61" t="str">
            <v>Y</v>
          </cell>
        </row>
        <row r="62">
          <cell r="W62" t="str">
            <v>N</v>
          </cell>
        </row>
        <row r="63">
          <cell r="W63" t="str">
            <v>Y</v>
          </cell>
        </row>
        <row r="64">
          <cell r="W64" t="str">
            <v>N</v>
          </cell>
        </row>
        <row r="65">
          <cell r="W65" t="str">
            <v>N</v>
          </cell>
        </row>
        <row r="66">
          <cell r="W66" t="str">
            <v>N</v>
          </cell>
        </row>
        <row r="67">
          <cell r="W67" t="str">
            <v>N</v>
          </cell>
        </row>
        <row r="68">
          <cell r="W68" t="str">
            <v>Y</v>
          </cell>
        </row>
        <row r="69">
          <cell r="W69" t="str">
            <v>N</v>
          </cell>
        </row>
        <row r="70">
          <cell r="W70" t="str">
            <v>N</v>
          </cell>
        </row>
        <row r="71">
          <cell r="W71" t="str">
            <v>N</v>
          </cell>
        </row>
        <row r="72">
          <cell r="W72" t="str">
            <v>Y</v>
          </cell>
        </row>
        <row r="73">
          <cell r="W73" t="str">
            <v>N</v>
          </cell>
        </row>
        <row r="74">
          <cell r="W74" t="str">
            <v>N</v>
          </cell>
        </row>
        <row r="75">
          <cell r="W75" t="str">
            <v>N</v>
          </cell>
        </row>
        <row r="76">
          <cell r="W76" t="str">
            <v>Y</v>
          </cell>
        </row>
        <row r="77">
          <cell r="W77" t="str">
            <v>N</v>
          </cell>
        </row>
        <row r="78">
          <cell r="W78" t="str">
            <v>Y</v>
          </cell>
        </row>
        <row r="79">
          <cell r="W79" t="str">
            <v>N</v>
          </cell>
        </row>
        <row r="80">
          <cell r="W80" t="str">
            <v>N</v>
          </cell>
        </row>
        <row r="81">
          <cell r="W81" t="str">
            <v>N</v>
          </cell>
        </row>
        <row r="82">
          <cell r="W82" t="str">
            <v>N</v>
          </cell>
        </row>
        <row r="83">
          <cell r="W83" t="str">
            <v>Y</v>
          </cell>
        </row>
        <row r="84">
          <cell r="W84" t="str">
            <v>Y</v>
          </cell>
        </row>
        <row r="85">
          <cell r="W85" t="str">
            <v>N</v>
          </cell>
        </row>
        <row r="86">
          <cell r="W86" t="str">
            <v>Y</v>
          </cell>
        </row>
        <row r="87">
          <cell r="W87" t="str">
            <v>N</v>
          </cell>
        </row>
        <row r="88">
          <cell r="W88" t="str">
            <v>Y</v>
          </cell>
        </row>
        <row r="89">
          <cell r="W89" t="str">
            <v>Y</v>
          </cell>
        </row>
        <row r="90">
          <cell r="W90" t="str">
            <v>Y</v>
          </cell>
        </row>
        <row r="91">
          <cell r="W91" t="str">
            <v>Y</v>
          </cell>
        </row>
        <row r="92">
          <cell r="W92" t="str">
            <v>Y</v>
          </cell>
        </row>
        <row r="93">
          <cell r="W93" t="str">
            <v>Y</v>
          </cell>
        </row>
        <row r="94">
          <cell r="W94" t="str">
            <v>N</v>
          </cell>
        </row>
        <row r="95">
          <cell r="W95" t="str">
            <v>N</v>
          </cell>
        </row>
        <row r="96">
          <cell r="W96" t="str">
            <v>Y</v>
          </cell>
        </row>
        <row r="97">
          <cell r="W97" t="str">
            <v>N</v>
          </cell>
        </row>
        <row r="98">
          <cell r="W98" t="str">
            <v>Y</v>
          </cell>
        </row>
        <row r="99">
          <cell r="W99" t="str">
            <v>Y</v>
          </cell>
        </row>
        <row r="100">
          <cell r="W100" t="str">
            <v>Y</v>
          </cell>
        </row>
        <row r="101">
          <cell r="W101" t="str">
            <v>N</v>
          </cell>
        </row>
        <row r="102">
          <cell r="W102" t="str">
            <v>N</v>
          </cell>
        </row>
        <row r="103">
          <cell r="W103" t="str">
            <v>N</v>
          </cell>
        </row>
        <row r="104">
          <cell r="W104" t="str">
            <v>N</v>
          </cell>
        </row>
        <row r="105">
          <cell r="W105" t="str">
            <v>Y</v>
          </cell>
        </row>
        <row r="106">
          <cell r="W106" t="str">
            <v>N</v>
          </cell>
        </row>
        <row r="107">
          <cell r="W107" t="str">
            <v>Y</v>
          </cell>
        </row>
        <row r="108">
          <cell r="W108" t="str">
            <v>N</v>
          </cell>
        </row>
        <row r="109">
          <cell r="W109" t="str">
            <v>N</v>
          </cell>
        </row>
        <row r="110">
          <cell r="W110" t="str">
            <v>Y</v>
          </cell>
        </row>
        <row r="111">
          <cell r="W111" t="str">
            <v>Y</v>
          </cell>
        </row>
        <row r="112">
          <cell r="W112" t="str">
            <v>N</v>
          </cell>
        </row>
        <row r="113">
          <cell r="W113" t="str">
            <v>N</v>
          </cell>
        </row>
        <row r="114">
          <cell r="W114" t="str">
            <v>Y</v>
          </cell>
        </row>
        <row r="115">
          <cell r="W115" t="str">
            <v>N</v>
          </cell>
        </row>
        <row r="116">
          <cell r="W116" t="str">
            <v>N</v>
          </cell>
        </row>
        <row r="117">
          <cell r="W117" t="str">
            <v>N</v>
          </cell>
        </row>
        <row r="118">
          <cell r="W118" t="str">
            <v>N</v>
          </cell>
        </row>
        <row r="119">
          <cell r="W119" t="str">
            <v>Y</v>
          </cell>
        </row>
        <row r="120">
          <cell r="W120" t="str">
            <v>N</v>
          </cell>
        </row>
        <row r="121">
          <cell r="W121" t="str">
            <v>Y</v>
          </cell>
        </row>
        <row r="122">
          <cell r="W122" t="str">
            <v>N</v>
          </cell>
        </row>
        <row r="123">
          <cell r="W123" t="str">
            <v>N</v>
          </cell>
        </row>
        <row r="124">
          <cell r="W124" t="str">
            <v>Y</v>
          </cell>
        </row>
        <row r="125">
          <cell r="W125" t="str">
            <v>Y</v>
          </cell>
        </row>
        <row r="126">
          <cell r="W126" t="str">
            <v>N</v>
          </cell>
        </row>
        <row r="127">
          <cell r="W127" t="str">
            <v>N</v>
          </cell>
        </row>
        <row r="128">
          <cell r="W128" t="str">
            <v>N</v>
          </cell>
        </row>
        <row r="129">
          <cell r="W129" t="str">
            <v>N</v>
          </cell>
        </row>
        <row r="130">
          <cell r="W130" t="str">
            <v>N</v>
          </cell>
        </row>
        <row r="131">
          <cell r="W131" t="str">
            <v>N</v>
          </cell>
        </row>
        <row r="132">
          <cell r="W132" t="str">
            <v>Y</v>
          </cell>
        </row>
        <row r="133">
          <cell r="W133" t="str">
            <v>N</v>
          </cell>
        </row>
        <row r="134">
          <cell r="W134" t="str">
            <v>N</v>
          </cell>
        </row>
        <row r="135">
          <cell r="W135" t="str">
            <v>N</v>
          </cell>
        </row>
        <row r="136">
          <cell r="W136" t="str">
            <v>N</v>
          </cell>
        </row>
        <row r="137">
          <cell r="W137" t="str">
            <v>N</v>
          </cell>
        </row>
        <row r="138">
          <cell r="W138" t="str">
            <v>N</v>
          </cell>
        </row>
        <row r="139">
          <cell r="W139" t="str">
            <v>N</v>
          </cell>
        </row>
        <row r="140">
          <cell r="W140" t="str">
            <v>N</v>
          </cell>
        </row>
        <row r="141">
          <cell r="W141" t="str">
            <v>Y</v>
          </cell>
        </row>
        <row r="142">
          <cell r="W142" t="str">
            <v>N</v>
          </cell>
        </row>
        <row r="143">
          <cell r="W143" t="str">
            <v>N</v>
          </cell>
        </row>
        <row r="144">
          <cell r="W144" t="str">
            <v>N</v>
          </cell>
        </row>
        <row r="145">
          <cell r="W145" t="str">
            <v>N</v>
          </cell>
        </row>
        <row r="146">
          <cell r="W146" t="str">
            <v>N</v>
          </cell>
        </row>
        <row r="147">
          <cell r="W147" t="str">
            <v>N</v>
          </cell>
        </row>
        <row r="148">
          <cell r="W148" t="str">
            <v>N</v>
          </cell>
        </row>
        <row r="149">
          <cell r="W149" t="str">
            <v>N</v>
          </cell>
        </row>
        <row r="150">
          <cell r="W150" t="str">
            <v>Y</v>
          </cell>
        </row>
        <row r="151">
          <cell r="W151" t="str">
            <v>Y</v>
          </cell>
        </row>
        <row r="152">
          <cell r="W152" t="str">
            <v>N</v>
          </cell>
        </row>
        <row r="153">
          <cell r="W153" t="str">
            <v>N</v>
          </cell>
        </row>
        <row r="154">
          <cell r="W154" t="str">
            <v>N</v>
          </cell>
        </row>
        <row r="155">
          <cell r="W155" t="str">
            <v>Y</v>
          </cell>
        </row>
        <row r="156">
          <cell r="W156" t="str">
            <v>N</v>
          </cell>
        </row>
        <row r="157">
          <cell r="W157" t="str">
            <v>N</v>
          </cell>
        </row>
        <row r="158">
          <cell r="W158" t="str">
            <v>N</v>
          </cell>
        </row>
        <row r="159">
          <cell r="W159" t="str">
            <v>N</v>
          </cell>
        </row>
        <row r="160">
          <cell r="W160" t="str">
            <v>N</v>
          </cell>
        </row>
        <row r="161">
          <cell r="W161" t="str">
            <v>N</v>
          </cell>
        </row>
        <row r="162">
          <cell r="W162" t="str">
            <v>N</v>
          </cell>
        </row>
        <row r="163">
          <cell r="W163" t="str">
            <v>N</v>
          </cell>
        </row>
        <row r="164">
          <cell r="W164" t="str">
            <v>N</v>
          </cell>
        </row>
        <row r="165">
          <cell r="W165" t="str">
            <v>Y</v>
          </cell>
        </row>
        <row r="166">
          <cell r="W166" t="str">
            <v>N</v>
          </cell>
        </row>
        <row r="167">
          <cell r="W167" t="str">
            <v>Y</v>
          </cell>
        </row>
        <row r="168">
          <cell r="W168" t="str">
            <v>Y</v>
          </cell>
        </row>
        <row r="169">
          <cell r="W169" t="str">
            <v>N</v>
          </cell>
        </row>
        <row r="170">
          <cell r="W170" t="str">
            <v>Y</v>
          </cell>
        </row>
        <row r="171">
          <cell r="W171" t="str">
            <v>N</v>
          </cell>
        </row>
        <row r="172">
          <cell r="W172" t="str">
            <v>N</v>
          </cell>
        </row>
        <row r="173">
          <cell r="W173" t="str">
            <v>N</v>
          </cell>
        </row>
        <row r="174">
          <cell r="W174" t="str">
            <v>Y</v>
          </cell>
        </row>
        <row r="175">
          <cell r="W175" t="str">
            <v>Y</v>
          </cell>
        </row>
        <row r="176">
          <cell r="W176" t="str">
            <v>N</v>
          </cell>
        </row>
        <row r="177">
          <cell r="W177" t="str">
            <v>N</v>
          </cell>
        </row>
        <row r="178">
          <cell r="W178" t="str">
            <v>Y</v>
          </cell>
        </row>
        <row r="179">
          <cell r="W179" t="str">
            <v>N</v>
          </cell>
        </row>
        <row r="180">
          <cell r="W180" t="str">
            <v>N</v>
          </cell>
        </row>
        <row r="181">
          <cell r="W181" t="str">
            <v>N</v>
          </cell>
        </row>
        <row r="182">
          <cell r="W182" t="str">
            <v>N</v>
          </cell>
        </row>
        <row r="183">
          <cell r="W183" t="str">
            <v>N</v>
          </cell>
        </row>
        <row r="184">
          <cell r="W184" t="str">
            <v>N</v>
          </cell>
        </row>
        <row r="185">
          <cell r="W185" t="str">
            <v>N</v>
          </cell>
        </row>
        <row r="186">
          <cell r="W186" t="str">
            <v>N</v>
          </cell>
        </row>
        <row r="187">
          <cell r="W187" t="str">
            <v>N</v>
          </cell>
        </row>
        <row r="188">
          <cell r="W188" t="str">
            <v>N</v>
          </cell>
        </row>
        <row r="189">
          <cell r="W189" t="str">
            <v>Y</v>
          </cell>
        </row>
        <row r="190">
          <cell r="W190" t="str">
            <v>N</v>
          </cell>
        </row>
        <row r="191">
          <cell r="W191" t="str">
            <v>N</v>
          </cell>
        </row>
        <row r="192">
          <cell r="W192" t="str">
            <v>N</v>
          </cell>
        </row>
        <row r="193">
          <cell r="W193" t="str">
            <v>N</v>
          </cell>
        </row>
        <row r="194">
          <cell r="W194" t="str">
            <v>Y</v>
          </cell>
        </row>
        <row r="195">
          <cell r="W195" t="str">
            <v>N</v>
          </cell>
        </row>
        <row r="196">
          <cell r="W196" t="str">
            <v>N</v>
          </cell>
        </row>
        <row r="197">
          <cell r="W197" t="str">
            <v>N</v>
          </cell>
        </row>
        <row r="198">
          <cell r="W198" t="str">
            <v>Y</v>
          </cell>
        </row>
        <row r="199">
          <cell r="W199" t="str">
            <v>N</v>
          </cell>
        </row>
        <row r="200">
          <cell r="W200" t="str">
            <v>N</v>
          </cell>
        </row>
        <row r="201">
          <cell r="W201" t="str">
            <v>N</v>
          </cell>
        </row>
        <row r="202">
          <cell r="W202" t="str">
            <v>N</v>
          </cell>
        </row>
        <row r="203">
          <cell r="W203" t="str">
            <v>N</v>
          </cell>
        </row>
        <row r="204">
          <cell r="W204" t="str">
            <v>N</v>
          </cell>
        </row>
        <row r="205">
          <cell r="W205" t="str">
            <v>Y</v>
          </cell>
        </row>
        <row r="206">
          <cell r="W206" t="str">
            <v>N</v>
          </cell>
        </row>
        <row r="207">
          <cell r="W207" t="str">
            <v>N</v>
          </cell>
        </row>
        <row r="208">
          <cell r="W208" t="str">
            <v>Y</v>
          </cell>
        </row>
        <row r="209">
          <cell r="W209" t="str">
            <v>N</v>
          </cell>
        </row>
        <row r="210">
          <cell r="W210" t="str">
            <v>N</v>
          </cell>
        </row>
        <row r="211">
          <cell r="W211" t="str">
            <v>N</v>
          </cell>
        </row>
        <row r="212">
          <cell r="W212" t="str">
            <v>N</v>
          </cell>
        </row>
        <row r="213">
          <cell r="W213" t="str">
            <v>Y</v>
          </cell>
        </row>
        <row r="214">
          <cell r="W214" t="str">
            <v>N</v>
          </cell>
        </row>
        <row r="215">
          <cell r="W215" t="str">
            <v>N</v>
          </cell>
        </row>
        <row r="216">
          <cell r="W216" t="str">
            <v>N</v>
          </cell>
        </row>
        <row r="217">
          <cell r="W217" t="str">
            <v>N</v>
          </cell>
        </row>
        <row r="218">
          <cell r="W218" t="str">
            <v>N</v>
          </cell>
        </row>
        <row r="219">
          <cell r="W219" t="str">
            <v>N</v>
          </cell>
        </row>
        <row r="220">
          <cell r="W220" t="str">
            <v>N</v>
          </cell>
        </row>
        <row r="221">
          <cell r="W221" t="str">
            <v>N</v>
          </cell>
        </row>
        <row r="222">
          <cell r="W222" t="str">
            <v>Y</v>
          </cell>
        </row>
        <row r="223">
          <cell r="W223" t="str">
            <v>Y</v>
          </cell>
        </row>
        <row r="224">
          <cell r="W224" t="str">
            <v>N</v>
          </cell>
        </row>
        <row r="225">
          <cell r="W225" t="str">
            <v>N</v>
          </cell>
        </row>
        <row r="226">
          <cell r="W226" t="str">
            <v>N</v>
          </cell>
        </row>
        <row r="227">
          <cell r="W227" t="str">
            <v>N</v>
          </cell>
        </row>
        <row r="228">
          <cell r="W228" t="str">
            <v>Y</v>
          </cell>
        </row>
        <row r="229">
          <cell r="W229" t="str">
            <v>Y</v>
          </cell>
        </row>
        <row r="230">
          <cell r="W230" t="str">
            <v>N</v>
          </cell>
        </row>
        <row r="231">
          <cell r="W231" t="str">
            <v>N</v>
          </cell>
        </row>
        <row r="232">
          <cell r="W232" t="str">
            <v>N</v>
          </cell>
        </row>
        <row r="233">
          <cell r="W233" t="str">
            <v>N</v>
          </cell>
        </row>
        <row r="234">
          <cell r="W234" t="str">
            <v>N</v>
          </cell>
        </row>
        <row r="235">
          <cell r="W235" t="str">
            <v>N</v>
          </cell>
        </row>
        <row r="236">
          <cell r="W236" t="str">
            <v>Y</v>
          </cell>
        </row>
        <row r="237">
          <cell r="W237" t="str">
            <v>N</v>
          </cell>
        </row>
        <row r="238">
          <cell r="W238" t="str">
            <v>N</v>
          </cell>
        </row>
        <row r="239">
          <cell r="W239" t="str">
            <v>N</v>
          </cell>
        </row>
        <row r="240">
          <cell r="W240" t="str">
            <v>N</v>
          </cell>
        </row>
        <row r="241">
          <cell r="W241" t="str">
            <v>N</v>
          </cell>
        </row>
        <row r="242">
          <cell r="W242" t="str">
            <v>N</v>
          </cell>
        </row>
        <row r="243">
          <cell r="W243" t="str">
            <v>N</v>
          </cell>
        </row>
        <row r="244">
          <cell r="W244" t="str">
            <v>N</v>
          </cell>
        </row>
        <row r="245">
          <cell r="W245" t="str">
            <v>Y</v>
          </cell>
        </row>
        <row r="246">
          <cell r="W246" t="str">
            <v>Y</v>
          </cell>
        </row>
        <row r="247">
          <cell r="W247" t="str">
            <v>N</v>
          </cell>
        </row>
        <row r="248">
          <cell r="W248" t="str">
            <v>N</v>
          </cell>
        </row>
        <row r="249">
          <cell r="W249" t="str">
            <v>N</v>
          </cell>
        </row>
        <row r="250">
          <cell r="W250" t="str">
            <v>N</v>
          </cell>
        </row>
        <row r="251">
          <cell r="W251" t="str">
            <v>N</v>
          </cell>
        </row>
        <row r="252">
          <cell r="W252" t="str">
            <v>N</v>
          </cell>
        </row>
        <row r="253">
          <cell r="W253" t="str">
            <v>N</v>
          </cell>
        </row>
        <row r="254">
          <cell r="W254" t="str">
            <v>N</v>
          </cell>
        </row>
        <row r="255">
          <cell r="W255" t="str">
            <v>Y</v>
          </cell>
        </row>
        <row r="256">
          <cell r="W256" t="str">
            <v>Y</v>
          </cell>
        </row>
        <row r="257">
          <cell r="W257" t="str">
            <v>N</v>
          </cell>
        </row>
        <row r="258">
          <cell r="W258" t="str">
            <v>N</v>
          </cell>
        </row>
        <row r="259">
          <cell r="W259" t="str">
            <v>Y</v>
          </cell>
        </row>
        <row r="260">
          <cell r="W260" t="str">
            <v>N</v>
          </cell>
        </row>
        <row r="261">
          <cell r="W261" t="str">
            <v>Y</v>
          </cell>
        </row>
        <row r="262">
          <cell r="W262" t="str">
            <v>Y</v>
          </cell>
        </row>
        <row r="263">
          <cell r="W263" t="str">
            <v>N</v>
          </cell>
        </row>
        <row r="264">
          <cell r="W264" t="str">
            <v>Y</v>
          </cell>
        </row>
        <row r="265">
          <cell r="W265" t="str">
            <v>Y</v>
          </cell>
        </row>
        <row r="266">
          <cell r="W266" t="str">
            <v>N</v>
          </cell>
        </row>
        <row r="267">
          <cell r="W267" t="str">
            <v>N</v>
          </cell>
        </row>
        <row r="268">
          <cell r="W268" t="str">
            <v>N</v>
          </cell>
        </row>
        <row r="269">
          <cell r="W269" t="str">
            <v>N</v>
          </cell>
        </row>
        <row r="270">
          <cell r="W270" t="str">
            <v>N</v>
          </cell>
        </row>
        <row r="271">
          <cell r="W271" t="str">
            <v>Y</v>
          </cell>
        </row>
        <row r="272">
          <cell r="W272" t="str">
            <v>N</v>
          </cell>
        </row>
        <row r="273">
          <cell r="W273" t="str">
            <v>N</v>
          </cell>
        </row>
        <row r="274">
          <cell r="W274" t="str">
            <v>N</v>
          </cell>
        </row>
        <row r="275">
          <cell r="W275" t="str">
            <v>Y</v>
          </cell>
        </row>
        <row r="276">
          <cell r="W276" t="str">
            <v>N</v>
          </cell>
        </row>
        <row r="277">
          <cell r="W277" t="str">
            <v>N</v>
          </cell>
        </row>
        <row r="278">
          <cell r="W278" t="str">
            <v>N</v>
          </cell>
        </row>
        <row r="279">
          <cell r="W279" t="str">
            <v>N</v>
          </cell>
        </row>
        <row r="280">
          <cell r="W280" t="str">
            <v>N</v>
          </cell>
        </row>
        <row r="281">
          <cell r="W281" t="str">
            <v>N</v>
          </cell>
        </row>
        <row r="282">
          <cell r="W282" t="str">
            <v>N</v>
          </cell>
        </row>
        <row r="283">
          <cell r="W283" t="str">
            <v>N</v>
          </cell>
        </row>
        <row r="284">
          <cell r="W284" t="str">
            <v>N</v>
          </cell>
        </row>
        <row r="285">
          <cell r="W285" t="str">
            <v>Y</v>
          </cell>
        </row>
        <row r="286">
          <cell r="W286" t="str">
            <v>N</v>
          </cell>
        </row>
        <row r="287">
          <cell r="W287" t="str">
            <v>Y</v>
          </cell>
        </row>
        <row r="288">
          <cell r="W288" t="str">
            <v>N</v>
          </cell>
        </row>
        <row r="289">
          <cell r="W289" t="str">
            <v>Y</v>
          </cell>
        </row>
        <row r="290">
          <cell r="W290" t="str">
            <v>Y</v>
          </cell>
        </row>
        <row r="291">
          <cell r="W291" t="str">
            <v>Y</v>
          </cell>
        </row>
        <row r="292">
          <cell r="W292" t="str">
            <v>N</v>
          </cell>
        </row>
        <row r="293">
          <cell r="W293" t="str">
            <v>N</v>
          </cell>
        </row>
        <row r="294">
          <cell r="W294" t="str">
            <v>N</v>
          </cell>
        </row>
        <row r="295">
          <cell r="W295" t="str">
            <v>N</v>
          </cell>
        </row>
        <row r="296">
          <cell r="W296" t="str">
            <v>Y</v>
          </cell>
        </row>
        <row r="297">
          <cell r="W297" t="str">
            <v>N</v>
          </cell>
        </row>
        <row r="298">
          <cell r="W298" t="str">
            <v>N</v>
          </cell>
        </row>
        <row r="299">
          <cell r="W299" t="str">
            <v>N</v>
          </cell>
        </row>
        <row r="300">
          <cell r="W300" t="str">
            <v>Y</v>
          </cell>
        </row>
        <row r="301">
          <cell r="W301" t="str">
            <v>N</v>
          </cell>
        </row>
        <row r="302">
          <cell r="W302" t="str">
            <v>Y</v>
          </cell>
        </row>
        <row r="303">
          <cell r="W303" t="str">
            <v>N</v>
          </cell>
        </row>
        <row r="304">
          <cell r="W304" t="str">
            <v>N</v>
          </cell>
        </row>
        <row r="305">
          <cell r="W305" t="str">
            <v>N</v>
          </cell>
        </row>
        <row r="306">
          <cell r="W306" t="str">
            <v>N</v>
          </cell>
        </row>
        <row r="307">
          <cell r="W307" t="str">
            <v>Y</v>
          </cell>
        </row>
        <row r="308">
          <cell r="W308" t="str">
            <v>N</v>
          </cell>
        </row>
        <row r="309">
          <cell r="W309" t="str">
            <v>N</v>
          </cell>
        </row>
        <row r="310">
          <cell r="W310" t="str">
            <v>N</v>
          </cell>
        </row>
        <row r="311">
          <cell r="W311" t="str">
            <v>Y</v>
          </cell>
        </row>
        <row r="312">
          <cell r="W312" t="str">
            <v>N</v>
          </cell>
        </row>
        <row r="313">
          <cell r="W313" t="str">
            <v>N</v>
          </cell>
        </row>
        <row r="314">
          <cell r="W314" t="str">
            <v>N</v>
          </cell>
        </row>
        <row r="315">
          <cell r="W315" t="str">
            <v>Y</v>
          </cell>
        </row>
        <row r="316">
          <cell r="W316" t="str">
            <v>N</v>
          </cell>
        </row>
        <row r="317">
          <cell r="W317" t="str">
            <v>N</v>
          </cell>
        </row>
        <row r="318">
          <cell r="W318" t="str">
            <v>Y</v>
          </cell>
        </row>
        <row r="319">
          <cell r="W319" t="str">
            <v>Y</v>
          </cell>
        </row>
        <row r="320">
          <cell r="W320" t="str">
            <v>N</v>
          </cell>
        </row>
        <row r="321">
          <cell r="W321" t="str">
            <v>N</v>
          </cell>
        </row>
        <row r="322">
          <cell r="W322" t="str">
            <v>N</v>
          </cell>
        </row>
        <row r="323">
          <cell r="W323" t="str">
            <v>N</v>
          </cell>
        </row>
        <row r="324">
          <cell r="W324" t="str">
            <v>Y</v>
          </cell>
        </row>
        <row r="325">
          <cell r="W325" t="str">
            <v>N</v>
          </cell>
        </row>
        <row r="326">
          <cell r="W326" t="str">
            <v>N</v>
          </cell>
        </row>
        <row r="327">
          <cell r="W327" t="str">
            <v>Y</v>
          </cell>
        </row>
        <row r="328">
          <cell r="W328" t="str">
            <v>N</v>
          </cell>
        </row>
        <row r="329">
          <cell r="W329" t="str">
            <v>Y</v>
          </cell>
        </row>
        <row r="330">
          <cell r="W330" t="str">
            <v>N</v>
          </cell>
        </row>
        <row r="331">
          <cell r="W331" t="str">
            <v>N</v>
          </cell>
        </row>
        <row r="332">
          <cell r="W332" t="str">
            <v>Y</v>
          </cell>
        </row>
        <row r="333">
          <cell r="W333" t="str">
            <v>N</v>
          </cell>
        </row>
        <row r="334">
          <cell r="W334" t="str">
            <v>Y</v>
          </cell>
        </row>
        <row r="335">
          <cell r="W335" t="str">
            <v>Y</v>
          </cell>
        </row>
        <row r="336">
          <cell r="W336" t="str">
            <v>N</v>
          </cell>
        </row>
        <row r="337">
          <cell r="W337" t="str">
            <v>N</v>
          </cell>
        </row>
        <row r="338">
          <cell r="W338" t="str">
            <v>N</v>
          </cell>
        </row>
        <row r="339">
          <cell r="W339" t="str">
            <v>Y</v>
          </cell>
        </row>
        <row r="340">
          <cell r="W340" t="str">
            <v>Y</v>
          </cell>
        </row>
        <row r="341">
          <cell r="W341" t="str">
            <v>N</v>
          </cell>
        </row>
        <row r="342">
          <cell r="W342" t="str">
            <v>N</v>
          </cell>
        </row>
        <row r="343">
          <cell r="W343" t="str">
            <v>N</v>
          </cell>
        </row>
        <row r="344">
          <cell r="W344" t="str">
            <v>N</v>
          </cell>
        </row>
        <row r="345">
          <cell r="W345" t="str">
            <v>N</v>
          </cell>
        </row>
        <row r="346">
          <cell r="W346" t="str">
            <v>Y</v>
          </cell>
        </row>
        <row r="347">
          <cell r="W347" t="str">
            <v>N</v>
          </cell>
        </row>
        <row r="348">
          <cell r="W348" t="str">
            <v>N</v>
          </cell>
        </row>
        <row r="349">
          <cell r="W349" t="str">
            <v>N</v>
          </cell>
        </row>
        <row r="350">
          <cell r="W350" t="str">
            <v>N</v>
          </cell>
        </row>
        <row r="351">
          <cell r="W351" t="str">
            <v>N</v>
          </cell>
        </row>
        <row r="352">
          <cell r="W352" t="str">
            <v>Y</v>
          </cell>
        </row>
        <row r="353">
          <cell r="W353" t="str">
            <v>N</v>
          </cell>
        </row>
        <row r="354">
          <cell r="W354" t="str">
            <v>N</v>
          </cell>
        </row>
        <row r="355">
          <cell r="W355" t="str">
            <v>N</v>
          </cell>
        </row>
        <row r="356">
          <cell r="W356" t="str">
            <v>N</v>
          </cell>
        </row>
        <row r="357">
          <cell r="W357" t="str">
            <v>Y</v>
          </cell>
        </row>
        <row r="358">
          <cell r="W358" t="str">
            <v>Y</v>
          </cell>
        </row>
        <row r="359">
          <cell r="W359" t="str">
            <v>Y</v>
          </cell>
        </row>
        <row r="360">
          <cell r="W360" t="str">
            <v>Y</v>
          </cell>
        </row>
        <row r="361">
          <cell r="W361" t="str">
            <v>Y</v>
          </cell>
        </row>
        <row r="362">
          <cell r="W362" t="str">
            <v>Y</v>
          </cell>
        </row>
        <row r="363">
          <cell r="W363" t="str">
            <v>Y</v>
          </cell>
        </row>
        <row r="364">
          <cell r="W364" t="str">
            <v>N</v>
          </cell>
        </row>
        <row r="365">
          <cell r="W365" t="str">
            <v>Y</v>
          </cell>
        </row>
        <row r="366">
          <cell r="W366" t="str">
            <v>N</v>
          </cell>
        </row>
        <row r="367">
          <cell r="W367" t="str">
            <v>N</v>
          </cell>
        </row>
        <row r="368">
          <cell r="W368" t="str">
            <v>N</v>
          </cell>
        </row>
        <row r="369">
          <cell r="W369" t="str">
            <v>Y</v>
          </cell>
        </row>
        <row r="370">
          <cell r="W370" t="str">
            <v>N</v>
          </cell>
        </row>
        <row r="371">
          <cell r="W371" t="str">
            <v>Y</v>
          </cell>
        </row>
        <row r="372">
          <cell r="W372" t="str">
            <v>Y</v>
          </cell>
        </row>
        <row r="373">
          <cell r="W373" t="str">
            <v>Y</v>
          </cell>
        </row>
        <row r="374">
          <cell r="W374" t="str">
            <v>N</v>
          </cell>
        </row>
        <row r="375">
          <cell r="W375" t="str">
            <v>Y</v>
          </cell>
        </row>
        <row r="376">
          <cell r="W376" t="str">
            <v>N</v>
          </cell>
        </row>
        <row r="377">
          <cell r="W377" t="str">
            <v>Y</v>
          </cell>
        </row>
        <row r="378">
          <cell r="W378" t="str">
            <v>N</v>
          </cell>
        </row>
        <row r="379">
          <cell r="W379" t="str">
            <v>Y</v>
          </cell>
        </row>
        <row r="380">
          <cell r="W380" t="str">
            <v>Y</v>
          </cell>
        </row>
        <row r="381">
          <cell r="W381" t="str">
            <v>Y</v>
          </cell>
        </row>
        <row r="382">
          <cell r="W382" t="str">
            <v>Y</v>
          </cell>
        </row>
        <row r="383">
          <cell r="W383" t="str">
            <v>Y</v>
          </cell>
        </row>
        <row r="384">
          <cell r="W384" t="str">
            <v>Y</v>
          </cell>
        </row>
        <row r="385">
          <cell r="W385" t="str">
            <v>N</v>
          </cell>
        </row>
        <row r="386">
          <cell r="W386" t="str">
            <v>Y</v>
          </cell>
        </row>
        <row r="387">
          <cell r="W387" t="str">
            <v>Y</v>
          </cell>
        </row>
        <row r="388">
          <cell r="W388" t="str">
            <v>Y</v>
          </cell>
        </row>
        <row r="389">
          <cell r="W389" t="str">
            <v>Y</v>
          </cell>
        </row>
        <row r="390">
          <cell r="W390" t="str">
            <v>Y</v>
          </cell>
        </row>
        <row r="391">
          <cell r="W391" t="str">
            <v>Y</v>
          </cell>
        </row>
        <row r="392">
          <cell r="W392" t="str">
            <v>Y</v>
          </cell>
        </row>
        <row r="393">
          <cell r="W393" t="str">
            <v>Y</v>
          </cell>
        </row>
        <row r="394">
          <cell r="W394" t="str">
            <v>Y</v>
          </cell>
        </row>
        <row r="395">
          <cell r="W395" t="str">
            <v>Y</v>
          </cell>
        </row>
        <row r="396">
          <cell r="W396" t="str">
            <v>Y</v>
          </cell>
        </row>
        <row r="397">
          <cell r="W397" t="str">
            <v>Y</v>
          </cell>
        </row>
        <row r="398">
          <cell r="W398" t="str">
            <v>Y</v>
          </cell>
        </row>
        <row r="399">
          <cell r="W399" t="str">
            <v>N</v>
          </cell>
        </row>
        <row r="400">
          <cell r="W400" t="str">
            <v>Y</v>
          </cell>
        </row>
        <row r="401">
          <cell r="W401" t="str">
            <v>Y</v>
          </cell>
        </row>
        <row r="402">
          <cell r="W402" t="str">
            <v>N</v>
          </cell>
        </row>
        <row r="403">
          <cell r="W403" t="str">
            <v>Y</v>
          </cell>
        </row>
        <row r="404">
          <cell r="W404" t="str">
            <v>Y</v>
          </cell>
        </row>
        <row r="405">
          <cell r="W405" t="str">
            <v>N</v>
          </cell>
        </row>
        <row r="406">
          <cell r="W406" t="str">
            <v>Y</v>
          </cell>
        </row>
        <row r="407">
          <cell r="W407" t="str">
            <v>N</v>
          </cell>
        </row>
        <row r="408">
          <cell r="W408" t="str">
            <v>Y</v>
          </cell>
        </row>
        <row r="409">
          <cell r="W409" t="str">
            <v>N</v>
          </cell>
        </row>
        <row r="410">
          <cell r="W410" t="str">
            <v>Y</v>
          </cell>
        </row>
        <row r="411">
          <cell r="W411" t="str">
            <v>Y</v>
          </cell>
        </row>
        <row r="412">
          <cell r="W412" t="str">
            <v>Y</v>
          </cell>
        </row>
        <row r="413">
          <cell r="W413" t="str">
            <v>Y</v>
          </cell>
        </row>
        <row r="414">
          <cell r="W414" t="str">
            <v>Y</v>
          </cell>
        </row>
        <row r="415">
          <cell r="W415" t="str">
            <v>Y</v>
          </cell>
        </row>
        <row r="416">
          <cell r="W416" t="str">
            <v>Y</v>
          </cell>
        </row>
        <row r="417">
          <cell r="W417" t="str">
            <v>Y</v>
          </cell>
        </row>
        <row r="418">
          <cell r="W418" t="str">
            <v>Y</v>
          </cell>
        </row>
        <row r="419">
          <cell r="W419" t="str">
            <v>Y</v>
          </cell>
        </row>
        <row r="420">
          <cell r="W420" t="str">
            <v>Y</v>
          </cell>
        </row>
        <row r="421">
          <cell r="W421" t="str">
            <v>Y</v>
          </cell>
        </row>
        <row r="422">
          <cell r="W422" t="str">
            <v>Y</v>
          </cell>
        </row>
        <row r="423">
          <cell r="W423" t="str">
            <v>Y</v>
          </cell>
        </row>
        <row r="424">
          <cell r="W424" t="str">
            <v>Y</v>
          </cell>
        </row>
        <row r="425">
          <cell r="W425" t="str">
            <v>Y</v>
          </cell>
        </row>
        <row r="426">
          <cell r="W426" t="str">
            <v>Y</v>
          </cell>
        </row>
        <row r="427">
          <cell r="W427" t="str">
            <v>Y</v>
          </cell>
        </row>
        <row r="428">
          <cell r="W428" t="str">
            <v>Y</v>
          </cell>
        </row>
        <row r="429">
          <cell r="W429" t="str">
            <v>Y</v>
          </cell>
        </row>
        <row r="430">
          <cell r="W430" t="str">
            <v>Y</v>
          </cell>
        </row>
        <row r="431">
          <cell r="W431" t="str">
            <v>Y</v>
          </cell>
        </row>
        <row r="432">
          <cell r="W432" t="str">
            <v>Y</v>
          </cell>
        </row>
        <row r="433">
          <cell r="W433" t="str">
            <v>Y</v>
          </cell>
        </row>
        <row r="434">
          <cell r="W434" t="str">
            <v>Y</v>
          </cell>
        </row>
        <row r="435">
          <cell r="W435" t="str">
            <v>Y</v>
          </cell>
        </row>
        <row r="436">
          <cell r="W436" t="str">
            <v>Y</v>
          </cell>
        </row>
        <row r="437">
          <cell r="W437" t="str">
            <v>N</v>
          </cell>
        </row>
        <row r="438">
          <cell r="W438" t="str">
            <v>Y</v>
          </cell>
        </row>
        <row r="439">
          <cell r="W439" t="str">
            <v>Y</v>
          </cell>
        </row>
        <row r="440">
          <cell r="W440" t="str">
            <v>Y</v>
          </cell>
        </row>
        <row r="441">
          <cell r="W441" t="str">
            <v>Y</v>
          </cell>
        </row>
        <row r="442">
          <cell r="W442" t="str">
            <v>Y</v>
          </cell>
        </row>
        <row r="443">
          <cell r="W443" t="str">
            <v>Y</v>
          </cell>
        </row>
        <row r="444">
          <cell r="W444" t="str">
            <v>Y</v>
          </cell>
        </row>
        <row r="445">
          <cell r="W445" t="str">
            <v>Y</v>
          </cell>
        </row>
        <row r="446">
          <cell r="W446" t="str">
            <v>Y</v>
          </cell>
        </row>
        <row r="447">
          <cell r="W447" t="str">
            <v>Y</v>
          </cell>
        </row>
        <row r="448">
          <cell r="W448" t="str">
            <v>Y</v>
          </cell>
        </row>
        <row r="449">
          <cell r="W449" t="str">
            <v>Y</v>
          </cell>
        </row>
        <row r="450">
          <cell r="W450" t="str">
            <v>N</v>
          </cell>
        </row>
        <row r="451">
          <cell r="W451" t="str">
            <v>Y</v>
          </cell>
        </row>
        <row r="452">
          <cell r="W452" t="str">
            <v>N</v>
          </cell>
        </row>
        <row r="453">
          <cell r="W453" t="str">
            <v>Y</v>
          </cell>
        </row>
        <row r="454">
          <cell r="W454" t="str">
            <v>Y</v>
          </cell>
        </row>
        <row r="455">
          <cell r="W455" t="str">
            <v>Y</v>
          </cell>
        </row>
        <row r="456">
          <cell r="W456" t="str">
            <v>Y</v>
          </cell>
        </row>
        <row r="457">
          <cell r="W457" t="str">
            <v>N</v>
          </cell>
        </row>
        <row r="458">
          <cell r="W458" t="str">
            <v>Y</v>
          </cell>
        </row>
        <row r="459">
          <cell r="W459" t="str">
            <v>Y</v>
          </cell>
        </row>
        <row r="460">
          <cell r="W460" t="str">
            <v>Y</v>
          </cell>
        </row>
        <row r="461">
          <cell r="W461" t="str">
            <v>N</v>
          </cell>
        </row>
        <row r="462">
          <cell r="W462" t="str">
            <v>Y</v>
          </cell>
        </row>
        <row r="463">
          <cell r="W463" t="str">
            <v>Y</v>
          </cell>
        </row>
        <row r="464">
          <cell r="W464" t="str">
            <v>Y</v>
          </cell>
        </row>
        <row r="465">
          <cell r="W465" t="str">
            <v>Y</v>
          </cell>
        </row>
        <row r="466">
          <cell r="W466" t="str">
            <v>Y</v>
          </cell>
        </row>
      </sheetData>
      <sheetData sheetId="4">
        <row r="114">
          <cell r="W114" t="str">
            <v>N</v>
          </cell>
        </row>
        <row r="115">
          <cell r="W115" t="str">
            <v>Y</v>
          </cell>
        </row>
        <row r="116">
          <cell r="W116" t="str">
            <v>N</v>
          </cell>
        </row>
        <row r="117">
          <cell r="W117" t="str">
            <v>N</v>
          </cell>
        </row>
        <row r="118">
          <cell r="W118" t="str">
            <v>N</v>
          </cell>
        </row>
        <row r="119">
          <cell r="W119" t="str">
            <v>N</v>
          </cell>
        </row>
        <row r="120">
          <cell r="W120" t="str">
            <v>Y</v>
          </cell>
        </row>
        <row r="121">
          <cell r="W121" t="str">
            <v>Y</v>
          </cell>
        </row>
        <row r="122">
          <cell r="W122" t="str">
            <v>Y</v>
          </cell>
        </row>
        <row r="123">
          <cell r="W123" t="str">
            <v>Y</v>
          </cell>
        </row>
        <row r="124">
          <cell r="W124" t="str">
            <v>Y</v>
          </cell>
        </row>
        <row r="125">
          <cell r="W125" t="str">
            <v>N</v>
          </cell>
        </row>
        <row r="126">
          <cell r="W126" t="str">
            <v>N</v>
          </cell>
        </row>
        <row r="127">
          <cell r="W127" t="str">
            <v>N</v>
          </cell>
        </row>
        <row r="128">
          <cell r="W128" t="str">
            <v>N</v>
          </cell>
        </row>
        <row r="129">
          <cell r="W129" t="str">
            <v>Y</v>
          </cell>
        </row>
        <row r="130">
          <cell r="W130" t="str">
            <v>Y</v>
          </cell>
        </row>
        <row r="131">
          <cell r="W131" t="str">
            <v>Y</v>
          </cell>
        </row>
        <row r="132">
          <cell r="W132" t="str">
            <v>Y</v>
          </cell>
        </row>
        <row r="133">
          <cell r="W133" t="str">
            <v>Y</v>
          </cell>
        </row>
        <row r="134">
          <cell r="W134" t="str">
            <v>N</v>
          </cell>
        </row>
        <row r="135">
          <cell r="W135" t="str">
            <v>N</v>
          </cell>
        </row>
        <row r="136">
          <cell r="W136" t="str">
            <v>Y</v>
          </cell>
        </row>
        <row r="137">
          <cell r="W137" t="str">
            <v>Y</v>
          </cell>
        </row>
        <row r="138">
          <cell r="W138" t="str">
            <v>Y</v>
          </cell>
        </row>
        <row r="139">
          <cell r="W139" t="str">
            <v>Y</v>
          </cell>
        </row>
        <row r="140">
          <cell r="W140" t="str">
            <v>N</v>
          </cell>
        </row>
        <row r="141">
          <cell r="W141" t="str">
            <v>Y</v>
          </cell>
        </row>
        <row r="142">
          <cell r="W142" t="str">
            <v>N</v>
          </cell>
        </row>
        <row r="143">
          <cell r="W143" t="str">
            <v>N</v>
          </cell>
        </row>
        <row r="144">
          <cell r="W144" t="str">
            <v>Y</v>
          </cell>
        </row>
        <row r="145">
          <cell r="W145" t="str">
            <v>Y</v>
          </cell>
        </row>
        <row r="146">
          <cell r="W146" t="str">
            <v>Y</v>
          </cell>
        </row>
        <row r="147">
          <cell r="W147" t="str">
            <v>Y</v>
          </cell>
        </row>
        <row r="148">
          <cell r="W148" t="str">
            <v>Y</v>
          </cell>
        </row>
        <row r="149">
          <cell r="W149" t="str">
            <v>Y</v>
          </cell>
        </row>
        <row r="150">
          <cell r="W150" t="str">
            <v>Y</v>
          </cell>
        </row>
        <row r="151">
          <cell r="W151" t="str">
            <v>Y</v>
          </cell>
        </row>
        <row r="152">
          <cell r="W152" t="str">
            <v>N</v>
          </cell>
        </row>
        <row r="153">
          <cell r="W153" t="str">
            <v>N</v>
          </cell>
        </row>
        <row r="154">
          <cell r="W154" t="str">
            <v>Y</v>
          </cell>
        </row>
      </sheetData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R147"/>
  <sheetViews>
    <sheetView view="pageBreakPreview" zoomScale="75" zoomScaleNormal="100" zoomScaleSheetLayoutView="75" workbookViewId="0">
      <pane xSplit="1" ySplit="6" topLeftCell="B16" activePane="bottomRight" state="frozen"/>
      <selection pane="topRight" activeCell="B1" sqref="B1"/>
      <selection pane="bottomLeft" activeCell="A6" sqref="A6"/>
      <selection pane="bottomRight" activeCell="D15" sqref="D15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style="31" customWidth="1"/>
    <col min="5" max="5" width="9.140625" style="31" customWidth="1"/>
    <col min="6" max="6" width="15.140625" style="35" customWidth="1"/>
    <col min="7" max="7" width="10.7109375" customWidth="1"/>
    <col min="8" max="8" width="9.5703125" customWidth="1"/>
    <col min="13" max="13" width="8.85546875" customWidth="1"/>
    <col min="14" max="14" width="13.140625" customWidth="1"/>
    <col min="15" max="15" width="11.85546875" customWidth="1"/>
    <col min="16" max="16" width="15.28515625" customWidth="1"/>
  </cols>
  <sheetData>
    <row r="2" spans="1:16" x14ac:dyDescent="0.2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6" x14ac:dyDescent="0.25">
      <c r="A3" s="2" t="s">
        <v>1</v>
      </c>
      <c r="B3" s="2"/>
      <c r="C3" s="26">
        <v>43766</v>
      </c>
      <c r="D3" s="16" t="s">
        <v>2</v>
      </c>
      <c r="E3" s="28" t="s">
        <v>14</v>
      </c>
      <c r="F3" s="34"/>
      <c r="G3" s="2" t="s">
        <v>13</v>
      </c>
      <c r="H3" s="2" t="s">
        <v>15</v>
      </c>
      <c r="I3" s="2"/>
      <c r="J3" s="2"/>
      <c r="K3" s="2"/>
      <c r="L3" s="2"/>
      <c r="M3" s="3"/>
      <c r="N3" s="4"/>
      <c r="O3" s="2"/>
    </row>
    <row r="4" spans="1:16" ht="15.75" thickBot="1" x14ac:dyDescent="0.3">
      <c r="A4" s="142"/>
      <c r="B4" s="142"/>
      <c r="C4" s="2"/>
      <c r="E4" s="32"/>
      <c r="F4" s="34"/>
      <c r="G4" s="2"/>
      <c r="H4" s="3"/>
      <c r="I4" s="2"/>
      <c r="J4" s="2"/>
      <c r="K4" s="2"/>
      <c r="L4" s="2"/>
      <c r="M4" s="4"/>
      <c r="N4" s="4"/>
      <c r="O4" s="2"/>
    </row>
    <row r="5" spans="1:16" s="1" customFormat="1" ht="14.45" customHeight="1" x14ac:dyDescent="0.25">
      <c r="A5" s="149" t="s">
        <v>3</v>
      </c>
      <c r="B5" s="145" t="s">
        <v>4</v>
      </c>
      <c r="C5" s="140" t="s">
        <v>5</v>
      </c>
      <c r="D5" s="140" t="s">
        <v>9</v>
      </c>
      <c r="E5" s="140" t="s">
        <v>6</v>
      </c>
      <c r="F5" s="152" t="s">
        <v>7</v>
      </c>
      <c r="G5" s="143" t="s">
        <v>145</v>
      </c>
      <c r="H5" s="144"/>
      <c r="I5" s="144"/>
      <c r="J5" s="144"/>
      <c r="K5" s="144"/>
      <c r="L5" s="144"/>
      <c r="M5" s="145"/>
      <c r="N5" s="140" t="s">
        <v>8</v>
      </c>
      <c r="O5" s="140" t="s">
        <v>10</v>
      </c>
      <c r="P5" s="146" t="s">
        <v>11</v>
      </c>
    </row>
    <row r="6" spans="1:16" ht="13.9" customHeight="1" thickBot="1" x14ac:dyDescent="0.3">
      <c r="A6" s="150"/>
      <c r="B6" s="151"/>
      <c r="C6" s="141"/>
      <c r="D6" s="141"/>
      <c r="E6" s="141"/>
      <c r="F6" s="153"/>
      <c r="G6" s="51" t="s">
        <v>138</v>
      </c>
      <c r="H6" s="51" t="s">
        <v>139</v>
      </c>
      <c r="I6" s="51" t="s">
        <v>140</v>
      </c>
      <c r="J6" s="51" t="s">
        <v>141</v>
      </c>
      <c r="K6" s="51" t="s">
        <v>142</v>
      </c>
      <c r="L6" s="51" t="s">
        <v>143</v>
      </c>
      <c r="M6" s="51" t="s">
        <v>144</v>
      </c>
      <c r="N6" s="141"/>
      <c r="O6" s="141"/>
      <c r="P6" s="147"/>
    </row>
    <row r="7" spans="1:16" ht="24" customHeight="1" x14ac:dyDescent="0.25">
      <c r="A7" s="14">
        <v>1</v>
      </c>
      <c r="B7" s="20">
        <v>0.40138888888888885</v>
      </c>
      <c r="C7" s="15" t="s">
        <v>16</v>
      </c>
      <c r="D7" s="27">
        <v>7</v>
      </c>
      <c r="E7" s="27">
        <v>2</v>
      </c>
      <c r="F7" s="21" t="s">
        <v>12</v>
      </c>
      <c r="G7" s="19">
        <v>4.5999999999999996</v>
      </c>
      <c r="H7" s="19">
        <v>12.3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/>
      <c r="O7" s="12"/>
      <c r="P7" s="22" t="s">
        <v>17</v>
      </c>
    </row>
    <row r="8" spans="1:16" ht="24" customHeight="1" x14ac:dyDescent="0.25">
      <c r="A8" s="14">
        <f>A7+1</f>
        <v>2</v>
      </c>
      <c r="B8" s="7">
        <v>0.40277777777777773</v>
      </c>
      <c r="C8" s="5" t="s">
        <v>18</v>
      </c>
      <c r="D8" s="29">
        <v>9</v>
      </c>
      <c r="E8" s="29">
        <v>4</v>
      </c>
      <c r="F8" s="17" t="s">
        <v>19</v>
      </c>
      <c r="G8" s="19">
        <v>5.95</v>
      </c>
      <c r="H8" s="19">
        <v>5.5</v>
      </c>
      <c r="I8" s="19">
        <v>9.4499999999999993</v>
      </c>
      <c r="J8" s="19">
        <v>6.5</v>
      </c>
      <c r="K8" s="19">
        <v>0</v>
      </c>
      <c r="L8" s="19">
        <v>0</v>
      </c>
      <c r="M8" s="19">
        <v>0</v>
      </c>
      <c r="N8" s="19"/>
      <c r="O8" s="12"/>
      <c r="P8" s="11" t="s">
        <v>21</v>
      </c>
    </row>
    <row r="9" spans="1:16" ht="24" customHeight="1" x14ac:dyDescent="0.25">
      <c r="A9" s="14">
        <f t="shared" ref="A9:A40" si="0">A8+1</f>
        <v>3</v>
      </c>
      <c r="B9" s="7">
        <v>0.40486111111111112</v>
      </c>
      <c r="C9" s="5" t="s">
        <v>20</v>
      </c>
      <c r="D9" s="30">
        <v>7</v>
      </c>
      <c r="E9" s="29">
        <v>2</v>
      </c>
      <c r="F9" s="21" t="s">
        <v>12</v>
      </c>
      <c r="G9" s="19">
        <v>5.35</v>
      </c>
      <c r="H9" s="19">
        <v>9.75</v>
      </c>
      <c r="I9" s="19">
        <v>0</v>
      </c>
      <c r="J9" s="19">
        <v>0</v>
      </c>
      <c r="K9" s="19">
        <v>0</v>
      </c>
      <c r="L9" s="19">
        <v>0</v>
      </c>
      <c r="M9" s="19">
        <v>0</v>
      </c>
      <c r="N9" s="19"/>
      <c r="O9" s="12"/>
      <c r="P9" s="6" t="s">
        <v>22</v>
      </c>
    </row>
    <row r="10" spans="1:16" ht="24" customHeight="1" x14ac:dyDescent="0.25">
      <c r="A10" s="14">
        <f t="shared" si="0"/>
        <v>4</v>
      </c>
      <c r="B10" s="7">
        <v>0.4055555555555555</v>
      </c>
      <c r="C10" s="5" t="s">
        <v>23</v>
      </c>
      <c r="D10" s="30">
        <v>7</v>
      </c>
      <c r="E10" s="29">
        <v>2</v>
      </c>
      <c r="F10" s="21" t="s">
        <v>12</v>
      </c>
      <c r="G10" s="19">
        <v>5.0999999999999996</v>
      </c>
      <c r="H10" s="19">
        <v>7.8999999999999995</v>
      </c>
      <c r="I10" s="19">
        <v>0</v>
      </c>
      <c r="J10" s="19">
        <v>0</v>
      </c>
      <c r="K10" s="19">
        <v>0</v>
      </c>
      <c r="L10" s="19">
        <v>0</v>
      </c>
      <c r="M10" s="19">
        <v>0</v>
      </c>
      <c r="N10" s="19"/>
      <c r="O10" s="12"/>
      <c r="P10" s="6" t="s">
        <v>22</v>
      </c>
    </row>
    <row r="11" spans="1:16" ht="24" customHeight="1" x14ac:dyDescent="0.25">
      <c r="A11" s="14">
        <f t="shared" si="0"/>
        <v>5</v>
      </c>
      <c r="B11" s="7">
        <v>0.50486111111111109</v>
      </c>
      <c r="C11" s="5" t="s">
        <v>24</v>
      </c>
      <c r="D11" s="30">
        <v>10</v>
      </c>
      <c r="E11" s="29">
        <v>5</v>
      </c>
      <c r="F11" s="21" t="s">
        <v>25</v>
      </c>
      <c r="G11" s="19">
        <v>7.15</v>
      </c>
      <c r="H11" s="19">
        <v>4.9499999999999993</v>
      </c>
      <c r="I11" s="19">
        <v>8.3000000000000007</v>
      </c>
      <c r="J11" s="19">
        <v>5.5</v>
      </c>
      <c r="K11" s="19">
        <v>2.2999999999999998</v>
      </c>
      <c r="L11" s="19">
        <v>0</v>
      </c>
      <c r="M11" s="19">
        <v>0</v>
      </c>
      <c r="N11" s="19"/>
      <c r="O11" s="12"/>
      <c r="P11" s="11" t="s">
        <v>17</v>
      </c>
    </row>
    <row r="12" spans="1:16" ht="24" customHeight="1" x14ac:dyDescent="0.25">
      <c r="A12" s="14">
        <f t="shared" si="0"/>
        <v>6</v>
      </c>
      <c r="B12" s="7">
        <v>0.53541666666666665</v>
      </c>
      <c r="C12" s="5" t="s">
        <v>26</v>
      </c>
      <c r="D12" s="30">
        <v>10</v>
      </c>
      <c r="E12" s="29">
        <v>5</v>
      </c>
      <c r="F12" s="21" t="s">
        <v>25</v>
      </c>
      <c r="G12" s="19">
        <v>5.0999999999999996</v>
      </c>
      <c r="H12" s="19">
        <v>5.3000000000000007</v>
      </c>
      <c r="I12" s="19">
        <v>10</v>
      </c>
      <c r="J12" s="19">
        <v>6</v>
      </c>
      <c r="K12" s="19">
        <v>4</v>
      </c>
      <c r="L12" s="19">
        <v>0</v>
      </c>
      <c r="M12" s="19">
        <v>0</v>
      </c>
      <c r="N12" s="19"/>
      <c r="O12" s="12"/>
      <c r="P12" s="11" t="s">
        <v>17</v>
      </c>
    </row>
    <row r="13" spans="1:16" ht="24" customHeight="1" x14ac:dyDescent="0.25">
      <c r="A13" s="14">
        <f t="shared" si="0"/>
        <v>7</v>
      </c>
      <c r="B13" s="7">
        <v>0.54722222222222217</v>
      </c>
      <c r="C13" s="5" t="s">
        <v>27</v>
      </c>
      <c r="D13" s="30">
        <v>7</v>
      </c>
      <c r="E13" s="29">
        <v>2</v>
      </c>
      <c r="F13" s="21" t="s">
        <v>12</v>
      </c>
      <c r="G13" s="19">
        <v>3.65</v>
      </c>
      <c r="H13" s="19">
        <v>9.5</v>
      </c>
      <c r="I13" s="19">
        <v>0</v>
      </c>
      <c r="J13" s="19">
        <v>0</v>
      </c>
      <c r="K13" s="19">
        <v>0</v>
      </c>
      <c r="L13" s="19">
        <v>0</v>
      </c>
      <c r="M13" s="19">
        <v>0</v>
      </c>
      <c r="N13" s="19"/>
      <c r="O13" s="12"/>
      <c r="P13" s="11" t="s">
        <v>28</v>
      </c>
    </row>
    <row r="14" spans="1:16" ht="24" customHeight="1" x14ac:dyDescent="0.25">
      <c r="A14" s="14">
        <f t="shared" si="0"/>
        <v>8</v>
      </c>
      <c r="B14" s="7">
        <v>0.55555555555555558</v>
      </c>
      <c r="C14" s="33" t="s">
        <v>29</v>
      </c>
      <c r="D14" s="30">
        <v>7</v>
      </c>
      <c r="E14" s="29">
        <v>2</v>
      </c>
      <c r="F14" s="21" t="s">
        <v>12</v>
      </c>
      <c r="G14" s="19">
        <v>3.9</v>
      </c>
      <c r="H14" s="19">
        <v>7.4499999999999993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/>
      <c r="O14" s="12"/>
      <c r="P14" s="6" t="s">
        <v>30</v>
      </c>
    </row>
    <row r="15" spans="1:16" ht="24" customHeight="1" x14ac:dyDescent="0.25">
      <c r="A15" s="14">
        <f t="shared" si="0"/>
        <v>9</v>
      </c>
      <c r="B15" s="7">
        <v>0.55694444444444446</v>
      </c>
      <c r="C15" s="5" t="s">
        <v>31</v>
      </c>
      <c r="D15" s="30">
        <v>7</v>
      </c>
      <c r="E15" s="29">
        <v>7</v>
      </c>
      <c r="F15" s="21" t="s">
        <v>12</v>
      </c>
      <c r="G15" s="19">
        <v>2.7</v>
      </c>
      <c r="H15" s="19">
        <v>5.75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/>
      <c r="O15" s="12"/>
      <c r="P15" s="6" t="s">
        <v>37</v>
      </c>
    </row>
    <row r="16" spans="1:16" ht="24" customHeight="1" x14ac:dyDescent="0.25">
      <c r="A16" s="14">
        <f t="shared" si="0"/>
        <v>10</v>
      </c>
      <c r="B16" s="7">
        <v>0.61249999999999993</v>
      </c>
      <c r="C16" s="5" t="s">
        <v>32</v>
      </c>
      <c r="D16" s="30">
        <v>10</v>
      </c>
      <c r="E16" s="29">
        <v>6</v>
      </c>
      <c r="F16" s="21" t="s">
        <v>33</v>
      </c>
      <c r="G16" s="19">
        <v>5.25</v>
      </c>
      <c r="H16" s="19">
        <v>6.85</v>
      </c>
      <c r="I16" s="19">
        <v>6.85</v>
      </c>
      <c r="J16" s="19">
        <v>6.5</v>
      </c>
      <c r="K16" s="19">
        <v>7.35</v>
      </c>
      <c r="L16" s="19">
        <v>7.55</v>
      </c>
      <c r="M16" s="19">
        <v>0</v>
      </c>
      <c r="N16" s="19"/>
      <c r="O16" s="12"/>
      <c r="P16" s="6" t="s">
        <v>17</v>
      </c>
    </row>
    <row r="17" spans="1:18" ht="24" customHeight="1" x14ac:dyDescent="0.25">
      <c r="A17" s="14">
        <f t="shared" si="0"/>
        <v>11</v>
      </c>
      <c r="B17" s="7">
        <v>0.61388888888888882</v>
      </c>
      <c r="C17" s="5" t="s">
        <v>34</v>
      </c>
      <c r="D17" s="30">
        <v>10</v>
      </c>
      <c r="E17" s="29">
        <v>6</v>
      </c>
      <c r="F17" s="21" t="s">
        <v>35</v>
      </c>
      <c r="G17" s="19">
        <v>5.4</v>
      </c>
      <c r="H17" s="19">
        <v>4.8</v>
      </c>
      <c r="I17" s="19">
        <v>7.85</v>
      </c>
      <c r="J17" s="19">
        <v>8.3000000000000007</v>
      </c>
      <c r="K17" s="19">
        <v>8.1</v>
      </c>
      <c r="L17" s="19">
        <v>8.35</v>
      </c>
      <c r="M17" s="19">
        <v>0</v>
      </c>
      <c r="N17" s="19"/>
      <c r="O17" s="12"/>
      <c r="P17" s="6" t="s">
        <v>38</v>
      </c>
      <c r="R17" s="38"/>
    </row>
    <row r="18" spans="1:18" ht="24" customHeight="1" x14ac:dyDescent="0.25">
      <c r="A18" s="14">
        <f t="shared" si="0"/>
        <v>12</v>
      </c>
      <c r="B18" s="7">
        <v>0.61736111111111114</v>
      </c>
      <c r="C18" s="5" t="s">
        <v>36</v>
      </c>
      <c r="D18" s="30">
        <v>10</v>
      </c>
      <c r="E18" s="29">
        <v>6</v>
      </c>
      <c r="F18" s="18" t="s">
        <v>35</v>
      </c>
      <c r="G18" s="19">
        <v>5.6</v>
      </c>
      <c r="H18" s="19">
        <v>5.95</v>
      </c>
      <c r="I18" s="19">
        <v>9.1000000000000014</v>
      </c>
      <c r="J18" s="19">
        <v>7.45</v>
      </c>
      <c r="K18" s="19">
        <v>7.4499999999999993</v>
      </c>
      <c r="L18" s="19">
        <v>6.3000000000000007</v>
      </c>
      <c r="M18" s="19">
        <v>0</v>
      </c>
      <c r="N18" s="19"/>
      <c r="O18" s="12"/>
      <c r="P18" s="6" t="s">
        <v>38</v>
      </c>
    </row>
    <row r="19" spans="1:18" ht="24" customHeight="1" x14ac:dyDescent="0.25">
      <c r="A19" s="14">
        <f t="shared" si="0"/>
        <v>13</v>
      </c>
      <c r="B19" s="7">
        <v>0.64166666666666672</v>
      </c>
      <c r="C19" s="5" t="s">
        <v>40</v>
      </c>
      <c r="D19" s="30">
        <v>7</v>
      </c>
      <c r="E19" s="29">
        <v>2</v>
      </c>
      <c r="F19" s="21" t="s">
        <v>12</v>
      </c>
      <c r="G19" s="19">
        <v>4.6999999999999993</v>
      </c>
      <c r="H19" s="19">
        <v>10.9</v>
      </c>
      <c r="I19" s="19">
        <v>0</v>
      </c>
      <c r="J19" s="19">
        <v>0</v>
      </c>
      <c r="K19" s="19">
        <v>0</v>
      </c>
      <c r="L19" s="19">
        <v>0</v>
      </c>
      <c r="M19" s="19">
        <v>0</v>
      </c>
      <c r="N19" s="19"/>
      <c r="O19" s="12"/>
      <c r="P19" s="6" t="s">
        <v>17</v>
      </c>
    </row>
    <row r="20" spans="1:18" ht="24" customHeight="1" x14ac:dyDescent="0.25">
      <c r="A20" s="14">
        <f t="shared" si="0"/>
        <v>14</v>
      </c>
      <c r="B20" s="7">
        <v>0.65</v>
      </c>
      <c r="C20" s="5" t="s">
        <v>41</v>
      </c>
      <c r="D20" s="30">
        <v>10</v>
      </c>
      <c r="E20" s="29">
        <v>6</v>
      </c>
      <c r="F20" s="21" t="s">
        <v>42</v>
      </c>
      <c r="G20" s="19">
        <v>6.65</v>
      </c>
      <c r="H20" s="19">
        <v>5.9499999999999993</v>
      </c>
      <c r="I20" s="19">
        <v>8.3000000000000007</v>
      </c>
      <c r="J20" s="19">
        <v>7</v>
      </c>
      <c r="K20" s="19">
        <v>7.05</v>
      </c>
      <c r="L20" s="19">
        <v>7.1</v>
      </c>
      <c r="M20" s="19">
        <v>0</v>
      </c>
      <c r="N20" s="19"/>
      <c r="O20" s="12"/>
      <c r="P20" s="6" t="s">
        <v>39</v>
      </c>
    </row>
    <row r="21" spans="1:18" ht="24" customHeight="1" x14ac:dyDescent="0.25">
      <c r="A21" s="14">
        <f t="shared" si="0"/>
        <v>15</v>
      </c>
      <c r="B21" s="7">
        <v>0.71458333333333324</v>
      </c>
      <c r="C21" s="5" t="s">
        <v>43</v>
      </c>
      <c r="D21" s="30">
        <v>10</v>
      </c>
      <c r="E21" s="29">
        <v>6</v>
      </c>
      <c r="F21" s="21" t="s">
        <v>33</v>
      </c>
      <c r="G21" s="19">
        <v>5.65</v>
      </c>
      <c r="H21" s="19">
        <v>7.4</v>
      </c>
      <c r="I21" s="19">
        <v>7.4499999999999993</v>
      </c>
      <c r="J21" s="19">
        <v>7.3</v>
      </c>
      <c r="K21" s="19">
        <v>7.5500000000000007</v>
      </c>
      <c r="L21" s="19">
        <v>7.8500000000000005</v>
      </c>
      <c r="M21" s="19">
        <v>0</v>
      </c>
      <c r="N21" s="19"/>
      <c r="O21" s="12"/>
      <c r="P21" s="6" t="s">
        <v>17</v>
      </c>
    </row>
    <row r="22" spans="1:18" ht="24" customHeight="1" x14ac:dyDescent="0.25">
      <c r="A22" s="75">
        <f t="shared" si="0"/>
        <v>16</v>
      </c>
      <c r="B22" s="54">
        <v>0.74444444444444446</v>
      </c>
      <c r="C22" s="55" t="s">
        <v>44</v>
      </c>
      <c r="D22" s="30">
        <v>10</v>
      </c>
      <c r="E22" s="76">
        <v>6</v>
      </c>
      <c r="F22" s="77" t="s">
        <v>33</v>
      </c>
      <c r="G22" s="36">
        <v>5.15</v>
      </c>
      <c r="H22" s="36">
        <v>8.6</v>
      </c>
      <c r="I22" s="36">
        <v>6.5500000000000007</v>
      </c>
      <c r="J22" s="36">
        <v>8.6</v>
      </c>
      <c r="K22" s="36">
        <v>6.65</v>
      </c>
      <c r="L22" s="36">
        <v>5.6</v>
      </c>
      <c r="M22" s="36">
        <v>0</v>
      </c>
      <c r="N22" s="78"/>
      <c r="O22" s="56"/>
      <c r="P22" s="58" t="s">
        <v>38</v>
      </c>
    </row>
    <row r="23" spans="1:18" ht="24" customHeight="1" x14ac:dyDescent="0.25">
      <c r="A23" s="79"/>
      <c r="B23" s="48"/>
      <c r="C23" s="48"/>
      <c r="D23" s="80"/>
      <c r="E23" s="80"/>
      <c r="F23" s="81"/>
      <c r="G23" s="48"/>
      <c r="H23" s="82" t="s">
        <v>146</v>
      </c>
      <c r="I23" s="48"/>
      <c r="J23" s="48"/>
      <c r="K23" s="48"/>
      <c r="L23" s="48"/>
      <c r="M23" s="48"/>
      <c r="N23" s="73"/>
      <c r="O23" s="13"/>
      <c r="P23" s="48"/>
    </row>
    <row r="24" spans="1:18" ht="24" customHeight="1" x14ac:dyDescent="0.25">
      <c r="A24" s="14">
        <f t="shared" si="0"/>
        <v>1</v>
      </c>
      <c r="B24" s="37">
        <v>0.38263888888888892</v>
      </c>
      <c r="C24" s="10" t="s">
        <v>45</v>
      </c>
      <c r="D24" s="30">
        <v>10</v>
      </c>
      <c r="E24" s="30">
        <v>6</v>
      </c>
      <c r="F24" s="21" t="s">
        <v>42</v>
      </c>
      <c r="G24" s="19">
        <v>5.65</v>
      </c>
      <c r="H24" s="19">
        <v>6.5500000000000007</v>
      </c>
      <c r="I24" s="19">
        <v>9.8999999999999986</v>
      </c>
      <c r="J24" s="19">
        <v>6.9499999999999993</v>
      </c>
      <c r="K24" s="19">
        <v>8.15</v>
      </c>
      <c r="L24" s="19">
        <v>8.1</v>
      </c>
      <c r="M24" s="19">
        <v>0</v>
      </c>
      <c r="N24" s="19"/>
      <c r="O24" s="12"/>
      <c r="P24" s="11" t="s">
        <v>48</v>
      </c>
    </row>
    <row r="25" spans="1:18" ht="24" customHeight="1" x14ac:dyDescent="0.25">
      <c r="A25" s="14">
        <f t="shared" si="0"/>
        <v>2</v>
      </c>
      <c r="B25" s="7">
        <v>0.3840277777777778</v>
      </c>
      <c r="C25" s="5" t="s">
        <v>46</v>
      </c>
      <c r="D25" s="30">
        <v>10</v>
      </c>
      <c r="E25" s="29">
        <v>7</v>
      </c>
      <c r="F25" s="21" t="s">
        <v>47</v>
      </c>
      <c r="G25" s="19">
        <v>8.25</v>
      </c>
      <c r="H25" s="19">
        <v>9.0500000000000007</v>
      </c>
      <c r="I25" s="19">
        <v>7.6999999999999993</v>
      </c>
      <c r="J25" s="19">
        <v>6.9499999999999993</v>
      </c>
      <c r="K25" s="19">
        <v>5.9</v>
      </c>
      <c r="L25" s="19">
        <v>5.75</v>
      </c>
      <c r="M25" s="19">
        <v>5.9499999999999993</v>
      </c>
      <c r="N25" s="19"/>
      <c r="O25" s="12"/>
      <c r="P25" s="6" t="s">
        <v>48</v>
      </c>
    </row>
    <row r="26" spans="1:18" ht="24" customHeight="1" x14ac:dyDescent="0.25">
      <c r="A26" s="14">
        <f t="shared" si="0"/>
        <v>3</v>
      </c>
      <c r="B26" s="24">
        <v>0.38819444444444445</v>
      </c>
      <c r="C26" s="23" t="s">
        <v>49</v>
      </c>
      <c r="D26" s="30">
        <v>10</v>
      </c>
      <c r="E26" s="29">
        <v>7</v>
      </c>
      <c r="F26" s="21" t="s">
        <v>47</v>
      </c>
      <c r="G26" s="19">
        <v>8.85</v>
      </c>
      <c r="H26" s="19">
        <v>7.1</v>
      </c>
      <c r="I26" s="19">
        <v>7.25</v>
      </c>
      <c r="J26" s="19">
        <v>7.3</v>
      </c>
      <c r="K26" s="19">
        <v>7.35</v>
      </c>
      <c r="L26" s="19">
        <v>7.1999999999999993</v>
      </c>
      <c r="M26" s="19">
        <v>5</v>
      </c>
      <c r="N26" s="19"/>
      <c r="O26" s="12"/>
      <c r="P26" s="6" t="s">
        <v>48</v>
      </c>
    </row>
    <row r="27" spans="1:18" ht="24" customHeight="1" x14ac:dyDescent="0.25">
      <c r="A27" s="14">
        <f t="shared" si="0"/>
        <v>4</v>
      </c>
      <c r="B27" s="24">
        <v>0.39027777777777778</v>
      </c>
      <c r="C27" s="23" t="s">
        <v>50</v>
      </c>
      <c r="D27" s="30">
        <v>10</v>
      </c>
      <c r="E27" s="29">
        <v>6</v>
      </c>
      <c r="F27" s="21" t="s">
        <v>33</v>
      </c>
      <c r="G27" s="19">
        <v>5.45</v>
      </c>
      <c r="H27" s="19">
        <v>7.75</v>
      </c>
      <c r="I27" s="19">
        <v>7.9</v>
      </c>
      <c r="J27" s="19">
        <v>8.6000000000000014</v>
      </c>
      <c r="K27" s="19">
        <v>7.6</v>
      </c>
      <c r="L27" s="19">
        <v>6.75</v>
      </c>
      <c r="M27" s="19">
        <v>0</v>
      </c>
      <c r="N27" s="19"/>
      <c r="O27" s="12"/>
      <c r="P27" s="6" t="s">
        <v>48</v>
      </c>
    </row>
    <row r="28" spans="1:18" ht="24" customHeight="1" x14ac:dyDescent="0.25">
      <c r="A28" s="14">
        <f t="shared" si="0"/>
        <v>5</v>
      </c>
      <c r="B28" s="24">
        <v>0.40625</v>
      </c>
      <c r="C28" s="23" t="s">
        <v>51</v>
      </c>
      <c r="D28" s="30">
        <v>10</v>
      </c>
      <c r="E28" s="29">
        <v>6</v>
      </c>
      <c r="F28" s="21" t="s">
        <v>35</v>
      </c>
      <c r="G28" s="19">
        <v>5.0999999999999996</v>
      </c>
      <c r="H28" s="19">
        <v>6.45</v>
      </c>
      <c r="I28" s="19">
        <v>9.75</v>
      </c>
      <c r="J28" s="19">
        <v>7.95</v>
      </c>
      <c r="K28" s="19">
        <v>7.45</v>
      </c>
      <c r="L28" s="19">
        <v>6.4</v>
      </c>
      <c r="M28" s="19">
        <v>0</v>
      </c>
      <c r="N28" s="19"/>
      <c r="O28" s="12"/>
      <c r="P28" s="6" t="s">
        <v>48</v>
      </c>
    </row>
    <row r="29" spans="1:18" ht="24" customHeight="1" x14ac:dyDescent="0.25">
      <c r="A29" s="14">
        <f t="shared" si="0"/>
        <v>6</v>
      </c>
      <c r="B29" s="24">
        <v>0.42430555555555555</v>
      </c>
      <c r="C29" s="23" t="s">
        <v>52</v>
      </c>
      <c r="D29" s="30">
        <v>10</v>
      </c>
      <c r="E29" s="29">
        <v>6</v>
      </c>
      <c r="F29" s="21" t="s">
        <v>33</v>
      </c>
      <c r="G29" s="19">
        <v>4.8</v>
      </c>
      <c r="H29" s="19">
        <v>9.1</v>
      </c>
      <c r="I29" s="19">
        <v>8.0500000000000007</v>
      </c>
      <c r="J29" s="19">
        <v>7.75</v>
      </c>
      <c r="K29" s="19">
        <v>6.85</v>
      </c>
      <c r="L29" s="19">
        <v>6.8000000000000007</v>
      </c>
      <c r="M29" s="19">
        <v>0</v>
      </c>
      <c r="N29" s="19"/>
      <c r="O29" s="12"/>
      <c r="P29" s="6" t="s">
        <v>48</v>
      </c>
    </row>
    <row r="30" spans="1:18" ht="24" customHeight="1" x14ac:dyDescent="0.25">
      <c r="A30" s="14">
        <f t="shared" si="0"/>
        <v>7</v>
      </c>
      <c r="B30" s="24">
        <v>0.44305555555555554</v>
      </c>
      <c r="C30" s="23" t="s">
        <v>53</v>
      </c>
      <c r="D30" s="30">
        <v>10</v>
      </c>
      <c r="E30" s="29">
        <v>7</v>
      </c>
      <c r="F30" s="21" t="s">
        <v>47</v>
      </c>
      <c r="G30" s="19">
        <v>7.35</v>
      </c>
      <c r="H30" s="19">
        <v>7.45</v>
      </c>
      <c r="I30" s="19">
        <v>7.25</v>
      </c>
      <c r="J30" s="19">
        <v>8.1</v>
      </c>
      <c r="K30" s="19">
        <v>7.65</v>
      </c>
      <c r="L30" s="19">
        <v>7.3</v>
      </c>
      <c r="M30" s="19">
        <v>5.9</v>
      </c>
      <c r="N30" s="19"/>
      <c r="O30" s="12"/>
      <c r="P30" s="6" t="s">
        <v>48</v>
      </c>
    </row>
    <row r="31" spans="1:18" ht="24" customHeight="1" x14ac:dyDescent="0.25">
      <c r="A31" s="14">
        <f t="shared" si="0"/>
        <v>8</v>
      </c>
      <c r="B31" s="7">
        <v>0.47291666666666665</v>
      </c>
      <c r="C31" s="5" t="s">
        <v>54</v>
      </c>
      <c r="D31" s="30">
        <v>10</v>
      </c>
      <c r="E31" s="29">
        <v>7</v>
      </c>
      <c r="F31" s="21" t="s">
        <v>47</v>
      </c>
      <c r="G31" s="19">
        <v>6.7</v>
      </c>
      <c r="H31" s="19">
        <v>7.4499999999999993</v>
      </c>
      <c r="I31" s="19">
        <v>8.0500000000000007</v>
      </c>
      <c r="J31" s="19">
        <v>6.1999999999999993</v>
      </c>
      <c r="K31" s="19">
        <v>7.25</v>
      </c>
      <c r="L31" s="19">
        <v>8</v>
      </c>
      <c r="M31" s="19">
        <v>8.1999999999999993</v>
      </c>
      <c r="N31" s="19"/>
      <c r="O31" s="12"/>
      <c r="P31" s="6" t="s">
        <v>48</v>
      </c>
    </row>
    <row r="32" spans="1:18" ht="24" customHeight="1" x14ac:dyDescent="0.25">
      <c r="A32" s="14">
        <f t="shared" si="0"/>
        <v>9</v>
      </c>
      <c r="B32" s="33">
        <v>0.54583333333333328</v>
      </c>
      <c r="C32" s="39" t="s">
        <v>55</v>
      </c>
      <c r="D32" s="30">
        <v>7</v>
      </c>
      <c r="E32" s="29">
        <v>2</v>
      </c>
      <c r="F32" s="21" t="s">
        <v>12</v>
      </c>
      <c r="G32" s="19">
        <v>5.0500000000000007</v>
      </c>
      <c r="H32" s="19">
        <v>11.3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/>
      <c r="O32" s="12"/>
      <c r="P32" s="6" t="s">
        <v>57</v>
      </c>
    </row>
    <row r="33" spans="1:16" ht="24" customHeight="1" x14ac:dyDescent="0.25">
      <c r="A33" s="14">
        <f t="shared" si="0"/>
        <v>10</v>
      </c>
      <c r="B33" s="7">
        <v>0.57013888888888886</v>
      </c>
      <c r="C33" s="5" t="s">
        <v>56</v>
      </c>
      <c r="D33" s="30">
        <v>10</v>
      </c>
      <c r="E33" s="29">
        <v>7</v>
      </c>
      <c r="F33" s="21" t="s">
        <v>47</v>
      </c>
      <c r="G33" s="19">
        <v>8.15</v>
      </c>
      <c r="H33" s="19">
        <v>7.1499999999999995</v>
      </c>
      <c r="I33" s="19">
        <v>6.8</v>
      </c>
      <c r="J33" s="19">
        <v>7.1</v>
      </c>
      <c r="K33" s="19">
        <v>7</v>
      </c>
      <c r="L33" s="19">
        <v>5.85</v>
      </c>
      <c r="M33" s="19">
        <v>6.6</v>
      </c>
      <c r="N33" s="19"/>
      <c r="O33" s="12"/>
      <c r="P33" s="6" t="s">
        <v>48</v>
      </c>
    </row>
    <row r="34" spans="1:16" ht="24" customHeight="1" x14ac:dyDescent="0.25">
      <c r="A34" s="14">
        <f t="shared" si="0"/>
        <v>11</v>
      </c>
      <c r="B34" s="7">
        <v>0.57847222222222217</v>
      </c>
      <c r="C34" s="5" t="s">
        <v>58</v>
      </c>
      <c r="D34" s="30">
        <v>10</v>
      </c>
      <c r="E34" s="29">
        <v>7</v>
      </c>
      <c r="F34" s="21" t="s">
        <v>47</v>
      </c>
      <c r="G34" s="19">
        <v>8.0500000000000007</v>
      </c>
      <c r="H34" s="19">
        <v>10.050000000000001</v>
      </c>
      <c r="I34" s="19">
        <v>7.95</v>
      </c>
      <c r="J34" s="19">
        <v>8</v>
      </c>
      <c r="K34" s="19">
        <v>8.75</v>
      </c>
      <c r="L34" s="19">
        <v>5.6</v>
      </c>
      <c r="M34" s="19">
        <v>5.65</v>
      </c>
      <c r="N34" s="19"/>
      <c r="O34" s="12"/>
      <c r="P34" s="6" t="s">
        <v>48</v>
      </c>
    </row>
    <row r="35" spans="1:16" ht="24" customHeight="1" x14ac:dyDescent="0.25">
      <c r="A35" s="14">
        <f t="shared" si="0"/>
        <v>12</v>
      </c>
      <c r="B35" s="7">
        <v>0.64444444444444449</v>
      </c>
      <c r="C35" s="5" t="s">
        <v>59</v>
      </c>
      <c r="D35" s="30">
        <v>10</v>
      </c>
      <c r="E35" s="29">
        <v>6</v>
      </c>
      <c r="F35" s="21" t="s">
        <v>60</v>
      </c>
      <c r="G35" s="19">
        <v>6.4499999999999993</v>
      </c>
      <c r="H35" s="19">
        <v>7.5500000000000007</v>
      </c>
      <c r="I35" s="19">
        <v>7.1499999999999995</v>
      </c>
      <c r="J35" s="19">
        <v>6.05</v>
      </c>
      <c r="K35" s="19">
        <v>7.2</v>
      </c>
      <c r="L35" s="19">
        <v>7.9</v>
      </c>
      <c r="M35" s="19">
        <v>0</v>
      </c>
      <c r="N35" s="19"/>
      <c r="O35" s="12"/>
      <c r="P35" s="6" t="s">
        <v>48</v>
      </c>
    </row>
    <row r="36" spans="1:16" ht="24" customHeight="1" x14ac:dyDescent="0.25">
      <c r="A36" s="14">
        <f t="shared" si="0"/>
        <v>13</v>
      </c>
      <c r="B36" s="7">
        <v>0.6479166666666667</v>
      </c>
      <c r="C36" s="5" t="s">
        <v>61</v>
      </c>
      <c r="D36" s="30">
        <v>7</v>
      </c>
      <c r="E36" s="29">
        <v>2</v>
      </c>
      <c r="F36" s="21" t="s">
        <v>12</v>
      </c>
      <c r="G36" s="19">
        <v>5.4</v>
      </c>
      <c r="H36" s="19">
        <v>11.8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/>
      <c r="O36" s="12"/>
      <c r="P36" s="6" t="s">
        <v>62</v>
      </c>
    </row>
    <row r="37" spans="1:16" ht="24" customHeight="1" x14ac:dyDescent="0.25">
      <c r="A37" s="14">
        <f t="shared" si="0"/>
        <v>14</v>
      </c>
      <c r="B37" s="7">
        <v>0.65902777777777777</v>
      </c>
      <c r="C37" s="5" t="s">
        <v>63</v>
      </c>
      <c r="D37" s="30">
        <v>7</v>
      </c>
      <c r="E37" s="29">
        <v>2</v>
      </c>
      <c r="F37" s="21" t="s">
        <v>12</v>
      </c>
      <c r="G37" s="19">
        <v>4.5</v>
      </c>
      <c r="H37" s="19">
        <v>9.9499999999999993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/>
      <c r="O37" s="12"/>
      <c r="P37" s="6" t="s">
        <v>62</v>
      </c>
    </row>
    <row r="38" spans="1:16" ht="24" customHeight="1" x14ac:dyDescent="0.25">
      <c r="A38" s="14">
        <f t="shared" si="0"/>
        <v>15</v>
      </c>
      <c r="B38" s="7">
        <v>0.6791666666666667</v>
      </c>
      <c r="C38" s="5" t="s">
        <v>64</v>
      </c>
      <c r="D38" s="30">
        <v>10</v>
      </c>
      <c r="E38" s="29">
        <v>6</v>
      </c>
      <c r="F38" s="21" t="s">
        <v>65</v>
      </c>
      <c r="G38" s="19">
        <v>6.25</v>
      </c>
      <c r="H38" s="19">
        <v>7.25</v>
      </c>
      <c r="I38" s="19">
        <v>8</v>
      </c>
      <c r="J38" s="19">
        <v>8.0500000000000007</v>
      </c>
      <c r="K38" s="19">
        <v>7.25</v>
      </c>
      <c r="L38" s="19">
        <v>7.25</v>
      </c>
      <c r="M38" s="19">
        <v>0</v>
      </c>
      <c r="N38" s="19"/>
      <c r="O38" s="12"/>
      <c r="P38" s="6" t="s">
        <v>48</v>
      </c>
    </row>
    <row r="39" spans="1:16" ht="24" customHeight="1" x14ac:dyDescent="0.25">
      <c r="A39" s="14">
        <f t="shared" si="0"/>
        <v>16</v>
      </c>
      <c r="B39" s="7">
        <v>0.68541666666666667</v>
      </c>
      <c r="C39" s="5" t="s">
        <v>66</v>
      </c>
      <c r="D39" s="30">
        <v>7</v>
      </c>
      <c r="E39" s="29">
        <v>2</v>
      </c>
      <c r="F39" s="21" t="s">
        <v>12</v>
      </c>
      <c r="G39" s="19">
        <v>4.75</v>
      </c>
      <c r="H39" s="19">
        <v>11.3</v>
      </c>
      <c r="I39" s="19">
        <v>0</v>
      </c>
      <c r="J39" s="19">
        <v>0</v>
      </c>
      <c r="K39" s="19">
        <v>0</v>
      </c>
      <c r="L39" s="19">
        <v>0</v>
      </c>
      <c r="M39" s="19">
        <v>0</v>
      </c>
      <c r="N39" s="19"/>
      <c r="O39" s="12"/>
      <c r="P39" s="6" t="s">
        <v>62</v>
      </c>
    </row>
    <row r="40" spans="1:16" ht="24" customHeight="1" thickBot="1" x14ac:dyDescent="0.3">
      <c r="A40" s="40">
        <f t="shared" si="0"/>
        <v>17</v>
      </c>
      <c r="B40" s="41">
        <v>0.73263888888888884</v>
      </c>
      <c r="C40" s="42" t="s">
        <v>67</v>
      </c>
      <c r="D40" s="43">
        <v>7</v>
      </c>
      <c r="E40" s="43">
        <v>2</v>
      </c>
      <c r="F40" s="44" t="s">
        <v>12</v>
      </c>
      <c r="G40" s="19">
        <v>4.6999999999999993</v>
      </c>
      <c r="H40" s="19">
        <v>11.55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46"/>
      <c r="O40" s="45"/>
      <c r="P40" s="47" t="s">
        <v>68</v>
      </c>
    </row>
    <row r="41" spans="1:16" ht="24" customHeight="1" x14ac:dyDescent="0.25">
      <c r="A41" s="14"/>
      <c r="B41" s="37"/>
      <c r="C41" s="10"/>
      <c r="D41" s="30"/>
      <c r="E41" s="30"/>
      <c r="F41" s="21"/>
      <c r="G41" s="12"/>
      <c r="H41" s="12"/>
      <c r="I41" s="12"/>
      <c r="J41" s="12"/>
      <c r="K41" s="12"/>
      <c r="L41" s="12"/>
      <c r="M41" s="12"/>
      <c r="N41" s="19"/>
      <c r="O41" s="12"/>
      <c r="P41" s="11"/>
    </row>
    <row r="42" spans="1:16" ht="24" customHeight="1" x14ac:dyDescent="0.25">
      <c r="A42" s="14"/>
      <c r="B42" s="25"/>
      <c r="C42" s="5"/>
      <c r="D42" s="30"/>
      <c r="E42" s="29"/>
      <c r="F42" s="21"/>
      <c r="G42" s="13"/>
      <c r="H42" s="13"/>
      <c r="I42" s="13"/>
      <c r="J42" s="13"/>
      <c r="K42" s="13"/>
      <c r="L42" s="13"/>
      <c r="M42" s="13"/>
      <c r="N42" s="19"/>
      <c r="O42" s="12"/>
      <c r="P42" s="6"/>
    </row>
    <row r="43" spans="1:16" ht="24" customHeight="1" x14ac:dyDescent="0.25">
      <c r="A43" s="14"/>
      <c r="B43" s="7"/>
      <c r="C43" s="5"/>
      <c r="D43" s="30"/>
      <c r="E43" s="29"/>
      <c r="F43" s="21"/>
      <c r="G43" s="13"/>
      <c r="H43" s="13"/>
      <c r="I43" s="13"/>
      <c r="J43" s="13"/>
      <c r="K43" s="13"/>
      <c r="L43" s="13"/>
      <c r="M43" s="13"/>
      <c r="N43" s="19"/>
      <c r="O43" s="12"/>
      <c r="P43" s="6"/>
    </row>
    <row r="44" spans="1:16" ht="24" customHeight="1" x14ac:dyDescent="0.25">
      <c r="A44" s="14"/>
      <c r="B44" s="7"/>
      <c r="C44" s="5"/>
      <c r="D44" s="30"/>
      <c r="E44" s="29"/>
      <c r="F44" s="21"/>
      <c r="G44" s="13"/>
      <c r="H44" s="13"/>
      <c r="I44" s="13"/>
      <c r="J44" s="13"/>
      <c r="K44" s="13"/>
      <c r="L44" s="13"/>
      <c r="M44" s="13"/>
      <c r="N44" s="19"/>
      <c r="O44" s="12"/>
      <c r="P44" s="6"/>
    </row>
    <row r="45" spans="1:16" ht="24" customHeight="1" x14ac:dyDescent="0.25">
      <c r="A45" s="14"/>
      <c r="B45" s="7"/>
      <c r="C45" s="5"/>
      <c r="D45" s="30"/>
      <c r="E45" s="29"/>
      <c r="F45" s="21"/>
      <c r="G45" s="13"/>
      <c r="H45" s="13"/>
      <c r="I45" s="13"/>
      <c r="J45" s="13"/>
      <c r="K45" s="13"/>
      <c r="L45" s="13"/>
      <c r="M45" s="13"/>
      <c r="N45" s="19"/>
      <c r="O45" s="12"/>
      <c r="P45" s="6"/>
    </row>
    <row r="46" spans="1:16" ht="24" customHeight="1" x14ac:dyDescent="0.25">
      <c r="A46" s="14"/>
      <c r="B46" s="7"/>
      <c r="C46" s="5"/>
      <c r="D46" s="30"/>
      <c r="E46" s="29"/>
      <c r="F46" s="21"/>
      <c r="G46" s="13"/>
      <c r="H46" s="13"/>
      <c r="I46" s="13"/>
      <c r="J46" s="13"/>
      <c r="K46" s="13"/>
      <c r="L46" s="13"/>
      <c r="M46" s="13"/>
      <c r="N46" s="19"/>
      <c r="O46" s="12"/>
      <c r="P46" s="6"/>
    </row>
    <row r="47" spans="1:16" ht="24" customHeight="1" x14ac:dyDescent="0.25">
      <c r="A47" s="14"/>
      <c r="B47" s="7"/>
      <c r="C47" s="5"/>
      <c r="D47" s="30"/>
      <c r="E47" s="29"/>
      <c r="F47" s="21"/>
      <c r="G47" s="13"/>
      <c r="H47" s="13"/>
      <c r="I47" s="13"/>
      <c r="J47" s="13"/>
      <c r="K47" s="13"/>
      <c r="L47" s="13"/>
      <c r="M47" s="13"/>
      <c r="N47" s="19"/>
      <c r="O47" s="12"/>
      <c r="P47" s="6"/>
    </row>
    <row r="48" spans="1:16" ht="24" customHeight="1" x14ac:dyDescent="0.25">
      <c r="A48" s="14"/>
      <c r="B48" s="7"/>
      <c r="C48" s="5"/>
      <c r="D48" s="30"/>
      <c r="E48" s="29"/>
      <c r="F48" s="21"/>
      <c r="G48" s="13"/>
      <c r="H48" s="13"/>
      <c r="I48" s="13"/>
      <c r="J48" s="13"/>
      <c r="K48" s="13"/>
      <c r="L48" s="13"/>
      <c r="M48" s="13"/>
      <c r="N48" s="19"/>
      <c r="O48" s="12"/>
      <c r="P48" s="6"/>
    </row>
    <row r="49" spans="1:16" ht="24" customHeight="1" x14ac:dyDescent="0.25">
      <c r="A49" s="14"/>
      <c r="B49" s="7"/>
      <c r="C49" s="5"/>
      <c r="D49" s="30"/>
      <c r="E49" s="29"/>
      <c r="F49" s="21"/>
      <c r="G49" s="13"/>
      <c r="H49" s="13"/>
      <c r="I49" s="13"/>
      <c r="J49" s="13"/>
      <c r="K49" s="13"/>
      <c r="L49" s="13"/>
      <c r="M49" s="13"/>
      <c r="N49" s="19"/>
      <c r="O49" s="12"/>
      <c r="P49" s="6"/>
    </row>
    <row r="50" spans="1:16" ht="24" customHeight="1" x14ac:dyDescent="0.25">
      <c r="A50" s="14"/>
      <c r="B50" s="7"/>
      <c r="C50" s="5"/>
      <c r="D50" s="29"/>
      <c r="E50" s="29"/>
      <c r="F50" s="18"/>
      <c r="G50" s="13"/>
      <c r="H50" s="13"/>
      <c r="I50" s="13"/>
      <c r="J50" s="13"/>
      <c r="K50" s="13"/>
      <c r="L50" s="13"/>
      <c r="M50" s="13"/>
      <c r="N50" s="19"/>
      <c r="O50" s="12"/>
      <c r="P50" s="6"/>
    </row>
    <row r="51" spans="1:16" ht="24" customHeight="1" x14ac:dyDescent="0.25">
      <c r="A51" s="14"/>
      <c r="B51" s="7"/>
      <c r="C51" s="5"/>
      <c r="D51" s="30"/>
      <c r="E51" s="29"/>
      <c r="F51" s="21"/>
      <c r="G51" s="13"/>
      <c r="H51" s="13"/>
      <c r="I51" s="13"/>
      <c r="J51" s="13"/>
      <c r="K51" s="13"/>
      <c r="L51" s="13"/>
      <c r="M51" s="13"/>
      <c r="N51" s="19"/>
      <c r="O51" s="12"/>
      <c r="P51" s="6"/>
    </row>
    <row r="52" spans="1:16" ht="24" customHeight="1" x14ac:dyDescent="0.25">
      <c r="A52" s="14"/>
      <c r="B52" s="7"/>
      <c r="C52" s="5"/>
      <c r="D52" s="30"/>
      <c r="E52" s="29"/>
      <c r="F52" s="21"/>
      <c r="G52" s="13"/>
      <c r="H52" s="13"/>
      <c r="I52" s="13"/>
      <c r="J52" s="13"/>
      <c r="K52" s="13"/>
      <c r="L52" s="13"/>
      <c r="M52" s="13"/>
      <c r="N52" s="19"/>
      <c r="O52" s="12"/>
      <c r="P52" s="6"/>
    </row>
    <row r="53" spans="1:16" ht="24" customHeight="1" x14ac:dyDescent="0.25">
      <c r="A53" s="14"/>
      <c r="B53" s="7"/>
      <c r="C53" s="5"/>
      <c r="D53" s="30"/>
      <c r="E53" s="29"/>
      <c r="F53" s="21"/>
      <c r="G53" s="13"/>
      <c r="H53" s="13"/>
      <c r="I53" s="13"/>
      <c r="J53" s="13"/>
      <c r="K53" s="13"/>
      <c r="L53" s="13"/>
      <c r="M53" s="13"/>
      <c r="N53" s="19"/>
      <c r="O53" s="12"/>
      <c r="P53" s="6"/>
    </row>
    <row r="54" spans="1:16" ht="24" customHeight="1" x14ac:dyDescent="0.25">
      <c r="A54" s="14"/>
      <c r="B54" s="7"/>
      <c r="C54" s="5"/>
      <c r="D54" s="30"/>
      <c r="E54" s="29"/>
      <c r="F54" s="21"/>
      <c r="G54" s="13"/>
      <c r="H54" s="13"/>
      <c r="I54" s="13"/>
      <c r="J54" s="13"/>
      <c r="K54" s="13"/>
      <c r="L54" s="13"/>
      <c r="M54" s="13"/>
      <c r="N54" s="19"/>
      <c r="O54" s="12"/>
      <c r="P54" s="6"/>
    </row>
    <row r="55" spans="1:16" ht="24" customHeight="1" x14ac:dyDescent="0.25">
      <c r="A55" s="14"/>
      <c r="B55" s="7"/>
      <c r="C55" s="5"/>
      <c r="D55" s="30"/>
      <c r="E55" s="29"/>
      <c r="F55" s="21"/>
      <c r="G55" s="13"/>
      <c r="H55" s="13"/>
      <c r="I55" s="13"/>
      <c r="J55" s="13"/>
      <c r="K55" s="13"/>
      <c r="L55" s="13"/>
      <c r="M55" s="13"/>
      <c r="N55" s="19"/>
      <c r="O55" s="12"/>
      <c r="P55" s="6"/>
    </row>
    <row r="56" spans="1:16" ht="24" customHeight="1" x14ac:dyDescent="0.25">
      <c r="A56" s="14"/>
      <c r="B56" s="7"/>
      <c r="C56" s="5"/>
      <c r="D56" s="30"/>
      <c r="E56" s="29"/>
      <c r="F56" s="21"/>
      <c r="G56" s="13"/>
      <c r="H56" s="13"/>
      <c r="I56" s="13"/>
      <c r="J56" s="13"/>
      <c r="K56" s="13"/>
      <c r="L56" s="13"/>
      <c r="M56" s="13"/>
      <c r="N56" s="19"/>
      <c r="O56" s="12"/>
      <c r="P56" s="6"/>
    </row>
    <row r="57" spans="1:16" ht="24" customHeight="1" x14ac:dyDescent="0.25">
      <c r="A57" s="14"/>
      <c r="B57" s="7"/>
      <c r="C57" s="5"/>
      <c r="D57" s="30"/>
      <c r="E57" s="29"/>
      <c r="F57" s="21"/>
      <c r="G57" s="13"/>
      <c r="H57" s="13"/>
      <c r="I57" s="13"/>
      <c r="J57" s="13"/>
      <c r="K57" s="13"/>
      <c r="L57" s="13"/>
      <c r="M57" s="13"/>
      <c r="N57" s="19"/>
      <c r="O57" s="12"/>
      <c r="P57" s="6"/>
    </row>
    <row r="58" spans="1:16" ht="24" customHeight="1" x14ac:dyDescent="0.25">
      <c r="A58" s="14"/>
      <c r="B58" s="7"/>
      <c r="C58" s="5"/>
      <c r="D58" s="30"/>
      <c r="E58" s="29"/>
      <c r="F58" s="21"/>
      <c r="G58" s="13"/>
      <c r="H58" s="13"/>
      <c r="I58" s="13"/>
      <c r="J58" s="13"/>
      <c r="K58" s="13"/>
      <c r="L58" s="13"/>
      <c r="M58" s="13"/>
      <c r="N58" s="19"/>
      <c r="O58" s="12"/>
      <c r="P58" s="6"/>
    </row>
    <row r="59" spans="1:16" ht="24" customHeight="1" x14ac:dyDescent="0.25">
      <c r="A59" s="14"/>
      <c r="B59" s="7"/>
      <c r="C59" s="5"/>
      <c r="D59" s="30"/>
      <c r="E59" s="29"/>
      <c r="F59" s="21"/>
      <c r="G59" s="13"/>
      <c r="H59" s="13"/>
      <c r="I59" s="13"/>
      <c r="J59" s="13"/>
      <c r="K59" s="13"/>
      <c r="L59" s="13"/>
      <c r="M59" s="13"/>
      <c r="N59" s="19"/>
      <c r="O59" s="12"/>
      <c r="P59" s="6"/>
    </row>
    <row r="60" spans="1:16" ht="24" customHeight="1" x14ac:dyDescent="0.25">
      <c r="A60" s="14"/>
      <c r="B60" s="7"/>
      <c r="C60" s="5"/>
      <c r="D60" s="30"/>
      <c r="E60" s="29"/>
      <c r="F60" s="21"/>
      <c r="G60" s="13"/>
      <c r="H60" s="13"/>
      <c r="I60" s="13"/>
      <c r="J60" s="13"/>
      <c r="K60" s="13"/>
      <c r="L60" s="13"/>
      <c r="M60" s="13"/>
      <c r="N60" s="19"/>
      <c r="O60" s="12"/>
      <c r="P60" s="6"/>
    </row>
    <row r="61" spans="1:16" ht="24" customHeight="1" x14ac:dyDescent="0.25">
      <c r="A61" s="14"/>
      <c r="B61" s="7"/>
      <c r="C61" s="5"/>
      <c r="D61" s="29"/>
      <c r="E61" s="29"/>
      <c r="F61" s="21"/>
      <c r="G61" s="13"/>
      <c r="H61" s="13"/>
      <c r="I61" s="13"/>
      <c r="J61" s="13"/>
      <c r="K61" s="13"/>
      <c r="L61" s="13"/>
      <c r="M61" s="13"/>
      <c r="N61" s="19"/>
      <c r="O61" s="12"/>
      <c r="P61" s="6"/>
    </row>
    <row r="62" spans="1:16" ht="24" customHeight="1" x14ac:dyDescent="0.25">
      <c r="A62" s="14"/>
      <c r="B62" s="7"/>
      <c r="C62" s="7"/>
      <c r="D62" s="29"/>
      <c r="E62" s="29"/>
      <c r="F62" s="21"/>
      <c r="G62" s="13"/>
      <c r="H62" s="13"/>
      <c r="I62" s="13"/>
      <c r="J62" s="13"/>
      <c r="K62" s="13"/>
      <c r="L62" s="13"/>
      <c r="M62" s="13"/>
      <c r="N62" s="19"/>
      <c r="O62" s="12"/>
      <c r="P62" s="6"/>
    </row>
    <row r="63" spans="1:16" ht="24" customHeight="1" x14ac:dyDescent="0.25">
      <c r="A63" s="14"/>
      <c r="B63" s="7"/>
      <c r="C63" s="5"/>
      <c r="D63" s="29"/>
      <c r="E63" s="29"/>
      <c r="F63" s="21"/>
      <c r="G63" s="13"/>
      <c r="H63" s="13"/>
      <c r="I63" s="13"/>
      <c r="J63" s="13"/>
      <c r="K63" s="13"/>
      <c r="L63" s="13"/>
      <c r="M63" s="13"/>
      <c r="N63" s="19"/>
      <c r="O63" s="12"/>
      <c r="P63" s="6"/>
    </row>
    <row r="64" spans="1:16" ht="24" customHeight="1" x14ac:dyDescent="0.25">
      <c r="A64" s="14"/>
      <c r="B64" s="7"/>
      <c r="C64" s="5"/>
      <c r="D64" s="29"/>
      <c r="E64" s="29"/>
      <c r="F64" s="21"/>
      <c r="G64" s="13"/>
      <c r="H64" s="13"/>
      <c r="I64" s="13"/>
      <c r="J64" s="13"/>
      <c r="K64" s="13"/>
      <c r="L64" s="13"/>
      <c r="M64" s="13"/>
      <c r="N64" s="19"/>
      <c r="O64" s="12"/>
      <c r="P64" s="6"/>
    </row>
    <row r="65" spans="1:16" ht="24" customHeight="1" x14ac:dyDescent="0.25">
      <c r="A65" s="14"/>
      <c r="B65" s="7"/>
      <c r="C65" s="5"/>
      <c r="D65" s="29"/>
      <c r="E65" s="29"/>
      <c r="F65" s="21"/>
      <c r="G65" s="13"/>
      <c r="H65" s="13"/>
      <c r="I65" s="13"/>
      <c r="J65" s="13"/>
      <c r="K65" s="13"/>
      <c r="L65" s="13"/>
      <c r="M65" s="13"/>
      <c r="N65" s="19"/>
      <c r="O65" s="12"/>
      <c r="P65" s="6"/>
    </row>
    <row r="66" spans="1:16" ht="24" customHeight="1" x14ac:dyDescent="0.25">
      <c r="A66" s="14"/>
      <c r="B66" s="7"/>
      <c r="C66" s="5"/>
      <c r="D66" s="29"/>
      <c r="E66" s="29"/>
      <c r="F66" s="21"/>
      <c r="G66" s="13"/>
      <c r="H66" s="13"/>
      <c r="I66" s="13"/>
      <c r="J66" s="13"/>
      <c r="K66" s="13"/>
      <c r="L66" s="13"/>
      <c r="M66" s="13"/>
      <c r="N66" s="19"/>
      <c r="O66" s="12"/>
      <c r="P66" s="6"/>
    </row>
    <row r="67" spans="1:16" ht="24" customHeight="1" x14ac:dyDescent="0.25">
      <c r="A67" s="14"/>
      <c r="B67" s="7"/>
      <c r="C67" s="5"/>
      <c r="D67" s="29"/>
      <c r="E67" s="29"/>
      <c r="F67" s="21"/>
      <c r="G67" s="13"/>
      <c r="H67" s="13"/>
      <c r="I67" s="13"/>
      <c r="J67" s="13"/>
      <c r="K67" s="13"/>
      <c r="L67" s="13"/>
      <c r="M67" s="13"/>
      <c r="N67" s="19"/>
      <c r="O67" s="12"/>
      <c r="P67" s="6"/>
    </row>
    <row r="68" spans="1:16" ht="24" customHeight="1" x14ac:dyDescent="0.25">
      <c r="A68" s="14"/>
      <c r="B68" s="7"/>
      <c r="C68" s="5"/>
      <c r="D68" s="29"/>
      <c r="E68" s="29"/>
      <c r="F68" s="17"/>
      <c r="G68" s="13"/>
      <c r="H68" s="13"/>
      <c r="I68" s="13"/>
      <c r="J68" s="13"/>
      <c r="K68" s="13"/>
      <c r="L68" s="13"/>
      <c r="M68" s="13"/>
      <c r="N68" s="19"/>
      <c r="O68" s="12"/>
      <c r="P68" s="6"/>
    </row>
    <row r="69" spans="1:16" ht="24" customHeight="1" x14ac:dyDescent="0.25">
      <c r="A69" s="14"/>
      <c r="B69" s="7"/>
      <c r="C69" s="5"/>
      <c r="D69" s="29"/>
      <c r="E69" s="29"/>
      <c r="F69" s="21"/>
      <c r="G69" s="13"/>
      <c r="H69" s="13"/>
      <c r="I69" s="13"/>
      <c r="J69" s="13"/>
      <c r="K69" s="13"/>
      <c r="L69" s="13"/>
      <c r="M69" s="13"/>
      <c r="N69" s="12"/>
      <c r="O69" s="12"/>
      <c r="P69" s="6"/>
    </row>
    <row r="70" spans="1:16" ht="24" customHeight="1" x14ac:dyDescent="0.25">
      <c r="A70" s="14"/>
      <c r="B70" s="7"/>
      <c r="C70" s="5"/>
      <c r="D70" s="29"/>
      <c r="E70" s="29"/>
      <c r="F70" s="21"/>
      <c r="G70" s="13"/>
      <c r="H70" s="13"/>
      <c r="I70" s="13"/>
      <c r="J70" s="13"/>
      <c r="K70" s="13"/>
      <c r="L70" s="13"/>
      <c r="M70" s="13"/>
      <c r="N70" s="12"/>
      <c r="O70" s="12"/>
      <c r="P70" s="6"/>
    </row>
    <row r="71" spans="1:16" ht="24" customHeight="1" x14ac:dyDescent="0.25">
      <c r="A71" s="14"/>
      <c r="B71" s="7"/>
      <c r="C71" s="5"/>
      <c r="D71" s="29"/>
      <c r="E71" s="29"/>
      <c r="F71" s="21"/>
      <c r="G71" s="13"/>
      <c r="H71" s="13"/>
      <c r="I71" s="13"/>
      <c r="J71" s="13"/>
      <c r="K71" s="13"/>
      <c r="L71" s="13"/>
      <c r="M71" s="13"/>
      <c r="N71" s="12"/>
      <c r="O71" s="12"/>
      <c r="P71" s="6"/>
    </row>
    <row r="72" spans="1:16" ht="24" customHeight="1" x14ac:dyDescent="0.25">
      <c r="A72" s="14"/>
      <c r="B72" s="7"/>
      <c r="C72" s="5"/>
      <c r="D72" s="29"/>
      <c r="E72" s="29"/>
      <c r="F72" s="17"/>
      <c r="G72" s="13"/>
      <c r="H72" s="13"/>
      <c r="I72" s="13"/>
      <c r="J72" s="13"/>
      <c r="K72" s="13"/>
      <c r="L72" s="13"/>
      <c r="M72" s="13"/>
      <c r="N72" s="12"/>
      <c r="O72" s="12"/>
      <c r="P72" s="6"/>
    </row>
    <row r="73" spans="1:16" ht="24" customHeight="1" x14ac:dyDescent="0.25">
      <c r="A73" s="14"/>
      <c r="B73" s="7"/>
      <c r="C73" s="5"/>
      <c r="D73" s="29"/>
      <c r="E73" s="29"/>
      <c r="F73" s="17"/>
      <c r="G73" s="13"/>
      <c r="H73" s="13"/>
      <c r="I73" s="13"/>
      <c r="J73" s="13"/>
      <c r="K73" s="13"/>
      <c r="L73" s="13"/>
      <c r="M73" s="13"/>
      <c r="N73" s="12"/>
      <c r="O73" s="12"/>
      <c r="P73" s="6"/>
    </row>
    <row r="74" spans="1:16" ht="24" customHeight="1" x14ac:dyDescent="0.25">
      <c r="A74" s="14"/>
      <c r="B74" s="7"/>
      <c r="C74" s="5"/>
      <c r="D74" s="29"/>
      <c r="E74" s="29"/>
      <c r="F74" s="21"/>
      <c r="G74" s="13"/>
      <c r="H74" s="13"/>
      <c r="I74" s="13"/>
      <c r="J74" s="13"/>
      <c r="K74" s="13"/>
      <c r="L74" s="13"/>
      <c r="M74" s="13"/>
      <c r="N74" s="12"/>
      <c r="O74" s="12"/>
      <c r="P74" s="6"/>
    </row>
    <row r="75" spans="1:16" ht="24" customHeight="1" x14ac:dyDescent="0.25">
      <c r="A75" s="14"/>
      <c r="B75" s="7"/>
      <c r="C75" s="5"/>
      <c r="D75" s="29"/>
      <c r="E75" s="29"/>
      <c r="F75" s="21"/>
      <c r="G75" s="13"/>
      <c r="H75" s="13"/>
      <c r="I75" s="13"/>
      <c r="J75" s="13"/>
      <c r="K75" s="13"/>
      <c r="L75" s="13"/>
      <c r="M75" s="13"/>
      <c r="N75" s="12"/>
      <c r="O75" s="12"/>
      <c r="P75" s="6"/>
    </row>
    <row r="76" spans="1:16" ht="24" customHeight="1" x14ac:dyDescent="0.25">
      <c r="A76" s="8"/>
      <c r="B76" s="7"/>
      <c r="C76" s="5"/>
      <c r="D76" s="29"/>
      <c r="E76" s="29"/>
      <c r="F76" s="17"/>
      <c r="G76" s="13"/>
      <c r="H76" s="13"/>
      <c r="I76" s="13"/>
      <c r="J76" s="13"/>
      <c r="K76" s="13"/>
      <c r="L76" s="13"/>
      <c r="M76" s="13"/>
      <c r="N76" s="12"/>
      <c r="O76" s="12"/>
      <c r="P76" s="6"/>
    </row>
    <row r="77" spans="1:16" ht="24" customHeight="1" x14ac:dyDescent="0.25">
      <c r="A77" s="8"/>
      <c r="B77" s="7"/>
      <c r="C77" s="5"/>
      <c r="D77" s="29"/>
      <c r="E77" s="29"/>
      <c r="F77" s="17"/>
      <c r="G77" s="13"/>
      <c r="H77" s="13"/>
      <c r="I77" s="13"/>
      <c r="J77" s="13"/>
      <c r="K77" s="13"/>
      <c r="L77" s="13"/>
      <c r="M77" s="13"/>
      <c r="N77" s="12"/>
      <c r="O77" s="12"/>
      <c r="P77" s="6"/>
    </row>
    <row r="78" spans="1:16" ht="24" customHeight="1" x14ac:dyDescent="0.25">
      <c r="A78" s="8"/>
      <c r="B78" s="7"/>
      <c r="C78" s="5"/>
      <c r="D78" s="29"/>
      <c r="E78" s="29"/>
      <c r="F78" s="17"/>
      <c r="G78" s="13"/>
      <c r="H78" s="13"/>
      <c r="I78" s="13"/>
      <c r="J78" s="13"/>
      <c r="K78" s="13"/>
      <c r="L78" s="13"/>
      <c r="M78" s="13"/>
      <c r="N78" s="12"/>
      <c r="O78" s="12"/>
      <c r="P78" s="6"/>
    </row>
    <row r="79" spans="1:16" ht="24" customHeight="1" x14ac:dyDescent="0.25">
      <c r="A79" s="8"/>
      <c r="B79" s="7"/>
      <c r="C79" s="5"/>
      <c r="D79" s="29"/>
      <c r="E79" s="29"/>
      <c r="F79" s="17"/>
      <c r="G79" s="13"/>
      <c r="H79" s="13"/>
      <c r="I79" s="13"/>
      <c r="J79" s="13"/>
      <c r="K79" s="13"/>
      <c r="L79" s="13"/>
      <c r="M79" s="13"/>
      <c r="N79" s="12"/>
      <c r="O79" s="12"/>
      <c r="P79" s="6"/>
    </row>
    <row r="80" spans="1:16" ht="24" customHeight="1" x14ac:dyDescent="0.25">
      <c r="A80" s="8"/>
      <c r="B80" s="7"/>
      <c r="C80" s="5"/>
      <c r="D80" s="29"/>
      <c r="E80" s="29"/>
      <c r="F80" s="17"/>
      <c r="G80" s="13"/>
      <c r="H80" s="13"/>
      <c r="I80" s="13"/>
      <c r="J80" s="13"/>
      <c r="K80" s="13"/>
      <c r="L80" s="13"/>
      <c r="M80" s="13"/>
      <c r="N80" s="12"/>
      <c r="O80" s="12"/>
      <c r="P80" s="6"/>
    </row>
    <row r="81" spans="1:16" ht="24" customHeight="1" x14ac:dyDescent="0.25">
      <c r="A81" s="8"/>
      <c r="B81" s="7"/>
      <c r="C81" s="5"/>
      <c r="D81" s="29"/>
      <c r="E81" s="29"/>
      <c r="F81" s="17"/>
      <c r="G81" s="13"/>
      <c r="H81" s="13"/>
      <c r="I81" s="13"/>
      <c r="J81" s="13"/>
      <c r="K81" s="13"/>
      <c r="L81" s="13"/>
      <c r="M81" s="13"/>
      <c r="N81" s="12"/>
      <c r="O81" s="12"/>
      <c r="P81" s="6"/>
    </row>
    <row r="82" spans="1:16" ht="24" customHeight="1" x14ac:dyDescent="0.25">
      <c r="A82" s="8"/>
      <c r="B82" s="7"/>
      <c r="C82" s="5"/>
      <c r="D82" s="29"/>
      <c r="E82" s="29"/>
      <c r="F82" s="17"/>
      <c r="G82" s="13"/>
      <c r="H82" s="13"/>
      <c r="I82" s="13"/>
      <c r="J82" s="13"/>
      <c r="K82" s="13"/>
      <c r="L82" s="13"/>
      <c r="M82" s="13"/>
      <c r="N82" s="12"/>
      <c r="O82" s="12"/>
      <c r="P82" s="6"/>
    </row>
    <row r="83" spans="1:16" ht="24" customHeight="1" x14ac:dyDescent="0.25">
      <c r="A83" s="8"/>
      <c r="B83" s="7"/>
      <c r="C83" s="5"/>
      <c r="D83" s="29"/>
      <c r="E83" s="29"/>
      <c r="F83" s="17"/>
      <c r="G83" s="13"/>
      <c r="H83" s="13"/>
      <c r="I83" s="13"/>
      <c r="J83" s="13"/>
      <c r="K83" s="13"/>
      <c r="L83" s="13"/>
      <c r="M83" s="13"/>
      <c r="N83" s="12"/>
      <c r="O83" s="12"/>
      <c r="P83" s="6"/>
    </row>
    <row r="84" spans="1:16" ht="24" customHeight="1" x14ac:dyDescent="0.25">
      <c r="A84" s="8"/>
      <c r="B84" s="7"/>
      <c r="C84" s="5"/>
      <c r="D84" s="29"/>
      <c r="E84" s="29"/>
      <c r="F84" s="17"/>
      <c r="G84" s="13"/>
      <c r="H84" s="13"/>
      <c r="I84" s="13"/>
      <c r="J84" s="13"/>
      <c r="K84" s="13"/>
      <c r="L84" s="13"/>
      <c r="M84" s="13"/>
      <c r="N84" s="12"/>
      <c r="O84" s="12"/>
      <c r="P84" s="6"/>
    </row>
    <row r="85" spans="1:16" ht="24" customHeight="1" x14ac:dyDescent="0.25">
      <c r="A85" s="8"/>
      <c r="B85" s="7"/>
      <c r="C85" s="5"/>
      <c r="D85" s="29"/>
      <c r="E85" s="29"/>
      <c r="F85" s="17"/>
      <c r="G85" s="13"/>
      <c r="H85" s="13"/>
      <c r="I85" s="13"/>
      <c r="J85" s="13"/>
      <c r="K85" s="13"/>
      <c r="L85" s="13"/>
      <c r="M85" s="13"/>
      <c r="N85" s="12"/>
      <c r="O85" s="12"/>
      <c r="P85" s="6"/>
    </row>
    <row r="86" spans="1:16" ht="24" customHeight="1" x14ac:dyDescent="0.25">
      <c r="A86" s="8"/>
      <c r="B86" s="7"/>
      <c r="C86" s="5"/>
      <c r="D86" s="29"/>
      <c r="E86" s="29"/>
      <c r="F86" s="17"/>
      <c r="G86" s="13"/>
      <c r="H86" s="13"/>
      <c r="I86" s="13"/>
      <c r="J86" s="13"/>
      <c r="K86" s="13"/>
      <c r="L86" s="13"/>
      <c r="M86" s="13"/>
      <c r="N86" s="12"/>
      <c r="O86" s="12"/>
      <c r="P86" s="6"/>
    </row>
    <row r="87" spans="1:16" ht="24" customHeight="1" x14ac:dyDescent="0.25">
      <c r="A87" s="8"/>
      <c r="B87" s="7"/>
      <c r="C87" s="5"/>
      <c r="D87" s="29"/>
      <c r="E87" s="29"/>
      <c r="F87" s="17"/>
      <c r="G87" s="13"/>
      <c r="H87" s="13"/>
      <c r="I87" s="13"/>
      <c r="J87" s="13"/>
      <c r="K87" s="13"/>
      <c r="L87" s="13"/>
      <c r="M87" s="13"/>
      <c r="N87" s="12"/>
      <c r="O87" s="12"/>
      <c r="P87" s="6"/>
    </row>
    <row r="88" spans="1:16" ht="24" customHeight="1" x14ac:dyDescent="0.25">
      <c r="A88" s="8"/>
      <c r="B88" s="7"/>
      <c r="C88" s="5"/>
      <c r="D88" s="29"/>
      <c r="E88" s="29"/>
      <c r="F88" s="17"/>
      <c r="G88" s="13"/>
      <c r="H88" s="13"/>
      <c r="I88" s="13"/>
      <c r="J88" s="13"/>
      <c r="K88" s="13"/>
      <c r="L88" s="13"/>
      <c r="M88" s="13"/>
      <c r="N88" s="12"/>
      <c r="O88" s="12"/>
      <c r="P88" s="6"/>
    </row>
    <row r="89" spans="1:16" ht="24" customHeight="1" x14ac:dyDescent="0.25">
      <c r="A89" s="8"/>
      <c r="B89" s="7"/>
      <c r="C89" s="5"/>
      <c r="D89" s="29"/>
      <c r="E89" s="29"/>
      <c r="F89" s="17"/>
      <c r="G89" s="13"/>
      <c r="H89" s="13"/>
      <c r="I89" s="13"/>
      <c r="J89" s="13"/>
      <c r="K89" s="13"/>
      <c r="L89" s="13"/>
      <c r="M89" s="13"/>
      <c r="N89" s="12"/>
      <c r="O89" s="12"/>
      <c r="P89" s="6"/>
    </row>
    <row r="90" spans="1:16" ht="24" customHeight="1" x14ac:dyDescent="0.25">
      <c r="A90" s="8"/>
      <c r="B90" s="7"/>
      <c r="C90" s="5"/>
      <c r="D90" s="29"/>
      <c r="E90" s="29"/>
      <c r="F90" s="17"/>
      <c r="G90" s="13"/>
      <c r="H90" s="13"/>
      <c r="I90" s="13"/>
      <c r="J90" s="13"/>
      <c r="K90" s="13"/>
      <c r="L90" s="13"/>
      <c r="M90" s="13"/>
      <c r="N90" s="12"/>
      <c r="O90" s="12"/>
      <c r="P90" s="6"/>
    </row>
    <row r="91" spans="1:16" ht="24" customHeight="1" x14ac:dyDescent="0.25">
      <c r="A91" s="8"/>
      <c r="B91" s="7"/>
      <c r="C91" s="5"/>
      <c r="D91" s="29"/>
      <c r="E91" s="29"/>
      <c r="F91" s="17"/>
      <c r="G91" s="13"/>
      <c r="H91" s="13"/>
      <c r="I91" s="13"/>
      <c r="J91" s="13"/>
      <c r="K91" s="13"/>
      <c r="L91" s="13"/>
      <c r="M91" s="13"/>
      <c r="N91" s="12"/>
      <c r="O91" s="12"/>
      <c r="P91" s="6"/>
    </row>
    <row r="92" spans="1:16" ht="24" customHeight="1" x14ac:dyDescent="0.25">
      <c r="A92" s="8"/>
      <c r="B92" s="7"/>
      <c r="C92" s="5"/>
      <c r="D92" s="29"/>
      <c r="E92" s="29"/>
      <c r="F92" s="17"/>
      <c r="G92" s="13"/>
      <c r="H92" s="13"/>
      <c r="I92" s="13"/>
      <c r="J92" s="13"/>
      <c r="K92" s="13"/>
      <c r="L92" s="13"/>
      <c r="M92" s="13"/>
      <c r="N92" s="12"/>
      <c r="O92" s="12"/>
      <c r="P92" s="6"/>
    </row>
    <row r="93" spans="1:16" ht="24" customHeight="1" x14ac:dyDescent="0.25">
      <c r="A93" s="8"/>
      <c r="B93" s="7"/>
      <c r="C93" s="5"/>
      <c r="D93" s="29"/>
      <c r="E93" s="29"/>
      <c r="F93" s="17"/>
      <c r="G93" s="13"/>
      <c r="H93" s="13"/>
      <c r="I93" s="13"/>
      <c r="J93" s="13"/>
      <c r="K93" s="13"/>
      <c r="L93" s="13"/>
      <c r="M93" s="13"/>
      <c r="N93" s="12"/>
      <c r="O93" s="12"/>
      <c r="P93" s="6"/>
    </row>
    <row r="94" spans="1:16" ht="24" customHeight="1" x14ac:dyDescent="0.25">
      <c r="A94" s="8"/>
      <c r="B94" s="7"/>
      <c r="C94" s="5"/>
      <c r="D94" s="29"/>
      <c r="E94" s="29"/>
      <c r="F94" s="17"/>
      <c r="G94" s="13"/>
      <c r="H94" s="13"/>
      <c r="I94" s="13"/>
      <c r="J94" s="13"/>
      <c r="K94" s="13"/>
      <c r="L94" s="13"/>
      <c r="M94" s="13"/>
      <c r="N94" s="12"/>
      <c r="O94" s="12"/>
      <c r="P94" s="6"/>
    </row>
    <row r="95" spans="1:16" ht="24" customHeight="1" x14ac:dyDescent="0.25">
      <c r="A95" s="8"/>
      <c r="B95" s="7"/>
      <c r="C95" s="5"/>
      <c r="D95" s="29"/>
      <c r="E95" s="29"/>
      <c r="F95" s="17"/>
      <c r="G95" s="13"/>
      <c r="H95" s="13"/>
      <c r="I95" s="13"/>
      <c r="J95" s="13"/>
      <c r="K95" s="13"/>
      <c r="L95" s="13"/>
      <c r="M95" s="13"/>
      <c r="N95" s="12"/>
      <c r="O95" s="12"/>
      <c r="P95" s="6"/>
    </row>
    <row r="96" spans="1:16" ht="24" customHeight="1" x14ac:dyDescent="0.25">
      <c r="A96" s="8"/>
      <c r="B96" s="7"/>
      <c r="C96" s="5"/>
      <c r="D96" s="29"/>
      <c r="E96" s="29"/>
      <c r="F96" s="17"/>
      <c r="G96" s="13"/>
      <c r="H96" s="13"/>
      <c r="I96" s="13"/>
      <c r="J96" s="13"/>
      <c r="K96" s="13"/>
      <c r="L96" s="13"/>
      <c r="M96" s="13"/>
      <c r="N96" s="12"/>
      <c r="O96" s="12"/>
      <c r="P96" s="6"/>
    </row>
    <row r="97" spans="1:16" ht="24" customHeight="1" x14ac:dyDescent="0.25">
      <c r="A97" s="8"/>
      <c r="B97" s="7"/>
      <c r="C97" s="5"/>
      <c r="D97" s="29"/>
      <c r="E97" s="29"/>
      <c r="F97" s="17"/>
      <c r="G97" s="13"/>
      <c r="H97" s="13"/>
      <c r="I97" s="13"/>
      <c r="J97" s="13"/>
      <c r="K97" s="13"/>
      <c r="L97" s="13"/>
      <c r="M97" s="13"/>
      <c r="N97" s="12"/>
      <c r="O97" s="12"/>
      <c r="P97" s="6"/>
    </row>
    <row r="98" spans="1:16" ht="24" customHeight="1" x14ac:dyDescent="0.25">
      <c r="A98" s="8"/>
      <c r="B98" s="7"/>
      <c r="C98" s="5"/>
      <c r="D98" s="29"/>
      <c r="E98" s="29"/>
      <c r="F98" s="17"/>
      <c r="G98" s="13"/>
      <c r="H98" s="13"/>
      <c r="I98" s="13"/>
      <c r="J98" s="13"/>
      <c r="K98" s="13"/>
      <c r="L98" s="13"/>
      <c r="M98" s="13"/>
      <c r="N98" s="12"/>
      <c r="O98" s="12"/>
      <c r="P98" s="6"/>
    </row>
    <row r="99" spans="1:16" ht="24" customHeight="1" x14ac:dyDescent="0.25">
      <c r="A99" s="8"/>
      <c r="B99" s="7"/>
      <c r="C99" s="5"/>
      <c r="D99" s="29"/>
      <c r="E99" s="29"/>
      <c r="F99" s="17"/>
      <c r="G99" s="13"/>
      <c r="H99" s="13"/>
      <c r="I99" s="13"/>
      <c r="J99" s="13"/>
      <c r="K99" s="13"/>
      <c r="L99" s="13"/>
      <c r="M99" s="13"/>
      <c r="N99" s="12"/>
      <c r="O99" s="12"/>
      <c r="P99" s="6"/>
    </row>
    <row r="100" spans="1:16" ht="24" customHeight="1" x14ac:dyDescent="0.25">
      <c r="A100" s="8"/>
      <c r="B100" s="7"/>
      <c r="C100" s="5"/>
      <c r="D100" s="29"/>
      <c r="E100" s="29"/>
      <c r="F100" s="17"/>
      <c r="G100" s="13"/>
      <c r="H100" s="13"/>
      <c r="I100" s="13"/>
      <c r="J100" s="13"/>
      <c r="K100" s="13"/>
      <c r="L100" s="13"/>
      <c r="M100" s="13"/>
      <c r="N100" s="12"/>
      <c r="O100" s="12"/>
      <c r="P100" s="6"/>
    </row>
    <row r="101" spans="1:16" ht="24" customHeight="1" x14ac:dyDescent="0.25">
      <c r="A101" s="8"/>
      <c r="B101" s="7"/>
      <c r="C101" s="5"/>
      <c r="D101" s="29"/>
      <c r="E101" s="29"/>
      <c r="F101" s="17"/>
      <c r="G101" s="13"/>
      <c r="H101" s="13"/>
      <c r="I101" s="13"/>
      <c r="J101" s="13"/>
      <c r="K101" s="13"/>
      <c r="L101" s="13"/>
      <c r="M101" s="13"/>
      <c r="N101" s="12"/>
      <c r="O101" s="12"/>
      <c r="P101" s="6"/>
    </row>
    <row r="102" spans="1:16" ht="24" customHeight="1" x14ac:dyDescent="0.25">
      <c r="A102" s="8"/>
      <c r="B102" s="7"/>
      <c r="C102" s="5"/>
      <c r="D102" s="29"/>
      <c r="E102" s="29"/>
      <c r="F102" s="17"/>
      <c r="G102" s="13"/>
      <c r="H102" s="13"/>
      <c r="I102" s="13"/>
      <c r="J102" s="13"/>
      <c r="K102" s="13"/>
      <c r="L102" s="13"/>
      <c r="M102" s="13"/>
      <c r="N102" s="12"/>
      <c r="O102" s="12"/>
      <c r="P102" s="6"/>
    </row>
    <row r="103" spans="1:16" ht="24" customHeight="1" x14ac:dyDescent="0.25">
      <c r="A103" s="8"/>
      <c r="B103" s="7"/>
      <c r="C103" s="5"/>
      <c r="D103" s="29"/>
      <c r="E103" s="29"/>
      <c r="F103" s="17"/>
      <c r="G103" s="13"/>
      <c r="H103" s="13"/>
      <c r="I103" s="13"/>
      <c r="J103" s="13"/>
      <c r="K103" s="13"/>
      <c r="L103" s="13"/>
      <c r="M103" s="13"/>
      <c r="N103" s="12"/>
      <c r="O103" s="12"/>
      <c r="P103" s="6"/>
    </row>
    <row r="104" spans="1:16" ht="24" customHeight="1" x14ac:dyDescent="0.25">
      <c r="A104" s="8"/>
      <c r="B104" s="7"/>
      <c r="C104" s="5"/>
      <c r="D104" s="29"/>
      <c r="E104" s="29"/>
      <c r="F104" s="17"/>
      <c r="G104" s="13"/>
      <c r="H104" s="13"/>
      <c r="I104" s="13"/>
      <c r="J104" s="13"/>
      <c r="K104" s="13"/>
      <c r="L104" s="13"/>
      <c r="M104" s="13"/>
      <c r="N104" s="12"/>
      <c r="O104" s="12"/>
      <c r="P104" s="6"/>
    </row>
    <row r="105" spans="1:16" ht="24" customHeight="1" x14ac:dyDescent="0.25">
      <c r="A105" s="8"/>
      <c r="B105" s="7"/>
      <c r="C105" s="5"/>
      <c r="D105" s="29"/>
      <c r="E105" s="29"/>
      <c r="F105" s="17"/>
      <c r="G105" s="13"/>
      <c r="H105" s="13"/>
      <c r="I105" s="13"/>
      <c r="J105" s="13"/>
      <c r="K105" s="13"/>
      <c r="L105" s="13"/>
      <c r="M105" s="13"/>
      <c r="N105" s="12"/>
      <c r="O105" s="12"/>
      <c r="P105" s="6"/>
    </row>
    <row r="106" spans="1:16" ht="24" customHeight="1" x14ac:dyDescent="0.25">
      <c r="A106" s="8"/>
      <c r="B106" s="7"/>
      <c r="C106" s="5"/>
      <c r="D106" s="29"/>
      <c r="E106" s="29"/>
      <c r="F106" s="17"/>
      <c r="G106" s="13"/>
      <c r="H106" s="13"/>
      <c r="I106" s="13"/>
      <c r="J106" s="13"/>
      <c r="K106" s="13"/>
      <c r="L106" s="13"/>
      <c r="M106" s="13"/>
      <c r="N106" s="12"/>
      <c r="O106" s="12"/>
      <c r="P106" s="6"/>
    </row>
    <row r="107" spans="1:16" ht="24" customHeight="1" x14ac:dyDescent="0.25">
      <c r="A107" s="8"/>
      <c r="B107" s="7"/>
      <c r="C107" s="5"/>
      <c r="D107" s="29"/>
      <c r="E107" s="29"/>
      <c r="F107" s="17"/>
      <c r="G107" s="13"/>
      <c r="H107" s="13"/>
      <c r="I107" s="13"/>
      <c r="J107" s="13"/>
      <c r="K107" s="13"/>
      <c r="L107" s="13"/>
      <c r="M107" s="13"/>
      <c r="N107" s="12"/>
      <c r="O107" s="12"/>
      <c r="P107" s="6"/>
    </row>
    <row r="108" spans="1:16" ht="24" customHeight="1" x14ac:dyDescent="0.25">
      <c r="A108" s="8"/>
      <c r="B108" s="7"/>
      <c r="C108" s="5"/>
      <c r="D108" s="29"/>
      <c r="E108" s="29"/>
      <c r="F108" s="17"/>
      <c r="G108" s="13"/>
      <c r="H108" s="13"/>
      <c r="I108" s="13"/>
      <c r="J108" s="13"/>
      <c r="K108" s="13"/>
      <c r="L108" s="13"/>
      <c r="M108" s="13"/>
      <c r="N108" s="12"/>
      <c r="O108" s="12"/>
      <c r="P108" s="6"/>
    </row>
    <row r="109" spans="1:16" ht="24" customHeight="1" x14ac:dyDescent="0.25">
      <c r="A109" s="8"/>
      <c r="B109" s="7"/>
      <c r="C109" s="5"/>
      <c r="D109" s="29"/>
      <c r="E109" s="29"/>
      <c r="F109" s="17"/>
      <c r="G109" s="13"/>
      <c r="H109" s="13"/>
      <c r="I109" s="13"/>
      <c r="J109" s="13"/>
      <c r="K109" s="13"/>
      <c r="L109" s="13"/>
      <c r="M109" s="13"/>
      <c r="N109" s="12"/>
      <c r="O109" s="12"/>
      <c r="P109" s="6"/>
    </row>
    <row r="110" spans="1:16" ht="24" customHeight="1" x14ac:dyDescent="0.25">
      <c r="A110" s="8"/>
      <c r="B110" s="7"/>
      <c r="C110" s="5"/>
      <c r="D110" s="29"/>
      <c r="E110" s="29"/>
      <c r="F110" s="17"/>
      <c r="G110" s="13"/>
      <c r="H110" s="13"/>
      <c r="I110" s="13"/>
      <c r="J110" s="13"/>
      <c r="K110" s="13"/>
      <c r="L110" s="13"/>
      <c r="M110" s="13"/>
      <c r="N110" s="12"/>
      <c r="O110" s="12"/>
      <c r="P110" s="6"/>
    </row>
    <row r="111" spans="1:16" ht="24" customHeight="1" x14ac:dyDescent="0.25">
      <c r="A111" s="8"/>
      <c r="B111" s="7"/>
      <c r="C111" s="5"/>
      <c r="D111" s="29"/>
      <c r="E111" s="29"/>
      <c r="F111" s="17"/>
      <c r="G111" s="13"/>
      <c r="H111" s="13"/>
      <c r="I111" s="13"/>
      <c r="J111" s="13"/>
      <c r="K111" s="13"/>
      <c r="L111" s="13"/>
      <c r="M111" s="13"/>
      <c r="N111" s="12"/>
      <c r="O111" s="12"/>
      <c r="P111" s="6"/>
    </row>
    <row r="112" spans="1:16" ht="24" customHeight="1" x14ac:dyDescent="0.25">
      <c r="A112" s="8"/>
      <c r="B112" s="7"/>
      <c r="C112" s="5"/>
      <c r="D112" s="29"/>
      <c r="E112" s="29"/>
      <c r="F112" s="17"/>
      <c r="G112" s="13"/>
      <c r="H112" s="13"/>
      <c r="I112" s="13"/>
      <c r="J112" s="13"/>
      <c r="K112" s="13"/>
      <c r="L112" s="13"/>
      <c r="M112" s="13"/>
      <c r="N112" s="12"/>
      <c r="O112" s="12"/>
      <c r="P112" s="6"/>
    </row>
    <row r="113" spans="1:16" ht="24" customHeight="1" x14ac:dyDescent="0.25">
      <c r="A113" s="8"/>
      <c r="B113" s="7"/>
      <c r="C113" s="5"/>
      <c r="D113" s="29"/>
      <c r="E113" s="29"/>
      <c r="F113" s="17"/>
      <c r="G113" s="13"/>
      <c r="H113" s="13"/>
      <c r="I113" s="13"/>
      <c r="J113" s="13"/>
      <c r="K113" s="13"/>
      <c r="L113" s="13"/>
      <c r="M113" s="13"/>
      <c r="N113" s="12"/>
      <c r="O113" s="12"/>
      <c r="P113" s="6"/>
    </row>
    <row r="114" spans="1:16" ht="24" customHeight="1" x14ac:dyDescent="0.25">
      <c r="A114" s="8"/>
      <c r="B114" s="7"/>
      <c r="C114" s="5"/>
      <c r="D114" s="29"/>
      <c r="E114" s="29"/>
      <c r="F114" s="17"/>
      <c r="G114" s="13"/>
      <c r="H114" s="13"/>
      <c r="I114" s="13"/>
      <c r="J114" s="13"/>
      <c r="K114" s="13"/>
      <c r="L114" s="13"/>
      <c r="M114" s="13"/>
      <c r="N114" s="12"/>
      <c r="O114" s="12"/>
      <c r="P114" s="6"/>
    </row>
    <row r="115" spans="1:16" ht="24" customHeight="1" x14ac:dyDescent="0.25">
      <c r="A115" s="8"/>
      <c r="B115" s="7"/>
      <c r="C115" s="5"/>
      <c r="D115" s="29"/>
      <c r="E115" s="29"/>
      <c r="F115" s="17"/>
      <c r="G115" s="13"/>
      <c r="H115" s="13"/>
      <c r="I115" s="13"/>
      <c r="J115" s="13"/>
      <c r="K115" s="13"/>
      <c r="L115" s="13"/>
      <c r="M115" s="13"/>
      <c r="N115" s="12"/>
      <c r="O115" s="12"/>
      <c r="P115" s="6"/>
    </row>
    <row r="116" spans="1:16" ht="24" customHeight="1" x14ac:dyDescent="0.25">
      <c r="A116" s="8"/>
      <c r="B116" s="7"/>
      <c r="C116" s="5"/>
      <c r="D116" s="29"/>
      <c r="E116" s="29"/>
      <c r="F116" s="17"/>
      <c r="G116" s="13"/>
      <c r="H116" s="13"/>
      <c r="I116" s="13"/>
      <c r="J116" s="13"/>
      <c r="K116" s="13"/>
      <c r="L116" s="13"/>
      <c r="M116" s="13"/>
      <c r="N116" s="12"/>
      <c r="O116" s="12"/>
      <c r="P116" s="6"/>
    </row>
    <row r="117" spans="1:16" ht="24" customHeight="1" x14ac:dyDescent="0.25">
      <c r="A117" s="8"/>
      <c r="B117" s="7"/>
      <c r="C117" s="5"/>
      <c r="D117" s="29"/>
      <c r="E117" s="29"/>
      <c r="F117" s="17"/>
      <c r="G117" s="13"/>
      <c r="H117" s="13"/>
      <c r="I117" s="13"/>
      <c r="J117" s="13"/>
      <c r="K117" s="13"/>
      <c r="L117" s="13"/>
      <c r="M117" s="13"/>
      <c r="N117" s="12"/>
      <c r="O117" s="12"/>
      <c r="P117" s="6"/>
    </row>
    <row r="118" spans="1:16" ht="24" customHeight="1" x14ac:dyDescent="0.25">
      <c r="A118" s="8"/>
      <c r="B118" s="7"/>
      <c r="C118" s="5"/>
      <c r="D118" s="29"/>
      <c r="E118" s="29"/>
      <c r="F118" s="17"/>
      <c r="G118" s="13"/>
      <c r="H118" s="13"/>
      <c r="I118" s="13"/>
      <c r="J118" s="13"/>
      <c r="K118" s="13"/>
      <c r="L118" s="13"/>
      <c r="M118" s="13"/>
      <c r="N118" s="12"/>
      <c r="O118" s="12"/>
      <c r="P118" s="6"/>
    </row>
    <row r="119" spans="1:16" ht="24" customHeight="1" x14ac:dyDescent="0.25">
      <c r="A119" s="8"/>
      <c r="B119" s="7"/>
      <c r="C119" s="5"/>
      <c r="D119" s="29"/>
      <c r="E119" s="29"/>
      <c r="F119" s="17"/>
      <c r="G119" s="13"/>
      <c r="H119" s="13"/>
      <c r="I119" s="13"/>
      <c r="J119" s="13"/>
      <c r="K119" s="13"/>
      <c r="L119" s="13"/>
      <c r="M119" s="13"/>
      <c r="N119" s="12"/>
      <c r="O119" s="12"/>
      <c r="P119" s="6"/>
    </row>
    <row r="120" spans="1:16" ht="24" customHeight="1" x14ac:dyDescent="0.25">
      <c r="A120" s="8"/>
      <c r="B120" s="7"/>
      <c r="C120" s="5"/>
      <c r="D120" s="29"/>
      <c r="E120" s="29"/>
      <c r="F120" s="17"/>
      <c r="G120" s="13"/>
      <c r="H120" s="13"/>
      <c r="I120" s="13"/>
      <c r="J120" s="13"/>
      <c r="K120" s="13"/>
      <c r="L120" s="13"/>
      <c r="M120" s="13"/>
      <c r="N120" s="12"/>
      <c r="O120" s="12"/>
      <c r="P120" s="6"/>
    </row>
    <row r="121" spans="1:16" ht="24" customHeight="1" x14ac:dyDescent="0.25">
      <c r="A121" s="8"/>
      <c r="B121" s="7"/>
      <c r="C121" s="5"/>
      <c r="D121" s="29"/>
      <c r="E121" s="29"/>
      <c r="F121" s="17"/>
      <c r="G121" s="13"/>
      <c r="H121" s="13"/>
      <c r="I121" s="13"/>
      <c r="J121" s="13"/>
      <c r="K121" s="13"/>
      <c r="L121" s="13"/>
      <c r="M121" s="13"/>
      <c r="N121" s="12"/>
      <c r="O121" s="12"/>
      <c r="P121" s="6"/>
    </row>
    <row r="122" spans="1:16" ht="24" customHeight="1" x14ac:dyDescent="0.25">
      <c r="A122" s="8"/>
      <c r="B122" s="7"/>
      <c r="C122" s="5"/>
      <c r="D122" s="29"/>
      <c r="E122" s="29"/>
      <c r="F122" s="17"/>
      <c r="G122" s="13"/>
      <c r="H122" s="13"/>
      <c r="I122" s="13"/>
      <c r="J122" s="13"/>
      <c r="K122" s="13"/>
      <c r="L122" s="13"/>
      <c r="M122" s="13"/>
      <c r="N122" s="12"/>
      <c r="O122" s="12"/>
      <c r="P122" s="6"/>
    </row>
    <row r="123" spans="1:16" ht="24" customHeight="1" x14ac:dyDescent="0.25">
      <c r="A123" s="8"/>
      <c r="B123" s="7"/>
      <c r="C123" s="5"/>
      <c r="D123" s="29"/>
      <c r="E123" s="29"/>
      <c r="F123" s="17"/>
      <c r="G123" s="13"/>
      <c r="H123" s="13"/>
      <c r="I123" s="13"/>
      <c r="J123" s="13"/>
      <c r="K123" s="13"/>
      <c r="L123" s="13"/>
      <c r="M123" s="13"/>
      <c r="N123" s="12"/>
      <c r="O123" s="12"/>
      <c r="P123" s="6"/>
    </row>
    <row r="124" spans="1:16" ht="24" customHeight="1" x14ac:dyDescent="0.25">
      <c r="A124" s="8"/>
      <c r="B124" s="7"/>
      <c r="C124" s="5"/>
      <c r="D124" s="29"/>
      <c r="E124" s="29"/>
      <c r="F124" s="17"/>
      <c r="G124" s="13"/>
      <c r="H124" s="13"/>
      <c r="I124" s="13"/>
      <c r="J124" s="13"/>
      <c r="K124" s="13"/>
      <c r="L124" s="13"/>
      <c r="M124" s="13"/>
      <c r="N124" s="12"/>
      <c r="O124" s="12"/>
      <c r="P124" s="6"/>
    </row>
    <row r="125" spans="1:16" ht="24" customHeight="1" x14ac:dyDescent="0.25">
      <c r="A125" s="8"/>
      <c r="B125" s="7"/>
      <c r="C125" s="5"/>
      <c r="D125" s="29"/>
      <c r="E125" s="29"/>
      <c r="F125" s="17"/>
      <c r="G125" s="13"/>
      <c r="H125" s="13"/>
      <c r="I125" s="13"/>
      <c r="J125" s="13"/>
      <c r="K125" s="13"/>
      <c r="L125" s="13"/>
      <c r="M125" s="13"/>
      <c r="N125" s="12"/>
      <c r="O125" s="12"/>
      <c r="P125" s="6"/>
    </row>
    <row r="126" spans="1:16" ht="24" customHeight="1" x14ac:dyDescent="0.25">
      <c r="A126" s="8"/>
      <c r="B126" s="7"/>
      <c r="C126" s="5"/>
      <c r="D126" s="29"/>
      <c r="E126" s="29"/>
      <c r="F126" s="17"/>
      <c r="G126" s="13"/>
      <c r="H126" s="13"/>
      <c r="I126" s="13"/>
      <c r="J126" s="13"/>
      <c r="K126" s="13"/>
      <c r="L126" s="13"/>
      <c r="M126" s="13"/>
      <c r="N126" s="12"/>
      <c r="O126" s="12"/>
      <c r="P126" s="6"/>
    </row>
    <row r="127" spans="1:16" ht="24" customHeight="1" x14ac:dyDescent="0.25">
      <c r="A127" s="8"/>
      <c r="B127" s="7"/>
      <c r="C127" s="5"/>
      <c r="D127" s="29"/>
      <c r="E127" s="29"/>
      <c r="F127" s="17"/>
      <c r="G127" s="13"/>
      <c r="H127" s="13"/>
      <c r="I127" s="13"/>
      <c r="J127" s="13"/>
      <c r="K127" s="13"/>
      <c r="L127" s="13"/>
      <c r="M127" s="13"/>
      <c r="N127" s="12"/>
      <c r="O127" s="12"/>
      <c r="P127" s="6"/>
    </row>
    <row r="128" spans="1:16" ht="24" customHeight="1" x14ac:dyDescent="0.25">
      <c r="A128" s="8"/>
      <c r="B128" s="7"/>
      <c r="C128" s="5"/>
      <c r="D128" s="29"/>
      <c r="E128" s="29"/>
      <c r="F128" s="17"/>
      <c r="G128" s="13"/>
      <c r="H128" s="13"/>
      <c r="I128" s="13"/>
      <c r="J128" s="13"/>
      <c r="K128" s="13"/>
      <c r="L128" s="13"/>
      <c r="M128" s="13"/>
      <c r="N128" s="12"/>
      <c r="O128" s="12"/>
      <c r="P128" s="6"/>
    </row>
    <row r="129" spans="1:16" ht="24" customHeight="1" x14ac:dyDescent="0.25">
      <c r="A129" s="8"/>
      <c r="B129" s="7"/>
      <c r="C129" s="5"/>
      <c r="D129" s="29"/>
      <c r="E129" s="29"/>
      <c r="F129" s="17"/>
      <c r="G129" s="13"/>
      <c r="H129" s="13"/>
      <c r="I129" s="13"/>
      <c r="J129" s="13"/>
      <c r="K129" s="13"/>
      <c r="L129" s="13"/>
      <c r="M129" s="13"/>
      <c r="N129" s="12"/>
      <c r="O129" s="12"/>
      <c r="P129" s="6"/>
    </row>
    <row r="130" spans="1:16" ht="24" customHeight="1" x14ac:dyDescent="0.25">
      <c r="A130" s="8"/>
      <c r="B130" s="7"/>
      <c r="C130" s="5"/>
      <c r="D130" s="29"/>
      <c r="E130" s="29"/>
      <c r="F130" s="17"/>
      <c r="G130" s="13"/>
      <c r="H130" s="13"/>
      <c r="I130" s="13"/>
      <c r="J130" s="13"/>
      <c r="K130" s="13"/>
      <c r="L130" s="13"/>
      <c r="M130" s="13"/>
      <c r="N130" s="12"/>
      <c r="O130" s="12"/>
      <c r="P130" s="6"/>
    </row>
    <row r="131" spans="1:16" ht="24" customHeight="1" x14ac:dyDescent="0.25">
      <c r="A131" s="8"/>
      <c r="B131" s="7"/>
      <c r="C131" s="5"/>
      <c r="D131" s="29"/>
      <c r="E131" s="29"/>
      <c r="F131" s="17"/>
      <c r="G131" s="13"/>
      <c r="H131" s="13"/>
      <c r="I131" s="13"/>
      <c r="J131" s="13"/>
      <c r="K131" s="13"/>
      <c r="L131" s="13"/>
      <c r="M131" s="13"/>
      <c r="N131" s="12"/>
      <c r="O131" s="12"/>
      <c r="P131" s="6"/>
    </row>
    <row r="132" spans="1:16" ht="24" customHeight="1" x14ac:dyDescent="0.25">
      <c r="A132" s="8"/>
      <c r="B132" s="7"/>
      <c r="C132" s="5"/>
      <c r="D132" s="29"/>
      <c r="E132" s="29"/>
      <c r="F132" s="17"/>
      <c r="G132" s="13"/>
      <c r="H132" s="13"/>
      <c r="I132" s="13"/>
      <c r="J132" s="13"/>
      <c r="K132" s="13"/>
      <c r="L132" s="13"/>
      <c r="M132" s="13"/>
      <c r="N132" s="12"/>
      <c r="O132" s="12"/>
      <c r="P132" s="6"/>
    </row>
    <row r="133" spans="1:16" ht="24" customHeight="1" x14ac:dyDescent="0.25">
      <c r="A133" s="8"/>
      <c r="B133" s="7"/>
      <c r="C133" s="5"/>
      <c r="D133" s="29"/>
      <c r="E133" s="29"/>
      <c r="F133" s="17"/>
      <c r="G133" s="13"/>
      <c r="H133" s="13"/>
      <c r="I133" s="13"/>
      <c r="J133" s="13"/>
      <c r="K133" s="13"/>
      <c r="L133" s="13"/>
      <c r="M133" s="13"/>
      <c r="N133" s="12"/>
      <c r="O133" s="12"/>
      <c r="P133" s="6"/>
    </row>
    <row r="134" spans="1:16" ht="24" customHeight="1" x14ac:dyDescent="0.25">
      <c r="A134" s="8"/>
      <c r="B134" s="7"/>
      <c r="C134" s="5"/>
      <c r="D134" s="29"/>
      <c r="E134" s="29"/>
      <c r="F134" s="17"/>
      <c r="G134" s="13"/>
      <c r="H134" s="13"/>
      <c r="I134" s="13"/>
      <c r="J134" s="13"/>
      <c r="K134" s="13"/>
      <c r="L134" s="13"/>
      <c r="M134" s="13"/>
      <c r="N134" s="12"/>
      <c r="O134" s="12"/>
      <c r="P134" s="6"/>
    </row>
    <row r="135" spans="1:16" ht="24" customHeight="1" x14ac:dyDescent="0.25">
      <c r="A135" s="8"/>
      <c r="B135" s="7"/>
      <c r="C135" s="5"/>
      <c r="D135" s="29"/>
      <c r="E135" s="29"/>
      <c r="F135" s="17"/>
      <c r="G135" s="13"/>
      <c r="H135" s="13"/>
      <c r="I135" s="13"/>
      <c r="J135" s="13"/>
      <c r="K135" s="13"/>
      <c r="L135" s="13"/>
      <c r="M135" s="13"/>
      <c r="N135" s="12"/>
      <c r="O135" s="12"/>
      <c r="P135" s="6"/>
    </row>
    <row r="136" spans="1:16" ht="24" customHeight="1" x14ac:dyDescent="0.25">
      <c r="A136" s="8"/>
      <c r="B136" s="7"/>
      <c r="C136" s="5"/>
      <c r="D136" s="29"/>
      <c r="E136" s="29"/>
      <c r="F136" s="17"/>
      <c r="G136" s="13"/>
      <c r="H136" s="13"/>
      <c r="I136" s="13"/>
      <c r="J136" s="13"/>
      <c r="K136" s="13"/>
      <c r="L136" s="13"/>
      <c r="M136" s="13"/>
      <c r="N136" s="12"/>
      <c r="O136" s="12"/>
      <c r="P136" s="6"/>
    </row>
    <row r="137" spans="1:16" ht="24" customHeight="1" x14ac:dyDescent="0.25">
      <c r="A137" s="8"/>
      <c r="B137" s="7"/>
      <c r="C137" s="5"/>
      <c r="D137" s="29"/>
      <c r="E137" s="29"/>
      <c r="F137" s="17"/>
      <c r="G137" s="13"/>
      <c r="H137" s="13"/>
      <c r="I137" s="13"/>
      <c r="J137" s="13"/>
      <c r="K137" s="13"/>
      <c r="L137" s="13"/>
      <c r="M137" s="13"/>
      <c r="N137" s="12"/>
      <c r="O137" s="12"/>
      <c r="P137" s="6"/>
    </row>
    <row r="138" spans="1:16" ht="24" customHeight="1" x14ac:dyDescent="0.25">
      <c r="A138" s="8"/>
      <c r="B138" s="7"/>
      <c r="C138" s="5"/>
      <c r="D138" s="29"/>
      <c r="E138" s="29"/>
      <c r="F138" s="17"/>
      <c r="G138" s="13"/>
      <c r="H138" s="13"/>
      <c r="I138" s="13"/>
      <c r="J138" s="13"/>
      <c r="K138" s="13"/>
      <c r="L138" s="13"/>
      <c r="M138" s="13"/>
      <c r="N138" s="12"/>
      <c r="O138" s="12"/>
      <c r="P138" s="6"/>
    </row>
    <row r="139" spans="1:16" ht="24" customHeight="1" x14ac:dyDescent="0.25">
      <c r="A139" s="8"/>
      <c r="B139" s="7"/>
      <c r="C139" s="5"/>
      <c r="D139" s="29"/>
      <c r="E139" s="29"/>
      <c r="F139" s="17"/>
      <c r="G139" s="13"/>
      <c r="H139" s="13"/>
      <c r="I139" s="13"/>
      <c r="J139" s="13"/>
      <c r="K139" s="13"/>
      <c r="L139" s="13"/>
      <c r="M139" s="13"/>
      <c r="N139" s="12"/>
      <c r="O139" s="12"/>
      <c r="P139" s="6"/>
    </row>
    <row r="140" spans="1:16" ht="24" customHeight="1" x14ac:dyDescent="0.25">
      <c r="A140" s="8"/>
      <c r="B140" s="7"/>
      <c r="C140" s="5"/>
      <c r="D140" s="29"/>
      <c r="E140" s="29"/>
      <c r="F140" s="17"/>
      <c r="G140" s="13"/>
      <c r="H140" s="13"/>
      <c r="I140" s="13"/>
      <c r="J140" s="13"/>
      <c r="K140" s="13"/>
      <c r="L140" s="13"/>
      <c r="M140" s="13"/>
      <c r="N140" s="12"/>
      <c r="O140" s="12"/>
      <c r="P140" s="6"/>
    </row>
    <row r="141" spans="1:16" ht="24" customHeight="1" x14ac:dyDescent="0.25">
      <c r="A141" s="8"/>
      <c r="B141" s="7"/>
      <c r="C141" s="5"/>
      <c r="D141" s="29"/>
      <c r="E141" s="29"/>
      <c r="F141" s="17"/>
      <c r="G141" s="13"/>
      <c r="H141" s="13"/>
      <c r="I141" s="13"/>
      <c r="J141" s="13"/>
      <c r="K141" s="13"/>
      <c r="L141" s="13"/>
      <c r="M141" s="13"/>
      <c r="N141" s="12"/>
      <c r="O141" s="12"/>
      <c r="P141" s="6"/>
    </row>
    <row r="142" spans="1:16" ht="24" customHeight="1" x14ac:dyDescent="0.25">
      <c r="A142" s="8"/>
      <c r="B142" s="7"/>
      <c r="C142" s="5"/>
      <c r="D142" s="29"/>
      <c r="E142" s="29"/>
      <c r="F142" s="17"/>
      <c r="G142" s="13"/>
      <c r="H142" s="13"/>
      <c r="I142" s="13"/>
      <c r="J142" s="13"/>
      <c r="K142" s="13"/>
      <c r="L142" s="13"/>
      <c r="M142" s="13"/>
      <c r="N142" s="12"/>
      <c r="O142" s="12"/>
      <c r="P142" s="6"/>
    </row>
    <row r="143" spans="1:16" ht="24" customHeight="1" x14ac:dyDescent="0.25">
      <c r="A143" s="8"/>
      <c r="B143" s="7"/>
      <c r="C143" s="5"/>
      <c r="D143" s="29"/>
      <c r="E143" s="29"/>
      <c r="F143" s="17"/>
      <c r="G143" s="13"/>
      <c r="H143" s="13"/>
      <c r="I143" s="13"/>
      <c r="J143" s="13"/>
      <c r="K143" s="13"/>
      <c r="L143" s="13"/>
      <c r="M143" s="13"/>
      <c r="N143" s="12"/>
      <c r="O143" s="12"/>
      <c r="P143" s="6"/>
    </row>
    <row r="144" spans="1:16" ht="24" customHeight="1" x14ac:dyDescent="0.25">
      <c r="A144" s="8"/>
      <c r="B144" s="7"/>
      <c r="C144" s="5"/>
      <c r="D144" s="29"/>
      <c r="E144" s="29"/>
      <c r="F144" s="17"/>
      <c r="G144" s="13"/>
      <c r="H144" s="13"/>
      <c r="I144" s="13"/>
      <c r="J144" s="13"/>
      <c r="K144" s="13"/>
      <c r="L144" s="13"/>
      <c r="M144" s="13"/>
      <c r="N144" s="12"/>
      <c r="O144" s="12"/>
      <c r="P144" s="6"/>
    </row>
    <row r="145" spans="1:16" ht="24" customHeight="1" thickBot="1" x14ac:dyDescent="0.3">
      <c r="A145" s="9"/>
      <c r="B145" s="7"/>
      <c r="C145" s="5"/>
      <c r="D145" s="29"/>
      <c r="E145" s="29"/>
      <c r="F145" s="17"/>
      <c r="G145" s="13"/>
      <c r="H145" s="13"/>
      <c r="I145" s="13"/>
      <c r="J145" s="13"/>
      <c r="K145" s="13"/>
      <c r="L145" s="13"/>
      <c r="M145" s="13"/>
      <c r="N145" s="12"/>
      <c r="O145" s="12"/>
      <c r="P145" s="6"/>
    </row>
    <row r="146" spans="1:16" ht="24" customHeight="1" x14ac:dyDescent="0.25"/>
    <row r="147" spans="1:16" ht="24" customHeight="1" x14ac:dyDescent="0.25"/>
  </sheetData>
  <mergeCells count="12">
    <mergeCell ref="O5:O6"/>
    <mergeCell ref="A4:B4"/>
    <mergeCell ref="G5:M5"/>
    <mergeCell ref="P5:P6"/>
    <mergeCell ref="A2:O2"/>
    <mergeCell ref="A5:A6"/>
    <mergeCell ref="B5:B6"/>
    <mergeCell ref="C5:C6"/>
    <mergeCell ref="D5:D6"/>
    <mergeCell ref="E5:E6"/>
    <mergeCell ref="F5:F6"/>
    <mergeCell ref="N5:N6"/>
  </mergeCells>
  <phoneticPr fontId="7" type="noConversion"/>
  <printOptions horizontalCentered="1"/>
  <pageMargins left="0.7" right="0.7" top="0.75" bottom="0.75" header="0.3" footer="0.3"/>
  <pageSetup paperSize="9" scale="15" orientation="landscape" horizont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P147"/>
  <sheetViews>
    <sheetView view="pageBreakPreview" zoomScale="77" zoomScaleNormal="100" zoomScaleSheetLayoutView="77" workbookViewId="0">
      <pane xSplit="1" ySplit="6" topLeftCell="B32" activePane="bottomRight" state="frozen"/>
      <selection pane="topRight" activeCell="B1" sqref="B1"/>
      <selection pane="bottomLeft" activeCell="A6" sqref="A6"/>
      <selection pane="bottomRight" activeCell="A23" sqref="A23:XFD42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style="31" customWidth="1"/>
    <col min="5" max="5" width="9.140625" customWidth="1"/>
    <col min="6" max="6" width="15.140625" customWidth="1"/>
    <col min="7" max="13" width="10" customWidth="1"/>
    <col min="14" max="14" width="13.140625" customWidth="1"/>
    <col min="15" max="15" width="13.28515625" customWidth="1"/>
    <col min="16" max="16" width="11.28515625" bestFit="1" customWidth="1"/>
  </cols>
  <sheetData>
    <row r="2" spans="1:16" x14ac:dyDescent="0.2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6" x14ac:dyDescent="0.25">
      <c r="A3" s="2" t="s">
        <v>1</v>
      </c>
      <c r="B3" s="2"/>
      <c r="C3" s="26">
        <v>43767</v>
      </c>
      <c r="D3" s="52" t="s">
        <v>2</v>
      </c>
      <c r="E3" s="3"/>
      <c r="F3" s="2"/>
      <c r="G3" s="2" t="s">
        <v>13</v>
      </c>
      <c r="H3" s="2" t="s">
        <v>15</v>
      </c>
      <c r="I3" s="2"/>
      <c r="J3" s="2"/>
      <c r="K3" s="2"/>
      <c r="L3" s="2"/>
      <c r="M3" s="2"/>
      <c r="N3" s="4"/>
      <c r="O3" s="2"/>
    </row>
    <row r="4" spans="1:16" ht="15.75" thickBot="1" x14ac:dyDescent="0.3">
      <c r="A4" s="142"/>
      <c r="B4" s="142"/>
      <c r="C4" s="2"/>
      <c r="D4" s="28" t="s">
        <v>14</v>
      </c>
      <c r="E4" s="3"/>
      <c r="F4" s="2"/>
      <c r="G4" s="2"/>
      <c r="H4" s="2"/>
      <c r="I4" s="2"/>
      <c r="J4" s="2"/>
      <c r="K4" s="2"/>
      <c r="L4" s="2"/>
      <c r="M4" s="2"/>
      <c r="N4" s="4"/>
      <c r="O4" s="2"/>
    </row>
    <row r="5" spans="1:16" s="1" customFormat="1" ht="14.45" customHeight="1" x14ac:dyDescent="0.25">
      <c r="A5" s="149" t="s">
        <v>3</v>
      </c>
      <c r="B5" s="145" t="s">
        <v>4</v>
      </c>
      <c r="C5" s="140" t="s">
        <v>5</v>
      </c>
      <c r="D5" s="140" t="s">
        <v>9</v>
      </c>
      <c r="E5" s="140" t="s">
        <v>6</v>
      </c>
      <c r="F5" s="140" t="s">
        <v>7</v>
      </c>
      <c r="G5" s="143" t="s">
        <v>145</v>
      </c>
      <c r="H5" s="144"/>
      <c r="I5" s="144"/>
      <c r="J5" s="144"/>
      <c r="K5" s="144"/>
      <c r="L5" s="144"/>
      <c r="M5" s="145"/>
      <c r="N5" s="140" t="s">
        <v>8</v>
      </c>
      <c r="O5" s="140" t="s">
        <v>10</v>
      </c>
      <c r="P5" s="146" t="s">
        <v>11</v>
      </c>
    </row>
    <row r="6" spans="1:16" ht="13.9" customHeight="1" thickBot="1" x14ac:dyDescent="0.3">
      <c r="A6" s="150"/>
      <c r="B6" s="151"/>
      <c r="C6" s="141"/>
      <c r="D6" s="141"/>
      <c r="E6" s="141"/>
      <c r="F6" s="141"/>
      <c r="G6" s="51" t="s">
        <v>138</v>
      </c>
      <c r="H6" s="51" t="s">
        <v>139</v>
      </c>
      <c r="I6" s="51" t="s">
        <v>140</v>
      </c>
      <c r="J6" s="51" t="s">
        <v>141</v>
      </c>
      <c r="K6" s="51" t="s">
        <v>142</v>
      </c>
      <c r="L6" s="51" t="s">
        <v>143</v>
      </c>
      <c r="M6" s="51" t="s">
        <v>144</v>
      </c>
      <c r="N6" s="141"/>
      <c r="O6" s="141"/>
      <c r="P6" s="147"/>
    </row>
    <row r="7" spans="1:16" ht="24" customHeight="1" x14ac:dyDescent="0.25">
      <c r="A7" s="14">
        <v>1</v>
      </c>
      <c r="B7" s="49">
        <v>0.30694444444444441</v>
      </c>
      <c r="C7" s="15" t="s">
        <v>69</v>
      </c>
      <c r="D7" s="27">
        <v>7</v>
      </c>
      <c r="E7" s="15">
        <v>2</v>
      </c>
      <c r="F7" s="15" t="s">
        <v>12</v>
      </c>
      <c r="G7" s="19">
        <v>4.5999999999999996</v>
      </c>
      <c r="H7" s="19">
        <v>7.3000000000000007</v>
      </c>
      <c r="I7" s="19">
        <v>0</v>
      </c>
      <c r="J7" s="19">
        <v>0</v>
      </c>
      <c r="K7" s="19">
        <v>0</v>
      </c>
      <c r="L7" s="19">
        <v>0</v>
      </c>
      <c r="M7" s="19">
        <v>0</v>
      </c>
      <c r="N7" s="19"/>
      <c r="O7" s="12"/>
      <c r="P7" s="22" t="s">
        <v>17</v>
      </c>
    </row>
    <row r="8" spans="1:16" ht="24" customHeight="1" x14ac:dyDescent="0.25">
      <c r="A8" s="14">
        <f>A7+1</f>
        <v>2</v>
      </c>
      <c r="B8" s="7">
        <v>0.31319444444444444</v>
      </c>
      <c r="C8" s="50" t="s">
        <v>70</v>
      </c>
      <c r="D8" s="29">
        <v>7</v>
      </c>
      <c r="E8" s="5">
        <v>2</v>
      </c>
      <c r="F8" s="5" t="s">
        <v>12</v>
      </c>
      <c r="G8" s="19">
        <v>3.5</v>
      </c>
      <c r="H8" s="19">
        <v>9.8500000000000014</v>
      </c>
      <c r="I8" s="19">
        <v>0</v>
      </c>
      <c r="J8" s="19">
        <v>0</v>
      </c>
      <c r="K8" s="19">
        <v>0</v>
      </c>
      <c r="L8" s="19">
        <v>0</v>
      </c>
      <c r="M8" s="19">
        <v>0</v>
      </c>
      <c r="N8" s="19"/>
      <c r="O8" s="12"/>
      <c r="P8" s="11" t="s">
        <v>21</v>
      </c>
    </row>
    <row r="9" spans="1:16" ht="24" customHeight="1" x14ac:dyDescent="0.25">
      <c r="A9" s="14">
        <f t="shared" ref="A9:A42" si="0">A8+1</f>
        <v>3</v>
      </c>
      <c r="B9" s="7">
        <v>0.3347222222222222</v>
      </c>
      <c r="C9" s="5" t="s">
        <v>71</v>
      </c>
      <c r="D9" s="30">
        <v>10</v>
      </c>
      <c r="E9" s="5">
        <v>6</v>
      </c>
      <c r="F9" s="15" t="s">
        <v>35</v>
      </c>
      <c r="G9" s="19">
        <v>5.7</v>
      </c>
      <c r="H9" s="19">
        <v>5.9499999999999993</v>
      </c>
      <c r="I9" s="19">
        <v>8.4499999999999993</v>
      </c>
      <c r="J9" s="19">
        <v>9.1000000000000014</v>
      </c>
      <c r="K9" s="19">
        <v>8.4499999999999993</v>
      </c>
      <c r="L9" s="19">
        <v>7.9499999999999993</v>
      </c>
      <c r="M9" s="19">
        <v>0</v>
      </c>
      <c r="N9" s="19"/>
      <c r="O9" s="12"/>
      <c r="P9" s="6" t="s">
        <v>22</v>
      </c>
    </row>
    <row r="10" spans="1:16" ht="24" customHeight="1" x14ac:dyDescent="0.25">
      <c r="A10" s="14">
        <f t="shared" si="0"/>
        <v>4</v>
      </c>
      <c r="B10" s="7">
        <v>0.33749999999999997</v>
      </c>
      <c r="C10" s="5" t="s">
        <v>72</v>
      </c>
      <c r="D10" s="30">
        <v>10</v>
      </c>
      <c r="E10" s="5">
        <v>6</v>
      </c>
      <c r="F10" s="15" t="s">
        <v>33</v>
      </c>
      <c r="G10" s="19">
        <v>5.6999999999999993</v>
      </c>
      <c r="H10" s="19">
        <v>7</v>
      </c>
      <c r="I10" s="19">
        <v>7</v>
      </c>
      <c r="J10" s="19">
        <v>9.25</v>
      </c>
      <c r="K10" s="19">
        <v>7.7</v>
      </c>
      <c r="L10" s="19">
        <v>6.9</v>
      </c>
      <c r="M10" s="19">
        <v>0</v>
      </c>
      <c r="N10" s="19"/>
      <c r="O10" s="12"/>
      <c r="P10" s="6" t="s">
        <v>22</v>
      </c>
    </row>
    <row r="11" spans="1:16" ht="24" customHeight="1" x14ac:dyDescent="0.25">
      <c r="A11" s="14">
        <f t="shared" si="0"/>
        <v>5</v>
      </c>
      <c r="B11" s="7">
        <v>0.35625000000000001</v>
      </c>
      <c r="C11" s="5" t="s">
        <v>73</v>
      </c>
      <c r="D11" s="30">
        <v>8</v>
      </c>
      <c r="E11" s="5">
        <v>3</v>
      </c>
      <c r="F11" s="15" t="s">
        <v>74</v>
      </c>
      <c r="G11" s="19">
        <v>5.5</v>
      </c>
      <c r="H11" s="19">
        <v>15</v>
      </c>
      <c r="I11" s="19">
        <v>15</v>
      </c>
      <c r="J11" s="19">
        <v>0</v>
      </c>
      <c r="K11" s="19">
        <v>0</v>
      </c>
      <c r="L11" s="19">
        <v>0</v>
      </c>
      <c r="M11" s="19">
        <v>0</v>
      </c>
      <c r="N11" s="19"/>
      <c r="O11" s="12"/>
      <c r="P11" s="11" t="s">
        <v>17</v>
      </c>
    </row>
    <row r="12" spans="1:16" ht="24" customHeight="1" x14ac:dyDescent="0.25">
      <c r="A12" s="14">
        <f t="shared" si="0"/>
        <v>6</v>
      </c>
      <c r="B12" s="7">
        <v>0.35833333333333334</v>
      </c>
      <c r="C12" s="5" t="s">
        <v>75</v>
      </c>
      <c r="D12" s="30">
        <v>10</v>
      </c>
      <c r="E12" s="5">
        <v>6</v>
      </c>
      <c r="F12" s="15" t="s">
        <v>33</v>
      </c>
      <c r="G12" s="19">
        <v>6.2</v>
      </c>
      <c r="H12" s="19">
        <v>9.5500000000000007</v>
      </c>
      <c r="I12" s="19">
        <v>7.3</v>
      </c>
      <c r="J12" s="19">
        <v>8.4499999999999993</v>
      </c>
      <c r="K12" s="19">
        <v>7.55</v>
      </c>
      <c r="L12" s="19">
        <v>7.5</v>
      </c>
      <c r="M12" s="19">
        <v>0</v>
      </c>
      <c r="N12" s="19"/>
      <c r="O12" s="12"/>
      <c r="P12" s="11" t="s">
        <v>17</v>
      </c>
    </row>
    <row r="13" spans="1:16" ht="24" customHeight="1" x14ac:dyDescent="0.25">
      <c r="A13" s="14">
        <f t="shared" si="0"/>
        <v>7</v>
      </c>
      <c r="B13" s="7">
        <v>0.36805555555555558</v>
      </c>
      <c r="C13" s="33" t="s">
        <v>76</v>
      </c>
      <c r="D13" s="30">
        <v>10</v>
      </c>
      <c r="E13" s="5">
        <v>6</v>
      </c>
      <c r="F13" s="15" t="s">
        <v>33</v>
      </c>
      <c r="G13" s="19">
        <v>5.15</v>
      </c>
      <c r="H13" s="19">
        <v>7.7</v>
      </c>
      <c r="I13" s="19">
        <v>5.05</v>
      </c>
      <c r="J13" s="19">
        <v>9.1</v>
      </c>
      <c r="K13" s="19">
        <v>7.85</v>
      </c>
      <c r="L13" s="19">
        <v>8.75</v>
      </c>
      <c r="M13" s="19">
        <v>0</v>
      </c>
      <c r="N13" s="19"/>
      <c r="O13" s="12"/>
      <c r="P13" s="11" t="s">
        <v>28</v>
      </c>
    </row>
    <row r="14" spans="1:16" ht="24" customHeight="1" x14ac:dyDescent="0.25">
      <c r="A14" s="14">
        <f t="shared" si="0"/>
        <v>8</v>
      </c>
      <c r="B14" s="7">
        <v>0.37291666666666662</v>
      </c>
      <c r="C14" s="5" t="s">
        <v>77</v>
      </c>
      <c r="D14" s="30">
        <v>7</v>
      </c>
      <c r="E14" s="5">
        <v>2</v>
      </c>
      <c r="F14" s="15" t="s">
        <v>12</v>
      </c>
      <c r="G14" s="19">
        <v>4.9000000000000004</v>
      </c>
      <c r="H14" s="19">
        <v>10.15</v>
      </c>
      <c r="I14" s="19">
        <v>0</v>
      </c>
      <c r="J14" s="19">
        <v>0</v>
      </c>
      <c r="K14" s="19">
        <v>0</v>
      </c>
      <c r="L14" s="19">
        <v>0</v>
      </c>
      <c r="M14" s="19">
        <v>0</v>
      </c>
      <c r="N14" s="19"/>
      <c r="O14" s="12"/>
      <c r="P14" s="6" t="s">
        <v>30</v>
      </c>
    </row>
    <row r="15" spans="1:16" ht="24" customHeight="1" x14ac:dyDescent="0.25">
      <c r="A15" s="14">
        <f t="shared" si="0"/>
        <v>9</v>
      </c>
      <c r="B15" s="7">
        <v>0.44166666666666665</v>
      </c>
      <c r="C15" s="5" t="s">
        <v>78</v>
      </c>
      <c r="D15" s="30">
        <v>9</v>
      </c>
      <c r="E15" s="5">
        <v>4</v>
      </c>
      <c r="F15" s="15" t="s">
        <v>85</v>
      </c>
      <c r="G15" s="19">
        <v>7</v>
      </c>
      <c r="H15" s="19">
        <v>5.6</v>
      </c>
      <c r="I15" s="19">
        <v>10.25</v>
      </c>
      <c r="J15" s="19">
        <v>7.3</v>
      </c>
      <c r="K15" s="19">
        <v>0</v>
      </c>
      <c r="L15" s="19">
        <v>0</v>
      </c>
      <c r="M15" s="19">
        <v>0</v>
      </c>
      <c r="N15" s="19"/>
      <c r="O15" s="12"/>
      <c r="P15" s="6" t="s">
        <v>37</v>
      </c>
    </row>
    <row r="16" spans="1:16" ht="24" customHeight="1" x14ac:dyDescent="0.25">
      <c r="A16" s="14">
        <f t="shared" si="0"/>
        <v>10</v>
      </c>
      <c r="B16" s="7">
        <v>0.44444444444444442</v>
      </c>
      <c r="C16" s="5" t="s">
        <v>79</v>
      </c>
      <c r="D16" s="30">
        <v>10</v>
      </c>
      <c r="E16" s="5">
        <v>6</v>
      </c>
      <c r="F16" s="15" t="s">
        <v>86</v>
      </c>
      <c r="G16" s="19">
        <v>5.35</v>
      </c>
      <c r="H16" s="19">
        <v>8.9499999999999993</v>
      </c>
      <c r="I16" s="19">
        <v>4.75</v>
      </c>
      <c r="J16" s="19">
        <v>9.6999999999999993</v>
      </c>
      <c r="K16" s="19">
        <v>8.15</v>
      </c>
      <c r="L16" s="19">
        <v>6.7</v>
      </c>
      <c r="M16" s="19">
        <v>0</v>
      </c>
      <c r="N16" s="19"/>
      <c r="O16" s="12"/>
      <c r="P16" s="6" t="s">
        <v>17</v>
      </c>
    </row>
    <row r="17" spans="1:16" ht="24" customHeight="1" x14ac:dyDescent="0.25">
      <c r="A17" s="14">
        <f t="shared" si="0"/>
        <v>11</v>
      </c>
      <c r="B17" s="7">
        <v>0.46388888888888885</v>
      </c>
      <c r="C17" s="5" t="s">
        <v>80</v>
      </c>
      <c r="D17" s="30">
        <v>10</v>
      </c>
      <c r="E17" s="5">
        <v>6</v>
      </c>
      <c r="F17" s="15" t="s">
        <v>42</v>
      </c>
      <c r="G17" s="19">
        <v>5.85</v>
      </c>
      <c r="H17" s="19">
        <v>5.9</v>
      </c>
      <c r="I17" s="19">
        <v>9.6000000000000014</v>
      </c>
      <c r="J17" s="19">
        <v>8.15</v>
      </c>
      <c r="K17" s="19">
        <v>8.1000000000000014</v>
      </c>
      <c r="L17" s="19">
        <v>7.6999999999999993</v>
      </c>
      <c r="M17" s="19">
        <v>0</v>
      </c>
      <c r="N17" s="19"/>
      <c r="O17" s="12"/>
      <c r="P17" s="6" t="s">
        <v>38</v>
      </c>
    </row>
    <row r="18" spans="1:16" ht="24" customHeight="1" x14ac:dyDescent="0.25">
      <c r="A18" s="14">
        <f t="shared" si="0"/>
        <v>12</v>
      </c>
      <c r="B18" s="7">
        <v>0.47638888888888892</v>
      </c>
      <c r="C18" s="5" t="s">
        <v>81</v>
      </c>
      <c r="D18" s="30">
        <v>10</v>
      </c>
      <c r="E18" s="5">
        <v>6</v>
      </c>
      <c r="F18" s="15" t="s">
        <v>35</v>
      </c>
      <c r="G18" s="19">
        <v>5</v>
      </c>
      <c r="H18" s="19">
        <v>4.0999999999999996</v>
      </c>
      <c r="I18" s="19">
        <v>6.1</v>
      </c>
      <c r="J18" s="19">
        <v>6.35</v>
      </c>
      <c r="K18" s="19">
        <v>5.5</v>
      </c>
      <c r="L18" s="19">
        <v>5.7</v>
      </c>
      <c r="M18" s="19">
        <v>0</v>
      </c>
      <c r="N18" s="19"/>
      <c r="O18" s="12"/>
      <c r="P18" s="6" t="s">
        <v>38</v>
      </c>
    </row>
    <row r="19" spans="1:16" ht="24" customHeight="1" x14ac:dyDescent="0.25">
      <c r="A19" s="14">
        <f t="shared" si="0"/>
        <v>13</v>
      </c>
      <c r="B19" s="7">
        <v>0.4861111111111111</v>
      </c>
      <c r="C19" s="5" t="s">
        <v>82</v>
      </c>
      <c r="D19" s="30">
        <v>10</v>
      </c>
      <c r="E19" s="5">
        <v>6</v>
      </c>
      <c r="F19" s="15" t="s">
        <v>33</v>
      </c>
      <c r="G19" s="19">
        <v>5.4</v>
      </c>
      <c r="H19" s="19">
        <v>6.9</v>
      </c>
      <c r="I19" s="19">
        <v>6.5</v>
      </c>
      <c r="J19" s="19">
        <v>5.5</v>
      </c>
      <c r="K19" s="19">
        <v>5.5</v>
      </c>
      <c r="L19" s="19">
        <v>5.85</v>
      </c>
      <c r="M19" s="19">
        <v>0</v>
      </c>
      <c r="N19" s="19"/>
      <c r="O19" s="12"/>
      <c r="P19" s="6" t="s">
        <v>17</v>
      </c>
    </row>
    <row r="20" spans="1:16" ht="24" customHeight="1" x14ac:dyDescent="0.25">
      <c r="A20" s="14">
        <f t="shared" si="0"/>
        <v>14</v>
      </c>
      <c r="B20" s="7">
        <v>0.48749999999999999</v>
      </c>
      <c r="C20" s="5" t="s">
        <v>83</v>
      </c>
      <c r="D20" s="30">
        <v>10</v>
      </c>
      <c r="E20" s="5">
        <v>6</v>
      </c>
      <c r="F20" s="15" t="s">
        <v>33</v>
      </c>
      <c r="G20" s="19">
        <v>6.6</v>
      </c>
      <c r="H20" s="19">
        <v>9.1999999999999993</v>
      </c>
      <c r="I20" s="19">
        <v>8.4</v>
      </c>
      <c r="J20" s="19">
        <v>7.4</v>
      </c>
      <c r="K20" s="19">
        <v>6.1999999999999993</v>
      </c>
      <c r="L20" s="19">
        <v>6.8</v>
      </c>
      <c r="M20" s="19">
        <v>0</v>
      </c>
      <c r="N20" s="19"/>
      <c r="O20" s="12"/>
      <c r="P20" s="6" t="s">
        <v>39</v>
      </c>
    </row>
    <row r="21" spans="1:16" ht="23.25" customHeight="1" thickBot="1" x14ac:dyDescent="0.3">
      <c r="A21" s="65">
        <f t="shared" si="0"/>
        <v>15</v>
      </c>
      <c r="B21" s="41">
        <v>0.53541666666666665</v>
      </c>
      <c r="C21" s="42" t="s">
        <v>84</v>
      </c>
      <c r="D21" s="30">
        <v>10</v>
      </c>
      <c r="E21" s="42">
        <v>7</v>
      </c>
      <c r="F21" s="67" t="s">
        <v>47</v>
      </c>
      <c r="G21" s="19">
        <v>6.75</v>
      </c>
      <c r="H21" s="19">
        <v>7.8</v>
      </c>
      <c r="I21" s="19">
        <v>7.9</v>
      </c>
      <c r="J21" s="19">
        <v>6.55</v>
      </c>
      <c r="K21" s="19">
        <v>6.4499999999999993</v>
      </c>
      <c r="L21" s="19">
        <v>7.4</v>
      </c>
      <c r="M21" s="19">
        <v>6.9499999999999993</v>
      </c>
      <c r="N21" s="68"/>
      <c r="O21" s="69"/>
      <c r="P21" s="6" t="s">
        <v>17</v>
      </c>
    </row>
    <row r="22" spans="1:16" ht="24" customHeight="1" thickBot="1" x14ac:dyDescent="0.3">
      <c r="A22" s="53"/>
      <c r="B22" s="54"/>
      <c r="C22" s="55"/>
      <c r="D22" s="84"/>
      <c r="E22" s="55"/>
      <c r="F22" s="39"/>
      <c r="G22" s="19"/>
      <c r="H22" s="82" t="s">
        <v>146</v>
      </c>
      <c r="I22" s="19"/>
      <c r="J22" s="19"/>
      <c r="K22" s="19"/>
      <c r="L22" s="19"/>
      <c r="M22" s="19"/>
      <c r="N22" s="36"/>
      <c r="O22" s="57"/>
      <c r="P22" s="58"/>
    </row>
    <row r="23" spans="1:16" ht="24" customHeight="1" x14ac:dyDescent="0.25">
      <c r="A23" s="59">
        <v>1</v>
      </c>
      <c r="B23" s="60">
        <v>0.35486111111111113</v>
      </c>
      <c r="C23" s="61" t="s">
        <v>98</v>
      </c>
      <c r="D23" s="30">
        <v>10</v>
      </c>
      <c r="E23" s="61">
        <v>6</v>
      </c>
      <c r="F23" s="62" t="s">
        <v>33</v>
      </c>
      <c r="G23" s="19">
        <v>6.5</v>
      </c>
      <c r="H23" s="19">
        <v>7.75</v>
      </c>
      <c r="I23" s="19">
        <v>7.1499999999999995</v>
      </c>
      <c r="J23" s="19">
        <v>7.75</v>
      </c>
      <c r="K23" s="19">
        <v>7.3</v>
      </c>
      <c r="L23" s="19">
        <v>8.15</v>
      </c>
      <c r="M23" s="19">
        <v>0</v>
      </c>
      <c r="N23" s="64"/>
      <c r="O23" s="63"/>
      <c r="P23" s="11" t="s">
        <v>48</v>
      </c>
    </row>
    <row r="24" spans="1:16" ht="24" customHeight="1" x14ac:dyDescent="0.25">
      <c r="A24" s="14">
        <v>2</v>
      </c>
      <c r="B24" s="7">
        <v>0.3743055555555555</v>
      </c>
      <c r="C24" s="5" t="s">
        <v>99</v>
      </c>
      <c r="D24" s="30">
        <v>10</v>
      </c>
      <c r="E24" s="5">
        <v>6</v>
      </c>
      <c r="F24" s="15" t="s">
        <v>33</v>
      </c>
      <c r="G24" s="19">
        <v>4.7</v>
      </c>
      <c r="H24" s="19">
        <v>9.1000000000000014</v>
      </c>
      <c r="I24" s="19">
        <v>8.85</v>
      </c>
      <c r="J24" s="19">
        <v>7.7</v>
      </c>
      <c r="K24" s="19">
        <v>6.75</v>
      </c>
      <c r="L24" s="19">
        <v>9.4499999999999993</v>
      </c>
      <c r="M24" s="19">
        <v>0</v>
      </c>
      <c r="N24" s="19"/>
      <c r="O24" s="12"/>
      <c r="P24" s="6" t="s">
        <v>48</v>
      </c>
    </row>
    <row r="25" spans="1:16" ht="24" customHeight="1" x14ac:dyDescent="0.25">
      <c r="A25" s="14">
        <v>3</v>
      </c>
      <c r="B25" s="7">
        <v>0.38263888888888892</v>
      </c>
      <c r="C25" s="5" t="s">
        <v>100</v>
      </c>
      <c r="D25" s="30">
        <v>10</v>
      </c>
      <c r="E25" s="5">
        <v>7</v>
      </c>
      <c r="F25" s="15" t="s">
        <v>47</v>
      </c>
      <c r="G25" s="19">
        <v>6.15</v>
      </c>
      <c r="H25" s="19">
        <v>6.45</v>
      </c>
      <c r="I25" s="19">
        <v>7.5</v>
      </c>
      <c r="J25" s="19">
        <v>7.95</v>
      </c>
      <c r="K25" s="19">
        <v>9.35</v>
      </c>
      <c r="L25" s="19">
        <v>7</v>
      </c>
      <c r="M25" s="19">
        <v>5.25</v>
      </c>
      <c r="N25" s="19"/>
      <c r="O25" s="12"/>
      <c r="P25" s="6" t="s">
        <v>48</v>
      </c>
    </row>
    <row r="26" spans="1:16" ht="24" customHeight="1" x14ac:dyDescent="0.25">
      <c r="A26" s="14">
        <f t="shared" si="0"/>
        <v>4</v>
      </c>
      <c r="B26" s="24">
        <v>0.38541666666666669</v>
      </c>
      <c r="C26" s="23" t="s">
        <v>101</v>
      </c>
      <c r="D26" s="30">
        <v>10</v>
      </c>
      <c r="E26" s="5">
        <v>7</v>
      </c>
      <c r="F26" s="15" t="s">
        <v>47</v>
      </c>
      <c r="G26" s="19">
        <v>7.95</v>
      </c>
      <c r="H26" s="19">
        <v>8.3000000000000007</v>
      </c>
      <c r="I26" s="19">
        <v>7.8500000000000005</v>
      </c>
      <c r="J26" s="19">
        <v>6.35</v>
      </c>
      <c r="K26" s="19">
        <v>6.75</v>
      </c>
      <c r="L26" s="19">
        <v>7.15</v>
      </c>
      <c r="M26" s="19">
        <v>5.85</v>
      </c>
      <c r="N26" s="19"/>
      <c r="O26" s="12"/>
      <c r="P26" s="6" t="s">
        <v>48</v>
      </c>
    </row>
    <row r="27" spans="1:16" ht="24" customHeight="1" x14ac:dyDescent="0.25">
      <c r="A27" s="14">
        <f t="shared" si="0"/>
        <v>5</v>
      </c>
      <c r="B27" s="24">
        <v>0.40833333333333338</v>
      </c>
      <c r="C27" s="23" t="s">
        <v>102</v>
      </c>
      <c r="D27" s="30">
        <v>10</v>
      </c>
      <c r="E27" s="5">
        <v>6</v>
      </c>
      <c r="F27" s="15" t="s">
        <v>33</v>
      </c>
      <c r="G27" s="19">
        <v>5.25</v>
      </c>
      <c r="H27" s="19">
        <v>9.1999999999999993</v>
      </c>
      <c r="I27" s="19">
        <v>7.3000000000000007</v>
      </c>
      <c r="J27" s="19">
        <v>7.4499999999999993</v>
      </c>
      <c r="K27" s="19">
        <v>6.4</v>
      </c>
      <c r="L27" s="19">
        <v>7.1999999999999993</v>
      </c>
      <c r="M27" s="19">
        <v>0</v>
      </c>
      <c r="N27" s="19"/>
      <c r="O27" s="12"/>
      <c r="P27" s="6" t="s">
        <v>48</v>
      </c>
    </row>
    <row r="28" spans="1:16" ht="24" customHeight="1" x14ac:dyDescent="0.25">
      <c r="A28" s="14">
        <f t="shared" si="0"/>
        <v>6</v>
      </c>
      <c r="B28" s="24">
        <v>0.44305555555555554</v>
      </c>
      <c r="C28" s="23" t="s">
        <v>103</v>
      </c>
      <c r="D28" s="30">
        <v>10</v>
      </c>
      <c r="E28" s="5">
        <v>6</v>
      </c>
      <c r="F28" s="15" t="s">
        <v>33</v>
      </c>
      <c r="G28" s="19">
        <v>3.8</v>
      </c>
      <c r="H28" s="19">
        <v>8.4499999999999993</v>
      </c>
      <c r="I28" s="19">
        <v>3.25</v>
      </c>
      <c r="J28" s="19">
        <v>8.3000000000000007</v>
      </c>
      <c r="K28" s="19">
        <v>7.65</v>
      </c>
      <c r="L28" s="19">
        <v>6.4499999999999993</v>
      </c>
      <c r="M28" s="19">
        <v>0</v>
      </c>
      <c r="N28" s="19"/>
      <c r="O28" s="12"/>
      <c r="P28" s="6" t="s">
        <v>48</v>
      </c>
    </row>
    <row r="29" spans="1:16" ht="24" customHeight="1" x14ac:dyDescent="0.25">
      <c r="A29" s="14">
        <f t="shared" si="0"/>
        <v>7</v>
      </c>
      <c r="B29" s="24">
        <v>0.47500000000000003</v>
      </c>
      <c r="C29" s="23" t="s">
        <v>104</v>
      </c>
      <c r="D29" s="30">
        <v>10</v>
      </c>
      <c r="E29" s="5">
        <v>6</v>
      </c>
      <c r="F29" s="15" t="s">
        <v>35</v>
      </c>
      <c r="G29" s="19">
        <v>5.5</v>
      </c>
      <c r="H29" s="19">
        <v>6.5</v>
      </c>
      <c r="I29" s="19">
        <v>9.9090000000000007</v>
      </c>
      <c r="J29" s="19">
        <v>6.95</v>
      </c>
      <c r="K29" s="19">
        <v>7.2</v>
      </c>
      <c r="L29" s="19">
        <v>7.6999999999999993</v>
      </c>
      <c r="M29" s="19">
        <v>0</v>
      </c>
      <c r="N29" s="19"/>
      <c r="O29" s="12"/>
      <c r="P29" s="6" t="s">
        <v>48</v>
      </c>
    </row>
    <row r="30" spans="1:16" ht="24" customHeight="1" x14ac:dyDescent="0.25">
      <c r="A30" s="14">
        <f t="shared" si="0"/>
        <v>8</v>
      </c>
      <c r="B30" s="24">
        <v>0.47847222222222219</v>
      </c>
      <c r="C30" s="23" t="s">
        <v>97</v>
      </c>
      <c r="D30" s="30">
        <v>10</v>
      </c>
      <c r="E30" s="5">
        <v>6</v>
      </c>
      <c r="F30" s="15" t="s">
        <v>106</v>
      </c>
      <c r="G30" s="19">
        <v>5.9499999999999993</v>
      </c>
      <c r="H30" s="19">
        <v>8.4499999999999993</v>
      </c>
      <c r="I30" s="19">
        <v>8.9499999999999993</v>
      </c>
      <c r="J30" s="19">
        <v>7</v>
      </c>
      <c r="K30" s="19">
        <v>7.15</v>
      </c>
      <c r="L30" s="19">
        <v>7.4</v>
      </c>
      <c r="M30" s="19">
        <v>0</v>
      </c>
      <c r="N30" s="19"/>
      <c r="O30" s="12"/>
      <c r="P30" s="6" t="s">
        <v>48</v>
      </c>
    </row>
    <row r="31" spans="1:16" ht="24" customHeight="1" x14ac:dyDescent="0.25">
      <c r="A31" s="14">
        <f t="shared" si="0"/>
        <v>9</v>
      </c>
      <c r="B31" s="7">
        <v>0.5229166666666667</v>
      </c>
      <c r="C31" s="5" t="s">
        <v>96</v>
      </c>
      <c r="D31" s="30">
        <v>10</v>
      </c>
      <c r="E31" s="5">
        <v>6</v>
      </c>
      <c r="F31" s="15" t="s">
        <v>33</v>
      </c>
      <c r="G31" s="19">
        <v>5.7</v>
      </c>
      <c r="H31" s="19">
        <v>7.5</v>
      </c>
      <c r="I31" s="19">
        <v>7.65</v>
      </c>
      <c r="J31" s="19">
        <v>7.4499999999999993</v>
      </c>
      <c r="K31" s="19">
        <v>7.65</v>
      </c>
      <c r="L31" s="19">
        <v>7.4</v>
      </c>
      <c r="M31" s="19">
        <v>0</v>
      </c>
      <c r="N31" s="19"/>
      <c r="O31" s="12"/>
      <c r="P31" s="11" t="s">
        <v>48</v>
      </c>
    </row>
    <row r="32" spans="1:16" ht="24" customHeight="1" x14ac:dyDescent="0.25">
      <c r="A32" s="14">
        <f t="shared" si="0"/>
        <v>10</v>
      </c>
      <c r="B32" s="7">
        <v>0.57638888888888895</v>
      </c>
      <c r="C32" s="5" t="s">
        <v>69</v>
      </c>
      <c r="D32" s="30">
        <v>7</v>
      </c>
      <c r="E32" s="5">
        <v>2</v>
      </c>
      <c r="F32" s="15" t="s">
        <v>12</v>
      </c>
      <c r="G32" s="19">
        <v>2.9</v>
      </c>
      <c r="H32" s="19">
        <v>5.85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/>
      <c r="O32" s="12"/>
      <c r="P32" s="6" t="s">
        <v>48</v>
      </c>
    </row>
    <row r="33" spans="1:16" ht="24" customHeight="1" x14ac:dyDescent="0.25">
      <c r="A33" s="14">
        <f t="shared" si="0"/>
        <v>11</v>
      </c>
      <c r="B33" s="7">
        <v>0.66249999999999998</v>
      </c>
      <c r="C33" s="5" t="s">
        <v>95</v>
      </c>
      <c r="D33" s="30">
        <v>7</v>
      </c>
      <c r="E33" s="5">
        <v>2</v>
      </c>
      <c r="F33" s="15" t="s">
        <v>12</v>
      </c>
      <c r="G33" s="19">
        <v>4</v>
      </c>
      <c r="H33" s="19">
        <v>12.45</v>
      </c>
      <c r="I33" s="19">
        <v>0</v>
      </c>
      <c r="J33" s="19">
        <v>0</v>
      </c>
      <c r="K33" s="19">
        <v>0</v>
      </c>
      <c r="L33" s="19">
        <v>0</v>
      </c>
      <c r="M33" s="19">
        <v>0</v>
      </c>
      <c r="N33" s="19"/>
      <c r="O33" s="12"/>
      <c r="P33" s="6" t="s">
        <v>48</v>
      </c>
    </row>
    <row r="34" spans="1:16" ht="24" customHeight="1" x14ac:dyDescent="0.25">
      <c r="A34" s="14">
        <f t="shared" si="0"/>
        <v>12</v>
      </c>
      <c r="B34" s="7">
        <v>0.66597222222222219</v>
      </c>
      <c r="C34" s="5" t="s">
        <v>94</v>
      </c>
      <c r="D34" s="29">
        <v>7</v>
      </c>
      <c r="E34" s="5">
        <v>2</v>
      </c>
      <c r="F34" s="15" t="s">
        <v>12</v>
      </c>
      <c r="G34" s="19">
        <v>3.8</v>
      </c>
      <c r="H34" s="19">
        <v>9.9</v>
      </c>
      <c r="I34" s="19">
        <v>0</v>
      </c>
      <c r="J34" s="19">
        <v>0</v>
      </c>
      <c r="K34" s="19">
        <v>0</v>
      </c>
      <c r="L34" s="19">
        <v>0</v>
      </c>
      <c r="M34" s="19">
        <v>0</v>
      </c>
      <c r="N34" s="19"/>
      <c r="O34" s="12"/>
      <c r="P34" s="6" t="s">
        <v>48</v>
      </c>
    </row>
    <row r="35" spans="1:16" ht="24" customHeight="1" x14ac:dyDescent="0.25">
      <c r="A35" s="14">
        <f t="shared" si="0"/>
        <v>13</v>
      </c>
      <c r="B35" s="7">
        <v>0.66666666666666663</v>
      </c>
      <c r="C35" s="5" t="s">
        <v>23</v>
      </c>
      <c r="D35" s="30">
        <v>7</v>
      </c>
      <c r="E35" s="5">
        <v>2</v>
      </c>
      <c r="F35" s="15" t="s">
        <v>12</v>
      </c>
      <c r="G35" s="19">
        <v>6.2</v>
      </c>
      <c r="H35" s="19">
        <v>11.2</v>
      </c>
      <c r="I35" s="19">
        <v>0</v>
      </c>
      <c r="J35" s="19">
        <v>0</v>
      </c>
      <c r="K35" s="19">
        <v>0</v>
      </c>
      <c r="L35" s="19">
        <v>0</v>
      </c>
      <c r="M35" s="19">
        <v>0</v>
      </c>
      <c r="N35" s="19"/>
      <c r="O35" s="12"/>
      <c r="P35" s="6" t="s">
        <v>48</v>
      </c>
    </row>
    <row r="36" spans="1:16" ht="24" customHeight="1" x14ac:dyDescent="0.25">
      <c r="A36" s="14">
        <f t="shared" si="0"/>
        <v>14</v>
      </c>
      <c r="B36" s="7">
        <v>0.6743055555555556</v>
      </c>
      <c r="C36" s="5" t="s">
        <v>93</v>
      </c>
      <c r="D36" s="30">
        <v>7</v>
      </c>
      <c r="E36" s="5">
        <v>2</v>
      </c>
      <c r="F36" s="15" t="s">
        <v>12</v>
      </c>
      <c r="G36" s="19">
        <v>5.8000000000000007</v>
      </c>
      <c r="H36" s="19">
        <v>11.6</v>
      </c>
      <c r="I36" s="19">
        <v>0</v>
      </c>
      <c r="J36" s="19">
        <v>0</v>
      </c>
      <c r="K36" s="19">
        <v>0</v>
      </c>
      <c r="L36" s="19">
        <v>0</v>
      </c>
      <c r="M36" s="19">
        <v>0</v>
      </c>
      <c r="N36" s="19"/>
      <c r="O36" s="12"/>
      <c r="P36" s="6" t="s">
        <v>48</v>
      </c>
    </row>
    <row r="37" spans="1:16" ht="24" customHeight="1" x14ac:dyDescent="0.25">
      <c r="A37" s="14">
        <f t="shared" si="0"/>
        <v>15</v>
      </c>
      <c r="B37" s="7">
        <v>0.67708333333333337</v>
      </c>
      <c r="C37" s="5" t="s">
        <v>92</v>
      </c>
      <c r="D37" s="30">
        <v>10</v>
      </c>
      <c r="E37" s="5">
        <v>7</v>
      </c>
      <c r="F37" s="15" t="s">
        <v>47</v>
      </c>
      <c r="G37" s="19">
        <v>6.25</v>
      </c>
      <c r="H37" s="19">
        <v>7.2</v>
      </c>
      <c r="I37" s="19">
        <v>7.3</v>
      </c>
      <c r="J37" s="19">
        <v>8.0500000000000007</v>
      </c>
      <c r="K37" s="19">
        <v>6.5</v>
      </c>
      <c r="L37" s="19">
        <v>5.75</v>
      </c>
      <c r="M37" s="19">
        <v>4.25</v>
      </c>
      <c r="N37" s="19"/>
      <c r="O37" s="12"/>
      <c r="P37" s="6" t="s">
        <v>48</v>
      </c>
    </row>
    <row r="38" spans="1:16" ht="24" customHeight="1" x14ac:dyDescent="0.25">
      <c r="A38" s="14">
        <f t="shared" si="0"/>
        <v>16</v>
      </c>
      <c r="B38" s="7">
        <v>0.68125000000000002</v>
      </c>
      <c r="C38" s="5" t="s">
        <v>91</v>
      </c>
      <c r="D38" s="30">
        <v>10</v>
      </c>
      <c r="E38" s="5">
        <v>6</v>
      </c>
      <c r="F38" s="15" t="s">
        <v>35</v>
      </c>
      <c r="G38" s="19">
        <v>5.6</v>
      </c>
      <c r="H38" s="19">
        <v>6.25</v>
      </c>
      <c r="I38" s="19">
        <v>7.9</v>
      </c>
      <c r="J38" s="19">
        <v>6.9</v>
      </c>
      <c r="K38" s="19">
        <v>6.4</v>
      </c>
      <c r="L38" s="19">
        <v>11</v>
      </c>
      <c r="M38" s="19">
        <v>0</v>
      </c>
      <c r="N38" s="19"/>
      <c r="O38" s="12"/>
      <c r="P38" s="6" t="s">
        <v>48</v>
      </c>
    </row>
    <row r="39" spans="1:16" ht="24" customHeight="1" x14ac:dyDescent="0.25">
      <c r="A39" s="14">
        <f t="shared" si="0"/>
        <v>17</v>
      </c>
      <c r="B39" s="7">
        <v>0.69166666666666676</v>
      </c>
      <c r="C39" s="5" t="s">
        <v>90</v>
      </c>
      <c r="D39" s="30">
        <v>10</v>
      </c>
      <c r="E39" s="5">
        <v>6</v>
      </c>
      <c r="F39" s="15" t="s">
        <v>35</v>
      </c>
      <c r="G39" s="19">
        <v>5.75</v>
      </c>
      <c r="H39" s="19">
        <v>5.05</v>
      </c>
      <c r="I39" s="19">
        <v>4.9000000000000004</v>
      </c>
      <c r="J39" s="19">
        <v>5.45</v>
      </c>
      <c r="K39" s="19">
        <v>5.1999999999999993</v>
      </c>
      <c r="L39" s="19">
        <v>5.0999999999999996</v>
      </c>
      <c r="M39" s="19">
        <v>0</v>
      </c>
      <c r="N39" s="19"/>
      <c r="O39" s="12"/>
      <c r="P39" s="6" t="s">
        <v>68</v>
      </c>
    </row>
    <row r="40" spans="1:16" ht="24" customHeight="1" x14ac:dyDescent="0.25">
      <c r="A40" s="14">
        <f t="shared" si="0"/>
        <v>18</v>
      </c>
      <c r="B40" s="7">
        <v>0.7006944444444444</v>
      </c>
      <c r="C40" s="5" t="s">
        <v>89</v>
      </c>
      <c r="D40" s="30">
        <v>10</v>
      </c>
      <c r="E40" s="5">
        <v>6</v>
      </c>
      <c r="F40" s="15" t="s">
        <v>33</v>
      </c>
      <c r="G40" s="19">
        <v>5.3000000000000007</v>
      </c>
      <c r="H40" s="19">
        <v>8.1999999999999993</v>
      </c>
      <c r="I40" s="19">
        <v>8.0500000000000007</v>
      </c>
      <c r="J40" s="19">
        <v>8.0500000000000007</v>
      </c>
      <c r="K40" s="19">
        <v>7.0500000000000007</v>
      </c>
      <c r="L40" s="19">
        <v>8.5</v>
      </c>
      <c r="M40" s="19">
        <v>0</v>
      </c>
      <c r="N40" s="19"/>
      <c r="O40" s="12"/>
      <c r="P40" s="6" t="s">
        <v>147</v>
      </c>
    </row>
    <row r="41" spans="1:16" ht="24" customHeight="1" x14ac:dyDescent="0.25">
      <c r="A41" s="14">
        <f t="shared" si="0"/>
        <v>19</v>
      </c>
      <c r="B41" s="7">
        <v>0.70138888888888884</v>
      </c>
      <c r="C41" s="5" t="s">
        <v>88</v>
      </c>
      <c r="D41" s="30">
        <v>10</v>
      </c>
      <c r="E41" s="5">
        <v>7</v>
      </c>
      <c r="F41" s="15" t="s">
        <v>47</v>
      </c>
      <c r="G41" s="19">
        <v>7.85</v>
      </c>
      <c r="H41" s="19">
        <v>8.5</v>
      </c>
      <c r="I41" s="19">
        <v>8.85</v>
      </c>
      <c r="J41" s="19">
        <v>5.85</v>
      </c>
      <c r="K41" s="19">
        <v>6.45</v>
      </c>
      <c r="L41" s="19">
        <v>6.7</v>
      </c>
      <c r="M41" s="19">
        <v>0</v>
      </c>
      <c r="N41" s="19"/>
      <c r="O41" s="12"/>
      <c r="P41" s="6" t="s">
        <v>148</v>
      </c>
    </row>
    <row r="42" spans="1:16" ht="24" customHeight="1" thickBot="1" x14ac:dyDescent="0.3">
      <c r="A42" s="65">
        <f t="shared" si="0"/>
        <v>20</v>
      </c>
      <c r="B42" s="66">
        <v>0.70208333333333339</v>
      </c>
      <c r="C42" s="42" t="s">
        <v>87</v>
      </c>
      <c r="D42" s="30">
        <v>10</v>
      </c>
      <c r="E42" s="42">
        <v>6</v>
      </c>
      <c r="F42" s="67" t="s">
        <v>33</v>
      </c>
      <c r="G42" s="19">
        <v>5.4</v>
      </c>
      <c r="H42" s="19">
        <v>8</v>
      </c>
      <c r="I42" s="19">
        <v>7.5</v>
      </c>
      <c r="J42" s="19">
        <v>8.1</v>
      </c>
      <c r="K42" s="19">
        <v>5.9</v>
      </c>
      <c r="L42" s="19">
        <v>7</v>
      </c>
      <c r="M42" s="19">
        <v>0</v>
      </c>
      <c r="N42" s="68"/>
      <c r="O42" s="69"/>
      <c r="P42" s="47"/>
    </row>
    <row r="43" spans="1:16" ht="24" customHeight="1" x14ac:dyDescent="0.25">
      <c r="A43" s="14"/>
      <c r="B43" s="37"/>
      <c r="C43" s="10"/>
      <c r="D43" s="30"/>
      <c r="E43" s="10"/>
      <c r="F43" s="15"/>
      <c r="G43" s="12"/>
      <c r="H43" s="12"/>
      <c r="I43" s="12"/>
      <c r="J43" s="12"/>
      <c r="K43" s="12"/>
      <c r="L43" s="12"/>
      <c r="M43" s="12"/>
      <c r="N43" s="19"/>
      <c r="O43" s="12"/>
      <c r="P43" s="11"/>
    </row>
    <row r="44" spans="1:16" ht="24" customHeight="1" x14ac:dyDescent="0.25">
      <c r="A44" s="14"/>
      <c r="B44" s="7"/>
      <c r="C44" s="5"/>
      <c r="D44" s="30"/>
      <c r="E44" s="5"/>
      <c r="F44" s="15"/>
      <c r="G44" s="13"/>
      <c r="H44" s="13"/>
      <c r="I44" s="13"/>
      <c r="J44" s="13"/>
      <c r="K44" s="13"/>
      <c r="L44" s="13"/>
      <c r="M44" s="13"/>
      <c r="N44" s="19"/>
      <c r="O44" s="12"/>
      <c r="P44" s="6"/>
    </row>
    <row r="45" spans="1:16" ht="24" customHeight="1" x14ac:dyDescent="0.25">
      <c r="A45" s="14"/>
      <c r="B45" s="7"/>
      <c r="C45" s="5"/>
      <c r="D45" s="30"/>
      <c r="E45" s="5"/>
      <c r="F45" s="15"/>
      <c r="G45" s="13"/>
      <c r="H45" s="13"/>
      <c r="I45" s="13"/>
      <c r="J45" s="13"/>
      <c r="K45" s="13"/>
      <c r="L45" s="13"/>
      <c r="M45" s="13"/>
      <c r="N45" s="19"/>
      <c r="O45" s="12"/>
      <c r="P45" s="6"/>
    </row>
    <row r="46" spans="1:16" ht="24" customHeight="1" x14ac:dyDescent="0.25">
      <c r="A46" s="14"/>
      <c r="B46" s="7"/>
      <c r="C46" s="5"/>
      <c r="D46" s="30"/>
      <c r="E46" s="5"/>
      <c r="F46" s="15"/>
      <c r="G46" s="13"/>
      <c r="H46" s="13"/>
      <c r="I46" s="13"/>
      <c r="J46" s="13"/>
      <c r="K46" s="13"/>
      <c r="L46" s="13"/>
      <c r="M46" s="13"/>
      <c r="N46" s="19"/>
      <c r="O46" s="12"/>
      <c r="P46" s="6"/>
    </row>
    <row r="47" spans="1:16" ht="24" customHeight="1" x14ac:dyDescent="0.25">
      <c r="A47" s="14"/>
      <c r="B47" s="7"/>
      <c r="C47" s="5"/>
      <c r="D47" s="30"/>
      <c r="E47" s="5"/>
      <c r="F47" s="15"/>
      <c r="G47" s="13"/>
      <c r="H47" s="13"/>
      <c r="I47" s="13"/>
      <c r="J47" s="13"/>
      <c r="K47" s="13"/>
      <c r="L47" s="13"/>
      <c r="M47" s="13"/>
      <c r="N47" s="19"/>
      <c r="O47" s="12"/>
      <c r="P47" s="6"/>
    </row>
    <row r="48" spans="1:16" ht="24" customHeight="1" x14ac:dyDescent="0.25">
      <c r="A48" s="14"/>
      <c r="B48" s="7"/>
      <c r="C48" s="5"/>
      <c r="D48" s="30"/>
      <c r="E48" s="5"/>
      <c r="F48" s="15"/>
      <c r="G48" s="13"/>
      <c r="H48" s="13"/>
      <c r="I48" s="13"/>
      <c r="J48" s="13"/>
      <c r="K48" s="13"/>
      <c r="L48" s="13"/>
      <c r="M48" s="13"/>
      <c r="N48" s="19"/>
      <c r="O48" s="12"/>
      <c r="P48" s="6"/>
    </row>
    <row r="49" spans="1:16" ht="24" customHeight="1" x14ac:dyDescent="0.25">
      <c r="A49" s="14"/>
      <c r="B49" s="7"/>
      <c r="C49" s="5"/>
      <c r="D49" s="30"/>
      <c r="E49" s="5"/>
      <c r="F49" s="15"/>
      <c r="G49" s="13"/>
      <c r="H49" s="13"/>
      <c r="I49" s="13"/>
      <c r="J49" s="13"/>
      <c r="K49" s="13"/>
      <c r="L49" s="13"/>
      <c r="M49" s="13"/>
      <c r="N49" s="19"/>
      <c r="O49" s="12"/>
      <c r="P49" s="6"/>
    </row>
    <row r="50" spans="1:16" ht="24" customHeight="1" x14ac:dyDescent="0.25">
      <c r="A50" s="14"/>
      <c r="B50" s="7"/>
      <c r="C50" s="5"/>
      <c r="D50" s="29"/>
      <c r="E50" s="5"/>
      <c r="F50" s="10"/>
      <c r="G50" s="13"/>
      <c r="H50" s="13"/>
      <c r="I50" s="13"/>
      <c r="J50" s="13"/>
      <c r="K50" s="13"/>
      <c r="L50" s="13"/>
      <c r="M50" s="13"/>
      <c r="N50" s="19"/>
      <c r="O50" s="12"/>
      <c r="P50" s="6"/>
    </row>
    <row r="51" spans="1:16" ht="24" customHeight="1" x14ac:dyDescent="0.25">
      <c r="A51" s="14"/>
      <c r="B51" s="7"/>
      <c r="C51" s="5"/>
      <c r="D51" s="30"/>
      <c r="E51" s="5"/>
      <c r="F51" s="15"/>
      <c r="G51" s="13"/>
      <c r="H51" s="13"/>
      <c r="I51" s="13"/>
      <c r="J51" s="13"/>
      <c r="K51" s="13"/>
      <c r="L51" s="13"/>
      <c r="M51" s="13"/>
      <c r="N51" s="19"/>
      <c r="O51" s="12"/>
      <c r="P51" s="6"/>
    </row>
    <row r="52" spans="1:16" ht="24" customHeight="1" x14ac:dyDescent="0.25">
      <c r="A52" s="14"/>
      <c r="B52" s="7"/>
      <c r="C52" s="5"/>
      <c r="D52" s="30"/>
      <c r="E52" s="5"/>
      <c r="F52" s="15"/>
      <c r="G52" s="13"/>
      <c r="H52" s="13"/>
      <c r="I52" s="13"/>
      <c r="J52" s="13"/>
      <c r="K52" s="13"/>
      <c r="L52" s="13"/>
      <c r="M52" s="13"/>
      <c r="N52" s="19"/>
      <c r="O52" s="12"/>
      <c r="P52" s="6"/>
    </row>
    <row r="53" spans="1:16" ht="24" customHeight="1" x14ac:dyDescent="0.25">
      <c r="A53" s="14"/>
      <c r="B53" s="7"/>
      <c r="C53" s="5"/>
      <c r="D53" s="30"/>
      <c r="E53" s="5"/>
      <c r="F53" s="15"/>
      <c r="G53" s="13"/>
      <c r="H53" s="13"/>
      <c r="I53" s="13"/>
      <c r="J53" s="13"/>
      <c r="K53" s="13"/>
      <c r="L53" s="13"/>
      <c r="M53" s="13"/>
      <c r="N53" s="19"/>
      <c r="O53" s="12"/>
      <c r="P53" s="6"/>
    </row>
    <row r="54" spans="1:16" ht="24" customHeight="1" x14ac:dyDescent="0.25">
      <c r="A54" s="14"/>
      <c r="B54" s="7"/>
      <c r="C54" s="5"/>
      <c r="D54" s="30"/>
      <c r="E54" s="5"/>
      <c r="F54" s="15"/>
      <c r="G54" s="13"/>
      <c r="H54" s="13"/>
      <c r="I54" s="13"/>
      <c r="J54" s="13"/>
      <c r="K54" s="13"/>
      <c r="L54" s="13"/>
      <c r="M54" s="13"/>
      <c r="N54" s="19"/>
      <c r="O54" s="12"/>
      <c r="P54" s="6"/>
    </row>
    <row r="55" spans="1:16" ht="24" customHeight="1" x14ac:dyDescent="0.25">
      <c r="A55" s="14"/>
      <c r="B55" s="7"/>
      <c r="C55" s="5"/>
      <c r="D55" s="30"/>
      <c r="E55" s="5"/>
      <c r="F55" s="15"/>
      <c r="G55" s="13"/>
      <c r="H55" s="13"/>
      <c r="I55" s="13"/>
      <c r="J55" s="13"/>
      <c r="K55" s="13"/>
      <c r="L55" s="13"/>
      <c r="M55" s="13"/>
      <c r="N55" s="19"/>
      <c r="O55" s="12"/>
      <c r="P55" s="6"/>
    </row>
    <row r="56" spans="1:16" ht="24" customHeight="1" x14ac:dyDescent="0.25">
      <c r="A56" s="14"/>
      <c r="B56" s="7"/>
      <c r="C56" s="5"/>
      <c r="D56" s="30"/>
      <c r="E56" s="5"/>
      <c r="F56" s="15"/>
      <c r="G56" s="13"/>
      <c r="H56" s="13"/>
      <c r="I56" s="13"/>
      <c r="J56" s="13"/>
      <c r="K56" s="13"/>
      <c r="L56" s="13"/>
      <c r="M56" s="13"/>
      <c r="N56" s="19"/>
      <c r="O56" s="12"/>
      <c r="P56" s="6"/>
    </row>
    <row r="57" spans="1:16" ht="24" customHeight="1" x14ac:dyDescent="0.25">
      <c r="A57" s="14"/>
      <c r="B57" s="7"/>
      <c r="C57" s="5"/>
      <c r="D57" s="30"/>
      <c r="E57" s="5"/>
      <c r="F57" s="15"/>
      <c r="G57" s="13"/>
      <c r="H57" s="13"/>
      <c r="I57" s="13"/>
      <c r="J57" s="13"/>
      <c r="K57" s="13"/>
      <c r="L57" s="13"/>
      <c r="M57" s="13"/>
      <c r="N57" s="19"/>
      <c r="O57" s="12"/>
      <c r="P57" s="6"/>
    </row>
    <row r="58" spans="1:16" ht="24" customHeight="1" x14ac:dyDescent="0.25">
      <c r="A58" s="14"/>
      <c r="B58" s="7"/>
      <c r="C58" s="5"/>
      <c r="D58" s="30"/>
      <c r="E58" s="5"/>
      <c r="F58" s="15"/>
      <c r="G58" s="13"/>
      <c r="H58" s="13"/>
      <c r="I58" s="13"/>
      <c r="J58" s="13"/>
      <c r="K58" s="13"/>
      <c r="L58" s="13"/>
      <c r="M58" s="13"/>
      <c r="N58" s="19"/>
      <c r="O58" s="12"/>
      <c r="P58" s="6"/>
    </row>
    <row r="59" spans="1:16" ht="24" customHeight="1" x14ac:dyDescent="0.25">
      <c r="A59" s="14"/>
      <c r="B59" s="7"/>
      <c r="C59" s="5"/>
      <c r="D59" s="30"/>
      <c r="E59" s="5"/>
      <c r="F59" s="15"/>
      <c r="G59" s="13"/>
      <c r="H59" s="13"/>
      <c r="I59" s="13"/>
      <c r="J59" s="13"/>
      <c r="K59" s="13"/>
      <c r="L59" s="13"/>
      <c r="M59" s="13"/>
      <c r="N59" s="19"/>
      <c r="O59" s="12"/>
      <c r="P59" s="6"/>
    </row>
    <row r="60" spans="1:16" ht="24" customHeight="1" x14ac:dyDescent="0.25">
      <c r="A60" s="14"/>
      <c r="B60" s="7"/>
      <c r="C60" s="5"/>
      <c r="D60" s="30"/>
      <c r="E60" s="5"/>
      <c r="F60" s="15"/>
      <c r="G60" s="13"/>
      <c r="H60" s="13"/>
      <c r="I60" s="13"/>
      <c r="J60" s="13"/>
      <c r="K60" s="13"/>
      <c r="L60" s="13"/>
      <c r="M60" s="13"/>
      <c r="N60" s="19"/>
      <c r="O60" s="12"/>
      <c r="P60" s="6"/>
    </row>
    <row r="61" spans="1:16" ht="24" customHeight="1" x14ac:dyDescent="0.25">
      <c r="A61" s="14"/>
      <c r="B61" s="7"/>
      <c r="C61" s="5"/>
      <c r="D61" s="29"/>
      <c r="E61" s="5"/>
      <c r="F61" s="15"/>
      <c r="G61" s="13"/>
      <c r="H61" s="13"/>
      <c r="I61" s="13"/>
      <c r="J61" s="13"/>
      <c r="K61" s="13"/>
      <c r="L61" s="13"/>
      <c r="M61" s="13"/>
      <c r="N61" s="19"/>
      <c r="O61" s="12"/>
      <c r="P61" s="6"/>
    </row>
    <row r="62" spans="1:16" ht="24" customHeight="1" x14ac:dyDescent="0.25">
      <c r="A62" s="14"/>
      <c r="B62" s="7"/>
      <c r="C62" s="7"/>
      <c r="D62" s="29"/>
      <c r="E62" s="5"/>
      <c r="F62" s="15"/>
      <c r="G62" s="13"/>
      <c r="H62" s="13"/>
      <c r="I62" s="13"/>
      <c r="J62" s="13"/>
      <c r="K62" s="13"/>
      <c r="L62" s="13"/>
      <c r="M62" s="13"/>
      <c r="N62" s="19"/>
      <c r="O62" s="12"/>
      <c r="P62" s="6"/>
    </row>
    <row r="63" spans="1:16" ht="24" customHeight="1" x14ac:dyDescent="0.25">
      <c r="A63" s="14"/>
      <c r="B63" s="7"/>
      <c r="C63" s="5"/>
      <c r="D63" s="29"/>
      <c r="E63" s="5"/>
      <c r="F63" s="15"/>
      <c r="G63" s="13"/>
      <c r="H63" s="13"/>
      <c r="I63" s="13"/>
      <c r="J63" s="13"/>
      <c r="K63" s="13"/>
      <c r="L63" s="13"/>
      <c r="M63" s="13"/>
      <c r="N63" s="19"/>
      <c r="O63" s="12"/>
      <c r="P63" s="6"/>
    </row>
    <row r="64" spans="1:16" ht="24" customHeight="1" x14ac:dyDescent="0.25">
      <c r="A64" s="14"/>
      <c r="B64" s="7"/>
      <c r="C64" s="5"/>
      <c r="D64" s="29"/>
      <c r="E64" s="5"/>
      <c r="F64" s="15"/>
      <c r="G64" s="13"/>
      <c r="H64" s="13"/>
      <c r="I64" s="13"/>
      <c r="J64" s="13"/>
      <c r="K64" s="13"/>
      <c r="L64" s="13"/>
      <c r="M64" s="13"/>
      <c r="N64" s="19"/>
      <c r="O64" s="12"/>
      <c r="P64" s="6"/>
    </row>
    <row r="65" spans="1:16" ht="24" customHeight="1" x14ac:dyDescent="0.25">
      <c r="A65" s="14"/>
      <c r="B65" s="7"/>
      <c r="C65" s="5"/>
      <c r="D65" s="29"/>
      <c r="E65" s="5"/>
      <c r="F65" s="15"/>
      <c r="G65" s="13"/>
      <c r="H65" s="13"/>
      <c r="I65" s="13"/>
      <c r="J65" s="13"/>
      <c r="K65" s="13"/>
      <c r="L65" s="13"/>
      <c r="M65" s="13"/>
      <c r="N65" s="19"/>
      <c r="O65" s="12"/>
      <c r="P65" s="6"/>
    </row>
    <row r="66" spans="1:16" ht="24" customHeight="1" x14ac:dyDescent="0.25">
      <c r="A66" s="14"/>
      <c r="B66" s="7"/>
      <c r="C66" s="5"/>
      <c r="D66" s="29"/>
      <c r="E66" s="5"/>
      <c r="F66" s="15"/>
      <c r="G66" s="13"/>
      <c r="H66" s="13"/>
      <c r="I66" s="13"/>
      <c r="J66" s="13"/>
      <c r="K66" s="13"/>
      <c r="L66" s="13"/>
      <c r="M66" s="13"/>
      <c r="N66" s="19"/>
      <c r="O66" s="12"/>
      <c r="P66" s="6"/>
    </row>
    <row r="67" spans="1:16" ht="24" customHeight="1" x14ac:dyDescent="0.25">
      <c r="A67" s="14"/>
      <c r="B67" s="7"/>
      <c r="C67" s="5"/>
      <c r="D67" s="29"/>
      <c r="E67" s="5"/>
      <c r="F67" s="15"/>
      <c r="G67" s="13"/>
      <c r="H67" s="13"/>
      <c r="I67" s="13"/>
      <c r="J67" s="13"/>
      <c r="K67" s="13"/>
      <c r="L67" s="13"/>
      <c r="M67" s="13"/>
      <c r="N67" s="19"/>
      <c r="O67" s="12"/>
      <c r="P67" s="6"/>
    </row>
    <row r="68" spans="1:16" ht="24" customHeight="1" x14ac:dyDescent="0.25">
      <c r="A68" s="14"/>
      <c r="B68" s="7"/>
      <c r="C68" s="5"/>
      <c r="D68" s="29"/>
      <c r="E68" s="5"/>
      <c r="F68" s="5"/>
      <c r="G68" s="13"/>
      <c r="H68" s="13"/>
      <c r="I68" s="13"/>
      <c r="J68" s="13"/>
      <c r="K68" s="13"/>
      <c r="L68" s="13"/>
      <c r="M68" s="13"/>
      <c r="N68" s="19"/>
      <c r="O68" s="12"/>
      <c r="P68" s="6"/>
    </row>
    <row r="69" spans="1:16" ht="24" customHeight="1" x14ac:dyDescent="0.25">
      <c r="A69" s="14"/>
      <c r="B69" s="7"/>
      <c r="C69" s="5"/>
      <c r="D69" s="29"/>
      <c r="E69" s="5"/>
      <c r="F69" s="15"/>
      <c r="G69" s="13"/>
      <c r="H69" s="13"/>
      <c r="I69" s="13"/>
      <c r="J69" s="13"/>
      <c r="K69" s="13"/>
      <c r="L69" s="13"/>
      <c r="M69" s="13"/>
      <c r="N69" s="12"/>
      <c r="O69" s="12"/>
      <c r="P69" s="6"/>
    </row>
    <row r="70" spans="1:16" ht="24" customHeight="1" x14ac:dyDescent="0.25">
      <c r="A70" s="14"/>
      <c r="B70" s="7"/>
      <c r="C70" s="5"/>
      <c r="D70" s="29"/>
      <c r="E70" s="5"/>
      <c r="F70" s="15"/>
      <c r="G70" s="13"/>
      <c r="H70" s="13"/>
      <c r="I70" s="13"/>
      <c r="J70" s="13"/>
      <c r="K70" s="13"/>
      <c r="L70" s="13"/>
      <c r="M70" s="13"/>
      <c r="N70" s="12"/>
      <c r="O70" s="12"/>
      <c r="P70" s="6"/>
    </row>
    <row r="71" spans="1:16" ht="24" customHeight="1" x14ac:dyDescent="0.25">
      <c r="A71" s="14"/>
      <c r="B71" s="7"/>
      <c r="C71" s="5"/>
      <c r="D71" s="29"/>
      <c r="E71" s="5"/>
      <c r="F71" s="15"/>
      <c r="G71" s="13"/>
      <c r="H71" s="13"/>
      <c r="I71" s="13"/>
      <c r="J71" s="13"/>
      <c r="K71" s="13"/>
      <c r="L71" s="13"/>
      <c r="M71" s="13"/>
      <c r="N71" s="12"/>
      <c r="O71" s="12"/>
      <c r="P71" s="6"/>
    </row>
    <row r="72" spans="1:16" ht="24" customHeight="1" x14ac:dyDescent="0.25">
      <c r="A72" s="14"/>
      <c r="B72" s="7"/>
      <c r="C72" s="5"/>
      <c r="D72" s="29"/>
      <c r="E72" s="5"/>
      <c r="F72" s="5"/>
      <c r="G72" s="13"/>
      <c r="H72" s="13"/>
      <c r="I72" s="13"/>
      <c r="J72" s="13"/>
      <c r="K72" s="13"/>
      <c r="L72" s="13"/>
      <c r="M72" s="13"/>
      <c r="N72" s="12"/>
      <c r="O72" s="12"/>
      <c r="P72" s="6"/>
    </row>
    <row r="73" spans="1:16" ht="24" customHeight="1" x14ac:dyDescent="0.25">
      <c r="A73" s="14"/>
      <c r="B73" s="7"/>
      <c r="C73" s="5"/>
      <c r="D73" s="29"/>
      <c r="E73" s="5"/>
      <c r="F73" s="5"/>
      <c r="G73" s="13"/>
      <c r="H73" s="13"/>
      <c r="I73" s="13"/>
      <c r="J73" s="13"/>
      <c r="K73" s="13"/>
      <c r="L73" s="13"/>
      <c r="M73" s="13"/>
      <c r="N73" s="12"/>
      <c r="O73" s="12"/>
      <c r="P73" s="6"/>
    </row>
    <row r="74" spans="1:16" ht="24" customHeight="1" x14ac:dyDescent="0.25">
      <c r="A74" s="14"/>
      <c r="B74" s="7"/>
      <c r="C74" s="5"/>
      <c r="D74" s="29"/>
      <c r="E74" s="5"/>
      <c r="F74" s="15"/>
      <c r="G74" s="13"/>
      <c r="H74" s="13"/>
      <c r="I74" s="13"/>
      <c r="J74" s="13"/>
      <c r="K74" s="13"/>
      <c r="L74" s="13"/>
      <c r="M74" s="13"/>
      <c r="N74" s="12"/>
      <c r="O74" s="12"/>
      <c r="P74" s="6"/>
    </row>
    <row r="75" spans="1:16" ht="24" customHeight="1" x14ac:dyDescent="0.25">
      <c r="A75" s="14"/>
      <c r="B75" s="7"/>
      <c r="C75" s="5"/>
      <c r="D75" s="29"/>
      <c r="E75" s="5"/>
      <c r="F75" s="15"/>
      <c r="G75" s="13"/>
      <c r="H75" s="13"/>
      <c r="I75" s="13"/>
      <c r="J75" s="13"/>
      <c r="K75" s="13"/>
      <c r="L75" s="13"/>
      <c r="M75" s="13"/>
      <c r="N75" s="12"/>
      <c r="O75" s="12"/>
      <c r="P75" s="6"/>
    </row>
    <row r="76" spans="1:16" ht="24" customHeight="1" x14ac:dyDescent="0.25">
      <c r="A76" s="8"/>
      <c r="B76" s="7"/>
      <c r="C76" s="5"/>
      <c r="D76" s="29"/>
      <c r="E76" s="5"/>
      <c r="F76" s="5"/>
      <c r="G76" s="13"/>
      <c r="H76" s="13"/>
      <c r="I76" s="13"/>
      <c r="J76" s="13"/>
      <c r="K76" s="13"/>
      <c r="L76" s="13"/>
      <c r="M76" s="13"/>
      <c r="N76" s="12"/>
      <c r="O76" s="12"/>
      <c r="P76" s="6"/>
    </row>
    <row r="77" spans="1:16" ht="24" customHeight="1" x14ac:dyDescent="0.25">
      <c r="A77" s="8"/>
      <c r="B77" s="7"/>
      <c r="C77" s="5"/>
      <c r="D77" s="29"/>
      <c r="E77" s="5"/>
      <c r="F77" s="5"/>
      <c r="G77" s="13"/>
      <c r="H77" s="13"/>
      <c r="I77" s="13"/>
      <c r="J77" s="13"/>
      <c r="K77" s="13"/>
      <c r="L77" s="13"/>
      <c r="M77" s="13"/>
      <c r="N77" s="12"/>
      <c r="O77" s="12"/>
      <c r="P77" s="6"/>
    </row>
    <row r="78" spans="1:16" ht="24" customHeight="1" x14ac:dyDescent="0.25">
      <c r="A78" s="8"/>
      <c r="B78" s="7"/>
      <c r="C78" s="5"/>
      <c r="D78" s="29"/>
      <c r="E78" s="5"/>
      <c r="F78" s="5"/>
      <c r="G78" s="13"/>
      <c r="H78" s="13"/>
      <c r="I78" s="13"/>
      <c r="J78" s="13"/>
      <c r="K78" s="13"/>
      <c r="L78" s="13"/>
      <c r="M78" s="13"/>
      <c r="N78" s="12"/>
      <c r="O78" s="12"/>
      <c r="P78" s="6"/>
    </row>
    <row r="79" spans="1:16" ht="24" customHeight="1" x14ac:dyDescent="0.25">
      <c r="A79" s="8"/>
      <c r="B79" s="7"/>
      <c r="C79" s="5"/>
      <c r="D79" s="29"/>
      <c r="E79" s="5"/>
      <c r="F79" s="5"/>
      <c r="G79" s="13"/>
      <c r="H79" s="13"/>
      <c r="I79" s="13"/>
      <c r="J79" s="13"/>
      <c r="K79" s="13"/>
      <c r="L79" s="13"/>
      <c r="M79" s="13"/>
      <c r="N79" s="12"/>
      <c r="O79" s="12"/>
      <c r="P79" s="6"/>
    </row>
    <row r="80" spans="1:16" ht="24" customHeight="1" x14ac:dyDescent="0.25">
      <c r="A80" s="8"/>
      <c r="B80" s="7"/>
      <c r="C80" s="5"/>
      <c r="D80" s="29"/>
      <c r="E80" s="5"/>
      <c r="F80" s="5"/>
      <c r="G80" s="13"/>
      <c r="H80" s="13"/>
      <c r="I80" s="13"/>
      <c r="J80" s="13"/>
      <c r="K80" s="13"/>
      <c r="L80" s="13"/>
      <c r="M80" s="13"/>
      <c r="N80" s="12"/>
      <c r="O80" s="12"/>
      <c r="P80" s="6"/>
    </row>
    <row r="81" spans="1:16" ht="24" customHeight="1" x14ac:dyDescent="0.25">
      <c r="A81" s="8"/>
      <c r="B81" s="7"/>
      <c r="C81" s="5"/>
      <c r="D81" s="29"/>
      <c r="E81" s="5"/>
      <c r="F81" s="5"/>
      <c r="G81" s="13"/>
      <c r="H81" s="13"/>
      <c r="I81" s="13"/>
      <c r="J81" s="13"/>
      <c r="K81" s="13"/>
      <c r="L81" s="13"/>
      <c r="M81" s="13"/>
      <c r="N81" s="12"/>
      <c r="O81" s="12"/>
      <c r="P81" s="6"/>
    </row>
    <row r="82" spans="1:16" ht="24" customHeight="1" x14ac:dyDescent="0.25">
      <c r="A82" s="8"/>
      <c r="B82" s="7"/>
      <c r="C82" s="5"/>
      <c r="D82" s="29"/>
      <c r="E82" s="5"/>
      <c r="F82" s="5"/>
      <c r="G82" s="13"/>
      <c r="H82" s="13"/>
      <c r="I82" s="13"/>
      <c r="J82" s="13"/>
      <c r="K82" s="13"/>
      <c r="L82" s="13"/>
      <c r="M82" s="13"/>
      <c r="N82" s="12"/>
      <c r="O82" s="12"/>
      <c r="P82" s="6"/>
    </row>
    <row r="83" spans="1:16" ht="24" customHeight="1" x14ac:dyDescent="0.25">
      <c r="A83" s="8"/>
      <c r="B83" s="7"/>
      <c r="C83" s="5"/>
      <c r="D83" s="29"/>
      <c r="E83" s="5"/>
      <c r="F83" s="5"/>
      <c r="G83" s="13"/>
      <c r="H83" s="13"/>
      <c r="I83" s="13"/>
      <c r="J83" s="13"/>
      <c r="K83" s="13"/>
      <c r="L83" s="13"/>
      <c r="M83" s="13"/>
      <c r="N83" s="12"/>
      <c r="O83" s="12"/>
      <c r="P83" s="6"/>
    </row>
    <row r="84" spans="1:16" ht="24" customHeight="1" x14ac:dyDescent="0.25">
      <c r="A84" s="8"/>
      <c r="B84" s="7"/>
      <c r="C84" s="5"/>
      <c r="D84" s="29"/>
      <c r="E84" s="5"/>
      <c r="F84" s="5"/>
      <c r="G84" s="13"/>
      <c r="H84" s="13"/>
      <c r="I84" s="13"/>
      <c r="J84" s="13"/>
      <c r="K84" s="13"/>
      <c r="L84" s="13"/>
      <c r="M84" s="13"/>
      <c r="N84" s="12"/>
      <c r="O84" s="12"/>
      <c r="P84" s="6"/>
    </row>
    <row r="85" spans="1:16" ht="24" customHeight="1" x14ac:dyDescent="0.25">
      <c r="A85" s="8"/>
      <c r="B85" s="7"/>
      <c r="C85" s="5"/>
      <c r="D85" s="29"/>
      <c r="E85" s="5"/>
      <c r="F85" s="5"/>
      <c r="G85" s="13"/>
      <c r="H85" s="13"/>
      <c r="I85" s="13"/>
      <c r="J85" s="13"/>
      <c r="K85" s="13"/>
      <c r="L85" s="13"/>
      <c r="M85" s="13"/>
      <c r="N85" s="12"/>
      <c r="O85" s="12"/>
      <c r="P85" s="6"/>
    </row>
    <row r="86" spans="1:16" ht="24" customHeight="1" x14ac:dyDescent="0.25">
      <c r="A86" s="8"/>
      <c r="B86" s="7"/>
      <c r="C86" s="5"/>
      <c r="D86" s="29"/>
      <c r="E86" s="5"/>
      <c r="F86" s="5"/>
      <c r="G86" s="13"/>
      <c r="H86" s="13"/>
      <c r="I86" s="13"/>
      <c r="J86" s="13"/>
      <c r="K86" s="13"/>
      <c r="L86" s="13"/>
      <c r="M86" s="13"/>
      <c r="N86" s="12"/>
      <c r="O86" s="12"/>
      <c r="P86" s="6"/>
    </row>
    <row r="87" spans="1:16" ht="24" customHeight="1" x14ac:dyDescent="0.25">
      <c r="A87" s="8"/>
      <c r="B87" s="7"/>
      <c r="C87" s="5"/>
      <c r="D87" s="29"/>
      <c r="E87" s="5"/>
      <c r="F87" s="5"/>
      <c r="G87" s="13"/>
      <c r="H87" s="13"/>
      <c r="I87" s="13"/>
      <c r="J87" s="13"/>
      <c r="K87" s="13"/>
      <c r="L87" s="13"/>
      <c r="M87" s="13"/>
      <c r="N87" s="12"/>
      <c r="O87" s="12"/>
      <c r="P87" s="6"/>
    </row>
    <row r="88" spans="1:16" ht="24" customHeight="1" x14ac:dyDescent="0.25">
      <c r="A88" s="8"/>
      <c r="B88" s="7"/>
      <c r="C88" s="5"/>
      <c r="D88" s="29"/>
      <c r="E88" s="5"/>
      <c r="F88" s="5"/>
      <c r="G88" s="13"/>
      <c r="H88" s="13"/>
      <c r="I88" s="13"/>
      <c r="J88" s="13"/>
      <c r="K88" s="13"/>
      <c r="L88" s="13"/>
      <c r="M88" s="13"/>
      <c r="N88" s="12"/>
      <c r="O88" s="12"/>
      <c r="P88" s="6"/>
    </row>
    <row r="89" spans="1:16" ht="24" customHeight="1" x14ac:dyDescent="0.25">
      <c r="A89" s="8"/>
      <c r="B89" s="7"/>
      <c r="C89" s="5"/>
      <c r="D89" s="29"/>
      <c r="E89" s="5"/>
      <c r="F89" s="5"/>
      <c r="G89" s="13"/>
      <c r="H89" s="13"/>
      <c r="I89" s="13"/>
      <c r="J89" s="13"/>
      <c r="K89" s="13"/>
      <c r="L89" s="13"/>
      <c r="M89" s="13"/>
      <c r="N89" s="12"/>
      <c r="O89" s="12"/>
      <c r="P89" s="6"/>
    </row>
    <row r="90" spans="1:16" ht="24" customHeight="1" x14ac:dyDescent="0.25">
      <c r="A90" s="8"/>
      <c r="B90" s="7"/>
      <c r="C90" s="5"/>
      <c r="D90" s="29"/>
      <c r="E90" s="5"/>
      <c r="F90" s="5"/>
      <c r="G90" s="13"/>
      <c r="H90" s="13"/>
      <c r="I90" s="13"/>
      <c r="J90" s="13"/>
      <c r="K90" s="13"/>
      <c r="L90" s="13"/>
      <c r="M90" s="13"/>
      <c r="N90" s="12"/>
      <c r="O90" s="12"/>
      <c r="P90" s="6"/>
    </row>
    <row r="91" spans="1:16" ht="24" customHeight="1" x14ac:dyDescent="0.25">
      <c r="A91" s="8"/>
      <c r="B91" s="7"/>
      <c r="C91" s="5"/>
      <c r="D91" s="29"/>
      <c r="E91" s="5"/>
      <c r="F91" s="5"/>
      <c r="G91" s="13"/>
      <c r="H91" s="13"/>
      <c r="I91" s="13"/>
      <c r="J91" s="13"/>
      <c r="K91" s="13"/>
      <c r="L91" s="13"/>
      <c r="M91" s="13"/>
      <c r="N91" s="12"/>
      <c r="O91" s="12"/>
      <c r="P91" s="6"/>
    </row>
    <row r="92" spans="1:16" ht="24" customHeight="1" x14ac:dyDescent="0.25">
      <c r="A92" s="8"/>
      <c r="B92" s="7"/>
      <c r="C92" s="5"/>
      <c r="D92" s="29"/>
      <c r="E92" s="5"/>
      <c r="F92" s="5"/>
      <c r="G92" s="13"/>
      <c r="H92" s="13"/>
      <c r="I92" s="13"/>
      <c r="J92" s="13"/>
      <c r="K92" s="13"/>
      <c r="L92" s="13"/>
      <c r="M92" s="13"/>
      <c r="N92" s="12"/>
      <c r="O92" s="12"/>
      <c r="P92" s="6"/>
    </row>
    <row r="93" spans="1:16" ht="24" customHeight="1" x14ac:dyDescent="0.25">
      <c r="A93" s="8"/>
      <c r="B93" s="7"/>
      <c r="C93" s="5"/>
      <c r="D93" s="29"/>
      <c r="E93" s="5"/>
      <c r="F93" s="5"/>
      <c r="G93" s="13"/>
      <c r="H93" s="13"/>
      <c r="I93" s="13"/>
      <c r="J93" s="13"/>
      <c r="K93" s="13"/>
      <c r="L93" s="13"/>
      <c r="M93" s="13"/>
      <c r="N93" s="12"/>
      <c r="O93" s="12"/>
      <c r="P93" s="6"/>
    </row>
    <row r="94" spans="1:16" ht="24" customHeight="1" x14ac:dyDescent="0.25">
      <c r="A94" s="8"/>
      <c r="B94" s="7"/>
      <c r="C94" s="5"/>
      <c r="D94" s="29"/>
      <c r="E94" s="5"/>
      <c r="F94" s="5"/>
      <c r="G94" s="13"/>
      <c r="H94" s="13"/>
      <c r="I94" s="13"/>
      <c r="J94" s="13"/>
      <c r="K94" s="13"/>
      <c r="L94" s="13"/>
      <c r="M94" s="13"/>
      <c r="N94" s="12"/>
      <c r="O94" s="12"/>
      <c r="P94" s="6"/>
    </row>
    <row r="95" spans="1:16" ht="24" customHeight="1" x14ac:dyDescent="0.25">
      <c r="A95" s="8"/>
      <c r="B95" s="7"/>
      <c r="C95" s="5"/>
      <c r="D95" s="29"/>
      <c r="E95" s="5"/>
      <c r="F95" s="5"/>
      <c r="G95" s="13"/>
      <c r="H95" s="13"/>
      <c r="I95" s="13"/>
      <c r="J95" s="13"/>
      <c r="K95" s="13"/>
      <c r="L95" s="13"/>
      <c r="M95" s="13"/>
      <c r="N95" s="12"/>
      <c r="O95" s="12"/>
      <c r="P95" s="6"/>
    </row>
    <row r="96" spans="1:16" ht="24" customHeight="1" x14ac:dyDescent="0.25">
      <c r="A96" s="8"/>
      <c r="B96" s="7"/>
      <c r="C96" s="5"/>
      <c r="D96" s="29"/>
      <c r="E96" s="5"/>
      <c r="F96" s="5"/>
      <c r="G96" s="13"/>
      <c r="H96" s="13"/>
      <c r="I96" s="13"/>
      <c r="J96" s="13"/>
      <c r="K96" s="13"/>
      <c r="L96" s="13"/>
      <c r="M96" s="13"/>
      <c r="N96" s="12"/>
      <c r="O96" s="12"/>
      <c r="P96" s="6"/>
    </row>
    <row r="97" spans="1:16" ht="24" customHeight="1" x14ac:dyDescent="0.25">
      <c r="A97" s="8"/>
      <c r="B97" s="7"/>
      <c r="C97" s="5"/>
      <c r="D97" s="29"/>
      <c r="E97" s="5"/>
      <c r="F97" s="5"/>
      <c r="G97" s="13"/>
      <c r="H97" s="13"/>
      <c r="I97" s="13"/>
      <c r="J97" s="13"/>
      <c r="K97" s="13"/>
      <c r="L97" s="13"/>
      <c r="M97" s="13"/>
      <c r="N97" s="12"/>
      <c r="O97" s="12"/>
      <c r="P97" s="6"/>
    </row>
    <row r="98" spans="1:16" ht="24" customHeight="1" x14ac:dyDescent="0.25">
      <c r="A98" s="8"/>
      <c r="B98" s="7"/>
      <c r="C98" s="5"/>
      <c r="D98" s="29"/>
      <c r="E98" s="5"/>
      <c r="F98" s="5"/>
      <c r="G98" s="13"/>
      <c r="H98" s="13"/>
      <c r="I98" s="13"/>
      <c r="J98" s="13"/>
      <c r="K98" s="13"/>
      <c r="L98" s="13"/>
      <c r="M98" s="13"/>
      <c r="N98" s="12"/>
      <c r="O98" s="12"/>
      <c r="P98" s="6"/>
    </row>
    <row r="99" spans="1:16" ht="24" customHeight="1" x14ac:dyDescent="0.25">
      <c r="A99" s="8"/>
      <c r="B99" s="7"/>
      <c r="C99" s="5"/>
      <c r="D99" s="29"/>
      <c r="E99" s="5"/>
      <c r="F99" s="5"/>
      <c r="G99" s="13"/>
      <c r="H99" s="13"/>
      <c r="I99" s="13"/>
      <c r="J99" s="13"/>
      <c r="K99" s="13"/>
      <c r="L99" s="13"/>
      <c r="M99" s="13"/>
      <c r="N99" s="12"/>
      <c r="O99" s="12"/>
      <c r="P99" s="6"/>
    </row>
    <row r="100" spans="1:16" ht="24" customHeight="1" x14ac:dyDescent="0.25">
      <c r="A100" s="8"/>
      <c r="B100" s="7"/>
      <c r="C100" s="5"/>
      <c r="D100" s="29"/>
      <c r="E100" s="5"/>
      <c r="F100" s="5"/>
      <c r="G100" s="13"/>
      <c r="H100" s="13"/>
      <c r="I100" s="13"/>
      <c r="J100" s="13"/>
      <c r="K100" s="13"/>
      <c r="L100" s="13"/>
      <c r="M100" s="13"/>
      <c r="N100" s="12"/>
      <c r="O100" s="12"/>
      <c r="P100" s="6"/>
    </row>
    <row r="101" spans="1:16" ht="24" customHeight="1" x14ac:dyDescent="0.25">
      <c r="A101" s="8"/>
      <c r="B101" s="7"/>
      <c r="C101" s="5"/>
      <c r="D101" s="29"/>
      <c r="E101" s="5"/>
      <c r="F101" s="5"/>
      <c r="G101" s="13"/>
      <c r="H101" s="13"/>
      <c r="I101" s="13"/>
      <c r="J101" s="13"/>
      <c r="K101" s="13"/>
      <c r="L101" s="13"/>
      <c r="M101" s="13"/>
      <c r="N101" s="12"/>
      <c r="O101" s="12"/>
      <c r="P101" s="6"/>
    </row>
    <row r="102" spans="1:16" ht="24" customHeight="1" x14ac:dyDescent="0.25">
      <c r="A102" s="8"/>
      <c r="B102" s="7"/>
      <c r="C102" s="5"/>
      <c r="D102" s="29"/>
      <c r="E102" s="5"/>
      <c r="F102" s="5"/>
      <c r="G102" s="13"/>
      <c r="H102" s="13"/>
      <c r="I102" s="13"/>
      <c r="J102" s="13"/>
      <c r="K102" s="13"/>
      <c r="L102" s="13"/>
      <c r="M102" s="13"/>
      <c r="N102" s="12"/>
      <c r="O102" s="12"/>
      <c r="P102" s="6"/>
    </row>
    <row r="103" spans="1:16" ht="24" customHeight="1" x14ac:dyDescent="0.25">
      <c r="A103" s="8"/>
      <c r="B103" s="7"/>
      <c r="C103" s="5"/>
      <c r="D103" s="29"/>
      <c r="E103" s="5"/>
      <c r="F103" s="5"/>
      <c r="G103" s="13"/>
      <c r="H103" s="13"/>
      <c r="I103" s="13"/>
      <c r="J103" s="13"/>
      <c r="K103" s="13"/>
      <c r="L103" s="13"/>
      <c r="M103" s="13"/>
      <c r="N103" s="12"/>
      <c r="O103" s="12"/>
      <c r="P103" s="6"/>
    </row>
    <row r="104" spans="1:16" ht="24" customHeight="1" x14ac:dyDescent="0.25">
      <c r="A104" s="8"/>
      <c r="B104" s="7"/>
      <c r="C104" s="5"/>
      <c r="D104" s="29"/>
      <c r="E104" s="5"/>
      <c r="F104" s="5"/>
      <c r="G104" s="13"/>
      <c r="H104" s="13"/>
      <c r="I104" s="13"/>
      <c r="J104" s="13"/>
      <c r="K104" s="13"/>
      <c r="L104" s="13"/>
      <c r="M104" s="13"/>
      <c r="N104" s="12"/>
      <c r="O104" s="12"/>
      <c r="P104" s="6"/>
    </row>
    <row r="105" spans="1:16" ht="24" customHeight="1" x14ac:dyDescent="0.25">
      <c r="A105" s="8"/>
      <c r="B105" s="7"/>
      <c r="C105" s="5"/>
      <c r="D105" s="29"/>
      <c r="E105" s="5"/>
      <c r="F105" s="5"/>
      <c r="G105" s="13"/>
      <c r="H105" s="13"/>
      <c r="I105" s="13"/>
      <c r="J105" s="13"/>
      <c r="K105" s="13"/>
      <c r="L105" s="13"/>
      <c r="M105" s="13"/>
      <c r="N105" s="12"/>
      <c r="O105" s="12"/>
      <c r="P105" s="6"/>
    </row>
    <row r="106" spans="1:16" ht="24" customHeight="1" x14ac:dyDescent="0.25">
      <c r="A106" s="8"/>
      <c r="B106" s="7"/>
      <c r="C106" s="5"/>
      <c r="D106" s="29"/>
      <c r="E106" s="5"/>
      <c r="F106" s="5"/>
      <c r="G106" s="13"/>
      <c r="H106" s="13"/>
      <c r="I106" s="13"/>
      <c r="J106" s="13"/>
      <c r="K106" s="13"/>
      <c r="L106" s="13"/>
      <c r="M106" s="13"/>
      <c r="N106" s="12"/>
      <c r="O106" s="12"/>
      <c r="P106" s="6"/>
    </row>
    <row r="107" spans="1:16" ht="24" customHeight="1" x14ac:dyDescent="0.25">
      <c r="A107" s="8"/>
      <c r="B107" s="7"/>
      <c r="C107" s="5"/>
      <c r="D107" s="29"/>
      <c r="E107" s="5"/>
      <c r="F107" s="5"/>
      <c r="G107" s="13"/>
      <c r="H107" s="13"/>
      <c r="I107" s="13"/>
      <c r="J107" s="13"/>
      <c r="K107" s="13"/>
      <c r="L107" s="13"/>
      <c r="M107" s="13"/>
      <c r="N107" s="12"/>
      <c r="O107" s="12"/>
      <c r="P107" s="6"/>
    </row>
    <row r="108" spans="1:16" ht="24" customHeight="1" x14ac:dyDescent="0.25">
      <c r="A108" s="8"/>
      <c r="B108" s="7"/>
      <c r="C108" s="5"/>
      <c r="D108" s="29"/>
      <c r="E108" s="5"/>
      <c r="F108" s="5"/>
      <c r="G108" s="13"/>
      <c r="H108" s="13"/>
      <c r="I108" s="13"/>
      <c r="J108" s="13"/>
      <c r="K108" s="13"/>
      <c r="L108" s="13"/>
      <c r="M108" s="13"/>
      <c r="N108" s="12"/>
      <c r="O108" s="12"/>
      <c r="P108" s="6"/>
    </row>
    <row r="109" spans="1:16" ht="24" customHeight="1" x14ac:dyDescent="0.25">
      <c r="A109" s="8"/>
      <c r="B109" s="7"/>
      <c r="C109" s="5"/>
      <c r="D109" s="29"/>
      <c r="E109" s="5"/>
      <c r="F109" s="5"/>
      <c r="G109" s="13"/>
      <c r="H109" s="13"/>
      <c r="I109" s="13"/>
      <c r="J109" s="13"/>
      <c r="K109" s="13"/>
      <c r="L109" s="13"/>
      <c r="M109" s="13"/>
      <c r="N109" s="12"/>
      <c r="O109" s="12"/>
      <c r="P109" s="6"/>
    </row>
    <row r="110" spans="1:16" ht="24" customHeight="1" x14ac:dyDescent="0.25">
      <c r="A110" s="8"/>
      <c r="B110" s="7"/>
      <c r="C110" s="5"/>
      <c r="D110" s="29"/>
      <c r="E110" s="5"/>
      <c r="F110" s="5"/>
      <c r="G110" s="13"/>
      <c r="H110" s="13"/>
      <c r="I110" s="13"/>
      <c r="J110" s="13"/>
      <c r="K110" s="13"/>
      <c r="L110" s="13"/>
      <c r="M110" s="13"/>
      <c r="N110" s="12"/>
      <c r="O110" s="12"/>
      <c r="P110" s="6"/>
    </row>
    <row r="111" spans="1:16" ht="24" customHeight="1" x14ac:dyDescent="0.25">
      <c r="A111" s="8"/>
      <c r="B111" s="7"/>
      <c r="C111" s="5"/>
      <c r="D111" s="29"/>
      <c r="E111" s="5"/>
      <c r="F111" s="5"/>
      <c r="G111" s="13"/>
      <c r="H111" s="13"/>
      <c r="I111" s="13"/>
      <c r="J111" s="13"/>
      <c r="K111" s="13"/>
      <c r="L111" s="13"/>
      <c r="M111" s="13"/>
      <c r="N111" s="12"/>
      <c r="O111" s="12"/>
      <c r="P111" s="6"/>
    </row>
    <row r="112" spans="1:16" ht="24" customHeight="1" x14ac:dyDescent="0.25">
      <c r="A112" s="8"/>
      <c r="B112" s="7"/>
      <c r="C112" s="5"/>
      <c r="D112" s="29"/>
      <c r="E112" s="5"/>
      <c r="F112" s="5"/>
      <c r="G112" s="13"/>
      <c r="H112" s="13"/>
      <c r="I112" s="13"/>
      <c r="J112" s="13"/>
      <c r="K112" s="13"/>
      <c r="L112" s="13"/>
      <c r="M112" s="13"/>
      <c r="N112" s="12"/>
      <c r="O112" s="12"/>
      <c r="P112" s="6"/>
    </row>
    <row r="113" spans="1:16" ht="24" customHeight="1" x14ac:dyDescent="0.25">
      <c r="A113" s="8"/>
      <c r="B113" s="7"/>
      <c r="C113" s="5"/>
      <c r="D113" s="29"/>
      <c r="E113" s="5"/>
      <c r="F113" s="5"/>
      <c r="G113" s="13"/>
      <c r="H113" s="13"/>
      <c r="I113" s="13"/>
      <c r="J113" s="13"/>
      <c r="K113" s="13"/>
      <c r="L113" s="13"/>
      <c r="M113" s="13"/>
      <c r="N113" s="12"/>
      <c r="O113" s="12"/>
      <c r="P113" s="6"/>
    </row>
    <row r="114" spans="1:16" ht="24" customHeight="1" x14ac:dyDescent="0.25">
      <c r="A114" s="8"/>
      <c r="B114" s="7"/>
      <c r="C114" s="5"/>
      <c r="D114" s="29"/>
      <c r="E114" s="5"/>
      <c r="F114" s="5"/>
      <c r="G114" s="13"/>
      <c r="H114" s="13"/>
      <c r="I114" s="13"/>
      <c r="J114" s="13"/>
      <c r="K114" s="13"/>
      <c r="L114" s="13"/>
      <c r="M114" s="13"/>
      <c r="N114" s="12"/>
      <c r="O114" s="12"/>
      <c r="P114" s="6"/>
    </row>
    <row r="115" spans="1:16" ht="24" customHeight="1" x14ac:dyDescent="0.25">
      <c r="A115" s="8"/>
      <c r="B115" s="7"/>
      <c r="C115" s="5"/>
      <c r="D115" s="29"/>
      <c r="E115" s="5"/>
      <c r="F115" s="5"/>
      <c r="G115" s="13"/>
      <c r="H115" s="13"/>
      <c r="I115" s="13"/>
      <c r="J115" s="13"/>
      <c r="K115" s="13"/>
      <c r="L115" s="13"/>
      <c r="M115" s="13"/>
      <c r="N115" s="12"/>
      <c r="O115" s="12"/>
      <c r="P115" s="6"/>
    </row>
    <row r="116" spans="1:16" ht="24" customHeight="1" x14ac:dyDescent="0.25">
      <c r="A116" s="8"/>
      <c r="B116" s="7"/>
      <c r="C116" s="5"/>
      <c r="D116" s="29"/>
      <c r="E116" s="5"/>
      <c r="F116" s="5"/>
      <c r="G116" s="13"/>
      <c r="H116" s="13"/>
      <c r="I116" s="13"/>
      <c r="J116" s="13"/>
      <c r="K116" s="13"/>
      <c r="L116" s="13"/>
      <c r="M116" s="13"/>
      <c r="N116" s="12"/>
      <c r="O116" s="12"/>
      <c r="P116" s="6"/>
    </row>
    <row r="117" spans="1:16" ht="24" customHeight="1" x14ac:dyDescent="0.25">
      <c r="A117" s="8"/>
      <c r="B117" s="7"/>
      <c r="C117" s="5"/>
      <c r="D117" s="29"/>
      <c r="E117" s="5"/>
      <c r="F117" s="5"/>
      <c r="G117" s="13"/>
      <c r="H117" s="13"/>
      <c r="I117" s="13"/>
      <c r="J117" s="13"/>
      <c r="K117" s="13"/>
      <c r="L117" s="13"/>
      <c r="M117" s="13"/>
      <c r="N117" s="12"/>
      <c r="O117" s="12"/>
      <c r="P117" s="6"/>
    </row>
    <row r="118" spans="1:16" ht="24" customHeight="1" x14ac:dyDescent="0.25">
      <c r="A118" s="8"/>
      <c r="B118" s="7"/>
      <c r="C118" s="5"/>
      <c r="D118" s="29"/>
      <c r="E118" s="5"/>
      <c r="F118" s="5"/>
      <c r="G118" s="13"/>
      <c r="H118" s="13"/>
      <c r="I118" s="13"/>
      <c r="J118" s="13"/>
      <c r="K118" s="13"/>
      <c r="L118" s="13"/>
      <c r="M118" s="13"/>
      <c r="N118" s="12"/>
      <c r="O118" s="12"/>
      <c r="P118" s="6"/>
    </row>
    <row r="119" spans="1:16" ht="24" customHeight="1" x14ac:dyDescent="0.25">
      <c r="A119" s="8"/>
      <c r="B119" s="7"/>
      <c r="C119" s="5"/>
      <c r="D119" s="29"/>
      <c r="E119" s="5"/>
      <c r="F119" s="5"/>
      <c r="G119" s="13"/>
      <c r="H119" s="13"/>
      <c r="I119" s="13"/>
      <c r="J119" s="13"/>
      <c r="K119" s="13"/>
      <c r="L119" s="13"/>
      <c r="M119" s="13"/>
      <c r="N119" s="12"/>
      <c r="O119" s="12"/>
      <c r="P119" s="6"/>
    </row>
    <row r="120" spans="1:16" ht="24" customHeight="1" x14ac:dyDescent="0.25">
      <c r="A120" s="8"/>
      <c r="B120" s="7"/>
      <c r="C120" s="5"/>
      <c r="D120" s="29"/>
      <c r="E120" s="5"/>
      <c r="F120" s="5"/>
      <c r="G120" s="13"/>
      <c r="H120" s="13"/>
      <c r="I120" s="13"/>
      <c r="J120" s="13"/>
      <c r="K120" s="13"/>
      <c r="L120" s="13"/>
      <c r="M120" s="13"/>
      <c r="N120" s="12"/>
      <c r="O120" s="12"/>
      <c r="P120" s="6"/>
    </row>
    <row r="121" spans="1:16" ht="24" customHeight="1" x14ac:dyDescent="0.25">
      <c r="A121" s="8"/>
      <c r="B121" s="7"/>
      <c r="C121" s="5"/>
      <c r="D121" s="29"/>
      <c r="E121" s="5"/>
      <c r="F121" s="5"/>
      <c r="G121" s="13"/>
      <c r="H121" s="13"/>
      <c r="I121" s="13"/>
      <c r="J121" s="13"/>
      <c r="K121" s="13"/>
      <c r="L121" s="13"/>
      <c r="M121" s="13"/>
      <c r="N121" s="12"/>
      <c r="O121" s="12"/>
      <c r="P121" s="6"/>
    </row>
    <row r="122" spans="1:16" ht="24" customHeight="1" x14ac:dyDescent="0.25">
      <c r="A122" s="8"/>
      <c r="B122" s="7"/>
      <c r="C122" s="5"/>
      <c r="D122" s="29"/>
      <c r="E122" s="5"/>
      <c r="F122" s="5"/>
      <c r="G122" s="13"/>
      <c r="H122" s="13"/>
      <c r="I122" s="13"/>
      <c r="J122" s="13"/>
      <c r="K122" s="13"/>
      <c r="L122" s="13"/>
      <c r="M122" s="13"/>
      <c r="N122" s="12"/>
      <c r="O122" s="12"/>
      <c r="P122" s="6"/>
    </row>
    <row r="123" spans="1:16" ht="24" customHeight="1" x14ac:dyDescent="0.25">
      <c r="A123" s="8"/>
      <c r="B123" s="7"/>
      <c r="C123" s="5"/>
      <c r="D123" s="29"/>
      <c r="E123" s="5"/>
      <c r="F123" s="5"/>
      <c r="G123" s="13"/>
      <c r="H123" s="13"/>
      <c r="I123" s="13"/>
      <c r="J123" s="13"/>
      <c r="K123" s="13"/>
      <c r="L123" s="13"/>
      <c r="M123" s="13"/>
      <c r="N123" s="12"/>
      <c r="O123" s="12"/>
      <c r="P123" s="6"/>
    </row>
    <row r="124" spans="1:16" ht="24" customHeight="1" x14ac:dyDescent="0.25">
      <c r="A124" s="8"/>
      <c r="B124" s="7"/>
      <c r="C124" s="5"/>
      <c r="D124" s="29"/>
      <c r="E124" s="5"/>
      <c r="F124" s="5"/>
      <c r="G124" s="13"/>
      <c r="H124" s="13"/>
      <c r="I124" s="13"/>
      <c r="J124" s="13"/>
      <c r="K124" s="13"/>
      <c r="L124" s="13"/>
      <c r="M124" s="13"/>
      <c r="N124" s="12"/>
      <c r="O124" s="12"/>
      <c r="P124" s="6"/>
    </row>
    <row r="125" spans="1:16" ht="24" customHeight="1" x14ac:dyDescent="0.25">
      <c r="A125" s="8"/>
      <c r="B125" s="7"/>
      <c r="C125" s="5"/>
      <c r="D125" s="29"/>
      <c r="E125" s="5"/>
      <c r="F125" s="5"/>
      <c r="G125" s="13"/>
      <c r="H125" s="13"/>
      <c r="I125" s="13"/>
      <c r="J125" s="13"/>
      <c r="K125" s="13"/>
      <c r="L125" s="13"/>
      <c r="M125" s="13"/>
      <c r="N125" s="12"/>
      <c r="O125" s="12"/>
      <c r="P125" s="6"/>
    </row>
    <row r="126" spans="1:16" ht="24" customHeight="1" x14ac:dyDescent="0.25">
      <c r="A126" s="8"/>
      <c r="B126" s="7"/>
      <c r="C126" s="5"/>
      <c r="D126" s="29"/>
      <c r="E126" s="5"/>
      <c r="F126" s="5"/>
      <c r="G126" s="13"/>
      <c r="H126" s="13"/>
      <c r="I126" s="13"/>
      <c r="J126" s="13"/>
      <c r="K126" s="13"/>
      <c r="L126" s="13"/>
      <c r="M126" s="13"/>
      <c r="N126" s="12"/>
      <c r="O126" s="12"/>
      <c r="P126" s="6"/>
    </row>
    <row r="127" spans="1:16" ht="24" customHeight="1" x14ac:dyDescent="0.25">
      <c r="A127" s="8"/>
      <c r="B127" s="7"/>
      <c r="C127" s="5"/>
      <c r="D127" s="29"/>
      <c r="E127" s="5"/>
      <c r="F127" s="5"/>
      <c r="G127" s="13"/>
      <c r="H127" s="13"/>
      <c r="I127" s="13"/>
      <c r="J127" s="13"/>
      <c r="K127" s="13"/>
      <c r="L127" s="13"/>
      <c r="M127" s="13"/>
      <c r="N127" s="12"/>
      <c r="O127" s="12"/>
      <c r="P127" s="6"/>
    </row>
    <row r="128" spans="1:16" ht="24" customHeight="1" x14ac:dyDescent="0.25">
      <c r="A128" s="8"/>
      <c r="B128" s="7"/>
      <c r="C128" s="5"/>
      <c r="D128" s="29"/>
      <c r="E128" s="5"/>
      <c r="F128" s="5"/>
      <c r="G128" s="13"/>
      <c r="H128" s="13"/>
      <c r="I128" s="13"/>
      <c r="J128" s="13"/>
      <c r="K128" s="13"/>
      <c r="L128" s="13"/>
      <c r="M128" s="13"/>
      <c r="N128" s="12"/>
      <c r="O128" s="12"/>
      <c r="P128" s="6"/>
    </row>
    <row r="129" spans="1:16" ht="24" customHeight="1" x14ac:dyDescent="0.25">
      <c r="A129" s="8"/>
      <c r="B129" s="7"/>
      <c r="C129" s="5"/>
      <c r="D129" s="29"/>
      <c r="E129" s="5"/>
      <c r="F129" s="5"/>
      <c r="G129" s="13"/>
      <c r="H129" s="13"/>
      <c r="I129" s="13"/>
      <c r="J129" s="13"/>
      <c r="K129" s="13"/>
      <c r="L129" s="13"/>
      <c r="M129" s="13"/>
      <c r="N129" s="12"/>
      <c r="O129" s="12"/>
      <c r="P129" s="6"/>
    </row>
    <row r="130" spans="1:16" ht="24" customHeight="1" x14ac:dyDescent="0.25">
      <c r="A130" s="8"/>
      <c r="B130" s="7"/>
      <c r="C130" s="5"/>
      <c r="D130" s="29"/>
      <c r="E130" s="5"/>
      <c r="F130" s="5"/>
      <c r="G130" s="13"/>
      <c r="H130" s="13"/>
      <c r="I130" s="13"/>
      <c r="J130" s="13"/>
      <c r="K130" s="13"/>
      <c r="L130" s="13"/>
      <c r="M130" s="13"/>
      <c r="N130" s="12"/>
      <c r="O130" s="12"/>
      <c r="P130" s="6"/>
    </row>
    <row r="131" spans="1:16" ht="24" customHeight="1" x14ac:dyDescent="0.25">
      <c r="A131" s="8"/>
      <c r="B131" s="7"/>
      <c r="C131" s="5"/>
      <c r="D131" s="29"/>
      <c r="E131" s="5"/>
      <c r="F131" s="5"/>
      <c r="G131" s="13"/>
      <c r="H131" s="13"/>
      <c r="I131" s="13"/>
      <c r="J131" s="13"/>
      <c r="K131" s="13"/>
      <c r="L131" s="13"/>
      <c r="M131" s="13"/>
      <c r="N131" s="12"/>
      <c r="O131" s="12"/>
      <c r="P131" s="6"/>
    </row>
    <row r="132" spans="1:16" ht="24" customHeight="1" x14ac:dyDescent="0.25">
      <c r="A132" s="8"/>
      <c r="B132" s="7"/>
      <c r="C132" s="5"/>
      <c r="D132" s="29"/>
      <c r="E132" s="5"/>
      <c r="F132" s="5"/>
      <c r="G132" s="13"/>
      <c r="H132" s="13"/>
      <c r="I132" s="13"/>
      <c r="J132" s="13"/>
      <c r="K132" s="13"/>
      <c r="L132" s="13"/>
      <c r="M132" s="13"/>
      <c r="N132" s="12"/>
      <c r="O132" s="12"/>
      <c r="P132" s="6"/>
    </row>
    <row r="133" spans="1:16" ht="24" customHeight="1" x14ac:dyDescent="0.25">
      <c r="A133" s="8"/>
      <c r="B133" s="7"/>
      <c r="C133" s="5"/>
      <c r="D133" s="29"/>
      <c r="E133" s="5"/>
      <c r="F133" s="5"/>
      <c r="G133" s="13"/>
      <c r="H133" s="13"/>
      <c r="I133" s="13"/>
      <c r="J133" s="13"/>
      <c r="K133" s="13"/>
      <c r="L133" s="13"/>
      <c r="M133" s="13"/>
      <c r="N133" s="12"/>
      <c r="O133" s="12"/>
      <c r="P133" s="6"/>
    </row>
    <row r="134" spans="1:16" ht="24" customHeight="1" x14ac:dyDescent="0.25">
      <c r="A134" s="8"/>
      <c r="B134" s="7"/>
      <c r="C134" s="5"/>
      <c r="D134" s="29"/>
      <c r="E134" s="5"/>
      <c r="F134" s="5"/>
      <c r="G134" s="13"/>
      <c r="H134" s="13"/>
      <c r="I134" s="13"/>
      <c r="J134" s="13"/>
      <c r="K134" s="13"/>
      <c r="L134" s="13"/>
      <c r="M134" s="13"/>
      <c r="N134" s="12"/>
      <c r="O134" s="12"/>
      <c r="P134" s="6"/>
    </row>
    <row r="135" spans="1:16" ht="24" customHeight="1" x14ac:dyDescent="0.25">
      <c r="A135" s="8"/>
      <c r="B135" s="7"/>
      <c r="C135" s="5"/>
      <c r="D135" s="29"/>
      <c r="E135" s="5"/>
      <c r="F135" s="5"/>
      <c r="G135" s="13"/>
      <c r="H135" s="13"/>
      <c r="I135" s="13"/>
      <c r="J135" s="13"/>
      <c r="K135" s="13"/>
      <c r="L135" s="13"/>
      <c r="M135" s="13"/>
      <c r="N135" s="12"/>
      <c r="O135" s="12"/>
      <c r="P135" s="6"/>
    </row>
    <row r="136" spans="1:16" ht="24" customHeight="1" x14ac:dyDescent="0.25">
      <c r="A136" s="8"/>
      <c r="B136" s="7"/>
      <c r="C136" s="5"/>
      <c r="D136" s="29"/>
      <c r="E136" s="5"/>
      <c r="F136" s="5"/>
      <c r="G136" s="13"/>
      <c r="H136" s="13"/>
      <c r="I136" s="13"/>
      <c r="J136" s="13"/>
      <c r="K136" s="13"/>
      <c r="L136" s="13"/>
      <c r="M136" s="13"/>
      <c r="N136" s="12"/>
      <c r="O136" s="12"/>
      <c r="P136" s="6"/>
    </row>
    <row r="137" spans="1:16" ht="24" customHeight="1" x14ac:dyDescent="0.25">
      <c r="A137" s="8"/>
      <c r="B137" s="7"/>
      <c r="C137" s="5"/>
      <c r="D137" s="29"/>
      <c r="E137" s="5"/>
      <c r="F137" s="5"/>
      <c r="G137" s="13"/>
      <c r="H137" s="13"/>
      <c r="I137" s="13"/>
      <c r="J137" s="13"/>
      <c r="K137" s="13"/>
      <c r="L137" s="13"/>
      <c r="M137" s="13"/>
      <c r="N137" s="12"/>
      <c r="O137" s="12"/>
      <c r="P137" s="6"/>
    </row>
    <row r="138" spans="1:16" ht="24" customHeight="1" x14ac:dyDescent="0.25">
      <c r="A138" s="8"/>
      <c r="B138" s="7"/>
      <c r="C138" s="5"/>
      <c r="D138" s="29"/>
      <c r="E138" s="5"/>
      <c r="F138" s="5"/>
      <c r="G138" s="13"/>
      <c r="H138" s="13"/>
      <c r="I138" s="13"/>
      <c r="J138" s="13"/>
      <c r="K138" s="13"/>
      <c r="L138" s="13"/>
      <c r="M138" s="13"/>
      <c r="N138" s="12"/>
      <c r="O138" s="12"/>
      <c r="P138" s="6"/>
    </row>
    <row r="139" spans="1:16" ht="24" customHeight="1" x14ac:dyDescent="0.25">
      <c r="A139" s="8"/>
      <c r="B139" s="7"/>
      <c r="C139" s="5"/>
      <c r="D139" s="29"/>
      <c r="E139" s="5"/>
      <c r="F139" s="5"/>
      <c r="G139" s="13"/>
      <c r="H139" s="13"/>
      <c r="I139" s="13"/>
      <c r="J139" s="13"/>
      <c r="K139" s="13"/>
      <c r="L139" s="13"/>
      <c r="M139" s="13"/>
      <c r="N139" s="12"/>
      <c r="O139" s="12"/>
      <c r="P139" s="6"/>
    </row>
    <row r="140" spans="1:16" ht="24" customHeight="1" x14ac:dyDescent="0.25">
      <c r="A140" s="8"/>
      <c r="B140" s="7"/>
      <c r="C140" s="5"/>
      <c r="D140" s="29"/>
      <c r="E140" s="5"/>
      <c r="F140" s="5"/>
      <c r="G140" s="13"/>
      <c r="H140" s="13"/>
      <c r="I140" s="13"/>
      <c r="J140" s="13"/>
      <c r="K140" s="13"/>
      <c r="L140" s="13"/>
      <c r="M140" s="13"/>
      <c r="N140" s="12"/>
      <c r="O140" s="12"/>
      <c r="P140" s="6"/>
    </row>
    <row r="141" spans="1:16" ht="24" customHeight="1" x14ac:dyDescent="0.25">
      <c r="A141" s="8"/>
      <c r="B141" s="7"/>
      <c r="C141" s="5"/>
      <c r="D141" s="29"/>
      <c r="E141" s="5"/>
      <c r="F141" s="5"/>
      <c r="G141" s="13"/>
      <c r="H141" s="13"/>
      <c r="I141" s="13"/>
      <c r="J141" s="13"/>
      <c r="K141" s="13"/>
      <c r="L141" s="13"/>
      <c r="M141" s="13"/>
      <c r="N141" s="12"/>
      <c r="O141" s="12"/>
      <c r="P141" s="6"/>
    </row>
    <row r="142" spans="1:16" ht="24" customHeight="1" x14ac:dyDescent="0.25">
      <c r="A142" s="8"/>
      <c r="B142" s="7"/>
      <c r="C142" s="5"/>
      <c r="D142" s="29"/>
      <c r="E142" s="5"/>
      <c r="F142" s="5"/>
      <c r="G142" s="13"/>
      <c r="H142" s="13"/>
      <c r="I142" s="13"/>
      <c r="J142" s="13"/>
      <c r="K142" s="13"/>
      <c r="L142" s="13"/>
      <c r="M142" s="13"/>
      <c r="N142" s="12"/>
      <c r="O142" s="12"/>
      <c r="P142" s="6"/>
    </row>
    <row r="143" spans="1:16" ht="24" customHeight="1" x14ac:dyDescent="0.25">
      <c r="A143" s="8"/>
      <c r="B143" s="7"/>
      <c r="C143" s="5"/>
      <c r="D143" s="29"/>
      <c r="E143" s="5"/>
      <c r="F143" s="5"/>
      <c r="G143" s="13"/>
      <c r="H143" s="13"/>
      <c r="I143" s="13"/>
      <c r="J143" s="13"/>
      <c r="K143" s="13"/>
      <c r="L143" s="13"/>
      <c r="M143" s="13"/>
      <c r="N143" s="12"/>
      <c r="O143" s="12"/>
      <c r="P143" s="6"/>
    </row>
    <row r="144" spans="1:16" ht="24" customHeight="1" x14ac:dyDescent="0.25">
      <c r="A144" s="8"/>
      <c r="B144" s="7"/>
      <c r="C144" s="5"/>
      <c r="D144" s="29"/>
      <c r="E144" s="5"/>
      <c r="F144" s="5"/>
      <c r="G144" s="13"/>
      <c r="H144" s="13"/>
      <c r="I144" s="13"/>
      <c r="J144" s="13"/>
      <c r="K144" s="13"/>
      <c r="L144" s="13"/>
      <c r="M144" s="13"/>
      <c r="N144" s="12"/>
      <c r="O144" s="12"/>
      <c r="P144" s="6"/>
    </row>
    <row r="145" spans="1:16" ht="24" customHeight="1" thickBot="1" x14ac:dyDescent="0.3">
      <c r="A145" s="9"/>
      <c r="B145" s="7"/>
      <c r="C145" s="5"/>
      <c r="D145" s="29"/>
      <c r="E145" s="5"/>
      <c r="F145" s="5"/>
      <c r="G145" s="13"/>
      <c r="H145" s="13"/>
      <c r="I145" s="13"/>
      <c r="J145" s="13"/>
      <c r="K145" s="13"/>
      <c r="L145" s="13"/>
      <c r="M145" s="13"/>
      <c r="N145" s="12"/>
      <c r="O145" s="12"/>
      <c r="P145" s="6"/>
    </row>
    <row r="146" spans="1:16" ht="24" customHeight="1" x14ac:dyDescent="0.25">
      <c r="E146" s="5"/>
    </row>
    <row r="147" spans="1:16" ht="24" customHeight="1" x14ac:dyDescent="0.25"/>
  </sheetData>
  <mergeCells count="12">
    <mergeCell ref="P5:P6"/>
    <mergeCell ref="A2:O2"/>
    <mergeCell ref="A4:B4"/>
    <mergeCell ref="A5:A6"/>
    <mergeCell ref="B5:B6"/>
    <mergeCell ref="C5:C6"/>
    <mergeCell ref="D5:D6"/>
    <mergeCell ref="E5:E6"/>
    <mergeCell ref="F5:F6"/>
    <mergeCell ref="N5:N6"/>
    <mergeCell ref="O5:O6"/>
    <mergeCell ref="G5:M5"/>
  </mergeCells>
  <printOptions horizontalCentered="1"/>
  <pageMargins left="0.7" right="0.7" top="0.75" bottom="0.75" header="0.3" footer="0.3"/>
  <pageSetup paperSize="9" scale="15" orientation="landscape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P147"/>
  <sheetViews>
    <sheetView view="pageBreakPreview" zoomScale="75" zoomScaleNormal="100" zoomScaleSheetLayoutView="75" workbookViewId="0">
      <pane xSplit="1" ySplit="6" topLeftCell="B29" activePane="bottomRight" state="frozen"/>
      <selection pane="topRight" activeCell="B1" sqref="B1"/>
      <selection pane="bottomLeft" activeCell="A6" sqref="A6"/>
      <selection pane="bottomRight" activeCell="A25" sqref="A25:XFD39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2.7109375" style="31" customWidth="1"/>
    <col min="5" max="5" width="11.28515625" customWidth="1"/>
    <col min="6" max="6" width="17.28515625" customWidth="1"/>
    <col min="7" max="7" width="9.5703125" customWidth="1"/>
    <col min="13" max="13" width="8.85546875" customWidth="1"/>
    <col min="14" max="14" width="13.140625" customWidth="1"/>
    <col min="15" max="15" width="13.28515625" customWidth="1"/>
    <col min="16" max="16" width="17.5703125" customWidth="1"/>
  </cols>
  <sheetData>
    <row r="2" spans="1:16" x14ac:dyDescent="0.2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6" x14ac:dyDescent="0.25">
      <c r="A3" s="2" t="s">
        <v>1</v>
      </c>
      <c r="B3" s="2"/>
      <c r="C3" s="26">
        <v>43768</v>
      </c>
      <c r="D3" s="52" t="s">
        <v>2</v>
      </c>
      <c r="E3" s="3"/>
      <c r="F3" s="2"/>
      <c r="G3" s="2" t="s">
        <v>13</v>
      </c>
      <c r="H3" s="2" t="s">
        <v>15</v>
      </c>
      <c r="I3" s="2"/>
      <c r="J3" s="2"/>
      <c r="K3" s="2"/>
      <c r="L3" s="2"/>
      <c r="M3" s="3"/>
      <c r="N3" s="4"/>
      <c r="O3" s="2"/>
    </row>
    <row r="4" spans="1:16" ht="15.75" thickBot="1" x14ac:dyDescent="0.3">
      <c r="A4" s="142"/>
      <c r="B4" s="142"/>
      <c r="C4" s="2"/>
      <c r="D4" s="28" t="s">
        <v>14</v>
      </c>
      <c r="E4" s="3"/>
      <c r="F4" s="2"/>
      <c r="G4" s="2"/>
      <c r="H4" s="3"/>
      <c r="I4" s="2"/>
      <c r="J4" s="2"/>
      <c r="K4" s="2"/>
      <c r="L4" s="2"/>
      <c r="M4" s="4"/>
      <c r="N4" s="4"/>
      <c r="O4" s="2"/>
    </row>
    <row r="5" spans="1:16" s="1" customFormat="1" ht="23.25" customHeight="1" x14ac:dyDescent="0.25">
      <c r="A5" s="149" t="s">
        <v>3</v>
      </c>
      <c r="B5" s="145" t="s">
        <v>4</v>
      </c>
      <c r="C5" s="140" t="s">
        <v>5</v>
      </c>
      <c r="D5" s="140" t="s">
        <v>9</v>
      </c>
      <c r="E5" s="140" t="s">
        <v>6</v>
      </c>
      <c r="F5" s="140" t="s">
        <v>7</v>
      </c>
      <c r="G5" s="143" t="s">
        <v>145</v>
      </c>
      <c r="H5" s="144"/>
      <c r="I5" s="144"/>
      <c r="J5" s="144"/>
      <c r="K5" s="144"/>
      <c r="L5" s="144"/>
      <c r="M5" s="145"/>
      <c r="N5" s="140" t="s">
        <v>8</v>
      </c>
      <c r="O5" s="140" t="s">
        <v>10</v>
      </c>
      <c r="P5" s="146" t="s">
        <v>11</v>
      </c>
    </row>
    <row r="6" spans="1:16" ht="36.75" customHeight="1" thickBot="1" x14ac:dyDescent="0.3">
      <c r="A6" s="150"/>
      <c r="B6" s="151"/>
      <c r="C6" s="141"/>
      <c r="D6" s="141"/>
      <c r="E6" s="141"/>
      <c r="F6" s="141"/>
      <c r="G6" s="74" t="s">
        <v>138</v>
      </c>
      <c r="H6" s="74" t="s">
        <v>139</v>
      </c>
      <c r="I6" s="74" t="s">
        <v>140</v>
      </c>
      <c r="J6" s="74" t="s">
        <v>141</v>
      </c>
      <c r="K6" s="74" t="s">
        <v>142</v>
      </c>
      <c r="L6" s="74" t="s">
        <v>143</v>
      </c>
      <c r="M6" s="74" t="s">
        <v>144</v>
      </c>
      <c r="N6" s="141"/>
      <c r="O6" s="141"/>
      <c r="P6" s="147"/>
    </row>
    <row r="7" spans="1:16" ht="24" customHeight="1" x14ac:dyDescent="0.25">
      <c r="A7" s="59">
        <v>1</v>
      </c>
      <c r="B7" s="71">
        <v>0.32500000000000001</v>
      </c>
      <c r="C7" s="62" t="s">
        <v>107</v>
      </c>
      <c r="D7" s="83">
        <v>7</v>
      </c>
      <c r="E7" s="62">
        <v>2</v>
      </c>
      <c r="F7" s="62" t="s">
        <v>12</v>
      </c>
      <c r="G7" s="73">
        <v>4.6999999999999993</v>
      </c>
      <c r="H7" s="73">
        <v>11.100000000000001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64"/>
      <c r="O7" s="63"/>
      <c r="P7" s="22" t="s">
        <v>17</v>
      </c>
    </row>
    <row r="8" spans="1:16" ht="24" customHeight="1" x14ac:dyDescent="0.25">
      <c r="A8" s="14">
        <f>A7+1</f>
        <v>2</v>
      </c>
      <c r="B8" s="7">
        <v>0.32916666666666666</v>
      </c>
      <c r="C8" s="5" t="s">
        <v>108</v>
      </c>
      <c r="D8" s="29">
        <v>7</v>
      </c>
      <c r="E8" s="5">
        <v>2</v>
      </c>
      <c r="F8" s="5" t="s">
        <v>12</v>
      </c>
      <c r="G8" s="73">
        <v>5</v>
      </c>
      <c r="H8" s="73">
        <v>10.100000000000001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19"/>
      <c r="O8" s="12"/>
      <c r="P8" s="11" t="s">
        <v>21</v>
      </c>
    </row>
    <row r="9" spans="1:16" ht="24" customHeight="1" x14ac:dyDescent="0.25">
      <c r="A9" s="14">
        <f t="shared" ref="A9:A39" si="0">A8+1</f>
        <v>3</v>
      </c>
      <c r="B9" s="7">
        <v>0.3611111111111111</v>
      </c>
      <c r="C9" s="5" t="s">
        <v>109</v>
      </c>
      <c r="D9" s="30">
        <v>8</v>
      </c>
      <c r="E9" s="5">
        <v>3</v>
      </c>
      <c r="F9" s="15" t="s">
        <v>110</v>
      </c>
      <c r="G9" s="73">
        <v>5.3</v>
      </c>
      <c r="H9" s="73">
        <v>8.75</v>
      </c>
      <c r="I9" s="73">
        <v>9.35</v>
      </c>
      <c r="J9" s="73">
        <v>0</v>
      </c>
      <c r="K9" s="73">
        <v>0</v>
      </c>
      <c r="L9" s="73">
        <v>0</v>
      </c>
      <c r="M9" s="73">
        <v>0</v>
      </c>
      <c r="N9" s="19"/>
      <c r="O9" s="12"/>
      <c r="P9" s="6" t="s">
        <v>22</v>
      </c>
    </row>
    <row r="10" spans="1:16" ht="24" customHeight="1" x14ac:dyDescent="0.25">
      <c r="A10" s="14">
        <f t="shared" si="0"/>
        <v>4</v>
      </c>
      <c r="B10" s="7">
        <v>0.3666666666666667</v>
      </c>
      <c r="C10" s="5" t="s">
        <v>111</v>
      </c>
      <c r="D10" s="30">
        <v>7</v>
      </c>
      <c r="E10" s="5">
        <v>2</v>
      </c>
      <c r="F10" s="15" t="s">
        <v>12</v>
      </c>
      <c r="G10" s="73">
        <v>4.5</v>
      </c>
      <c r="H10" s="73">
        <v>10.3</v>
      </c>
      <c r="I10" s="73">
        <v>0</v>
      </c>
      <c r="J10" s="73">
        <v>0</v>
      </c>
      <c r="K10" s="73">
        <v>0</v>
      </c>
      <c r="L10" s="73">
        <v>0</v>
      </c>
      <c r="M10" s="73">
        <v>0</v>
      </c>
      <c r="N10" s="19"/>
      <c r="O10" s="12"/>
      <c r="P10" s="6" t="s">
        <v>22</v>
      </c>
    </row>
    <row r="11" spans="1:16" ht="24" customHeight="1" x14ac:dyDescent="0.25">
      <c r="A11" s="14">
        <f t="shared" si="0"/>
        <v>5</v>
      </c>
      <c r="B11" s="7">
        <v>0.3756944444444445</v>
      </c>
      <c r="C11" s="5" t="s">
        <v>112</v>
      </c>
      <c r="D11" s="30">
        <v>10</v>
      </c>
      <c r="E11" s="5">
        <v>6</v>
      </c>
      <c r="F11" s="15" t="s">
        <v>42</v>
      </c>
      <c r="G11" s="73">
        <v>7.05</v>
      </c>
      <c r="H11" s="73">
        <v>5.8000000000000007</v>
      </c>
      <c r="I11" s="73">
        <v>7.25</v>
      </c>
      <c r="J11" s="73">
        <v>7.35</v>
      </c>
      <c r="K11" s="73">
        <v>7</v>
      </c>
      <c r="L11" s="73">
        <v>7.15</v>
      </c>
      <c r="M11" s="73">
        <v>0</v>
      </c>
      <c r="N11" s="19"/>
      <c r="O11" s="12"/>
      <c r="P11" s="11" t="s">
        <v>17</v>
      </c>
    </row>
    <row r="12" spans="1:16" ht="24" customHeight="1" x14ac:dyDescent="0.25">
      <c r="A12" s="14">
        <f t="shared" si="0"/>
        <v>6</v>
      </c>
      <c r="B12" s="7">
        <v>0.38055555555555554</v>
      </c>
      <c r="C12" s="5" t="s">
        <v>113</v>
      </c>
      <c r="D12" s="30">
        <v>10</v>
      </c>
      <c r="E12" s="5">
        <v>6</v>
      </c>
      <c r="F12" s="15" t="s">
        <v>35</v>
      </c>
      <c r="G12" s="73">
        <v>6.25</v>
      </c>
      <c r="H12" s="73">
        <v>4.5500000000000007</v>
      </c>
      <c r="I12" s="73">
        <v>9.1499999999999986</v>
      </c>
      <c r="J12" s="73">
        <v>7</v>
      </c>
      <c r="K12" s="73">
        <v>8.1999999999999993</v>
      </c>
      <c r="L12" s="73">
        <v>7.1</v>
      </c>
      <c r="M12" s="73">
        <v>0</v>
      </c>
      <c r="N12" s="19"/>
      <c r="O12" s="12"/>
      <c r="P12" s="11" t="s">
        <v>17</v>
      </c>
    </row>
    <row r="13" spans="1:16" ht="24" customHeight="1" x14ac:dyDescent="0.25">
      <c r="A13" s="14">
        <f t="shared" si="0"/>
        <v>7</v>
      </c>
      <c r="B13" s="7">
        <v>0.38194444444444442</v>
      </c>
      <c r="C13" s="5" t="s">
        <v>114</v>
      </c>
      <c r="D13" s="30">
        <v>10</v>
      </c>
      <c r="E13" s="5">
        <v>6</v>
      </c>
      <c r="F13" s="15" t="s">
        <v>35</v>
      </c>
      <c r="G13" s="73">
        <v>5.2</v>
      </c>
      <c r="H13" s="73">
        <v>5.2</v>
      </c>
      <c r="I13" s="73">
        <v>8.4</v>
      </c>
      <c r="J13" s="73">
        <v>6.0500000000000007</v>
      </c>
      <c r="K13" s="73">
        <v>7.75</v>
      </c>
      <c r="L13" s="73">
        <v>6.2</v>
      </c>
      <c r="M13" s="73">
        <v>0</v>
      </c>
      <c r="N13" s="19"/>
      <c r="O13" s="12"/>
      <c r="P13" s="11" t="s">
        <v>28</v>
      </c>
    </row>
    <row r="14" spans="1:16" ht="24" customHeight="1" x14ac:dyDescent="0.25">
      <c r="A14" s="14">
        <f t="shared" si="0"/>
        <v>8</v>
      </c>
      <c r="B14" s="7">
        <v>0.3833333333333333</v>
      </c>
      <c r="C14" s="5" t="s">
        <v>115</v>
      </c>
      <c r="D14" s="30">
        <v>10</v>
      </c>
      <c r="E14" s="5">
        <v>6</v>
      </c>
      <c r="F14" s="15" t="s">
        <v>35</v>
      </c>
      <c r="G14" s="73">
        <v>5.35</v>
      </c>
      <c r="H14" s="73">
        <v>5.4</v>
      </c>
      <c r="I14" s="73">
        <v>9.9499999999999993</v>
      </c>
      <c r="J14" s="73">
        <v>7.65</v>
      </c>
      <c r="K14" s="73">
        <v>6.8</v>
      </c>
      <c r="L14" s="73">
        <v>5.4</v>
      </c>
      <c r="M14" s="73">
        <v>0</v>
      </c>
      <c r="N14" s="19"/>
      <c r="O14" s="12"/>
      <c r="P14" s="6" t="s">
        <v>30</v>
      </c>
    </row>
    <row r="15" spans="1:16" ht="24" customHeight="1" x14ac:dyDescent="0.25">
      <c r="A15" s="14">
        <f t="shared" si="0"/>
        <v>9</v>
      </c>
      <c r="B15" s="7">
        <v>0.4055555555555555</v>
      </c>
      <c r="C15" s="5" t="s">
        <v>116</v>
      </c>
      <c r="D15" s="30">
        <v>7</v>
      </c>
      <c r="E15" s="5">
        <v>2</v>
      </c>
      <c r="F15" s="15" t="s">
        <v>12</v>
      </c>
      <c r="G15" s="73">
        <v>3.75</v>
      </c>
      <c r="H15" s="73">
        <v>10.75</v>
      </c>
      <c r="I15" s="73">
        <v>0</v>
      </c>
      <c r="J15" s="73">
        <v>0</v>
      </c>
      <c r="K15" s="73">
        <v>0</v>
      </c>
      <c r="L15" s="73">
        <v>0</v>
      </c>
      <c r="M15" s="73">
        <v>0</v>
      </c>
      <c r="N15" s="19"/>
      <c r="O15" s="12"/>
      <c r="P15" s="6" t="s">
        <v>37</v>
      </c>
    </row>
    <row r="16" spans="1:16" ht="24" customHeight="1" x14ac:dyDescent="0.25">
      <c r="A16" s="14">
        <f t="shared" si="0"/>
        <v>10</v>
      </c>
      <c r="B16" s="7">
        <v>0.4236111111111111</v>
      </c>
      <c r="C16" s="5" t="s">
        <v>117</v>
      </c>
      <c r="D16" s="30">
        <v>10</v>
      </c>
      <c r="E16" s="5">
        <v>6</v>
      </c>
      <c r="F16" s="15" t="s">
        <v>33</v>
      </c>
      <c r="G16" s="73">
        <v>5.55</v>
      </c>
      <c r="H16" s="73">
        <v>7.5</v>
      </c>
      <c r="I16" s="73">
        <v>7.35</v>
      </c>
      <c r="J16" s="73">
        <v>8.3000000000000007</v>
      </c>
      <c r="K16" s="73">
        <v>7.4</v>
      </c>
      <c r="L16" s="73">
        <v>8.0500000000000007</v>
      </c>
      <c r="M16" s="73">
        <v>0</v>
      </c>
      <c r="N16" s="19"/>
      <c r="O16" s="12"/>
      <c r="P16" s="6" t="s">
        <v>17</v>
      </c>
    </row>
    <row r="17" spans="1:16" ht="24" customHeight="1" x14ac:dyDescent="0.25">
      <c r="A17" s="14">
        <f t="shared" si="0"/>
        <v>11</v>
      </c>
      <c r="B17" s="7">
        <v>0.47500000000000003</v>
      </c>
      <c r="C17" s="5" t="s">
        <v>29</v>
      </c>
      <c r="D17" s="30">
        <v>7</v>
      </c>
      <c r="E17" s="5">
        <v>2</v>
      </c>
      <c r="F17" s="15" t="s">
        <v>12</v>
      </c>
      <c r="G17" s="73">
        <v>4.0999999999999996</v>
      </c>
      <c r="H17" s="73">
        <v>8.6999999999999993</v>
      </c>
      <c r="I17" s="73">
        <v>0</v>
      </c>
      <c r="J17" s="73">
        <v>0</v>
      </c>
      <c r="K17" s="73">
        <v>0</v>
      </c>
      <c r="L17" s="73">
        <v>0</v>
      </c>
      <c r="M17" s="73">
        <v>0</v>
      </c>
      <c r="N17" s="19"/>
      <c r="O17" s="12"/>
      <c r="P17" s="6" t="s">
        <v>38</v>
      </c>
    </row>
    <row r="18" spans="1:16" ht="24" customHeight="1" x14ac:dyDescent="0.25">
      <c r="A18" s="14">
        <f t="shared" si="0"/>
        <v>12</v>
      </c>
      <c r="B18" s="7">
        <v>0.54861111111111105</v>
      </c>
      <c r="C18" s="5" t="s">
        <v>118</v>
      </c>
      <c r="D18" s="30">
        <v>10</v>
      </c>
      <c r="E18" s="5">
        <v>6</v>
      </c>
      <c r="F18" s="15" t="s">
        <v>35</v>
      </c>
      <c r="G18" s="73">
        <v>4.2</v>
      </c>
      <c r="H18" s="73">
        <v>3.95</v>
      </c>
      <c r="I18" s="73">
        <v>5.65</v>
      </c>
      <c r="J18" s="73">
        <v>4.5999999999999996</v>
      </c>
      <c r="K18" s="73">
        <v>5</v>
      </c>
      <c r="L18" s="73">
        <v>5.3000000000000007</v>
      </c>
      <c r="M18" s="73">
        <v>0</v>
      </c>
      <c r="N18" s="19"/>
      <c r="O18" s="12"/>
      <c r="P18" s="6" t="s">
        <v>38</v>
      </c>
    </row>
    <row r="19" spans="1:16" ht="24" customHeight="1" x14ac:dyDescent="0.25">
      <c r="A19" s="14">
        <f t="shared" si="0"/>
        <v>13</v>
      </c>
      <c r="B19" s="7">
        <v>0.56458333333333333</v>
      </c>
      <c r="C19" s="5" t="s">
        <v>119</v>
      </c>
      <c r="D19" s="30">
        <v>10</v>
      </c>
      <c r="E19" s="5">
        <v>6</v>
      </c>
      <c r="F19" s="15" t="s">
        <v>35</v>
      </c>
      <c r="G19" s="73">
        <v>6</v>
      </c>
      <c r="H19" s="73">
        <v>6</v>
      </c>
      <c r="I19" s="73">
        <v>8.5500000000000007</v>
      </c>
      <c r="J19" s="73">
        <v>6.85</v>
      </c>
      <c r="K19" s="73">
        <v>7.5500000000000007</v>
      </c>
      <c r="L19" s="73">
        <v>6.95</v>
      </c>
      <c r="M19" s="73">
        <v>0</v>
      </c>
      <c r="N19" s="19"/>
      <c r="O19" s="12"/>
      <c r="P19" s="6" t="s">
        <v>17</v>
      </c>
    </row>
    <row r="20" spans="1:16" ht="24" customHeight="1" x14ac:dyDescent="0.25">
      <c r="A20" s="14">
        <f t="shared" si="0"/>
        <v>14</v>
      </c>
      <c r="B20" s="7">
        <v>0.71527777777777779</v>
      </c>
      <c r="C20" s="5" t="s">
        <v>120</v>
      </c>
      <c r="D20" s="30">
        <v>7</v>
      </c>
      <c r="E20" s="5">
        <v>2</v>
      </c>
      <c r="F20" s="15" t="s">
        <v>12</v>
      </c>
      <c r="G20" s="73">
        <v>5.55</v>
      </c>
      <c r="H20" s="73">
        <v>5.65</v>
      </c>
      <c r="I20" s="73">
        <v>0</v>
      </c>
      <c r="J20" s="73">
        <v>0</v>
      </c>
      <c r="K20" s="73">
        <v>0</v>
      </c>
      <c r="L20" s="73">
        <v>0</v>
      </c>
      <c r="M20" s="73">
        <v>0</v>
      </c>
      <c r="N20" s="19"/>
      <c r="O20" s="12"/>
      <c r="P20" s="6" t="s">
        <v>39</v>
      </c>
    </row>
    <row r="21" spans="1:16" ht="24" customHeight="1" x14ac:dyDescent="0.25">
      <c r="A21" s="14">
        <f t="shared" si="0"/>
        <v>15</v>
      </c>
      <c r="B21" s="7">
        <v>0.71597222222222223</v>
      </c>
      <c r="C21" s="5" t="s">
        <v>51</v>
      </c>
      <c r="D21" s="30">
        <v>10</v>
      </c>
      <c r="E21" s="5">
        <v>6</v>
      </c>
      <c r="F21" s="15" t="s">
        <v>35</v>
      </c>
      <c r="G21" s="73">
        <v>5.15</v>
      </c>
      <c r="H21" s="73">
        <v>5.8000000000000007</v>
      </c>
      <c r="I21" s="73">
        <v>9.15</v>
      </c>
      <c r="J21" s="73">
        <v>7.65</v>
      </c>
      <c r="K21" s="73">
        <v>7</v>
      </c>
      <c r="L21" s="73">
        <v>6.55</v>
      </c>
      <c r="M21" s="73">
        <v>0</v>
      </c>
      <c r="N21" s="19"/>
      <c r="O21" s="12"/>
      <c r="P21" s="6" t="s">
        <v>17</v>
      </c>
    </row>
    <row r="22" spans="1:16" ht="24" customHeight="1" x14ac:dyDescent="0.25">
      <c r="A22" s="14">
        <f t="shared" si="0"/>
        <v>16</v>
      </c>
      <c r="B22" s="7">
        <v>0.71666666666666667</v>
      </c>
      <c r="C22" s="5" t="s">
        <v>121</v>
      </c>
      <c r="D22" s="30">
        <v>10</v>
      </c>
      <c r="E22" s="5">
        <v>6</v>
      </c>
      <c r="F22" s="15" t="s">
        <v>33</v>
      </c>
      <c r="G22" s="73">
        <v>6.15</v>
      </c>
      <c r="H22" s="73">
        <v>7.9499999999999993</v>
      </c>
      <c r="I22" s="73">
        <v>8</v>
      </c>
      <c r="J22" s="73">
        <v>6.75</v>
      </c>
      <c r="K22" s="73">
        <v>6.25</v>
      </c>
      <c r="L22" s="73">
        <v>7.35</v>
      </c>
      <c r="M22" s="73">
        <v>0</v>
      </c>
      <c r="N22" s="19"/>
      <c r="O22" s="12"/>
      <c r="P22" s="6"/>
    </row>
    <row r="23" spans="1:16" ht="24" customHeight="1" thickBot="1" x14ac:dyDescent="0.3">
      <c r="A23" s="65">
        <f t="shared" si="0"/>
        <v>17</v>
      </c>
      <c r="B23" s="41">
        <v>0.71736111111111101</v>
      </c>
      <c r="C23" s="42" t="s">
        <v>122</v>
      </c>
      <c r="D23" s="30">
        <v>10</v>
      </c>
      <c r="E23" s="42">
        <v>6</v>
      </c>
      <c r="F23" s="67" t="s">
        <v>35</v>
      </c>
      <c r="G23" s="73">
        <v>6.85</v>
      </c>
      <c r="H23" s="73">
        <v>5.9</v>
      </c>
      <c r="I23" s="73">
        <v>7.95</v>
      </c>
      <c r="J23" s="73">
        <v>7.95</v>
      </c>
      <c r="K23" s="73">
        <v>8.1999999999999993</v>
      </c>
      <c r="L23" s="73">
        <v>8.1</v>
      </c>
      <c r="M23" s="73">
        <v>0</v>
      </c>
      <c r="N23" s="68"/>
      <c r="O23" s="69"/>
      <c r="P23" s="47"/>
    </row>
    <row r="24" spans="1:16" ht="24" customHeight="1" thickBot="1" x14ac:dyDescent="0.3">
      <c r="A24" s="53"/>
      <c r="B24" s="54"/>
      <c r="C24" s="55"/>
      <c r="D24" s="84"/>
      <c r="E24" s="55"/>
      <c r="F24" s="70"/>
      <c r="G24" s="73"/>
      <c r="H24" s="82" t="s">
        <v>146</v>
      </c>
      <c r="I24" s="73"/>
      <c r="J24" s="73"/>
      <c r="K24" s="73"/>
      <c r="L24" s="73"/>
      <c r="M24" s="73"/>
      <c r="N24" s="36"/>
      <c r="O24" s="57"/>
      <c r="P24" s="58"/>
    </row>
    <row r="25" spans="1:16" ht="24" customHeight="1" thickBot="1" x14ac:dyDescent="0.3">
      <c r="A25" s="59">
        <f t="shared" si="0"/>
        <v>1</v>
      </c>
      <c r="B25" s="60">
        <v>0.32291666666666669</v>
      </c>
      <c r="C25" s="61" t="s">
        <v>123</v>
      </c>
      <c r="D25" s="30">
        <v>10</v>
      </c>
      <c r="E25" s="61">
        <v>6</v>
      </c>
      <c r="F25" s="62" t="s">
        <v>33</v>
      </c>
      <c r="G25" s="73">
        <v>6</v>
      </c>
      <c r="H25" s="73">
        <v>8.3000000000000007</v>
      </c>
      <c r="I25" s="73">
        <v>7.85</v>
      </c>
      <c r="J25" s="73">
        <v>8.0500000000000007</v>
      </c>
      <c r="K25" s="73">
        <v>7.5500000000000007</v>
      </c>
      <c r="L25" s="73">
        <v>7.2</v>
      </c>
      <c r="M25" s="73">
        <v>0</v>
      </c>
      <c r="N25" s="64"/>
      <c r="O25" s="63"/>
      <c r="P25" s="48" t="s">
        <v>48</v>
      </c>
    </row>
    <row r="26" spans="1:16" ht="24" customHeight="1" thickBot="1" x14ac:dyDescent="0.3">
      <c r="A26" s="14">
        <f t="shared" si="0"/>
        <v>2</v>
      </c>
      <c r="B26" s="24">
        <v>0.34930555555555554</v>
      </c>
      <c r="C26" s="23" t="s">
        <v>124</v>
      </c>
      <c r="D26" s="30">
        <v>10</v>
      </c>
      <c r="E26" s="61">
        <v>6</v>
      </c>
      <c r="F26" s="15" t="s">
        <v>33</v>
      </c>
      <c r="G26" s="73">
        <v>4.55</v>
      </c>
      <c r="H26" s="73">
        <v>9.3500000000000014</v>
      </c>
      <c r="I26" s="73">
        <v>8.3500000000000014</v>
      </c>
      <c r="J26" s="73">
        <v>10.95</v>
      </c>
      <c r="K26" s="73">
        <v>7.15</v>
      </c>
      <c r="L26" s="73">
        <v>6.8000000000000007</v>
      </c>
      <c r="M26" s="73">
        <v>0</v>
      </c>
      <c r="N26" s="19"/>
      <c r="O26" s="12"/>
      <c r="P26" s="48" t="s">
        <v>48</v>
      </c>
    </row>
    <row r="27" spans="1:16" ht="24" customHeight="1" thickBot="1" x14ac:dyDescent="0.3">
      <c r="A27" s="14">
        <f t="shared" si="0"/>
        <v>3</v>
      </c>
      <c r="B27" s="24">
        <v>0.3520833333333333</v>
      </c>
      <c r="C27" s="23" t="s">
        <v>125</v>
      </c>
      <c r="D27" s="30">
        <v>10</v>
      </c>
      <c r="E27" s="61">
        <v>6</v>
      </c>
      <c r="F27" s="15" t="s">
        <v>33</v>
      </c>
      <c r="G27" s="73">
        <v>5.8</v>
      </c>
      <c r="H27" s="73">
        <v>7.95</v>
      </c>
      <c r="I27" s="73">
        <v>7.1999999999999993</v>
      </c>
      <c r="J27" s="73">
        <v>8.5500000000000007</v>
      </c>
      <c r="K27" s="73">
        <v>7.2</v>
      </c>
      <c r="L27" s="73">
        <v>7.35</v>
      </c>
      <c r="M27" s="73">
        <v>0</v>
      </c>
      <c r="N27" s="19"/>
      <c r="O27" s="12"/>
      <c r="P27" s="48" t="s">
        <v>48</v>
      </c>
    </row>
    <row r="28" spans="1:16" ht="24" customHeight="1" thickBot="1" x14ac:dyDescent="0.3">
      <c r="A28" s="14">
        <f t="shared" si="0"/>
        <v>4</v>
      </c>
      <c r="B28" s="24">
        <v>0.35833333333333334</v>
      </c>
      <c r="C28" s="23" t="s">
        <v>126</v>
      </c>
      <c r="D28" s="30">
        <v>10</v>
      </c>
      <c r="E28" s="61">
        <v>6</v>
      </c>
      <c r="F28" s="15" t="s">
        <v>33</v>
      </c>
      <c r="G28" s="73">
        <v>5.5</v>
      </c>
      <c r="H28" s="73">
        <v>8.25</v>
      </c>
      <c r="I28" s="73">
        <v>8.3000000000000007</v>
      </c>
      <c r="J28" s="73">
        <v>8.1</v>
      </c>
      <c r="K28" s="73">
        <v>7.6</v>
      </c>
      <c r="L28" s="73">
        <v>8.1000000000000014</v>
      </c>
      <c r="M28" s="73">
        <v>0</v>
      </c>
      <c r="N28" s="19"/>
      <c r="O28" s="12"/>
      <c r="P28" s="48" t="s">
        <v>48</v>
      </c>
    </row>
    <row r="29" spans="1:16" ht="24" customHeight="1" x14ac:dyDescent="0.25">
      <c r="A29" s="14">
        <f t="shared" si="0"/>
        <v>5</v>
      </c>
      <c r="B29" s="24">
        <v>0.36249999999999999</v>
      </c>
      <c r="C29" s="23" t="s">
        <v>127</v>
      </c>
      <c r="D29" s="30">
        <v>10</v>
      </c>
      <c r="E29" s="61">
        <v>6</v>
      </c>
      <c r="F29" s="15" t="s">
        <v>33</v>
      </c>
      <c r="G29" s="73">
        <v>5.5</v>
      </c>
      <c r="H29" s="73">
        <v>8.8000000000000007</v>
      </c>
      <c r="I29" s="73">
        <v>8.9499999999999993</v>
      </c>
      <c r="J29" s="73">
        <v>6.85</v>
      </c>
      <c r="K29" s="73">
        <v>6.9</v>
      </c>
      <c r="L29" s="73">
        <v>5.9</v>
      </c>
      <c r="M29" s="73">
        <v>0</v>
      </c>
      <c r="N29" s="19"/>
      <c r="O29" s="12"/>
      <c r="P29" s="48" t="s">
        <v>48</v>
      </c>
    </row>
    <row r="30" spans="1:16" ht="24" customHeight="1" x14ac:dyDescent="0.25">
      <c r="A30" s="14">
        <f t="shared" si="0"/>
        <v>6</v>
      </c>
      <c r="B30" s="24">
        <v>0.37916666666666665</v>
      </c>
      <c r="C30" s="23" t="s">
        <v>128</v>
      </c>
      <c r="D30" s="30">
        <v>10</v>
      </c>
      <c r="E30" s="5">
        <v>7</v>
      </c>
      <c r="F30" s="15" t="s">
        <v>47</v>
      </c>
      <c r="G30" s="73">
        <v>7.8999999999999995</v>
      </c>
      <c r="H30" s="73">
        <v>9.4499999999999993</v>
      </c>
      <c r="I30" s="73">
        <v>8.3999999999999986</v>
      </c>
      <c r="J30" s="73">
        <v>7.1</v>
      </c>
      <c r="K30" s="73">
        <v>6.4</v>
      </c>
      <c r="L30" s="73">
        <v>5.9499999999999993</v>
      </c>
      <c r="M30" s="73">
        <v>4.9000000000000004</v>
      </c>
      <c r="N30" s="19"/>
      <c r="O30" s="12"/>
      <c r="P30" s="48" t="s">
        <v>48</v>
      </c>
    </row>
    <row r="31" spans="1:16" ht="24" customHeight="1" x14ac:dyDescent="0.25">
      <c r="A31" s="14">
        <f t="shared" si="0"/>
        <v>7</v>
      </c>
      <c r="B31" s="7">
        <v>0.39861111111111108</v>
      </c>
      <c r="C31" s="5" t="s">
        <v>129</v>
      </c>
      <c r="D31" s="30">
        <v>10</v>
      </c>
      <c r="E31" s="5">
        <v>6</v>
      </c>
      <c r="F31" s="15" t="s">
        <v>33</v>
      </c>
      <c r="G31" s="73">
        <v>5.75</v>
      </c>
      <c r="H31" s="73">
        <v>8</v>
      </c>
      <c r="I31" s="73">
        <v>8.35</v>
      </c>
      <c r="J31" s="73">
        <v>7.35</v>
      </c>
      <c r="K31" s="73">
        <v>6.9</v>
      </c>
      <c r="L31" s="73">
        <v>6.7</v>
      </c>
      <c r="M31" s="73">
        <v>0</v>
      </c>
      <c r="N31" s="19"/>
      <c r="O31" s="12"/>
      <c r="P31" s="48" t="s">
        <v>48</v>
      </c>
    </row>
    <row r="32" spans="1:16" ht="24" customHeight="1" x14ac:dyDescent="0.25">
      <c r="A32" s="14">
        <f t="shared" si="0"/>
        <v>8</v>
      </c>
      <c r="B32" s="7">
        <v>0.41388888888888892</v>
      </c>
      <c r="C32" s="5" t="s">
        <v>130</v>
      </c>
      <c r="D32" s="30">
        <v>10</v>
      </c>
      <c r="E32" s="5">
        <v>6</v>
      </c>
      <c r="F32" s="15" t="s">
        <v>35</v>
      </c>
      <c r="G32" s="73">
        <v>5.3</v>
      </c>
      <c r="H32" s="73">
        <v>6.65</v>
      </c>
      <c r="I32" s="73">
        <v>6.4499999999999993</v>
      </c>
      <c r="J32" s="73">
        <v>7.5500000000000007</v>
      </c>
      <c r="K32" s="73">
        <v>6.9499999999999993</v>
      </c>
      <c r="L32" s="73">
        <v>6.6</v>
      </c>
      <c r="M32" s="73">
        <v>0</v>
      </c>
      <c r="N32" s="19"/>
      <c r="O32" s="12"/>
      <c r="P32" s="48" t="s">
        <v>48</v>
      </c>
    </row>
    <row r="33" spans="1:16" ht="24" customHeight="1" x14ac:dyDescent="0.25">
      <c r="A33" s="14">
        <f t="shared" si="0"/>
        <v>9</v>
      </c>
      <c r="B33" s="7">
        <v>0.41736111111111113</v>
      </c>
      <c r="C33" s="5" t="s">
        <v>131</v>
      </c>
      <c r="D33" s="30">
        <v>10</v>
      </c>
      <c r="E33" s="5">
        <v>6</v>
      </c>
      <c r="F33" s="15" t="s">
        <v>33</v>
      </c>
      <c r="G33" s="73">
        <v>6.5</v>
      </c>
      <c r="H33" s="73">
        <v>8.3000000000000007</v>
      </c>
      <c r="I33" s="73">
        <v>7.8999999999999995</v>
      </c>
      <c r="J33" s="73">
        <v>7.1499999999999995</v>
      </c>
      <c r="K33" s="73">
        <v>6.75</v>
      </c>
      <c r="L33" s="73">
        <v>7.3000000000000007</v>
      </c>
      <c r="M33" s="73">
        <v>0</v>
      </c>
      <c r="N33" s="19"/>
      <c r="O33" s="12"/>
      <c r="P33" s="48" t="s">
        <v>48</v>
      </c>
    </row>
    <row r="34" spans="1:16" ht="24" customHeight="1" x14ac:dyDescent="0.25">
      <c r="A34" s="14">
        <f t="shared" si="0"/>
        <v>10</v>
      </c>
      <c r="B34" s="7">
        <v>0.47291666666666665</v>
      </c>
      <c r="C34" s="5" t="s">
        <v>132</v>
      </c>
      <c r="D34" s="29">
        <v>10</v>
      </c>
      <c r="E34" s="5">
        <v>5</v>
      </c>
      <c r="F34" s="15" t="s">
        <v>105</v>
      </c>
      <c r="G34" s="73">
        <v>4.75</v>
      </c>
      <c r="H34" s="73">
        <v>5.6</v>
      </c>
      <c r="I34" s="73">
        <v>5.35</v>
      </c>
      <c r="J34" s="73">
        <v>6.8</v>
      </c>
      <c r="K34" s="73">
        <v>7.4</v>
      </c>
      <c r="L34" s="73">
        <v>0</v>
      </c>
      <c r="M34" s="73">
        <v>0</v>
      </c>
      <c r="N34" s="19"/>
      <c r="O34" s="12"/>
      <c r="P34" s="48" t="s">
        <v>48</v>
      </c>
    </row>
    <row r="35" spans="1:16" ht="24" customHeight="1" x14ac:dyDescent="0.25">
      <c r="A35" s="14">
        <f t="shared" si="0"/>
        <v>11</v>
      </c>
      <c r="B35" s="7">
        <v>0.49027777777777781</v>
      </c>
      <c r="C35" s="5" t="s">
        <v>133</v>
      </c>
      <c r="D35" s="30">
        <v>10</v>
      </c>
      <c r="E35" s="5">
        <v>5</v>
      </c>
      <c r="F35" s="15" t="s">
        <v>134</v>
      </c>
      <c r="G35" s="73">
        <v>5.6</v>
      </c>
      <c r="H35" s="73">
        <v>11.9</v>
      </c>
      <c r="I35" s="73">
        <v>6.75</v>
      </c>
      <c r="J35" s="73">
        <v>7.1999999999999993</v>
      </c>
      <c r="K35" s="73">
        <v>6.95</v>
      </c>
      <c r="L35" s="73">
        <v>0</v>
      </c>
      <c r="M35" s="73">
        <v>0</v>
      </c>
      <c r="N35" s="19"/>
      <c r="O35" s="12"/>
      <c r="P35" s="48" t="s">
        <v>48</v>
      </c>
    </row>
    <row r="36" spans="1:16" ht="24" customHeight="1" x14ac:dyDescent="0.25">
      <c r="A36" s="14">
        <f t="shared" si="0"/>
        <v>12</v>
      </c>
      <c r="B36" s="7">
        <v>0.51388888888888895</v>
      </c>
      <c r="C36" s="5" t="s">
        <v>135</v>
      </c>
      <c r="D36" s="30">
        <v>10</v>
      </c>
      <c r="E36" s="5">
        <v>6</v>
      </c>
      <c r="F36" s="15" t="s">
        <v>33</v>
      </c>
      <c r="G36" s="73">
        <v>5.8</v>
      </c>
      <c r="H36" s="73">
        <v>7.8</v>
      </c>
      <c r="I36" s="73">
        <v>7.45</v>
      </c>
      <c r="J36" s="73">
        <v>8.0500000000000007</v>
      </c>
      <c r="K36" s="73">
        <v>7.75</v>
      </c>
      <c r="L36" s="73">
        <v>6.9</v>
      </c>
      <c r="M36" s="73">
        <v>0</v>
      </c>
      <c r="N36" s="19"/>
      <c r="O36" s="12"/>
      <c r="P36" s="48" t="s">
        <v>48</v>
      </c>
    </row>
    <row r="37" spans="1:16" ht="24" customHeight="1" x14ac:dyDescent="0.25">
      <c r="A37" s="14">
        <f t="shared" si="0"/>
        <v>13</v>
      </c>
      <c r="B37" s="7">
        <v>0.51527777777777783</v>
      </c>
      <c r="C37" s="5" t="s">
        <v>136</v>
      </c>
      <c r="D37" s="30">
        <v>10</v>
      </c>
      <c r="E37" s="5">
        <v>6</v>
      </c>
      <c r="F37" s="15" t="s">
        <v>65</v>
      </c>
      <c r="G37" s="73">
        <v>5.6</v>
      </c>
      <c r="H37" s="73">
        <v>8.1</v>
      </c>
      <c r="I37" s="73">
        <v>4.95</v>
      </c>
      <c r="J37" s="73">
        <v>8.0500000000000007</v>
      </c>
      <c r="K37" s="73">
        <v>7.15</v>
      </c>
      <c r="L37" s="73">
        <v>6.6999999999999993</v>
      </c>
      <c r="M37" s="73">
        <v>0</v>
      </c>
      <c r="N37" s="19"/>
      <c r="O37" s="12"/>
      <c r="P37" s="48" t="s">
        <v>48</v>
      </c>
    </row>
    <row r="38" spans="1:16" ht="24" customHeight="1" x14ac:dyDescent="0.25">
      <c r="A38" s="14">
        <f t="shared" si="0"/>
        <v>14</v>
      </c>
      <c r="B38" s="7">
        <v>0.55208333333333337</v>
      </c>
      <c r="C38" s="5" t="s">
        <v>55</v>
      </c>
      <c r="D38" s="30">
        <v>7</v>
      </c>
      <c r="E38" s="5">
        <v>2</v>
      </c>
      <c r="F38" s="15" t="s">
        <v>12</v>
      </c>
      <c r="G38" s="73">
        <v>5.0999999999999996</v>
      </c>
      <c r="H38" s="73">
        <v>10.95</v>
      </c>
      <c r="I38" s="73">
        <v>0</v>
      </c>
      <c r="J38" s="73">
        <v>0</v>
      </c>
      <c r="K38" s="73">
        <v>0</v>
      </c>
      <c r="L38" s="73">
        <v>0</v>
      </c>
      <c r="M38" s="73">
        <v>0</v>
      </c>
      <c r="N38" s="19"/>
      <c r="O38" s="12"/>
      <c r="P38" s="48" t="s">
        <v>48</v>
      </c>
    </row>
    <row r="39" spans="1:16" ht="24" customHeight="1" thickBot="1" x14ac:dyDescent="0.3">
      <c r="A39" s="65">
        <f t="shared" si="0"/>
        <v>15</v>
      </c>
      <c r="B39" s="41">
        <v>0.55555555555555558</v>
      </c>
      <c r="C39" s="42" t="s">
        <v>137</v>
      </c>
      <c r="D39" s="30">
        <v>10</v>
      </c>
      <c r="E39" s="42">
        <v>7</v>
      </c>
      <c r="F39" s="67" t="s">
        <v>47</v>
      </c>
      <c r="G39" s="73">
        <v>6</v>
      </c>
      <c r="H39" s="73">
        <v>5.2</v>
      </c>
      <c r="I39" s="73">
        <v>7.3</v>
      </c>
      <c r="J39" s="73">
        <v>6.85</v>
      </c>
      <c r="K39" s="73">
        <v>6.6</v>
      </c>
      <c r="L39" s="73">
        <v>6.25</v>
      </c>
      <c r="M39" s="73">
        <v>5.15</v>
      </c>
      <c r="N39" s="68"/>
      <c r="O39" s="69"/>
      <c r="P39" s="48" t="s">
        <v>48</v>
      </c>
    </row>
    <row r="40" spans="1:16" ht="24" customHeight="1" x14ac:dyDescent="0.25">
      <c r="A40" s="14"/>
      <c r="B40" s="37"/>
      <c r="C40" s="10"/>
      <c r="D40" s="30"/>
      <c r="E40" s="10"/>
      <c r="F40" s="15"/>
      <c r="G40" s="12"/>
      <c r="H40" s="12"/>
      <c r="I40" s="12"/>
      <c r="J40" s="12"/>
      <c r="K40" s="12"/>
      <c r="L40" s="12"/>
      <c r="M40" s="12"/>
      <c r="N40" s="19"/>
      <c r="O40" s="12"/>
      <c r="P40" s="11"/>
    </row>
    <row r="41" spans="1:16" ht="24" customHeight="1" x14ac:dyDescent="0.25">
      <c r="A41" s="14"/>
      <c r="B41" s="7"/>
      <c r="C41" s="5"/>
      <c r="D41" s="30"/>
      <c r="E41" s="5"/>
      <c r="F41" s="15"/>
      <c r="G41" s="13"/>
      <c r="H41" s="13"/>
      <c r="I41" s="13"/>
      <c r="J41" s="13"/>
      <c r="K41" s="13"/>
      <c r="L41" s="13"/>
      <c r="M41" s="13"/>
      <c r="N41" s="19"/>
      <c r="O41" s="12"/>
      <c r="P41" s="6"/>
    </row>
    <row r="42" spans="1:16" ht="24" customHeight="1" x14ac:dyDescent="0.25">
      <c r="A42" s="14"/>
      <c r="B42" s="25"/>
      <c r="C42" s="5"/>
      <c r="D42" s="30"/>
      <c r="E42" s="5"/>
      <c r="F42" s="15"/>
      <c r="G42" s="13"/>
      <c r="H42" s="13"/>
      <c r="I42" s="13"/>
      <c r="J42" s="13"/>
      <c r="K42" s="13"/>
      <c r="L42" s="13"/>
      <c r="M42" s="13"/>
      <c r="N42" s="19"/>
      <c r="O42" s="12"/>
      <c r="P42" s="6"/>
    </row>
    <row r="43" spans="1:16" ht="24" customHeight="1" x14ac:dyDescent="0.25">
      <c r="A43" s="14"/>
      <c r="B43" s="7"/>
      <c r="C43" s="5"/>
      <c r="D43" s="30"/>
      <c r="E43" s="5"/>
      <c r="F43" s="15"/>
      <c r="G43" s="13"/>
      <c r="H43" s="13"/>
      <c r="I43" s="13"/>
      <c r="J43" s="13"/>
      <c r="K43" s="13"/>
      <c r="L43" s="13"/>
      <c r="M43" s="13"/>
      <c r="N43" s="19"/>
      <c r="O43" s="12"/>
      <c r="P43" s="6"/>
    </row>
    <row r="44" spans="1:16" ht="24" customHeight="1" x14ac:dyDescent="0.25">
      <c r="A44" s="14"/>
      <c r="B44" s="7"/>
      <c r="C44" s="5"/>
      <c r="D44" s="30"/>
      <c r="E44" s="5"/>
      <c r="F44" s="15"/>
      <c r="G44" s="13"/>
      <c r="H44" s="13"/>
      <c r="I44" s="13"/>
      <c r="J44" s="13"/>
      <c r="K44" s="13"/>
      <c r="L44" s="13"/>
      <c r="M44" s="13"/>
      <c r="N44" s="19"/>
      <c r="O44" s="12"/>
      <c r="P44" s="6"/>
    </row>
    <row r="45" spans="1:16" ht="24" customHeight="1" x14ac:dyDescent="0.25">
      <c r="A45" s="14"/>
      <c r="B45" s="7"/>
      <c r="C45" s="5"/>
      <c r="D45" s="30"/>
      <c r="E45" s="5"/>
      <c r="F45" s="15"/>
      <c r="G45" s="13"/>
      <c r="H45" s="13"/>
      <c r="I45" s="13"/>
      <c r="J45" s="13"/>
      <c r="K45" s="13"/>
      <c r="L45" s="13"/>
      <c r="M45" s="13"/>
      <c r="N45" s="19"/>
      <c r="O45" s="12"/>
      <c r="P45" s="6"/>
    </row>
    <row r="46" spans="1:16" ht="24" customHeight="1" x14ac:dyDescent="0.25">
      <c r="A46" s="14"/>
      <c r="B46" s="7"/>
      <c r="C46" s="5"/>
      <c r="D46" s="30"/>
      <c r="E46" s="5"/>
      <c r="F46" s="15"/>
      <c r="G46" s="13"/>
      <c r="H46" s="13"/>
      <c r="I46" s="13"/>
      <c r="J46" s="13"/>
      <c r="K46" s="13"/>
      <c r="L46" s="13"/>
      <c r="M46" s="13"/>
      <c r="N46" s="19"/>
      <c r="O46" s="12"/>
      <c r="P46" s="6"/>
    </row>
    <row r="47" spans="1:16" ht="24" customHeight="1" x14ac:dyDescent="0.25">
      <c r="A47" s="14"/>
      <c r="B47" s="7"/>
      <c r="C47" s="5"/>
      <c r="D47" s="30"/>
      <c r="E47" s="5"/>
      <c r="F47" s="15"/>
      <c r="G47" s="13"/>
      <c r="H47" s="13"/>
      <c r="I47" s="13"/>
      <c r="J47" s="13"/>
      <c r="K47" s="13"/>
      <c r="L47" s="13"/>
      <c r="M47" s="13"/>
      <c r="N47" s="19"/>
      <c r="O47" s="12"/>
      <c r="P47" s="6"/>
    </row>
    <row r="48" spans="1:16" ht="24" customHeight="1" x14ac:dyDescent="0.25">
      <c r="A48" s="14"/>
      <c r="B48" s="7"/>
      <c r="C48" s="5"/>
      <c r="D48" s="30"/>
      <c r="E48" s="5"/>
      <c r="F48" s="15"/>
      <c r="G48" s="13"/>
      <c r="H48" s="13"/>
      <c r="I48" s="13"/>
      <c r="J48" s="13"/>
      <c r="K48" s="13"/>
      <c r="L48" s="13"/>
      <c r="M48" s="13"/>
      <c r="N48" s="19"/>
      <c r="O48" s="12"/>
      <c r="P48" s="6"/>
    </row>
    <row r="49" spans="1:16" ht="24" customHeight="1" x14ac:dyDescent="0.25">
      <c r="A49" s="14"/>
      <c r="B49" s="7"/>
      <c r="C49" s="5"/>
      <c r="D49" s="30"/>
      <c r="E49" s="5"/>
      <c r="F49" s="15"/>
      <c r="G49" s="13"/>
      <c r="H49" s="13"/>
      <c r="I49" s="13"/>
      <c r="J49" s="13"/>
      <c r="K49" s="13"/>
      <c r="L49" s="13"/>
      <c r="M49" s="13"/>
      <c r="N49" s="19"/>
      <c r="O49" s="12"/>
      <c r="P49" s="6"/>
    </row>
    <row r="50" spans="1:16" ht="24" customHeight="1" x14ac:dyDescent="0.25">
      <c r="A50" s="14"/>
      <c r="B50" s="7"/>
      <c r="C50" s="5"/>
      <c r="D50" s="29"/>
      <c r="E50" s="5"/>
      <c r="F50" s="10"/>
      <c r="G50" s="13"/>
      <c r="H50" s="13"/>
      <c r="I50" s="13"/>
      <c r="J50" s="13"/>
      <c r="K50" s="13"/>
      <c r="L50" s="13"/>
      <c r="M50" s="13"/>
      <c r="N50" s="19"/>
      <c r="O50" s="12"/>
      <c r="P50" s="6"/>
    </row>
    <row r="51" spans="1:16" ht="24" customHeight="1" x14ac:dyDescent="0.25">
      <c r="A51" s="14"/>
      <c r="B51" s="7"/>
      <c r="C51" s="5"/>
      <c r="D51" s="30"/>
      <c r="E51" s="5"/>
      <c r="F51" s="15"/>
      <c r="G51" s="13"/>
      <c r="H51" s="13"/>
      <c r="I51" s="13"/>
      <c r="J51" s="13"/>
      <c r="K51" s="13"/>
      <c r="L51" s="13"/>
      <c r="M51" s="13"/>
      <c r="N51" s="19"/>
      <c r="O51" s="12"/>
      <c r="P51" s="6"/>
    </row>
    <row r="52" spans="1:16" ht="24" customHeight="1" x14ac:dyDescent="0.25">
      <c r="A52" s="14"/>
      <c r="B52" s="7"/>
      <c r="C52" s="5"/>
      <c r="D52" s="30"/>
      <c r="E52" s="5"/>
      <c r="F52" s="15"/>
      <c r="G52" s="13"/>
      <c r="H52" s="13"/>
      <c r="I52" s="13"/>
      <c r="J52" s="13"/>
      <c r="K52" s="13"/>
      <c r="L52" s="13"/>
      <c r="M52" s="13"/>
      <c r="N52" s="19"/>
      <c r="O52" s="12"/>
      <c r="P52" s="6"/>
    </row>
    <row r="53" spans="1:16" ht="24" customHeight="1" x14ac:dyDescent="0.25">
      <c r="A53" s="14"/>
      <c r="B53" s="7"/>
      <c r="C53" s="5"/>
      <c r="D53" s="30"/>
      <c r="E53" s="5"/>
      <c r="F53" s="15"/>
      <c r="G53" s="13"/>
      <c r="H53" s="13"/>
      <c r="I53" s="13"/>
      <c r="J53" s="13"/>
      <c r="K53" s="13"/>
      <c r="L53" s="13"/>
      <c r="M53" s="13"/>
      <c r="N53" s="19"/>
      <c r="O53" s="12"/>
      <c r="P53" s="6"/>
    </row>
    <row r="54" spans="1:16" ht="24" customHeight="1" x14ac:dyDescent="0.25">
      <c r="A54" s="14"/>
      <c r="B54" s="7"/>
      <c r="C54" s="5"/>
      <c r="D54" s="30"/>
      <c r="E54" s="5"/>
      <c r="F54" s="15"/>
      <c r="G54" s="13"/>
      <c r="H54" s="13"/>
      <c r="I54" s="13"/>
      <c r="J54" s="13"/>
      <c r="K54" s="13"/>
      <c r="L54" s="13"/>
      <c r="M54" s="13"/>
      <c r="N54" s="19"/>
      <c r="O54" s="12"/>
      <c r="P54" s="6"/>
    </row>
    <row r="55" spans="1:16" ht="24" customHeight="1" x14ac:dyDescent="0.25">
      <c r="A55" s="14"/>
      <c r="B55" s="7"/>
      <c r="C55" s="5"/>
      <c r="D55" s="30"/>
      <c r="E55" s="5"/>
      <c r="F55" s="15"/>
      <c r="G55" s="13"/>
      <c r="H55" s="13"/>
      <c r="I55" s="13"/>
      <c r="J55" s="13"/>
      <c r="K55" s="13"/>
      <c r="L55" s="13"/>
      <c r="M55" s="13"/>
      <c r="N55" s="19"/>
      <c r="O55" s="12"/>
      <c r="P55" s="6"/>
    </row>
    <row r="56" spans="1:16" ht="24" customHeight="1" x14ac:dyDescent="0.25">
      <c r="A56" s="14"/>
      <c r="B56" s="7"/>
      <c r="C56" s="5"/>
      <c r="D56" s="30"/>
      <c r="E56" s="5"/>
      <c r="F56" s="15"/>
      <c r="G56" s="13"/>
      <c r="H56" s="13"/>
      <c r="I56" s="13"/>
      <c r="J56" s="13"/>
      <c r="K56" s="13"/>
      <c r="L56" s="13"/>
      <c r="M56" s="13"/>
      <c r="N56" s="19"/>
      <c r="O56" s="12"/>
      <c r="P56" s="6"/>
    </row>
    <row r="57" spans="1:16" ht="24" customHeight="1" x14ac:dyDescent="0.25">
      <c r="A57" s="14"/>
      <c r="B57" s="7"/>
      <c r="C57" s="5"/>
      <c r="D57" s="30"/>
      <c r="E57" s="5"/>
      <c r="F57" s="15"/>
      <c r="G57" s="13"/>
      <c r="H57" s="13"/>
      <c r="I57" s="13"/>
      <c r="J57" s="13"/>
      <c r="K57" s="13"/>
      <c r="L57" s="13"/>
      <c r="M57" s="13"/>
      <c r="N57" s="19"/>
      <c r="O57" s="12"/>
      <c r="P57" s="6"/>
    </row>
    <row r="58" spans="1:16" ht="24" customHeight="1" x14ac:dyDescent="0.25">
      <c r="A58" s="14"/>
      <c r="B58" s="7"/>
      <c r="C58" s="5"/>
      <c r="D58" s="30"/>
      <c r="E58" s="5"/>
      <c r="F58" s="15"/>
      <c r="G58" s="13"/>
      <c r="H58" s="13"/>
      <c r="I58" s="13"/>
      <c r="J58" s="13"/>
      <c r="K58" s="13"/>
      <c r="L58" s="13"/>
      <c r="M58" s="13"/>
      <c r="N58" s="19"/>
      <c r="O58" s="12"/>
      <c r="P58" s="6"/>
    </row>
    <row r="59" spans="1:16" ht="24" customHeight="1" x14ac:dyDescent="0.25">
      <c r="A59" s="14"/>
      <c r="B59" s="7"/>
      <c r="C59" s="5"/>
      <c r="D59" s="30"/>
      <c r="E59" s="5"/>
      <c r="F59" s="15"/>
      <c r="G59" s="13"/>
      <c r="H59" s="13"/>
      <c r="I59" s="13"/>
      <c r="J59" s="13"/>
      <c r="K59" s="13"/>
      <c r="L59" s="13"/>
      <c r="M59" s="13"/>
      <c r="N59" s="19"/>
      <c r="O59" s="12"/>
      <c r="P59" s="6"/>
    </row>
    <row r="60" spans="1:16" ht="24" customHeight="1" x14ac:dyDescent="0.25">
      <c r="A60" s="14"/>
      <c r="B60" s="7"/>
      <c r="C60" s="5"/>
      <c r="D60" s="30"/>
      <c r="E60" s="5"/>
      <c r="F60" s="15"/>
      <c r="G60" s="13"/>
      <c r="H60" s="13"/>
      <c r="I60" s="13"/>
      <c r="J60" s="13"/>
      <c r="K60" s="13"/>
      <c r="L60" s="13"/>
      <c r="M60" s="13"/>
      <c r="N60" s="19"/>
      <c r="O60" s="12"/>
      <c r="P60" s="6"/>
    </row>
    <row r="61" spans="1:16" ht="24" customHeight="1" x14ac:dyDescent="0.25">
      <c r="A61" s="14"/>
      <c r="B61" s="7"/>
      <c r="C61" s="5"/>
      <c r="D61" s="29"/>
      <c r="E61" s="5"/>
      <c r="F61" s="15"/>
      <c r="G61" s="13"/>
      <c r="H61" s="13"/>
      <c r="I61" s="13"/>
      <c r="J61" s="13"/>
      <c r="K61" s="13"/>
      <c r="L61" s="13"/>
      <c r="M61" s="13"/>
      <c r="N61" s="19"/>
      <c r="O61" s="12"/>
      <c r="P61" s="6"/>
    </row>
    <row r="62" spans="1:16" ht="24" customHeight="1" x14ac:dyDescent="0.25">
      <c r="A62" s="14"/>
      <c r="B62" s="7"/>
      <c r="C62" s="7"/>
      <c r="D62" s="29"/>
      <c r="E62" s="5"/>
      <c r="F62" s="15"/>
      <c r="G62" s="13"/>
      <c r="H62" s="13"/>
      <c r="I62" s="13"/>
      <c r="J62" s="13"/>
      <c r="K62" s="13"/>
      <c r="L62" s="13"/>
      <c r="M62" s="13"/>
      <c r="N62" s="19"/>
      <c r="O62" s="12"/>
      <c r="P62" s="6"/>
    </row>
    <row r="63" spans="1:16" ht="24" customHeight="1" x14ac:dyDescent="0.25">
      <c r="A63" s="14"/>
      <c r="B63" s="7"/>
      <c r="C63" s="5"/>
      <c r="D63" s="29"/>
      <c r="E63" s="5"/>
      <c r="F63" s="15"/>
      <c r="G63" s="13"/>
      <c r="H63" s="13"/>
      <c r="I63" s="13"/>
      <c r="J63" s="13"/>
      <c r="K63" s="13"/>
      <c r="L63" s="13"/>
      <c r="M63" s="13"/>
      <c r="N63" s="19"/>
      <c r="O63" s="12"/>
      <c r="P63" s="6"/>
    </row>
    <row r="64" spans="1:16" ht="24" customHeight="1" x14ac:dyDescent="0.25">
      <c r="A64" s="14"/>
      <c r="B64" s="7"/>
      <c r="C64" s="5"/>
      <c r="D64" s="29"/>
      <c r="E64" s="5"/>
      <c r="F64" s="15"/>
      <c r="G64" s="13"/>
      <c r="H64" s="13"/>
      <c r="I64" s="13"/>
      <c r="J64" s="13"/>
      <c r="K64" s="13"/>
      <c r="L64" s="13"/>
      <c r="M64" s="13"/>
      <c r="N64" s="19"/>
      <c r="O64" s="12"/>
      <c r="P64" s="6"/>
    </row>
    <row r="65" spans="1:16" ht="24" customHeight="1" x14ac:dyDescent="0.25">
      <c r="A65" s="14"/>
      <c r="B65" s="7"/>
      <c r="C65" s="5"/>
      <c r="D65" s="29"/>
      <c r="E65" s="5"/>
      <c r="F65" s="15"/>
      <c r="G65" s="13"/>
      <c r="H65" s="13"/>
      <c r="I65" s="13"/>
      <c r="J65" s="13"/>
      <c r="K65" s="13"/>
      <c r="L65" s="13"/>
      <c r="M65" s="13"/>
      <c r="N65" s="19"/>
      <c r="O65" s="12"/>
      <c r="P65" s="6"/>
    </row>
    <row r="66" spans="1:16" ht="24" customHeight="1" x14ac:dyDescent="0.25">
      <c r="A66" s="14"/>
      <c r="B66" s="7"/>
      <c r="C66" s="5"/>
      <c r="D66" s="29"/>
      <c r="E66" s="5"/>
      <c r="F66" s="15"/>
      <c r="G66" s="13"/>
      <c r="H66" s="13"/>
      <c r="I66" s="13"/>
      <c r="J66" s="13"/>
      <c r="K66" s="13"/>
      <c r="L66" s="13"/>
      <c r="M66" s="13"/>
      <c r="N66" s="19"/>
      <c r="O66" s="12"/>
      <c r="P66" s="6"/>
    </row>
    <row r="67" spans="1:16" ht="24" customHeight="1" x14ac:dyDescent="0.25">
      <c r="A67" s="14"/>
      <c r="B67" s="7"/>
      <c r="C67" s="5"/>
      <c r="D67" s="29"/>
      <c r="E67" s="5"/>
      <c r="F67" s="15"/>
      <c r="G67" s="13"/>
      <c r="H67" s="13"/>
      <c r="I67" s="13"/>
      <c r="J67" s="13"/>
      <c r="K67" s="13"/>
      <c r="L67" s="13"/>
      <c r="M67" s="13"/>
      <c r="N67" s="19"/>
      <c r="O67" s="12"/>
      <c r="P67" s="6"/>
    </row>
    <row r="68" spans="1:16" ht="24" customHeight="1" x14ac:dyDescent="0.25">
      <c r="A68" s="14"/>
      <c r="B68" s="7"/>
      <c r="C68" s="5"/>
      <c r="D68" s="29"/>
      <c r="E68" s="5"/>
      <c r="F68" s="5"/>
      <c r="G68" s="13"/>
      <c r="H68" s="13"/>
      <c r="I68" s="13"/>
      <c r="J68" s="13"/>
      <c r="K68" s="13"/>
      <c r="L68" s="13"/>
      <c r="M68" s="13"/>
      <c r="N68" s="19"/>
      <c r="O68" s="12"/>
      <c r="P68" s="6"/>
    </row>
    <row r="69" spans="1:16" ht="24" customHeight="1" x14ac:dyDescent="0.25">
      <c r="A69" s="14"/>
      <c r="B69" s="7"/>
      <c r="C69" s="5"/>
      <c r="D69" s="29"/>
      <c r="E69" s="5"/>
      <c r="F69" s="15"/>
      <c r="G69" s="13"/>
      <c r="H69" s="13"/>
      <c r="I69" s="13"/>
      <c r="J69" s="13"/>
      <c r="K69" s="13"/>
      <c r="L69" s="13"/>
      <c r="M69" s="13"/>
      <c r="N69" s="12"/>
      <c r="O69" s="12"/>
      <c r="P69" s="6"/>
    </row>
    <row r="70" spans="1:16" ht="24" customHeight="1" x14ac:dyDescent="0.25">
      <c r="A70" s="14"/>
      <c r="B70" s="7"/>
      <c r="C70" s="5"/>
      <c r="D70" s="29"/>
      <c r="E70" s="5"/>
      <c r="F70" s="15"/>
      <c r="G70" s="13"/>
      <c r="H70" s="13"/>
      <c r="I70" s="13"/>
      <c r="J70" s="13"/>
      <c r="K70" s="13"/>
      <c r="L70" s="13"/>
      <c r="M70" s="13"/>
      <c r="N70" s="12"/>
      <c r="O70" s="12"/>
      <c r="P70" s="6"/>
    </row>
    <row r="71" spans="1:16" ht="24" customHeight="1" x14ac:dyDescent="0.25">
      <c r="A71" s="14"/>
      <c r="B71" s="7"/>
      <c r="C71" s="5"/>
      <c r="D71" s="29"/>
      <c r="E71" s="5"/>
      <c r="F71" s="15"/>
      <c r="G71" s="13"/>
      <c r="H71" s="13"/>
      <c r="I71" s="13"/>
      <c r="J71" s="13"/>
      <c r="K71" s="13"/>
      <c r="L71" s="13"/>
      <c r="M71" s="13"/>
      <c r="N71" s="12"/>
      <c r="O71" s="12"/>
      <c r="P71" s="6"/>
    </row>
    <row r="72" spans="1:16" ht="24" customHeight="1" x14ac:dyDescent="0.25">
      <c r="A72" s="14"/>
      <c r="B72" s="7"/>
      <c r="C72" s="5"/>
      <c r="D72" s="29"/>
      <c r="E72" s="5"/>
      <c r="F72" s="5"/>
      <c r="G72" s="13"/>
      <c r="H72" s="13"/>
      <c r="I72" s="13"/>
      <c r="J72" s="13"/>
      <c r="K72" s="13"/>
      <c r="L72" s="13"/>
      <c r="M72" s="13"/>
      <c r="N72" s="12"/>
      <c r="O72" s="12"/>
      <c r="P72" s="6"/>
    </row>
    <row r="73" spans="1:16" ht="24" customHeight="1" x14ac:dyDescent="0.25">
      <c r="A73" s="14"/>
      <c r="B73" s="7"/>
      <c r="C73" s="5"/>
      <c r="D73" s="29"/>
      <c r="E73" s="5"/>
      <c r="F73" s="5"/>
      <c r="G73" s="13"/>
      <c r="H73" s="13"/>
      <c r="I73" s="13"/>
      <c r="J73" s="13"/>
      <c r="K73" s="13"/>
      <c r="L73" s="13"/>
      <c r="M73" s="13"/>
      <c r="N73" s="12"/>
      <c r="O73" s="12"/>
      <c r="P73" s="6"/>
    </row>
    <row r="74" spans="1:16" ht="24" customHeight="1" x14ac:dyDescent="0.25">
      <c r="A74" s="14"/>
      <c r="B74" s="7"/>
      <c r="C74" s="5"/>
      <c r="D74" s="29"/>
      <c r="E74" s="5"/>
      <c r="F74" s="15"/>
      <c r="G74" s="13"/>
      <c r="H74" s="13"/>
      <c r="I74" s="13"/>
      <c r="J74" s="13"/>
      <c r="K74" s="13"/>
      <c r="L74" s="13"/>
      <c r="M74" s="13"/>
      <c r="N74" s="12"/>
      <c r="O74" s="12"/>
      <c r="P74" s="6"/>
    </row>
    <row r="75" spans="1:16" ht="24" customHeight="1" x14ac:dyDescent="0.25">
      <c r="A75" s="14"/>
      <c r="B75" s="7"/>
      <c r="C75" s="5"/>
      <c r="D75" s="29"/>
      <c r="E75" s="5"/>
      <c r="F75" s="15"/>
      <c r="G75" s="13"/>
      <c r="H75" s="13"/>
      <c r="I75" s="13"/>
      <c r="J75" s="13"/>
      <c r="K75" s="13"/>
      <c r="L75" s="13"/>
      <c r="M75" s="13"/>
      <c r="N75" s="12"/>
      <c r="O75" s="12"/>
      <c r="P75" s="6"/>
    </row>
    <row r="76" spans="1:16" ht="24" customHeight="1" x14ac:dyDescent="0.25">
      <c r="A76" s="8"/>
      <c r="B76" s="7"/>
      <c r="C76" s="5"/>
      <c r="D76" s="29"/>
      <c r="E76" s="5"/>
      <c r="F76" s="5"/>
      <c r="G76" s="13"/>
      <c r="H76" s="13"/>
      <c r="I76" s="13"/>
      <c r="J76" s="13"/>
      <c r="K76" s="13"/>
      <c r="L76" s="13"/>
      <c r="M76" s="13"/>
      <c r="N76" s="12"/>
      <c r="O76" s="12"/>
      <c r="P76" s="6"/>
    </row>
    <row r="77" spans="1:16" ht="24" customHeight="1" x14ac:dyDescent="0.25">
      <c r="A77" s="8"/>
      <c r="B77" s="7"/>
      <c r="C77" s="5"/>
      <c r="D77" s="29"/>
      <c r="E77" s="5"/>
      <c r="F77" s="5"/>
      <c r="G77" s="13"/>
      <c r="H77" s="13"/>
      <c r="I77" s="13"/>
      <c r="J77" s="13"/>
      <c r="K77" s="13"/>
      <c r="L77" s="13"/>
      <c r="M77" s="13"/>
      <c r="N77" s="12"/>
      <c r="O77" s="12"/>
      <c r="P77" s="6"/>
    </row>
    <row r="78" spans="1:16" ht="24" customHeight="1" x14ac:dyDescent="0.25">
      <c r="A78" s="8"/>
      <c r="B78" s="7"/>
      <c r="C78" s="5"/>
      <c r="D78" s="29"/>
      <c r="E78" s="5"/>
      <c r="F78" s="5"/>
      <c r="G78" s="13"/>
      <c r="H78" s="13"/>
      <c r="I78" s="13"/>
      <c r="J78" s="13"/>
      <c r="K78" s="13"/>
      <c r="L78" s="13"/>
      <c r="M78" s="13"/>
      <c r="N78" s="12"/>
      <c r="O78" s="12"/>
      <c r="P78" s="6"/>
    </row>
    <row r="79" spans="1:16" ht="24" customHeight="1" x14ac:dyDescent="0.25">
      <c r="A79" s="8"/>
      <c r="B79" s="7"/>
      <c r="C79" s="5"/>
      <c r="D79" s="29"/>
      <c r="E79" s="5"/>
      <c r="F79" s="5"/>
      <c r="G79" s="13"/>
      <c r="H79" s="13"/>
      <c r="I79" s="13"/>
      <c r="J79" s="13"/>
      <c r="K79" s="13"/>
      <c r="L79" s="13"/>
      <c r="M79" s="13"/>
      <c r="N79" s="12"/>
      <c r="O79" s="12"/>
      <c r="P79" s="6"/>
    </row>
    <row r="80" spans="1:16" ht="24" customHeight="1" x14ac:dyDescent="0.25">
      <c r="A80" s="8"/>
      <c r="B80" s="7"/>
      <c r="C80" s="5"/>
      <c r="D80" s="29"/>
      <c r="E80" s="5"/>
      <c r="F80" s="5"/>
      <c r="G80" s="13"/>
      <c r="H80" s="13"/>
      <c r="I80" s="13"/>
      <c r="J80" s="13"/>
      <c r="K80" s="13"/>
      <c r="L80" s="13"/>
      <c r="M80" s="13"/>
      <c r="N80" s="12"/>
      <c r="O80" s="12"/>
      <c r="P80" s="6"/>
    </row>
    <row r="81" spans="1:16" ht="24" customHeight="1" x14ac:dyDescent="0.25">
      <c r="A81" s="8"/>
      <c r="B81" s="7"/>
      <c r="C81" s="5"/>
      <c r="D81" s="29"/>
      <c r="E81" s="5"/>
      <c r="F81" s="5"/>
      <c r="G81" s="13"/>
      <c r="H81" s="13"/>
      <c r="I81" s="13"/>
      <c r="J81" s="13"/>
      <c r="K81" s="13"/>
      <c r="L81" s="13"/>
      <c r="M81" s="13"/>
      <c r="N81" s="12"/>
      <c r="O81" s="12"/>
      <c r="P81" s="6"/>
    </row>
    <row r="82" spans="1:16" ht="24" customHeight="1" x14ac:dyDescent="0.25">
      <c r="A82" s="8"/>
      <c r="B82" s="7"/>
      <c r="C82" s="5"/>
      <c r="D82" s="29"/>
      <c r="E82" s="5"/>
      <c r="F82" s="5"/>
      <c r="G82" s="13"/>
      <c r="H82" s="13"/>
      <c r="I82" s="13"/>
      <c r="J82" s="13"/>
      <c r="K82" s="13"/>
      <c r="L82" s="13"/>
      <c r="M82" s="13"/>
      <c r="N82" s="12"/>
      <c r="O82" s="12"/>
      <c r="P82" s="6"/>
    </row>
    <row r="83" spans="1:16" ht="24" customHeight="1" x14ac:dyDescent="0.25">
      <c r="A83" s="8"/>
      <c r="B83" s="7"/>
      <c r="C83" s="5"/>
      <c r="D83" s="29"/>
      <c r="E83" s="5"/>
      <c r="F83" s="5"/>
      <c r="G83" s="13"/>
      <c r="H83" s="13"/>
      <c r="I83" s="13"/>
      <c r="J83" s="13"/>
      <c r="K83" s="13"/>
      <c r="L83" s="13"/>
      <c r="M83" s="13"/>
      <c r="N83" s="12"/>
      <c r="O83" s="12"/>
      <c r="P83" s="6"/>
    </row>
    <row r="84" spans="1:16" ht="24" customHeight="1" x14ac:dyDescent="0.25">
      <c r="A84" s="8"/>
      <c r="B84" s="7"/>
      <c r="C84" s="5"/>
      <c r="D84" s="29"/>
      <c r="E84" s="5"/>
      <c r="F84" s="5"/>
      <c r="G84" s="13"/>
      <c r="H84" s="13"/>
      <c r="I84" s="13"/>
      <c r="J84" s="13"/>
      <c r="K84" s="13"/>
      <c r="L84" s="13"/>
      <c r="M84" s="13"/>
      <c r="N84" s="12"/>
      <c r="O84" s="12"/>
      <c r="P84" s="6"/>
    </row>
    <row r="85" spans="1:16" ht="24" customHeight="1" x14ac:dyDescent="0.25">
      <c r="A85" s="8"/>
      <c r="B85" s="7"/>
      <c r="C85" s="5"/>
      <c r="D85" s="29"/>
      <c r="E85" s="5"/>
      <c r="F85" s="5"/>
      <c r="G85" s="13"/>
      <c r="H85" s="13"/>
      <c r="I85" s="13"/>
      <c r="J85" s="13"/>
      <c r="K85" s="13"/>
      <c r="L85" s="13"/>
      <c r="M85" s="13"/>
      <c r="N85" s="12"/>
      <c r="O85" s="12"/>
      <c r="P85" s="6"/>
    </row>
    <row r="86" spans="1:16" ht="24" customHeight="1" x14ac:dyDescent="0.25">
      <c r="A86" s="8"/>
      <c r="B86" s="7"/>
      <c r="C86" s="5"/>
      <c r="D86" s="29"/>
      <c r="E86" s="5"/>
      <c r="F86" s="5"/>
      <c r="G86" s="13"/>
      <c r="H86" s="13"/>
      <c r="I86" s="13"/>
      <c r="J86" s="13"/>
      <c r="K86" s="13"/>
      <c r="L86" s="13"/>
      <c r="M86" s="13"/>
      <c r="N86" s="12"/>
      <c r="O86" s="12"/>
      <c r="P86" s="6"/>
    </row>
    <row r="87" spans="1:16" ht="24" customHeight="1" x14ac:dyDescent="0.25">
      <c r="A87" s="8"/>
      <c r="B87" s="7"/>
      <c r="C87" s="5"/>
      <c r="D87" s="29"/>
      <c r="E87" s="5"/>
      <c r="F87" s="5"/>
      <c r="G87" s="13"/>
      <c r="H87" s="13"/>
      <c r="I87" s="13"/>
      <c r="J87" s="13"/>
      <c r="K87" s="13"/>
      <c r="L87" s="13"/>
      <c r="M87" s="13"/>
      <c r="N87" s="12"/>
      <c r="O87" s="12"/>
      <c r="P87" s="6"/>
    </row>
    <row r="88" spans="1:16" ht="24" customHeight="1" x14ac:dyDescent="0.25">
      <c r="A88" s="8"/>
      <c r="B88" s="7"/>
      <c r="C88" s="5"/>
      <c r="D88" s="29"/>
      <c r="E88" s="5"/>
      <c r="F88" s="5"/>
      <c r="G88" s="13"/>
      <c r="H88" s="13"/>
      <c r="I88" s="13"/>
      <c r="J88" s="13"/>
      <c r="K88" s="13"/>
      <c r="L88" s="13"/>
      <c r="M88" s="13"/>
      <c r="N88" s="12"/>
      <c r="O88" s="12"/>
      <c r="P88" s="6"/>
    </row>
    <row r="89" spans="1:16" ht="24" customHeight="1" x14ac:dyDescent="0.25">
      <c r="A89" s="8"/>
      <c r="B89" s="7"/>
      <c r="C89" s="5"/>
      <c r="D89" s="29"/>
      <c r="E89" s="5"/>
      <c r="F89" s="5"/>
      <c r="G89" s="13"/>
      <c r="H89" s="13"/>
      <c r="I89" s="13"/>
      <c r="J89" s="13"/>
      <c r="K89" s="13"/>
      <c r="L89" s="13"/>
      <c r="M89" s="13"/>
      <c r="N89" s="12"/>
      <c r="O89" s="12"/>
      <c r="P89" s="6"/>
    </row>
    <row r="90" spans="1:16" ht="24" customHeight="1" x14ac:dyDescent="0.25">
      <c r="A90" s="8"/>
      <c r="B90" s="7"/>
      <c r="C90" s="5"/>
      <c r="D90" s="29"/>
      <c r="E90" s="5"/>
      <c r="F90" s="5"/>
      <c r="G90" s="13"/>
      <c r="H90" s="13"/>
      <c r="I90" s="13"/>
      <c r="J90" s="13"/>
      <c r="K90" s="13"/>
      <c r="L90" s="13"/>
      <c r="M90" s="13"/>
      <c r="N90" s="12"/>
      <c r="O90" s="12"/>
      <c r="P90" s="6"/>
    </row>
    <row r="91" spans="1:16" ht="24" customHeight="1" x14ac:dyDescent="0.25">
      <c r="A91" s="8"/>
      <c r="B91" s="7"/>
      <c r="C91" s="5"/>
      <c r="D91" s="29"/>
      <c r="E91" s="5"/>
      <c r="F91" s="5"/>
      <c r="G91" s="13"/>
      <c r="H91" s="13"/>
      <c r="I91" s="13"/>
      <c r="J91" s="13"/>
      <c r="K91" s="13"/>
      <c r="L91" s="13"/>
      <c r="M91" s="13"/>
      <c r="N91" s="12"/>
      <c r="O91" s="12"/>
      <c r="P91" s="6"/>
    </row>
    <row r="92" spans="1:16" ht="24" customHeight="1" x14ac:dyDescent="0.25">
      <c r="A92" s="8"/>
      <c r="B92" s="7"/>
      <c r="C92" s="5"/>
      <c r="D92" s="29"/>
      <c r="E92" s="5"/>
      <c r="F92" s="5"/>
      <c r="G92" s="13"/>
      <c r="H92" s="13"/>
      <c r="I92" s="13"/>
      <c r="J92" s="13"/>
      <c r="K92" s="13"/>
      <c r="L92" s="13"/>
      <c r="M92" s="13"/>
      <c r="N92" s="12"/>
      <c r="O92" s="12"/>
      <c r="P92" s="6"/>
    </row>
    <row r="93" spans="1:16" ht="24" customHeight="1" x14ac:dyDescent="0.25">
      <c r="A93" s="8"/>
      <c r="B93" s="7"/>
      <c r="C93" s="5"/>
      <c r="D93" s="29"/>
      <c r="E93" s="5"/>
      <c r="F93" s="5"/>
      <c r="G93" s="13"/>
      <c r="H93" s="13"/>
      <c r="I93" s="13"/>
      <c r="J93" s="13"/>
      <c r="K93" s="13"/>
      <c r="L93" s="13"/>
      <c r="M93" s="13"/>
      <c r="N93" s="12"/>
      <c r="O93" s="12"/>
      <c r="P93" s="6"/>
    </row>
    <row r="94" spans="1:16" ht="24" customHeight="1" x14ac:dyDescent="0.25">
      <c r="A94" s="8"/>
      <c r="B94" s="7"/>
      <c r="C94" s="5"/>
      <c r="D94" s="29"/>
      <c r="E94" s="5"/>
      <c r="F94" s="5"/>
      <c r="G94" s="13"/>
      <c r="H94" s="13"/>
      <c r="I94" s="13"/>
      <c r="J94" s="13"/>
      <c r="K94" s="13"/>
      <c r="L94" s="13"/>
      <c r="M94" s="13"/>
      <c r="N94" s="12"/>
      <c r="O94" s="12"/>
      <c r="P94" s="6"/>
    </row>
    <row r="95" spans="1:16" ht="24" customHeight="1" x14ac:dyDescent="0.25">
      <c r="A95" s="8"/>
      <c r="B95" s="7"/>
      <c r="C95" s="5"/>
      <c r="D95" s="29"/>
      <c r="E95" s="5"/>
      <c r="F95" s="5"/>
      <c r="G95" s="13"/>
      <c r="H95" s="13"/>
      <c r="I95" s="13"/>
      <c r="J95" s="13"/>
      <c r="K95" s="13"/>
      <c r="L95" s="13"/>
      <c r="M95" s="13"/>
      <c r="N95" s="12"/>
      <c r="O95" s="12"/>
      <c r="P95" s="6"/>
    </row>
    <row r="96" spans="1:16" ht="24" customHeight="1" x14ac:dyDescent="0.25">
      <c r="A96" s="8"/>
      <c r="B96" s="7"/>
      <c r="C96" s="5"/>
      <c r="D96" s="29"/>
      <c r="E96" s="5"/>
      <c r="F96" s="5"/>
      <c r="G96" s="13"/>
      <c r="H96" s="13"/>
      <c r="I96" s="13"/>
      <c r="J96" s="13"/>
      <c r="K96" s="13"/>
      <c r="L96" s="13"/>
      <c r="M96" s="13"/>
      <c r="N96" s="12"/>
      <c r="O96" s="12"/>
      <c r="P96" s="6"/>
    </row>
    <row r="97" spans="1:16" ht="24" customHeight="1" x14ac:dyDescent="0.25">
      <c r="A97" s="8"/>
      <c r="B97" s="7"/>
      <c r="C97" s="5"/>
      <c r="D97" s="29"/>
      <c r="E97" s="5"/>
      <c r="F97" s="5"/>
      <c r="G97" s="13"/>
      <c r="H97" s="13"/>
      <c r="I97" s="13"/>
      <c r="J97" s="13"/>
      <c r="K97" s="13"/>
      <c r="L97" s="13"/>
      <c r="M97" s="13"/>
      <c r="N97" s="12"/>
      <c r="O97" s="12"/>
      <c r="P97" s="6"/>
    </row>
    <row r="98" spans="1:16" ht="24" customHeight="1" x14ac:dyDescent="0.25">
      <c r="A98" s="8"/>
      <c r="B98" s="7"/>
      <c r="C98" s="5"/>
      <c r="D98" s="29"/>
      <c r="E98" s="5"/>
      <c r="F98" s="5"/>
      <c r="G98" s="13"/>
      <c r="H98" s="13"/>
      <c r="I98" s="13"/>
      <c r="J98" s="13"/>
      <c r="K98" s="13"/>
      <c r="L98" s="13"/>
      <c r="M98" s="13"/>
      <c r="N98" s="12"/>
      <c r="O98" s="12"/>
      <c r="P98" s="6"/>
    </row>
    <row r="99" spans="1:16" ht="24" customHeight="1" x14ac:dyDescent="0.25">
      <c r="A99" s="8"/>
      <c r="B99" s="7"/>
      <c r="C99" s="5"/>
      <c r="D99" s="29"/>
      <c r="E99" s="5"/>
      <c r="F99" s="5"/>
      <c r="G99" s="13"/>
      <c r="H99" s="13"/>
      <c r="I99" s="13"/>
      <c r="J99" s="13"/>
      <c r="K99" s="13"/>
      <c r="L99" s="13"/>
      <c r="M99" s="13"/>
      <c r="N99" s="12"/>
      <c r="O99" s="12"/>
      <c r="P99" s="6"/>
    </row>
    <row r="100" spans="1:16" ht="24" customHeight="1" x14ac:dyDescent="0.25">
      <c r="A100" s="8"/>
      <c r="B100" s="7"/>
      <c r="C100" s="5"/>
      <c r="D100" s="29"/>
      <c r="E100" s="5"/>
      <c r="F100" s="5"/>
      <c r="G100" s="13"/>
      <c r="H100" s="13"/>
      <c r="I100" s="13"/>
      <c r="J100" s="13"/>
      <c r="K100" s="13"/>
      <c r="L100" s="13"/>
      <c r="M100" s="13"/>
      <c r="N100" s="12"/>
      <c r="O100" s="12"/>
      <c r="P100" s="6"/>
    </row>
    <row r="101" spans="1:16" ht="24" customHeight="1" x14ac:dyDescent="0.25">
      <c r="A101" s="8"/>
      <c r="B101" s="7"/>
      <c r="C101" s="5"/>
      <c r="D101" s="29"/>
      <c r="E101" s="5"/>
      <c r="F101" s="5"/>
      <c r="G101" s="13"/>
      <c r="H101" s="13"/>
      <c r="I101" s="13"/>
      <c r="J101" s="13"/>
      <c r="K101" s="13"/>
      <c r="L101" s="13"/>
      <c r="M101" s="13"/>
      <c r="N101" s="12"/>
      <c r="O101" s="12"/>
      <c r="P101" s="6"/>
    </row>
    <row r="102" spans="1:16" ht="24" customHeight="1" x14ac:dyDescent="0.25">
      <c r="A102" s="8"/>
      <c r="B102" s="7"/>
      <c r="C102" s="5"/>
      <c r="D102" s="29"/>
      <c r="E102" s="5"/>
      <c r="F102" s="5"/>
      <c r="G102" s="13"/>
      <c r="H102" s="13"/>
      <c r="I102" s="13"/>
      <c r="J102" s="13"/>
      <c r="K102" s="13"/>
      <c r="L102" s="13"/>
      <c r="M102" s="13"/>
      <c r="N102" s="12"/>
      <c r="O102" s="12"/>
      <c r="P102" s="6"/>
    </row>
    <row r="103" spans="1:16" ht="24" customHeight="1" x14ac:dyDescent="0.25">
      <c r="A103" s="8"/>
      <c r="B103" s="7"/>
      <c r="C103" s="5"/>
      <c r="D103" s="29"/>
      <c r="E103" s="5"/>
      <c r="F103" s="5"/>
      <c r="G103" s="13"/>
      <c r="H103" s="13"/>
      <c r="I103" s="13"/>
      <c r="J103" s="13"/>
      <c r="K103" s="13"/>
      <c r="L103" s="13"/>
      <c r="M103" s="13"/>
      <c r="N103" s="12"/>
      <c r="O103" s="12"/>
      <c r="P103" s="6"/>
    </row>
    <row r="104" spans="1:16" ht="24" customHeight="1" x14ac:dyDescent="0.25">
      <c r="A104" s="8"/>
      <c r="B104" s="7"/>
      <c r="C104" s="5"/>
      <c r="D104" s="29"/>
      <c r="E104" s="5"/>
      <c r="F104" s="5"/>
      <c r="G104" s="13"/>
      <c r="H104" s="13"/>
      <c r="I104" s="13"/>
      <c r="J104" s="13"/>
      <c r="K104" s="13"/>
      <c r="L104" s="13"/>
      <c r="M104" s="13"/>
      <c r="N104" s="12"/>
      <c r="O104" s="12"/>
      <c r="P104" s="6"/>
    </row>
    <row r="105" spans="1:16" ht="24" customHeight="1" x14ac:dyDescent="0.25">
      <c r="A105" s="8"/>
      <c r="B105" s="7"/>
      <c r="C105" s="5"/>
      <c r="D105" s="29"/>
      <c r="E105" s="5"/>
      <c r="F105" s="5"/>
      <c r="G105" s="13"/>
      <c r="H105" s="13"/>
      <c r="I105" s="13"/>
      <c r="J105" s="13"/>
      <c r="K105" s="13"/>
      <c r="L105" s="13"/>
      <c r="M105" s="13"/>
      <c r="N105" s="12"/>
      <c r="O105" s="12"/>
      <c r="P105" s="6"/>
    </row>
    <row r="106" spans="1:16" ht="24" customHeight="1" x14ac:dyDescent="0.25">
      <c r="A106" s="8"/>
      <c r="B106" s="7"/>
      <c r="C106" s="5"/>
      <c r="D106" s="29"/>
      <c r="E106" s="5"/>
      <c r="F106" s="5"/>
      <c r="G106" s="13"/>
      <c r="H106" s="13"/>
      <c r="I106" s="13"/>
      <c r="J106" s="13"/>
      <c r="K106" s="13"/>
      <c r="L106" s="13"/>
      <c r="M106" s="13"/>
      <c r="N106" s="12"/>
      <c r="O106" s="12"/>
      <c r="P106" s="6"/>
    </row>
    <row r="107" spans="1:16" ht="24" customHeight="1" x14ac:dyDescent="0.25">
      <c r="A107" s="8"/>
      <c r="B107" s="7"/>
      <c r="C107" s="5"/>
      <c r="D107" s="29"/>
      <c r="E107" s="5"/>
      <c r="F107" s="5"/>
      <c r="G107" s="13"/>
      <c r="H107" s="13"/>
      <c r="I107" s="13"/>
      <c r="J107" s="13"/>
      <c r="K107" s="13"/>
      <c r="L107" s="13"/>
      <c r="M107" s="13"/>
      <c r="N107" s="12"/>
      <c r="O107" s="12"/>
      <c r="P107" s="6"/>
    </row>
    <row r="108" spans="1:16" ht="24" customHeight="1" x14ac:dyDescent="0.25">
      <c r="A108" s="8"/>
      <c r="B108" s="7"/>
      <c r="C108" s="5"/>
      <c r="D108" s="29"/>
      <c r="E108" s="5"/>
      <c r="F108" s="5"/>
      <c r="G108" s="13"/>
      <c r="H108" s="13"/>
      <c r="I108" s="13"/>
      <c r="J108" s="13"/>
      <c r="K108" s="13"/>
      <c r="L108" s="13"/>
      <c r="M108" s="13"/>
      <c r="N108" s="12"/>
      <c r="O108" s="12"/>
      <c r="P108" s="6"/>
    </row>
    <row r="109" spans="1:16" ht="24" customHeight="1" x14ac:dyDescent="0.25">
      <c r="A109" s="8"/>
      <c r="B109" s="7"/>
      <c r="C109" s="5"/>
      <c r="D109" s="29"/>
      <c r="E109" s="5"/>
      <c r="F109" s="5"/>
      <c r="G109" s="13"/>
      <c r="H109" s="13"/>
      <c r="I109" s="13"/>
      <c r="J109" s="13"/>
      <c r="K109" s="13"/>
      <c r="L109" s="13"/>
      <c r="M109" s="13"/>
      <c r="N109" s="12"/>
      <c r="O109" s="12"/>
      <c r="P109" s="6"/>
    </row>
    <row r="110" spans="1:16" ht="24" customHeight="1" x14ac:dyDescent="0.25">
      <c r="A110" s="8"/>
      <c r="B110" s="7"/>
      <c r="C110" s="5"/>
      <c r="D110" s="29"/>
      <c r="E110" s="5"/>
      <c r="F110" s="5"/>
      <c r="G110" s="13"/>
      <c r="H110" s="13"/>
      <c r="I110" s="13"/>
      <c r="J110" s="13"/>
      <c r="K110" s="13"/>
      <c r="L110" s="13"/>
      <c r="M110" s="13"/>
      <c r="N110" s="12"/>
      <c r="O110" s="12"/>
      <c r="P110" s="6"/>
    </row>
    <row r="111" spans="1:16" ht="24" customHeight="1" x14ac:dyDescent="0.25">
      <c r="A111" s="8"/>
      <c r="B111" s="7"/>
      <c r="C111" s="5"/>
      <c r="D111" s="29"/>
      <c r="E111" s="5"/>
      <c r="F111" s="5"/>
      <c r="G111" s="13"/>
      <c r="H111" s="13"/>
      <c r="I111" s="13"/>
      <c r="J111" s="13"/>
      <c r="K111" s="13"/>
      <c r="L111" s="13"/>
      <c r="M111" s="13"/>
      <c r="N111" s="12"/>
      <c r="O111" s="12"/>
      <c r="P111" s="6"/>
    </row>
    <row r="112" spans="1:16" ht="24" customHeight="1" x14ac:dyDescent="0.25">
      <c r="A112" s="8"/>
      <c r="B112" s="7"/>
      <c r="C112" s="5"/>
      <c r="D112" s="29"/>
      <c r="E112" s="5"/>
      <c r="F112" s="5"/>
      <c r="G112" s="13"/>
      <c r="H112" s="13"/>
      <c r="I112" s="13"/>
      <c r="J112" s="13"/>
      <c r="K112" s="13"/>
      <c r="L112" s="13"/>
      <c r="M112" s="13"/>
      <c r="N112" s="12"/>
      <c r="O112" s="12"/>
      <c r="P112" s="6"/>
    </row>
    <row r="113" spans="1:16" ht="24" customHeight="1" x14ac:dyDescent="0.25">
      <c r="A113" s="8"/>
      <c r="B113" s="7"/>
      <c r="C113" s="5"/>
      <c r="D113" s="29"/>
      <c r="E113" s="5"/>
      <c r="F113" s="5"/>
      <c r="G113" s="13"/>
      <c r="H113" s="13"/>
      <c r="I113" s="13"/>
      <c r="J113" s="13"/>
      <c r="K113" s="13"/>
      <c r="L113" s="13"/>
      <c r="M113" s="13"/>
      <c r="N113" s="12"/>
      <c r="O113" s="12"/>
      <c r="P113" s="6"/>
    </row>
    <row r="114" spans="1:16" ht="24" customHeight="1" x14ac:dyDescent="0.25">
      <c r="A114" s="8"/>
      <c r="B114" s="7"/>
      <c r="C114" s="5"/>
      <c r="D114" s="29"/>
      <c r="E114" s="5"/>
      <c r="F114" s="5"/>
      <c r="G114" s="13"/>
      <c r="H114" s="13"/>
      <c r="I114" s="13"/>
      <c r="J114" s="13"/>
      <c r="K114" s="13"/>
      <c r="L114" s="13"/>
      <c r="M114" s="13"/>
      <c r="N114" s="12"/>
      <c r="O114" s="12"/>
      <c r="P114" s="6"/>
    </row>
    <row r="115" spans="1:16" ht="24" customHeight="1" x14ac:dyDescent="0.25">
      <c r="A115" s="8"/>
      <c r="B115" s="7"/>
      <c r="C115" s="5"/>
      <c r="D115" s="29"/>
      <c r="E115" s="5"/>
      <c r="F115" s="5"/>
      <c r="G115" s="13"/>
      <c r="H115" s="13"/>
      <c r="I115" s="13"/>
      <c r="J115" s="13"/>
      <c r="K115" s="13"/>
      <c r="L115" s="13"/>
      <c r="M115" s="13"/>
      <c r="N115" s="12"/>
      <c r="O115" s="12"/>
      <c r="P115" s="6"/>
    </row>
    <row r="116" spans="1:16" ht="24" customHeight="1" x14ac:dyDescent="0.25">
      <c r="A116" s="8"/>
      <c r="B116" s="7"/>
      <c r="C116" s="5"/>
      <c r="D116" s="29"/>
      <c r="E116" s="5"/>
      <c r="F116" s="5"/>
      <c r="G116" s="13"/>
      <c r="H116" s="13"/>
      <c r="I116" s="13"/>
      <c r="J116" s="13"/>
      <c r="K116" s="13"/>
      <c r="L116" s="13"/>
      <c r="M116" s="13"/>
      <c r="N116" s="12"/>
      <c r="O116" s="12"/>
      <c r="P116" s="6"/>
    </row>
    <row r="117" spans="1:16" ht="24" customHeight="1" x14ac:dyDescent="0.25">
      <c r="A117" s="8"/>
      <c r="B117" s="7"/>
      <c r="C117" s="5"/>
      <c r="D117" s="29"/>
      <c r="E117" s="5"/>
      <c r="F117" s="5"/>
      <c r="G117" s="13"/>
      <c r="H117" s="13"/>
      <c r="I117" s="13"/>
      <c r="J117" s="13"/>
      <c r="K117" s="13"/>
      <c r="L117" s="13"/>
      <c r="M117" s="13"/>
      <c r="N117" s="12"/>
      <c r="O117" s="12"/>
      <c r="P117" s="6"/>
    </row>
    <row r="118" spans="1:16" ht="24" customHeight="1" x14ac:dyDescent="0.25">
      <c r="A118" s="8"/>
      <c r="B118" s="7"/>
      <c r="C118" s="5"/>
      <c r="D118" s="29"/>
      <c r="E118" s="5"/>
      <c r="F118" s="5"/>
      <c r="G118" s="13"/>
      <c r="H118" s="13"/>
      <c r="I118" s="13"/>
      <c r="J118" s="13"/>
      <c r="K118" s="13"/>
      <c r="L118" s="13"/>
      <c r="M118" s="13"/>
      <c r="N118" s="12"/>
      <c r="O118" s="12"/>
      <c r="P118" s="6"/>
    </row>
    <row r="119" spans="1:16" ht="24" customHeight="1" x14ac:dyDescent="0.25">
      <c r="A119" s="8"/>
      <c r="B119" s="7"/>
      <c r="C119" s="5"/>
      <c r="D119" s="29"/>
      <c r="E119" s="5"/>
      <c r="F119" s="5"/>
      <c r="G119" s="13"/>
      <c r="H119" s="13"/>
      <c r="I119" s="13"/>
      <c r="J119" s="13"/>
      <c r="K119" s="13"/>
      <c r="L119" s="13"/>
      <c r="M119" s="13"/>
      <c r="N119" s="12"/>
      <c r="O119" s="12"/>
      <c r="P119" s="6"/>
    </row>
    <row r="120" spans="1:16" ht="24" customHeight="1" x14ac:dyDescent="0.25">
      <c r="A120" s="8"/>
      <c r="B120" s="7"/>
      <c r="C120" s="5"/>
      <c r="D120" s="29"/>
      <c r="E120" s="5"/>
      <c r="F120" s="5"/>
      <c r="G120" s="13"/>
      <c r="H120" s="13"/>
      <c r="I120" s="13"/>
      <c r="J120" s="13"/>
      <c r="K120" s="13"/>
      <c r="L120" s="13"/>
      <c r="M120" s="13"/>
      <c r="N120" s="12"/>
      <c r="O120" s="12"/>
      <c r="P120" s="6"/>
    </row>
    <row r="121" spans="1:16" ht="24" customHeight="1" x14ac:dyDescent="0.25">
      <c r="A121" s="8"/>
      <c r="B121" s="7"/>
      <c r="C121" s="5"/>
      <c r="D121" s="29"/>
      <c r="E121" s="5"/>
      <c r="F121" s="5"/>
      <c r="G121" s="13"/>
      <c r="H121" s="13"/>
      <c r="I121" s="13"/>
      <c r="J121" s="13"/>
      <c r="K121" s="13"/>
      <c r="L121" s="13"/>
      <c r="M121" s="13"/>
      <c r="N121" s="12"/>
      <c r="O121" s="12"/>
      <c r="P121" s="6"/>
    </row>
    <row r="122" spans="1:16" ht="24" customHeight="1" x14ac:dyDescent="0.25">
      <c r="A122" s="8"/>
      <c r="B122" s="7"/>
      <c r="C122" s="5"/>
      <c r="D122" s="29"/>
      <c r="E122" s="5"/>
      <c r="F122" s="5"/>
      <c r="G122" s="13"/>
      <c r="H122" s="13"/>
      <c r="I122" s="13"/>
      <c r="J122" s="13"/>
      <c r="K122" s="13"/>
      <c r="L122" s="13"/>
      <c r="M122" s="13"/>
      <c r="N122" s="12"/>
      <c r="O122" s="12"/>
      <c r="P122" s="6"/>
    </row>
    <row r="123" spans="1:16" ht="24" customHeight="1" x14ac:dyDescent="0.25">
      <c r="A123" s="8"/>
      <c r="B123" s="7"/>
      <c r="C123" s="5"/>
      <c r="D123" s="29"/>
      <c r="E123" s="5"/>
      <c r="F123" s="5"/>
      <c r="G123" s="13"/>
      <c r="H123" s="13"/>
      <c r="I123" s="13"/>
      <c r="J123" s="13"/>
      <c r="K123" s="13"/>
      <c r="L123" s="13"/>
      <c r="M123" s="13"/>
      <c r="N123" s="12"/>
      <c r="O123" s="12"/>
      <c r="P123" s="6"/>
    </row>
    <row r="124" spans="1:16" ht="24" customHeight="1" x14ac:dyDescent="0.25">
      <c r="A124" s="8"/>
      <c r="B124" s="7"/>
      <c r="C124" s="5"/>
      <c r="D124" s="29"/>
      <c r="E124" s="5"/>
      <c r="F124" s="5"/>
      <c r="G124" s="13"/>
      <c r="H124" s="13"/>
      <c r="I124" s="13"/>
      <c r="J124" s="13"/>
      <c r="K124" s="13"/>
      <c r="L124" s="13"/>
      <c r="M124" s="13"/>
      <c r="N124" s="12"/>
      <c r="O124" s="12"/>
      <c r="P124" s="6"/>
    </row>
    <row r="125" spans="1:16" ht="24" customHeight="1" x14ac:dyDescent="0.25">
      <c r="A125" s="8"/>
      <c r="B125" s="7"/>
      <c r="C125" s="5"/>
      <c r="D125" s="29"/>
      <c r="E125" s="5"/>
      <c r="F125" s="5"/>
      <c r="G125" s="13"/>
      <c r="H125" s="13"/>
      <c r="I125" s="13"/>
      <c r="J125" s="13"/>
      <c r="K125" s="13"/>
      <c r="L125" s="13"/>
      <c r="M125" s="13"/>
      <c r="N125" s="12"/>
      <c r="O125" s="12"/>
      <c r="P125" s="6"/>
    </row>
    <row r="126" spans="1:16" ht="24" customHeight="1" x14ac:dyDescent="0.25">
      <c r="A126" s="8"/>
      <c r="B126" s="7"/>
      <c r="C126" s="5"/>
      <c r="D126" s="29"/>
      <c r="E126" s="5"/>
      <c r="F126" s="5"/>
      <c r="G126" s="13"/>
      <c r="H126" s="13"/>
      <c r="I126" s="13"/>
      <c r="J126" s="13"/>
      <c r="K126" s="13"/>
      <c r="L126" s="13"/>
      <c r="M126" s="13"/>
      <c r="N126" s="12"/>
      <c r="O126" s="12"/>
      <c r="P126" s="6"/>
    </row>
    <row r="127" spans="1:16" ht="24" customHeight="1" x14ac:dyDescent="0.25">
      <c r="A127" s="8"/>
      <c r="B127" s="7"/>
      <c r="C127" s="5"/>
      <c r="D127" s="29"/>
      <c r="E127" s="5"/>
      <c r="F127" s="5"/>
      <c r="G127" s="13"/>
      <c r="H127" s="13"/>
      <c r="I127" s="13"/>
      <c r="J127" s="13"/>
      <c r="K127" s="13"/>
      <c r="L127" s="13"/>
      <c r="M127" s="13"/>
      <c r="N127" s="12"/>
      <c r="O127" s="12"/>
      <c r="P127" s="6"/>
    </row>
    <row r="128" spans="1:16" ht="24" customHeight="1" x14ac:dyDescent="0.25">
      <c r="A128" s="8"/>
      <c r="B128" s="7"/>
      <c r="C128" s="5"/>
      <c r="D128" s="29"/>
      <c r="E128" s="5"/>
      <c r="F128" s="5"/>
      <c r="G128" s="13"/>
      <c r="H128" s="13"/>
      <c r="I128" s="13"/>
      <c r="J128" s="13"/>
      <c r="K128" s="13"/>
      <c r="L128" s="13"/>
      <c r="M128" s="13"/>
      <c r="N128" s="12"/>
      <c r="O128" s="12"/>
      <c r="P128" s="6"/>
    </row>
    <row r="129" spans="1:16" ht="24" customHeight="1" x14ac:dyDescent="0.25">
      <c r="A129" s="8"/>
      <c r="B129" s="7"/>
      <c r="C129" s="5"/>
      <c r="D129" s="29"/>
      <c r="E129" s="5"/>
      <c r="F129" s="5"/>
      <c r="G129" s="13"/>
      <c r="H129" s="13"/>
      <c r="I129" s="13"/>
      <c r="J129" s="13"/>
      <c r="K129" s="13"/>
      <c r="L129" s="13"/>
      <c r="M129" s="13"/>
      <c r="N129" s="12"/>
      <c r="O129" s="12"/>
      <c r="P129" s="6"/>
    </row>
    <row r="130" spans="1:16" ht="24" customHeight="1" x14ac:dyDescent="0.25">
      <c r="A130" s="8"/>
      <c r="B130" s="7"/>
      <c r="C130" s="5"/>
      <c r="D130" s="29"/>
      <c r="E130" s="5"/>
      <c r="F130" s="5"/>
      <c r="G130" s="13"/>
      <c r="H130" s="13"/>
      <c r="I130" s="13"/>
      <c r="J130" s="13"/>
      <c r="K130" s="13"/>
      <c r="L130" s="13"/>
      <c r="M130" s="13"/>
      <c r="N130" s="12"/>
      <c r="O130" s="12"/>
      <c r="P130" s="6"/>
    </row>
    <row r="131" spans="1:16" ht="24" customHeight="1" x14ac:dyDescent="0.25">
      <c r="A131" s="8"/>
      <c r="B131" s="7"/>
      <c r="C131" s="5"/>
      <c r="D131" s="29"/>
      <c r="E131" s="5"/>
      <c r="F131" s="5"/>
      <c r="G131" s="13"/>
      <c r="H131" s="13"/>
      <c r="I131" s="13"/>
      <c r="J131" s="13"/>
      <c r="K131" s="13"/>
      <c r="L131" s="13"/>
      <c r="M131" s="13"/>
      <c r="N131" s="12"/>
      <c r="O131" s="12"/>
      <c r="P131" s="6"/>
    </row>
    <row r="132" spans="1:16" ht="24" customHeight="1" x14ac:dyDescent="0.25">
      <c r="A132" s="8"/>
      <c r="B132" s="7"/>
      <c r="C132" s="5"/>
      <c r="D132" s="29"/>
      <c r="E132" s="5"/>
      <c r="F132" s="5"/>
      <c r="G132" s="13"/>
      <c r="H132" s="13"/>
      <c r="I132" s="13"/>
      <c r="J132" s="13"/>
      <c r="K132" s="13"/>
      <c r="L132" s="13"/>
      <c r="M132" s="13"/>
      <c r="N132" s="12"/>
      <c r="O132" s="12"/>
      <c r="P132" s="6"/>
    </row>
    <row r="133" spans="1:16" ht="24" customHeight="1" x14ac:dyDescent="0.25">
      <c r="A133" s="8"/>
      <c r="B133" s="7"/>
      <c r="C133" s="5"/>
      <c r="D133" s="29"/>
      <c r="E133" s="5"/>
      <c r="F133" s="5"/>
      <c r="G133" s="13"/>
      <c r="H133" s="13"/>
      <c r="I133" s="13"/>
      <c r="J133" s="13"/>
      <c r="K133" s="13"/>
      <c r="L133" s="13"/>
      <c r="M133" s="13"/>
      <c r="N133" s="12"/>
      <c r="O133" s="12"/>
      <c r="P133" s="6"/>
    </row>
    <row r="134" spans="1:16" ht="24" customHeight="1" x14ac:dyDescent="0.25">
      <c r="A134" s="8"/>
      <c r="B134" s="7"/>
      <c r="C134" s="5"/>
      <c r="D134" s="29"/>
      <c r="E134" s="5"/>
      <c r="F134" s="5"/>
      <c r="G134" s="13"/>
      <c r="H134" s="13"/>
      <c r="I134" s="13"/>
      <c r="J134" s="13"/>
      <c r="K134" s="13"/>
      <c r="L134" s="13"/>
      <c r="M134" s="13"/>
      <c r="N134" s="12"/>
      <c r="O134" s="12"/>
      <c r="P134" s="6"/>
    </row>
    <row r="135" spans="1:16" ht="24" customHeight="1" x14ac:dyDescent="0.25">
      <c r="A135" s="8"/>
      <c r="B135" s="7"/>
      <c r="C135" s="5"/>
      <c r="D135" s="29"/>
      <c r="E135" s="5"/>
      <c r="F135" s="5"/>
      <c r="G135" s="13"/>
      <c r="H135" s="13"/>
      <c r="I135" s="13"/>
      <c r="J135" s="13"/>
      <c r="K135" s="13"/>
      <c r="L135" s="13"/>
      <c r="M135" s="13"/>
      <c r="N135" s="12"/>
      <c r="O135" s="12"/>
      <c r="P135" s="6"/>
    </row>
    <row r="136" spans="1:16" ht="24" customHeight="1" x14ac:dyDescent="0.25">
      <c r="A136" s="8"/>
      <c r="B136" s="7"/>
      <c r="C136" s="5"/>
      <c r="D136" s="29"/>
      <c r="E136" s="5"/>
      <c r="F136" s="5"/>
      <c r="G136" s="13"/>
      <c r="H136" s="13"/>
      <c r="I136" s="13"/>
      <c r="J136" s="13"/>
      <c r="K136" s="13"/>
      <c r="L136" s="13"/>
      <c r="M136" s="13"/>
      <c r="N136" s="12"/>
      <c r="O136" s="12"/>
      <c r="P136" s="6"/>
    </row>
    <row r="137" spans="1:16" ht="24" customHeight="1" x14ac:dyDescent="0.25">
      <c r="A137" s="8"/>
      <c r="B137" s="7"/>
      <c r="C137" s="5"/>
      <c r="D137" s="29"/>
      <c r="E137" s="5"/>
      <c r="F137" s="5"/>
      <c r="G137" s="13"/>
      <c r="H137" s="13"/>
      <c r="I137" s="13"/>
      <c r="J137" s="13"/>
      <c r="K137" s="13"/>
      <c r="L137" s="13"/>
      <c r="M137" s="13"/>
      <c r="N137" s="12"/>
      <c r="O137" s="12"/>
      <c r="P137" s="6"/>
    </row>
    <row r="138" spans="1:16" ht="24" customHeight="1" x14ac:dyDescent="0.25">
      <c r="A138" s="8"/>
      <c r="B138" s="7"/>
      <c r="C138" s="5"/>
      <c r="D138" s="29"/>
      <c r="E138" s="5"/>
      <c r="F138" s="5"/>
      <c r="G138" s="13"/>
      <c r="H138" s="13"/>
      <c r="I138" s="13"/>
      <c r="J138" s="13"/>
      <c r="K138" s="13"/>
      <c r="L138" s="13"/>
      <c r="M138" s="13"/>
      <c r="N138" s="12"/>
      <c r="O138" s="12"/>
      <c r="P138" s="6"/>
    </row>
    <row r="139" spans="1:16" ht="24" customHeight="1" x14ac:dyDescent="0.25">
      <c r="A139" s="8"/>
      <c r="B139" s="7"/>
      <c r="C139" s="5"/>
      <c r="D139" s="29"/>
      <c r="E139" s="5"/>
      <c r="F139" s="5"/>
      <c r="G139" s="13"/>
      <c r="H139" s="13"/>
      <c r="I139" s="13"/>
      <c r="J139" s="13"/>
      <c r="K139" s="13"/>
      <c r="L139" s="13"/>
      <c r="M139" s="13"/>
      <c r="N139" s="12"/>
      <c r="O139" s="12"/>
      <c r="P139" s="6"/>
    </row>
    <row r="140" spans="1:16" ht="24" customHeight="1" x14ac:dyDescent="0.25">
      <c r="A140" s="8"/>
      <c r="B140" s="7"/>
      <c r="C140" s="5"/>
      <c r="D140" s="29"/>
      <c r="E140" s="5"/>
      <c r="F140" s="5"/>
      <c r="G140" s="13"/>
      <c r="H140" s="13"/>
      <c r="I140" s="13"/>
      <c r="J140" s="13"/>
      <c r="K140" s="13"/>
      <c r="L140" s="13"/>
      <c r="M140" s="13"/>
      <c r="N140" s="12"/>
      <c r="O140" s="12"/>
      <c r="P140" s="6"/>
    </row>
    <row r="141" spans="1:16" ht="24" customHeight="1" x14ac:dyDescent="0.25">
      <c r="A141" s="8"/>
      <c r="B141" s="7"/>
      <c r="C141" s="5"/>
      <c r="D141" s="29"/>
      <c r="E141" s="5"/>
      <c r="F141" s="5"/>
      <c r="G141" s="13"/>
      <c r="H141" s="13"/>
      <c r="I141" s="13"/>
      <c r="J141" s="13"/>
      <c r="K141" s="13"/>
      <c r="L141" s="13"/>
      <c r="M141" s="13"/>
      <c r="N141" s="12"/>
      <c r="O141" s="12"/>
      <c r="P141" s="6"/>
    </row>
    <row r="142" spans="1:16" ht="24" customHeight="1" x14ac:dyDescent="0.25">
      <c r="A142" s="8"/>
      <c r="B142" s="7"/>
      <c r="C142" s="5"/>
      <c r="D142" s="29"/>
      <c r="E142" s="5"/>
      <c r="F142" s="5"/>
      <c r="G142" s="13"/>
      <c r="H142" s="13"/>
      <c r="I142" s="13"/>
      <c r="J142" s="13"/>
      <c r="K142" s="13"/>
      <c r="L142" s="13"/>
      <c r="M142" s="13"/>
      <c r="N142" s="12"/>
      <c r="O142" s="12"/>
      <c r="P142" s="6"/>
    </row>
    <row r="143" spans="1:16" ht="24" customHeight="1" x14ac:dyDescent="0.25">
      <c r="A143" s="8"/>
      <c r="B143" s="7"/>
      <c r="C143" s="5"/>
      <c r="D143" s="29"/>
      <c r="E143" s="5"/>
      <c r="F143" s="5"/>
      <c r="G143" s="13"/>
      <c r="H143" s="13"/>
      <c r="I143" s="13"/>
      <c r="J143" s="13"/>
      <c r="K143" s="13"/>
      <c r="L143" s="13"/>
      <c r="M143" s="13"/>
      <c r="N143" s="12"/>
      <c r="O143" s="12"/>
      <c r="P143" s="6"/>
    </row>
    <row r="144" spans="1:16" ht="24" customHeight="1" x14ac:dyDescent="0.25">
      <c r="A144" s="8"/>
      <c r="B144" s="7"/>
      <c r="C144" s="5"/>
      <c r="D144" s="29"/>
      <c r="E144" s="5"/>
      <c r="F144" s="5"/>
      <c r="G144" s="13"/>
      <c r="H144" s="13"/>
      <c r="I144" s="13"/>
      <c r="J144" s="13"/>
      <c r="K144" s="13"/>
      <c r="L144" s="13"/>
      <c r="M144" s="13"/>
      <c r="N144" s="12"/>
      <c r="O144" s="12"/>
      <c r="P144" s="6"/>
    </row>
    <row r="145" spans="1:16" ht="24" customHeight="1" thickBot="1" x14ac:dyDescent="0.3">
      <c r="A145" s="9"/>
      <c r="B145" s="7"/>
      <c r="C145" s="5"/>
      <c r="D145" s="29"/>
      <c r="E145" s="5"/>
      <c r="F145" s="5"/>
      <c r="G145" s="13"/>
      <c r="H145" s="13"/>
      <c r="I145" s="13"/>
      <c r="J145" s="13"/>
      <c r="K145" s="13"/>
      <c r="L145" s="13"/>
      <c r="M145" s="13"/>
      <c r="N145" s="12"/>
      <c r="O145" s="12"/>
      <c r="P145" s="6"/>
    </row>
    <row r="146" spans="1:16" ht="24" customHeight="1" x14ac:dyDescent="0.25"/>
    <row r="147" spans="1:16" ht="24" customHeight="1" x14ac:dyDescent="0.25"/>
  </sheetData>
  <mergeCells count="12">
    <mergeCell ref="P5:P6"/>
    <mergeCell ref="G5:M5"/>
    <mergeCell ref="A2:O2"/>
    <mergeCell ref="A4:B4"/>
    <mergeCell ref="A5:A6"/>
    <mergeCell ref="B5:B6"/>
    <mergeCell ref="C5:C6"/>
    <mergeCell ref="D5:D6"/>
    <mergeCell ref="E5:E6"/>
    <mergeCell ref="F5:F6"/>
    <mergeCell ref="N5:N6"/>
    <mergeCell ref="O5:O6"/>
  </mergeCells>
  <printOptions horizontalCentered="1"/>
  <pageMargins left="0.7" right="0.7" top="0.75" bottom="0.75" header="0.3" footer="0.3"/>
  <pageSetup paperSize="9" scale="15" orientation="landscape" horizont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AB129"/>
  <sheetViews>
    <sheetView view="pageBreakPreview" zoomScale="55" zoomScaleNormal="100" zoomScaleSheetLayoutView="55" workbookViewId="0">
      <pane xSplit="1" ySplit="6" topLeftCell="B16" activePane="bottomRight" state="frozen"/>
      <selection pane="topRight" activeCell="B1" sqref="B1"/>
      <selection pane="bottomLeft" activeCell="A6" sqref="A6"/>
      <selection pane="bottomRight" activeCell="T49" sqref="T49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style="31" customWidth="1"/>
    <col min="5" max="5" width="9.140625" style="31" customWidth="1"/>
    <col min="6" max="6" width="15.140625" style="35" customWidth="1"/>
    <col min="7" max="7" width="10.7109375" customWidth="1"/>
    <col min="8" max="8" width="9.5703125" customWidth="1"/>
    <col min="13" max="13" width="8.85546875" customWidth="1"/>
    <col min="14" max="14" width="13.140625" customWidth="1"/>
    <col min="15" max="25" width="11.85546875" customWidth="1"/>
    <col min="26" max="26" width="25.7109375" bestFit="1" customWidth="1"/>
  </cols>
  <sheetData>
    <row r="2" spans="1:26" x14ac:dyDescent="0.2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14"/>
      <c r="Q2" s="114"/>
      <c r="R2" s="114"/>
      <c r="S2" s="114"/>
      <c r="T2" s="114"/>
      <c r="U2" s="114"/>
      <c r="V2" s="114"/>
      <c r="W2" s="72"/>
      <c r="X2" s="72"/>
      <c r="Y2" s="72"/>
    </row>
    <row r="3" spans="1:26" x14ac:dyDescent="0.25">
      <c r="A3" s="2" t="s">
        <v>1</v>
      </c>
      <c r="B3" s="2"/>
      <c r="C3" s="26">
        <v>43766</v>
      </c>
      <c r="D3" s="72" t="s">
        <v>2</v>
      </c>
      <c r="E3" s="28" t="s">
        <v>14</v>
      </c>
      <c r="F3" s="34"/>
      <c r="G3" s="2" t="s">
        <v>13</v>
      </c>
      <c r="H3" s="2" t="s">
        <v>15</v>
      </c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5.75" thickBot="1" x14ac:dyDescent="0.3">
      <c r="A4" s="142"/>
      <c r="B4" s="142"/>
      <c r="C4" s="2"/>
      <c r="E4" s="32"/>
      <c r="F4" s="34"/>
      <c r="G4" s="2"/>
      <c r="H4" s="3"/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s="1" customFormat="1" ht="14.45" customHeight="1" x14ac:dyDescent="0.25">
      <c r="A5" s="149" t="s">
        <v>3</v>
      </c>
      <c r="B5" s="145" t="s">
        <v>4</v>
      </c>
      <c r="C5" s="140" t="s">
        <v>5</v>
      </c>
      <c r="D5" s="140" t="s">
        <v>9</v>
      </c>
      <c r="E5" s="140" t="s">
        <v>6</v>
      </c>
      <c r="F5" s="152" t="s">
        <v>7</v>
      </c>
      <c r="G5" s="143" t="s">
        <v>145</v>
      </c>
      <c r="H5" s="144"/>
      <c r="I5" s="144"/>
      <c r="J5" s="144"/>
      <c r="K5" s="144"/>
      <c r="L5" s="144"/>
      <c r="M5" s="145"/>
      <c r="N5" s="140" t="s">
        <v>8</v>
      </c>
      <c r="O5" s="140" t="s">
        <v>10</v>
      </c>
      <c r="P5" s="156" t="s">
        <v>226</v>
      </c>
      <c r="Q5" s="157"/>
      <c r="R5" s="157"/>
      <c r="S5" s="157"/>
      <c r="T5" s="157"/>
      <c r="U5" s="157"/>
      <c r="V5" s="158"/>
      <c r="W5" s="154" t="s">
        <v>188</v>
      </c>
      <c r="X5" s="154" t="s">
        <v>189</v>
      </c>
      <c r="Y5" s="154" t="s">
        <v>227</v>
      </c>
      <c r="Z5" s="146" t="s">
        <v>11</v>
      </c>
    </row>
    <row r="6" spans="1:26" ht="13.9" customHeight="1" thickBot="1" x14ac:dyDescent="0.3">
      <c r="A6" s="150"/>
      <c r="B6" s="151"/>
      <c r="C6" s="141"/>
      <c r="D6" s="141"/>
      <c r="E6" s="141"/>
      <c r="F6" s="153"/>
      <c r="G6" s="51" t="s">
        <v>138</v>
      </c>
      <c r="H6" s="51" t="s">
        <v>139</v>
      </c>
      <c r="I6" s="51" t="s">
        <v>140</v>
      </c>
      <c r="J6" s="51" t="s">
        <v>141</v>
      </c>
      <c r="K6" s="51" t="s">
        <v>142</v>
      </c>
      <c r="L6" s="51" t="s">
        <v>143</v>
      </c>
      <c r="M6" s="51" t="s">
        <v>144</v>
      </c>
      <c r="N6" s="141"/>
      <c r="O6" s="141"/>
      <c r="P6" s="127" t="s">
        <v>228</v>
      </c>
      <c r="Q6" s="115" t="s">
        <v>229</v>
      </c>
      <c r="R6" s="127" t="s">
        <v>230</v>
      </c>
      <c r="S6" s="115" t="s">
        <v>231</v>
      </c>
      <c r="T6" s="127" t="s">
        <v>232</v>
      </c>
      <c r="U6" s="115" t="s">
        <v>233</v>
      </c>
      <c r="V6" s="127" t="s">
        <v>234</v>
      </c>
      <c r="W6" s="155"/>
      <c r="X6" s="155"/>
      <c r="Y6" s="155"/>
      <c r="Z6" s="147"/>
    </row>
    <row r="7" spans="1:26" ht="24" customHeight="1" x14ac:dyDescent="0.25">
      <c r="A7" s="14">
        <v>1</v>
      </c>
      <c r="B7" s="20">
        <v>0.40138888888888885</v>
      </c>
      <c r="C7" s="15" t="s">
        <v>16</v>
      </c>
      <c r="D7" s="5">
        <f t="shared" ref="D7:D54" si="0">IF(COUNT(G7:M7)&gt;3,10,IF(COUNT(G7:M7)&gt;2,9,7))</f>
        <v>7</v>
      </c>
      <c r="E7" s="27">
        <v>2</v>
      </c>
      <c r="F7" s="21" t="s">
        <v>12</v>
      </c>
      <c r="G7" s="19">
        <v>4.5999999999999996</v>
      </c>
      <c r="H7" s="19">
        <v>12.3</v>
      </c>
      <c r="I7" s="19"/>
      <c r="J7" s="19"/>
      <c r="K7" s="19"/>
      <c r="L7" s="19"/>
      <c r="M7" s="19"/>
      <c r="N7" s="89">
        <f t="shared" ref="N7:N54" si="1">SUM(G7:M7)</f>
        <v>16.899999999999999</v>
      </c>
      <c r="O7" s="89">
        <f t="shared" ref="O7:O54" si="2">(N7/8.16)^4.5</f>
        <v>26.477956014070383</v>
      </c>
      <c r="P7" s="90">
        <v>8</v>
      </c>
      <c r="Q7" s="90">
        <v>10</v>
      </c>
      <c r="R7" s="90">
        <v>9</v>
      </c>
      <c r="S7" s="90">
        <v>9</v>
      </c>
      <c r="T7" s="90">
        <v>9</v>
      </c>
      <c r="U7" s="90">
        <v>9</v>
      </c>
      <c r="V7" s="90">
        <v>9</v>
      </c>
      <c r="W7" s="91" t="str">
        <f t="shared" ref="W7" si="3">IF(G7&gt;P7,"Y",IF(H7&gt;Q7,"Y",IF(I7&gt;R7,"Y",IF(J7&gt;S7,"Y",IF(K7&gt;T7,"Y",IF(L7&gt;U7,"Y",IF(M7&gt;V7,"Y","N")))))))</f>
        <v>Y</v>
      </c>
      <c r="X7" s="128">
        <f t="shared" ref="X7" si="4">IF(W7="Y",MAX((G7-P7),(H7-Q7),(I7-R7),(J7-S7),(K7-T7),(L7-U7),(M7-V7))/10,0)</f>
        <v>0.23000000000000007</v>
      </c>
      <c r="Y7" s="128" t="str">
        <f t="shared" ref="Y7:Y54" si="5">IF(X7&lt;5%,"0-4.9%",IF(X7&lt;25%,"5-25%",IF(X7&lt;50%,"25-50%","Over 50%")))</f>
        <v>5-25%</v>
      </c>
      <c r="Z7" s="22" t="s">
        <v>235</v>
      </c>
    </row>
    <row r="8" spans="1:26" ht="24" customHeight="1" x14ac:dyDescent="0.25">
      <c r="A8" s="14">
        <f t="shared" ref="A8:A13" si="6">A7+1</f>
        <v>2</v>
      </c>
      <c r="B8" s="7">
        <v>0.40486111111111112</v>
      </c>
      <c r="C8" s="5" t="s">
        <v>20</v>
      </c>
      <c r="D8" s="5">
        <f t="shared" si="0"/>
        <v>7</v>
      </c>
      <c r="E8" s="29">
        <v>2</v>
      </c>
      <c r="F8" s="98" t="s">
        <v>12</v>
      </c>
      <c r="G8" s="19">
        <v>5.35</v>
      </c>
      <c r="H8" s="19">
        <v>9.75</v>
      </c>
      <c r="I8" s="19"/>
      <c r="J8" s="19"/>
      <c r="K8" s="19"/>
      <c r="L8" s="19"/>
      <c r="M8" s="19"/>
      <c r="N8" s="89">
        <f t="shared" si="1"/>
        <v>15.1</v>
      </c>
      <c r="O8" s="89">
        <f t="shared" si="2"/>
        <v>15.951096720961431</v>
      </c>
      <c r="P8" s="90">
        <v>8</v>
      </c>
      <c r="Q8" s="90">
        <v>10</v>
      </c>
      <c r="R8" s="90">
        <v>9</v>
      </c>
      <c r="S8" s="90">
        <v>9</v>
      </c>
      <c r="T8" s="90">
        <v>9</v>
      </c>
      <c r="U8" s="90">
        <v>9</v>
      </c>
      <c r="V8" s="90">
        <v>9</v>
      </c>
      <c r="W8" s="91" t="str">
        <f t="shared" ref="W8:W54" si="7">IF(G8&gt;P8,"Y",IF(H8&gt;Q8,"Y",IF(I8&gt;R8,"Y",IF(J8&gt;S8,"Y",IF(K8&gt;T8,"Y",IF(L8&gt;U8,"Y",IF(M8&gt;V8,"Y","N")))))))</f>
        <v>N</v>
      </c>
      <c r="X8" s="128">
        <f t="shared" ref="X8:X54" si="8">IF(W8="Y",MAX((G8-P8),(H8-Q8),(I8-R8),(J8-S8),(K8-T8),(L8-U8),(M8-V8))/10,0)</f>
        <v>0</v>
      </c>
      <c r="Y8" s="128" t="str">
        <f t="shared" si="5"/>
        <v>0-4.9%</v>
      </c>
      <c r="Z8" s="11" t="s">
        <v>198</v>
      </c>
    </row>
    <row r="9" spans="1:26" ht="24" customHeight="1" x14ac:dyDescent="0.25">
      <c r="A9" s="14">
        <f t="shared" si="6"/>
        <v>3</v>
      </c>
      <c r="B9" s="7">
        <v>0.4055555555555555</v>
      </c>
      <c r="C9" s="5" t="s">
        <v>23</v>
      </c>
      <c r="D9" s="5">
        <f t="shared" si="0"/>
        <v>7</v>
      </c>
      <c r="E9" s="29">
        <v>2</v>
      </c>
      <c r="F9" s="21" t="s">
        <v>12</v>
      </c>
      <c r="G9" s="19">
        <v>5.0999999999999996</v>
      </c>
      <c r="H9" s="19">
        <v>7.8999999999999995</v>
      </c>
      <c r="I9" s="19"/>
      <c r="J9" s="19"/>
      <c r="K9" s="19"/>
      <c r="L9" s="19"/>
      <c r="M9" s="19"/>
      <c r="N9" s="89">
        <f t="shared" si="1"/>
        <v>13</v>
      </c>
      <c r="O9" s="89">
        <f t="shared" si="2"/>
        <v>8.1309140635829351</v>
      </c>
      <c r="P9" s="90">
        <v>8</v>
      </c>
      <c r="Q9" s="90">
        <v>10</v>
      </c>
      <c r="R9" s="90">
        <v>9</v>
      </c>
      <c r="S9" s="90">
        <v>9</v>
      </c>
      <c r="T9" s="90">
        <v>9</v>
      </c>
      <c r="U9" s="90">
        <v>9</v>
      </c>
      <c r="V9" s="90">
        <v>9</v>
      </c>
      <c r="W9" s="91" t="str">
        <f t="shared" si="7"/>
        <v>N</v>
      </c>
      <c r="X9" s="128">
        <f t="shared" si="8"/>
        <v>0</v>
      </c>
      <c r="Y9" s="128" t="str">
        <f t="shared" si="5"/>
        <v>0-4.9%</v>
      </c>
      <c r="Z9" s="6" t="s">
        <v>198</v>
      </c>
    </row>
    <row r="10" spans="1:26" ht="24" customHeight="1" x14ac:dyDescent="0.25">
      <c r="A10" s="14">
        <f t="shared" si="6"/>
        <v>4</v>
      </c>
      <c r="B10" s="7">
        <v>0.54722222222222217</v>
      </c>
      <c r="C10" s="5" t="s">
        <v>27</v>
      </c>
      <c r="D10" s="5">
        <f t="shared" si="0"/>
        <v>7</v>
      </c>
      <c r="E10" s="29">
        <v>2</v>
      </c>
      <c r="F10" s="21" t="s">
        <v>12</v>
      </c>
      <c r="G10" s="19">
        <v>3.65</v>
      </c>
      <c r="H10" s="19">
        <v>9.5</v>
      </c>
      <c r="I10" s="19"/>
      <c r="J10" s="19"/>
      <c r="K10" s="19"/>
      <c r="L10" s="19"/>
      <c r="M10" s="19"/>
      <c r="N10" s="89">
        <f t="shared" si="1"/>
        <v>13.15</v>
      </c>
      <c r="O10" s="89">
        <f t="shared" si="2"/>
        <v>8.5617032949573275</v>
      </c>
      <c r="P10" s="90">
        <v>8</v>
      </c>
      <c r="Q10" s="90">
        <v>10</v>
      </c>
      <c r="R10" s="90">
        <v>9</v>
      </c>
      <c r="S10" s="90">
        <v>9</v>
      </c>
      <c r="T10" s="90">
        <v>9</v>
      </c>
      <c r="U10" s="90">
        <v>9</v>
      </c>
      <c r="V10" s="90">
        <v>9</v>
      </c>
      <c r="W10" s="91" t="str">
        <f t="shared" si="7"/>
        <v>N</v>
      </c>
      <c r="X10" s="128">
        <f t="shared" si="8"/>
        <v>0</v>
      </c>
      <c r="Y10" s="128" t="str">
        <f t="shared" si="5"/>
        <v>0-4.9%</v>
      </c>
      <c r="Z10" s="6" t="s">
        <v>206</v>
      </c>
    </row>
    <row r="11" spans="1:26" ht="24" customHeight="1" x14ac:dyDescent="0.25">
      <c r="A11" s="14">
        <f t="shared" si="6"/>
        <v>5</v>
      </c>
      <c r="B11" s="7">
        <v>0.55555555555555558</v>
      </c>
      <c r="C11" s="33" t="s">
        <v>29</v>
      </c>
      <c r="D11" s="5">
        <f t="shared" si="0"/>
        <v>7</v>
      </c>
      <c r="E11" s="29">
        <v>2</v>
      </c>
      <c r="F11" s="21" t="s">
        <v>12</v>
      </c>
      <c r="G11" s="19">
        <v>3.9</v>
      </c>
      <c r="H11" s="19">
        <v>7.4499999999999993</v>
      </c>
      <c r="I11" s="19"/>
      <c r="J11" s="19"/>
      <c r="K11" s="19"/>
      <c r="L11" s="19"/>
      <c r="M11" s="19"/>
      <c r="N11" s="89">
        <f t="shared" si="1"/>
        <v>11.35</v>
      </c>
      <c r="O11" s="89">
        <f t="shared" si="2"/>
        <v>4.4144404484513853</v>
      </c>
      <c r="P11" s="90">
        <v>8</v>
      </c>
      <c r="Q11" s="90">
        <v>10</v>
      </c>
      <c r="R11" s="90">
        <v>9</v>
      </c>
      <c r="S11" s="90">
        <v>9</v>
      </c>
      <c r="T11" s="90">
        <v>9</v>
      </c>
      <c r="U11" s="90">
        <v>9</v>
      </c>
      <c r="V11" s="90">
        <v>9</v>
      </c>
      <c r="W11" s="91" t="str">
        <f t="shared" si="7"/>
        <v>N</v>
      </c>
      <c r="X11" s="128">
        <f t="shared" si="8"/>
        <v>0</v>
      </c>
      <c r="Y11" s="128" t="str">
        <f t="shared" si="5"/>
        <v>0-4.9%</v>
      </c>
      <c r="Z11" s="22" t="s">
        <v>235</v>
      </c>
    </row>
    <row r="12" spans="1:26" ht="24" customHeight="1" x14ac:dyDescent="0.25">
      <c r="A12" s="14">
        <f t="shared" si="6"/>
        <v>6</v>
      </c>
      <c r="B12" s="7">
        <v>0.55694444444444446</v>
      </c>
      <c r="C12" s="5" t="s">
        <v>31</v>
      </c>
      <c r="D12" s="5">
        <f t="shared" si="0"/>
        <v>7</v>
      </c>
      <c r="E12" s="29">
        <v>7</v>
      </c>
      <c r="F12" s="21" t="s">
        <v>12</v>
      </c>
      <c r="G12" s="19">
        <v>2.7</v>
      </c>
      <c r="H12" s="19">
        <v>5.75</v>
      </c>
      <c r="I12" s="19"/>
      <c r="J12" s="19"/>
      <c r="K12" s="19"/>
      <c r="L12" s="19"/>
      <c r="M12" s="19"/>
      <c r="N12" s="89">
        <f t="shared" si="1"/>
        <v>8.4499999999999993</v>
      </c>
      <c r="O12" s="89">
        <f t="shared" si="2"/>
        <v>1.1701713905942686</v>
      </c>
      <c r="P12" s="90">
        <v>8</v>
      </c>
      <c r="Q12" s="90">
        <v>10</v>
      </c>
      <c r="R12" s="90">
        <v>9</v>
      </c>
      <c r="S12" s="90">
        <v>9</v>
      </c>
      <c r="T12" s="90">
        <v>9</v>
      </c>
      <c r="U12" s="90">
        <v>9</v>
      </c>
      <c r="V12" s="90">
        <v>9</v>
      </c>
      <c r="W12" s="91" t="str">
        <f t="shared" si="7"/>
        <v>N</v>
      </c>
      <c r="X12" s="128">
        <f t="shared" si="8"/>
        <v>0</v>
      </c>
      <c r="Y12" s="128" t="str">
        <f t="shared" si="5"/>
        <v>0-4.9%</v>
      </c>
      <c r="Z12" s="11" t="s">
        <v>203</v>
      </c>
    </row>
    <row r="13" spans="1:26" ht="24" customHeight="1" x14ac:dyDescent="0.25">
      <c r="A13" s="14">
        <f t="shared" si="6"/>
        <v>7</v>
      </c>
      <c r="B13" s="7">
        <v>0.64166666666666672</v>
      </c>
      <c r="C13" s="5" t="s">
        <v>40</v>
      </c>
      <c r="D13" s="5">
        <f t="shared" si="0"/>
        <v>7</v>
      </c>
      <c r="E13" s="29">
        <v>2</v>
      </c>
      <c r="F13" s="21" t="s">
        <v>12</v>
      </c>
      <c r="G13" s="19">
        <v>4.6999999999999993</v>
      </c>
      <c r="H13" s="19">
        <v>10.9</v>
      </c>
      <c r="I13" s="19"/>
      <c r="J13" s="19"/>
      <c r="K13" s="19"/>
      <c r="L13" s="19"/>
      <c r="M13" s="19"/>
      <c r="N13" s="89">
        <f t="shared" si="1"/>
        <v>15.6</v>
      </c>
      <c r="O13" s="89">
        <f t="shared" si="2"/>
        <v>18.469493181777395</v>
      </c>
      <c r="P13" s="90">
        <v>8</v>
      </c>
      <c r="Q13" s="90">
        <v>10</v>
      </c>
      <c r="R13" s="90">
        <v>9</v>
      </c>
      <c r="S13" s="90">
        <v>9</v>
      </c>
      <c r="T13" s="90">
        <v>9</v>
      </c>
      <c r="U13" s="90">
        <v>9</v>
      </c>
      <c r="V13" s="90">
        <v>9</v>
      </c>
      <c r="W13" s="91" t="str">
        <f t="shared" si="7"/>
        <v>Y</v>
      </c>
      <c r="X13" s="128">
        <f t="shared" si="8"/>
        <v>9.0000000000000038E-2</v>
      </c>
      <c r="Y13" s="128" t="str">
        <f t="shared" si="5"/>
        <v>5-25%</v>
      </c>
      <c r="Z13" s="22" t="s">
        <v>235</v>
      </c>
    </row>
    <row r="14" spans="1:26" ht="24" customHeight="1" x14ac:dyDescent="0.25">
      <c r="A14" s="14">
        <v>1</v>
      </c>
      <c r="B14" s="96">
        <v>0.30694444444444441</v>
      </c>
      <c r="C14" s="79" t="s">
        <v>69</v>
      </c>
      <c r="D14" s="5">
        <f t="shared" si="0"/>
        <v>7</v>
      </c>
      <c r="E14" s="79">
        <v>2</v>
      </c>
      <c r="F14" s="15" t="s">
        <v>12</v>
      </c>
      <c r="G14" s="19">
        <v>4.5999999999999996</v>
      </c>
      <c r="H14" s="19">
        <v>7.3000000000000007</v>
      </c>
      <c r="I14" s="19"/>
      <c r="J14" s="19"/>
      <c r="K14" s="19"/>
      <c r="L14" s="19"/>
      <c r="M14" s="19"/>
      <c r="N14" s="89">
        <f t="shared" si="1"/>
        <v>11.9</v>
      </c>
      <c r="O14" s="89">
        <f t="shared" si="2"/>
        <v>5.4620492515408277</v>
      </c>
      <c r="P14" s="90">
        <v>8</v>
      </c>
      <c r="Q14" s="90">
        <v>10</v>
      </c>
      <c r="R14" s="90">
        <v>9</v>
      </c>
      <c r="S14" s="90">
        <v>9</v>
      </c>
      <c r="T14" s="90">
        <v>9</v>
      </c>
      <c r="U14" s="90">
        <v>9</v>
      </c>
      <c r="V14" s="90">
        <v>9</v>
      </c>
      <c r="W14" s="91" t="str">
        <f t="shared" si="7"/>
        <v>N</v>
      </c>
      <c r="X14" s="128">
        <f t="shared" si="8"/>
        <v>0</v>
      </c>
      <c r="Y14" s="128" t="str">
        <f t="shared" si="5"/>
        <v>0-4.9%</v>
      </c>
      <c r="Z14" s="22" t="s">
        <v>235</v>
      </c>
    </row>
    <row r="15" spans="1:26" ht="24" customHeight="1" x14ac:dyDescent="0.25">
      <c r="A15" s="14">
        <f>A14+1</f>
        <v>2</v>
      </c>
      <c r="B15" s="7">
        <v>0.31319444444444444</v>
      </c>
      <c r="C15" s="50" t="s">
        <v>70</v>
      </c>
      <c r="D15" s="5">
        <f t="shared" si="0"/>
        <v>7</v>
      </c>
      <c r="E15" s="5">
        <v>2</v>
      </c>
      <c r="F15" s="10" t="s">
        <v>12</v>
      </c>
      <c r="G15" s="19">
        <v>3.5</v>
      </c>
      <c r="H15" s="19">
        <v>9.8500000000000014</v>
      </c>
      <c r="I15" s="19"/>
      <c r="J15" s="19"/>
      <c r="K15" s="19"/>
      <c r="L15" s="19"/>
      <c r="M15" s="19"/>
      <c r="N15" s="89">
        <f t="shared" si="1"/>
        <v>13.350000000000001</v>
      </c>
      <c r="O15" s="89">
        <f t="shared" si="2"/>
        <v>9.1634703986466928</v>
      </c>
      <c r="P15" s="90">
        <v>8</v>
      </c>
      <c r="Q15" s="90">
        <v>10</v>
      </c>
      <c r="R15" s="90">
        <v>9</v>
      </c>
      <c r="S15" s="90">
        <v>9</v>
      </c>
      <c r="T15" s="90">
        <v>9</v>
      </c>
      <c r="U15" s="90">
        <v>9</v>
      </c>
      <c r="V15" s="90">
        <v>9</v>
      </c>
      <c r="W15" s="91" t="str">
        <f t="shared" si="7"/>
        <v>N</v>
      </c>
      <c r="X15" s="128">
        <f t="shared" si="8"/>
        <v>0</v>
      </c>
      <c r="Y15" s="128" t="str">
        <f t="shared" si="5"/>
        <v>0-4.9%</v>
      </c>
      <c r="Z15" s="22" t="s">
        <v>235</v>
      </c>
    </row>
    <row r="16" spans="1:26" ht="24" customHeight="1" x14ac:dyDescent="0.25">
      <c r="A16" s="14">
        <f>A15+1</f>
        <v>3</v>
      </c>
      <c r="B16" s="7">
        <v>0.37291666666666662</v>
      </c>
      <c r="C16" s="5" t="s">
        <v>77</v>
      </c>
      <c r="D16" s="5">
        <f t="shared" si="0"/>
        <v>7</v>
      </c>
      <c r="E16" s="5">
        <v>2</v>
      </c>
      <c r="F16" s="15" t="s">
        <v>12</v>
      </c>
      <c r="G16" s="19">
        <v>4.9000000000000004</v>
      </c>
      <c r="H16" s="19">
        <v>10.15</v>
      </c>
      <c r="I16" s="19"/>
      <c r="J16" s="19"/>
      <c r="K16" s="19"/>
      <c r="L16" s="19"/>
      <c r="M16" s="19"/>
      <c r="N16" s="89">
        <f t="shared" si="1"/>
        <v>15.05</v>
      </c>
      <c r="O16" s="89">
        <f t="shared" si="2"/>
        <v>15.71478831621722</v>
      </c>
      <c r="P16" s="90">
        <v>8</v>
      </c>
      <c r="Q16" s="90">
        <v>10</v>
      </c>
      <c r="R16" s="90">
        <v>9</v>
      </c>
      <c r="S16" s="90">
        <v>9</v>
      </c>
      <c r="T16" s="90">
        <v>9</v>
      </c>
      <c r="U16" s="90">
        <v>9</v>
      </c>
      <c r="V16" s="90">
        <v>9</v>
      </c>
      <c r="W16" s="91" t="str">
        <f t="shared" si="7"/>
        <v>Y</v>
      </c>
      <c r="X16" s="128">
        <f t="shared" si="8"/>
        <v>1.5000000000000036E-2</v>
      </c>
      <c r="Y16" s="128" t="str">
        <f t="shared" si="5"/>
        <v>0-4.9%</v>
      </c>
      <c r="Z16" s="22" t="s">
        <v>235</v>
      </c>
    </row>
    <row r="17" spans="1:28" ht="24" customHeight="1" x14ac:dyDescent="0.25">
      <c r="A17" s="14">
        <v>1</v>
      </c>
      <c r="B17" s="95">
        <v>0.32500000000000001</v>
      </c>
      <c r="C17" s="79" t="s">
        <v>107</v>
      </c>
      <c r="D17" s="5">
        <f t="shared" si="0"/>
        <v>7</v>
      </c>
      <c r="E17" s="79">
        <v>2</v>
      </c>
      <c r="F17" s="15" t="s">
        <v>12</v>
      </c>
      <c r="G17" s="19">
        <v>4.6999999999999993</v>
      </c>
      <c r="H17" s="19">
        <v>11.100000000000001</v>
      </c>
      <c r="I17" s="19"/>
      <c r="J17" s="19"/>
      <c r="K17" s="19"/>
      <c r="L17" s="19"/>
      <c r="M17" s="19"/>
      <c r="N17" s="89">
        <f t="shared" si="1"/>
        <v>15.8</v>
      </c>
      <c r="O17" s="89">
        <f t="shared" si="2"/>
        <v>19.559204024918479</v>
      </c>
      <c r="P17" s="90">
        <v>8</v>
      </c>
      <c r="Q17" s="90">
        <v>10</v>
      </c>
      <c r="R17" s="90">
        <v>9</v>
      </c>
      <c r="S17" s="90">
        <v>9</v>
      </c>
      <c r="T17" s="90">
        <v>9</v>
      </c>
      <c r="U17" s="90">
        <v>9</v>
      </c>
      <c r="V17" s="90">
        <v>9</v>
      </c>
      <c r="W17" s="91" t="str">
        <f t="shared" si="7"/>
        <v>Y</v>
      </c>
      <c r="X17" s="128">
        <f t="shared" si="8"/>
        <v>0.11000000000000014</v>
      </c>
      <c r="Y17" s="128" t="str">
        <f t="shared" si="5"/>
        <v>5-25%</v>
      </c>
      <c r="Z17" s="22" t="s">
        <v>235</v>
      </c>
      <c r="AB17" s="38"/>
    </row>
    <row r="18" spans="1:28" ht="24" customHeight="1" x14ac:dyDescent="0.25">
      <c r="A18" s="14">
        <f t="shared" ref="A18:A54" si="9">A17+1</f>
        <v>2</v>
      </c>
      <c r="B18" s="7">
        <v>0.32916666666666666</v>
      </c>
      <c r="C18" s="5" t="s">
        <v>108</v>
      </c>
      <c r="D18" s="5">
        <f t="shared" si="0"/>
        <v>7</v>
      </c>
      <c r="E18" s="5">
        <v>2</v>
      </c>
      <c r="F18" s="10" t="s">
        <v>12</v>
      </c>
      <c r="G18" s="19">
        <v>5</v>
      </c>
      <c r="H18" s="19">
        <v>10.100000000000001</v>
      </c>
      <c r="I18" s="19"/>
      <c r="J18" s="19"/>
      <c r="K18" s="19"/>
      <c r="L18" s="19"/>
      <c r="M18" s="19"/>
      <c r="N18" s="89">
        <f t="shared" si="1"/>
        <v>15.100000000000001</v>
      </c>
      <c r="O18" s="89">
        <f t="shared" si="2"/>
        <v>15.951096720961438</v>
      </c>
      <c r="P18" s="90">
        <v>8</v>
      </c>
      <c r="Q18" s="90">
        <v>10</v>
      </c>
      <c r="R18" s="90">
        <v>9</v>
      </c>
      <c r="S18" s="90">
        <v>9</v>
      </c>
      <c r="T18" s="90">
        <v>9</v>
      </c>
      <c r="U18" s="90">
        <v>9</v>
      </c>
      <c r="V18" s="90">
        <v>9</v>
      </c>
      <c r="W18" s="91" t="str">
        <f t="shared" si="7"/>
        <v>Y</v>
      </c>
      <c r="X18" s="128">
        <f t="shared" si="8"/>
        <v>1.0000000000000142E-2</v>
      </c>
      <c r="Y18" s="128" t="str">
        <f t="shared" si="5"/>
        <v>0-4.9%</v>
      </c>
      <c r="Z18" s="22" t="s">
        <v>235</v>
      </c>
    </row>
    <row r="19" spans="1:28" ht="24" customHeight="1" x14ac:dyDescent="0.25">
      <c r="A19" s="14">
        <f t="shared" si="9"/>
        <v>3</v>
      </c>
      <c r="B19" s="7">
        <v>0.4055555555555555</v>
      </c>
      <c r="C19" s="5" t="s">
        <v>116</v>
      </c>
      <c r="D19" s="5">
        <f t="shared" si="0"/>
        <v>7</v>
      </c>
      <c r="E19" s="5">
        <v>2</v>
      </c>
      <c r="F19" s="15" t="s">
        <v>12</v>
      </c>
      <c r="G19" s="19">
        <v>3.75</v>
      </c>
      <c r="H19" s="19">
        <v>10.75</v>
      </c>
      <c r="I19" s="19"/>
      <c r="J19" s="19"/>
      <c r="K19" s="19"/>
      <c r="L19" s="19"/>
      <c r="M19" s="19"/>
      <c r="N19" s="89">
        <f t="shared" si="1"/>
        <v>14.5</v>
      </c>
      <c r="O19" s="89">
        <f t="shared" si="2"/>
        <v>13.290774687403411</v>
      </c>
      <c r="P19" s="90">
        <v>8</v>
      </c>
      <c r="Q19" s="90">
        <v>10</v>
      </c>
      <c r="R19" s="90">
        <v>9</v>
      </c>
      <c r="S19" s="90">
        <v>9</v>
      </c>
      <c r="T19" s="90">
        <v>9</v>
      </c>
      <c r="U19" s="90">
        <v>9</v>
      </c>
      <c r="V19" s="90">
        <v>9</v>
      </c>
      <c r="W19" s="91" t="str">
        <f t="shared" si="7"/>
        <v>Y</v>
      </c>
      <c r="X19" s="128">
        <f t="shared" si="8"/>
        <v>7.4999999999999997E-2</v>
      </c>
      <c r="Y19" s="128" t="str">
        <f t="shared" si="5"/>
        <v>5-25%</v>
      </c>
      <c r="Z19" s="6" t="s">
        <v>203</v>
      </c>
    </row>
    <row r="20" spans="1:28" ht="24" customHeight="1" x14ac:dyDescent="0.25">
      <c r="A20" s="14">
        <f t="shared" si="9"/>
        <v>4</v>
      </c>
      <c r="B20" s="7">
        <v>0.47500000000000003</v>
      </c>
      <c r="C20" s="5" t="s">
        <v>29</v>
      </c>
      <c r="D20" s="5">
        <f t="shared" si="0"/>
        <v>7</v>
      </c>
      <c r="E20" s="5">
        <v>2</v>
      </c>
      <c r="F20" s="15" t="s">
        <v>12</v>
      </c>
      <c r="G20" s="19">
        <v>4.0999999999999996</v>
      </c>
      <c r="H20" s="19">
        <v>8.6999999999999993</v>
      </c>
      <c r="I20" s="19"/>
      <c r="J20" s="19"/>
      <c r="K20" s="19"/>
      <c r="L20" s="19"/>
      <c r="M20" s="19"/>
      <c r="N20" s="89">
        <f t="shared" si="1"/>
        <v>12.799999999999999</v>
      </c>
      <c r="O20" s="89">
        <f t="shared" si="2"/>
        <v>7.5829667035311177</v>
      </c>
      <c r="P20" s="90">
        <v>8</v>
      </c>
      <c r="Q20" s="90">
        <v>10</v>
      </c>
      <c r="R20" s="90">
        <v>9</v>
      </c>
      <c r="S20" s="90">
        <v>9</v>
      </c>
      <c r="T20" s="90">
        <v>9</v>
      </c>
      <c r="U20" s="90">
        <v>9</v>
      </c>
      <c r="V20" s="90">
        <v>9</v>
      </c>
      <c r="W20" s="91" t="str">
        <f t="shared" si="7"/>
        <v>N</v>
      </c>
      <c r="X20" s="128">
        <f t="shared" si="8"/>
        <v>0</v>
      </c>
      <c r="Y20" s="128" t="str">
        <f t="shared" si="5"/>
        <v>0-4.9%</v>
      </c>
      <c r="Z20" s="6" t="s">
        <v>200</v>
      </c>
    </row>
    <row r="21" spans="1:28" ht="24" customHeight="1" x14ac:dyDescent="0.25">
      <c r="A21" s="14">
        <f t="shared" si="9"/>
        <v>5</v>
      </c>
      <c r="B21" s="7">
        <v>0.71527777777777779</v>
      </c>
      <c r="C21" s="5" t="s">
        <v>120</v>
      </c>
      <c r="D21" s="5">
        <f t="shared" si="0"/>
        <v>7</v>
      </c>
      <c r="E21" s="5">
        <v>2</v>
      </c>
      <c r="F21" s="15" t="s">
        <v>12</v>
      </c>
      <c r="G21" s="19">
        <v>5.55</v>
      </c>
      <c r="H21" s="19">
        <v>5.65</v>
      </c>
      <c r="I21" s="19"/>
      <c r="J21" s="19"/>
      <c r="K21" s="19"/>
      <c r="L21" s="19"/>
      <c r="M21" s="19"/>
      <c r="N21" s="89">
        <f t="shared" si="1"/>
        <v>11.2</v>
      </c>
      <c r="O21" s="89">
        <f t="shared" si="2"/>
        <v>4.1579129013188014</v>
      </c>
      <c r="P21" s="90">
        <v>8</v>
      </c>
      <c r="Q21" s="90">
        <v>10</v>
      </c>
      <c r="R21" s="90">
        <v>9</v>
      </c>
      <c r="S21" s="90">
        <v>9</v>
      </c>
      <c r="T21" s="90">
        <v>9</v>
      </c>
      <c r="U21" s="90">
        <v>9</v>
      </c>
      <c r="V21" s="90">
        <v>9</v>
      </c>
      <c r="W21" s="91" t="str">
        <f t="shared" si="7"/>
        <v>N</v>
      </c>
      <c r="X21" s="128">
        <f t="shared" si="8"/>
        <v>0</v>
      </c>
      <c r="Y21" s="128" t="str">
        <f t="shared" si="5"/>
        <v>0-4.9%</v>
      </c>
      <c r="Z21" s="6" t="s">
        <v>204</v>
      </c>
    </row>
    <row r="22" spans="1:28" s="113" customFormat="1" ht="24" customHeight="1" x14ac:dyDescent="0.25">
      <c r="A22" s="75">
        <f t="shared" si="9"/>
        <v>6</v>
      </c>
      <c r="B22" s="110">
        <v>0.35625000000000001</v>
      </c>
      <c r="C22" s="111" t="s">
        <v>73</v>
      </c>
      <c r="D22" s="79">
        <f t="shared" si="0"/>
        <v>9</v>
      </c>
      <c r="E22" s="111">
        <v>3</v>
      </c>
      <c r="F22" s="111" t="s">
        <v>74</v>
      </c>
      <c r="G22" s="36">
        <v>5.5</v>
      </c>
      <c r="H22" s="36">
        <v>15</v>
      </c>
      <c r="I22" s="36">
        <v>15</v>
      </c>
      <c r="J22" s="36"/>
      <c r="K22" s="36"/>
      <c r="L22" s="36"/>
      <c r="M22" s="36"/>
      <c r="N22" s="112">
        <f t="shared" si="1"/>
        <v>35.5</v>
      </c>
      <c r="O22" s="112">
        <f t="shared" si="2"/>
        <v>747.17421222640166</v>
      </c>
      <c r="P22" s="90">
        <v>8</v>
      </c>
      <c r="Q22" s="90">
        <v>10</v>
      </c>
      <c r="R22" s="90">
        <v>9</v>
      </c>
      <c r="S22" s="90">
        <v>9</v>
      </c>
      <c r="T22" s="90">
        <v>9</v>
      </c>
      <c r="U22" s="90">
        <v>9</v>
      </c>
      <c r="V22" s="90">
        <v>9</v>
      </c>
      <c r="W22" s="91" t="str">
        <f t="shared" si="7"/>
        <v>Y</v>
      </c>
      <c r="X22" s="128">
        <f t="shared" si="8"/>
        <v>0.6</v>
      </c>
      <c r="Y22" s="128" t="str">
        <f t="shared" si="5"/>
        <v>Over 50%</v>
      </c>
      <c r="Z22" s="22" t="s">
        <v>235</v>
      </c>
    </row>
    <row r="23" spans="1:28" s="113" customFormat="1" ht="24" customHeight="1" x14ac:dyDescent="0.25">
      <c r="A23" s="14">
        <f t="shared" si="9"/>
        <v>7</v>
      </c>
      <c r="B23" s="20">
        <v>0.3611111111111111</v>
      </c>
      <c r="C23" s="15" t="s">
        <v>109</v>
      </c>
      <c r="D23" s="79">
        <f t="shared" si="0"/>
        <v>9</v>
      </c>
      <c r="E23" s="15">
        <v>3</v>
      </c>
      <c r="F23" s="15" t="s">
        <v>110</v>
      </c>
      <c r="G23" s="19">
        <v>5.3</v>
      </c>
      <c r="H23" s="19">
        <v>8.75</v>
      </c>
      <c r="I23" s="19">
        <v>9.35</v>
      </c>
      <c r="J23" s="19"/>
      <c r="K23" s="19"/>
      <c r="L23" s="19"/>
      <c r="M23" s="19"/>
      <c r="N23" s="112">
        <f t="shared" si="1"/>
        <v>23.4</v>
      </c>
      <c r="O23" s="112">
        <f t="shared" si="2"/>
        <v>114.51586132364298</v>
      </c>
      <c r="P23" s="90">
        <v>8</v>
      </c>
      <c r="Q23" s="90">
        <v>10</v>
      </c>
      <c r="R23" s="90">
        <v>9</v>
      </c>
      <c r="S23" s="90">
        <v>9</v>
      </c>
      <c r="T23" s="90">
        <v>9</v>
      </c>
      <c r="U23" s="90">
        <v>9</v>
      </c>
      <c r="V23" s="90">
        <v>9</v>
      </c>
      <c r="W23" s="91" t="str">
        <f t="shared" si="7"/>
        <v>Y</v>
      </c>
      <c r="X23" s="128">
        <f t="shared" si="8"/>
        <v>3.4999999999999962E-2</v>
      </c>
      <c r="Y23" s="128" t="str">
        <f t="shared" si="5"/>
        <v>0-4.9%</v>
      </c>
      <c r="Z23" s="22" t="s">
        <v>198</v>
      </c>
    </row>
    <row r="24" spans="1:28" s="113" customFormat="1" ht="24" customHeight="1" x14ac:dyDescent="0.25">
      <c r="A24" s="14">
        <f t="shared" si="9"/>
        <v>8</v>
      </c>
      <c r="B24" s="95">
        <v>0.3666666666666667</v>
      </c>
      <c r="C24" s="79" t="s">
        <v>111</v>
      </c>
      <c r="D24" s="79">
        <f t="shared" si="0"/>
        <v>9</v>
      </c>
      <c r="E24" s="79">
        <v>2</v>
      </c>
      <c r="F24" s="79" t="s">
        <v>12</v>
      </c>
      <c r="G24" s="19">
        <v>4.5</v>
      </c>
      <c r="H24" s="19">
        <v>10.3</v>
      </c>
      <c r="I24" s="19">
        <v>0</v>
      </c>
      <c r="J24" s="19"/>
      <c r="K24" s="19"/>
      <c r="L24" s="19"/>
      <c r="M24" s="19"/>
      <c r="N24" s="112">
        <f t="shared" si="1"/>
        <v>14.8</v>
      </c>
      <c r="O24" s="112">
        <f t="shared" si="2"/>
        <v>14.573773140333429</v>
      </c>
      <c r="P24" s="90">
        <v>8</v>
      </c>
      <c r="Q24" s="90">
        <v>10</v>
      </c>
      <c r="R24" s="90">
        <v>9</v>
      </c>
      <c r="S24" s="90">
        <v>9</v>
      </c>
      <c r="T24" s="90">
        <v>9</v>
      </c>
      <c r="U24" s="90">
        <v>9</v>
      </c>
      <c r="V24" s="90">
        <v>9</v>
      </c>
      <c r="W24" s="91" t="str">
        <f t="shared" si="7"/>
        <v>Y</v>
      </c>
      <c r="X24" s="128">
        <f t="shared" si="8"/>
        <v>3.0000000000000072E-2</v>
      </c>
      <c r="Y24" s="128" t="str">
        <f t="shared" si="5"/>
        <v>0-4.9%</v>
      </c>
      <c r="Z24" s="22" t="s">
        <v>198</v>
      </c>
    </row>
    <row r="25" spans="1:28" ht="24" customHeight="1" x14ac:dyDescent="0.25">
      <c r="A25" s="14">
        <f t="shared" si="9"/>
        <v>9</v>
      </c>
      <c r="B25" s="7">
        <v>0.40277777777777773</v>
      </c>
      <c r="C25" s="5" t="s">
        <v>18</v>
      </c>
      <c r="D25" s="5">
        <f t="shared" si="0"/>
        <v>10</v>
      </c>
      <c r="E25" s="29">
        <v>4</v>
      </c>
      <c r="F25" s="18" t="s">
        <v>19</v>
      </c>
      <c r="G25" s="19">
        <v>5.95</v>
      </c>
      <c r="H25" s="19">
        <v>5.5</v>
      </c>
      <c r="I25" s="19">
        <v>9.4499999999999993</v>
      </c>
      <c r="J25" s="19">
        <v>6.5</v>
      </c>
      <c r="K25" s="19"/>
      <c r="L25" s="19"/>
      <c r="M25" s="19"/>
      <c r="N25" s="89">
        <f t="shared" si="1"/>
        <v>27.4</v>
      </c>
      <c r="O25" s="89">
        <f t="shared" si="2"/>
        <v>232.95488306014582</v>
      </c>
      <c r="P25" s="90">
        <v>8</v>
      </c>
      <c r="Q25" s="90">
        <v>10</v>
      </c>
      <c r="R25" s="90">
        <v>9</v>
      </c>
      <c r="S25" s="90">
        <v>9</v>
      </c>
      <c r="T25" s="90">
        <v>9</v>
      </c>
      <c r="U25" s="90">
        <v>9</v>
      </c>
      <c r="V25" s="90">
        <v>9</v>
      </c>
      <c r="W25" s="91" t="str">
        <f t="shared" si="7"/>
        <v>Y</v>
      </c>
      <c r="X25" s="128">
        <f t="shared" si="8"/>
        <v>4.4999999999999929E-2</v>
      </c>
      <c r="Y25" s="128" t="str">
        <f t="shared" si="5"/>
        <v>0-4.9%</v>
      </c>
      <c r="Z25" s="22" t="s">
        <v>235</v>
      </c>
    </row>
    <row r="26" spans="1:28" ht="24" customHeight="1" x14ac:dyDescent="0.25">
      <c r="A26" s="14">
        <f t="shared" si="9"/>
        <v>10</v>
      </c>
      <c r="B26" s="7">
        <v>0.50486111111111109</v>
      </c>
      <c r="C26" s="5" t="s">
        <v>24</v>
      </c>
      <c r="D26" s="5">
        <f t="shared" si="0"/>
        <v>10</v>
      </c>
      <c r="E26" s="29">
        <v>5</v>
      </c>
      <c r="F26" s="21" t="s">
        <v>25</v>
      </c>
      <c r="G26" s="19">
        <v>7.15</v>
      </c>
      <c r="H26" s="19">
        <v>4.9499999999999993</v>
      </c>
      <c r="I26" s="19">
        <v>8.3000000000000007</v>
      </c>
      <c r="J26" s="19">
        <v>5.5</v>
      </c>
      <c r="K26" s="19">
        <v>2.2999999999999998</v>
      </c>
      <c r="L26" s="19"/>
      <c r="M26" s="19"/>
      <c r="N26" s="89">
        <f t="shared" si="1"/>
        <v>28.2</v>
      </c>
      <c r="O26" s="89">
        <f t="shared" si="2"/>
        <v>265.16443430326132</v>
      </c>
      <c r="P26" s="90">
        <v>8</v>
      </c>
      <c r="Q26" s="90">
        <v>10</v>
      </c>
      <c r="R26" s="90">
        <v>9</v>
      </c>
      <c r="S26" s="90">
        <v>9</v>
      </c>
      <c r="T26" s="90">
        <v>9</v>
      </c>
      <c r="U26" s="90">
        <v>9</v>
      </c>
      <c r="V26" s="90">
        <v>9</v>
      </c>
      <c r="W26" s="91" t="str">
        <f t="shared" si="7"/>
        <v>N</v>
      </c>
      <c r="X26" s="128">
        <f t="shared" si="8"/>
        <v>0</v>
      </c>
      <c r="Y26" s="128" t="str">
        <f t="shared" si="5"/>
        <v>0-4.9%</v>
      </c>
      <c r="Z26" s="22" t="s">
        <v>235</v>
      </c>
    </row>
    <row r="27" spans="1:28" ht="24" customHeight="1" x14ac:dyDescent="0.25">
      <c r="A27" s="14">
        <f t="shared" si="9"/>
        <v>11</v>
      </c>
      <c r="B27" s="7">
        <v>0.53541666666666665</v>
      </c>
      <c r="C27" s="5" t="s">
        <v>26</v>
      </c>
      <c r="D27" s="5">
        <f t="shared" si="0"/>
        <v>10</v>
      </c>
      <c r="E27" s="29">
        <v>5</v>
      </c>
      <c r="F27" s="21" t="s">
        <v>25</v>
      </c>
      <c r="G27" s="19">
        <v>5.0999999999999996</v>
      </c>
      <c r="H27" s="19">
        <v>5.3000000000000007</v>
      </c>
      <c r="I27" s="19">
        <v>10</v>
      </c>
      <c r="J27" s="19">
        <v>6</v>
      </c>
      <c r="K27" s="19">
        <v>4</v>
      </c>
      <c r="L27" s="19"/>
      <c r="M27" s="19"/>
      <c r="N27" s="89">
        <f t="shared" si="1"/>
        <v>30.4</v>
      </c>
      <c r="O27" s="89">
        <f t="shared" si="2"/>
        <v>371.8137204819617</v>
      </c>
      <c r="P27" s="90">
        <v>8</v>
      </c>
      <c r="Q27" s="90">
        <v>10</v>
      </c>
      <c r="R27" s="90">
        <v>9</v>
      </c>
      <c r="S27" s="90">
        <v>9</v>
      </c>
      <c r="T27" s="90">
        <v>9</v>
      </c>
      <c r="U27" s="90">
        <v>9</v>
      </c>
      <c r="V27" s="90">
        <v>9</v>
      </c>
      <c r="W27" s="91" t="str">
        <f t="shared" si="7"/>
        <v>Y</v>
      </c>
      <c r="X27" s="128">
        <f t="shared" si="8"/>
        <v>0.1</v>
      </c>
      <c r="Y27" s="128" t="str">
        <f t="shared" si="5"/>
        <v>5-25%</v>
      </c>
      <c r="Z27" s="22" t="s">
        <v>235</v>
      </c>
    </row>
    <row r="28" spans="1:28" ht="24" customHeight="1" x14ac:dyDescent="0.25">
      <c r="A28" s="14">
        <f t="shared" si="9"/>
        <v>12</v>
      </c>
      <c r="B28" s="7">
        <v>0.61249999999999993</v>
      </c>
      <c r="C28" s="5" t="s">
        <v>32</v>
      </c>
      <c r="D28" s="5">
        <f t="shared" si="0"/>
        <v>10</v>
      </c>
      <c r="E28" s="29">
        <v>6</v>
      </c>
      <c r="F28" s="21" t="s">
        <v>33</v>
      </c>
      <c r="G28" s="19">
        <v>5.25</v>
      </c>
      <c r="H28" s="19">
        <v>6.85</v>
      </c>
      <c r="I28" s="19">
        <v>6.85</v>
      </c>
      <c r="J28" s="19">
        <v>6.5</v>
      </c>
      <c r="K28" s="19">
        <v>7.35</v>
      </c>
      <c r="L28" s="19">
        <v>7.55</v>
      </c>
      <c r="M28" s="19"/>
      <c r="N28" s="89">
        <f t="shared" si="1"/>
        <v>40.349999999999994</v>
      </c>
      <c r="O28" s="89">
        <f t="shared" si="2"/>
        <v>1329.5057237048118</v>
      </c>
      <c r="P28" s="90">
        <v>8</v>
      </c>
      <c r="Q28" s="90">
        <v>10</v>
      </c>
      <c r="R28" s="90">
        <v>9</v>
      </c>
      <c r="S28" s="90">
        <v>9</v>
      </c>
      <c r="T28" s="90">
        <v>9</v>
      </c>
      <c r="U28" s="90">
        <v>9</v>
      </c>
      <c r="V28" s="90">
        <v>9</v>
      </c>
      <c r="W28" s="91" t="str">
        <f t="shared" si="7"/>
        <v>N</v>
      </c>
      <c r="X28" s="128">
        <f t="shared" si="8"/>
        <v>0</v>
      </c>
      <c r="Y28" s="128" t="str">
        <f t="shared" si="5"/>
        <v>0-4.9%</v>
      </c>
      <c r="Z28" s="22" t="s">
        <v>235</v>
      </c>
    </row>
    <row r="29" spans="1:28" ht="24" customHeight="1" x14ac:dyDescent="0.25">
      <c r="A29" s="14">
        <f t="shared" si="9"/>
        <v>13</v>
      </c>
      <c r="B29" s="7">
        <v>0.61388888888888882</v>
      </c>
      <c r="C29" s="5" t="s">
        <v>34</v>
      </c>
      <c r="D29" s="5">
        <f t="shared" si="0"/>
        <v>10</v>
      </c>
      <c r="E29" s="29">
        <v>6</v>
      </c>
      <c r="F29" s="21" t="s">
        <v>35</v>
      </c>
      <c r="G29" s="19">
        <v>5.4</v>
      </c>
      <c r="H29" s="19">
        <v>4.8</v>
      </c>
      <c r="I29" s="19">
        <v>7.85</v>
      </c>
      <c r="J29" s="19">
        <v>8.3000000000000007</v>
      </c>
      <c r="K29" s="19">
        <v>8.1</v>
      </c>
      <c r="L29" s="19">
        <v>8.35</v>
      </c>
      <c r="M29" s="19"/>
      <c r="N29" s="89">
        <f t="shared" si="1"/>
        <v>42.8</v>
      </c>
      <c r="O29" s="89">
        <f t="shared" si="2"/>
        <v>1733.3698816610756</v>
      </c>
      <c r="P29" s="90">
        <v>8</v>
      </c>
      <c r="Q29" s="90">
        <v>10</v>
      </c>
      <c r="R29" s="90">
        <v>9</v>
      </c>
      <c r="S29" s="90">
        <v>9</v>
      </c>
      <c r="T29" s="90">
        <v>9</v>
      </c>
      <c r="U29" s="90">
        <v>9</v>
      </c>
      <c r="V29" s="90">
        <v>9</v>
      </c>
      <c r="W29" s="91" t="str">
        <f t="shared" si="7"/>
        <v>N</v>
      </c>
      <c r="X29" s="128">
        <f t="shared" si="8"/>
        <v>0</v>
      </c>
      <c r="Y29" s="128" t="str">
        <f t="shared" si="5"/>
        <v>0-4.9%</v>
      </c>
      <c r="Z29" s="11" t="s">
        <v>200</v>
      </c>
    </row>
    <row r="30" spans="1:28" ht="24" customHeight="1" x14ac:dyDescent="0.25">
      <c r="A30" s="14">
        <f t="shared" si="9"/>
        <v>14</v>
      </c>
      <c r="B30" s="7">
        <v>0.61736111111111114</v>
      </c>
      <c r="C30" s="5" t="s">
        <v>36</v>
      </c>
      <c r="D30" s="5">
        <f t="shared" si="0"/>
        <v>10</v>
      </c>
      <c r="E30" s="29">
        <v>6</v>
      </c>
      <c r="F30" s="18" t="s">
        <v>35</v>
      </c>
      <c r="G30" s="19">
        <v>5.6</v>
      </c>
      <c r="H30" s="19">
        <v>5.95</v>
      </c>
      <c r="I30" s="19">
        <v>9.1000000000000014</v>
      </c>
      <c r="J30" s="19">
        <v>7.45</v>
      </c>
      <c r="K30" s="19">
        <v>7.4499999999999993</v>
      </c>
      <c r="L30" s="19">
        <v>6.3000000000000007</v>
      </c>
      <c r="M30" s="19"/>
      <c r="N30" s="89">
        <f t="shared" si="1"/>
        <v>41.849999999999994</v>
      </c>
      <c r="O30" s="89">
        <f t="shared" si="2"/>
        <v>1566.8371712447545</v>
      </c>
      <c r="P30" s="90">
        <v>8</v>
      </c>
      <c r="Q30" s="90">
        <v>10</v>
      </c>
      <c r="R30" s="90">
        <v>9</v>
      </c>
      <c r="S30" s="90">
        <v>9</v>
      </c>
      <c r="T30" s="90">
        <v>9</v>
      </c>
      <c r="U30" s="90">
        <v>9</v>
      </c>
      <c r="V30" s="90">
        <v>9</v>
      </c>
      <c r="W30" s="91" t="str">
        <f t="shared" si="7"/>
        <v>Y</v>
      </c>
      <c r="X30" s="128">
        <f t="shared" si="8"/>
        <v>1.0000000000000142E-2</v>
      </c>
      <c r="Y30" s="128" t="str">
        <f t="shared" si="5"/>
        <v>0-4.9%</v>
      </c>
      <c r="Z30" s="6" t="s">
        <v>200</v>
      </c>
    </row>
    <row r="31" spans="1:28" ht="24" customHeight="1" x14ac:dyDescent="0.25">
      <c r="A31" s="14">
        <f t="shared" si="9"/>
        <v>15</v>
      </c>
      <c r="B31" s="7">
        <v>0.65</v>
      </c>
      <c r="C31" s="5" t="s">
        <v>41</v>
      </c>
      <c r="D31" s="5">
        <f t="shared" si="0"/>
        <v>10</v>
      </c>
      <c r="E31" s="29">
        <v>6</v>
      </c>
      <c r="F31" s="21" t="s">
        <v>42</v>
      </c>
      <c r="G31" s="19">
        <v>6.65</v>
      </c>
      <c r="H31" s="19">
        <v>5.9499999999999993</v>
      </c>
      <c r="I31" s="19">
        <v>8.3000000000000007</v>
      </c>
      <c r="J31" s="19">
        <v>7</v>
      </c>
      <c r="K31" s="19">
        <v>7.05</v>
      </c>
      <c r="L31" s="19">
        <v>7.1</v>
      </c>
      <c r="M31" s="19"/>
      <c r="N31" s="89">
        <f t="shared" si="1"/>
        <v>42.05</v>
      </c>
      <c r="O31" s="89">
        <f t="shared" si="2"/>
        <v>1600.8155201893537</v>
      </c>
      <c r="P31" s="90">
        <v>8</v>
      </c>
      <c r="Q31" s="90">
        <v>10</v>
      </c>
      <c r="R31" s="90">
        <v>9</v>
      </c>
      <c r="S31" s="90">
        <v>9</v>
      </c>
      <c r="T31" s="90">
        <v>9</v>
      </c>
      <c r="U31" s="90">
        <v>9</v>
      </c>
      <c r="V31" s="90">
        <v>9</v>
      </c>
      <c r="W31" s="91" t="str">
        <f t="shared" si="7"/>
        <v>N</v>
      </c>
      <c r="X31" s="128">
        <f t="shared" si="8"/>
        <v>0</v>
      </c>
      <c r="Y31" s="128" t="str">
        <f t="shared" si="5"/>
        <v>0-4.9%</v>
      </c>
      <c r="Z31" s="6" t="s">
        <v>204</v>
      </c>
    </row>
    <row r="32" spans="1:28" ht="24" customHeight="1" x14ac:dyDescent="0.25">
      <c r="A32" s="14">
        <f t="shared" si="9"/>
        <v>16</v>
      </c>
      <c r="B32" s="7">
        <v>0.71458333333333324</v>
      </c>
      <c r="C32" s="5" t="s">
        <v>43</v>
      </c>
      <c r="D32" s="5">
        <f t="shared" si="0"/>
        <v>10</v>
      </c>
      <c r="E32" s="29">
        <v>6</v>
      </c>
      <c r="F32" s="21" t="s">
        <v>33</v>
      </c>
      <c r="G32" s="19">
        <v>5.65</v>
      </c>
      <c r="H32" s="19">
        <v>7.4</v>
      </c>
      <c r="I32" s="19">
        <v>7.4499999999999993</v>
      </c>
      <c r="J32" s="19">
        <v>7.3</v>
      </c>
      <c r="K32" s="19">
        <v>7.5500000000000007</v>
      </c>
      <c r="L32" s="19">
        <v>7.8500000000000005</v>
      </c>
      <c r="M32" s="19"/>
      <c r="N32" s="89">
        <f t="shared" si="1"/>
        <v>43.2</v>
      </c>
      <c r="O32" s="89">
        <f t="shared" si="2"/>
        <v>1807.4702021626645</v>
      </c>
      <c r="P32" s="90">
        <v>8</v>
      </c>
      <c r="Q32" s="90">
        <v>10</v>
      </c>
      <c r="R32" s="90">
        <v>9</v>
      </c>
      <c r="S32" s="90">
        <v>9</v>
      </c>
      <c r="T32" s="90">
        <v>9</v>
      </c>
      <c r="U32" s="90">
        <v>9</v>
      </c>
      <c r="V32" s="90">
        <v>9</v>
      </c>
      <c r="W32" s="91" t="str">
        <f t="shared" si="7"/>
        <v>N</v>
      </c>
      <c r="X32" s="128">
        <f t="shared" si="8"/>
        <v>0</v>
      </c>
      <c r="Y32" s="128" t="str">
        <f t="shared" si="5"/>
        <v>0-4.9%</v>
      </c>
      <c r="Z32" s="22" t="s">
        <v>235</v>
      </c>
    </row>
    <row r="33" spans="1:26" ht="24" customHeight="1" x14ac:dyDescent="0.25">
      <c r="A33" s="14">
        <f t="shared" si="9"/>
        <v>17</v>
      </c>
      <c r="B33" s="7">
        <v>0.74444444444444446</v>
      </c>
      <c r="C33" s="5" t="s">
        <v>44</v>
      </c>
      <c r="D33" s="5">
        <f t="shared" si="0"/>
        <v>10</v>
      </c>
      <c r="E33" s="29">
        <v>6</v>
      </c>
      <c r="F33" s="21" t="s">
        <v>33</v>
      </c>
      <c r="G33" s="19">
        <v>5.15</v>
      </c>
      <c r="H33" s="19">
        <v>8.6</v>
      </c>
      <c r="I33" s="19">
        <v>6.5500000000000007</v>
      </c>
      <c r="J33" s="19">
        <v>8.6</v>
      </c>
      <c r="K33" s="19">
        <v>6.65</v>
      </c>
      <c r="L33" s="19">
        <v>5.6</v>
      </c>
      <c r="M33" s="19"/>
      <c r="N33" s="89">
        <f t="shared" si="1"/>
        <v>41.15</v>
      </c>
      <c r="O33" s="89">
        <f t="shared" si="2"/>
        <v>1452.307444578629</v>
      </c>
      <c r="P33" s="90">
        <v>8</v>
      </c>
      <c r="Q33" s="90">
        <v>10</v>
      </c>
      <c r="R33" s="90">
        <v>9</v>
      </c>
      <c r="S33" s="90">
        <v>9</v>
      </c>
      <c r="T33" s="90">
        <v>9</v>
      </c>
      <c r="U33" s="90">
        <v>9</v>
      </c>
      <c r="V33" s="90">
        <v>9</v>
      </c>
      <c r="W33" s="91" t="str">
        <f t="shared" si="7"/>
        <v>N</v>
      </c>
      <c r="X33" s="128">
        <f t="shared" si="8"/>
        <v>0</v>
      </c>
      <c r="Y33" s="128" t="str">
        <f t="shared" si="5"/>
        <v>0-4.9%</v>
      </c>
      <c r="Z33" s="6" t="s">
        <v>200</v>
      </c>
    </row>
    <row r="34" spans="1:26" ht="24" customHeight="1" x14ac:dyDescent="0.25">
      <c r="A34" s="14">
        <f t="shared" si="9"/>
        <v>18</v>
      </c>
      <c r="B34" s="7">
        <v>0.3347222222222222</v>
      </c>
      <c r="C34" s="5" t="s">
        <v>71</v>
      </c>
      <c r="D34" s="5">
        <f t="shared" si="0"/>
        <v>10</v>
      </c>
      <c r="E34" s="5">
        <v>6</v>
      </c>
      <c r="F34" s="15" t="s">
        <v>35</v>
      </c>
      <c r="G34" s="19">
        <v>5.7</v>
      </c>
      <c r="H34" s="19">
        <v>5.9499999999999993</v>
      </c>
      <c r="I34" s="19">
        <v>8.4499999999999993</v>
      </c>
      <c r="J34" s="19">
        <v>9.1000000000000014</v>
      </c>
      <c r="K34" s="19">
        <v>8.4499999999999993</v>
      </c>
      <c r="L34" s="19">
        <v>7.9499999999999993</v>
      </c>
      <c r="M34" s="19"/>
      <c r="N34" s="89">
        <f t="shared" si="1"/>
        <v>45.599999999999994</v>
      </c>
      <c r="O34" s="89">
        <f t="shared" si="2"/>
        <v>2305.3457955711228</v>
      </c>
      <c r="P34" s="90">
        <v>8</v>
      </c>
      <c r="Q34" s="90">
        <v>10</v>
      </c>
      <c r="R34" s="90">
        <v>9</v>
      </c>
      <c r="S34" s="90">
        <v>9</v>
      </c>
      <c r="T34" s="90">
        <v>9</v>
      </c>
      <c r="U34" s="90">
        <v>9</v>
      </c>
      <c r="V34" s="90">
        <v>9</v>
      </c>
      <c r="W34" s="91" t="str">
        <f t="shared" si="7"/>
        <v>Y</v>
      </c>
      <c r="X34" s="128">
        <f t="shared" si="8"/>
        <v>1.0000000000000142E-2</v>
      </c>
      <c r="Y34" s="128" t="str">
        <f t="shared" si="5"/>
        <v>0-4.9%</v>
      </c>
      <c r="Z34" s="6" t="s">
        <v>198</v>
      </c>
    </row>
    <row r="35" spans="1:26" ht="24" customHeight="1" x14ac:dyDescent="0.25">
      <c r="A35" s="14">
        <f t="shared" si="9"/>
        <v>19</v>
      </c>
      <c r="B35" s="7">
        <v>0.33749999999999997</v>
      </c>
      <c r="C35" s="5" t="s">
        <v>72</v>
      </c>
      <c r="D35" s="5">
        <f t="shared" si="0"/>
        <v>10</v>
      </c>
      <c r="E35" s="5">
        <v>6</v>
      </c>
      <c r="F35" s="15" t="s">
        <v>33</v>
      </c>
      <c r="G35" s="19">
        <v>5.6999999999999993</v>
      </c>
      <c r="H35" s="19">
        <v>7</v>
      </c>
      <c r="I35" s="19">
        <v>7</v>
      </c>
      <c r="J35" s="19">
        <v>9.25</v>
      </c>
      <c r="K35" s="19">
        <v>7.7</v>
      </c>
      <c r="L35" s="19">
        <v>6.9</v>
      </c>
      <c r="M35" s="19"/>
      <c r="N35" s="89">
        <f t="shared" si="1"/>
        <v>43.55</v>
      </c>
      <c r="O35" s="89">
        <f t="shared" si="2"/>
        <v>1874.3081889963289</v>
      </c>
      <c r="P35" s="90">
        <v>8</v>
      </c>
      <c r="Q35" s="90">
        <v>10</v>
      </c>
      <c r="R35" s="90">
        <v>9</v>
      </c>
      <c r="S35" s="90">
        <v>9</v>
      </c>
      <c r="T35" s="90">
        <v>9</v>
      </c>
      <c r="U35" s="90">
        <v>9</v>
      </c>
      <c r="V35" s="90">
        <v>9</v>
      </c>
      <c r="W35" s="91" t="str">
        <f t="shared" si="7"/>
        <v>Y</v>
      </c>
      <c r="X35" s="128">
        <f t="shared" si="8"/>
        <v>2.5000000000000001E-2</v>
      </c>
      <c r="Y35" s="128" t="str">
        <f t="shared" si="5"/>
        <v>0-4.9%</v>
      </c>
      <c r="Z35" s="6" t="s">
        <v>198</v>
      </c>
    </row>
    <row r="36" spans="1:26" ht="24" customHeight="1" x14ac:dyDescent="0.25">
      <c r="A36" s="14">
        <f t="shared" si="9"/>
        <v>20</v>
      </c>
      <c r="B36" s="7">
        <v>0.35833333333333334</v>
      </c>
      <c r="C36" s="5" t="s">
        <v>75</v>
      </c>
      <c r="D36" s="5">
        <f t="shared" si="0"/>
        <v>10</v>
      </c>
      <c r="E36" s="5">
        <v>6</v>
      </c>
      <c r="F36" s="15" t="s">
        <v>33</v>
      </c>
      <c r="G36" s="19">
        <v>6.2</v>
      </c>
      <c r="H36" s="19">
        <v>9.5500000000000007</v>
      </c>
      <c r="I36" s="19">
        <v>7.3</v>
      </c>
      <c r="J36" s="19">
        <v>8.4499999999999993</v>
      </c>
      <c r="K36" s="19">
        <v>7.55</v>
      </c>
      <c r="L36" s="19">
        <v>7.5</v>
      </c>
      <c r="M36" s="19"/>
      <c r="N36" s="89">
        <f t="shared" si="1"/>
        <v>46.55</v>
      </c>
      <c r="O36" s="89">
        <f t="shared" si="2"/>
        <v>2529.4894333641014</v>
      </c>
      <c r="P36" s="90">
        <v>8</v>
      </c>
      <c r="Q36" s="90">
        <v>10</v>
      </c>
      <c r="R36" s="90">
        <v>9</v>
      </c>
      <c r="S36" s="90">
        <v>9</v>
      </c>
      <c r="T36" s="90">
        <v>9</v>
      </c>
      <c r="U36" s="90">
        <v>9</v>
      </c>
      <c r="V36" s="90">
        <v>9</v>
      </c>
      <c r="W36" s="91" t="str">
        <f t="shared" si="7"/>
        <v>N</v>
      </c>
      <c r="X36" s="128">
        <f t="shared" si="8"/>
        <v>0</v>
      </c>
      <c r="Y36" s="128" t="str">
        <f t="shared" si="5"/>
        <v>0-4.9%</v>
      </c>
      <c r="Z36" s="22" t="s">
        <v>235</v>
      </c>
    </row>
    <row r="37" spans="1:26" ht="23.25" customHeight="1" thickBot="1" x14ac:dyDescent="0.3">
      <c r="A37" s="65">
        <f t="shared" si="9"/>
        <v>21</v>
      </c>
      <c r="B37" s="41">
        <v>0.36805555555555558</v>
      </c>
      <c r="C37" s="97" t="s">
        <v>76</v>
      </c>
      <c r="D37" s="5">
        <f t="shared" si="0"/>
        <v>10</v>
      </c>
      <c r="E37" s="42">
        <v>6</v>
      </c>
      <c r="F37" s="67" t="s">
        <v>33</v>
      </c>
      <c r="G37" s="19">
        <v>5.15</v>
      </c>
      <c r="H37" s="19">
        <v>7.7</v>
      </c>
      <c r="I37" s="19">
        <v>5.05</v>
      </c>
      <c r="J37" s="19">
        <v>9.1</v>
      </c>
      <c r="K37" s="19">
        <v>7.85</v>
      </c>
      <c r="L37" s="19">
        <v>8.75</v>
      </c>
      <c r="M37" s="19"/>
      <c r="N37" s="89">
        <f t="shared" si="1"/>
        <v>43.6</v>
      </c>
      <c r="O37" s="89">
        <f t="shared" si="2"/>
        <v>1884.0112306876006</v>
      </c>
      <c r="P37" s="90">
        <v>8</v>
      </c>
      <c r="Q37" s="90">
        <v>10</v>
      </c>
      <c r="R37" s="90">
        <v>9</v>
      </c>
      <c r="S37" s="90">
        <v>9</v>
      </c>
      <c r="T37" s="90">
        <v>9</v>
      </c>
      <c r="U37" s="90">
        <v>9</v>
      </c>
      <c r="V37" s="90">
        <v>9</v>
      </c>
      <c r="W37" s="91" t="str">
        <f t="shared" si="7"/>
        <v>Y</v>
      </c>
      <c r="X37" s="128">
        <f t="shared" si="8"/>
        <v>9.9999999999999638E-3</v>
      </c>
      <c r="Y37" s="128" t="str">
        <f t="shared" si="5"/>
        <v>0-4.9%</v>
      </c>
      <c r="Z37" s="6" t="s">
        <v>206</v>
      </c>
    </row>
    <row r="38" spans="1:26" ht="24" customHeight="1" x14ac:dyDescent="0.25">
      <c r="A38" s="59">
        <f t="shared" si="9"/>
        <v>22</v>
      </c>
      <c r="B38" s="60">
        <v>0.44166666666666665</v>
      </c>
      <c r="C38" s="61" t="s">
        <v>78</v>
      </c>
      <c r="D38" s="5">
        <f t="shared" si="0"/>
        <v>10</v>
      </c>
      <c r="E38" s="61">
        <v>4</v>
      </c>
      <c r="F38" s="62" t="s">
        <v>85</v>
      </c>
      <c r="G38" s="73">
        <v>7</v>
      </c>
      <c r="H38" s="73">
        <v>5.6</v>
      </c>
      <c r="I38" s="73">
        <v>10.25</v>
      </c>
      <c r="J38" s="73">
        <v>7.3</v>
      </c>
      <c r="K38" s="73"/>
      <c r="L38" s="73"/>
      <c r="M38" s="73"/>
      <c r="N38" s="89">
        <f t="shared" si="1"/>
        <v>30.150000000000002</v>
      </c>
      <c r="O38" s="89">
        <f t="shared" si="2"/>
        <v>358.25083371285535</v>
      </c>
      <c r="P38" s="90">
        <v>8</v>
      </c>
      <c r="Q38" s="90">
        <v>10</v>
      </c>
      <c r="R38" s="90">
        <v>9</v>
      </c>
      <c r="S38" s="90">
        <v>9</v>
      </c>
      <c r="T38" s="90">
        <v>9</v>
      </c>
      <c r="U38" s="90">
        <v>9</v>
      </c>
      <c r="V38" s="90">
        <v>9</v>
      </c>
      <c r="W38" s="91" t="str">
        <f t="shared" si="7"/>
        <v>Y</v>
      </c>
      <c r="X38" s="128">
        <f t="shared" si="8"/>
        <v>0.125</v>
      </c>
      <c r="Y38" s="128" t="str">
        <f t="shared" si="5"/>
        <v>5-25%</v>
      </c>
      <c r="Z38" s="11" t="s">
        <v>203</v>
      </c>
    </row>
    <row r="39" spans="1:26" ht="24" customHeight="1" x14ac:dyDescent="0.25">
      <c r="A39" s="14">
        <f t="shared" si="9"/>
        <v>23</v>
      </c>
      <c r="B39" s="7">
        <v>0.44444444444444442</v>
      </c>
      <c r="C39" s="5" t="s">
        <v>79</v>
      </c>
      <c r="D39" s="5">
        <f t="shared" si="0"/>
        <v>10</v>
      </c>
      <c r="E39" s="5">
        <v>6</v>
      </c>
      <c r="F39" s="79" t="s">
        <v>86</v>
      </c>
      <c r="G39" s="73">
        <v>5.35</v>
      </c>
      <c r="H39" s="73">
        <v>8.9499999999999993</v>
      </c>
      <c r="I39" s="73">
        <v>4.75</v>
      </c>
      <c r="J39" s="73">
        <v>9.6999999999999993</v>
      </c>
      <c r="K39" s="73">
        <v>8.15</v>
      </c>
      <c r="L39" s="73">
        <v>6.7</v>
      </c>
      <c r="M39" s="73"/>
      <c r="N39" s="89">
        <f t="shared" si="1"/>
        <v>43.6</v>
      </c>
      <c r="O39" s="89">
        <f t="shared" si="2"/>
        <v>1884.0112306876006</v>
      </c>
      <c r="P39" s="90">
        <v>8</v>
      </c>
      <c r="Q39" s="90">
        <v>10</v>
      </c>
      <c r="R39" s="90">
        <v>9</v>
      </c>
      <c r="S39" s="90">
        <v>9</v>
      </c>
      <c r="T39" s="90">
        <v>9</v>
      </c>
      <c r="U39" s="90">
        <v>9</v>
      </c>
      <c r="V39" s="90">
        <v>9</v>
      </c>
      <c r="W39" s="91" t="str">
        <f t="shared" si="7"/>
        <v>Y</v>
      </c>
      <c r="X39" s="128">
        <f t="shared" si="8"/>
        <v>6.9999999999999923E-2</v>
      </c>
      <c r="Y39" s="128" t="str">
        <f t="shared" si="5"/>
        <v>5-25%</v>
      </c>
      <c r="Z39" s="22" t="s">
        <v>235</v>
      </c>
    </row>
    <row r="40" spans="1:26" ht="24" customHeight="1" x14ac:dyDescent="0.25">
      <c r="A40" s="14">
        <f t="shared" si="9"/>
        <v>24</v>
      </c>
      <c r="B40" s="7">
        <v>0.46388888888888885</v>
      </c>
      <c r="C40" s="5" t="s">
        <v>80</v>
      </c>
      <c r="D40" s="5">
        <f t="shared" si="0"/>
        <v>10</v>
      </c>
      <c r="E40" s="5">
        <v>6</v>
      </c>
      <c r="F40" s="15" t="s">
        <v>42</v>
      </c>
      <c r="G40" s="73">
        <v>5.85</v>
      </c>
      <c r="H40" s="73">
        <v>5.9</v>
      </c>
      <c r="I40" s="73">
        <v>9.6000000000000014</v>
      </c>
      <c r="J40" s="73">
        <v>8.15</v>
      </c>
      <c r="K40" s="73">
        <v>8.1000000000000014</v>
      </c>
      <c r="L40" s="73">
        <v>7.6999999999999993</v>
      </c>
      <c r="M40" s="73"/>
      <c r="N40" s="89">
        <f t="shared" si="1"/>
        <v>45.3</v>
      </c>
      <c r="O40" s="89">
        <f t="shared" si="2"/>
        <v>2237.8769065291922</v>
      </c>
      <c r="P40" s="90">
        <v>8</v>
      </c>
      <c r="Q40" s="90">
        <v>10</v>
      </c>
      <c r="R40" s="90">
        <v>9</v>
      </c>
      <c r="S40" s="90">
        <v>9</v>
      </c>
      <c r="T40" s="90">
        <v>9</v>
      </c>
      <c r="U40" s="90">
        <v>9</v>
      </c>
      <c r="V40" s="90">
        <v>9</v>
      </c>
      <c r="W40" s="91" t="str">
        <f t="shared" si="7"/>
        <v>Y</v>
      </c>
      <c r="X40" s="128">
        <f t="shared" si="8"/>
        <v>6.0000000000000143E-2</v>
      </c>
      <c r="Y40" s="128" t="str">
        <f t="shared" si="5"/>
        <v>5-25%</v>
      </c>
      <c r="Z40" s="6" t="s">
        <v>200</v>
      </c>
    </row>
    <row r="41" spans="1:26" ht="24" customHeight="1" x14ac:dyDescent="0.25">
      <c r="A41" s="14">
        <f t="shared" si="9"/>
        <v>25</v>
      </c>
      <c r="B41" s="7">
        <v>0.47638888888888892</v>
      </c>
      <c r="C41" s="5" t="s">
        <v>81</v>
      </c>
      <c r="D41" s="5">
        <f t="shared" si="0"/>
        <v>10</v>
      </c>
      <c r="E41" s="5">
        <v>6</v>
      </c>
      <c r="F41" s="15" t="s">
        <v>35</v>
      </c>
      <c r="G41" s="73">
        <v>5</v>
      </c>
      <c r="H41" s="73">
        <v>4.0999999999999996</v>
      </c>
      <c r="I41" s="73">
        <v>6.1</v>
      </c>
      <c r="J41" s="73">
        <v>6.35</v>
      </c>
      <c r="K41" s="73">
        <v>5.5</v>
      </c>
      <c r="L41" s="73">
        <v>5.7</v>
      </c>
      <c r="M41" s="73"/>
      <c r="N41" s="89">
        <f t="shared" si="1"/>
        <v>32.75</v>
      </c>
      <c r="O41" s="89">
        <f t="shared" si="2"/>
        <v>519.81062833773501</v>
      </c>
      <c r="P41" s="90">
        <v>8</v>
      </c>
      <c r="Q41" s="90">
        <v>10</v>
      </c>
      <c r="R41" s="90">
        <v>9</v>
      </c>
      <c r="S41" s="90">
        <v>9</v>
      </c>
      <c r="T41" s="90">
        <v>9</v>
      </c>
      <c r="U41" s="90">
        <v>9</v>
      </c>
      <c r="V41" s="90">
        <v>9</v>
      </c>
      <c r="W41" s="91" t="str">
        <f t="shared" si="7"/>
        <v>N</v>
      </c>
      <c r="X41" s="128">
        <f t="shared" si="8"/>
        <v>0</v>
      </c>
      <c r="Y41" s="128" t="str">
        <f t="shared" si="5"/>
        <v>0-4.9%</v>
      </c>
      <c r="Z41" s="6" t="s">
        <v>200</v>
      </c>
    </row>
    <row r="42" spans="1:26" ht="24" customHeight="1" x14ac:dyDescent="0.25">
      <c r="A42" s="14">
        <f t="shared" si="9"/>
        <v>26</v>
      </c>
      <c r="B42" s="7">
        <v>0.4861111111111111</v>
      </c>
      <c r="C42" s="5" t="s">
        <v>82</v>
      </c>
      <c r="D42" s="5">
        <f t="shared" si="0"/>
        <v>10</v>
      </c>
      <c r="E42" s="5">
        <v>6</v>
      </c>
      <c r="F42" s="15" t="s">
        <v>33</v>
      </c>
      <c r="G42" s="73">
        <v>5.4</v>
      </c>
      <c r="H42" s="73">
        <v>6.9</v>
      </c>
      <c r="I42" s="73">
        <v>6.5</v>
      </c>
      <c r="J42" s="73">
        <v>5.5</v>
      </c>
      <c r="K42" s="73">
        <v>5.5</v>
      </c>
      <c r="L42" s="73">
        <v>5.85</v>
      </c>
      <c r="M42" s="73"/>
      <c r="N42" s="89">
        <f t="shared" si="1"/>
        <v>35.65</v>
      </c>
      <c r="O42" s="89">
        <f t="shared" si="2"/>
        <v>761.48646685197525</v>
      </c>
      <c r="P42" s="90">
        <v>8</v>
      </c>
      <c r="Q42" s="90">
        <v>10</v>
      </c>
      <c r="R42" s="90">
        <v>9</v>
      </c>
      <c r="S42" s="90">
        <v>9</v>
      </c>
      <c r="T42" s="90">
        <v>9</v>
      </c>
      <c r="U42" s="90">
        <v>9</v>
      </c>
      <c r="V42" s="90">
        <v>9</v>
      </c>
      <c r="W42" s="91" t="str">
        <f t="shared" si="7"/>
        <v>N</v>
      </c>
      <c r="X42" s="128">
        <f t="shared" si="8"/>
        <v>0</v>
      </c>
      <c r="Y42" s="128" t="str">
        <f t="shared" si="5"/>
        <v>0-4.9%</v>
      </c>
      <c r="Z42" s="22" t="s">
        <v>235</v>
      </c>
    </row>
    <row r="43" spans="1:26" ht="24" customHeight="1" x14ac:dyDescent="0.25">
      <c r="A43" s="14">
        <f t="shared" si="9"/>
        <v>27</v>
      </c>
      <c r="B43" s="7">
        <v>0.48749999999999999</v>
      </c>
      <c r="C43" s="5" t="s">
        <v>83</v>
      </c>
      <c r="D43" s="5">
        <f t="shared" si="0"/>
        <v>10</v>
      </c>
      <c r="E43" s="5">
        <v>6</v>
      </c>
      <c r="F43" s="15" t="s">
        <v>33</v>
      </c>
      <c r="G43" s="73">
        <v>6.6</v>
      </c>
      <c r="H43" s="73">
        <v>9.1999999999999993</v>
      </c>
      <c r="I43" s="73">
        <v>8.4</v>
      </c>
      <c r="J43" s="73">
        <v>7.4</v>
      </c>
      <c r="K43" s="73">
        <v>6.1999999999999993</v>
      </c>
      <c r="L43" s="73">
        <v>6.8</v>
      </c>
      <c r="M43" s="73"/>
      <c r="N43" s="89">
        <f t="shared" si="1"/>
        <v>44.599999999999994</v>
      </c>
      <c r="O43" s="89">
        <f t="shared" si="2"/>
        <v>2086.4171784298433</v>
      </c>
      <c r="P43" s="90">
        <v>8</v>
      </c>
      <c r="Q43" s="90">
        <v>10</v>
      </c>
      <c r="R43" s="90">
        <v>9</v>
      </c>
      <c r="S43" s="90">
        <v>9</v>
      </c>
      <c r="T43" s="90">
        <v>9</v>
      </c>
      <c r="U43" s="90">
        <v>9</v>
      </c>
      <c r="V43" s="90">
        <v>9</v>
      </c>
      <c r="W43" s="91" t="str">
        <f t="shared" si="7"/>
        <v>N</v>
      </c>
      <c r="X43" s="128">
        <f t="shared" si="8"/>
        <v>0</v>
      </c>
      <c r="Y43" s="128" t="str">
        <f t="shared" si="5"/>
        <v>0-4.9%</v>
      </c>
      <c r="Z43" s="11" t="s">
        <v>204</v>
      </c>
    </row>
    <row r="44" spans="1:26" ht="24" customHeight="1" x14ac:dyDescent="0.25">
      <c r="A44" s="14">
        <f t="shared" si="9"/>
        <v>28</v>
      </c>
      <c r="B44" s="7">
        <v>0.53541666666666665</v>
      </c>
      <c r="C44" s="5" t="s">
        <v>84</v>
      </c>
      <c r="D44" s="5">
        <f t="shared" si="0"/>
        <v>10</v>
      </c>
      <c r="E44" s="5">
        <v>7</v>
      </c>
      <c r="F44" s="15" t="s">
        <v>47</v>
      </c>
      <c r="G44" s="73">
        <v>6.75</v>
      </c>
      <c r="H44" s="73">
        <v>7.8</v>
      </c>
      <c r="I44" s="73">
        <v>7.9</v>
      </c>
      <c r="J44" s="73">
        <v>6.55</v>
      </c>
      <c r="K44" s="73">
        <v>6.4499999999999993</v>
      </c>
      <c r="L44" s="73">
        <v>7.4</v>
      </c>
      <c r="M44" s="73">
        <v>6.9499999999999993</v>
      </c>
      <c r="N44" s="89">
        <f t="shared" si="1"/>
        <v>49.8</v>
      </c>
      <c r="O44" s="89">
        <f t="shared" si="2"/>
        <v>3427.0964572575303</v>
      </c>
      <c r="P44" s="90">
        <v>8</v>
      </c>
      <c r="Q44" s="90">
        <v>10</v>
      </c>
      <c r="R44" s="90">
        <v>9</v>
      </c>
      <c r="S44" s="90">
        <v>9</v>
      </c>
      <c r="T44" s="90">
        <v>9</v>
      </c>
      <c r="U44" s="90">
        <v>9</v>
      </c>
      <c r="V44" s="90">
        <v>9</v>
      </c>
      <c r="W44" s="91" t="str">
        <f t="shared" si="7"/>
        <v>N</v>
      </c>
      <c r="X44" s="128">
        <f t="shared" si="8"/>
        <v>0</v>
      </c>
      <c r="Y44" s="128" t="str">
        <f t="shared" si="5"/>
        <v>0-4.9%</v>
      </c>
      <c r="Z44" s="22" t="s">
        <v>235</v>
      </c>
    </row>
    <row r="45" spans="1:26" ht="24" customHeight="1" x14ac:dyDescent="0.25">
      <c r="A45" s="14">
        <f t="shared" si="9"/>
        <v>29</v>
      </c>
      <c r="B45" s="7">
        <v>0.3756944444444445</v>
      </c>
      <c r="C45" s="5" t="s">
        <v>112</v>
      </c>
      <c r="D45" s="5">
        <f t="shared" si="0"/>
        <v>10</v>
      </c>
      <c r="E45" s="5">
        <v>6</v>
      </c>
      <c r="F45" s="15" t="s">
        <v>42</v>
      </c>
      <c r="G45" s="73">
        <v>7.05</v>
      </c>
      <c r="H45" s="73">
        <v>5.8000000000000007</v>
      </c>
      <c r="I45" s="73">
        <v>7.25</v>
      </c>
      <c r="J45" s="73">
        <v>7.35</v>
      </c>
      <c r="K45" s="73">
        <v>7</v>
      </c>
      <c r="L45" s="73">
        <v>7.15</v>
      </c>
      <c r="M45" s="73"/>
      <c r="N45" s="89">
        <f t="shared" si="1"/>
        <v>41.6</v>
      </c>
      <c r="O45" s="89">
        <f t="shared" si="2"/>
        <v>1525.1560204656332</v>
      </c>
      <c r="P45" s="90">
        <v>8</v>
      </c>
      <c r="Q45" s="90">
        <v>10</v>
      </c>
      <c r="R45" s="90">
        <v>9</v>
      </c>
      <c r="S45" s="90">
        <v>9</v>
      </c>
      <c r="T45" s="90">
        <v>9</v>
      </c>
      <c r="U45" s="90">
        <v>9</v>
      </c>
      <c r="V45" s="90">
        <v>9</v>
      </c>
      <c r="W45" s="91" t="str">
        <f t="shared" si="7"/>
        <v>N</v>
      </c>
      <c r="X45" s="128">
        <f t="shared" si="8"/>
        <v>0</v>
      </c>
      <c r="Y45" s="128" t="str">
        <f t="shared" si="5"/>
        <v>0-4.9%</v>
      </c>
      <c r="Z45" s="22" t="s">
        <v>235</v>
      </c>
    </row>
    <row r="46" spans="1:26" ht="24" customHeight="1" x14ac:dyDescent="0.25">
      <c r="A46" s="14">
        <f t="shared" si="9"/>
        <v>30</v>
      </c>
      <c r="B46" s="7">
        <v>0.38055555555555554</v>
      </c>
      <c r="C46" s="5" t="s">
        <v>113</v>
      </c>
      <c r="D46" s="5">
        <f t="shared" si="0"/>
        <v>10</v>
      </c>
      <c r="E46" s="5">
        <v>6</v>
      </c>
      <c r="F46" s="15" t="s">
        <v>35</v>
      </c>
      <c r="G46" s="73">
        <v>6.25</v>
      </c>
      <c r="H46" s="73">
        <v>4.5500000000000007</v>
      </c>
      <c r="I46" s="73">
        <v>9.1499999999999986</v>
      </c>
      <c r="J46" s="73">
        <v>7</v>
      </c>
      <c r="K46" s="73">
        <v>8.1999999999999993</v>
      </c>
      <c r="L46" s="73">
        <v>7.1</v>
      </c>
      <c r="M46" s="73"/>
      <c r="N46" s="89">
        <f t="shared" si="1"/>
        <v>42.25</v>
      </c>
      <c r="O46" s="89">
        <f t="shared" si="2"/>
        <v>1635.3642341839027</v>
      </c>
      <c r="P46" s="90">
        <v>8</v>
      </c>
      <c r="Q46" s="90">
        <v>10</v>
      </c>
      <c r="R46" s="90">
        <v>9</v>
      </c>
      <c r="S46" s="90">
        <v>9</v>
      </c>
      <c r="T46" s="90">
        <v>9</v>
      </c>
      <c r="U46" s="90">
        <v>9</v>
      </c>
      <c r="V46" s="90">
        <v>9</v>
      </c>
      <c r="W46" s="91" t="str">
        <f t="shared" si="7"/>
        <v>Y</v>
      </c>
      <c r="X46" s="128">
        <f t="shared" si="8"/>
        <v>1.4999999999999857E-2</v>
      </c>
      <c r="Y46" s="128" t="str">
        <f t="shared" si="5"/>
        <v>0-4.9%</v>
      </c>
      <c r="Z46" s="22" t="s">
        <v>235</v>
      </c>
    </row>
    <row r="47" spans="1:26" ht="24" customHeight="1" x14ac:dyDescent="0.25">
      <c r="A47" s="14">
        <f t="shared" si="9"/>
        <v>31</v>
      </c>
      <c r="B47" s="7">
        <v>0.38194444444444442</v>
      </c>
      <c r="C47" s="5" t="s">
        <v>114</v>
      </c>
      <c r="D47" s="5">
        <f t="shared" si="0"/>
        <v>10</v>
      </c>
      <c r="E47" s="5">
        <v>6</v>
      </c>
      <c r="F47" s="15" t="s">
        <v>35</v>
      </c>
      <c r="G47" s="73">
        <v>5.2</v>
      </c>
      <c r="H47" s="73">
        <v>5.2</v>
      </c>
      <c r="I47" s="73">
        <v>8.4</v>
      </c>
      <c r="J47" s="73">
        <v>6.0500000000000007</v>
      </c>
      <c r="K47" s="73">
        <v>7.75</v>
      </c>
      <c r="L47" s="73">
        <v>6.2</v>
      </c>
      <c r="M47" s="73"/>
      <c r="N47" s="89">
        <f t="shared" si="1"/>
        <v>38.800000000000004</v>
      </c>
      <c r="O47" s="89">
        <f t="shared" si="2"/>
        <v>1114.6462282178948</v>
      </c>
      <c r="P47" s="90">
        <v>8</v>
      </c>
      <c r="Q47" s="90">
        <v>10</v>
      </c>
      <c r="R47" s="90">
        <v>9</v>
      </c>
      <c r="S47" s="90">
        <v>9</v>
      </c>
      <c r="T47" s="90">
        <v>9</v>
      </c>
      <c r="U47" s="90">
        <v>9</v>
      </c>
      <c r="V47" s="90">
        <v>9</v>
      </c>
      <c r="W47" s="91" t="str">
        <f t="shared" si="7"/>
        <v>N</v>
      </c>
      <c r="X47" s="128">
        <f t="shared" si="8"/>
        <v>0</v>
      </c>
      <c r="Y47" s="128" t="str">
        <f t="shared" si="5"/>
        <v>0-4.9%</v>
      </c>
      <c r="Z47" s="6" t="s">
        <v>206</v>
      </c>
    </row>
    <row r="48" spans="1:26" ht="24" customHeight="1" x14ac:dyDescent="0.25">
      <c r="A48" s="14">
        <f t="shared" si="9"/>
        <v>32</v>
      </c>
      <c r="B48" s="7">
        <v>0.3833333333333333</v>
      </c>
      <c r="C48" s="5" t="s">
        <v>115</v>
      </c>
      <c r="D48" s="5">
        <f t="shared" si="0"/>
        <v>10</v>
      </c>
      <c r="E48" s="5">
        <v>6</v>
      </c>
      <c r="F48" s="15" t="s">
        <v>35</v>
      </c>
      <c r="G48" s="73">
        <v>5.35</v>
      </c>
      <c r="H48" s="73">
        <v>5.4</v>
      </c>
      <c r="I48" s="73">
        <v>9.9499999999999993</v>
      </c>
      <c r="J48" s="73">
        <v>7.65</v>
      </c>
      <c r="K48" s="73">
        <v>6.8</v>
      </c>
      <c r="L48" s="73">
        <v>5.4</v>
      </c>
      <c r="M48" s="73"/>
      <c r="N48" s="89">
        <f t="shared" si="1"/>
        <v>40.549999999999997</v>
      </c>
      <c r="O48" s="89">
        <f t="shared" si="2"/>
        <v>1359.4184162180454</v>
      </c>
      <c r="P48" s="90">
        <v>8</v>
      </c>
      <c r="Q48" s="90">
        <v>10</v>
      </c>
      <c r="R48" s="90">
        <v>9</v>
      </c>
      <c r="S48" s="90">
        <v>9</v>
      </c>
      <c r="T48" s="90">
        <v>9</v>
      </c>
      <c r="U48" s="90">
        <v>9</v>
      </c>
      <c r="V48" s="90">
        <v>9</v>
      </c>
      <c r="W48" s="91" t="str">
        <f t="shared" si="7"/>
        <v>Y</v>
      </c>
      <c r="X48" s="128">
        <f t="shared" si="8"/>
        <v>9.4999999999999932E-2</v>
      </c>
      <c r="Y48" s="128" t="str">
        <f t="shared" si="5"/>
        <v>5-25%</v>
      </c>
      <c r="Z48" s="22" t="s">
        <v>235</v>
      </c>
    </row>
    <row r="49" spans="1:26" ht="24" customHeight="1" x14ac:dyDescent="0.25">
      <c r="A49" s="14">
        <f t="shared" si="9"/>
        <v>33</v>
      </c>
      <c r="B49" s="7">
        <v>0.4236111111111111</v>
      </c>
      <c r="C49" s="5" t="s">
        <v>117</v>
      </c>
      <c r="D49" s="5">
        <f t="shared" si="0"/>
        <v>10</v>
      </c>
      <c r="E49" s="5">
        <v>6</v>
      </c>
      <c r="F49" s="15" t="s">
        <v>33</v>
      </c>
      <c r="G49" s="73">
        <v>5.55</v>
      </c>
      <c r="H49" s="73">
        <v>7.5</v>
      </c>
      <c r="I49" s="73">
        <v>7.35</v>
      </c>
      <c r="J49" s="73">
        <v>8.3000000000000007</v>
      </c>
      <c r="K49" s="73">
        <v>7.4</v>
      </c>
      <c r="L49" s="73">
        <v>8.0500000000000007</v>
      </c>
      <c r="M49" s="73"/>
      <c r="N49" s="89">
        <f t="shared" si="1"/>
        <v>44.150000000000006</v>
      </c>
      <c r="O49" s="89">
        <f t="shared" si="2"/>
        <v>1993.3450004595491</v>
      </c>
      <c r="P49" s="90">
        <v>8</v>
      </c>
      <c r="Q49" s="90">
        <v>10</v>
      </c>
      <c r="R49" s="90">
        <v>9</v>
      </c>
      <c r="S49" s="90">
        <v>9</v>
      </c>
      <c r="T49" s="90">
        <v>9</v>
      </c>
      <c r="U49" s="90">
        <v>9</v>
      </c>
      <c r="V49" s="90">
        <v>9</v>
      </c>
      <c r="W49" s="91" t="str">
        <f t="shared" si="7"/>
        <v>N</v>
      </c>
      <c r="X49" s="128">
        <f t="shared" si="8"/>
        <v>0</v>
      </c>
      <c r="Y49" s="128" t="str">
        <f t="shared" si="5"/>
        <v>0-4.9%</v>
      </c>
      <c r="Z49" s="22" t="s">
        <v>235</v>
      </c>
    </row>
    <row r="50" spans="1:26" ht="24" customHeight="1" x14ac:dyDescent="0.25">
      <c r="A50" s="14">
        <f t="shared" si="9"/>
        <v>34</v>
      </c>
      <c r="B50" s="7">
        <v>0.54861111111111105</v>
      </c>
      <c r="C50" s="5" t="s">
        <v>118</v>
      </c>
      <c r="D50" s="5">
        <f t="shared" si="0"/>
        <v>10</v>
      </c>
      <c r="E50" s="5">
        <v>6</v>
      </c>
      <c r="F50" s="15" t="s">
        <v>35</v>
      </c>
      <c r="G50" s="73">
        <v>4.2</v>
      </c>
      <c r="H50" s="73">
        <v>3.95</v>
      </c>
      <c r="I50" s="73">
        <v>5.65</v>
      </c>
      <c r="J50" s="73">
        <v>4.5999999999999996</v>
      </c>
      <c r="K50" s="73">
        <v>5</v>
      </c>
      <c r="L50" s="73">
        <v>5.3000000000000007</v>
      </c>
      <c r="M50" s="73"/>
      <c r="N50" s="89">
        <f t="shared" si="1"/>
        <v>28.7</v>
      </c>
      <c r="O50" s="89">
        <f t="shared" si="2"/>
        <v>286.9873941730545</v>
      </c>
      <c r="P50" s="90">
        <v>8</v>
      </c>
      <c r="Q50" s="90">
        <v>10</v>
      </c>
      <c r="R50" s="90">
        <v>9</v>
      </c>
      <c r="S50" s="90">
        <v>9</v>
      </c>
      <c r="T50" s="90">
        <v>9</v>
      </c>
      <c r="U50" s="90">
        <v>9</v>
      </c>
      <c r="V50" s="90">
        <v>9</v>
      </c>
      <c r="W50" s="91" t="str">
        <f t="shared" si="7"/>
        <v>N</v>
      </c>
      <c r="X50" s="128">
        <f t="shared" si="8"/>
        <v>0</v>
      </c>
      <c r="Y50" s="128" t="str">
        <f t="shared" si="5"/>
        <v>0-4.9%</v>
      </c>
      <c r="Z50" s="6" t="s">
        <v>200</v>
      </c>
    </row>
    <row r="51" spans="1:26" ht="24" customHeight="1" x14ac:dyDescent="0.25">
      <c r="A51" s="14">
        <f t="shared" si="9"/>
        <v>35</v>
      </c>
      <c r="B51" s="7">
        <v>0.56458333333333333</v>
      </c>
      <c r="C51" s="5" t="s">
        <v>119</v>
      </c>
      <c r="D51" s="5">
        <f t="shared" si="0"/>
        <v>10</v>
      </c>
      <c r="E51" s="5">
        <v>6</v>
      </c>
      <c r="F51" s="15" t="s">
        <v>35</v>
      </c>
      <c r="G51" s="73">
        <v>6</v>
      </c>
      <c r="H51" s="73">
        <v>6</v>
      </c>
      <c r="I51" s="73">
        <v>8.5500000000000007</v>
      </c>
      <c r="J51" s="73">
        <v>6.85</v>
      </c>
      <c r="K51" s="73">
        <v>7.5500000000000007</v>
      </c>
      <c r="L51" s="73">
        <v>6.95</v>
      </c>
      <c r="M51" s="73"/>
      <c r="N51" s="89">
        <f t="shared" si="1"/>
        <v>41.900000000000006</v>
      </c>
      <c r="O51" s="89">
        <f t="shared" si="2"/>
        <v>1575.278657149089</v>
      </c>
      <c r="P51" s="90">
        <v>8</v>
      </c>
      <c r="Q51" s="90">
        <v>10</v>
      </c>
      <c r="R51" s="90">
        <v>9</v>
      </c>
      <c r="S51" s="90">
        <v>9</v>
      </c>
      <c r="T51" s="90">
        <v>9</v>
      </c>
      <c r="U51" s="90">
        <v>9</v>
      </c>
      <c r="V51" s="90">
        <v>9</v>
      </c>
      <c r="W51" s="91" t="str">
        <f t="shared" si="7"/>
        <v>N</v>
      </c>
      <c r="X51" s="128">
        <f t="shared" si="8"/>
        <v>0</v>
      </c>
      <c r="Y51" s="128" t="str">
        <f t="shared" si="5"/>
        <v>0-4.9%</v>
      </c>
      <c r="Z51" s="22" t="s">
        <v>235</v>
      </c>
    </row>
    <row r="52" spans="1:26" ht="24" customHeight="1" x14ac:dyDescent="0.25">
      <c r="A52" s="14">
        <f t="shared" si="9"/>
        <v>36</v>
      </c>
      <c r="B52" s="7">
        <v>0.71597222222222223</v>
      </c>
      <c r="C52" s="5" t="s">
        <v>51</v>
      </c>
      <c r="D52" s="5">
        <f t="shared" si="0"/>
        <v>10</v>
      </c>
      <c r="E52" s="5">
        <v>6</v>
      </c>
      <c r="F52" s="15" t="s">
        <v>35</v>
      </c>
      <c r="G52" s="73">
        <v>5.15</v>
      </c>
      <c r="H52" s="73">
        <v>5.8000000000000007</v>
      </c>
      <c r="I52" s="73">
        <v>9.15</v>
      </c>
      <c r="J52" s="73">
        <v>7.65</v>
      </c>
      <c r="K52" s="73">
        <v>7</v>
      </c>
      <c r="L52" s="73">
        <v>6.55</v>
      </c>
      <c r="M52" s="73"/>
      <c r="N52" s="89">
        <f t="shared" si="1"/>
        <v>41.3</v>
      </c>
      <c r="O52" s="89">
        <f t="shared" si="2"/>
        <v>1476.2826578866648</v>
      </c>
      <c r="P52" s="90">
        <v>8</v>
      </c>
      <c r="Q52" s="90">
        <v>10</v>
      </c>
      <c r="R52" s="90">
        <v>9</v>
      </c>
      <c r="S52" s="90">
        <v>9</v>
      </c>
      <c r="T52" s="90">
        <v>9</v>
      </c>
      <c r="U52" s="90">
        <v>9</v>
      </c>
      <c r="V52" s="90">
        <v>9</v>
      </c>
      <c r="W52" s="91" t="str">
        <f t="shared" si="7"/>
        <v>Y</v>
      </c>
      <c r="X52" s="128">
        <f t="shared" si="8"/>
        <v>1.5000000000000036E-2</v>
      </c>
      <c r="Y52" s="128" t="str">
        <f t="shared" si="5"/>
        <v>0-4.9%</v>
      </c>
      <c r="Z52" s="22" t="s">
        <v>235</v>
      </c>
    </row>
    <row r="53" spans="1:26" ht="24" customHeight="1" x14ac:dyDescent="0.25">
      <c r="A53" s="14">
        <f t="shared" si="9"/>
        <v>37</v>
      </c>
      <c r="B53" s="7">
        <v>0.71666666666666667</v>
      </c>
      <c r="C53" s="5" t="s">
        <v>121</v>
      </c>
      <c r="D53" s="5">
        <f t="shared" si="0"/>
        <v>10</v>
      </c>
      <c r="E53" s="5">
        <v>6</v>
      </c>
      <c r="F53" s="15" t="s">
        <v>33</v>
      </c>
      <c r="G53" s="73">
        <v>6.15</v>
      </c>
      <c r="H53" s="73">
        <v>7.9499999999999993</v>
      </c>
      <c r="I53" s="73">
        <v>8</v>
      </c>
      <c r="J53" s="73">
        <v>6.75</v>
      </c>
      <c r="K53" s="73">
        <v>6.25</v>
      </c>
      <c r="L53" s="73">
        <v>7.35</v>
      </c>
      <c r="M53" s="73"/>
      <c r="N53" s="89">
        <f t="shared" si="1"/>
        <v>42.45</v>
      </c>
      <c r="O53" s="89">
        <f t="shared" si="2"/>
        <v>1670.4901193879307</v>
      </c>
      <c r="P53" s="90">
        <v>8</v>
      </c>
      <c r="Q53" s="90">
        <v>10</v>
      </c>
      <c r="R53" s="90">
        <v>9</v>
      </c>
      <c r="S53" s="90">
        <v>9</v>
      </c>
      <c r="T53" s="90">
        <v>9</v>
      </c>
      <c r="U53" s="90">
        <v>9</v>
      </c>
      <c r="V53" s="90">
        <v>9</v>
      </c>
      <c r="W53" s="91" t="str">
        <f t="shared" si="7"/>
        <v>N</v>
      </c>
      <c r="X53" s="128">
        <f t="shared" si="8"/>
        <v>0</v>
      </c>
      <c r="Y53" s="128" t="str">
        <f t="shared" si="5"/>
        <v>0-4.9%</v>
      </c>
      <c r="Z53" s="6" t="s">
        <v>208</v>
      </c>
    </row>
    <row r="54" spans="1:26" ht="24" customHeight="1" thickBot="1" x14ac:dyDescent="0.3">
      <c r="A54" s="65">
        <f t="shared" si="9"/>
        <v>38</v>
      </c>
      <c r="B54" s="41">
        <v>0.71736111111111101</v>
      </c>
      <c r="C54" s="42" t="s">
        <v>122</v>
      </c>
      <c r="D54" s="5">
        <f t="shared" si="0"/>
        <v>10</v>
      </c>
      <c r="E54" s="42">
        <v>6</v>
      </c>
      <c r="F54" s="67" t="s">
        <v>35</v>
      </c>
      <c r="G54" s="73">
        <v>6.85</v>
      </c>
      <c r="H54" s="73">
        <v>5.9</v>
      </c>
      <c r="I54" s="73">
        <v>7.95</v>
      </c>
      <c r="J54" s="73">
        <v>7.95</v>
      </c>
      <c r="K54" s="73">
        <v>8.1999999999999993</v>
      </c>
      <c r="L54" s="73">
        <v>8.1</v>
      </c>
      <c r="M54" s="73"/>
      <c r="N54" s="89">
        <f t="shared" si="1"/>
        <v>44.949999999999996</v>
      </c>
      <c r="O54" s="89">
        <f t="shared" si="2"/>
        <v>2161.1151999953099</v>
      </c>
      <c r="P54" s="90">
        <v>8</v>
      </c>
      <c r="Q54" s="90">
        <v>10</v>
      </c>
      <c r="R54" s="90">
        <v>9</v>
      </c>
      <c r="S54" s="90">
        <v>9</v>
      </c>
      <c r="T54" s="90">
        <v>9</v>
      </c>
      <c r="U54" s="90">
        <v>9</v>
      </c>
      <c r="V54" s="90">
        <v>9</v>
      </c>
      <c r="W54" s="91" t="str">
        <f t="shared" si="7"/>
        <v>N</v>
      </c>
      <c r="X54" s="128">
        <f t="shared" si="8"/>
        <v>0</v>
      </c>
      <c r="Y54" s="128" t="str">
        <f t="shared" si="5"/>
        <v>0-4.9%</v>
      </c>
      <c r="Z54" s="6" t="s">
        <v>208</v>
      </c>
    </row>
    <row r="55" spans="1:26" ht="24" customHeight="1" x14ac:dyDescent="0.25">
      <c r="A55" s="14"/>
      <c r="B55" s="7"/>
      <c r="C55" s="5"/>
      <c r="D55" s="29"/>
      <c r="E55" s="29"/>
      <c r="F55" s="17"/>
      <c r="G55" s="13"/>
      <c r="H55" s="13"/>
      <c r="I55" s="13"/>
      <c r="J55" s="13"/>
      <c r="K55" s="13"/>
      <c r="L55" s="13"/>
      <c r="M55" s="13"/>
      <c r="N55" s="12"/>
      <c r="O55" s="12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6"/>
    </row>
    <row r="56" spans="1:26" ht="24" customHeight="1" x14ac:dyDescent="0.25">
      <c r="A56" s="14"/>
      <c r="B56" s="7"/>
      <c r="C56" s="5"/>
      <c r="D56" s="29"/>
      <c r="E56" s="29"/>
      <c r="F56" s="21"/>
      <c r="G56" s="13"/>
      <c r="H56" s="13"/>
      <c r="I56" s="13"/>
      <c r="J56" s="13"/>
      <c r="K56" s="13"/>
      <c r="L56" s="13"/>
      <c r="M56" s="13"/>
      <c r="N56" s="12"/>
      <c r="O56" s="12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6"/>
    </row>
    <row r="57" spans="1:26" ht="24" customHeight="1" x14ac:dyDescent="0.25">
      <c r="A57" s="14"/>
      <c r="B57" s="7"/>
      <c r="C57" s="5"/>
      <c r="D57" s="29"/>
      <c r="E57" s="29"/>
      <c r="F57" s="21"/>
      <c r="G57" s="13"/>
      <c r="H57" s="13"/>
      <c r="I57" s="13"/>
      <c r="J57" s="13"/>
      <c r="K57" s="13"/>
      <c r="L57" s="13"/>
      <c r="M57" s="13"/>
      <c r="N57" s="12"/>
      <c r="O57" s="12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6"/>
    </row>
    <row r="58" spans="1:26" ht="24" customHeight="1" x14ac:dyDescent="0.25">
      <c r="A58" s="8"/>
      <c r="B58" s="7"/>
      <c r="C58" s="5"/>
      <c r="D58" s="29"/>
      <c r="E58" s="29"/>
      <c r="F58" s="17"/>
      <c r="G58" s="13"/>
      <c r="H58" s="13"/>
      <c r="I58" s="13"/>
      <c r="J58" s="13"/>
      <c r="K58" s="13"/>
      <c r="L58" s="13"/>
      <c r="M58" s="13"/>
      <c r="N58" s="12"/>
      <c r="O58" s="12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6"/>
    </row>
    <row r="59" spans="1:26" ht="24" customHeight="1" x14ac:dyDescent="0.25">
      <c r="A59" s="8"/>
      <c r="B59" s="7"/>
      <c r="C59" s="5"/>
      <c r="D59" s="29"/>
      <c r="E59" s="29"/>
      <c r="F59" s="17"/>
      <c r="G59" s="13"/>
      <c r="H59" s="13"/>
      <c r="I59" s="13"/>
      <c r="J59" s="13"/>
      <c r="K59" s="13"/>
      <c r="L59" s="13"/>
      <c r="M59" s="13"/>
      <c r="N59" s="12"/>
      <c r="O59" s="12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6"/>
    </row>
    <row r="60" spans="1:26" ht="24" customHeight="1" x14ac:dyDescent="0.25">
      <c r="A60" s="8"/>
      <c r="B60" s="7"/>
      <c r="C60" s="5"/>
      <c r="D60" s="29"/>
      <c r="E60" s="29"/>
      <c r="F60" s="17"/>
      <c r="G60" s="13"/>
      <c r="H60" s="13"/>
      <c r="I60" s="13"/>
      <c r="J60" s="13"/>
      <c r="K60" s="13"/>
      <c r="L60" s="13"/>
      <c r="M60" s="13"/>
      <c r="N60" s="12"/>
      <c r="O60" s="12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6"/>
    </row>
    <row r="61" spans="1:26" ht="24" customHeight="1" x14ac:dyDescent="0.25">
      <c r="A61" s="8"/>
      <c r="B61" s="7"/>
      <c r="C61" s="5"/>
      <c r="D61" s="29"/>
      <c r="E61" s="29"/>
      <c r="F61" s="17"/>
      <c r="G61" s="13"/>
      <c r="H61" s="13"/>
      <c r="I61" s="13"/>
      <c r="J61" s="13"/>
      <c r="K61" s="13"/>
      <c r="L61" s="13"/>
      <c r="M61" s="13"/>
      <c r="N61" s="12"/>
      <c r="O61" s="12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6"/>
    </row>
    <row r="62" spans="1:26" ht="24" customHeight="1" x14ac:dyDescent="0.25">
      <c r="A62" s="8"/>
      <c r="B62" s="7"/>
      <c r="C62" s="5"/>
      <c r="D62" s="29"/>
      <c r="E62" s="29"/>
      <c r="F62" s="17"/>
      <c r="G62" s="13"/>
      <c r="H62" s="13"/>
      <c r="I62" s="13"/>
      <c r="J62" s="13"/>
      <c r="K62" s="13"/>
      <c r="L62" s="13"/>
      <c r="M62" s="13"/>
      <c r="N62" s="12"/>
      <c r="O62" s="12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6"/>
    </row>
    <row r="63" spans="1:26" ht="24" customHeight="1" x14ac:dyDescent="0.25">
      <c r="A63" s="8"/>
      <c r="B63" s="7"/>
      <c r="C63" s="5"/>
      <c r="D63" s="29"/>
      <c r="E63" s="29"/>
      <c r="F63" s="17"/>
      <c r="G63" s="13"/>
      <c r="H63" s="13"/>
      <c r="I63" s="13"/>
      <c r="J63" s="13"/>
      <c r="K63" s="13"/>
      <c r="L63" s="13"/>
      <c r="M63" s="13"/>
      <c r="N63" s="12"/>
      <c r="O63" s="12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6"/>
    </row>
    <row r="64" spans="1:26" ht="24" customHeight="1" x14ac:dyDescent="0.25">
      <c r="A64" s="8"/>
      <c r="B64" s="7"/>
      <c r="C64" s="5"/>
      <c r="D64" s="29"/>
      <c r="E64" s="29"/>
      <c r="F64" s="17"/>
      <c r="G64" s="13"/>
      <c r="H64" s="13"/>
      <c r="I64" s="13"/>
      <c r="J64" s="13"/>
      <c r="K64" s="13"/>
      <c r="L64" s="13"/>
      <c r="M64" s="13"/>
      <c r="N64" s="12"/>
      <c r="O64" s="12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6"/>
    </row>
    <row r="65" spans="1:26" ht="24" customHeight="1" x14ac:dyDescent="0.25">
      <c r="A65" s="8"/>
      <c r="B65" s="7"/>
      <c r="C65" s="5"/>
      <c r="D65" s="29"/>
      <c r="E65" s="29"/>
      <c r="F65" s="17"/>
      <c r="G65" s="13"/>
      <c r="H65" s="13"/>
      <c r="I65" s="13"/>
      <c r="J65" s="13"/>
      <c r="K65" s="13"/>
      <c r="L65" s="13"/>
      <c r="M65" s="13"/>
      <c r="N65" s="12"/>
      <c r="O65" s="12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6"/>
    </row>
    <row r="66" spans="1:26" ht="24" customHeight="1" x14ac:dyDescent="0.25">
      <c r="A66" s="8"/>
      <c r="B66" s="7"/>
      <c r="C66" s="5"/>
      <c r="D66" s="29"/>
      <c r="E66" s="29"/>
      <c r="F66" s="17"/>
      <c r="G66" s="13"/>
      <c r="H66" s="13"/>
      <c r="I66" s="13"/>
      <c r="J66" s="13"/>
      <c r="K66" s="13"/>
      <c r="L66" s="13"/>
      <c r="M66" s="13"/>
      <c r="N66" s="12"/>
      <c r="O66" s="12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6"/>
    </row>
    <row r="67" spans="1:26" ht="24" customHeight="1" x14ac:dyDescent="0.25">
      <c r="A67" s="8"/>
      <c r="B67" s="7"/>
      <c r="C67" s="5"/>
      <c r="D67" s="29"/>
      <c r="E67" s="29"/>
      <c r="F67" s="17"/>
      <c r="G67" s="13"/>
      <c r="H67" s="13"/>
      <c r="I67" s="13"/>
      <c r="J67" s="13"/>
      <c r="K67" s="13"/>
      <c r="L67" s="13"/>
      <c r="M67" s="13"/>
      <c r="N67" s="12"/>
      <c r="O67" s="12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6"/>
    </row>
    <row r="68" spans="1:26" ht="24" customHeight="1" x14ac:dyDescent="0.25">
      <c r="A68" s="8"/>
      <c r="B68" s="7"/>
      <c r="C68" s="5"/>
      <c r="D68" s="29"/>
      <c r="E68" s="29"/>
      <c r="F68" s="17"/>
      <c r="G68" s="13"/>
      <c r="H68" s="13"/>
      <c r="I68" s="13"/>
      <c r="J68" s="13"/>
      <c r="K68" s="13"/>
      <c r="L68" s="13"/>
      <c r="M68" s="13"/>
      <c r="N68" s="12"/>
      <c r="O68" s="12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6"/>
    </row>
    <row r="69" spans="1:26" ht="24" customHeight="1" x14ac:dyDescent="0.25">
      <c r="A69" s="8"/>
      <c r="B69" s="7"/>
      <c r="C69" s="5"/>
      <c r="D69" s="29"/>
      <c r="E69" s="29"/>
      <c r="F69" s="17"/>
      <c r="G69" s="13"/>
      <c r="H69" s="13"/>
      <c r="I69" s="13"/>
      <c r="J69" s="13"/>
      <c r="K69" s="13"/>
      <c r="L69" s="13"/>
      <c r="M69" s="13"/>
      <c r="N69" s="12"/>
      <c r="O69" s="12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6"/>
    </row>
    <row r="70" spans="1:26" ht="24" customHeight="1" x14ac:dyDescent="0.25">
      <c r="A70" s="8"/>
      <c r="B70" s="7"/>
      <c r="C70" s="5"/>
      <c r="D70" s="29"/>
      <c r="E70" s="29"/>
      <c r="F70" s="17"/>
      <c r="G70" s="13"/>
      <c r="H70" s="13"/>
      <c r="I70" s="13"/>
      <c r="J70" s="13"/>
      <c r="K70" s="13"/>
      <c r="L70" s="13"/>
      <c r="M70" s="13"/>
      <c r="N70" s="12"/>
      <c r="O70" s="12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6"/>
    </row>
    <row r="71" spans="1:26" ht="24" customHeight="1" x14ac:dyDescent="0.25">
      <c r="A71" s="8"/>
      <c r="B71" s="7"/>
      <c r="C71" s="5"/>
      <c r="D71" s="29"/>
      <c r="E71" s="29"/>
      <c r="F71" s="17"/>
      <c r="G71" s="13"/>
      <c r="H71" s="13"/>
      <c r="I71" s="13"/>
      <c r="J71" s="13"/>
      <c r="K71" s="13"/>
      <c r="L71" s="13"/>
      <c r="M71" s="13"/>
      <c r="N71" s="12"/>
      <c r="O71" s="12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6"/>
    </row>
    <row r="72" spans="1:26" ht="24" customHeight="1" x14ac:dyDescent="0.25">
      <c r="A72" s="8"/>
      <c r="B72" s="7"/>
      <c r="C72" s="5"/>
      <c r="D72" s="29"/>
      <c r="E72" s="29"/>
      <c r="F72" s="17"/>
      <c r="G72" s="13"/>
      <c r="H72" s="13"/>
      <c r="I72" s="13"/>
      <c r="J72" s="13"/>
      <c r="K72" s="13"/>
      <c r="L72" s="13"/>
      <c r="M72" s="13"/>
      <c r="N72" s="12"/>
      <c r="O72" s="12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6"/>
    </row>
    <row r="73" spans="1:26" ht="24" customHeight="1" x14ac:dyDescent="0.25">
      <c r="A73" s="8"/>
      <c r="B73" s="7"/>
      <c r="C73" s="5"/>
      <c r="D73" s="29"/>
      <c r="E73" s="29"/>
      <c r="F73" s="17"/>
      <c r="G73" s="13"/>
      <c r="H73" s="13"/>
      <c r="I73" s="13"/>
      <c r="J73" s="13"/>
      <c r="K73" s="13"/>
      <c r="L73" s="13"/>
      <c r="M73" s="13"/>
      <c r="N73" s="12"/>
      <c r="O73" s="12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6"/>
    </row>
    <row r="74" spans="1:26" ht="24" customHeight="1" x14ac:dyDescent="0.25">
      <c r="A74" s="8"/>
      <c r="B74" s="7"/>
      <c r="C74" s="5"/>
      <c r="D74" s="29"/>
      <c r="E74" s="29"/>
      <c r="F74" s="17"/>
      <c r="G74" s="13"/>
      <c r="H74" s="13"/>
      <c r="I74" s="13"/>
      <c r="J74" s="13"/>
      <c r="K74" s="13"/>
      <c r="L74" s="13"/>
      <c r="M74" s="13"/>
      <c r="N74" s="12"/>
      <c r="O74" s="12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6"/>
    </row>
    <row r="75" spans="1:26" ht="24" customHeight="1" x14ac:dyDescent="0.25">
      <c r="A75" s="8"/>
      <c r="B75" s="7"/>
      <c r="C75" s="5"/>
      <c r="D75" s="29"/>
      <c r="E75" s="29"/>
      <c r="F75" s="17"/>
      <c r="G75" s="13"/>
      <c r="H75" s="13"/>
      <c r="I75" s="13"/>
      <c r="J75" s="13"/>
      <c r="K75" s="13"/>
      <c r="L75" s="13"/>
      <c r="M75" s="13"/>
      <c r="N75" s="12"/>
      <c r="O75" s="12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6"/>
    </row>
    <row r="76" spans="1:26" ht="24" customHeight="1" x14ac:dyDescent="0.25">
      <c r="A76" s="8"/>
      <c r="B76" s="7"/>
      <c r="C76" s="5"/>
      <c r="D76" s="29"/>
      <c r="E76" s="29"/>
      <c r="F76" s="17"/>
      <c r="G76" s="13"/>
      <c r="H76" s="13"/>
      <c r="I76" s="13"/>
      <c r="J76" s="13"/>
      <c r="K76" s="13"/>
      <c r="L76" s="13"/>
      <c r="M76" s="13"/>
      <c r="N76" s="12"/>
      <c r="O76" s="12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6"/>
    </row>
    <row r="77" spans="1:26" ht="24" customHeight="1" x14ac:dyDescent="0.25">
      <c r="A77" s="8"/>
      <c r="B77" s="7"/>
      <c r="C77" s="5"/>
      <c r="D77" s="29"/>
      <c r="E77" s="29"/>
      <c r="F77" s="17"/>
      <c r="G77" s="13"/>
      <c r="H77" s="13"/>
      <c r="I77" s="13"/>
      <c r="J77" s="13"/>
      <c r="K77" s="13"/>
      <c r="L77" s="13"/>
      <c r="M77" s="13"/>
      <c r="N77" s="12"/>
      <c r="O77" s="12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6"/>
    </row>
    <row r="78" spans="1:26" ht="24" customHeight="1" x14ac:dyDescent="0.25">
      <c r="A78" s="8"/>
      <c r="B78" s="7"/>
      <c r="C78" s="5"/>
      <c r="D78" s="29"/>
      <c r="E78" s="29"/>
      <c r="F78" s="17"/>
      <c r="G78" s="13"/>
      <c r="H78" s="13"/>
      <c r="I78" s="13"/>
      <c r="J78" s="13"/>
      <c r="K78" s="13"/>
      <c r="L78" s="13"/>
      <c r="M78" s="13"/>
      <c r="N78" s="12"/>
      <c r="O78" s="12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6"/>
    </row>
    <row r="79" spans="1:26" ht="24" customHeight="1" x14ac:dyDescent="0.25">
      <c r="A79" s="8"/>
      <c r="B79" s="7"/>
      <c r="C79" s="5"/>
      <c r="D79" s="29"/>
      <c r="E79" s="29"/>
      <c r="F79" s="17"/>
      <c r="G79" s="13"/>
      <c r="H79" s="13"/>
      <c r="I79" s="13"/>
      <c r="J79" s="13"/>
      <c r="K79" s="13"/>
      <c r="L79" s="13"/>
      <c r="M79" s="13"/>
      <c r="N79" s="12"/>
      <c r="O79" s="12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6"/>
    </row>
    <row r="80" spans="1:26" ht="24" customHeight="1" x14ac:dyDescent="0.25">
      <c r="A80" s="8"/>
      <c r="B80" s="7"/>
      <c r="C80" s="5"/>
      <c r="D80" s="29"/>
      <c r="E80" s="29"/>
      <c r="F80" s="17"/>
      <c r="G80" s="13"/>
      <c r="H80" s="13"/>
      <c r="I80" s="13"/>
      <c r="J80" s="13"/>
      <c r="K80" s="13"/>
      <c r="L80" s="13"/>
      <c r="M80" s="13"/>
      <c r="N80" s="12"/>
      <c r="O80" s="12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6"/>
    </row>
    <row r="81" spans="1:26" ht="24" customHeight="1" x14ac:dyDescent="0.25">
      <c r="A81" s="8"/>
      <c r="B81" s="7"/>
      <c r="C81" s="5"/>
      <c r="D81" s="29"/>
      <c r="E81" s="29"/>
      <c r="F81" s="17"/>
      <c r="G81" s="13"/>
      <c r="H81" s="13"/>
      <c r="I81" s="13"/>
      <c r="J81" s="13"/>
      <c r="K81" s="13"/>
      <c r="L81" s="13"/>
      <c r="M81" s="13"/>
      <c r="N81" s="12"/>
      <c r="O81" s="12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6"/>
    </row>
    <row r="82" spans="1:26" ht="24" customHeight="1" x14ac:dyDescent="0.25">
      <c r="A82" s="8"/>
      <c r="B82" s="7"/>
      <c r="C82" s="5"/>
      <c r="D82" s="29"/>
      <c r="E82" s="29"/>
      <c r="F82" s="17"/>
      <c r="G82" s="13"/>
      <c r="H82" s="13"/>
      <c r="I82" s="13"/>
      <c r="J82" s="13"/>
      <c r="K82" s="13"/>
      <c r="L82" s="13"/>
      <c r="M82" s="13"/>
      <c r="N82" s="12"/>
      <c r="O82" s="12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6"/>
    </row>
    <row r="83" spans="1:26" ht="24" customHeight="1" x14ac:dyDescent="0.25">
      <c r="A83" s="8"/>
      <c r="B83" s="7"/>
      <c r="C83" s="5"/>
      <c r="D83" s="29"/>
      <c r="E83" s="29"/>
      <c r="F83" s="17"/>
      <c r="G83" s="13"/>
      <c r="H83" s="13"/>
      <c r="I83" s="13"/>
      <c r="J83" s="13"/>
      <c r="K83" s="13"/>
      <c r="L83" s="13"/>
      <c r="M83" s="13"/>
      <c r="N83" s="12"/>
      <c r="O83" s="12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6"/>
    </row>
    <row r="84" spans="1:26" ht="24" customHeight="1" x14ac:dyDescent="0.25">
      <c r="A84" s="8"/>
      <c r="B84" s="7"/>
      <c r="C84" s="5"/>
      <c r="D84" s="29"/>
      <c r="E84" s="29"/>
      <c r="F84" s="17"/>
      <c r="G84" s="13"/>
      <c r="H84" s="13"/>
      <c r="I84" s="13"/>
      <c r="J84" s="13"/>
      <c r="K84" s="13"/>
      <c r="L84" s="13"/>
      <c r="M84" s="13"/>
      <c r="N84" s="12"/>
      <c r="O84" s="12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6"/>
    </row>
    <row r="85" spans="1:26" ht="24" customHeight="1" x14ac:dyDescent="0.25">
      <c r="A85" s="8"/>
      <c r="B85" s="7"/>
      <c r="C85" s="5"/>
      <c r="D85" s="29"/>
      <c r="E85" s="29"/>
      <c r="F85" s="17"/>
      <c r="G85" s="13"/>
      <c r="H85" s="13"/>
      <c r="I85" s="13"/>
      <c r="J85" s="13"/>
      <c r="K85" s="13"/>
      <c r="L85" s="13"/>
      <c r="M85" s="13"/>
      <c r="N85" s="12"/>
      <c r="O85" s="12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6"/>
    </row>
    <row r="86" spans="1:26" ht="24" customHeight="1" x14ac:dyDescent="0.25">
      <c r="A86" s="8"/>
      <c r="B86" s="7"/>
      <c r="C86" s="5"/>
      <c r="D86" s="29"/>
      <c r="E86" s="29"/>
      <c r="F86" s="17"/>
      <c r="G86" s="13"/>
      <c r="H86" s="13"/>
      <c r="I86" s="13"/>
      <c r="J86" s="13"/>
      <c r="K86" s="13"/>
      <c r="L86" s="13"/>
      <c r="M86" s="13"/>
      <c r="N86" s="12"/>
      <c r="O86" s="12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6"/>
    </row>
    <row r="87" spans="1:26" ht="24" customHeight="1" x14ac:dyDescent="0.25">
      <c r="A87" s="8"/>
      <c r="B87" s="7"/>
      <c r="C87" s="5"/>
      <c r="D87" s="29"/>
      <c r="E87" s="29"/>
      <c r="F87" s="17"/>
      <c r="G87" s="13"/>
      <c r="H87" s="13"/>
      <c r="I87" s="13"/>
      <c r="J87" s="13"/>
      <c r="K87" s="13"/>
      <c r="L87" s="13"/>
      <c r="M87" s="13"/>
      <c r="N87" s="12"/>
      <c r="O87" s="12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6"/>
    </row>
    <row r="88" spans="1:26" ht="24" customHeight="1" x14ac:dyDescent="0.25">
      <c r="A88" s="8"/>
      <c r="B88" s="7"/>
      <c r="C88" s="5"/>
      <c r="D88" s="29"/>
      <c r="E88" s="29"/>
      <c r="F88" s="17"/>
      <c r="G88" s="13"/>
      <c r="H88" s="13"/>
      <c r="I88" s="13"/>
      <c r="J88" s="13"/>
      <c r="K88" s="13"/>
      <c r="L88" s="13"/>
      <c r="M88" s="13"/>
      <c r="N88" s="12"/>
      <c r="O88" s="12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6"/>
    </row>
    <row r="89" spans="1:26" ht="24" customHeight="1" x14ac:dyDescent="0.25">
      <c r="A89" s="8"/>
      <c r="B89" s="7"/>
      <c r="C89" s="5"/>
      <c r="D89" s="29"/>
      <c r="E89" s="29"/>
      <c r="F89" s="17"/>
      <c r="G89" s="13"/>
      <c r="H89" s="13"/>
      <c r="I89" s="13"/>
      <c r="J89" s="13"/>
      <c r="K89" s="13"/>
      <c r="L89" s="13"/>
      <c r="M89" s="13"/>
      <c r="N89" s="12"/>
      <c r="O89" s="12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6"/>
    </row>
    <row r="90" spans="1:26" ht="24" customHeight="1" x14ac:dyDescent="0.25">
      <c r="A90" s="8"/>
      <c r="B90" s="7"/>
      <c r="C90" s="5"/>
      <c r="D90" s="29"/>
      <c r="E90" s="29"/>
      <c r="F90" s="17"/>
      <c r="G90" s="13"/>
      <c r="H90" s="13"/>
      <c r="I90" s="13"/>
      <c r="J90" s="13"/>
      <c r="K90" s="13"/>
      <c r="L90" s="13"/>
      <c r="M90" s="13"/>
      <c r="N90" s="12"/>
      <c r="O90" s="12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6"/>
    </row>
    <row r="91" spans="1:26" ht="24" customHeight="1" x14ac:dyDescent="0.25">
      <c r="A91" s="8"/>
      <c r="B91" s="7"/>
      <c r="C91" s="5"/>
      <c r="D91" s="29"/>
      <c r="E91" s="29"/>
      <c r="F91" s="17"/>
      <c r="G91" s="13"/>
      <c r="H91" s="13"/>
      <c r="I91" s="13"/>
      <c r="J91" s="13"/>
      <c r="K91" s="13"/>
      <c r="L91" s="13"/>
      <c r="M91" s="13"/>
      <c r="N91" s="12"/>
      <c r="O91" s="12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6"/>
    </row>
    <row r="92" spans="1:26" ht="24" customHeight="1" x14ac:dyDescent="0.25">
      <c r="A92" s="8"/>
      <c r="B92" s="7"/>
      <c r="C92" s="5"/>
      <c r="D92" s="29"/>
      <c r="E92" s="29"/>
      <c r="F92" s="17"/>
      <c r="G92" s="13"/>
      <c r="H92" s="13"/>
      <c r="I92" s="13"/>
      <c r="J92" s="13"/>
      <c r="K92" s="13"/>
      <c r="L92" s="13"/>
      <c r="M92" s="13"/>
      <c r="N92" s="12"/>
      <c r="O92" s="12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6"/>
    </row>
    <row r="93" spans="1:26" ht="24" customHeight="1" x14ac:dyDescent="0.25">
      <c r="A93" s="8"/>
      <c r="B93" s="7"/>
      <c r="C93" s="5"/>
      <c r="D93" s="29"/>
      <c r="E93" s="29"/>
      <c r="F93" s="17"/>
      <c r="G93" s="13"/>
      <c r="H93" s="13"/>
      <c r="I93" s="13"/>
      <c r="J93" s="13"/>
      <c r="K93" s="13"/>
      <c r="L93" s="13"/>
      <c r="M93" s="13"/>
      <c r="N93" s="12"/>
      <c r="O93" s="12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6"/>
    </row>
    <row r="94" spans="1:26" ht="24" customHeight="1" x14ac:dyDescent="0.25">
      <c r="A94" s="8"/>
      <c r="B94" s="7"/>
      <c r="C94" s="5"/>
      <c r="D94" s="29"/>
      <c r="E94" s="29"/>
      <c r="F94" s="17"/>
      <c r="G94" s="13"/>
      <c r="H94" s="13"/>
      <c r="I94" s="13"/>
      <c r="J94" s="13"/>
      <c r="K94" s="13"/>
      <c r="L94" s="13"/>
      <c r="M94" s="13"/>
      <c r="N94" s="12"/>
      <c r="O94" s="12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6"/>
    </row>
    <row r="95" spans="1:26" ht="24" customHeight="1" x14ac:dyDescent="0.25">
      <c r="A95" s="8"/>
      <c r="B95" s="7"/>
      <c r="C95" s="5"/>
      <c r="D95" s="29"/>
      <c r="E95" s="29"/>
      <c r="F95" s="17"/>
      <c r="G95" s="13"/>
      <c r="H95" s="13"/>
      <c r="I95" s="13"/>
      <c r="J95" s="13"/>
      <c r="K95" s="13"/>
      <c r="L95" s="13"/>
      <c r="M95" s="13"/>
      <c r="N95" s="12"/>
      <c r="O95" s="12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6"/>
    </row>
    <row r="96" spans="1:26" ht="24" customHeight="1" x14ac:dyDescent="0.25">
      <c r="A96" s="8"/>
      <c r="B96" s="7"/>
      <c r="C96" s="5"/>
      <c r="D96" s="29"/>
      <c r="E96" s="29"/>
      <c r="F96" s="17"/>
      <c r="G96" s="13"/>
      <c r="H96" s="13"/>
      <c r="I96" s="13"/>
      <c r="J96" s="13"/>
      <c r="K96" s="13"/>
      <c r="L96" s="13"/>
      <c r="M96" s="13"/>
      <c r="N96" s="12"/>
      <c r="O96" s="12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6"/>
    </row>
    <row r="97" spans="1:26" ht="24" customHeight="1" x14ac:dyDescent="0.25">
      <c r="A97" s="8"/>
      <c r="B97" s="7"/>
      <c r="C97" s="5"/>
      <c r="D97" s="29"/>
      <c r="E97" s="29"/>
      <c r="F97" s="17"/>
      <c r="G97" s="13"/>
      <c r="H97" s="13"/>
      <c r="I97" s="13"/>
      <c r="J97" s="13"/>
      <c r="K97" s="13"/>
      <c r="L97" s="13"/>
      <c r="M97" s="13"/>
      <c r="N97" s="12"/>
      <c r="O97" s="12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6"/>
    </row>
    <row r="98" spans="1:26" ht="24" customHeight="1" x14ac:dyDescent="0.25">
      <c r="A98" s="8"/>
      <c r="B98" s="7"/>
      <c r="C98" s="5"/>
      <c r="D98" s="29"/>
      <c r="E98" s="29"/>
      <c r="F98" s="17"/>
      <c r="G98" s="13"/>
      <c r="H98" s="13"/>
      <c r="I98" s="13"/>
      <c r="J98" s="13"/>
      <c r="K98" s="13"/>
      <c r="L98" s="13"/>
      <c r="M98" s="13"/>
      <c r="N98" s="12"/>
      <c r="O98" s="12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6"/>
    </row>
    <row r="99" spans="1:26" ht="24" customHeight="1" x14ac:dyDescent="0.25">
      <c r="A99" s="8"/>
      <c r="B99" s="7"/>
      <c r="C99" s="5"/>
      <c r="D99" s="29"/>
      <c r="E99" s="29"/>
      <c r="F99" s="17"/>
      <c r="G99" s="13"/>
      <c r="H99" s="13"/>
      <c r="I99" s="13"/>
      <c r="J99" s="13"/>
      <c r="K99" s="13"/>
      <c r="L99" s="13"/>
      <c r="M99" s="13"/>
      <c r="N99" s="12"/>
      <c r="O99" s="12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6"/>
    </row>
    <row r="100" spans="1:26" ht="24" customHeight="1" x14ac:dyDescent="0.25">
      <c r="A100" s="8"/>
      <c r="B100" s="7"/>
      <c r="C100" s="5"/>
      <c r="D100" s="29"/>
      <c r="E100" s="29"/>
      <c r="F100" s="17"/>
      <c r="G100" s="13"/>
      <c r="H100" s="13"/>
      <c r="I100" s="13"/>
      <c r="J100" s="13"/>
      <c r="K100" s="13"/>
      <c r="L100" s="13"/>
      <c r="M100" s="13"/>
      <c r="N100" s="12"/>
      <c r="O100" s="12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6"/>
    </row>
    <row r="101" spans="1:26" ht="24" customHeight="1" x14ac:dyDescent="0.25">
      <c r="A101" s="8"/>
      <c r="B101" s="7"/>
      <c r="C101" s="5"/>
      <c r="D101" s="29"/>
      <c r="E101" s="29"/>
      <c r="F101" s="17"/>
      <c r="G101" s="13"/>
      <c r="H101" s="13"/>
      <c r="I101" s="13"/>
      <c r="J101" s="13"/>
      <c r="K101" s="13"/>
      <c r="L101" s="13"/>
      <c r="M101" s="13"/>
      <c r="N101" s="12"/>
      <c r="O101" s="12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6"/>
    </row>
    <row r="102" spans="1:26" ht="24" customHeight="1" x14ac:dyDescent="0.25">
      <c r="A102" s="8"/>
      <c r="B102" s="7"/>
      <c r="C102" s="5"/>
      <c r="D102" s="29"/>
      <c r="E102" s="29"/>
      <c r="F102" s="17"/>
      <c r="G102" s="13"/>
      <c r="H102" s="13"/>
      <c r="I102" s="13"/>
      <c r="J102" s="13"/>
      <c r="K102" s="13"/>
      <c r="L102" s="13"/>
      <c r="M102" s="13"/>
      <c r="N102" s="12"/>
      <c r="O102" s="12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6"/>
    </row>
    <row r="103" spans="1:26" ht="24" customHeight="1" x14ac:dyDescent="0.25">
      <c r="A103" s="8"/>
      <c r="B103" s="7"/>
      <c r="C103" s="5"/>
      <c r="D103" s="29"/>
      <c r="E103" s="29"/>
      <c r="F103" s="17"/>
      <c r="G103" s="13"/>
      <c r="H103" s="13"/>
      <c r="I103" s="13"/>
      <c r="J103" s="13"/>
      <c r="K103" s="13"/>
      <c r="L103" s="13"/>
      <c r="M103" s="13"/>
      <c r="N103" s="12"/>
      <c r="O103" s="12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6"/>
    </row>
    <row r="104" spans="1:26" ht="24" customHeight="1" x14ac:dyDescent="0.25">
      <c r="A104" s="8"/>
      <c r="B104" s="7"/>
      <c r="C104" s="5"/>
      <c r="D104" s="29"/>
      <c r="E104" s="29"/>
      <c r="F104" s="17"/>
      <c r="G104" s="13"/>
      <c r="H104" s="13"/>
      <c r="I104" s="13"/>
      <c r="J104" s="13"/>
      <c r="K104" s="13"/>
      <c r="L104" s="13"/>
      <c r="M104" s="13"/>
      <c r="N104" s="12"/>
      <c r="O104" s="12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6"/>
    </row>
    <row r="105" spans="1:26" ht="24" customHeight="1" x14ac:dyDescent="0.25">
      <c r="A105" s="8"/>
      <c r="B105" s="7"/>
      <c r="C105" s="5"/>
      <c r="D105" s="29"/>
      <c r="E105" s="29"/>
      <c r="F105" s="17"/>
      <c r="G105" s="13"/>
      <c r="H105" s="13"/>
      <c r="I105" s="13"/>
      <c r="J105" s="13"/>
      <c r="K105" s="13"/>
      <c r="L105" s="13"/>
      <c r="M105" s="13"/>
      <c r="N105" s="12"/>
      <c r="O105" s="12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6"/>
    </row>
    <row r="106" spans="1:26" ht="24" customHeight="1" x14ac:dyDescent="0.25">
      <c r="A106" s="8"/>
      <c r="B106" s="7"/>
      <c r="C106" s="5"/>
      <c r="D106" s="29"/>
      <c r="E106" s="29"/>
      <c r="F106" s="17"/>
      <c r="G106" s="13"/>
      <c r="H106" s="13"/>
      <c r="I106" s="13"/>
      <c r="J106" s="13"/>
      <c r="K106" s="13"/>
      <c r="L106" s="13"/>
      <c r="M106" s="13"/>
      <c r="N106" s="12"/>
      <c r="O106" s="12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6"/>
    </row>
    <row r="107" spans="1:26" ht="24" customHeight="1" x14ac:dyDescent="0.25">
      <c r="A107" s="8"/>
      <c r="B107" s="7"/>
      <c r="C107" s="5"/>
      <c r="D107" s="29"/>
      <c r="E107" s="29"/>
      <c r="F107" s="17"/>
      <c r="G107" s="13"/>
      <c r="H107" s="13"/>
      <c r="I107" s="13"/>
      <c r="J107" s="13"/>
      <c r="K107" s="13"/>
      <c r="L107" s="13"/>
      <c r="M107" s="13"/>
      <c r="N107" s="12"/>
      <c r="O107" s="12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6"/>
    </row>
    <row r="108" spans="1:26" ht="24" customHeight="1" x14ac:dyDescent="0.25">
      <c r="A108" s="8"/>
      <c r="B108" s="7"/>
      <c r="C108" s="5"/>
      <c r="D108" s="29"/>
      <c r="E108" s="29"/>
      <c r="F108" s="17"/>
      <c r="G108" s="13"/>
      <c r="H108" s="13"/>
      <c r="I108" s="13"/>
      <c r="J108" s="13"/>
      <c r="K108" s="13"/>
      <c r="L108" s="13"/>
      <c r="M108" s="13"/>
      <c r="N108" s="12"/>
      <c r="O108" s="12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6"/>
    </row>
    <row r="109" spans="1:26" ht="24" customHeight="1" x14ac:dyDescent="0.25">
      <c r="A109" s="8"/>
      <c r="B109" s="7"/>
      <c r="C109" s="5"/>
      <c r="D109" s="29"/>
      <c r="E109" s="29"/>
      <c r="F109" s="17"/>
      <c r="G109" s="13"/>
      <c r="H109" s="13"/>
      <c r="I109" s="13"/>
      <c r="J109" s="13"/>
      <c r="K109" s="13"/>
      <c r="L109" s="13"/>
      <c r="M109" s="13"/>
      <c r="N109" s="12"/>
      <c r="O109" s="12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6"/>
    </row>
    <row r="110" spans="1:26" ht="24" customHeight="1" x14ac:dyDescent="0.25">
      <c r="A110" s="8"/>
      <c r="B110" s="7"/>
      <c r="C110" s="5"/>
      <c r="D110" s="29"/>
      <c r="E110" s="29"/>
      <c r="F110" s="17"/>
      <c r="G110" s="13"/>
      <c r="H110" s="13"/>
      <c r="I110" s="13"/>
      <c r="J110" s="13"/>
      <c r="K110" s="13"/>
      <c r="L110" s="13"/>
      <c r="M110" s="13"/>
      <c r="N110" s="12"/>
      <c r="O110" s="12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6"/>
    </row>
    <row r="111" spans="1:26" ht="24" customHeight="1" x14ac:dyDescent="0.25">
      <c r="A111" s="8"/>
      <c r="B111" s="7"/>
      <c r="C111" s="5"/>
      <c r="D111" s="29"/>
      <c r="E111" s="29"/>
      <c r="F111" s="17"/>
      <c r="G111" s="13"/>
      <c r="H111" s="13"/>
      <c r="I111" s="13"/>
      <c r="J111" s="13"/>
      <c r="K111" s="13"/>
      <c r="L111" s="13"/>
      <c r="M111" s="13"/>
      <c r="N111" s="12"/>
      <c r="O111" s="12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6"/>
    </row>
    <row r="112" spans="1:26" ht="24" customHeight="1" x14ac:dyDescent="0.25">
      <c r="A112" s="8"/>
      <c r="B112" s="7"/>
      <c r="C112" s="5"/>
      <c r="D112" s="29"/>
      <c r="E112" s="29"/>
      <c r="F112" s="17"/>
      <c r="G112" s="13"/>
      <c r="H112" s="13"/>
      <c r="I112" s="13"/>
      <c r="J112" s="13"/>
      <c r="K112" s="13"/>
      <c r="L112" s="13"/>
      <c r="M112" s="13"/>
      <c r="N112" s="12"/>
      <c r="O112" s="12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6"/>
    </row>
    <row r="113" spans="1:26" ht="24" customHeight="1" x14ac:dyDescent="0.25">
      <c r="A113" s="8"/>
      <c r="B113" s="7"/>
      <c r="C113" s="5"/>
      <c r="D113" s="29"/>
      <c r="E113" s="29"/>
      <c r="F113" s="17"/>
      <c r="G113" s="13"/>
      <c r="H113" s="13"/>
      <c r="I113" s="13"/>
      <c r="J113" s="13"/>
      <c r="K113" s="13"/>
      <c r="L113" s="13"/>
      <c r="M113" s="13"/>
      <c r="N113" s="12"/>
      <c r="O113" s="12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6"/>
    </row>
    <row r="114" spans="1:26" ht="24" customHeight="1" x14ac:dyDescent="0.25">
      <c r="A114" s="8"/>
      <c r="B114" s="7"/>
      <c r="C114" s="5"/>
      <c r="D114" s="29"/>
      <c r="E114" s="29"/>
      <c r="F114" s="17"/>
      <c r="G114" s="13"/>
      <c r="H114" s="13"/>
      <c r="I114" s="13"/>
      <c r="J114" s="13"/>
      <c r="K114" s="13"/>
      <c r="L114" s="13"/>
      <c r="M114" s="13"/>
      <c r="N114" s="12"/>
      <c r="O114" s="12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6"/>
    </row>
    <row r="115" spans="1:26" ht="24" customHeight="1" x14ac:dyDescent="0.25">
      <c r="A115" s="8"/>
      <c r="B115" s="7"/>
      <c r="C115" s="5"/>
      <c r="D115" s="29"/>
      <c r="E115" s="29"/>
      <c r="F115" s="17"/>
      <c r="G115" s="13"/>
      <c r="H115" s="13"/>
      <c r="I115" s="13"/>
      <c r="J115" s="13"/>
      <c r="K115" s="13"/>
      <c r="L115" s="13"/>
      <c r="M115" s="13"/>
      <c r="N115" s="12"/>
      <c r="O115" s="12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6"/>
    </row>
    <row r="116" spans="1:26" ht="24" customHeight="1" x14ac:dyDescent="0.25">
      <c r="A116" s="8"/>
      <c r="B116" s="7"/>
      <c r="C116" s="5"/>
      <c r="D116" s="29"/>
      <c r="E116" s="29"/>
      <c r="F116" s="17"/>
      <c r="G116" s="13"/>
      <c r="H116" s="13"/>
      <c r="I116" s="13"/>
      <c r="J116" s="13"/>
      <c r="K116" s="13"/>
      <c r="L116" s="13"/>
      <c r="M116" s="13"/>
      <c r="N116" s="12"/>
      <c r="O116" s="12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6"/>
    </row>
    <row r="117" spans="1:26" ht="24" customHeight="1" x14ac:dyDescent="0.25">
      <c r="A117" s="8"/>
      <c r="B117" s="7"/>
      <c r="C117" s="5"/>
      <c r="D117" s="29"/>
      <c r="E117" s="29"/>
      <c r="F117" s="17"/>
      <c r="G117" s="13"/>
      <c r="H117" s="13"/>
      <c r="I117" s="13"/>
      <c r="J117" s="13"/>
      <c r="K117" s="13"/>
      <c r="L117" s="13"/>
      <c r="M117" s="13"/>
      <c r="N117" s="12"/>
      <c r="O117" s="12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6"/>
    </row>
    <row r="118" spans="1:26" ht="24" customHeight="1" x14ac:dyDescent="0.25">
      <c r="A118" s="8"/>
      <c r="B118" s="7"/>
      <c r="C118" s="5"/>
      <c r="D118" s="29"/>
      <c r="E118" s="29"/>
      <c r="F118" s="17"/>
      <c r="G118" s="13"/>
      <c r="H118" s="13"/>
      <c r="I118" s="13"/>
      <c r="J118" s="13"/>
      <c r="K118" s="13"/>
      <c r="L118" s="13"/>
      <c r="M118" s="13"/>
      <c r="N118" s="12"/>
      <c r="O118" s="12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6"/>
    </row>
    <row r="119" spans="1:26" ht="24" customHeight="1" x14ac:dyDescent="0.25">
      <c r="A119" s="8"/>
      <c r="B119" s="7"/>
      <c r="C119" s="5"/>
      <c r="D119" s="29"/>
      <c r="E119" s="29"/>
      <c r="F119" s="17"/>
      <c r="G119" s="13"/>
      <c r="H119" s="13"/>
      <c r="I119" s="13"/>
      <c r="J119" s="13"/>
      <c r="K119" s="13"/>
      <c r="L119" s="13"/>
      <c r="M119" s="13"/>
      <c r="N119" s="12"/>
      <c r="O119" s="12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6"/>
    </row>
    <row r="120" spans="1:26" ht="24" customHeight="1" x14ac:dyDescent="0.25">
      <c r="A120" s="8"/>
      <c r="B120" s="7"/>
      <c r="C120" s="5"/>
      <c r="D120" s="29"/>
      <c r="E120" s="29"/>
      <c r="F120" s="17"/>
      <c r="G120" s="13"/>
      <c r="H120" s="13"/>
      <c r="I120" s="13"/>
      <c r="J120" s="13"/>
      <c r="K120" s="13"/>
      <c r="L120" s="13"/>
      <c r="M120" s="13"/>
      <c r="N120" s="12"/>
      <c r="O120" s="12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6"/>
    </row>
    <row r="121" spans="1:26" ht="24" customHeight="1" x14ac:dyDescent="0.25">
      <c r="A121" s="8"/>
      <c r="B121" s="7"/>
      <c r="C121" s="5"/>
      <c r="D121" s="29"/>
      <c r="E121" s="29"/>
      <c r="F121" s="17"/>
      <c r="G121" s="13"/>
      <c r="H121" s="13"/>
      <c r="I121" s="13"/>
      <c r="J121" s="13"/>
      <c r="K121" s="13"/>
      <c r="L121" s="13"/>
      <c r="M121" s="13"/>
      <c r="N121" s="12"/>
      <c r="O121" s="12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6"/>
    </row>
    <row r="122" spans="1:26" ht="24" customHeight="1" x14ac:dyDescent="0.25">
      <c r="A122" s="8"/>
      <c r="B122" s="7"/>
      <c r="C122" s="5"/>
      <c r="D122" s="29"/>
      <c r="E122" s="29"/>
      <c r="F122" s="17"/>
      <c r="G122" s="13"/>
      <c r="H122" s="13"/>
      <c r="I122" s="13"/>
      <c r="J122" s="13"/>
      <c r="K122" s="13"/>
      <c r="L122" s="13"/>
      <c r="M122" s="13"/>
      <c r="N122" s="12"/>
      <c r="O122" s="12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6"/>
    </row>
    <row r="123" spans="1:26" ht="24" customHeight="1" x14ac:dyDescent="0.25">
      <c r="A123" s="8"/>
      <c r="B123" s="7"/>
      <c r="C123" s="5"/>
      <c r="D123" s="29"/>
      <c r="E123" s="29"/>
      <c r="F123" s="17"/>
      <c r="G123" s="13"/>
      <c r="H123" s="13"/>
      <c r="I123" s="13"/>
      <c r="J123" s="13"/>
      <c r="K123" s="13"/>
      <c r="L123" s="13"/>
      <c r="M123" s="13"/>
      <c r="N123" s="12"/>
      <c r="O123" s="12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6"/>
    </row>
    <row r="124" spans="1:26" ht="24" customHeight="1" x14ac:dyDescent="0.25">
      <c r="A124" s="8"/>
      <c r="B124" s="7"/>
      <c r="C124" s="5"/>
      <c r="D124" s="29"/>
      <c r="E124" s="29"/>
      <c r="F124" s="17"/>
      <c r="G124" s="13"/>
      <c r="H124" s="13"/>
      <c r="I124" s="13"/>
      <c r="J124" s="13"/>
      <c r="K124" s="13"/>
      <c r="L124" s="13"/>
      <c r="M124" s="13"/>
      <c r="N124" s="12"/>
      <c r="O124" s="12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6"/>
    </row>
    <row r="125" spans="1:26" ht="24" customHeight="1" x14ac:dyDescent="0.25">
      <c r="A125" s="8"/>
      <c r="B125" s="7"/>
      <c r="C125" s="5"/>
      <c r="D125" s="29"/>
      <c r="E125" s="29"/>
      <c r="F125" s="17"/>
      <c r="G125" s="13"/>
      <c r="H125" s="13"/>
      <c r="I125" s="13"/>
      <c r="J125" s="13"/>
      <c r="K125" s="13"/>
      <c r="L125" s="13"/>
      <c r="M125" s="13"/>
      <c r="N125" s="12"/>
      <c r="O125" s="12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6"/>
    </row>
    <row r="126" spans="1:26" ht="24" customHeight="1" x14ac:dyDescent="0.25">
      <c r="A126" s="8"/>
      <c r="B126" s="7"/>
      <c r="C126" s="5"/>
      <c r="D126" s="29"/>
      <c r="E126" s="29"/>
      <c r="F126" s="17"/>
      <c r="G126" s="13"/>
      <c r="H126" s="13"/>
      <c r="I126" s="13"/>
      <c r="J126" s="13"/>
      <c r="K126" s="13"/>
      <c r="L126" s="13"/>
      <c r="M126" s="13"/>
      <c r="N126" s="12"/>
      <c r="O126" s="12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6"/>
    </row>
    <row r="127" spans="1:26" ht="24" customHeight="1" thickBot="1" x14ac:dyDescent="0.3">
      <c r="A127" s="9"/>
      <c r="B127" s="7"/>
      <c r="C127" s="5"/>
      <c r="D127" s="29"/>
      <c r="E127" s="29"/>
      <c r="F127" s="17"/>
      <c r="G127" s="13"/>
      <c r="H127" s="13"/>
      <c r="I127" s="13"/>
      <c r="J127" s="13"/>
      <c r="K127" s="13"/>
      <c r="L127" s="13"/>
      <c r="M127" s="13"/>
      <c r="N127" s="12"/>
      <c r="O127" s="12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6"/>
    </row>
    <row r="128" spans="1:26" ht="24" customHeight="1" x14ac:dyDescent="0.25"/>
    <row r="129" ht="24" customHeight="1" x14ac:dyDescent="0.25"/>
  </sheetData>
  <sortState xmlns:xlrd2="http://schemas.microsoft.com/office/spreadsheetml/2017/richdata2" ref="A7:Z54">
    <sortCondition ref="D7:D54"/>
  </sortState>
  <mergeCells count="16">
    <mergeCell ref="Z5:Z6"/>
    <mergeCell ref="W5:W6"/>
    <mergeCell ref="X5:X6"/>
    <mergeCell ref="Y5:Y6"/>
    <mergeCell ref="A2:O2"/>
    <mergeCell ref="A4:B4"/>
    <mergeCell ref="A5:A6"/>
    <mergeCell ref="B5:B6"/>
    <mergeCell ref="C5:C6"/>
    <mergeCell ref="D5:D6"/>
    <mergeCell ref="E5:E6"/>
    <mergeCell ref="F5:F6"/>
    <mergeCell ref="G5:M5"/>
    <mergeCell ref="N5:N6"/>
    <mergeCell ref="O5:O6"/>
    <mergeCell ref="P5:V5"/>
  </mergeCells>
  <printOptions horizontalCentered="1"/>
  <pageMargins left="0.7" right="0.7" top="0.75" bottom="0.75" header="0.3" footer="0.3"/>
  <pageSetup paperSize="9" scale="17" orientation="landscape" horizont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Z130"/>
  <sheetViews>
    <sheetView view="pageBreakPreview" zoomScale="55" zoomScaleNormal="100" zoomScaleSheetLayoutView="55" workbookViewId="0">
      <pane xSplit="1" ySplit="6" topLeftCell="B7" activePane="bottomRight" state="frozen"/>
      <selection pane="topRight" activeCell="B1" sqref="B1"/>
      <selection pane="bottomLeft" activeCell="A6" sqref="A6"/>
      <selection pane="bottomRight" activeCell="P5" sqref="P5:Y7"/>
    </sheetView>
  </sheetViews>
  <sheetFormatPr defaultRowHeight="15" x14ac:dyDescent="0.25"/>
  <cols>
    <col min="1" max="1" width="6.140625" customWidth="1"/>
    <col min="2" max="2" width="9.140625" bestFit="1" customWidth="1"/>
    <col min="3" max="3" width="15.5703125" customWidth="1"/>
    <col min="4" max="4" width="15.7109375" style="31" customWidth="1"/>
    <col min="5" max="5" width="9.140625" style="31" customWidth="1"/>
    <col min="6" max="6" width="15.140625" style="35" customWidth="1"/>
    <col min="7" max="7" width="10.7109375" customWidth="1"/>
    <col min="8" max="8" width="9.5703125" customWidth="1"/>
    <col min="13" max="13" width="8.85546875" customWidth="1"/>
    <col min="14" max="14" width="13.140625" customWidth="1"/>
    <col min="15" max="25" width="11.85546875" customWidth="1"/>
    <col min="26" max="26" width="21.42578125" bestFit="1" customWidth="1"/>
  </cols>
  <sheetData>
    <row r="2" spans="1:26" x14ac:dyDescent="0.2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14"/>
      <c r="Q2" s="114"/>
      <c r="R2" s="114"/>
      <c r="S2" s="114"/>
      <c r="T2" s="114"/>
      <c r="U2" s="114"/>
      <c r="V2" s="114"/>
      <c r="W2" s="72"/>
      <c r="X2" s="72"/>
      <c r="Y2" s="72"/>
    </row>
    <row r="3" spans="1:26" x14ac:dyDescent="0.25">
      <c r="A3" s="2" t="s">
        <v>1</v>
      </c>
      <c r="B3" s="2"/>
      <c r="C3" s="26">
        <v>43766</v>
      </c>
      <c r="D3" s="72" t="s">
        <v>2</v>
      </c>
      <c r="E3" s="28" t="s">
        <v>14</v>
      </c>
      <c r="F3" s="34"/>
      <c r="G3" s="2" t="s">
        <v>13</v>
      </c>
      <c r="H3" s="2" t="s">
        <v>15</v>
      </c>
      <c r="I3" s="2"/>
      <c r="J3" s="2"/>
      <c r="K3" s="2"/>
      <c r="L3" s="2"/>
      <c r="M3" s="3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6" ht="15.75" thickBot="1" x14ac:dyDescent="0.3">
      <c r="A4" s="142"/>
      <c r="B4" s="142"/>
      <c r="C4" s="2"/>
      <c r="E4" s="32"/>
      <c r="F4" s="34"/>
      <c r="G4" s="2"/>
      <c r="H4" s="3"/>
      <c r="I4" s="2"/>
      <c r="J4" s="2"/>
      <c r="K4" s="2"/>
      <c r="L4" s="2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6" s="1" customFormat="1" ht="14.45" customHeight="1" x14ac:dyDescent="0.25">
      <c r="A5" s="149" t="s">
        <v>3</v>
      </c>
      <c r="B5" s="145" t="s">
        <v>4</v>
      </c>
      <c r="C5" s="140" t="s">
        <v>5</v>
      </c>
      <c r="D5" s="140" t="s">
        <v>9</v>
      </c>
      <c r="E5" s="140" t="s">
        <v>6</v>
      </c>
      <c r="F5" s="152" t="s">
        <v>7</v>
      </c>
      <c r="G5" s="143" t="s">
        <v>145</v>
      </c>
      <c r="H5" s="144"/>
      <c r="I5" s="144"/>
      <c r="J5" s="144"/>
      <c r="K5" s="144"/>
      <c r="L5" s="144"/>
      <c r="M5" s="145"/>
      <c r="N5" s="140" t="s">
        <v>8</v>
      </c>
      <c r="O5" s="140" t="s">
        <v>10</v>
      </c>
      <c r="P5" s="156" t="s">
        <v>226</v>
      </c>
      <c r="Q5" s="157"/>
      <c r="R5" s="157"/>
      <c r="S5" s="157"/>
      <c r="T5" s="157"/>
      <c r="U5" s="157"/>
      <c r="V5" s="158"/>
      <c r="W5" s="154" t="s">
        <v>188</v>
      </c>
      <c r="X5" s="154" t="s">
        <v>189</v>
      </c>
      <c r="Y5" s="154" t="s">
        <v>227</v>
      </c>
      <c r="Z5" s="146" t="s">
        <v>11</v>
      </c>
    </row>
    <row r="6" spans="1:26" ht="13.9" customHeight="1" thickBot="1" x14ac:dyDescent="0.3">
      <c r="A6" s="150"/>
      <c r="B6" s="151"/>
      <c r="C6" s="141"/>
      <c r="D6" s="141"/>
      <c r="E6" s="141"/>
      <c r="F6" s="153"/>
      <c r="G6" s="51" t="s">
        <v>138</v>
      </c>
      <c r="H6" s="51" t="s">
        <v>139</v>
      </c>
      <c r="I6" s="51" t="s">
        <v>140</v>
      </c>
      <c r="J6" s="51" t="s">
        <v>141</v>
      </c>
      <c r="K6" s="51" t="s">
        <v>142</v>
      </c>
      <c r="L6" s="51" t="s">
        <v>143</v>
      </c>
      <c r="M6" s="51" t="s">
        <v>144</v>
      </c>
      <c r="N6" s="141"/>
      <c r="O6" s="141"/>
      <c r="P6" s="127" t="s">
        <v>228</v>
      </c>
      <c r="Q6" s="115" t="s">
        <v>229</v>
      </c>
      <c r="R6" s="127" t="s">
        <v>230</v>
      </c>
      <c r="S6" s="115" t="s">
        <v>231</v>
      </c>
      <c r="T6" s="127" t="s">
        <v>232</v>
      </c>
      <c r="U6" s="115" t="s">
        <v>233</v>
      </c>
      <c r="V6" s="127" t="s">
        <v>234</v>
      </c>
      <c r="W6" s="155"/>
      <c r="X6" s="155"/>
      <c r="Y6" s="155"/>
      <c r="Z6" s="147"/>
    </row>
    <row r="7" spans="1:26" ht="24" customHeight="1" x14ac:dyDescent="0.25">
      <c r="A7" s="14">
        <f t="shared" ref="A7:A17" si="0">A6+1</f>
        <v>1</v>
      </c>
      <c r="B7" s="92">
        <v>0.54583333333333328</v>
      </c>
      <c r="C7" s="15" t="s">
        <v>55</v>
      </c>
      <c r="D7" s="5">
        <f t="shared" ref="D7:D38" si="1">IF(COUNT(G7:M7)&gt;3,10,IF(COUNT(G7:M7)&gt;2,9,7))</f>
        <v>7</v>
      </c>
      <c r="E7" s="30">
        <v>2</v>
      </c>
      <c r="F7" s="21" t="s">
        <v>12</v>
      </c>
      <c r="G7" s="19">
        <v>5.0500000000000007</v>
      </c>
      <c r="H7" s="19">
        <v>11.3</v>
      </c>
      <c r="I7" s="19"/>
      <c r="J7" s="19"/>
      <c r="K7" s="19"/>
      <c r="L7" s="19"/>
      <c r="M7" s="19"/>
      <c r="N7" s="89">
        <f t="shared" ref="N7:N38" si="2">SUM(G7:M7)</f>
        <v>16.350000000000001</v>
      </c>
      <c r="O7" s="89">
        <f t="shared" ref="O7:O38" si="3">(N7/8.16)^4.5</f>
        <v>22.8151953719156</v>
      </c>
      <c r="P7" s="90">
        <v>8</v>
      </c>
      <c r="Q7" s="90">
        <v>10</v>
      </c>
      <c r="R7" s="90">
        <v>9</v>
      </c>
      <c r="S7" s="90">
        <v>9</v>
      </c>
      <c r="T7" s="90">
        <v>9</v>
      </c>
      <c r="U7" s="90">
        <v>9</v>
      </c>
      <c r="V7" s="90">
        <v>9</v>
      </c>
      <c r="W7" s="91" t="str">
        <f t="shared" ref="W7" si="4">IF(G7&gt;P7,"Y",IF(H7&gt;Q7,"Y",IF(I7&gt;R7,"Y",IF(J7&gt;S7,"Y",IF(K7&gt;T7,"Y",IF(L7&gt;U7,"Y",IF(M7&gt;V7,"Y","N")))))))</f>
        <v>Y</v>
      </c>
      <c r="X7" s="128">
        <f t="shared" ref="X7" si="5">IF(W7="Y",MAX((G7-P7),(H7-Q7),(I7-R7),(J7-S7),(K7-T7),(L7-U7),(M7-V7))/10,0)</f>
        <v>0.13000000000000006</v>
      </c>
      <c r="Y7" s="128" t="str">
        <f t="shared" ref="Y7:Y58" si="6">IF(X7&lt;5%,"0-4.9%",IF(X7&lt;25%,"5-25%",IF(X7&lt;50%,"25-50%","Over 50%")))</f>
        <v>5-25%</v>
      </c>
      <c r="Z7" s="6" t="s">
        <v>196</v>
      </c>
    </row>
    <row r="8" spans="1:26" ht="24" customHeight="1" x14ac:dyDescent="0.25">
      <c r="A8" s="14">
        <f t="shared" si="0"/>
        <v>2</v>
      </c>
      <c r="B8" s="7">
        <v>0.6479166666666667</v>
      </c>
      <c r="C8" s="5" t="s">
        <v>61</v>
      </c>
      <c r="D8" s="5">
        <f t="shared" si="1"/>
        <v>7</v>
      </c>
      <c r="E8" s="29">
        <v>2</v>
      </c>
      <c r="F8" s="21" t="s">
        <v>12</v>
      </c>
      <c r="G8" s="19">
        <v>5.4</v>
      </c>
      <c r="H8" s="19">
        <v>11.8</v>
      </c>
      <c r="I8" s="19"/>
      <c r="J8" s="19"/>
      <c r="K8" s="19"/>
      <c r="L8" s="19"/>
      <c r="M8" s="19"/>
      <c r="N8" s="89">
        <f t="shared" si="2"/>
        <v>17.200000000000003</v>
      </c>
      <c r="O8" s="89">
        <f t="shared" si="3"/>
        <v>28.659743333516825</v>
      </c>
      <c r="P8" s="90">
        <v>8</v>
      </c>
      <c r="Q8" s="90">
        <v>10</v>
      </c>
      <c r="R8" s="90">
        <v>9</v>
      </c>
      <c r="S8" s="90">
        <v>9</v>
      </c>
      <c r="T8" s="90">
        <v>9</v>
      </c>
      <c r="U8" s="90">
        <v>9</v>
      </c>
      <c r="V8" s="90">
        <v>9</v>
      </c>
      <c r="W8" s="91" t="str">
        <f t="shared" ref="W8:W58" si="7">IF(G8&gt;P8,"Y",IF(H8&gt;Q8,"Y",IF(I8&gt;R8,"Y",IF(J8&gt;S8,"Y",IF(K8&gt;T8,"Y",IF(L8&gt;U8,"Y",IF(M8&gt;V8,"Y","N")))))))</f>
        <v>Y</v>
      </c>
      <c r="X8" s="128">
        <f t="shared" ref="X8:X58" si="8">IF(W8="Y",MAX((G8-P8),(H8-Q8),(I8-R8),(J8-S8),(K8-T8),(L8-U8),(M8-V8))/10,0)</f>
        <v>0.18000000000000008</v>
      </c>
      <c r="Y8" s="128" t="str">
        <f t="shared" si="6"/>
        <v>5-25%</v>
      </c>
      <c r="Z8" s="6" t="s">
        <v>196</v>
      </c>
    </row>
    <row r="9" spans="1:26" ht="24" customHeight="1" x14ac:dyDescent="0.25">
      <c r="A9" s="14">
        <f t="shared" si="0"/>
        <v>3</v>
      </c>
      <c r="B9" s="24">
        <v>0.65902777777777777</v>
      </c>
      <c r="C9" s="23" t="s">
        <v>63</v>
      </c>
      <c r="D9" s="5">
        <f t="shared" si="1"/>
        <v>7</v>
      </c>
      <c r="E9" s="29">
        <v>2</v>
      </c>
      <c r="F9" s="21" t="s">
        <v>12</v>
      </c>
      <c r="G9" s="19">
        <v>4.5</v>
      </c>
      <c r="H9" s="19">
        <v>9.9499999999999993</v>
      </c>
      <c r="I9" s="19"/>
      <c r="J9" s="19"/>
      <c r="K9" s="19"/>
      <c r="L9" s="19"/>
      <c r="M9" s="19"/>
      <c r="N9" s="89">
        <f t="shared" si="2"/>
        <v>14.45</v>
      </c>
      <c r="O9" s="89">
        <f t="shared" si="3"/>
        <v>13.085779485397682</v>
      </c>
      <c r="P9" s="90">
        <v>8</v>
      </c>
      <c r="Q9" s="90">
        <v>10</v>
      </c>
      <c r="R9" s="90">
        <v>9</v>
      </c>
      <c r="S9" s="90">
        <v>9</v>
      </c>
      <c r="T9" s="90">
        <v>9</v>
      </c>
      <c r="U9" s="90">
        <v>9</v>
      </c>
      <c r="V9" s="90">
        <v>9</v>
      </c>
      <c r="W9" s="91" t="str">
        <f t="shared" si="7"/>
        <v>N</v>
      </c>
      <c r="X9" s="128">
        <f t="shared" si="8"/>
        <v>0</v>
      </c>
      <c r="Y9" s="128" t="str">
        <f t="shared" si="6"/>
        <v>0-4.9%</v>
      </c>
      <c r="Z9" s="6" t="s">
        <v>196</v>
      </c>
    </row>
    <row r="10" spans="1:26" ht="24" customHeight="1" x14ac:dyDescent="0.25">
      <c r="A10" s="14">
        <f t="shared" si="0"/>
        <v>4</v>
      </c>
      <c r="B10" s="24">
        <v>0.68541666666666667</v>
      </c>
      <c r="C10" s="23" t="s">
        <v>66</v>
      </c>
      <c r="D10" s="5">
        <f t="shared" si="1"/>
        <v>7</v>
      </c>
      <c r="E10" s="29">
        <v>2</v>
      </c>
      <c r="F10" s="21" t="s">
        <v>12</v>
      </c>
      <c r="G10" s="19">
        <v>4.75</v>
      </c>
      <c r="H10" s="19">
        <v>11.3</v>
      </c>
      <c r="I10" s="19"/>
      <c r="J10" s="19"/>
      <c r="K10" s="19"/>
      <c r="L10" s="19"/>
      <c r="M10" s="19"/>
      <c r="N10" s="89">
        <f t="shared" si="2"/>
        <v>16.05</v>
      </c>
      <c r="O10" s="89">
        <f t="shared" si="3"/>
        <v>20.990943078114388</v>
      </c>
      <c r="P10" s="90">
        <v>8</v>
      </c>
      <c r="Q10" s="90">
        <v>10</v>
      </c>
      <c r="R10" s="90">
        <v>9</v>
      </c>
      <c r="S10" s="90">
        <v>9</v>
      </c>
      <c r="T10" s="90">
        <v>9</v>
      </c>
      <c r="U10" s="90">
        <v>9</v>
      </c>
      <c r="V10" s="90">
        <v>9</v>
      </c>
      <c r="W10" s="91" t="str">
        <f t="shared" si="7"/>
        <v>Y</v>
      </c>
      <c r="X10" s="128">
        <f t="shared" si="8"/>
        <v>0.13000000000000006</v>
      </c>
      <c r="Y10" s="128" t="str">
        <f t="shared" si="6"/>
        <v>5-25%</v>
      </c>
      <c r="Z10" s="6" t="s">
        <v>196</v>
      </c>
    </row>
    <row r="11" spans="1:26" ht="24" customHeight="1" x14ac:dyDescent="0.25">
      <c r="A11" s="14">
        <f t="shared" si="0"/>
        <v>5</v>
      </c>
      <c r="B11" s="24">
        <v>0.73263888888888884</v>
      </c>
      <c r="C11" s="23" t="s">
        <v>67</v>
      </c>
      <c r="D11" s="5">
        <f t="shared" si="1"/>
        <v>7</v>
      </c>
      <c r="E11" s="29">
        <v>2</v>
      </c>
      <c r="F11" s="21" t="s">
        <v>12</v>
      </c>
      <c r="G11" s="19">
        <v>4.6999999999999993</v>
      </c>
      <c r="H11" s="19">
        <v>11.55</v>
      </c>
      <c r="I11" s="19"/>
      <c r="J11" s="19"/>
      <c r="K11" s="19"/>
      <c r="L11" s="19"/>
      <c r="M11" s="19"/>
      <c r="N11" s="89">
        <f t="shared" si="2"/>
        <v>16.25</v>
      </c>
      <c r="O11" s="89">
        <f t="shared" si="3"/>
        <v>22.193941119849235</v>
      </c>
      <c r="P11" s="90">
        <v>8</v>
      </c>
      <c r="Q11" s="90">
        <v>10</v>
      </c>
      <c r="R11" s="90">
        <v>9</v>
      </c>
      <c r="S11" s="90">
        <v>9</v>
      </c>
      <c r="T11" s="90">
        <v>9</v>
      </c>
      <c r="U11" s="90">
        <v>9</v>
      </c>
      <c r="V11" s="90">
        <v>9</v>
      </c>
      <c r="W11" s="91" t="str">
        <f t="shared" si="7"/>
        <v>Y</v>
      </c>
      <c r="X11" s="128">
        <f t="shared" si="8"/>
        <v>0.15500000000000008</v>
      </c>
      <c r="Y11" s="128" t="str">
        <f t="shared" si="6"/>
        <v>5-25%</v>
      </c>
      <c r="Z11" s="6" t="s">
        <v>235</v>
      </c>
    </row>
    <row r="12" spans="1:26" ht="24" customHeight="1" x14ac:dyDescent="0.25">
      <c r="A12" s="14">
        <f t="shared" si="0"/>
        <v>6</v>
      </c>
      <c r="B12" s="24">
        <v>0.57638888888888895</v>
      </c>
      <c r="C12" s="23" t="s">
        <v>69</v>
      </c>
      <c r="D12" s="5">
        <f t="shared" si="1"/>
        <v>7</v>
      </c>
      <c r="E12" s="5">
        <v>2</v>
      </c>
      <c r="F12" s="15" t="s">
        <v>12</v>
      </c>
      <c r="G12" s="19">
        <v>2.9</v>
      </c>
      <c r="H12" s="19">
        <v>5.85</v>
      </c>
      <c r="I12" s="19"/>
      <c r="J12" s="19"/>
      <c r="K12" s="19"/>
      <c r="L12" s="19"/>
      <c r="M12" s="19"/>
      <c r="N12" s="89">
        <f t="shared" si="2"/>
        <v>8.75</v>
      </c>
      <c r="O12" s="89">
        <f t="shared" si="3"/>
        <v>1.369085352916996</v>
      </c>
      <c r="P12" s="90">
        <v>8</v>
      </c>
      <c r="Q12" s="90">
        <v>10</v>
      </c>
      <c r="R12" s="90">
        <v>9</v>
      </c>
      <c r="S12" s="90">
        <v>9</v>
      </c>
      <c r="T12" s="90">
        <v>9</v>
      </c>
      <c r="U12" s="90">
        <v>9</v>
      </c>
      <c r="V12" s="90">
        <v>9</v>
      </c>
      <c r="W12" s="91" t="str">
        <f t="shared" si="7"/>
        <v>N</v>
      </c>
      <c r="X12" s="128">
        <f t="shared" si="8"/>
        <v>0</v>
      </c>
      <c r="Y12" s="128" t="str">
        <f t="shared" si="6"/>
        <v>0-4.9%</v>
      </c>
      <c r="Z12" s="6" t="s">
        <v>200</v>
      </c>
    </row>
    <row r="13" spans="1:26" ht="24" customHeight="1" x14ac:dyDescent="0.25">
      <c r="A13" s="14">
        <f t="shared" si="0"/>
        <v>7</v>
      </c>
      <c r="B13" s="24">
        <v>0.66249999999999998</v>
      </c>
      <c r="C13" s="23" t="s">
        <v>95</v>
      </c>
      <c r="D13" s="5">
        <f t="shared" si="1"/>
        <v>7</v>
      </c>
      <c r="E13" s="5">
        <v>2</v>
      </c>
      <c r="F13" s="15" t="s">
        <v>12</v>
      </c>
      <c r="G13" s="19">
        <v>4</v>
      </c>
      <c r="H13" s="19">
        <v>12.45</v>
      </c>
      <c r="I13" s="19"/>
      <c r="J13" s="19"/>
      <c r="K13" s="19"/>
      <c r="L13" s="19"/>
      <c r="M13" s="19"/>
      <c r="N13" s="89">
        <f t="shared" si="2"/>
        <v>16.45</v>
      </c>
      <c r="O13" s="89">
        <f t="shared" si="3"/>
        <v>23.449891946561678</v>
      </c>
      <c r="P13" s="90">
        <v>8</v>
      </c>
      <c r="Q13" s="90">
        <v>10</v>
      </c>
      <c r="R13" s="90">
        <v>9</v>
      </c>
      <c r="S13" s="90">
        <v>9</v>
      </c>
      <c r="T13" s="90">
        <v>9</v>
      </c>
      <c r="U13" s="90">
        <v>9</v>
      </c>
      <c r="V13" s="90">
        <v>9</v>
      </c>
      <c r="W13" s="91" t="str">
        <f t="shared" si="7"/>
        <v>Y</v>
      </c>
      <c r="X13" s="128">
        <f t="shared" si="8"/>
        <v>0.24499999999999994</v>
      </c>
      <c r="Y13" s="128" t="str">
        <f t="shared" si="6"/>
        <v>5-25%</v>
      </c>
      <c r="Z13" s="6" t="s">
        <v>200</v>
      </c>
    </row>
    <row r="14" spans="1:26" ht="24" customHeight="1" x14ac:dyDescent="0.25">
      <c r="A14" s="14">
        <f t="shared" si="0"/>
        <v>8</v>
      </c>
      <c r="B14" s="7">
        <v>0.66597222222222219</v>
      </c>
      <c r="C14" s="5" t="s">
        <v>94</v>
      </c>
      <c r="D14" s="5">
        <f t="shared" si="1"/>
        <v>7</v>
      </c>
      <c r="E14" s="5">
        <v>2</v>
      </c>
      <c r="F14" s="15" t="s">
        <v>12</v>
      </c>
      <c r="G14" s="19">
        <v>3.8</v>
      </c>
      <c r="H14" s="19">
        <v>9.9</v>
      </c>
      <c r="I14" s="19"/>
      <c r="J14" s="19"/>
      <c r="K14" s="19"/>
      <c r="L14" s="19"/>
      <c r="M14" s="19"/>
      <c r="N14" s="89">
        <f t="shared" si="2"/>
        <v>13.7</v>
      </c>
      <c r="O14" s="89">
        <f t="shared" si="3"/>
        <v>10.295248595146765</v>
      </c>
      <c r="P14" s="90">
        <v>8</v>
      </c>
      <c r="Q14" s="90">
        <v>10</v>
      </c>
      <c r="R14" s="90">
        <v>9</v>
      </c>
      <c r="S14" s="90">
        <v>9</v>
      </c>
      <c r="T14" s="90">
        <v>9</v>
      </c>
      <c r="U14" s="90">
        <v>9</v>
      </c>
      <c r="V14" s="90">
        <v>9</v>
      </c>
      <c r="W14" s="91" t="str">
        <f t="shared" si="7"/>
        <v>N</v>
      </c>
      <c r="X14" s="128">
        <f t="shared" si="8"/>
        <v>0</v>
      </c>
      <c r="Y14" s="128" t="str">
        <f t="shared" si="6"/>
        <v>0-4.9%</v>
      </c>
      <c r="Z14" s="6" t="s">
        <v>200</v>
      </c>
    </row>
    <row r="15" spans="1:26" ht="24" customHeight="1" x14ac:dyDescent="0.25">
      <c r="A15" s="14">
        <f t="shared" si="0"/>
        <v>9</v>
      </c>
      <c r="B15" s="93">
        <v>0.66666666666666663</v>
      </c>
      <c r="C15" s="94" t="s">
        <v>23</v>
      </c>
      <c r="D15" s="5">
        <f t="shared" si="1"/>
        <v>7</v>
      </c>
      <c r="E15" s="5">
        <v>2</v>
      </c>
      <c r="F15" s="15" t="s">
        <v>12</v>
      </c>
      <c r="G15" s="19">
        <v>6.2</v>
      </c>
      <c r="H15" s="19">
        <v>11.2</v>
      </c>
      <c r="I15" s="19"/>
      <c r="J15" s="19"/>
      <c r="K15" s="19"/>
      <c r="L15" s="19"/>
      <c r="M15" s="19"/>
      <c r="N15" s="89">
        <f t="shared" si="2"/>
        <v>17.399999999999999</v>
      </c>
      <c r="O15" s="89">
        <f t="shared" si="3"/>
        <v>30.190193937601094</v>
      </c>
      <c r="P15" s="90">
        <v>8</v>
      </c>
      <c r="Q15" s="90">
        <v>10</v>
      </c>
      <c r="R15" s="90">
        <v>9</v>
      </c>
      <c r="S15" s="90">
        <v>9</v>
      </c>
      <c r="T15" s="90">
        <v>9</v>
      </c>
      <c r="U15" s="90">
        <v>9</v>
      </c>
      <c r="V15" s="90">
        <v>9</v>
      </c>
      <c r="W15" s="91" t="str">
        <f t="shared" si="7"/>
        <v>Y</v>
      </c>
      <c r="X15" s="128">
        <f t="shared" si="8"/>
        <v>0.11999999999999993</v>
      </c>
      <c r="Y15" s="128" t="str">
        <f t="shared" si="6"/>
        <v>5-25%</v>
      </c>
      <c r="Z15" s="6" t="s">
        <v>200</v>
      </c>
    </row>
    <row r="16" spans="1:26" ht="24" customHeight="1" x14ac:dyDescent="0.25">
      <c r="A16" s="14">
        <f t="shared" si="0"/>
        <v>10</v>
      </c>
      <c r="B16" s="7">
        <v>0.6743055555555556</v>
      </c>
      <c r="C16" s="5" t="s">
        <v>93</v>
      </c>
      <c r="D16" s="5">
        <f t="shared" si="1"/>
        <v>7</v>
      </c>
      <c r="E16" s="5">
        <v>2</v>
      </c>
      <c r="F16" s="15" t="s">
        <v>12</v>
      </c>
      <c r="G16" s="19">
        <v>5.8000000000000007</v>
      </c>
      <c r="H16" s="19">
        <v>11.6</v>
      </c>
      <c r="I16" s="19"/>
      <c r="J16" s="19"/>
      <c r="K16" s="19"/>
      <c r="L16" s="19"/>
      <c r="M16" s="19"/>
      <c r="N16" s="89">
        <f t="shared" si="2"/>
        <v>17.399999999999999</v>
      </c>
      <c r="O16" s="89">
        <f t="shared" si="3"/>
        <v>30.190193937601094</v>
      </c>
      <c r="P16" s="90">
        <v>8</v>
      </c>
      <c r="Q16" s="90">
        <v>10</v>
      </c>
      <c r="R16" s="90">
        <v>9</v>
      </c>
      <c r="S16" s="90">
        <v>9</v>
      </c>
      <c r="T16" s="90">
        <v>9</v>
      </c>
      <c r="U16" s="90">
        <v>9</v>
      </c>
      <c r="V16" s="90">
        <v>9</v>
      </c>
      <c r="W16" s="91" t="str">
        <f t="shared" si="7"/>
        <v>Y</v>
      </c>
      <c r="X16" s="128">
        <f t="shared" si="8"/>
        <v>0.15999999999999998</v>
      </c>
      <c r="Y16" s="128" t="str">
        <f t="shared" si="6"/>
        <v>5-25%</v>
      </c>
      <c r="Z16" s="6" t="s">
        <v>200</v>
      </c>
    </row>
    <row r="17" spans="1:26" ht="24" customHeight="1" x14ac:dyDescent="0.25">
      <c r="A17" s="14">
        <f t="shared" si="0"/>
        <v>11</v>
      </c>
      <c r="B17" s="7">
        <v>0.55208333333333337</v>
      </c>
      <c r="C17" s="5" t="s">
        <v>55</v>
      </c>
      <c r="D17" s="5">
        <f t="shared" si="1"/>
        <v>7</v>
      </c>
      <c r="E17" s="5">
        <v>2</v>
      </c>
      <c r="F17" s="15" t="s">
        <v>12</v>
      </c>
      <c r="G17" s="19">
        <v>5.0999999999999996</v>
      </c>
      <c r="H17" s="19">
        <v>10.95</v>
      </c>
      <c r="I17" s="19"/>
      <c r="J17" s="19"/>
      <c r="K17" s="19"/>
      <c r="L17" s="19"/>
      <c r="M17" s="19"/>
      <c r="N17" s="89">
        <f t="shared" si="2"/>
        <v>16.049999999999997</v>
      </c>
      <c r="O17" s="89">
        <f t="shared" si="3"/>
        <v>20.99094307811437</v>
      </c>
      <c r="P17" s="90">
        <v>8</v>
      </c>
      <c r="Q17" s="90">
        <v>10</v>
      </c>
      <c r="R17" s="90">
        <v>9</v>
      </c>
      <c r="S17" s="90">
        <v>9</v>
      </c>
      <c r="T17" s="90">
        <v>9</v>
      </c>
      <c r="U17" s="90">
        <v>9</v>
      </c>
      <c r="V17" s="90">
        <v>9</v>
      </c>
      <c r="W17" s="91" t="str">
        <f t="shared" si="7"/>
        <v>Y</v>
      </c>
      <c r="X17" s="128">
        <f t="shared" si="8"/>
        <v>9.4999999999999932E-2</v>
      </c>
      <c r="Y17" s="128" t="str">
        <f t="shared" si="6"/>
        <v>5-25%</v>
      </c>
      <c r="Z17" s="6" t="s">
        <v>200</v>
      </c>
    </row>
    <row r="18" spans="1:26" s="113" customFormat="1" ht="24" customHeight="1" x14ac:dyDescent="0.25">
      <c r="A18" s="14">
        <v>1</v>
      </c>
      <c r="B18" s="95">
        <v>0.38263888888888892</v>
      </c>
      <c r="C18" s="79" t="s">
        <v>45</v>
      </c>
      <c r="D18" s="79">
        <f t="shared" si="1"/>
        <v>10</v>
      </c>
      <c r="E18" s="116">
        <v>6</v>
      </c>
      <c r="F18" s="21" t="s">
        <v>42</v>
      </c>
      <c r="G18" s="19">
        <v>5.65</v>
      </c>
      <c r="H18" s="19">
        <v>6.5500000000000007</v>
      </c>
      <c r="I18" s="19">
        <v>9.8999999999999986</v>
      </c>
      <c r="J18" s="19">
        <v>6.9499999999999993</v>
      </c>
      <c r="K18" s="19">
        <v>8.15</v>
      </c>
      <c r="L18" s="19">
        <v>8.1</v>
      </c>
      <c r="M18" s="19"/>
      <c r="N18" s="112">
        <f t="shared" si="2"/>
        <v>45.300000000000004</v>
      </c>
      <c r="O18" s="112">
        <f t="shared" si="3"/>
        <v>2237.8769065291922</v>
      </c>
      <c r="P18" s="90">
        <v>8</v>
      </c>
      <c r="Q18" s="90">
        <v>10</v>
      </c>
      <c r="R18" s="90">
        <v>9</v>
      </c>
      <c r="S18" s="90">
        <v>9</v>
      </c>
      <c r="T18" s="90">
        <v>9</v>
      </c>
      <c r="U18" s="90">
        <v>9</v>
      </c>
      <c r="V18" s="90">
        <v>9</v>
      </c>
      <c r="W18" s="91" t="str">
        <f t="shared" si="7"/>
        <v>Y</v>
      </c>
      <c r="X18" s="128">
        <f t="shared" si="8"/>
        <v>8.9999999999999858E-2</v>
      </c>
      <c r="Y18" s="128" t="str">
        <f t="shared" si="6"/>
        <v>5-25%</v>
      </c>
      <c r="Z18" s="99" t="s">
        <v>200</v>
      </c>
    </row>
    <row r="19" spans="1:26" s="113" customFormat="1" ht="24" customHeight="1" x14ac:dyDescent="0.25">
      <c r="A19" s="14">
        <f t="shared" ref="A19:A29" si="9">A18+1</f>
        <v>2</v>
      </c>
      <c r="B19" s="95">
        <v>0.3840277777777778</v>
      </c>
      <c r="C19" s="79" t="s">
        <v>46</v>
      </c>
      <c r="D19" s="79">
        <f t="shared" si="1"/>
        <v>10</v>
      </c>
      <c r="E19" s="116">
        <v>7</v>
      </c>
      <c r="F19" s="21" t="s">
        <v>47</v>
      </c>
      <c r="G19" s="19">
        <v>8.25</v>
      </c>
      <c r="H19" s="19">
        <v>9.0500000000000007</v>
      </c>
      <c r="I19" s="19">
        <v>7.6999999999999993</v>
      </c>
      <c r="J19" s="19">
        <v>6.9499999999999993</v>
      </c>
      <c r="K19" s="19">
        <v>5.9</v>
      </c>
      <c r="L19" s="19">
        <v>5.75</v>
      </c>
      <c r="M19" s="19">
        <v>5.9499999999999993</v>
      </c>
      <c r="N19" s="112">
        <f t="shared" si="2"/>
        <v>49.55</v>
      </c>
      <c r="O19" s="112">
        <f t="shared" si="3"/>
        <v>3350.3544094865501</v>
      </c>
      <c r="P19" s="90">
        <v>8</v>
      </c>
      <c r="Q19" s="90">
        <v>10</v>
      </c>
      <c r="R19" s="90">
        <v>9</v>
      </c>
      <c r="S19" s="90">
        <v>9</v>
      </c>
      <c r="T19" s="90">
        <v>9</v>
      </c>
      <c r="U19" s="90">
        <v>9</v>
      </c>
      <c r="V19" s="90">
        <v>9</v>
      </c>
      <c r="W19" s="91" t="str">
        <f t="shared" si="7"/>
        <v>Y</v>
      </c>
      <c r="X19" s="128">
        <f t="shared" si="8"/>
        <v>2.5000000000000001E-2</v>
      </c>
      <c r="Y19" s="128" t="str">
        <f t="shared" si="6"/>
        <v>0-4.9%</v>
      </c>
      <c r="Z19" s="99" t="s">
        <v>200</v>
      </c>
    </row>
    <row r="20" spans="1:26" s="113" customFormat="1" ht="24" customHeight="1" x14ac:dyDescent="0.25">
      <c r="A20" s="14">
        <f t="shared" si="9"/>
        <v>3</v>
      </c>
      <c r="B20" s="95">
        <v>0.38819444444444445</v>
      </c>
      <c r="C20" s="79" t="s">
        <v>49</v>
      </c>
      <c r="D20" s="79">
        <f t="shared" si="1"/>
        <v>10</v>
      </c>
      <c r="E20" s="116">
        <v>7</v>
      </c>
      <c r="F20" s="21" t="s">
        <v>47</v>
      </c>
      <c r="G20" s="19">
        <v>8.85</v>
      </c>
      <c r="H20" s="19">
        <v>7.1</v>
      </c>
      <c r="I20" s="19">
        <v>7.25</v>
      </c>
      <c r="J20" s="19">
        <v>7.3</v>
      </c>
      <c r="K20" s="19">
        <v>7.35</v>
      </c>
      <c r="L20" s="19">
        <v>7.1999999999999993</v>
      </c>
      <c r="M20" s="19">
        <v>5</v>
      </c>
      <c r="N20" s="112">
        <f t="shared" si="2"/>
        <v>50.05</v>
      </c>
      <c r="O20" s="112">
        <f t="shared" si="3"/>
        <v>3505.1987954444198</v>
      </c>
      <c r="P20" s="90">
        <v>8</v>
      </c>
      <c r="Q20" s="90">
        <v>10</v>
      </c>
      <c r="R20" s="90">
        <v>9</v>
      </c>
      <c r="S20" s="90">
        <v>9</v>
      </c>
      <c r="T20" s="90">
        <v>9</v>
      </c>
      <c r="U20" s="90">
        <v>9</v>
      </c>
      <c r="V20" s="90">
        <v>9</v>
      </c>
      <c r="W20" s="91" t="str">
        <f t="shared" si="7"/>
        <v>Y</v>
      </c>
      <c r="X20" s="128">
        <f t="shared" si="8"/>
        <v>8.4999999999999964E-2</v>
      </c>
      <c r="Y20" s="128" t="str">
        <f t="shared" si="6"/>
        <v>5-25%</v>
      </c>
      <c r="Z20" s="99" t="s">
        <v>200</v>
      </c>
    </row>
    <row r="21" spans="1:26" s="113" customFormat="1" ht="24" customHeight="1" x14ac:dyDescent="0.25">
      <c r="A21" s="14">
        <f t="shared" si="9"/>
        <v>4</v>
      </c>
      <c r="B21" s="95">
        <v>0.39027777777777778</v>
      </c>
      <c r="C21" s="79" t="s">
        <v>50</v>
      </c>
      <c r="D21" s="79">
        <f t="shared" si="1"/>
        <v>10</v>
      </c>
      <c r="E21" s="116">
        <v>6</v>
      </c>
      <c r="F21" s="21" t="s">
        <v>33</v>
      </c>
      <c r="G21" s="19">
        <v>5.45</v>
      </c>
      <c r="H21" s="19">
        <v>7.75</v>
      </c>
      <c r="I21" s="19">
        <v>7.9</v>
      </c>
      <c r="J21" s="19">
        <v>8.6000000000000014</v>
      </c>
      <c r="K21" s="19">
        <v>7.6</v>
      </c>
      <c r="L21" s="19">
        <v>6.75</v>
      </c>
      <c r="M21" s="19"/>
      <c r="N21" s="112">
        <f t="shared" si="2"/>
        <v>44.050000000000004</v>
      </c>
      <c r="O21" s="112">
        <f t="shared" si="3"/>
        <v>1973.108161453727</v>
      </c>
      <c r="P21" s="90">
        <v>8</v>
      </c>
      <c r="Q21" s="90">
        <v>10</v>
      </c>
      <c r="R21" s="90">
        <v>9</v>
      </c>
      <c r="S21" s="90">
        <v>9</v>
      </c>
      <c r="T21" s="90">
        <v>9</v>
      </c>
      <c r="U21" s="90">
        <v>9</v>
      </c>
      <c r="V21" s="90">
        <v>9</v>
      </c>
      <c r="W21" s="91" t="str">
        <f t="shared" si="7"/>
        <v>N</v>
      </c>
      <c r="X21" s="128">
        <f t="shared" si="8"/>
        <v>0</v>
      </c>
      <c r="Y21" s="128" t="str">
        <f t="shared" si="6"/>
        <v>0-4.9%</v>
      </c>
      <c r="Z21" s="99" t="s">
        <v>200</v>
      </c>
    </row>
    <row r="22" spans="1:26" s="113" customFormat="1" ht="24" customHeight="1" x14ac:dyDescent="0.25">
      <c r="A22" s="14">
        <f t="shared" si="9"/>
        <v>5</v>
      </c>
      <c r="B22" s="95">
        <v>0.40625</v>
      </c>
      <c r="C22" s="79" t="s">
        <v>51</v>
      </c>
      <c r="D22" s="79">
        <f t="shared" si="1"/>
        <v>10</v>
      </c>
      <c r="E22" s="116">
        <v>6</v>
      </c>
      <c r="F22" s="21" t="s">
        <v>35</v>
      </c>
      <c r="G22" s="19">
        <v>5.0999999999999996</v>
      </c>
      <c r="H22" s="19">
        <v>6.45</v>
      </c>
      <c r="I22" s="19">
        <v>9.75</v>
      </c>
      <c r="J22" s="19">
        <v>7.95</v>
      </c>
      <c r="K22" s="19">
        <v>7.45</v>
      </c>
      <c r="L22" s="19">
        <v>6.4</v>
      </c>
      <c r="M22" s="19"/>
      <c r="N22" s="112">
        <f t="shared" si="2"/>
        <v>43.1</v>
      </c>
      <c r="O22" s="112">
        <f t="shared" si="3"/>
        <v>1788.7185106408715</v>
      </c>
      <c r="P22" s="90">
        <v>8</v>
      </c>
      <c r="Q22" s="90">
        <v>10</v>
      </c>
      <c r="R22" s="90">
        <v>9</v>
      </c>
      <c r="S22" s="90">
        <v>9</v>
      </c>
      <c r="T22" s="90">
        <v>9</v>
      </c>
      <c r="U22" s="90">
        <v>9</v>
      </c>
      <c r="V22" s="90">
        <v>9</v>
      </c>
      <c r="W22" s="91" t="str">
        <f t="shared" si="7"/>
        <v>Y</v>
      </c>
      <c r="X22" s="128">
        <f t="shared" si="8"/>
        <v>7.4999999999999997E-2</v>
      </c>
      <c r="Y22" s="128" t="str">
        <f t="shared" si="6"/>
        <v>5-25%</v>
      </c>
      <c r="Z22" s="99" t="s">
        <v>200</v>
      </c>
    </row>
    <row r="23" spans="1:26" s="113" customFormat="1" ht="24" customHeight="1" thickBot="1" x14ac:dyDescent="0.3">
      <c r="A23" s="40">
        <f t="shared" si="9"/>
        <v>6</v>
      </c>
      <c r="B23" s="117">
        <v>0.42430555555555555</v>
      </c>
      <c r="C23" s="118" t="s">
        <v>52</v>
      </c>
      <c r="D23" s="79">
        <f t="shared" si="1"/>
        <v>10</v>
      </c>
      <c r="E23" s="119">
        <v>6</v>
      </c>
      <c r="F23" s="44" t="s">
        <v>33</v>
      </c>
      <c r="G23" s="19">
        <v>4.8</v>
      </c>
      <c r="H23" s="19">
        <v>9.1</v>
      </c>
      <c r="I23" s="19">
        <v>8.0500000000000007</v>
      </c>
      <c r="J23" s="19">
        <v>7.75</v>
      </c>
      <c r="K23" s="19">
        <v>6.85</v>
      </c>
      <c r="L23" s="19">
        <v>6.8000000000000007</v>
      </c>
      <c r="M23" s="19"/>
      <c r="N23" s="112">
        <f t="shared" si="2"/>
        <v>43.349999999999994</v>
      </c>
      <c r="O23" s="112">
        <f t="shared" si="3"/>
        <v>1835.8840289534539</v>
      </c>
      <c r="P23" s="90">
        <v>8</v>
      </c>
      <c r="Q23" s="90">
        <v>10</v>
      </c>
      <c r="R23" s="90">
        <v>9</v>
      </c>
      <c r="S23" s="90">
        <v>9</v>
      </c>
      <c r="T23" s="90">
        <v>9</v>
      </c>
      <c r="U23" s="90">
        <v>9</v>
      </c>
      <c r="V23" s="90">
        <v>9</v>
      </c>
      <c r="W23" s="91" t="str">
        <f t="shared" si="7"/>
        <v>N</v>
      </c>
      <c r="X23" s="128">
        <f t="shared" si="8"/>
        <v>0</v>
      </c>
      <c r="Y23" s="128" t="str">
        <f t="shared" si="6"/>
        <v>0-4.9%</v>
      </c>
      <c r="Z23" s="99" t="s">
        <v>200</v>
      </c>
    </row>
    <row r="24" spans="1:26" s="113" customFormat="1" ht="24" customHeight="1" x14ac:dyDescent="0.25">
      <c r="A24" s="59">
        <f t="shared" si="9"/>
        <v>7</v>
      </c>
      <c r="B24" s="71">
        <v>0.44305555555555554</v>
      </c>
      <c r="C24" s="62" t="s">
        <v>53</v>
      </c>
      <c r="D24" s="79">
        <f t="shared" si="1"/>
        <v>10</v>
      </c>
      <c r="E24" s="83">
        <v>7</v>
      </c>
      <c r="F24" s="120" t="s">
        <v>47</v>
      </c>
      <c r="G24" s="19">
        <v>7.35</v>
      </c>
      <c r="H24" s="19">
        <v>7.45</v>
      </c>
      <c r="I24" s="19">
        <v>7.25</v>
      </c>
      <c r="J24" s="19">
        <v>8.1</v>
      </c>
      <c r="K24" s="19">
        <v>7.65</v>
      </c>
      <c r="L24" s="19">
        <v>7.3</v>
      </c>
      <c r="M24" s="19">
        <v>5.9</v>
      </c>
      <c r="N24" s="112">
        <f t="shared" si="2"/>
        <v>50.999999999999993</v>
      </c>
      <c r="O24" s="112">
        <f t="shared" si="3"/>
        <v>3814.6972656249982</v>
      </c>
      <c r="P24" s="90">
        <v>8</v>
      </c>
      <c r="Q24" s="90">
        <v>10</v>
      </c>
      <c r="R24" s="90">
        <v>9</v>
      </c>
      <c r="S24" s="90">
        <v>9</v>
      </c>
      <c r="T24" s="90">
        <v>9</v>
      </c>
      <c r="U24" s="90">
        <v>9</v>
      </c>
      <c r="V24" s="90">
        <v>9</v>
      </c>
      <c r="W24" s="91" t="str">
        <f t="shared" si="7"/>
        <v>N</v>
      </c>
      <c r="X24" s="128">
        <f t="shared" si="8"/>
        <v>0</v>
      </c>
      <c r="Y24" s="128" t="str">
        <f t="shared" si="6"/>
        <v>0-4.9%</v>
      </c>
      <c r="Z24" s="22" t="s">
        <v>200</v>
      </c>
    </row>
    <row r="25" spans="1:26" s="113" customFormat="1" ht="24" customHeight="1" x14ac:dyDescent="0.25">
      <c r="A25" s="14">
        <f t="shared" si="9"/>
        <v>8</v>
      </c>
      <c r="B25" s="95">
        <v>0.47291666666666665</v>
      </c>
      <c r="C25" s="79" t="s">
        <v>54</v>
      </c>
      <c r="D25" s="79">
        <f t="shared" si="1"/>
        <v>10</v>
      </c>
      <c r="E25" s="116">
        <v>7</v>
      </c>
      <c r="F25" s="21" t="s">
        <v>47</v>
      </c>
      <c r="G25" s="19">
        <v>6.7</v>
      </c>
      <c r="H25" s="19">
        <v>7.4499999999999993</v>
      </c>
      <c r="I25" s="19">
        <v>8.0500000000000007</v>
      </c>
      <c r="J25" s="19">
        <v>6.1999999999999993</v>
      </c>
      <c r="K25" s="19">
        <v>7.25</v>
      </c>
      <c r="L25" s="19">
        <v>8</v>
      </c>
      <c r="M25" s="19">
        <v>8.1999999999999993</v>
      </c>
      <c r="N25" s="112">
        <f t="shared" si="2"/>
        <v>51.849999999999994</v>
      </c>
      <c r="O25" s="112">
        <f t="shared" si="3"/>
        <v>4109.260834303429</v>
      </c>
      <c r="P25" s="90">
        <v>8</v>
      </c>
      <c r="Q25" s="90">
        <v>10</v>
      </c>
      <c r="R25" s="90">
        <v>9</v>
      </c>
      <c r="S25" s="90">
        <v>9</v>
      </c>
      <c r="T25" s="90">
        <v>9</v>
      </c>
      <c r="U25" s="90">
        <v>9</v>
      </c>
      <c r="V25" s="90">
        <v>9</v>
      </c>
      <c r="W25" s="91" t="str">
        <f t="shared" si="7"/>
        <v>N</v>
      </c>
      <c r="X25" s="128">
        <f t="shared" si="8"/>
        <v>0</v>
      </c>
      <c r="Y25" s="128" t="str">
        <f t="shared" si="6"/>
        <v>0-4.9%</v>
      </c>
      <c r="Z25" s="99" t="s">
        <v>200</v>
      </c>
    </row>
    <row r="26" spans="1:26" s="113" customFormat="1" ht="24" customHeight="1" x14ac:dyDescent="0.25">
      <c r="A26" s="14">
        <f t="shared" si="9"/>
        <v>9</v>
      </c>
      <c r="B26" s="95">
        <v>0.57013888888888886</v>
      </c>
      <c r="C26" s="79" t="s">
        <v>56</v>
      </c>
      <c r="D26" s="79">
        <f t="shared" si="1"/>
        <v>10</v>
      </c>
      <c r="E26" s="116">
        <v>7</v>
      </c>
      <c r="F26" s="21" t="s">
        <v>47</v>
      </c>
      <c r="G26" s="19">
        <v>8.15</v>
      </c>
      <c r="H26" s="19">
        <v>7.1499999999999995</v>
      </c>
      <c r="I26" s="19">
        <v>6.8</v>
      </c>
      <c r="J26" s="19">
        <v>7.1</v>
      </c>
      <c r="K26" s="19">
        <v>7</v>
      </c>
      <c r="L26" s="19">
        <v>5.85</v>
      </c>
      <c r="M26" s="19">
        <v>6.6</v>
      </c>
      <c r="N26" s="112">
        <f t="shared" si="2"/>
        <v>48.650000000000006</v>
      </c>
      <c r="O26" s="112">
        <f t="shared" si="3"/>
        <v>3085.0846600787022</v>
      </c>
      <c r="P26" s="90">
        <v>8</v>
      </c>
      <c r="Q26" s="90">
        <v>10</v>
      </c>
      <c r="R26" s="90">
        <v>9</v>
      </c>
      <c r="S26" s="90">
        <v>9</v>
      </c>
      <c r="T26" s="90">
        <v>9</v>
      </c>
      <c r="U26" s="90">
        <v>9</v>
      </c>
      <c r="V26" s="90">
        <v>9</v>
      </c>
      <c r="W26" s="91" t="str">
        <f t="shared" si="7"/>
        <v>Y</v>
      </c>
      <c r="X26" s="128">
        <f t="shared" si="8"/>
        <v>1.5000000000000036E-2</v>
      </c>
      <c r="Y26" s="128" t="str">
        <f t="shared" si="6"/>
        <v>0-4.9%</v>
      </c>
      <c r="Z26" s="99" t="s">
        <v>200</v>
      </c>
    </row>
    <row r="27" spans="1:26" s="113" customFormat="1" ht="24" customHeight="1" x14ac:dyDescent="0.25">
      <c r="A27" s="14">
        <f t="shared" si="9"/>
        <v>10</v>
      </c>
      <c r="B27" s="121">
        <v>0.57847222222222217</v>
      </c>
      <c r="C27" s="122" t="s">
        <v>58</v>
      </c>
      <c r="D27" s="79">
        <f t="shared" si="1"/>
        <v>10</v>
      </c>
      <c r="E27" s="116">
        <v>7</v>
      </c>
      <c r="F27" s="21" t="s">
        <v>47</v>
      </c>
      <c r="G27" s="19">
        <v>8.0500000000000007</v>
      </c>
      <c r="H27" s="19">
        <v>10.050000000000001</v>
      </c>
      <c r="I27" s="19">
        <v>7.95</v>
      </c>
      <c r="J27" s="19">
        <v>8</v>
      </c>
      <c r="K27" s="19">
        <v>8.75</v>
      </c>
      <c r="L27" s="19">
        <v>5.6</v>
      </c>
      <c r="M27" s="19">
        <v>5.65</v>
      </c>
      <c r="N27" s="112">
        <f t="shared" si="2"/>
        <v>54.05</v>
      </c>
      <c r="O27" s="112">
        <f t="shared" si="3"/>
        <v>4954.2158898291591</v>
      </c>
      <c r="P27" s="90">
        <v>8</v>
      </c>
      <c r="Q27" s="90">
        <v>10</v>
      </c>
      <c r="R27" s="90">
        <v>9</v>
      </c>
      <c r="S27" s="90">
        <v>9</v>
      </c>
      <c r="T27" s="90">
        <v>9</v>
      </c>
      <c r="U27" s="90">
        <v>9</v>
      </c>
      <c r="V27" s="90">
        <v>9</v>
      </c>
      <c r="W27" s="91" t="str">
        <f t="shared" si="7"/>
        <v>Y</v>
      </c>
      <c r="X27" s="128">
        <f t="shared" si="8"/>
        <v>5.0000000000000712E-3</v>
      </c>
      <c r="Y27" s="128" t="str">
        <f t="shared" si="6"/>
        <v>0-4.9%</v>
      </c>
      <c r="Z27" s="99" t="s">
        <v>200</v>
      </c>
    </row>
    <row r="28" spans="1:26" s="113" customFormat="1" ht="24" customHeight="1" x14ac:dyDescent="0.25">
      <c r="A28" s="14">
        <f t="shared" si="9"/>
        <v>11</v>
      </c>
      <c r="B28" s="121">
        <v>0.64444444444444449</v>
      </c>
      <c r="C28" s="122" t="s">
        <v>59</v>
      </c>
      <c r="D28" s="79">
        <f t="shared" si="1"/>
        <v>10</v>
      </c>
      <c r="E28" s="116">
        <v>6</v>
      </c>
      <c r="F28" s="21" t="s">
        <v>60</v>
      </c>
      <c r="G28" s="19">
        <v>6.4499999999999993</v>
      </c>
      <c r="H28" s="19">
        <v>7.5500000000000007</v>
      </c>
      <c r="I28" s="19">
        <v>7.1499999999999995</v>
      </c>
      <c r="J28" s="19">
        <v>6.05</v>
      </c>
      <c r="K28" s="19">
        <v>7.2</v>
      </c>
      <c r="L28" s="19">
        <v>7.9</v>
      </c>
      <c r="M28" s="19"/>
      <c r="N28" s="112">
        <f t="shared" si="2"/>
        <v>42.3</v>
      </c>
      <c r="O28" s="112">
        <f t="shared" si="3"/>
        <v>1644.0913287536291</v>
      </c>
      <c r="P28" s="90">
        <v>8</v>
      </c>
      <c r="Q28" s="90">
        <v>10</v>
      </c>
      <c r="R28" s="90">
        <v>9</v>
      </c>
      <c r="S28" s="90">
        <v>9</v>
      </c>
      <c r="T28" s="90">
        <v>9</v>
      </c>
      <c r="U28" s="90">
        <v>9</v>
      </c>
      <c r="V28" s="90">
        <v>9</v>
      </c>
      <c r="W28" s="91" t="str">
        <f t="shared" si="7"/>
        <v>N</v>
      </c>
      <c r="X28" s="128">
        <f t="shared" si="8"/>
        <v>0</v>
      </c>
      <c r="Y28" s="128" t="str">
        <f t="shared" si="6"/>
        <v>0-4.9%</v>
      </c>
      <c r="Z28" s="99" t="s">
        <v>200</v>
      </c>
    </row>
    <row r="29" spans="1:26" s="113" customFormat="1" ht="24" customHeight="1" x14ac:dyDescent="0.25">
      <c r="A29" s="14">
        <f t="shared" si="9"/>
        <v>12</v>
      </c>
      <c r="B29" s="121">
        <v>0.6791666666666667</v>
      </c>
      <c r="C29" s="122" t="s">
        <v>64</v>
      </c>
      <c r="D29" s="79">
        <f t="shared" si="1"/>
        <v>10</v>
      </c>
      <c r="E29" s="116">
        <v>6</v>
      </c>
      <c r="F29" s="21" t="s">
        <v>65</v>
      </c>
      <c r="G29" s="19">
        <v>6.25</v>
      </c>
      <c r="H29" s="19">
        <v>7.25</v>
      </c>
      <c r="I29" s="19">
        <v>8</v>
      </c>
      <c r="J29" s="19">
        <v>8.0500000000000007</v>
      </c>
      <c r="K29" s="19">
        <v>7.25</v>
      </c>
      <c r="L29" s="19">
        <v>7.25</v>
      </c>
      <c r="M29" s="19"/>
      <c r="N29" s="112">
        <f t="shared" si="2"/>
        <v>44.05</v>
      </c>
      <c r="O29" s="112">
        <f t="shared" si="3"/>
        <v>1973.1081614537254</v>
      </c>
      <c r="P29" s="90">
        <v>8</v>
      </c>
      <c r="Q29" s="90">
        <v>10</v>
      </c>
      <c r="R29" s="90">
        <v>9</v>
      </c>
      <c r="S29" s="90">
        <v>9</v>
      </c>
      <c r="T29" s="90">
        <v>9</v>
      </c>
      <c r="U29" s="90">
        <v>9</v>
      </c>
      <c r="V29" s="90">
        <v>9</v>
      </c>
      <c r="W29" s="91" t="str">
        <f t="shared" si="7"/>
        <v>N</v>
      </c>
      <c r="X29" s="128">
        <f t="shared" si="8"/>
        <v>0</v>
      </c>
      <c r="Y29" s="128" t="str">
        <f t="shared" si="6"/>
        <v>0-4.9%</v>
      </c>
      <c r="Z29" s="99" t="s">
        <v>200</v>
      </c>
    </row>
    <row r="30" spans="1:26" s="113" customFormat="1" ht="24" customHeight="1" x14ac:dyDescent="0.25">
      <c r="A30" s="14">
        <v>1</v>
      </c>
      <c r="B30" s="121">
        <v>0.35486111111111113</v>
      </c>
      <c r="C30" s="122" t="s">
        <v>98</v>
      </c>
      <c r="D30" s="79">
        <f t="shared" si="1"/>
        <v>10</v>
      </c>
      <c r="E30" s="79">
        <v>6</v>
      </c>
      <c r="F30" s="15" t="s">
        <v>33</v>
      </c>
      <c r="G30" s="19">
        <v>6.5</v>
      </c>
      <c r="H30" s="19">
        <v>7.75</v>
      </c>
      <c r="I30" s="19">
        <v>7.1499999999999995</v>
      </c>
      <c r="J30" s="19">
        <v>7.75</v>
      </c>
      <c r="K30" s="19">
        <v>7.3</v>
      </c>
      <c r="L30" s="19">
        <v>8.15</v>
      </c>
      <c r="M30" s="19"/>
      <c r="N30" s="112">
        <f t="shared" si="2"/>
        <v>44.599999999999994</v>
      </c>
      <c r="O30" s="112">
        <f t="shared" si="3"/>
        <v>2086.4171784298433</v>
      </c>
      <c r="P30" s="90">
        <v>8</v>
      </c>
      <c r="Q30" s="90">
        <v>10</v>
      </c>
      <c r="R30" s="90">
        <v>9</v>
      </c>
      <c r="S30" s="90">
        <v>9</v>
      </c>
      <c r="T30" s="90">
        <v>9</v>
      </c>
      <c r="U30" s="90">
        <v>9</v>
      </c>
      <c r="V30" s="90">
        <v>9</v>
      </c>
      <c r="W30" s="91" t="str">
        <f t="shared" si="7"/>
        <v>N</v>
      </c>
      <c r="X30" s="128">
        <f t="shared" si="8"/>
        <v>0</v>
      </c>
      <c r="Y30" s="128" t="str">
        <f t="shared" si="6"/>
        <v>0-4.9%</v>
      </c>
      <c r="Z30" s="99" t="s">
        <v>200</v>
      </c>
    </row>
    <row r="31" spans="1:26" s="113" customFormat="1" ht="24" customHeight="1" x14ac:dyDescent="0.25">
      <c r="A31" s="14">
        <v>2</v>
      </c>
      <c r="B31" s="121">
        <v>0.3743055555555555</v>
      </c>
      <c r="C31" s="122" t="s">
        <v>99</v>
      </c>
      <c r="D31" s="79">
        <f t="shared" si="1"/>
        <v>10</v>
      </c>
      <c r="E31" s="79">
        <v>6</v>
      </c>
      <c r="F31" s="15" t="s">
        <v>33</v>
      </c>
      <c r="G31" s="19">
        <v>4.7</v>
      </c>
      <c r="H31" s="19">
        <v>9.1000000000000014</v>
      </c>
      <c r="I31" s="19">
        <v>8.85</v>
      </c>
      <c r="J31" s="19">
        <v>7.7</v>
      </c>
      <c r="K31" s="19">
        <v>6.75</v>
      </c>
      <c r="L31" s="19">
        <v>9.4499999999999993</v>
      </c>
      <c r="M31" s="19"/>
      <c r="N31" s="112">
        <f t="shared" si="2"/>
        <v>46.55</v>
      </c>
      <c r="O31" s="112">
        <f t="shared" si="3"/>
        <v>2529.4894333641014</v>
      </c>
      <c r="P31" s="90">
        <v>8</v>
      </c>
      <c r="Q31" s="90">
        <v>10</v>
      </c>
      <c r="R31" s="90">
        <v>9</v>
      </c>
      <c r="S31" s="90">
        <v>9</v>
      </c>
      <c r="T31" s="90">
        <v>9</v>
      </c>
      <c r="U31" s="90">
        <v>9</v>
      </c>
      <c r="V31" s="90">
        <v>9</v>
      </c>
      <c r="W31" s="91" t="str">
        <f t="shared" si="7"/>
        <v>Y</v>
      </c>
      <c r="X31" s="128">
        <f t="shared" si="8"/>
        <v>4.4999999999999929E-2</v>
      </c>
      <c r="Y31" s="128" t="str">
        <f t="shared" si="6"/>
        <v>0-4.9%</v>
      </c>
      <c r="Z31" s="99" t="s">
        <v>200</v>
      </c>
    </row>
    <row r="32" spans="1:26" s="113" customFormat="1" ht="24" customHeight="1" x14ac:dyDescent="0.25">
      <c r="A32" s="14">
        <v>3</v>
      </c>
      <c r="B32" s="95">
        <v>0.38263888888888892</v>
      </c>
      <c r="C32" s="79" t="s">
        <v>100</v>
      </c>
      <c r="D32" s="79">
        <f t="shared" si="1"/>
        <v>10</v>
      </c>
      <c r="E32" s="79">
        <v>7</v>
      </c>
      <c r="F32" s="15" t="s">
        <v>47</v>
      </c>
      <c r="G32" s="19">
        <v>6.15</v>
      </c>
      <c r="H32" s="19">
        <v>6.45</v>
      </c>
      <c r="I32" s="19">
        <v>7.5</v>
      </c>
      <c r="J32" s="19">
        <v>7.95</v>
      </c>
      <c r="K32" s="19">
        <v>9.35</v>
      </c>
      <c r="L32" s="19">
        <v>7</v>
      </c>
      <c r="M32" s="19">
        <v>5.25</v>
      </c>
      <c r="N32" s="112">
        <f t="shared" si="2"/>
        <v>49.65</v>
      </c>
      <c r="O32" s="112">
        <f t="shared" si="3"/>
        <v>3380.8890851064716</v>
      </c>
      <c r="P32" s="90">
        <v>8</v>
      </c>
      <c r="Q32" s="90">
        <v>10</v>
      </c>
      <c r="R32" s="90">
        <v>9</v>
      </c>
      <c r="S32" s="90">
        <v>9</v>
      </c>
      <c r="T32" s="90">
        <v>9</v>
      </c>
      <c r="U32" s="90">
        <v>9</v>
      </c>
      <c r="V32" s="90">
        <v>9</v>
      </c>
      <c r="W32" s="91" t="str">
        <f t="shared" si="7"/>
        <v>Y</v>
      </c>
      <c r="X32" s="128">
        <f t="shared" si="8"/>
        <v>3.4999999999999962E-2</v>
      </c>
      <c r="Y32" s="128" t="str">
        <f t="shared" si="6"/>
        <v>0-4.9%</v>
      </c>
      <c r="Z32" s="22" t="s">
        <v>200</v>
      </c>
    </row>
    <row r="33" spans="1:26" s="113" customFormat="1" ht="24" customHeight="1" x14ac:dyDescent="0.25">
      <c r="A33" s="14">
        <f t="shared" ref="A33:A58" si="10">A32+1</f>
        <v>4</v>
      </c>
      <c r="B33" s="95">
        <v>0.38541666666666669</v>
      </c>
      <c r="C33" s="79" t="s">
        <v>101</v>
      </c>
      <c r="D33" s="79">
        <f t="shared" si="1"/>
        <v>10</v>
      </c>
      <c r="E33" s="79">
        <v>7</v>
      </c>
      <c r="F33" s="15" t="s">
        <v>47</v>
      </c>
      <c r="G33" s="19">
        <v>7.95</v>
      </c>
      <c r="H33" s="19">
        <v>8.3000000000000007</v>
      </c>
      <c r="I33" s="19">
        <v>7.8500000000000005</v>
      </c>
      <c r="J33" s="19">
        <v>6.35</v>
      </c>
      <c r="K33" s="19">
        <v>6.75</v>
      </c>
      <c r="L33" s="19">
        <v>7.15</v>
      </c>
      <c r="M33" s="19">
        <v>5.85</v>
      </c>
      <c r="N33" s="112">
        <f t="shared" si="2"/>
        <v>50.2</v>
      </c>
      <c r="O33" s="112">
        <f t="shared" si="3"/>
        <v>3552.7202610331246</v>
      </c>
      <c r="P33" s="90">
        <v>8</v>
      </c>
      <c r="Q33" s="90">
        <v>10</v>
      </c>
      <c r="R33" s="90">
        <v>9</v>
      </c>
      <c r="S33" s="90">
        <v>9</v>
      </c>
      <c r="T33" s="90">
        <v>9</v>
      </c>
      <c r="U33" s="90">
        <v>9</v>
      </c>
      <c r="V33" s="90">
        <v>9</v>
      </c>
      <c r="W33" s="91" t="str">
        <f t="shared" si="7"/>
        <v>N</v>
      </c>
      <c r="X33" s="128">
        <f t="shared" si="8"/>
        <v>0</v>
      </c>
      <c r="Y33" s="128" t="str">
        <f t="shared" si="6"/>
        <v>0-4.9%</v>
      </c>
      <c r="Z33" s="99" t="s">
        <v>200</v>
      </c>
    </row>
    <row r="34" spans="1:26" s="113" customFormat="1" ht="24" customHeight="1" x14ac:dyDescent="0.25">
      <c r="A34" s="14">
        <f t="shared" si="10"/>
        <v>5</v>
      </c>
      <c r="B34" s="95">
        <v>0.40833333333333338</v>
      </c>
      <c r="C34" s="79" t="s">
        <v>102</v>
      </c>
      <c r="D34" s="79">
        <f t="shared" si="1"/>
        <v>10</v>
      </c>
      <c r="E34" s="79">
        <v>6</v>
      </c>
      <c r="F34" s="15" t="s">
        <v>33</v>
      </c>
      <c r="G34" s="19">
        <v>5.25</v>
      </c>
      <c r="H34" s="19">
        <v>9.1999999999999993</v>
      </c>
      <c r="I34" s="19">
        <v>7.3000000000000007</v>
      </c>
      <c r="J34" s="19">
        <v>7.4499999999999993</v>
      </c>
      <c r="K34" s="19">
        <v>6.4</v>
      </c>
      <c r="L34" s="19">
        <v>7.1999999999999993</v>
      </c>
      <c r="M34" s="19"/>
      <c r="N34" s="112">
        <f t="shared" si="2"/>
        <v>42.8</v>
      </c>
      <c r="O34" s="112">
        <f t="shared" si="3"/>
        <v>1733.3698816610756</v>
      </c>
      <c r="P34" s="90">
        <v>8</v>
      </c>
      <c r="Q34" s="90">
        <v>10</v>
      </c>
      <c r="R34" s="90">
        <v>9</v>
      </c>
      <c r="S34" s="90">
        <v>9</v>
      </c>
      <c r="T34" s="90">
        <v>9</v>
      </c>
      <c r="U34" s="90">
        <v>9</v>
      </c>
      <c r="V34" s="90">
        <v>9</v>
      </c>
      <c r="W34" s="91" t="str">
        <f t="shared" si="7"/>
        <v>N</v>
      </c>
      <c r="X34" s="128">
        <f t="shared" si="8"/>
        <v>0</v>
      </c>
      <c r="Y34" s="128" t="str">
        <f t="shared" si="6"/>
        <v>0-4.9%</v>
      </c>
      <c r="Z34" s="99" t="s">
        <v>200</v>
      </c>
    </row>
    <row r="35" spans="1:26" s="113" customFormat="1" ht="24" customHeight="1" x14ac:dyDescent="0.25">
      <c r="A35" s="14">
        <f t="shared" si="10"/>
        <v>6</v>
      </c>
      <c r="B35" s="95">
        <v>0.44305555555555554</v>
      </c>
      <c r="C35" s="79" t="s">
        <v>103</v>
      </c>
      <c r="D35" s="79">
        <f t="shared" si="1"/>
        <v>10</v>
      </c>
      <c r="E35" s="79">
        <v>6</v>
      </c>
      <c r="F35" s="15" t="s">
        <v>33</v>
      </c>
      <c r="G35" s="19">
        <v>3.8</v>
      </c>
      <c r="H35" s="19">
        <v>8.4499999999999993</v>
      </c>
      <c r="I35" s="19">
        <v>3.25</v>
      </c>
      <c r="J35" s="19">
        <v>8.3000000000000007</v>
      </c>
      <c r="K35" s="19">
        <v>7.65</v>
      </c>
      <c r="L35" s="19">
        <v>6.4499999999999993</v>
      </c>
      <c r="M35" s="19"/>
      <c r="N35" s="112">
        <f t="shared" si="2"/>
        <v>37.900000000000006</v>
      </c>
      <c r="O35" s="112">
        <f t="shared" si="3"/>
        <v>1002.9302498372175</v>
      </c>
      <c r="P35" s="90">
        <v>8</v>
      </c>
      <c r="Q35" s="90">
        <v>10</v>
      </c>
      <c r="R35" s="90">
        <v>9</v>
      </c>
      <c r="S35" s="90">
        <v>9</v>
      </c>
      <c r="T35" s="90">
        <v>9</v>
      </c>
      <c r="U35" s="90">
        <v>9</v>
      </c>
      <c r="V35" s="90">
        <v>9</v>
      </c>
      <c r="W35" s="91" t="str">
        <f t="shared" si="7"/>
        <v>N</v>
      </c>
      <c r="X35" s="128">
        <f t="shared" si="8"/>
        <v>0</v>
      </c>
      <c r="Y35" s="128" t="str">
        <f t="shared" si="6"/>
        <v>0-4.9%</v>
      </c>
      <c r="Z35" s="99" t="s">
        <v>200</v>
      </c>
    </row>
    <row r="36" spans="1:26" s="113" customFormat="1" ht="24" customHeight="1" x14ac:dyDescent="0.25">
      <c r="A36" s="14">
        <f t="shared" si="10"/>
        <v>7</v>
      </c>
      <c r="B36" s="95">
        <v>0.47500000000000003</v>
      </c>
      <c r="C36" s="79" t="s">
        <v>104</v>
      </c>
      <c r="D36" s="79">
        <f t="shared" si="1"/>
        <v>10</v>
      </c>
      <c r="E36" s="79">
        <v>6</v>
      </c>
      <c r="F36" s="15" t="s">
        <v>35</v>
      </c>
      <c r="G36" s="19">
        <v>5.5</v>
      </c>
      <c r="H36" s="19">
        <v>6.5</v>
      </c>
      <c r="I36" s="19">
        <v>9.9090000000000007</v>
      </c>
      <c r="J36" s="19">
        <v>6.95</v>
      </c>
      <c r="K36" s="19">
        <v>7.2</v>
      </c>
      <c r="L36" s="19">
        <v>7.6999999999999993</v>
      </c>
      <c r="M36" s="19"/>
      <c r="N36" s="112">
        <f t="shared" si="2"/>
        <v>43.759</v>
      </c>
      <c r="O36" s="112">
        <f t="shared" si="3"/>
        <v>1915.126805333193</v>
      </c>
      <c r="P36" s="90">
        <v>8</v>
      </c>
      <c r="Q36" s="90">
        <v>10</v>
      </c>
      <c r="R36" s="90">
        <v>9</v>
      </c>
      <c r="S36" s="90">
        <v>9</v>
      </c>
      <c r="T36" s="90">
        <v>9</v>
      </c>
      <c r="U36" s="90">
        <v>9</v>
      </c>
      <c r="V36" s="90">
        <v>9</v>
      </c>
      <c r="W36" s="91" t="str">
        <f t="shared" si="7"/>
        <v>Y</v>
      </c>
      <c r="X36" s="128">
        <f t="shared" si="8"/>
        <v>9.0900000000000064E-2</v>
      </c>
      <c r="Y36" s="128" t="str">
        <f t="shared" si="6"/>
        <v>5-25%</v>
      </c>
      <c r="Z36" s="99" t="s">
        <v>200</v>
      </c>
    </row>
    <row r="37" spans="1:26" s="113" customFormat="1" ht="24" customHeight="1" x14ac:dyDescent="0.25">
      <c r="A37" s="14">
        <f t="shared" si="10"/>
        <v>8</v>
      </c>
      <c r="B37" s="95">
        <v>0.47847222222222219</v>
      </c>
      <c r="C37" s="79" t="s">
        <v>97</v>
      </c>
      <c r="D37" s="79">
        <f t="shared" si="1"/>
        <v>10</v>
      </c>
      <c r="E37" s="79">
        <v>6</v>
      </c>
      <c r="F37" s="15" t="s">
        <v>106</v>
      </c>
      <c r="G37" s="19">
        <v>5.9499999999999993</v>
      </c>
      <c r="H37" s="19">
        <v>8.4499999999999993</v>
      </c>
      <c r="I37" s="19">
        <v>8.9499999999999993</v>
      </c>
      <c r="J37" s="19">
        <v>7</v>
      </c>
      <c r="K37" s="19">
        <v>7.15</v>
      </c>
      <c r="L37" s="19">
        <v>7.4</v>
      </c>
      <c r="M37" s="19"/>
      <c r="N37" s="112">
        <f t="shared" si="2"/>
        <v>44.9</v>
      </c>
      <c r="O37" s="112">
        <f t="shared" si="3"/>
        <v>2150.3186425443023</v>
      </c>
      <c r="P37" s="90">
        <v>8</v>
      </c>
      <c r="Q37" s="90">
        <v>10</v>
      </c>
      <c r="R37" s="90">
        <v>9</v>
      </c>
      <c r="S37" s="90">
        <v>9</v>
      </c>
      <c r="T37" s="90">
        <v>9</v>
      </c>
      <c r="U37" s="90">
        <v>9</v>
      </c>
      <c r="V37" s="90">
        <v>9</v>
      </c>
      <c r="W37" s="91" t="str">
        <f t="shared" si="7"/>
        <v>N</v>
      </c>
      <c r="X37" s="128">
        <f t="shared" si="8"/>
        <v>0</v>
      </c>
      <c r="Y37" s="128" t="str">
        <f t="shared" si="6"/>
        <v>0-4.9%</v>
      </c>
      <c r="Z37" s="99" t="s">
        <v>200</v>
      </c>
    </row>
    <row r="38" spans="1:26" s="113" customFormat="1" ht="24" customHeight="1" x14ac:dyDescent="0.25">
      <c r="A38" s="14">
        <f t="shared" si="10"/>
        <v>9</v>
      </c>
      <c r="B38" s="95">
        <v>0.5229166666666667</v>
      </c>
      <c r="C38" s="79" t="s">
        <v>96</v>
      </c>
      <c r="D38" s="79">
        <f t="shared" si="1"/>
        <v>10</v>
      </c>
      <c r="E38" s="79">
        <v>6</v>
      </c>
      <c r="F38" s="15" t="s">
        <v>33</v>
      </c>
      <c r="G38" s="19">
        <v>5.7</v>
      </c>
      <c r="H38" s="19">
        <v>7.5</v>
      </c>
      <c r="I38" s="19">
        <v>7.65</v>
      </c>
      <c r="J38" s="19">
        <v>7.4499999999999993</v>
      </c>
      <c r="K38" s="19">
        <v>7.65</v>
      </c>
      <c r="L38" s="19">
        <v>7.4</v>
      </c>
      <c r="M38" s="19"/>
      <c r="N38" s="112">
        <f t="shared" si="2"/>
        <v>43.35</v>
      </c>
      <c r="O38" s="112">
        <f t="shared" si="3"/>
        <v>1835.8840289534555</v>
      </c>
      <c r="P38" s="90">
        <v>8</v>
      </c>
      <c r="Q38" s="90">
        <v>10</v>
      </c>
      <c r="R38" s="90">
        <v>9</v>
      </c>
      <c r="S38" s="90">
        <v>9</v>
      </c>
      <c r="T38" s="90">
        <v>9</v>
      </c>
      <c r="U38" s="90">
        <v>9</v>
      </c>
      <c r="V38" s="90">
        <v>9</v>
      </c>
      <c r="W38" s="91" t="str">
        <f t="shared" si="7"/>
        <v>N</v>
      </c>
      <c r="X38" s="128">
        <f t="shared" si="8"/>
        <v>0</v>
      </c>
      <c r="Y38" s="128" t="str">
        <f t="shared" si="6"/>
        <v>0-4.9%</v>
      </c>
      <c r="Z38" s="99" t="s">
        <v>200</v>
      </c>
    </row>
    <row r="39" spans="1:26" s="113" customFormat="1" ht="24" customHeight="1" x14ac:dyDescent="0.25">
      <c r="A39" s="14">
        <f t="shared" si="10"/>
        <v>10</v>
      </c>
      <c r="B39" s="95">
        <v>0.67708333333333337</v>
      </c>
      <c r="C39" s="79" t="s">
        <v>92</v>
      </c>
      <c r="D39" s="79">
        <f t="shared" ref="D39:D58" si="11">IF(COUNT(G39:M39)&gt;3,10,IF(COUNT(G39:M39)&gt;2,9,7))</f>
        <v>10</v>
      </c>
      <c r="E39" s="79">
        <v>7</v>
      </c>
      <c r="F39" s="15" t="s">
        <v>47</v>
      </c>
      <c r="G39" s="19">
        <v>6.25</v>
      </c>
      <c r="H39" s="19">
        <v>7.2</v>
      </c>
      <c r="I39" s="19">
        <v>7.3</v>
      </c>
      <c r="J39" s="19">
        <v>8.0500000000000007</v>
      </c>
      <c r="K39" s="19">
        <v>6.5</v>
      </c>
      <c r="L39" s="19">
        <v>5.75</v>
      </c>
      <c r="M39" s="19">
        <v>4.25</v>
      </c>
      <c r="N39" s="112">
        <f t="shared" ref="N39:N58" si="12">SUM(G39:M39)</f>
        <v>45.3</v>
      </c>
      <c r="O39" s="112">
        <f t="shared" ref="O39:O58" si="13">(N39/8.16)^4.5</f>
        <v>2237.8769065291922</v>
      </c>
      <c r="P39" s="90">
        <v>8</v>
      </c>
      <c r="Q39" s="90">
        <v>10</v>
      </c>
      <c r="R39" s="90">
        <v>9</v>
      </c>
      <c r="S39" s="90">
        <v>9</v>
      </c>
      <c r="T39" s="90">
        <v>9</v>
      </c>
      <c r="U39" s="90">
        <v>9</v>
      </c>
      <c r="V39" s="90">
        <v>9</v>
      </c>
      <c r="W39" s="91" t="str">
        <f t="shared" si="7"/>
        <v>N</v>
      </c>
      <c r="X39" s="128">
        <f t="shared" si="8"/>
        <v>0</v>
      </c>
      <c r="Y39" s="128" t="str">
        <f t="shared" si="6"/>
        <v>0-4.9%</v>
      </c>
      <c r="Z39" s="99" t="s">
        <v>200</v>
      </c>
    </row>
    <row r="40" spans="1:26" s="113" customFormat="1" ht="24" customHeight="1" x14ac:dyDescent="0.25">
      <c r="A40" s="14">
        <f t="shared" si="10"/>
        <v>11</v>
      </c>
      <c r="B40" s="95">
        <v>0.68125000000000002</v>
      </c>
      <c r="C40" s="79" t="s">
        <v>91</v>
      </c>
      <c r="D40" s="79">
        <f t="shared" si="11"/>
        <v>10</v>
      </c>
      <c r="E40" s="79">
        <v>6</v>
      </c>
      <c r="F40" s="15" t="s">
        <v>35</v>
      </c>
      <c r="G40" s="19">
        <v>5.6</v>
      </c>
      <c r="H40" s="19">
        <v>6.25</v>
      </c>
      <c r="I40" s="19">
        <v>7.9</v>
      </c>
      <c r="J40" s="19">
        <v>6.9</v>
      </c>
      <c r="K40" s="19">
        <v>6.4</v>
      </c>
      <c r="L40" s="19">
        <v>11</v>
      </c>
      <c r="M40" s="19"/>
      <c r="N40" s="112">
        <f t="shared" si="12"/>
        <v>44.05</v>
      </c>
      <c r="O40" s="112">
        <f t="shared" si="13"/>
        <v>1973.1081614537254</v>
      </c>
      <c r="P40" s="90">
        <v>8</v>
      </c>
      <c r="Q40" s="90">
        <v>10</v>
      </c>
      <c r="R40" s="90">
        <v>9</v>
      </c>
      <c r="S40" s="90">
        <v>9</v>
      </c>
      <c r="T40" s="90">
        <v>9</v>
      </c>
      <c r="U40" s="90">
        <v>9</v>
      </c>
      <c r="V40" s="90">
        <v>9</v>
      </c>
      <c r="W40" s="91" t="str">
        <f t="shared" si="7"/>
        <v>Y</v>
      </c>
      <c r="X40" s="128">
        <f t="shared" si="8"/>
        <v>0.2</v>
      </c>
      <c r="Y40" s="128" t="str">
        <f t="shared" si="6"/>
        <v>5-25%</v>
      </c>
      <c r="Z40" s="99" t="s">
        <v>200</v>
      </c>
    </row>
    <row r="41" spans="1:26" s="113" customFormat="1" ht="24" customHeight="1" x14ac:dyDescent="0.25">
      <c r="A41" s="14">
        <f t="shared" si="10"/>
        <v>12</v>
      </c>
      <c r="B41" s="95">
        <v>0.69166666666666676</v>
      </c>
      <c r="C41" s="79" t="s">
        <v>90</v>
      </c>
      <c r="D41" s="79">
        <f t="shared" si="11"/>
        <v>10</v>
      </c>
      <c r="E41" s="79">
        <v>6</v>
      </c>
      <c r="F41" s="15" t="s">
        <v>35</v>
      </c>
      <c r="G41" s="19">
        <v>5.75</v>
      </c>
      <c r="H41" s="19">
        <v>5.05</v>
      </c>
      <c r="I41" s="19">
        <v>4.9000000000000004</v>
      </c>
      <c r="J41" s="19">
        <v>5.45</v>
      </c>
      <c r="K41" s="19">
        <v>5.1999999999999993</v>
      </c>
      <c r="L41" s="19">
        <v>5.0999999999999996</v>
      </c>
      <c r="M41" s="19"/>
      <c r="N41" s="112">
        <f t="shared" si="12"/>
        <v>31.450000000000003</v>
      </c>
      <c r="O41" s="112">
        <f t="shared" si="13"/>
        <v>433.19876479265992</v>
      </c>
      <c r="P41" s="90">
        <v>8</v>
      </c>
      <c r="Q41" s="90">
        <v>10</v>
      </c>
      <c r="R41" s="90">
        <v>9</v>
      </c>
      <c r="S41" s="90">
        <v>9</v>
      </c>
      <c r="T41" s="90">
        <v>9</v>
      </c>
      <c r="U41" s="90">
        <v>9</v>
      </c>
      <c r="V41" s="90">
        <v>9</v>
      </c>
      <c r="W41" s="91" t="str">
        <f t="shared" si="7"/>
        <v>N</v>
      </c>
      <c r="X41" s="128">
        <f t="shared" si="8"/>
        <v>0</v>
      </c>
      <c r="Y41" s="128" t="str">
        <f t="shared" si="6"/>
        <v>0-4.9%</v>
      </c>
      <c r="Z41" s="6" t="s">
        <v>235</v>
      </c>
    </row>
    <row r="42" spans="1:26" s="113" customFormat="1" ht="24" customHeight="1" x14ac:dyDescent="0.25">
      <c r="A42" s="14">
        <f t="shared" si="10"/>
        <v>13</v>
      </c>
      <c r="B42" s="95">
        <v>0.7006944444444444</v>
      </c>
      <c r="C42" s="79" t="s">
        <v>89</v>
      </c>
      <c r="D42" s="79">
        <f t="shared" si="11"/>
        <v>10</v>
      </c>
      <c r="E42" s="79">
        <v>6</v>
      </c>
      <c r="F42" s="15" t="s">
        <v>33</v>
      </c>
      <c r="G42" s="19">
        <v>5.3000000000000007</v>
      </c>
      <c r="H42" s="19">
        <v>8.1999999999999993</v>
      </c>
      <c r="I42" s="19">
        <v>8.0500000000000007</v>
      </c>
      <c r="J42" s="19">
        <v>8.0500000000000007</v>
      </c>
      <c r="K42" s="19">
        <v>7.0500000000000007</v>
      </c>
      <c r="L42" s="19">
        <v>8.5</v>
      </c>
      <c r="M42" s="19"/>
      <c r="N42" s="112">
        <f t="shared" si="12"/>
        <v>45.150000000000006</v>
      </c>
      <c r="O42" s="112">
        <f t="shared" si="13"/>
        <v>2204.7237553041205</v>
      </c>
      <c r="P42" s="90">
        <v>8</v>
      </c>
      <c r="Q42" s="90">
        <v>10</v>
      </c>
      <c r="R42" s="90">
        <v>9</v>
      </c>
      <c r="S42" s="90">
        <v>9</v>
      </c>
      <c r="T42" s="90">
        <v>9</v>
      </c>
      <c r="U42" s="90">
        <v>9</v>
      </c>
      <c r="V42" s="90">
        <v>9</v>
      </c>
      <c r="W42" s="91" t="str">
        <f t="shared" si="7"/>
        <v>N</v>
      </c>
      <c r="X42" s="128">
        <f t="shared" si="8"/>
        <v>0</v>
      </c>
      <c r="Y42" s="128" t="str">
        <f t="shared" si="6"/>
        <v>0-4.9%</v>
      </c>
      <c r="Z42" s="99" t="s">
        <v>200</v>
      </c>
    </row>
    <row r="43" spans="1:26" s="113" customFormat="1" ht="24" customHeight="1" thickBot="1" x14ac:dyDescent="0.3">
      <c r="A43" s="65">
        <f t="shared" si="10"/>
        <v>14</v>
      </c>
      <c r="B43" s="117">
        <v>0.70138888888888884</v>
      </c>
      <c r="C43" s="118" t="s">
        <v>88</v>
      </c>
      <c r="D43" s="79">
        <f t="shared" si="11"/>
        <v>10</v>
      </c>
      <c r="E43" s="118">
        <v>7</v>
      </c>
      <c r="F43" s="67" t="s">
        <v>47</v>
      </c>
      <c r="G43" s="19">
        <v>7.85</v>
      </c>
      <c r="H43" s="19">
        <v>8.5</v>
      </c>
      <c r="I43" s="19">
        <v>8.85</v>
      </c>
      <c r="J43" s="19">
        <v>5.85</v>
      </c>
      <c r="K43" s="19">
        <v>6.45</v>
      </c>
      <c r="L43" s="19">
        <v>6.7</v>
      </c>
      <c r="M43" s="19"/>
      <c r="N43" s="112">
        <f t="shared" si="12"/>
        <v>44.20000000000001</v>
      </c>
      <c r="O43" s="112">
        <f t="shared" si="13"/>
        <v>2003.5237624686808</v>
      </c>
      <c r="P43" s="90">
        <v>8</v>
      </c>
      <c r="Q43" s="90">
        <v>10</v>
      </c>
      <c r="R43" s="90">
        <v>9</v>
      </c>
      <c r="S43" s="90">
        <v>9</v>
      </c>
      <c r="T43" s="90">
        <v>9</v>
      </c>
      <c r="U43" s="90">
        <v>9</v>
      </c>
      <c r="V43" s="90">
        <v>9</v>
      </c>
      <c r="W43" s="91" t="str">
        <f t="shared" si="7"/>
        <v>N</v>
      </c>
      <c r="X43" s="128">
        <f t="shared" si="8"/>
        <v>0</v>
      </c>
      <c r="Y43" s="128" t="str">
        <f t="shared" si="6"/>
        <v>0-4.9%</v>
      </c>
      <c r="Z43" s="99" t="s">
        <v>208</v>
      </c>
    </row>
    <row r="44" spans="1:26" s="113" customFormat="1" ht="24" customHeight="1" thickBot="1" x14ac:dyDescent="0.3">
      <c r="A44" s="59">
        <f t="shared" si="10"/>
        <v>15</v>
      </c>
      <c r="B44" s="123">
        <v>0.70208333333333339</v>
      </c>
      <c r="C44" s="62" t="s">
        <v>87</v>
      </c>
      <c r="D44" s="79">
        <f t="shared" si="11"/>
        <v>10</v>
      </c>
      <c r="E44" s="62">
        <v>6</v>
      </c>
      <c r="F44" s="62" t="s">
        <v>33</v>
      </c>
      <c r="G44" s="73">
        <v>5.4</v>
      </c>
      <c r="H44" s="73">
        <v>8</v>
      </c>
      <c r="I44" s="73">
        <v>7.5</v>
      </c>
      <c r="J44" s="73">
        <v>8.1</v>
      </c>
      <c r="K44" s="73">
        <v>5.9</v>
      </c>
      <c r="L44" s="73">
        <v>7</v>
      </c>
      <c r="M44" s="73"/>
      <c r="N44" s="112">
        <f t="shared" si="12"/>
        <v>41.9</v>
      </c>
      <c r="O44" s="112">
        <f t="shared" si="13"/>
        <v>1575.2786571490876</v>
      </c>
      <c r="P44" s="90">
        <v>8</v>
      </c>
      <c r="Q44" s="90">
        <v>10</v>
      </c>
      <c r="R44" s="90">
        <v>9</v>
      </c>
      <c r="S44" s="90">
        <v>9</v>
      </c>
      <c r="T44" s="90">
        <v>9</v>
      </c>
      <c r="U44" s="90">
        <v>9</v>
      </c>
      <c r="V44" s="90">
        <v>9</v>
      </c>
      <c r="W44" s="91" t="str">
        <f t="shared" si="7"/>
        <v>N</v>
      </c>
      <c r="X44" s="128">
        <f t="shared" si="8"/>
        <v>0</v>
      </c>
      <c r="Y44" s="128" t="str">
        <f t="shared" si="6"/>
        <v>0-4.9%</v>
      </c>
      <c r="Z44" s="99" t="s">
        <v>208</v>
      </c>
    </row>
    <row r="45" spans="1:26" s="113" customFormat="1" ht="24" customHeight="1" thickBot="1" x14ac:dyDescent="0.3">
      <c r="A45" s="14">
        <f t="shared" si="10"/>
        <v>16</v>
      </c>
      <c r="B45" s="121">
        <v>0.32291666666666669</v>
      </c>
      <c r="C45" s="122" t="s">
        <v>123</v>
      </c>
      <c r="D45" s="79">
        <f t="shared" si="11"/>
        <v>10</v>
      </c>
      <c r="E45" s="62">
        <v>6</v>
      </c>
      <c r="F45" s="15" t="s">
        <v>33</v>
      </c>
      <c r="G45" s="73">
        <v>6</v>
      </c>
      <c r="H45" s="73">
        <v>8.3000000000000007</v>
      </c>
      <c r="I45" s="73">
        <v>7.85</v>
      </c>
      <c r="J45" s="73">
        <v>8.0500000000000007</v>
      </c>
      <c r="K45" s="73">
        <v>7.5500000000000007</v>
      </c>
      <c r="L45" s="73">
        <v>7.2</v>
      </c>
      <c r="M45" s="73"/>
      <c r="N45" s="112">
        <f t="shared" si="12"/>
        <v>44.95</v>
      </c>
      <c r="O45" s="112">
        <f t="shared" si="13"/>
        <v>2161.1151999953099</v>
      </c>
      <c r="P45" s="90">
        <v>8</v>
      </c>
      <c r="Q45" s="90">
        <v>10</v>
      </c>
      <c r="R45" s="90">
        <v>9</v>
      </c>
      <c r="S45" s="90">
        <v>9</v>
      </c>
      <c r="T45" s="90">
        <v>9</v>
      </c>
      <c r="U45" s="90">
        <v>9</v>
      </c>
      <c r="V45" s="90">
        <v>9</v>
      </c>
      <c r="W45" s="91" t="str">
        <f t="shared" si="7"/>
        <v>N</v>
      </c>
      <c r="X45" s="128">
        <f t="shared" si="8"/>
        <v>0</v>
      </c>
      <c r="Y45" s="128" t="str">
        <f t="shared" si="6"/>
        <v>0-4.9%</v>
      </c>
      <c r="Z45" s="124" t="s">
        <v>200</v>
      </c>
    </row>
    <row r="46" spans="1:26" s="113" customFormat="1" ht="24" customHeight="1" thickBot="1" x14ac:dyDescent="0.3">
      <c r="A46" s="14">
        <f t="shared" si="10"/>
        <v>17</v>
      </c>
      <c r="B46" s="121">
        <v>0.34930555555555554</v>
      </c>
      <c r="C46" s="122" t="s">
        <v>124</v>
      </c>
      <c r="D46" s="79">
        <f t="shared" si="11"/>
        <v>10</v>
      </c>
      <c r="E46" s="62">
        <v>6</v>
      </c>
      <c r="F46" s="15" t="s">
        <v>33</v>
      </c>
      <c r="G46" s="73">
        <v>4.55</v>
      </c>
      <c r="H46" s="73">
        <v>9.3500000000000014</v>
      </c>
      <c r="I46" s="73">
        <v>8.3500000000000014</v>
      </c>
      <c r="J46" s="73">
        <v>10.95</v>
      </c>
      <c r="K46" s="73">
        <v>7.15</v>
      </c>
      <c r="L46" s="73">
        <v>6.8000000000000007</v>
      </c>
      <c r="M46" s="73"/>
      <c r="N46" s="112">
        <f t="shared" si="12"/>
        <v>47.150000000000006</v>
      </c>
      <c r="O46" s="112">
        <f t="shared" si="13"/>
        <v>2679.5503523794059</v>
      </c>
      <c r="P46" s="90">
        <v>8</v>
      </c>
      <c r="Q46" s="90">
        <v>10</v>
      </c>
      <c r="R46" s="90">
        <v>9</v>
      </c>
      <c r="S46" s="90">
        <v>9</v>
      </c>
      <c r="T46" s="90">
        <v>9</v>
      </c>
      <c r="U46" s="90">
        <v>9</v>
      </c>
      <c r="V46" s="90">
        <v>9</v>
      </c>
      <c r="W46" s="91" t="str">
        <f t="shared" si="7"/>
        <v>Y</v>
      </c>
      <c r="X46" s="128">
        <f t="shared" si="8"/>
        <v>0.19499999999999992</v>
      </c>
      <c r="Y46" s="128" t="str">
        <f t="shared" si="6"/>
        <v>5-25%</v>
      </c>
      <c r="Z46" s="124" t="s">
        <v>200</v>
      </c>
    </row>
    <row r="47" spans="1:26" s="113" customFormat="1" ht="24" customHeight="1" thickBot="1" x14ac:dyDescent="0.3">
      <c r="A47" s="14">
        <f t="shared" si="10"/>
        <v>18</v>
      </c>
      <c r="B47" s="121">
        <v>0.3520833333333333</v>
      </c>
      <c r="C47" s="122" t="s">
        <v>125</v>
      </c>
      <c r="D47" s="79">
        <f t="shared" si="11"/>
        <v>10</v>
      </c>
      <c r="E47" s="62">
        <v>6</v>
      </c>
      <c r="F47" s="15" t="s">
        <v>33</v>
      </c>
      <c r="G47" s="73">
        <v>5.8</v>
      </c>
      <c r="H47" s="73">
        <v>7.95</v>
      </c>
      <c r="I47" s="73">
        <v>7.1999999999999993</v>
      </c>
      <c r="J47" s="73">
        <v>8.5500000000000007</v>
      </c>
      <c r="K47" s="73">
        <v>7.2</v>
      </c>
      <c r="L47" s="73">
        <v>7.35</v>
      </c>
      <c r="M47" s="73"/>
      <c r="N47" s="112">
        <f t="shared" si="12"/>
        <v>44.050000000000004</v>
      </c>
      <c r="O47" s="112">
        <f t="shared" si="13"/>
        <v>1973.108161453727</v>
      </c>
      <c r="P47" s="90">
        <v>8</v>
      </c>
      <c r="Q47" s="90">
        <v>10</v>
      </c>
      <c r="R47" s="90">
        <v>9</v>
      </c>
      <c r="S47" s="90">
        <v>9</v>
      </c>
      <c r="T47" s="90">
        <v>9</v>
      </c>
      <c r="U47" s="90">
        <v>9</v>
      </c>
      <c r="V47" s="90">
        <v>9</v>
      </c>
      <c r="W47" s="91" t="str">
        <f t="shared" si="7"/>
        <v>N</v>
      </c>
      <c r="X47" s="128">
        <f t="shared" si="8"/>
        <v>0</v>
      </c>
      <c r="Y47" s="128" t="str">
        <f t="shared" si="6"/>
        <v>0-4.9%</v>
      </c>
      <c r="Z47" s="124" t="s">
        <v>200</v>
      </c>
    </row>
    <row r="48" spans="1:26" s="113" customFormat="1" ht="24" customHeight="1" x14ac:dyDescent="0.25">
      <c r="A48" s="14">
        <f t="shared" si="10"/>
        <v>19</v>
      </c>
      <c r="B48" s="121">
        <v>0.35833333333333334</v>
      </c>
      <c r="C48" s="122" t="s">
        <v>126</v>
      </c>
      <c r="D48" s="79">
        <f t="shared" si="11"/>
        <v>10</v>
      </c>
      <c r="E48" s="62">
        <v>6</v>
      </c>
      <c r="F48" s="15" t="s">
        <v>33</v>
      </c>
      <c r="G48" s="73">
        <v>5.5</v>
      </c>
      <c r="H48" s="73">
        <v>8.25</v>
      </c>
      <c r="I48" s="73">
        <v>8.3000000000000007</v>
      </c>
      <c r="J48" s="73">
        <v>8.1</v>
      </c>
      <c r="K48" s="73">
        <v>7.6</v>
      </c>
      <c r="L48" s="73">
        <v>8.1000000000000014</v>
      </c>
      <c r="M48" s="73"/>
      <c r="N48" s="112">
        <f t="shared" si="12"/>
        <v>45.85</v>
      </c>
      <c r="O48" s="112">
        <f t="shared" si="13"/>
        <v>2362.769279867965</v>
      </c>
      <c r="P48" s="90">
        <v>8</v>
      </c>
      <c r="Q48" s="90">
        <v>10</v>
      </c>
      <c r="R48" s="90">
        <v>9</v>
      </c>
      <c r="S48" s="90">
        <v>9</v>
      </c>
      <c r="T48" s="90">
        <v>9</v>
      </c>
      <c r="U48" s="90">
        <v>9</v>
      </c>
      <c r="V48" s="90">
        <v>9</v>
      </c>
      <c r="W48" s="91" t="str">
        <f t="shared" si="7"/>
        <v>N</v>
      </c>
      <c r="X48" s="128">
        <f t="shared" si="8"/>
        <v>0</v>
      </c>
      <c r="Y48" s="128" t="str">
        <f t="shared" si="6"/>
        <v>0-4.9%</v>
      </c>
      <c r="Z48" s="124" t="s">
        <v>200</v>
      </c>
    </row>
    <row r="49" spans="1:26" s="113" customFormat="1" ht="24" customHeight="1" x14ac:dyDescent="0.25">
      <c r="A49" s="14">
        <f t="shared" si="10"/>
        <v>20</v>
      </c>
      <c r="B49" s="121">
        <v>0.36249999999999999</v>
      </c>
      <c r="C49" s="122" t="s">
        <v>127</v>
      </c>
      <c r="D49" s="79">
        <f t="shared" si="11"/>
        <v>10</v>
      </c>
      <c r="E49" s="79">
        <v>6</v>
      </c>
      <c r="F49" s="15" t="s">
        <v>33</v>
      </c>
      <c r="G49" s="73">
        <v>5.5</v>
      </c>
      <c r="H49" s="73">
        <v>8.8000000000000007</v>
      </c>
      <c r="I49" s="73">
        <v>8.9499999999999993</v>
      </c>
      <c r="J49" s="73">
        <v>6.85</v>
      </c>
      <c r="K49" s="73">
        <v>6.9</v>
      </c>
      <c r="L49" s="73">
        <v>5.9</v>
      </c>
      <c r="M49" s="73"/>
      <c r="N49" s="112">
        <f t="shared" si="12"/>
        <v>42.9</v>
      </c>
      <c r="O49" s="112">
        <f t="shared" si="13"/>
        <v>1751.6692270234023</v>
      </c>
      <c r="P49" s="90">
        <v>8</v>
      </c>
      <c r="Q49" s="90">
        <v>10</v>
      </c>
      <c r="R49" s="90">
        <v>9</v>
      </c>
      <c r="S49" s="90">
        <v>9</v>
      </c>
      <c r="T49" s="90">
        <v>9</v>
      </c>
      <c r="U49" s="90">
        <v>9</v>
      </c>
      <c r="V49" s="90">
        <v>9</v>
      </c>
      <c r="W49" s="91" t="str">
        <f t="shared" si="7"/>
        <v>N</v>
      </c>
      <c r="X49" s="128">
        <f t="shared" si="8"/>
        <v>0</v>
      </c>
      <c r="Y49" s="128" t="str">
        <f t="shared" si="6"/>
        <v>0-4.9%</v>
      </c>
      <c r="Z49" s="124" t="s">
        <v>200</v>
      </c>
    </row>
    <row r="50" spans="1:26" s="113" customFormat="1" ht="24" customHeight="1" x14ac:dyDescent="0.25">
      <c r="A50" s="14">
        <f t="shared" si="10"/>
        <v>21</v>
      </c>
      <c r="B50" s="95">
        <v>0.37916666666666665</v>
      </c>
      <c r="C50" s="79" t="s">
        <v>128</v>
      </c>
      <c r="D50" s="79">
        <f t="shared" si="11"/>
        <v>10</v>
      </c>
      <c r="E50" s="79">
        <v>7</v>
      </c>
      <c r="F50" s="15" t="s">
        <v>47</v>
      </c>
      <c r="G50" s="73">
        <v>7.8999999999999995</v>
      </c>
      <c r="H50" s="73">
        <v>9.4499999999999993</v>
      </c>
      <c r="I50" s="73">
        <v>8.3999999999999986</v>
      </c>
      <c r="J50" s="73">
        <v>7.1</v>
      </c>
      <c r="K50" s="73">
        <v>6.4</v>
      </c>
      <c r="L50" s="73">
        <v>5.9499999999999993</v>
      </c>
      <c r="M50" s="73">
        <v>4.9000000000000004</v>
      </c>
      <c r="N50" s="112">
        <f t="shared" si="12"/>
        <v>50.099999999999987</v>
      </c>
      <c r="O50" s="112">
        <f t="shared" si="13"/>
        <v>3520.9840036458945</v>
      </c>
      <c r="P50" s="90">
        <v>8</v>
      </c>
      <c r="Q50" s="90">
        <v>10</v>
      </c>
      <c r="R50" s="90">
        <v>9</v>
      </c>
      <c r="S50" s="90">
        <v>9</v>
      </c>
      <c r="T50" s="90">
        <v>9</v>
      </c>
      <c r="U50" s="90">
        <v>9</v>
      </c>
      <c r="V50" s="90">
        <v>9</v>
      </c>
      <c r="W50" s="91" t="str">
        <f t="shared" si="7"/>
        <v>N</v>
      </c>
      <c r="X50" s="128">
        <f t="shared" si="8"/>
        <v>0</v>
      </c>
      <c r="Y50" s="128" t="str">
        <f t="shared" si="6"/>
        <v>0-4.9%</v>
      </c>
      <c r="Z50" s="124" t="s">
        <v>200</v>
      </c>
    </row>
    <row r="51" spans="1:26" s="113" customFormat="1" ht="24" customHeight="1" x14ac:dyDescent="0.25">
      <c r="A51" s="14">
        <f t="shared" si="10"/>
        <v>22</v>
      </c>
      <c r="B51" s="95">
        <v>0.39861111111111108</v>
      </c>
      <c r="C51" s="79" t="s">
        <v>129</v>
      </c>
      <c r="D51" s="79">
        <f t="shared" si="11"/>
        <v>10</v>
      </c>
      <c r="E51" s="79">
        <v>6</v>
      </c>
      <c r="F51" s="15" t="s">
        <v>33</v>
      </c>
      <c r="G51" s="73">
        <v>5.75</v>
      </c>
      <c r="H51" s="73">
        <v>8</v>
      </c>
      <c r="I51" s="73">
        <v>8.35</v>
      </c>
      <c r="J51" s="73">
        <v>7.35</v>
      </c>
      <c r="K51" s="73">
        <v>6.9</v>
      </c>
      <c r="L51" s="73">
        <v>6.7</v>
      </c>
      <c r="M51" s="73"/>
      <c r="N51" s="112">
        <f t="shared" si="12"/>
        <v>43.050000000000004</v>
      </c>
      <c r="O51" s="112">
        <f t="shared" si="13"/>
        <v>1779.399592035395</v>
      </c>
      <c r="P51" s="90">
        <v>8</v>
      </c>
      <c r="Q51" s="90">
        <v>10</v>
      </c>
      <c r="R51" s="90">
        <v>9</v>
      </c>
      <c r="S51" s="90">
        <v>9</v>
      </c>
      <c r="T51" s="90">
        <v>9</v>
      </c>
      <c r="U51" s="90">
        <v>9</v>
      </c>
      <c r="V51" s="90">
        <v>9</v>
      </c>
      <c r="W51" s="91" t="str">
        <f t="shared" si="7"/>
        <v>N</v>
      </c>
      <c r="X51" s="128">
        <f t="shared" si="8"/>
        <v>0</v>
      </c>
      <c r="Y51" s="128" t="str">
        <f t="shared" si="6"/>
        <v>0-4.9%</v>
      </c>
      <c r="Z51" s="124" t="s">
        <v>200</v>
      </c>
    </row>
    <row r="52" spans="1:26" s="113" customFormat="1" ht="24" customHeight="1" x14ac:dyDescent="0.25">
      <c r="A52" s="14">
        <f t="shared" si="10"/>
        <v>23</v>
      </c>
      <c r="B52" s="95">
        <v>0.41388888888888892</v>
      </c>
      <c r="C52" s="79" t="s">
        <v>130</v>
      </c>
      <c r="D52" s="79">
        <f t="shared" si="11"/>
        <v>10</v>
      </c>
      <c r="E52" s="79">
        <v>6</v>
      </c>
      <c r="F52" s="15" t="s">
        <v>35</v>
      </c>
      <c r="G52" s="73">
        <v>5.3</v>
      </c>
      <c r="H52" s="73">
        <v>6.65</v>
      </c>
      <c r="I52" s="73">
        <v>6.4499999999999993</v>
      </c>
      <c r="J52" s="73">
        <v>7.5500000000000007</v>
      </c>
      <c r="K52" s="73">
        <v>6.9499999999999993</v>
      </c>
      <c r="L52" s="73">
        <v>6.6</v>
      </c>
      <c r="M52" s="73"/>
      <c r="N52" s="112">
        <f t="shared" si="12"/>
        <v>39.5</v>
      </c>
      <c r="O52" s="112">
        <f t="shared" si="13"/>
        <v>1208.03972536475</v>
      </c>
      <c r="P52" s="90">
        <v>8</v>
      </c>
      <c r="Q52" s="90">
        <v>10</v>
      </c>
      <c r="R52" s="90">
        <v>9</v>
      </c>
      <c r="S52" s="90">
        <v>9</v>
      </c>
      <c r="T52" s="90">
        <v>9</v>
      </c>
      <c r="U52" s="90">
        <v>9</v>
      </c>
      <c r="V52" s="90">
        <v>9</v>
      </c>
      <c r="W52" s="91" t="str">
        <f t="shared" si="7"/>
        <v>N</v>
      </c>
      <c r="X52" s="128">
        <f t="shared" si="8"/>
        <v>0</v>
      </c>
      <c r="Y52" s="128" t="str">
        <f t="shared" si="6"/>
        <v>0-4.9%</v>
      </c>
      <c r="Z52" s="124" t="s">
        <v>200</v>
      </c>
    </row>
    <row r="53" spans="1:26" s="113" customFormat="1" ht="24" customHeight="1" x14ac:dyDescent="0.25">
      <c r="A53" s="14">
        <f t="shared" si="10"/>
        <v>24</v>
      </c>
      <c r="B53" s="95">
        <v>0.41736111111111113</v>
      </c>
      <c r="C53" s="79" t="s">
        <v>131</v>
      </c>
      <c r="D53" s="79">
        <f t="shared" si="11"/>
        <v>10</v>
      </c>
      <c r="E53" s="79">
        <v>6</v>
      </c>
      <c r="F53" s="15" t="s">
        <v>33</v>
      </c>
      <c r="G53" s="73">
        <v>6.5</v>
      </c>
      <c r="H53" s="73">
        <v>8.3000000000000007</v>
      </c>
      <c r="I53" s="73">
        <v>7.8999999999999995</v>
      </c>
      <c r="J53" s="73">
        <v>7.1499999999999995</v>
      </c>
      <c r="K53" s="73">
        <v>6.75</v>
      </c>
      <c r="L53" s="73">
        <v>7.3000000000000007</v>
      </c>
      <c r="M53" s="73"/>
      <c r="N53" s="112">
        <f t="shared" si="12"/>
        <v>43.899999999999991</v>
      </c>
      <c r="O53" s="112">
        <f t="shared" si="13"/>
        <v>1943.0529097675417</v>
      </c>
      <c r="P53" s="90">
        <v>8</v>
      </c>
      <c r="Q53" s="90">
        <v>10</v>
      </c>
      <c r="R53" s="90">
        <v>9</v>
      </c>
      <c r="S53" s="90">
        <v>9</v>
      </c>
      <c r="T53" s="90">
        <v>9</v>
      </c>
      <c r="U53" s="90">
        <v>9</v>
      </c>
      <c r="V53" s="90">
        <v>9</v>
      </c>
      <c r="W53" s="91" t="str">
        <f t="shared" si="7"/>
        <v>N</v>
      </c>
      <c r="X53" s="128">
        <f t="shared" si="8"/>
        <v>0</v>
      </c>
      <c r="Y53" s="128" t="str">
        <f t="shared" si="6"/>
        <v>0-4.9%</v>
      </c>
      <c r="Z53" s="124" t="s">
        <v>200</v>
      </c>
    </row>
    <row r="54" spans="1:26" s="113" customFormat="1" ht="24" customHeight="1" x14ac:dyDescent="0.25">
      <c r="A54" s="14">
        <f t="shared" si="10"/>
        <v>25</v>
      </c>
      <c r="B54" s="95">
        <v>0.47291666666666665</v>
      </c>
      <c r="C54" s="79" t="s">
        <v>132</v>
      </c>
      <c r="D54" s="79">
        <f t="shared" si="11"/>
        <v>10</v>
      </c>
      <c r="E54" s="79">
        <v>5</v>
      </c>
      <c r="F54" s="15" t="s">
        <v>105</v>
      </c>
      <c r="G54" s="73">
        <v>4.75</v>
      </c>
      <c r="H54" s="73">
        <v>5.6</v>
      </c>
      <c r="I54" s="73">
        <v>5.35</v>
      </c>
      <c r="J54" s="73">
        <v>6.8</v>
      </c>
      <c r="K54" s="73">
        <v>7.4</v>
      </c>
      <c r="L54" s="73">
        <v>0</v>
      </c>
      <c r="M54" s="73"/>
      <c r="N54" s="112">
        <f t="shared" si="12"/>
        <v>29.9</v>
      </c>
      <c r="O54" s="112">
        <f t="shared" si="13"/>
        <v>345.07590295312644</v>
      </c>
      <c r="P54" s="90">
        <v>8</v>
      </c>
      <c r="Q54" s="90">
        <v>10</v>
      </c>
      <c r="R54" s="90">
        <v>9</v>
      </c>
      <c r="S54" s="90">
        <v>9</v>
      </c>
      <c r="T54" s="90">
        <v>9</v>
      </c>
      <c r="U54" s="90">
        <v>9</v>
      </c>
      <c r="V54" s="90">
        <v>9</v>
      </c>
      <c r="W54" s="91" t="str">
        <f t="shared" si="7"/>
        <v>N</v>
      </c>
      <c r="X54" s="128">
        <f t="shared" si="8"/>
        <v>0</v>
      </c>
      <c r="Y54" s="128" t="str">
        <f t="shared" si="6"/>
        <v>0-4.9%</v>
      </c>
      <c r="Z54" s="124" t="s">
        <v>200</v>
      </c>
    </row>
    <row r="55" spans="1:26" s="113" customFormat="1" ht="24" customHeight="1" x14ac:dyDescent="0.25">
      <c r="A55" s="14">
        <f t="shared" si="10"/>
        <v>26</v>
      </c>
      <c r="B55" s="95">
        <v>0.49027777777777781</v>
      </c>
      <c r="C55" s="79" t="s">
        <v>133</v>
      </c>
      <c r="D55" s="79">
        <f t="shared" si="11"/>
        <v>10</v>
      </c>
      <c r="E55" s="79">
        <v>5</v>
      </c>
      <c r="F55" s="15" t="s">
        <v>134</v>
      </c>
      <c r="G55" s="73">
        <v>5.6</v>
      </c>
      <c r="H55" s="73">
        <v>11.9</v>
      </c>
      <c r="I55" s="73">
        <v>6.75</v>
      </c>
      <c r="J55" s="73">
        <v>7.1999999999999993</v>
      </c>
      <c r="K55" s="73">
        <v>6.95</v>
      </c>
      <c r="L55" s="73">
        <v>0</v>
      </c>
      <c r="M55" s="73"/>
      <c r="N55" s="112">
        <f t="shared" si="12"/>
        <v>38.4</v>
      </c>
      <c r="O55" s="112">
        <f t="shared" si="13"/>
        <v>1063.860771812138</v>
      </c>
      <c r="P55" s="90">
        <v>8</v>
      </c>
      <c r="Q55" s="90">
        <v>10</v>
      </c>
      <c r="R55" s="90">
        <v>9</v>
      </c>
      <c r="S55" s="90">
        <v>9</v>
      </c>
      <c r="T55" s="90">
        <v>9</v>
      </c>
      <c r="U55" s="90">
        <v>9</v>
      </c>
      <c r="V55" s="90">
        <v>9</v>
      </c>
      <c r="W55" s="91" t="str">
        <f t="shared" si="7"/>
        <v>Y</v>
      </c>
      <c r="X55" s="128">
        <f t="shared" si="8"/>
        <v>0.19000000000000003</v>
      </c>
      <c r="Y55" s="128" t="str">
        <f t="shared" si="6"/>
        <v>5-25%</v>
      </c>
      <c r="Z55" s="124" t="s">
        <v>200</v>
      </c>
    </row>
    <row r="56" spans="1:26" s="113" customFormat="1" ht="24" customHeight="1" x14ac:dyDescent="0.25">
      <c r="A56" s="14">
        <f t="shared" si="10"/>
        <v>27</v>
      </c>
      <c r="B56" s="95">
        <v>0.51388888888888895</v>
      </c>
      <c r="C56" s="79" t="s">
        <v>135</v>
      </c>
      <c r="D56" s="79">
        <f t="shared" si="11"/>
        <v>10</v>
      </c>
      <c r="E56" s="79">
        <v>6</v>
      </c>
      <c r="F56" s="15" t="s">
        <v>33</v>
      </c>
      <c r="G56" s="73">
        <v>5.8</v>
      </c>
      <c r="H56" s="73">
        <v>7.8</v>
      </c>
      <c r="I56" s="73">
        <v>7.45</v>
      </c>
      <c r="J56" s="73">
        <v>8.0500000000000007</v>
      </c>
      <c r="K56" s="73">
        <v>7.75</v>
      </c>
      <c r="L56" s="73">
        <v>6.9</v>
      </c>
      <c r="M56" s="73"/>
      <c r="N56" s="112">
        <f t="shared" si="12"/>
        <v>43.75</v>
      </c>
      <c r="O56" s="112">
        <f t="shared" si="13"/>
        <v>1913.3549475760576</v>
      </c>
      <c r="P56" s="90">
        <v>8</v>
      </c>
      <c r="Q56" s="90">
        <v>10</v>
      </c>
      <c r="R56" s="90">
        <v>9</v>
      </c>
      <c r="S56" s="90">
        <v>9</v>
      </c>
      <c r="T56" s="90">
        <v>9</v>
      </c>
      <c r="U56" s="90">
        <v>9</v>
      </c>
      <c r="V56" s="90">
        <v>9</v>
      </c>
      <c r="W56" s="91" t="str">
        <f t="shared" si="7"/>
        <v>N</v>
      </c>
      <c r="X56" s="128">
        <f t="shared" si="8"/>
        <v>0</v>
      </c>
      <c r="Y56" s="128" t="str">
        <f t="shared" si="6"/>
        <v>0-4.9%</v>
      </c>
      <c r="Z56" s="124" t="s">
        <v>200</v>
      </c>
    </row>
    <row r="57" spans="1:26" s="113" customFormat="1" ht="24" customHeight="1" x14ac:dyDescent="0.25">
      <c r="A57" s="14">
        <f t="shared" si="10"/>
        <v>28</v>
      </c>
      <c r="B57" s="95">
        <v>0.51527777777777783</v>
      </c>
      <c r="C57" s="79" t="s">
        <v>136</v>
      </c>
      <c r="D57" s="79">
        <f t="shared" si="11"/>
        <v>10</v>
      </c>
      <c r="E57" s="79">
        <v>6</v>
      </c>
      <c r="F57" s="15" t="s">
        <v>65</v>
      </c>
      <c r="G57" s="73">
        <v>5.6</v>
      </c>
      <c r="H57" s="73">
        <v>8.1</v>
      </c>
      <c r="I57" s="73">
        <v>4.95</v>
      </c>
      <c r="J57" s="73">
        <v>8.0500000000000007</v>
      </c>
      <c r="K57" s="73">
        <v>7.15</v>
      </c>
      <c r="L57" s="73">
        <v>6.6999999999999993</v>
      </c>
      <c r="M57" s="73"/>
      <c r="N57" s="112">
        <f t="shared" si="12"/>
        <v>40.549999999999997</v>
      </c>
      <c r="O57" s="112">
        <f t="shared" si="13"/>
        <v>1359.4184162180454</v>
      </c>
      <c r="P57" s="90">
        <v>8</v>
      </c>
      <c r="Q57" s="90">
        <v>10</v>
      </c>
      <c r="R57" s="90">
        <v>9</v>
      </c>
      <c r="S57" s="90">
        <v>9</v>
      </c>
      <c r="T57" s="90">
        <v>9</v>
      </c>
      <c r="U57" s="90">
        <v>9</v>
      </c>
      <c r="V57" s="90">
        <v>9</v>
      </c>
      <c r="W57" s="91" t="str">
        <f t="shared" si="7"/>
        <v>N</v>
      </c>
      <c r="X57" s="128">
        <f t="shared" si="8"/>
        <v>0</v>
      </c>
      <c r="Y57" s="128" t="str">
        <f t="shared" si="6"/>
        <v>0-4.9%</v>
      </c>
      <c r="Z57" s="124" t="s">
        <v>200</v>
      </c>
    </row>
    <row r="58" spans="1:26" s="113" customFormat="1" ht="24" customHeight="1" thickBot="1" x14ac:dyDescent="0.3">
      <c r="A58" s="65">
        <f t="shared" si="10"/>
        <v>29</v>
      </c>
      <c r="B58" s="117">
        <v>0.55555555555555558</v>
      </c>
      <c r="C58" s="118" t="s">
        <v>137</v>
      </c>
      <c r="D58" s="79">
        <f t="shared" si="11"/>
        <v>10</v>
      </c>
      <c r="E58" s="118">
        <v>7</v>
      </c>
      <c r="F58" s="67" t="s">
        <v>47</v>
      </c>
      <c r="G58" s="73">
        <v>6</v>
      </c>
      <c r="H58" s="73">
        <v>5.2</v>
      </c>
      <c r="I58" s="73">
        <v>7.3</v>
      </c>
      <c r="J58" s="73">
        <v>6.85</v>
      </c>
      <c r="K58" s="73">
        <v>6.6</v>
      </c>
      <c r="L58" s="73">
        <v>6.25</v>
      </c>
      <c r="M58" s="73">
        <v>5.15</v>
      </c>
      <c r="N58" s="112">
        <f t="shared" si="12"/>
        <v>43.35</v>
      </c>
      <c r="O58" s="112">
        <f t="shared" si="13"/>
        <v>1835.8840289534555</v>
      </c>
      <c r="P58" s="90">
        <v>8</v>
      </c>
      <c r="Q58" s="90">
        <v>10</v>
      </c>
      <c r="R58" s="90">
        <v>9</v>
      </c>
      <c r="S58" s="90">
        <v>9</v>
      </c>
      <c r="T58" s="90">
        <v>9</v>
      </c>
      <c r="U58" s="90">
        <v>9</v>
      </c>
      <c r="V58" s="90">
        <v>9</v>
      </c>
      <c r="W58" s="91" t="str">
        <f t="shared" si="7"/>
        <v>N</v>
      </c>
      <c r="X58" s="128">
        <f t="shared" si="8"/>
        <v>0</v>
      </c>
      <c r="Y58" s="128" t="str">
        <f t="shared" si="6"/>
        <v>0-4.9%</v>
      </c>
      <c r="Z58" s="124" t="s">
        <v>200</v>
      </c>
    </row>
    <row r="59" spans="1:26" s="113" customFormat="1" ht="24" customHeight="1" x14ac:dyDescent="0.25">
      <c r="A59" s="125"/>
      <c r="B59" s="95"/>
      <c r="C59" s="79"/>
      <c r="D59" s="116"/>
      <c r="E59" s="116"/>
      <c r="F59" s="98"/>
      <c r="G59" s="73"/>
      <c r="H59" s="73"/>
      <c r="I59" s="73"/>
      <c r="J59" s="73"/>
      <c r="K59" s="73"/>
      <c r="L59" s="73"/>
      <c r="M59" s="73"/>
      <c r="N59" s="19"/>
      <c r="O59" s="19"/>
      <c r="P59" s="126"/>
      <c r="Q59" s="126"/>
      <c r="R59" s="126"/>
      <c r="S59" s="126"/>
      <c r="T59" s="126"/>
      <c r="U59" s="126"/>
      <c r="V59" s="126"/>
      <c r="W59" s="126"/>
      <c r="X59" s="126"/>
      <c r="Y59" s="126"/>
      <c r="Z59" s="99"/>
    </row>
    <row r="60" spans="1:26" ht="24" customHeight="1" x14ac:dyDescent="0.25">
      <c r="A60" s="8"/>
      <c r="B60" s="7"/>
      <c r="C60" s="5"/>
      <c r="D60" s="29"/>
      <c r="E60" s="29"/>
      <c r="F60" s="17"/>
      <c r="G60" s="13"/>
      <c r="H60" s="13"/>
      <c r="I60" s="13"/>
      <c r="J60" s="13"/>
      <c r="K60" s="13"/>
      <c r="L60" s="13"/>
      <c r="M60" s="13"/>
      <c r="N60" s="12"/>
      <c r="O60" s="12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6"/>
    </row>
    <row r="61" spans="1:26" ht="24" customHeight="1" x14ac:dyDescent="0.25">
      <c r="A61" s="8"/>
      <c r="B61" s="7"/>
      <c r="C61" s="5"/>
      <c r="D61" s="29"/>
      <c r="E61" s="29"/>
      <c r="F61" s="17"/>
      <c r="G61" s="13"/>
      <c r="H61" s="13"/>
      <c r="I61" s="13"/>
      <c r="J61" s="13"/>
      <c r="K61" s="13"/>
      <c r="L61" s="13"/>
      <c r="M61" s="13"/>
      <c r="N61" s="12"/>
      <c r="O61" s="12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6"/>
    </row>
    <row r="62" spans="1:26" ht="24" customHeight="1" x14ac:dyDescent="0.25">
      <c r="A62" s="8"/>
      <c r="B62" s="7"/>
      <c r="C62" s="5"/>
      <c r="D62" s="29"/>
      <c r="E62" s="29"/>
      <c r="F62" s="17"/>
      <c r="G62" s="13"/>
      <c r="H62" s="13"/>
      <c r="I62" s="13"/>
      <c r="J62" s="13"/>
      <c r="K62" s="13"/>
      <c r="L62" s="13"/>
      <c r="M62" s="13"/>
      <c r="N62" s="12"/>
      <c r="O62" s="12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6"/>
    </row>
    <row r="63" spans="1:26" ht="24" customHeight="1" x14ac:dyDescent="0.25">
      <c r="A63" s="8"/>
      <c r="B63" s="7"/>
      <c r="C63" s="5"/>
      <c r="D63" s="29"/>
      <c r="E63" s="29"/>
      <c r="F63" s="17"/>
      <c r="G63" s="13"/>
      <c r="H63" s="13"/>
      <c r="I63" s="13"/>
      <c r="J63" s="13"/>
      <c r="K63" s="13"/>
      <c r="L63" s="13"/>
      <c r="M63" s="13"/>
      <c r="N63" s="12"/>
      <c r="O63" s="12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6"/>
    </row>
    <row r="64" spans="1:26" ht="24" customHeight="1" x14ac:dyDescent="0.25">
      <c r="A64" s="8"/>
      <c r="B64" s="7"/>
      <c r="C64" s="5"/>
      <c r="D64" s="29"/>
      <c r="E64" s="29"/>
      <c r="F64" s="17"/>
      <c r="G64" s="13"/>
      <c r="H64" s="13"/>
      <c r="I64" s="13"/>
      <c r="J64" s="13"/>
      <c r="K64" s="13"/>
      <c r="L64" s="13"/>
      <c r="M64" s="13"/>
      <c r="N64" s="12"/>
      <c r="O64" s="12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6"/>
    </row>
    <row r="65" spans="1:26" ht="24" customHeight="1" x14ac:dyDescent="0.25">
      <c r="A65" s="8"/>
      <c r="B65" s="7"/>
      <c r="C65" s="5"/>
      <c r="D65" s="29"/>
      <c r="E65" s="29"/>
      <c r="F65" s="17"/>
      <c r="G65" s="13"/>
      <c r="H65" s="13"/>
      <c r="I65" s="13"/>
      <c r="J65" s="13"/>
      <c r="K65" s="13"/>
      <c r="L65" s="13"/>
      <c r="M65" s="13"/>
      <c r="N65" s="12"/>
      <c r="O65" s="12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6"/>
    </row>
    <row r="66" spans="1:26" ht="24" customHeight="1" x14ac:dyDescent="0.25">
      <c r="A66" s="8"/>
      <c r="B66" s="7"/>
      <c r="C66" s="5"/>
      <c r="D66" s="29"/>
      <c r="E66" s="29"/>
      <c r="F66" s="17"/>
      <c r="G66" s="13"/>
      <c r="H66" s="13"/>
      <c r="I66" s="13"/>
      <c r="J66" s="13"/>
      <c r="K66" s="13"/>
      <c r="L66" s="13"/>
      <c r="M66" s="13"/>
      <c r="N66" s="12"/>
      <c r="O66" s="12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6"/>
    </row>
    <row r="67" spans="1:26" ht="24" customHeight="1" x14ac:dyDescent="0.25">
      <c r="A67" s="8"/>
      <c r="B67" s="7"/>
      <c r="C67" s="5"/>
      <c r="D67" s="29"/>
      <c r="E67" s="29"/>
      <c r="F67" s="17"/>
      <c r="G67" s="13"/>
      <c r="H67" s="13"/>
      <c r="I67" s="13"/>
      <c r="J67" s="13"/>
      <c r="K67" s="13"/>
      <c r="L67" s="13"/>
      <c r="M67" s="13"/>
      <c r="N67" s="12"/>
      <c r="O67" s="12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6"/>
    </row>
    <row r="68" spans="1:26" ht="24" customHeight="1" x14ac:dyDescent="0.25">
      <c r="A68" s="8"/>
      <c r="B68" s="7"/>
      <c r="C68" s="5"/>
      <c r="D68" s="29"/>
      <c r="E68" s="29"/>
      <c r="F68" s="17"/>
      <c r="G68" s="13"/>
      <c r="H68" s="13"/>
      <c r="I68" s="13"/>
      <c r="J68" s="13"/>
      <c r="K68" s="13"/>
      <c r="L68" s="13"/>
      <c r="M68" s="13"/>
      <c r="N68" s="12"/>
      <c r="O68" s="12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6"/>
    </row>
    <row r="69" spans="1:26" ht="24" customHeight="1" x14ac:dyDescent="0.25">
      <c r="A69" s="8"/>
      <c r="B69" s="7"/>
      <c r="C69" s="5"/>
      <c r="D69" s="29"/>
      <c r="E69" s="29"/>
      <c r="F69" s="17"/>
      <c r="G69" s="13"/>
      <c r="H69" s="13"/>
      <c r="I69" s="13"/>
      <c r="J69" s="13"/>
      <c r="K69" s="13"/>
      <c r="L69" s="13"/>
      <c r="M69" s="13"/>
      <c r="N69" s="12"/>
      <c r="O69" s="12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6"/>
    </row>
    <row r="70" spans="1:26" ht="24" customHeight="1" x14ac:dyDescent="0.25">
      <c r="A70" s="8"/>
      <c r="B70" s="7"/>
      <c r="C70" s="5"/>
      <c r="D70" s="29"/>
      <c r="E70" s="29"/>
      <c r="F70" s="17"/>
      <c r="G70" s="13"/>
      <c r="H70" s="13"/>
      <c r="I70" s="13"/>
      <c r="J70" s="13"/>
      <c r="K70" s="13"/>
      <c r="L70" s="13"/>
      <c r="M70" s="13"/>
      <c r="N70" s="12"/>
      <c r="O70" s="12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6"/>
    </row>
    <row r="71" spans="1:26" ht="24" customHeight="1" x14ac:dyDescent="0.25">
      <c r="A71" s="8"/>
      <c r="B71" s="7"/>
      <c r="C71" s="5"/>
      <c r="D71" s="29"/>
      <c r="E71" s="29"/>
      <c r="F71" s="17"/>
      <c r="G71" s="13"/>
      <c r="H71" s="13"/>
      <c r="I71" s="13"/>
      <c r="J71" s="13"/>
      <c r="K71" s="13"/>
      <c r="L71" s="13"/>
      <c r="M71" s="13"/>
      <c r="N71" s="12"/>
      <c r="O71" s="12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6"/>
    </row>
    <row r="72" spans="1:26" ht="24" customHeight="1" x14ac:dyDescent="0.25">
      <c r="A72" s="8"/>
      <c r="B72" s="7"/>
      <c r="C72" s="5"/>
      <c r="D72" s="29"/>
      <c r="E72" s="29"/>
      <c r="F72" s="17"/>
      <c r="G72" s="13"/>
      <c r="H72" s="13"/>
      <c r="I72" s="13"/>
      <c r="J72" s="13"/>
      <c r="K72" s="13"/>
      <c r="L72" s="13"/>
      <c r="M72" s="13"/>
      <c r="N72" s="12"/>
      <c r="O72" s="12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6"/>
    </row>
    <row r="73" spans="1:26" ht="24" customHeight="1" x14ac:dyDescent="0.25">
      <c r="A73" s="8"/>
      <c r="B73" s="7"/>
      <c r="C73" s="5"/>
      <c r="D73" s="29"/>
      <c r="E73" s="29"/>
      <c r="F73" s="17"/>
      <c r="G73" s="13"/>
      <c r="H73" s="13"/>
      <c r="I73" s="13"/>
      <c r="J73" s="13"/>
      <c r="K73" s="13"/>
      <c r="L73" s="13"/>
      <c r="M73" s="13"/>
      <c r="N73" s="12"/>
      <c r="O73" s="12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6"/>
    </row>
    <row r="74" spans="1:26" ht="24" customHeight="1" x14ac:dyDescent="0.25">
      <c r="A74" s="8"/>
      <c r="B74" s="7"/>
      <c r="C74" s="5"/>
      <c r="D74" s="29"/>
      <c r="E74" s="29"/>
      <c r="F74" s="17"/>
      <c r="G74" s="13"/>
      <c r="H74" s="13"/>
      <c r="I74" s="13"/>
      <c r="J74" s="13"/>
      <c r="K74" s="13"/>
      <c r="L74" s="13"/>
      <c r="M74" s="13"/>
      <c r="N74" s="12"/>
      <c r="O74" s="12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6"/>
    </row>
    <row r="75" spans="1:26" ht="24" customHeight="1" x14ac:dyDescent="0.25">
      <c r="A75" s="8"/>
      <c r="B75" s="7"/>
      <c r="C75" s="5"/>
      <c r="D75" s="29"/>
      <c r="E75" s="29"/>
      <c r="F75" s="17"/>
      <c r="G75" s="13"/>
      <c r="H75" s="13"/>
      <c r="I75" s="13"/>
      <c r="J75" s="13"/>
      <c r="K75" s="13"/>
      <c r="L75" s="13"/>
      <c r="M75" s="13"/>
      <c r="N75" s="12"/>
      <c r="O75" s="12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6"/>
    </row>
    <row r="76" spans="1:26" ht="24" customHeight="1" x14ac:dyDescent="0.25">
      <c r="A76" s="8"/>
      <c r="B76" s="7"/>
      <c r="C76" s="5"/>
      <c r="D76" s="29"/>
      <c r="E76" s="29"/>
      <c r="F76" s="17"/>
      <c r="G76" s="13"/>
      <c r="H76" s="13"/>
      <c r="I76" s="13"/>
      <c r="J76" s="13"/>
      <c r="K76" s="13"/>
      <c r="L76" s="13"/>
      <c r="M76" s="13"/>
      <c r="N76" s="12"/>
      <c r="O76" s="12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6"/>
    </row>
    <row r="77" spans="1:26" ht="24" customHeight="1" x14ac:dyDescent="0.25">
      <c r="A77" s="8"/>
      <c r="B77" s="7"/>
      <c r="C77" s="5"/>
      <c r="D77" s="29"/>
      <c r="E77" s="29"/>
      <c r="F77" s="17"/>
      <c r="G77" s="13"/>
      <c r="H77" s="13"/>
      <c r="I77" s="13"/>
      <c r="J77" s="13"/>
      <c r="K77" s="13"/>
      <c r="L77" s="13"/>
      <c r="M77" s="13"/>
      <c r="N77" s="12"/>
      <c r="O77" s="12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6"/>
    </row>
    <row r="78" spans="1:26" ht="24" customHeight="1" x14ac:dyDescent="0.25">
      <c r="A78" s="8"/>
      <c r="B78" s="7"/>
      <c r="C78" s="5"/>
      <c r="D78" s="29"/>
      <c r="E78" s="29"/>
      <c r="F78" s="17"/>
      <c r="G78" s="13"/>
      <c r="H78" s="13"/>
      <c r="I78" s="13"/>
      <c r="J78" s="13"/>
      <c r="K78" s="13"/>
      <c r="L78" s="13"/>
      <c r="M78" s="13"/>
      <c r="N78" s="12"/>
      <c r="O78" s="12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6"/>
    </row>
    <row r="79" spans="1:26" ht="24" customHeight="1" x14ac:dyDescent="0.25">
      <c r="A79" s="8"/>
      <c r="B79" s="7"/>
      <c r="C79" s="5"/>
      <c r="D79" s="29"/>
      <c r="E79" s="29"/>
      <c r="F79" s="17"/>
      <c r="G79" s="13"/>
      <c r="H79" s="13"/>
      <c r="I79" s="13"/>
      <c r="J79" s="13"/>
      <c r="K79" s="13"/>
      <c r="L79" s="13"/>
      <c r="M79" s="13"/>
      <c r="N79" s="12"/>
      <c r="O79" s="12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6"/>
    </row>
    <row r="80" spans="1:26" ht="24" customHeight="1" x14ac:dyDescent="0.25">
      <c r="A80" s="8"/>
      <c r="B80" s="7"/>
      <c r="C80" s="5"/>
      <c r="D80" s="29"/>
      <c r="E80" s="29"/>
      <c r="F80" s="17"/>
      <c r="G80" s="13"/>
      <c r="H80" s="13"/>
      <c r="I80" s="13"/>
      <c r="J80" s="13"/>
      <c r="K80" s="13"/>
      <c r="L80" s="13"/>
      <c r="M80" s="13"/>
      <c r="N80" s="12"/>
      <c r="O80" s="12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6"/>
    </row>
    <row r="81" spans="1:26" ht="24" customHeight="1" x14ac:dyDescent="0.25">
      <c r="A81" s="8"/>
      <c r="B81" s="7"/>
      <c r="C81" s="5"/>
      <c r="D81" s="29"/>
      <c r="E81" s="29"/>
      <c r="F81" s="17"/>
      <c r="G81" s="13"/>
      <c r="H81" s="13"/>
      <c r="I81" s="13"/>
      <c r="J81" s="13"/>
      <c r="K81" s="13"/>
      <c r="L81" s="13"/>
      <c r="M81" s="13"/>
      <c r="N81" s="12"/>
      <c r="O81" s="12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6"/>
    </row>
    <row r="82" spans="1:26" ht="24" customHeight="1" x14ac:dyDescent="0.25">
      <c r="A82" s="8"/>
      <c r="B82" s="7"/>
      <c r="C82" s="5"/>
      <c r="D82" s="29"/>
      <c r="E82" s="29"/>
      <c r="F82" s="17"/>
      <c r="G82" s="13"/>
      <c r="H82" s="13"/>
      <c r="I82" s="13"/>
      <c r="J82" s="13"/>
      <c r="K82" s="13"/>
      <c r="L82" s="13"/>
      <c r="M82" s="13"/>
      <c r="N82" s="12"/>
      <c r="O82" s="12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6"/>
    </row>
    <row r="83" spans="1:26" ht="24" customHeight="1" x14ac:dyDescent="0.25">
      <c r="A83" s="8"/>
      <c r="B83" s="7"/>
      <c r="C83" s="5"/>
      <c r="D83" s="29"/>
      <c r="E83" s="29"/>
      <c r="F83" s="17"/>
      <c r="G83" s="13"/>
      <c r="H83" s="13"/>
      <c r="I83" s="13"/>
      <c r="J83" s="13"/>
      <c r="K83" s="13"/>
      <c r="L83" s="13"/>
      <c r="M83" s="13"/>
      <c r="N83" s="12"/>
      <c r="O83" s="12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6"/>
    </row>
    <row r="84" spans="1:26" ht="24" customHeight="1" x14ac:dyDescent="0.25">
      <c r="A84" s="8"/>
      <c r="B84" s="7"/>
      <c r="C84" s="5"/>
      <c r="D84" s="29"/>
      <c r="E84" s="29"/>
      <c r="F84" s="17"/>
      <c r="G84" s="13"/>
      <c r="H84" s="13"/>
      <c r="I84" s="13"/>
      <c r="J84" s="13"/>
      <c r="K84" s="13"/>
      <c r="L84" s="13"/>
      <c r="M84" s="13"/>
      <c r="N84" s="12"/>
      <c r="O84" s="12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6"/>
    </row>
    <row r="85" spans="1:26" ht="24" customHeight="1" x14ac:dyDescent="0.25">
      <c r="A85" s="8"/>
      <c r="B85" s="7"/>
      <c r="C85" s="5"/>
      <c r="D85" s="29"/>
      <c r="E85" s="29"/>
      <c r="F85" s="17"/>
      <c r="G85" s="13"/>
      <c r="H85" s="13"/>
      <c r="I85" s="13"/>
      <c r="J85" s="13"/>
      <c r="K85" s="13"/>
      <c r="L85" s="13"/>
      <c r="M85" s="13"/>
      <c r="N85" s="12"/>
      <c r="O85" s="12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6"/>
    </row>
    <row r="86" spans="1:26" ht="24" customHeight="1" x14ac:dyDescent="0.25">
      <c r="A86" s="8"/>
      <c r="B86" s="7"/>
      <c r="C86" s="5"/>
      <c r="D86" s="29"/>
      <c r="E86" s="29"/>
      <c r="F86" s="17"/>
      <c r="G86" s="13"/>
      <c r="H86" s="13"/>
      <c r="I86" s="13"/>
      <c r="J86" s="13"/>
      <c r="K86" s="13"/>
      <c r="L86" s="13"/>
      <c r="M86" s="13"/>
      <c r="N86" s="12"/>
      <c r="O86" s="12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6"/>
    </row>
    <row r="87" spans="1:26" ht="24" customHeight="1" x14ac:dyDescent="0.25">
      <c r="A87" s="8"/>
      <c r="B87" s="7"/>
      <c r="C87" s="5"/>
      <c r="D87" s="29"/>
      <c r="E87" s="29"/>
      <c r="F87" s="17"/>
      <c r="G87" s="13"/>
      <c r="H87" s="13"/>
      <c r="I87" s="13"/>
      <c r="J87" s="13"/>
      <c r="K87" s="13"/>
      <c r="L87" s="13"/>
      <c r="M87" s="13"/>
      <c r="N87" s="12"/>
      <c r="O87" s="12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6"/>
    </row>
    <row r="88" spans="1:26" ht="24" customHeight="1" x14ac:dyDescent="0.25">
      <c r="A88" s="8"/>
      <c r="B88" s="7"/>
      <c r="C88" s="5"/>
      <c r="D88" s="29"/>
      <c r="E88" s="29"/>
      <c r="F88" s="17"/>
      <c r="G88" s="13"/>
      <c r="H88" s="13"/>
      <c r="I88" s="13"/>
      <c r="J88" s="13"/>
      <c r="K88" s="13"/>
      <c r="L88" s="13"/>
      <c r="M88" s="13"/>
      <c r="N88" s="12"/>
      <c r="O88" s="12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6"/>
    </row>
    <row r="89" spans="1:26" ht="24" customHeight="1" x14ac:dyDescent="0.25">
      <c r="A89" s="8"/>
      <c r="B89" s="7"/>
      <c r="C89" s="5"/>
      <c r="D89" s="29"/>
      <c r="E89" s="29"/>
      <c r="F89" s="17"/>
      <c r="G89" s="13"/>
      <c r="H89" s="13"/>
      <c r="I89" s="13"/>
      <c r="J89" s="13"/>
      <c r="K89" s="13"/>
      <c r="L89" s="13"/>
      <c r="M89" s="13"/>
      <c r="N89" s="12"/>
      <c r="O89" s="12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6"/>
    </row>
    <row r="90" spans="1:26" ht="24" customHeight="1" x14ac:dyDescent="0.25">
      <c r="A90" s="8"/>
      <c r="B90" s="7"/>
      <c r="C90" s="5"/>
      <c r="D90" s="29"/>
      <c r="E90" s="29"/>
      <c r="F90" s="17"/>
      <c r="G90" s="13"/>
      <c r="H90" s="13"/>
      <c r="I90" s="13"/>
      <c r="J90" s="13"/>
      <c r="K90" s="13"/>
      <c r="L90" s="13"/>
      <c r="M90" s="13"/>
      <c r="N90" s="12"/>
      <c r="O90" s="12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6"/>
    </row>
    <row r="91" spans="1:26" ht="24" customHeight="1" x14ac:dyDescent="0.25">
      <c r="A91" s="8"/>
      <c r="B91" s="7"/>
      <c r="C91" s="5"/>
      <c r="D91" s="29"/>
      <c r="E91" s="29"/>
      <c r="F91" s="17"/>
      <c r="G91" s="13"/>
      <c r="H91" s="13"/>
      <c r="I91" s="13"/>
      <c r="J91" s="13"/>
      <c r="K91" s="13"/>
      <c r="L91" s="13"/>
      <c r="M91" s="13"/>
      <c r="N91" s="12"/>
      <c r="O91" s="12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6"/>
    </row>
    <row r="92" spans="1:26" ht="24" customHeight="1" x14ac:dyDescent="0.25">
      <c r="A92" s="8"/>
      <c r="B92" s="7"/>
      <c r="C92" s="5"/>
      <c r="D92" s="29"/>
      <c r="E92" s="29"/>
      <c r="F92" s="17"/>
      <c r="G92" s="13"/>
      <c r="H92" s="13"/>
      <c r="I92" s="13"/>
      <c r="J92" s="13"/>
      <c r="K92" s="13"/>
      <c r="L92" s="13"/>
      <c r="M92" s="13"/>
      <c r="N92" s="12"/>
      <c r="O92" s="12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6"/>
    </row>
    <row r="93" spans="1:26" ht="24" customHeight="1" x14ac:dyDescent="0.25">
      <c r="A93" s="8"/>
      <c r="B93" s="7"/>
      <c r="C93" s="5"/>
      <c r="D93" s="29"/>
      <c r="E93" s="29"/>
      <c r="F93" s="17"/>
      <c r="G93" s="13"/>
      <c r="H93" s="13"/>
      <c r="I93" s="13"/>
      <c r="J93" s="13"/>
      <c r="K93" s="13"/>
      <c r="L93" s="13"/>
      <c r="M93" s="13"/>
      <c r="N93" s="12"/>
      <c r="O93" s="12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6"/>
    </row>
    <row r="94" spans="1:26" ht="24" customHeight="1" x14ac:dyDescent="0.25">
      <c r="A94" s="8"/>
      <c r="B94" s="7"/>
      <c r="C94" s="5"/>
      <c r="D94" s="29"/>
      <c r="E94" s="29"/>
      <c r="F94" s="17"/>
      <c r="G94" s="13"/>
      <c r="H94" s="13"/>
      <c r="I94" s="13"/>
      <c r="J94" s="13"/>
      <c r="K94" s="13"/>
      <c r="L94" s="13"/>
      <c r="M94" s="13"/>
      <c r="N94" s="12"/>
      <c r="O94" s="12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6"/>
    </row>
    <row r="95" spans="1:26" ht="24" customHeight="1" x14ac:dyDescent="0.25">
      <c r="A95" s="8"/>
      <c r="B95" s="7"/>
      <c r="C95" s="5"/>
      <c r="D95" s="29"/>
      <c r="E95" s="29"/>
      <c r="F95" s="17"/>
      <c r="G95" s="13"/>
      <c r="H95" s="13"/>
      <c r="I95" s="13"/>
      <c r="J95" s="13"/>
      <c r="K95" s="13"/>
      <c r="L95" s="13"/>
      <c r="M95" s="13"/>
      <c r="N95" s="12"/>
      <c r="O95" s="12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6"/>
    </row>
    <row r="96" spans="1:26" ht="24" customHeight="1" x14ac:dyDescent="0.25">
      <c r="A96" s="8"/>
      <c r="B96" s="7"/>
      <c r="C96" s="5"/>
      <c r="D96" s="29"/>
      <c r="E96" s="29"/>
      <c r="F96" s="17"/>
      <c r="G96" s="13"/>
      <c r="H96" s="13"/>
      <c r="I96" s="13"/>
      <c r="J96" s="13"/>
      <c r="K96" s="13"/>
      <c r="L96" s="13"/>
      <c r="M96" s="13"/>
      <c r="N96" s="12"/>
      <c r="O96" s="12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6"/>
    </row>
    <row r="97" spans="1:26" ht="24" customHeight="1" x14ac:dyDescent="0.25">
      <c r="A97" s="8"/>
      <c r="B97" s="7"/>
      <c r="C97" s="5"/>
      <c r="D97" s="29"/>
      <c r="E97" s="29"/>
      <c r="F97" s="17"/>
      <c r="G97" s="13"/>
      <c r="H97" s="13"/>
      <c r="I97" s="13"/>
      <c r="J97" s="13"/>
      <c r="K97" s="13"/>
      <c r="L97" s="13"/>
      <c r="M97" s="13"/>
      <c r="N97" s="12"/>
      <c r="O97" s="12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6"/>
    </row>
    <row r="98" spans="1:26" ht="24" customHeight="1" x14ac:dyDescent="0.25">
      <c r="A98" s="8"/>
      <c r="B98" s="7"/>
      <c r="C98" s="5"/>
      <c r="D98" s="29"/>
      <c r="E98" s="29"/>
      <c r="F98" s="17"/>
      <c r="G98" s="13"/>
      <c r="H98" s="13"/>
      <c r="I98" s="13"/>
      <c r="J98" s="13"/>
      <c r="K98" s="13"/>
      <c r="L98" s="13"/>
      <c r="M98" s="13"/>
      <c r="N98" s="12"/>
      <c r="O98" s="12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6"/>
    </row>
    <row r="99" spans="1:26" ht="24" customHeight="1" x14ac:dyDescent="0.25">
      <c r="A99" s="8"/>
      <c r="B99" s="7"/>
      <c r="C99" s="5"/>
      <c r="D99" s="29"/>
      <c r="E99" s="29"/>
      <c r="F99" s="17"/>
      <c r="G99" s="13"/>
      <c r="H99" s="13"/>
      <c r="I99" s="13"/>
      <c r="J99" s="13"/>
      <c r="K99" s="13"/>
      <c r="L99" s="13"/>
      <c r="M99" s="13"/>
      <c r="N99" s="12"/>
      <c r="O99" s="12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6"/>
    </row>
    <row r="100" spans="1:26" ht="24" customHeight="1" x14ac:dyDescent="0.25">
      <c r="A100" s="8"/>
      <c r="B100" s="7"/>
      <c r="C100" s="5"/>
      <c r="D100" s="29"/>
      <c r="E100" s="29"/>
      <c r="F100" s="17"/>
      <c r="G100" s="13"/>
      <c r="H100" s="13"/>
      <c r="I100" s="13"/>
      <c r="J100" s="13"/>
      <c r="K100" s="13"/>
      <c r="L100" s="13"/>
      <c r="M100" s="13"/>
      <c r="N100" s="12"/>
      <c r="O100" s="12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6"/>
    </row>
    <row r="101" spans="1:26" ht="24" customHeight="1" x14ac:dyDescent="0.25">
      <c r="A101" s="8"/>
      <c r="B101" s="7"/>
      <c r="C101" s="5"/>
      <c r="D101" s="29"/>
      <c r="E101" s="29"/>
      <c r="F101" s="17"/>
      <c r="G101" s="13"/>
      <c r="H101" s="13"/>
      <c r="I101" s="13"/>
      <c r="J101" s="13"/>
      <c r="K101" s="13"/>
      <c r="L101" s="13"/>
      <c r="M101" s="13"/>
      <c r="N101" s="12"/>
      <c r="O101" s="12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6"/>
    </row>
    <row r="102" spans="1:26" ht="24" customHeight="1" x14ac:dyDescent="0.25">
      <c r="A102" s="8"/>
      <c r="B102" s="7"/>
      <c r="C102" s="5"/>
      <c r="D102" s="29"/>
      <c r="E102" s="29"/>
      <c r="F102" s="17"/>
      <c r="G102" s="13"/>
      <c r="H102" s="13"/>
      <c r="I102" s="13"/>
      <c r="J102" s="13"/>
      <c r="K102" s="13"/>
      <c r="L102" s="13"/>
      <c r="M102" s="13"/>
      <c r="N102" s="12"/>
      <c r="O102" s="12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6"/>
    </row>
    <row r="103" spans="1:26" ht="24" customHeight="1" x14ac:dyDescent="0.25">
      <c r="A103" s="8"/>
      <c r="B103" s="7"/>
      <c r="C103" s="5"/>
      <c r="D103" s="29"/>
      <c r="E103" s="29"/>
      <c r="F103" s="17"/>
      <c r="G103" s="13"/>
      <c r="H103" s="13"/>
      <c r="I103" s="13"/>
      <c r="J103" s="13"/>
      <c r="K103" s="13"/>
      <c r="L103" s="13"/>
      <c r="M103" s="13"/>
      <c r="N103" s="12"/>
      <c r="O103" s="12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6"/>
    </row>
    <row r="104" spans="1:26" ht="24" customHeight="1" x14ac:dyDescent="0.25">
      <c r="A104" s="8"/>
      <c r="B104" s="7"/>
      <c r="C104" s="5"/>
      <c r="D104" s="29"/>
      <c r="E104" s="29"/>
      <c r="F104" s="17"/>
      <c r="G104" s="13"/>
      <c r="H104" s="13"/>
      <c r="I104" s="13"/>
      <c r="J104" s="13"/>
      <c r="K104" s="13"/>
      <c r="L104" s="13"/>
      <c r="M104" s="13"/>
      <c r="N104" s="12"/>
      <c r="O104" s="12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6"/>
    </row>
    <row r="105" spans="1:26" ht="24" customHeight="1" x14ac:dyDescent="0.25">
      <c r="A105" s="8"/>
      <c r="B105" s="7"/>
      <c r="C105" s="5"/>
      <c r="D105" s="29"/>
      <c r="E105" s="29"/>
      <c r="F105" s="17"/>
      <c r="G105" s="13"/>
      <c r="H105" s="13"/>
      <c r="I105" s="13"/>
      <c r="J105" s="13"/>
      <c r="K105" s="13"/>
      <c r="L105" s="13"/>
      <c r="M105" s="13"/>
      <c r="N105" s="12"/>
      <c r="O105" s="12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6"/>
    </row>
    <row r="106" spans="1:26" ht="24" customHeight="1" x14ac:dyDescent="0.25">
      <c r="A106" s="8"/>
      <c r="B106" s="7"/>
      <c r="C106" s="5"/>
      <c r="D106" s="29"/>
      <c r="E106" s="29"/>
      <c r="F106" s="17"/>
      <c r="G106" s="13"/>
      <c r="H106" s="13"/>
      <c r="I106" s="13"/>
      <c r="J106" s="13"/>
      <c r="K106" s="13"/>
      <c r="L106" s="13"/>
      <c r="M106" s="13"/>
      <c r="N106" s="12"/>
      <c r="O106" s="12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6"/>
    </row>
    <row r="107" spans="1:26" ht="24" customHeight="1" x14ac:dyDescent="0.25">
      <c r="A107" s="8"/>
      <c r="B107" s="7"/>
      <c r="C107" s="5"/>
      <c r="D107" s="29"/>
      <c r="E107" s="29"/>
      <c r="F107" s="17"/>
      <c r="G107" s="13"/>
      <c r="H107" s="13"/>
      <c r="I107" s="13"/>
      <c r="J107" s="13"/>
      <c r="K107" s="13"/>
      <c r="L107" s="13"/>
      <c r="M107" s="13"/>
      <c r="N107" s="12"/>
      <c r="O107" s="12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6"/>
    </row>
    <row r="108" spans="1:26" ht="24" customHeight="1" x14ac:dyDescent="0.25">
      <c r="A108" s="8"/>
      <c r="B108" s="7"/>
      <c r="C108" s="5"/>
      <c r="D108" s="29"/>
      <c r="E108" s="29"/>
      <c r="F108" s="17"/>
      <c r="G108" s="13"/>
      <c r="H108" s="13"/>
      <c r="I108" s="13"/>
      <c r="J108" s="13"/>
      <c r="K108" s="13"/>
      <c r="L108" s="13"/>
      <c r="M108" s="13"/>
      <c r="N108" s="12"/>
      <c r="O108" s="12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6"/>
    </row>
    <row r="109" spans="1:26" ht="24" customHeight="1" x14ac:dyDescent="0.25">
      <c r="A109" s="8"/>
      <c r="B109" s="7"/>
      <c r="C109" s="5"/>
      <c r="D109" s="29"/>
      <c r="E109" s="29"/>
      <c r="F109" s="17"/>
      <c r="G109" s="13"/>
      <c r="H109" s="13"/>
      <c r="I109" s="13"/>
      <c r="J109" s="13"/>
      <c r="K109" s="13"/>
      <c r="L109" s="13"/>
      <c r="M109" s="13"/>
      <c r="N109" s="12"/>
      <c r="O109" s="12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6"/>
    </row>
    <row r="110" spans="1:26" ht="24" customHeight="1" x14ac:dyDescent="0.25">
      <c r="A110" s="8"/>
      <c r="B110" s="7"/>
      <c r="C110" s="5"/>
      <c r="D110" s="29"/>
      <c r="E110" s="29"/>
      <c r="F110" s="17"/>
      <c r="G110" s="13"/>
      <c r="H110" s="13"/>
      <c r="I110" s="13"/>
      <c r="J110" s="13"/>
      <c r="K110" s="13"/>
      <c r="L110" s="13"/>
      <c r="M110" s="13"/>
      <c r="N110" s="12"/>
      <c r="O110" s="12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6"/>
    </row>
    <row r="111" spans="1:26" ht="24" customHeight="1" x14ac:dyDescent="0.25">
      <c r="A111" s="8"/>
      <c r="B111" s="7"/>
      <c r="C111" s="5"/>
      <c r="D111" s="29"/>
      <c r="E111" s="29"/>
      <c r="F111" s="17"/>
      <c r="G111" s="13"/>
      <c r="H111" s="13"/>
      <c r="I111" s="13"/>
      <c r="J111" s="13"/>
      <c r="K111" s="13"/>
      <c r="L111" s="13"/>
      <c r="M111" s="13"/>
      <c r="N111" s="12"/>
      <c r="O111" s="12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6"/>
    </row>
    <row r="112" spans="1:26" ht="24" customHeight="1" x14ac:dyDescent="0.25">
      <c r="A112" s="8"/>
      <c r="B112" s="7"/>
      <c r="C112" s="5"/>
      <c r="D112" s="29"/>
      <c r="E112" s="29"/>
      <c r="F112" s="17"/>
      <c r="G112" s="13"/>
      <c r="H112" s="13"/>
      <c r="I112" s="13"/>
      <c r="J112" s="13"/>
      <c r="K112" s="13"/>
      <c r="L112" s="13"/>
      <c r="M112" s="13"/>
      <c r="N112" s="12"/>
      <c r="O112" s="12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6"/>
    </row>
    <row r="113" spans="1:26" ht="24" customHeight="1" x14ac:dyDescent="0.25">
      <c r="A113" s="8"/>
      <c r="B113" s="7"/>
      <c r="C113" s="5"/>
      <c r="D113" s="29"/>
      <c r="E113" s="29"/>
      <c r="F113" s="17"/>
      <c r="G113" s="13"/>
      <c r="H113" s="13"/>
      <c r="I113" s="13"/>
      <c r="J113" s="13"/>
      <c r="K113" s="13"/>
      <c r="L113" s="13"/>
      <c r="M113" s="13"/>
      <c r="N113" s="12"/>
      <c r="O113" s="12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6"/>
    </row>
    <row r="114" spans="1:26" ht="24" customHeight="1" x14ac:dyDescent="0.25">
      <c r="A114" s="8"/>
      <c r="B114" s="7"/>
      <c r="C114" s="5"/>
      <c r="D114" s="29"/>
      <c r="E114" s="29"/>
      <c r="F114" s="17"/>
      <c r="G114" s="13"/>
      <c r="H114" s="13"/>
      <c r="I114" s="13"/>
      <c r="J114" s="13"/>
      <c r="K114" s="13"/>
      <c r="L114" s="13"/>
      <c r="M114" s="13"/>
      <c r="N114" s="12"/>
      <c r="O114" s="12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6"/>
    </row>
    <row r="115" spans="1:26" ht="24" customHeight="1" x14ac:dyDescent="0.25">
      <c r="A115" s="8"/>
      <c r="B115" s="7"/>
      <c r="C115" s="5"/>
      <c r="D115" s="29"/>
      <c r="E115" s="29"/>
      <c r="F115" s="17"/>
      <c r="G115" s="13"/>
      <c r="H115" s="13"/>
      <c r="I115" s="13"/>
      <c r="J115" s="13"/>
      <c r="K115" s="13"/>
      <c r="L115" s="13"/>
      <c r="M115" s="13"/>
      <c r="N115" s="12"/>
      <c r="O115" s="12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6"/>
    </row>
    <row r="116" spans="1:26" ht="24" customHeight="1" x14ac:dyDescent="0.25">
      <c r="A116" s="8"/>
      <c r="B116" s="7"/>
      <c r="C116" s="5"/>
      <c r="D116" s="29"/>
      <c r="E116" s="29"/>
      <c r="F116" s="17"/>
      <c r="G116" s="13"/>
      <c r="H116" s="13"/>
      <c r="I116" s="13"/>
      <c r="J116" s="13"/>
      <c r="K116" s="13"/>
      <c r="L116" s="13"/>
      <c r="M116" s="13"/>
      <c r="N116" s="12"/>
      <c r="O116" s="12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6"/>
    </row>
    <row r="117" spans="1:26" ht="24" customHeight="1" x14ac:dyDescent="0.25">
      <c r="A117" s="8"/>
      <c r="B117" s="7"/>
      <c r="C117" s="5"/>
      <c r="D117" s="29"/>
      <c r="E117" s="29"/>
      <c r="F117" s="17"/>
      <c r="G117" s="13"/>
      <c r="H117" s="13"/>
      <c r="I117" s="13"/>
      <c r="J117" s="13"/>
      <c r="K117" s="13"/>
      <c r="L117" s="13"/>
      <c r="M117" s="13"/>
      <c r="N117" s="12"/>
      <c r="O117" s="12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6"/>
    </row>
    <row r="118" spans="1:26" ht="24" customHeight="1" x14ac:dyDescent="0.25">
      <c r="A118" s="8"/>
      <c r="B118" s="7"/>
      <c r="C118" s="5"/>
      <c r="D118" s="29"/>
      <c r="E118" s="29"/>
      <c r="F118" s="17"/>
      <c r="G118" s="13"/>
      <c r="H118" s="13"/>
      <c r="I118" s="13"/>
      <c r="J118" s="13"/>
      <c r="K118" s="13"/>
      <c r="L118" s="13"/>
      <c r="M118" s="13"/>
      <c r="N118" s="12"/>
      <c r="O118" s="12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6"/>
    </row>
    <row r="119" spans="1:26" ht="24" customHeight="1" x14ac:dyDescent="0.25">
      <c r="A119" s="8"/>
      <c r="B119" s="7"/>
      <c r="C119" s="5"/>
      <c r="D119" s="29"/>
      <c r="E119" s="29"/>
      <c r="F119" s="17"/>
      <c r="G119" s="13"/>
      <c r="H119" s="13"/>
      <c r="I119" s="13"/>
      <c r="J119" s="13"/>
      <c r="K119" s="13"/>
      <c r="L119" s="13"/>
      <c r="M119" s="13"/>
      <c r="N119" s="12"/>
      <c r="O119" s="12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6"/>
    </row>
    <row r="120" spans="1:26" ht="24" customHeight="1" x14ac:dyDescent="0.25">
      <c r="A120" s="8"/>
      <c r="B120" s="7"/>
      <c r="C120" s="5"/>
      <c r="D120" s="29"/>
      <c r="E120" s="29"/>
      <c r="F120" s="17"/>
      <c r="G120" s="13"/>
      <c r="H120" s="13"/>
      <c r="I120" s="13"/>
      <c r="J120" s="13"/>
      <c r="K120" s="13"/>
      <c r="L120" s="13"/>
      <c r="M120" s="13"/>
      <c r="N120" s="12"/>
      <c r="O120" s="12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6"/>
    </row>
    <row r="121" spans="1:26" ht="24" customHeight="1" x14ac:dyDescent="0.25">
      <c r="A121" s="8"/>
      <c r="B121" s="7"/>
      <c r="C121" s="5"/>
      <c r="D121" s="29"/>
      <c r="E121" s="29"/>
      <c r="F121" s="17"/>
      <c r="G121" s="13"/>
      <c r="H121" s="13"/>
      <c r="I121" s="13"/>
      <c r="J121" s="13"/>
      <c r="K121" s="13"/>
      <c r="L121" s="13"/>
      <c r="M121" s="13"/>
      <c r="N121" s="12"/>
      <c r="O121" s="12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6"/>
    </row>
    <row r="122" spans="1:26" ht="24" customHeight="1" x14ac:dyDescent="0.25">
      <c r="A122" s="8"/>
      <c r="B122" s="7"/>
      <c r="C122" s="5"/>
      <c r="D122" s="29"/>
      <c r="E122" s="29"/>
      <c r="F122" s="17"/>
      <c r="G122" s="13"/>
      <c r="H122" s="13"/>
      <c r="I122" s="13"/>
      <c r="J122" s="13"/>
      <c r="K122" s="13"/>
      <c r="L122" s="13"/>
      <c r="M122" s="13"/>
      <c r="N122" s="12"/>
      <c r="O122" s="12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6"/>
    </row>
    <row r="123" spans="1:26" ht="24" customHeight="1" x14ac:dyDescent="0.25">
      <c r="A123" s="8"/>
      <c r="B123" s="7"/>
      <c r="C123" s="5"/>
      <c r="D123" s="29"/>
      <c r="E123" s="29"/>
      <c r="F123" s="17"/>
      <c r="G123" s="13"/>
      <c r="H123" s="13"/>
      <c r="I123" s="13"/>
      <c r="J123" s="13"/>
      <c r="K123" s="13"/>
      <c r="L123" s="13"/>
      <c r="M123" s="13"/>
      <c r="N123" s="12"/>
      <c r="O123" s="12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6"/>
    </row>
    <row r="124" spans="1:26" ht="24" customHeight="1" x14ac:dyDescent="0.25">
      <c r="A124" s="8"/>
      <c r="B124" s="7"/>
      <c r="C124" s="5"/>
      <c r="D124" s="29"/>
      <c r="E124" s="29"/>
      <c r="F124" s="17"/>
      <c r="G124" s="13"/>
      <c r="H124" s="13"/>
      <c r="I124" s="13"/>
      <c r="J124" s="13"/>
      <c r="K124" s="13"/>
      <c r="L124" s="13"/>
      <c r="M124" s="13"/>
      <c r="N124" s="12"/>
      <c r="O124" s="12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6"/>
    </row>
    <row r="125" spans="1:26" ht="24" customHeight="1" x14ac:dyDescent="0.25">
      <c r="A125" s="8"/>
      <c r="B125" s="7"/>
      <c r="C125" s="5"/>
      <c r="D125" s="29"/>
      <c r="E125" s="29"/>
      <c r="F125" s="17"/>
      <c r="G125" s="13"/>
      <c r="H125" s="13"/>
      <c r="I125" s="13"/>
      <c r="J125" s="13"/>
      <c r="K125" s="13"/>
      <c r="L125" s="13"/>
      <c r="M125" s="13"/>
      <c r="N125" s="12"/>
      <c r="O125" s="12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6"/>
    </row>
    <row r="126" spans="1:26" ht="24" customHeight="1" x14ac:dyDescent="0.25">
      <c r="A126" s="8"/>
      <c r="B126" s="7"/>
      <c r="C126" s="5"/>
      <c r="D126" s="29"/>
      <c r="E126" s="29"/>
      <c r="F126" s="17"/>
      <c r="G126" s="13"/>
      <c r="H126" s="13"/>
      <c r="I126" s="13"/>
      <c r="J126" s="13"/>
      <c r="K126" s="13"/>
      <c r="L126" s="13"/>
      <c r="M126" s="13"/>
      <c r="N126" s="12"/>
      <c r="O126" s="12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6"/>
    </row>
    <row r="127" spans="1:26" ht="24" customHeight="1" x14ac:dyDescent="0.25">
      <c r="A127" s="8"/>
      <c r="B127" s="7"/>
      <c r="C127" s="5"/>
      <c r="D127" s="29"/>
      <c r="E127" s="29"/>
      <c r="F127" s="17"/>
      <c r="G127" s="13"/>
      <c r="H127" s="13"/>
      <c r="I127" s="13"/>
      <c r="J127" s="13"/>
      <c r="K127" s="13"/>
      <c r="L127" s="13"/>
      <c r="M127" s="13"/>
      <c r="N127" s="12"/>
      <c r="O127" s="12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6"/>
    </row>
    <row r="128" spans="1:26" ht="24" customHeight="1" thickBot="1" x14ac:dyDescent="0.3">
      <c r="A128" s="9"/>
      <c r="B128" s="7"/>
      <c r="C128" s="5"/>
      <c r="D128" s="29"/>
      <c r="E128" s="29"/>
      <c r="F128" s="17"/>
      <c r="G128" s="13"/>
      <c r="H128" s="13"/>
      <c r="I128" s="13"/>
      <c r="J128" s="13"/>
      <c r="K128" s="13"/>
      <c r="L128" s="13"/>
      <c r="M128" s="13"/>
      <c r="N128" s="12"/>
      <c r="O128" s="12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6"/>
    </row>
    <row r="129" ht="24" customHeight="1" x14ac:dyDescent="0.25"/>
    <row r="130" ht="24" customHeight="1" x14ac:dyDescent="0.25"/>
  </sheetData>
  <sortState xmlns:xlrd2="http://schemas.microsoft.com/office/spreadsheetml/2017/richdata2" ref="A7:Z130">
    <sortCondition ref="D7:D130"/>
  </sortState>
  <mergeCells count="16">
    <mergeCell ref="Z5:Z6"/>
    <mergeCell ref="W5:W6"/>
    <mergeCell ref="X5:X6"/>
    <mergeCell ref="Y5:Y6"/>
    <mergeCell ref="A2:O2"/>
    <mergeCell ref="A4:B4"/>
    <mergeCell ref="A5:A6"/>
    <mergeCell ref="B5:B6"/>
    <mergeCell ref="C5:C6"/>
    <mergeCell ref="D5:D6"/>
    <mergeCell ref="E5:E6"/>
    <mergeCell ref="F5:F6"/>
    <mergeCell ref="G5:M5"/>
    <mergeCell ref="N5:N6"/>
    <mergeCell ref="O5:O6"/>
    <mergeCell ref="P5:V5"/>
  </mergeCells>
  <printOptions horizontalCentered="1"/>
  <pageMargins left="0.7" right="0.7" top="0.75" bottom="0.75" header="0.3" footer="0.3"/>
  <pageSetup paperSize="9" scale="17" orientation="landscape" horizont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76D67-CC48-4CA0-A8B5-046A801E07EA}">
  <dimension ref="A1:Y60"/>
  <sheetViews>
    <sheetView tabSelected="1" view="pageBreakPreview" zoomScale="60" zoomScaleNormal="55" workbookViewId="0">
      <selection activeCell="C8" sqref="C8:D8"/>
    </sheetView>
  </sheetViews>
  <sheetFormatPr defaultRowHeight="15" x14ac:dyDescent="0.25"/>
  <cols>
    <col min="2" max="2" width="20" customWidth="1"/>
    <col min="3" max="3" width="13.7109375" customWidth="1"/>
    <col min="4" max="4" width="13.5703125" customWidth="1"/>
    <col min="5" max="5" width="9.85546875" customWidth="1"/>
    <col min="6" max="6" width="16.7109375" customWidth="1"/>
    <col min="8" max="8" width="20.28515625" bestFit="1" customWidth="1"/>
    <col min="9" max="10" width="16.85546875" bestFit="1" customWidth="1"/>
    <col min="11" max="11" width="6" customWidth="1"/>
    <col min="13" max="14" width="14.5703125" customWidth="1"/>
    <col min="15" max="15" width="10.7109375" customWidth="1"/>
    <col min="16" max="16" width="14.5703125" customWidth="1"/>
    <col min="17" max="22" width="10.7109375" customWidth="1"/>
  </cols>
  <sheetData>
    <row r="1" spans="1:25" ht="21" x14ac:dyDescent="0.35">
      <c r="B1" s="129" t="s">
        <v>243</v>
      </c>
    </row>
    <row r="3" spans="1:25" ht="15.75" x14ac:dyDescent="0.25">
      <c r="A3" s="100" t="s">
        <v>190</v>
      </c>
      <c r="L3" s="100" t="s">
        <v>191</v>
      </c>
    </row>
    <row r="4" spans="1:25" ht="36.75" customHeight="1" x14ac:dyDescent="0.25">
      <c r="B4" s="130" t="s">
        <v>192</v>
      </c>
      <c r="C4" s="131" t="s">
        <v>15</v>
      </c>
      <c r="D4" s="131" t="s">
        <v>225</v>
      </c>
      <c r="E4" s="132" t="s">
        <v>193</v>
      </c>
      <c r="L4" s="101" t="s">
        <v>194</v>
      </c>
      <c r="M4" s="131" t="s">
        <v>15</v>
      </c>
      <c r="N4" s="131" t="s">
        <v>225</v>
      </c>
      <c r="O4" s="103"/>
      <c r="P4" s="107"/>
      <c r="Q4" s="103"/>
      <c r="R4" s="103"/>
      <c r="S4" s="103"/>
      <c r="T4" s="103"/>
      <c r="U4" s="103"/>
      <c r="V4" s="103"/>
      <c r="W4" s="103"/>
      <c r="X4" s="103"/>
      <c r="Y4" s="133"/>
    </row>
    <row r="5" spans="1:25" ht="15.75" x14ac:dyDescent="0.25">
      <c r="A5">
        <v>7</v>
      </c>
      <c r="B5" s="48" t="s">
        <v>195</v>
      </c>
      <c r="C5" s="48">
        <f>COUNTIF('Mba-Kasese'!$D$7:$D$500,A5)</f>
        <v>15</v>
      </c>
      <c r="D5" s="48">
        <f>COUNTIF('Kasese-Mba'!$D$7:$D$500,A5)</f>
        <v>11</v>
      </c>
      <c r="E5" s="48">
        <f>SUM(C5:D5)</f>
        <v>26</v>
      </c>
      <c r="L5" s="134" t="s">
        <v>196</v>
      </c>
      <c r="M5" s="106">
        <f>COUNTIF('Mba-Kasese'!$Z$7:$Z$500,L5)/$M$16</f>
        <v>0</v>
      </c>
      <c r="N5" s="106">
        <f>COUNTIF('Kasese-Mba'!$Z$7:$Z$187,L5)/$N$16</f>
        <v>7.6923076923076927E-2</v>
      </c>
      <c r="Y5" s="101"/>
    </row>
    <row r="6" spans="1:25" ht="15.75" x14ac:dyDescent="0.25">
      <c r="A6">
        <v>9</v>
      </c>
      <c r="B6" s="48" t="s">
        <v>197</v>
      </c>
      <c r="C6" s="48">
        <f>COUNTIF('Mba-Kasese'!$D$7:$D$500,A6)</f>
        <v>3</v>
      </c>
      <c r="D6" s="48">
        <f>COUNTIF('Kasese-Mba'!$D$7:$D$500,A6)</f>
        <v>0</v>
      </c>
      <c r="E6" s="48">
        <f t="shared" ref="E6:E7" si="0">SUM(C6:D6)</f>
        <v>3</v>
      </c>
      <c r="L6" s="134" t="s">
        <v>198</v>
      </c>
      <c r="M6" s="106">
        <f>COUNTIF('Mba-Kasese'!$Z$7:$Z$500,L6)/$M$16</f>
        <v>0.125</v>
      </c>
      <c r="N6" s="106">
        <f>COUNTIF('Kasese-Mba'!$Z$7:$Z$187,L6)/$N$16</f>
        <v>0</v>
      </c>
      <c r="Y6" s="101"/>
    </row>
    <row r="7" spans="1:25" ht="15.75" x14ac:dyDescent="0.25">
      <c r="A7">
        <v>10</v>
      </c>
      <c r="B7" s="48" t="s">
        <v>199</v>
      </c>
      <c r="C7" s="48">
        <f>COUNTIF('Mba-Kasese'!$D$7:$D$500,A7)</f>
        <v>30</v>
      </c>
      <c r="D7" s="48">
        <f>COUNTIF('Kasese-Mba'!$D$7:$D$500,A7)</f>
        <v>41</v>
      </c>
      <c r="E7" s="48">
        <f t="shared" si="0"/>
        <v>71</v>
      </c>
      <c r="L7" s="134" t="s">
        <v>200</v>
      </c>
      <c r="M7" s="106">
        <f>COUNTIF('Mba-Kasese'!$Z$7:$Z$500,L7)/$M$16</f>
        <v>0.14583333333333334</v>
      </c>
      <c r="N7" s="106">
        <f>COUNTIF('Kasese-Mba'!$Z$7:$Z$187,L7)/$N$16</f>
        <v>0.84615384615384615</v>
      </c>
    </row>
    <row r="8" spans="1:25" ht="15.75" x14ac:dyDescent="0.25">
      <c r="B8" s="105" t="s">
        <v>201</v>
      </c>
      <c r="C8" s="105">
        <f>SUM(C5:C7)</f>
        <v>48</v>
      </c>
      <c r="D8" s="105">
        <f>SUM(D5:D7)</f>
        <v>52</v>
      </c>
      <c r="E8" s="105">
        <f>SUM(E5:E7)</f>
        <v>100</v>
      </c>
      <c r="L8" s="134" t="s">
        <v>202</v>
      </c>
      <c r="M8" s="106">
        <f>COUNTIF('Mba-Kasese'!$Z$7:$Z$500,L8)/$M$16</f>
        <v>0</v>
      </c>
      <c r="N8" s="106">
        <f>COUNTIF('Kasese-Mba'!$Z$7:$Z$187,L8)/$N$16</f>
        <v>0</v>
      </c>
    </row>
    <row r="9" spans="1:25" ht="15.75" x14ac:dyDescent="0.25">
      <c r="L9" s="134" t="s">
        <v>203</v>
      </c>
      <c r="M9" s="106">
        <f>COUNTIF('Mba-Kasese'!$Z$7:$Z$500,L9)/$M$16</f>
        <v>6.25E-2</v>
      </c>
      <c r="N9" s="106">
        <f>COUNTIF('Kasese-Mba'!$Z$7:$Z$187,L9)/$N$16</f>
        <v>0</v>
      </c>
    </row>
    <row r="10" spans="1:25" ht="15.75" x14ac:dyDescent="0.25">
      <c r="L10" s="134" t="s">
        <v>204</v>
      </c>
      <c r="M10" s="106">
        <f>COUNTIF('Mba-Kasese'!$Z$7:$Z$500,L10)/$M$16</f>
        <v>6.25E-2</v>
      </c>
      <c r="N10" s="106">
        <f>COUNTIF('Kasese-Mba'!$Z$7:$Z$187,L10)/$N$16</f>
        <v>0</v>
      </c>
    </row>
    <row r="11" spans="1:25" ht="15.75" x14ac:dyDescent="0.25">
      <c r="L11" s="134" t="s">
        <v>205</v>
      </c>
      <c r="M11" s="106">
        <f>COUNTIF('Mba-Kasese'!$Z$7:$Z$500,L11)/$M$16</f>
        <v>0</v>
      </c>
      <c r="N11" s="106">
        <f>COUNTIF('Kasese-Mba'!$Z$7:$Z$187,L11)/$N$16</f>
        <v>0</v>
      </c>
    </row>
    <row r="12" spans="1:25" ht="15.75" x14ac:dyDescent="0.25">
      <c r="L12" s="134" t="s">
        <v>206</v>
      </c>
      <c r="M12" s="106">
        <f>COUNTIF('Mba-Kasese'!$Z$7:$Z$500,L12)/$M$16</f>
        <v>6.25E-2</v>
      </c>
      <c r="N12" s="106">
        <f>COUNTIF('Kasese-Mba'!$Z$7:$Z$187,L12)/$N$16</f>
        <v>0</v>
      </c>
    </row>
    <row r="13" spans="1:25" ht="15.75" x14ac:dyDescent="0.25">
      <c r="L13" s="134" t="s">
        <v>235</v>
      </c>
      <c r="M13" s="106">
        <f>COUNTIF('Mba-Kasese'!$Z$7:$Z$500,L13)/$M$16</f>
        <v>0.5</v>
      </c>
      <c r="N13" s="106">
        <f>COUNTIF('Kasese-Mba'!$Z$7:$Z$187,L13)/$N$16</f>
        <v>3.8461538461538464E-2</v>
      </c>
    </row>
    <row r="14" spans="1:25" ht="15.75" x14ac:dyDescent="0.25">
      <c r="L14" s="134" t="s">
        <v>208</v>
      </c>
      <c r="M14" s="106">
        <f>COUNTIF('Mba-Kasese'!$Z$7:$Z$500,L14)/$M$16</f>
        <v>4.1666666666666664E-2</v>
      </c>
      <c r="N14" s="106">
        <f>COUNTIF('Kasese-Mba'!$Z$7:$Z$187,L14)/$N$16</f>
        <v>3.8461538461538464E-2</v>
      </c>
    </row>
    <row r="15" spans="1:25" ht="15.75" x14ac:dyDescent="0.25">
      <c r="L15" s="134" t="s">
        <v>209</v>
      </c>
      <c r="M15" s="106">
        <f>COUNTIF('Mba-Kasese'!$Z$7:$Z$500,L15)/$M$16</f>
        <v>0</v>
      </c>
      <c r="N15" s="106">
        <f>COUNTIF('Kasese-Mba'!$Z$7:$Z$187,L15)/$N$16</f>
        <v>0</v>
      </c>
    </row>
    <row r="16" spans="1:25" ht="15.75" x14ac:dyDescent="0.25">
      <c r="L16" s="135" t="s">
        <v>210</v>
      </c>
      <c r="M16" s="105">
        <f>C8</f>
        <v>48</v>
      </c>
      <c r="N16" s="105">
        <f>D8</f>
        <v>52</v>
      </c>
      <c r="S16" s="101"/>
      <c r="T16" s="101"/>
    </row>
    <row r="27" spans="1:15" ht="15.75" x14ac:dyDescent="0.25">
      <c r="A27" s="100" t="s">
        <v>236</v>
      </c>
    </row>
    <row r="28" spans="1:15" ht="15.75" x14ac:dyDescent="0.25">
      <c r="B28" s="101" t="s">
        <v>192</v>
      </c>
      <c r="C28" s="130" t="s">
        <v>15</v>
      </c>
      <c r="D28" s="130" t="s">
        <v>225</v>
      </c>
      <c r="E28" s="101" t="s">
        <v>193</v>
      </c>
      <c r="F28" s="101" t="s">
        <v>244</v>
      </c>
      <c r="L28" s="100"/>
    </row>
    <row r="29" spans="1:15" x14ac:dyDescent="0.25">
      <c r="A29">
        <v>7</v>
      </c>
      <c r="B29" s="48" t="s">
        <v>195</v>
      </c>
      <c r="C29" s="102">
        <f>AVERAGEIF('Mba-Kasese'!$D$7:$D$500,Graphs!A29,'Mba-Kasese'!$N$7:$N$500)</f>
        <v>13.550000000000002</v>
      </c>
      <c r="D29" s="102">
        <f>AVERAGEIF('Kasese-Mba'!$D$7:$D$500,Graphs!A29,'Kasese-Mba'!$N$7:$N$500)</f>
        <v>15.459090909090911</v>
      </c>
      <c r="E29" s="102">
        <f>AVERAGE(C29:D29)</f>
        <v>14.504545454545458</v>
      </c>
      <c r="F29" s="48">
        <v>18</v>
      </c>
      <c r="N29" s="130"/>
      <c r="O29" s="130"/>
    </row>
    <row r="30" spans="1:15" x14ac:dyDescent="0.25">
      <c r="A30">
        <v>9</v>
      </c>
      <c r="B30" s="48" t="s">
        <v>197</v>
      </c>
      <c r="C30" s="102">
        <f>AVERAGEIF('Mba-Kasese'!$D$7:$D$500,Graphs!A30,'Mba-Kasese'!$N$7:$N$500)</f>
        <v>24.566666666666666</v>
      </c>
      <c r="D30" s="102">
        <v>0</v>
      </c>
      <c r="E30" s="102">
        <f>AVERAGE(C30:D30)</f>
        <v>12.283333333333333</v>
      </c>
      <c r="F30" s="48">
        <v>27</v>
      </c>
      <c r="N30" s="136"/>
      <c r="O30" s="136"/>
    </row>
    <row r="31" spans="1:15" x14ac:dyDescent="0.25">
      <c r="A31">
        <v>10</v>
      </c>
      <c r="B31" s="48" t="s">
        <v>199</v>
      </c>
      <c r="C31" s="102">
        <f>AVERAGEIF('Mba-Kasese'!$D$7:$D$500,Graphs!A31,'Mba-Kasese'!$N$7:$N$500)</f>
        <v>40.173333333333325</v>
      </c>
      <c r="D31" s="102">
        <f>AVERAGEIF('Kasese-Mba'!$D$7:$D$500,Graphs!A31,'Kasese-Mba'!$N$7:$N$500)</f>
        <v>44.40143902439025</v>
      </c>
      <c r="E31" s="102">
        <f>AVERAGE(C31:D31)</f>
        <v>42.287386178861787</v>
      </c>
      <c r="F31" s="48">
        <v>54</v>
      </c>
      <c r="N31" s="136"/>
      <c r="O31" s="136"/>
    </row>
    <row r="32" spans="1:15" x14ac:dyDescent="0.25">
      <c r="B32" s="105" t="s">
        <v>201</v>
      </c>
      <c r="C32" s="105"/>
      <c r="D32" s="105"/>
      <c r="E32" s="105"/>
      <c r="N32" s="136"/>
      <c r="O32" s="136"/>
    </row>
    <row r="35" spans="12:24" x14ac:dyDescent="0.25">
      <c r="U35" s="137"/>
      <c r="V35" s="137"/>
      <c r="W35" s="137"/>
      <c r="X35" s="137"/>
    </row>
    <row r="36" spans="12:24" x14ac:dyDescent="0.25">
      <c r="V36" s="138"/>
      <c r="W36" s="138"/>
      <c r="X36" s="138"/>
    </row>
    <row r="39" spans="12:24" x14ac:dyDescent="0.25">
      <c r="L39" s="101" t="s">
        <v>237</v>
      </c>
    </row>
    <row r="40" spans="12:24" x14ac:dyDescent="0.25">
      <c r="M40" s="101" t="s">
        <v>192</v>
      </c>
      <c r="N40" s="130" t="s">
        <v>15</v>
      </c>
      <c r="O40" s="130" t="s">
        <v>225</v>
      </c>
      <c r="P40" s="101" t="s">
        <v>193</v>
      </c>
    </row>
    <row r="41" spans="12:24" x14ac:dyDescent="0.25">
      <c r="M41" s="48" t="s">
        <v>238</v>
      </c>
      <c r="N41" s="106">
        <f>COUNTIF('Mba-Kasese'!$Y$7:$Y$500,M41)/$N$45</f>
        <v>0.79166666666666663</v>
      </c>
      <c r="O41" s="106">
        <f>COUNTIF('Kasese-Mba'!$Y$7:$Y$187,M41)/$O$45</f>
        <v>0.71153846153846156</v>
      </c>
      <c r="P41" s="106">
        <f>AVERAGE(N41:O41)</f>
        <v>0.7516025641025641</v>
      </c>
    </row>
    <row r="42" spans="12:24" x14ac:dyDescent="0.25">
      <c r="M42" s="48" t="s">
        <v>239</v>
      </c>
      <c r="N42" s="106">
        <f>COUNTIF('Mba-Kasese'!$Y$7:$Y$500,M42)/$N$45</f>
        <v>0.1875</v>
      </c>
      <c r="O42" s="106">
        <f>COUNTIF('Kasese-Mba'!$Y$7:$Y$187,M42)/$O$45</f>
        <v>0.28846153846153844</v>
      </c>
      <c r="P42" s="106">
        <f t="shared" ref="P42:P44" si="1">AVERAGE(N42:O42)</f>
        <v>0.23798076923076922</v>
      </c>
    </row>
    <row r="43" spans="12:24" x14ac:dyDescent="0.25">
      <c r="M43" s="48" t="s">
        <v>240</v>
      </c>
      <c r="N43" s="106">
        <f>COUNTIF('Mba-Kasese'!$Y$7:$Y$500,M43)/$N$45</f>
        <v>0</v>
      </c>
      <c r="O43" s="106">
        <f>COUNTIF('Kasese-Mba'!$Y$7:$Y$187,M43)/$O$45</f>
        <v>0</v>
      </c>
      <c r="P43" s="106">
        <f t="shared" si="1"/>
        <v>0</v>
      </c>
    </row>
    <row r="44" spans="12:24" x14ac:dyDescent="0.25">
      <c r="M44" s="48" t="s">
        <v>241</v>
      </c>
      <c r="N44" s="106">
        <f>COUNTIF('Mba-Kasese'!$Y$7:$Y$500,M44)/$N$45</f>
        <v>2.0833333333333332E-2</v>
      </c>
      <c r="O44" s="106">
        <f>COUNTIF('Kasese-Mba'!$Y$7:$Y$187,M44)/$O$45</f>
        <v>0</v>
      </c>
      <c r="P44" s="106">
        <f t="shared" si="1"/>
        <v>1.0416666666666666E-2</v>
      </c>
    </row>
    <row r="45" spans="12:24" x14ac:dyDescent="0.25">
      <c r="N45">
        <f>C8</f>
        <v>48</v>
      </c>
      <c r="O45">
        <f>D8</f>
        <v>52</v>
      </c>
    </row>
    <row r="55" spans="1:5" x14ac:dyDescent="0.25">
      <c r="A55" s="101" t="s">
        <v>237</v>
      </c>
    </row>
    <row r="56" spans="1:5" x14ac:dyDescent="0.25">
      <c r="B56" s="101" t="s">
        <v>192</v>
      </c>
      <c r="C56" s="130" t="s">
        <v>15</v>
      </c>
      <c r="D56" s="130" t="s">
        <v>225</v>
      </c>
      <c r="E56" s="101" t="s">
        <v>193</v>
      </c>
    </row>
    <row r="57" spans="1:5" x14ac:dyDescent="0.25">
      <c r="A57">
        <v>7</v>
      </c>
      <c r="B57" s="48" t="s">
        <v>195</v>
      </c>
      <c r="C57" s="106">
        <f>COUNTIF('Mba-Kasese'!W7:W21,"Y")/C5</f>
        <v>0.4</v>
      </c>
      <c r="D57" s="106">
        <f>COUNTIF('Kasese-Mba'!W7:W17,"Y")/D5</f>
        <v>0.72727272727272729</v>
      </c>
      <c r="E57" s="106">
        <f>AVERAGE(C57:D57)</f>
        <v>0.56363636363636371</v>
      </c>
    </row>
    <row r="58" spans="1:5" x14ac:dyDescent="0.25">
      <c r="A58">
        <v>9</v>
      </c>
      <c r="B58" s="48" t="s">
        <v>197</v>
      </c>
      <c r="C58" s="106">
        <f>COUNTIF('Mba-Kasese'!W22:W24,"Y")/C6</f>
        <v>1</v>
      </c>
      <c r="D58" s="106">
        <v>0</v>
      </c>
      <c r="E58" s="106">
        <f t="shared" ref="E58:E59" si="2">AVERAGE(C58:D58)</f>
        <v>0.5</v>
      </c>
    </row>
    <row r="59" spans="1:5" x14ac:dyDescent="0.25">
      <c r="A59">
        <v>10</v>
      </c>
      <c r="B59" s="48" t="s">
        <v>199</v>
      </c>
      <c r="C59" s="106">
        <f>COUNTIF('Mba-Kasese'!W25:W500,"Y")/C7</f>
        <v>0.4</v>
      </c>
      <c r="D59" s="106">
        <f>COUNTIF('Kasese-Mba'!W18:W187,"Y")/D7</f>
        <v>0.29268292682926828</v>
      </c>
      <c r="E59" s="106">
        <f t="shared" si="2"/>
        <v>0.34634146341463412</v>
      </c>
    </row>
    <row r="60" spans="1:5" x14ac:dyDescent="0.25">
      <c r="B60" s="105" t="s">
        <v>242</v>
      </c>
      <c r="C60" s="139">
        <f>COUNTIF('[1]Kla-Bombo'!W7:W500,"Y")/C8</f>
        <v>3.9166666666666665</v>
      </c>
      <c r="D60" s="139">
        <f>COUNTIF('[1]Bombo-Kla'!W114:W187,"Y")/D8</f>
        <v>0.48076923076923078</v>
      </c>
    </row>
  </sheetData>
  <pageMargins left="0.25" right="0.25" top="0.75" bottom="0.75" header="0.3" footer="0.3"/>
  <pageSetup scale="43" orientation="landscape" horizontalDpi="1200" verticalDpi="12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4"/>
  <sheetViews>
    <sheetView topLeftCell="A22" zoomScale="84" zoomScaleNormal="84" workbookViewId="0">
      <selection activeCell="F42" sqref="F42"/>
    </sheetView>
  </sheetViews>
  <sheetFormatPr defaultRowHeight="12.75" x14ac:dyDescent="0.2"/>
  <cols>
    <col min="1" max="2" width="9.140625" style="86"/>
    <col min="3" max="3" width="12.7109375" style="86" customWidth="1"/>
    <col min="4" max="14" width="9.140625" style="86"/>
    <col min="15" max="15" width="11.140625" style="86" customWidth="1"/>
    <col min="16" max="16384" width="9.140625" style="86"/>
  </cols>
  <sheetData>
    <row r="1" spans="1:15" x14ac:dyDescent="0.2">
      <c r="I1" s="159" t="s">
        <v>7</v>
      </c>
      <c r="J1" s="159"/>
      <c r="K1" s="159"/>
      <c r="L1" s="159"/>
      <c r="M1" s="159"/>
      <c r="N1" s="159"/>
    </row>
    <row r="2" spans="1:15" x14ac:dyDescent="0.2">
      <c r="A2" s="86" t="s">
        <v>149</v>
      </c>
      <c r="I2" s="86" t="s">
        <v>150</v>
      </c>
      <c r="J2" s="86" t="s">
        <v>150</v>
      </c>
      <c r="K2" s="86" t="s">
        <v>151</v>
      </c>
      <c r="L2" s="86" t="s">
        <v>152</v>
      </c>
      <c r="M2" s="86" t="s">
        <v>153</v>
      </c>
      <c r="N2" s="86" t="s">
        <v>154</v>
      </c>
      <c r="O2" s="86" t="s">
        <v>155</v>
      </c>
    </row>
    <row r="4" spans="1:15" x14ac:dyDescent="0.2">
      <c r="A4" s="86">
        <v>7</v>
      </c>
      <c r="B4" s="86" t="s">
        <v>156</v>
      </c>
      <c r="I4" s="86">
        <v>1.1000000000000001</v>
      </c>
      <c r="J4" s="86">
        <v>1.2</v>
      </c>
    </row>
    <row r="5" spans="1:15" x14ac:dyDescent="0.2">
      <c r="A5" s="86">
        <v>8</v>
      </c>
      <c r="B5" s="86" t="s">
        <v>157</v>
      </c>
      <c r="K5" s="86">
        <v>1.22</v>
      </c>
    </row>
    <row r="6" spans="1:15" x14ac:dyDescent="0.2">
      <c r="A6" s="86">
        <v>9</v>
      </c>
      <c r="B6" s="86" t="s">
        <v>158</v>
      </c>
      <c r="L6" s="86" t="s">
        <v>159</v>
      </c>
    </row>
    <row r="7" spans="1:15" x14ac:dyDescent="0.2">
      <c r="L7" s="87">
        <v>1.222</v>
      </c>
    </row>
    <row r="10" spans="1:15" x14ac:dyDescent="0.2">
      <c r="A10" s="86">
        <v>10</v>
      </c>
      <c r="B10" s="86" t="s">
        <v>160</v>
      </c>
      <c r="M10" s="86" t="s">
        <v>161</v>
      </c>
    </row>
    <row r="11" spans="1:15" x14ac:dyDescent="0.2">
      <c r="M11" s="86" t="s">
        <v>162</v>
      </c>
    </row>
    <row r="12" spans="1:15" x14ac:dyDescent="0.2">
      <c r="M12" s="86" t="s">
        <v>163</v>
      </c>
    </row>
    <row r="13" spans="1:15" x14ac:dyDescent="0.2">
      <c r="A13" s="86">
        <v>11</v>
      </c>
      <c r="B13" s="86" t="s">
        <v>164</v>
      </c>
      <c r="N13" s="86" t="s">
        <v>165</v>
      </c>
    </row>
    <row r="14" spans="1:15" x14ac:dyDescent="0.2">
      <c r="N14" s="86" t="s">
        <v>166</v>
      </c>
    </row>
    <row r="15" spans="1:15" x14ac:dyDescent="0.2">
      <c r="N15" s="86" t="s">
        <v>167</v>
      </c>
    </row>
    <row r="16" spans="1:15" x14ac:dyDescent="0.2">
      <c r="N16" s="86" t="s">
        <v>168</v>
      </c>
    </row>
    <row r="17" spans="1:15" x14ac:dyDescent="0.2">
      <c r="N17" s="86" t="s">
        <v>169</v>
      </c>
    </row>
    <row r="18" spans="1:15" x14ac:dyDescent="0.2">
      <c r="N18" s="86" t="s">
        <v>170</v>
      </c>
    </row>
    <row r="19" spans="1:15" x14ac:dyDescent="0.2">
      <c r="A19" s="86">
        <v>12</v>
      </c>
      <c r="B19" s="86" t="s">
        <v>171</v>
      </c>
      <c r="O19" s="86" t="s">
        <v>172</v>
      </c>
    </row>
    <row r="20" spans="1:15" x14ac:dyDescent="0.2">
      <c r="O20" s="86" t="s">
        <v>173</v>
      </c>
    </row>
    <row r="21" spans="1:15" x14ac:dyDescent="0.2">
      <c r="O21" s="86" t="s">
        <v>174</v>
      </c>
    </row>
    <row r="29" spans="1:15" ht="15.75" x14ac:dyDescent="0.2">
      <c r="B29" s="88" t="s">
        <v>175</v>
      </c>
    </row>
    <row r="30" spans="1:15" ht="15.75" x14ac:dyDescent="0.2">
      <c r="B30" s="88" t="s">
        <v>176</v>
      </c>
    </row>
    <row r="31" spans="1:15" ht="15.75" x14ac:dyDescent="0.2">
      <c r="B31" s="88" t="s">
        <v>177</v>
      </c>
    </row>
    <row r="32" spans="1:15" ht="15.75" x14ac:dyDescent="0.2">
      <c r="B32" s="88" t="s">
        <v>178</v>
      </c>
    </row>
    <row r="35" spans="2:5" x14ac:dyDescent="0.2">
      <c r="B35" s="86" t="s">
        <v>179</v>
      </c>
      <c r="C35" s="86" t="s">
        <v>180</v>
      </c>
      <c r="D35" s="86">
        <v>7</v>
      </c>
      <c r="E35" s="86">
        <v>18</v>
      </c>
    </row>
    <row r="36" spans="2:5" x14ac:dyDescent="0.2">
      <c r="B36" s="86" t="s">
        <v>12</v>
      </c>
      <c r="C36" s="86" t="s">
        <v>180</v>
      </c>
      <c r="D36" s="86">
        <v>7</v>
      </c>
      <c r="E36" s="86">
        <v>18</v>
      </c>
    </row>
    <row r="37" spans="2:5" x14ac:dyDescent="0.2">
      <c r="B37" s="86" t="s">
        <v>74</v>
      </c>
      <c r="C37" s="86" t="s">
        <v>181</v>
      </c>
      <c r="D37" s="86">
        <v>8</v>
      </c>
      <c r="E37" s="86">
        <v>26</v>
      </c>
    </row>
    <row r="38" spans="2:5" x14ac:dyDescent="0.2">
      <c r="B38" s="86" t="s">
        <v>110</v>
      </c>
      <c r="C38" s="86" t="s">
        <v>182</v>
      </c>
      <c r="D38" s="86">
        <v>9</v>
      </c>
      <c r="E38" s="86">
        <v>26</v>
      </c>
    </row>
    <row r="39" spans="2:5" x14ac:dyDescent="0.2">
      <c r="B39" s="86" t="s">
        <v>183</v>
      </c>
      <c r="C39" s="86" t="s">
        <v>184</v>
      </c>
      <c r="D39" s="86">
        <v>10</v>
      </c>
      <c r="E39" s="86">
        <v>46</v>
      </c>
    </row>
    <row r="40" spans="2:5" x14ac:dyDescent="0.2">
      <c r="B40" s="86" t="s">
        <v>185</v>
      </c>
      <c r="C40" s="86" t="s">
        <v>184</v>
      </c>
      <c r="D40" s="86">
        <v>10</v>
      </c>
      <c r="E40" s="86">
        <v>46</v>
      </c>
    </row>
    <row r="41" spans="2:5" x14ac:dyDescent="0.2">
      <c r="B41" s="86" t="s">
        <v>105</v>
      </c>
      <c r="C41" s="86" t="s">
        <v>184</v>
      </c>
      <c r="D41" s="86">
        <v>10</v>
      </c>
      <c r="E41" s="86">
        <v>46</v>
      </c>
    </row>
    <row r="42" spans="2:5" x14ac:dyDescent="0.2">
      <c r="B42" s="86" t="s">
        <v>186</v>
      </c>
      <c r="C42" s="86" t="s">
        <v>184</v>
      </c>
      <c r="D42" s="86">
        <v>10</v>
      </c>
      <c r="E42" s="86">
        <v>46</v>
      </c>
    </row>
    <row r="43" spans="2:5" x14ac:dyDescent="0.2">
      <c r="B43" s="86" t="s">
        <v>187</v>
      </c>
      <c r="C43" s="86" t="s">
        <v>184</v>
      </c>
      <c r="D43" s="86">
        <v>10</v>
      </c>
      <c r="E43" s="86">
        <v>46</v>
      </c>
    </row>
    <row r="44" spans="2:5" x14ac:dyDescent="0.2">
      <c r="B44" s="86" t="s">
        <v>19</v>
      </c>
      <c r="C44" s="86" t="s">
        <v>182</v>
      </c>
      <c r="D44" s="86">
        <v>9</v>
      </c>
      <c r="E44" s="86">
        <v>34</v>
      </c>
    </row>
  </sheetData>
  <mergeCells count="1">
    <mergeCell ref="I1:N1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4"/>
  <sheetViews>
    <sheetView workbookViewId="0">
      <selection activeCell="C8" sqref="C8"/>
    </sheetView>
  </sheetViews>
  <sheetFormatPr defaultRowHeight="15" x14ac:dyDescent="0.25"/>
  <cols>
    <col min="2" max="2" width="38.5703125" customWidth="1"/>
    <col min="3" max="3" width="36" customWidth="1"/>
  </cols>
  <sheetData>
    <row r="1" spans="1:4" x14ac:dyDescent="0.25">
      <c r="B1" t="s">
        <v>194</v>
      </c>
      <c r="C1" t="s">
        <v>211</v>
      </c>
    </row>
    <row r="2" spans="1:4" ht="15.75" x14ac:dyDescent="0.25">
      <c r="A2">
        <v>1</v>
      </c>
      <c r="B2" s="103" t="s">
        <v>212</v>
      </c>
      <c r="C2" s="103" t="s">
        <v>213</v>
      </c>
      <c r="D2" s="103"/>
    </row>
    <row r="3" spans="1:4" ht="15.75" x14ac:dyDescent="0.25">
      <c r="A3">
        <v>2</v>
      </c>
      <c r="B3" s="103" t="s">
        <v>214</v>
      </c>
      <c r="C3" s="103" t="s">
        <v>215</v>
      </c>
      <c r="D3" s="103"/>
    </row>
    <row r="4" spans="1:4" ht="15.75" x14ac:dyDescent="0.25">
      <c r="A4">
        <v>3</v>
      </c>
      <c r="B4" s="103" t="s">
        <v>198</v>
      </c>
      <c r="C4" s="103" t="s">
        <v>216</v>
      </c>
      <c r="D4" s="103"/>
    </row>
    <row r="5" spans="1:4" ht="21.75" customHeight="1" x14ac:dyDescent="0.25">
      <c r="A5">
        <v>4</v>
      </c>
      <c r="B5" s="104" t="s">
        <v>217</v>
      </c>
      <c r="C5" s="107" t="s">
        <v>218</v>
      </c>
      <c r="D5" s="108"/>
    </row>
    <row r="6" spans="1:4" ht="15.75" x14ac:dyDescent="0.25">
      <c r="A6">
        <v>5</v>
      </c>
      <c r="B6" s="103" t="s">
        <v>202</v>
      </c>
      <c r="C6" s="103"/>
      <c r="D6" s="103"/>
    </row>
    <row r="7" spans="1:4" ht="15.75" x14ac:dyDescent="0.25">
      <c r="A7">
        <v>6</v>
      </c>
      <c r="B7" s="103" t="s">
        <v>203</v>
      </c>
      <c r="C7" s="103" t="s">
        <v>219</v>
      </c>
      <c r="D7" s="103"/>
    </row>
    <row r="8" spans="1:4" ht="15.75" x14ac:dyDescent="0.25">
      <c r="A8">
        <v>7</v>
      </c>
      <c r="B8" s="103" t="s">
        <v>204</v>
      </c>
      <c r="C8" s="109" t="s">
        <v>220</v>
      </c>
      <c r="D8" s="109"/>
    </row>
    <row r="9" spans="1:4" ht="15.75" x14ac:dyDescent="0.25">
      <c r="A9">
        <v>8</v>
      </c>
      <c r="B9" s="103" t="s">
        <v>205</v>
      </c>
      <c r="C9" s="109" t="s">
        <v>221</v>
      </c>
      <c r="D9" s="109"/>
    </row>
    <row r="10" spans="1:4" ht="15.75" x14ac:dyDescent="0.25">
      <c r="A10">
        <v>9</v>
      </c>
      <c r="B10" s="103" t="s">
        <v>206</v>
      </c>
      <c r="C10" s="109" t="s">
        <v>222</v>
      </c>
      <c r="D10" s="109"/>
    </row>
    <row r="11" spans="1:4" ht="15.75" customHeight="1" x14ac:dyDescent="0.25">
      <c r="A11">
        <v>10</v>
      </c>
      <c r="B11" s="104" t="s">
        <v>207</v>
      </c>
      <c r="C11" s="107" t="s">
        <v>223</v>
      </c>
      <c r="D11" s="107"/>
    </row>
    <row r="12" spans="1:4" ht="15.75" x14ac:dyDescent="0.25">
      <c r="A12">
        <v>11</v>
      </c>
      <c r="B12" s="103" t="s">
        <v>208</v>
      </c>
      <c r="C12" s="109"/>
      <c r="D12" s="109"/>
    </row>
    <row r="13" spans="1:4" ht="15.75" x14ac:dyDescent="0.25">
      <c r="A13">
        <v>12</v>
      </c>
      <c r="B13" s="103" t="s">
        <v>224</v>
      </c>
      <c r="C13" s="109"/>
      <c r="D13" s="109"/>
    </row>
    <row r="14" spans="1:4" ht="15.75" x14ac:dyDescent="0.25">
      <c r="A14">
        <v>4</v>
      </c>
      <c r="B14" s="103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DAY1</vt:lpstr>
      <vt:lpstr>DAY2</vt:lpstr>
      <vt:lpstr>DAY3</vt:lpstr>
      <vt:lpstr>Mba-Kasese</vt:lpstr>
      <vt:lpstr>Kasese-Mba</vt:lpstr>
      <vt:lpstr>Graphs</vt:lpstr>
      <vt:lpstr>KEY</vt:lpstr>
      <vt:lpstr>Desc</vt:lpstr>
      <vt:lpstr>Graphs!Print_Area</vt:lpstr>
      <vt:lpstr>'Kasese-Mba'!Print_Area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Kato Saidi</dc:creator>
  <cp:lastModifiedBy>USER</cp:lastModifiedBy>
  <cp:lastPrinted>2015-05-11T14:09:27Z</cp:lastPrinted>
  <dcterms:created xsi:type="dcterms:W3CDTF">2015-05-11T13:42:40Z</dcterms:created>
  <dcterms:modified xsi:type="dcterms:W3CDTF">2020-03-23T06:23:31Z</dcterms:modified>
</cp:coreProperties>
</file>