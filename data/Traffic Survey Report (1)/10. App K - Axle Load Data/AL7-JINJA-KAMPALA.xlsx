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, FERRY, AXLE Data\Analyed Data\Axle Load Data_ Analysed\"/>
    </mc:Choice>
  </mc:AlternateContent>
  <xr:revisionPtr revIDLastSave="0" documentId="13_ncr:1_{2EE9A06E-4822-4B28-B57B-FAC4162703B6}" xr6:coauthVersionLast="45" xr6:coauthVersionMax="45" xr10:uidLastSave="{00000000-0000-0000-0000-000000000000}"/>
  <bookViews>
    <workbookView xWindow="-120" yWindow="-120" windowWidth="20730" windowHeight="11160" activeTab="5" xr2:uid="{00000000-000D-0000-FFFF-FFFF00000000}"/>
  </bookViews>
  <sheets>
    <sheet name="DAY1" sheetId="1" r:id="rId1"/>
    <sheet name="DAY 2" sheetId="3" r:id="rId2"/>
    <sheet name="DAY 3" sheetId="4" r:id="rId3"/>
    <sheet name="Kla-Jinja" sheetId="7" r:id="rId4"/>
    <sheet name="Jinja-Kla" sheetId="6" r:id="rId5"/>
    <sheet name="Graphs" sheetId="10" r:id="rId6"/>
    <sheet name="KEY" sheetId="5" r:id="rId7"/>
    <sheet name="Desc" sheetId="9" r:id="rId8"/>
  </sheets>
  <definedNames>
    <definedName name="_xlnm.Print_Area" localSheetId="5">Graphs!$A$1:$X$78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2" i="10" l="1"/>
  <c r="O43" i="10"/>
  <c r="O44" i="10"/>
  <c r="O41" i="10"/>
  <c r="N42" i="10"/>
  <c r="N43" i="10"/>
  <c r="N44" i="10"/>
  <c r="N41" i="10"/>
  <c r="N6" i="10"/>
  <c r="N7" i="10"/>
  <c r="N8" i="10"/>
  <c r="N9" i="10"/>
  <c r="N10" i="10"/>
  <c r="N11" i="10"/>
  <c r="N12" i="10"/>
  <c r="N13" i="10"/>
  <c r="N14" i="10"/>
  <c r="N15" i="10"/>
  <c r="N5" i="10"/>
  <c r="D59" i="10"/>
  <c r="D58" i="10"/>
  <c r="D57" i="10"/>
  <c r="D60" i="10"/>
  <c r="D30" i="10"/>
  <c r="D31" i="10"/>
  <c r="D29" i="10"/>
  <c r="D6" i="10"/>
  <c r="D7" i="10"/>
  <c r="D5" i="10"/>
  <c r="W9" i="7"/>
  <c r="X9" i="7" s="1"/>
  <c r="Y9" i="7" s="1"/>
  <c r="W10" i="7"/>
  <c r="X10" i="7"/>
  <c r="Y10" i="7" s="1"/>
  <c r="W11" i="7"/>
  <c r="X11" i="7"/>
  <c r="Y11" i="7" s="1"/>
  <c r="W12" i="7"/>
  <c r="X12" i="7" s="1"/>
  <c r="Y12" i="7" s="1"/>
  <c r="W13" i="7"/>
  <c r="X13" i="7" s="1"/>
  <c r="Y13" i="7" s="1"/>
  <c r="W14" i="7"/>
  <c r="X14" i="7" s="1"/>
  <c r="Y14" i="7" s="1"/>
  <c r="W15" i="7"/>
  <c r="X15" i="7" s="1"/>
  <c r="Y15" i="7" s="1"/>
  <c r="W16" i="7"/>
  <c r="X16" i="7"/>
  <c r="Y16" i="7"/>
  <c r="W17" i="7"/>
  <c r="X17" i="7" s="1"/>
  <c r="Y17" i="7" s="1"/>
  <c r="W18" i="7"/>
  <c r="X18" i="7"/>
  <c r="Y18" i="7" s="1"/>
  <c r="W19" i="7"/>
  <c r="X19" i="7"/>
  <c r="Y19" i="7" s="1"/>
  <c r="W20" i="7"/>
  <c r="X20" i="7" s="1"/>
  <c r="Y20" i="7" s="1"/>
  <c r="W21" i="7"/>
  <c r="X21" i="7" s="1"/>
  <c r="Y21" i="7" s="1"/>
  <c r="W22" i="7"/>
  <c r="X22" i="7" s="1"/>
  <c r="Y22" i="7" s="1"/>
  <c r="W23" i="7"/>
  <c r="X23" i="7" s="1"/>
  <c r="Y23" i="7" s="1"/>
  <c r="W24" i="7"/>
  <c r="X24" i="7"/>
  <c r="Y24" i="7"/>
  <c r="W25" i="7"/>
  <c r="X25" i="7" s="1"/>
  <c r="Y25" i="7" s="1"/>
  <c r="W26" i="7"/>
  <c r="X26" i="7"/>
  <c r="Y26" i="7" s="1"/>
  <c r="W27" i="7"/>
  <c r="X27" i="7"/>
  <c r="Y27" i="7" s="1"/>
  <c r="W28" i="7"/>
  <c r="X28" i="7" s="1"/>
  <c r="Y28" i="7" s="1"/>
  <c r="W29" i="7"/>
  <c r="X29" i="7" s="1"/>
  <c r="Y29" i="7" s="1"/>
  <c r="W30" i="7"/>
  <c r="X30" i="7" s="1"/>
  <c r="Y30" i="7" s="1"/>
  <c r="W31" i="7"/>
  <c r="X31" i="7" s="1"/>
  <c r="Y31" i="7" s="1"/>
  <c r="W32" i="7"/>
  <c r="X32" i="7"/>
  <c r="Y32" i="7"/>
  <c r="W33" i="7"/>
  <c r="X33" i="7" s="1"/>
  <c r="Y33" i="7" s="1"/>
  <c r="W34" i="7"/>
  <c r="X34" i="7"/>
  <c r="Y34" i="7" s="1"/>
  <c r="W35" i="7"/>
  <c r="X35" i="7"/>
  <c r="Y35" i="7" s="1"/>
  <c r="W36" i="7"/>
  <c r="W37" i="7"/>
  <c r="X37" i="7" s="1"/>
  <c r="Y37" i="7" s="1"/>
  <c r="W38" i="7"/>
  <c r="X38" i="7" s="1"/>
  <c r="Y38" i="7" s="1"/>
  <c r="W39" i="7"/>
  <c r="X39" i="7" s="1"/>
  <c r="Y39" i="7" s="1"/>
  <c r="W40" i="7"/>
  <c r="X40" i="7"/>
  <c r="Y40" i="7"/>
  <c r="W41" i="7"/>
  <c r="X41" i="7" s="1"/>
  <c r="Y41" i="7" s="1"/>
  <c r="W42" i="7"/>
  <c r="X42" i="7"/>
  <c r="Y42" i="7" s="1"/>
  <c r="W43" i="7"/>
  <c r="X43" i="7"/>
  <c r="Y43" i="7" s="1"/>
  <c r="W44" i="7"/>
  <c r="X44" i="7" s="1"/>
  <c r="Y44" i="7" s="1"/>
  <c r="W45" i="7"/>
  <c r="X45" i="7" s="1"/>
  <c r="Y45" i="7" s="1"/>
  <c r="W46" i="7"/>
  <c r="X46" i="7" s="1"/>
  <c r="Y46" i="7" s="1"/>
  <c r="W47" i="7"/>
  <c r="X47" i="7" s="1"/>
  <c r="Y47" i="7" s="1"/>
  <c r="W48" i="7"/>
  <c r="X48" i="7"/>
  <c r="Y48" i="7"/>
  <c r="W49" i="7"/>
  <c r="X49" i="7" s="1"/>
  <c r="Y49" i="7" s="1"/>
  <c r="W50" i="7"/>
  <c r="X50" i="7"/>
  <c r="Y50" i="7" s="1"/>
  <c r="W51" i="7"/>
  <c r="X51" i="7"/>
  <c r="Y51" i="7" s="1"/>
  <c r="W52" i="7"/>
  <c r="X52" i="7" s="1"/>
  <c r="Y52" i="7" s="1"/>
  <c r="W53" i="7"/>
  <c r="X53" i="7" s="1"/>
  <c r="Y53" i="7" s="1"/>
  <c r="W54" i="7"/>
  <c r="X54" i="7" s="1"/>
  <c r="Y54" i="7" s="1"/>
  <c r="W55" i="7"/>
  <c r="X55" i="7" s="1"/>
  <c r="Y55" i="7" s="1"/>
  <c r="W56" i="7"/>
  <c r="X56" i="7"/>
  <c r="Y56" i="7"/>
  <c r="W57" i="7"/>
  <c r="X57" i="7" s="1"/>
  <c r="Y57" i="7" s="1"/>
  <c r="W58" i="7"/>
  <c r="X58" i="7"/>
  <c r="Y58" i="7" s="1"/>
  <c r="W59" i="7"/>
  <c r="X59" i="7"/>
  <c r="Y59" i="7" s="1"/>
  <c r="W60" i="7"/>
  <c r="X60" i="7" s="1"/>
  <c r="Y60" i="7" s="1"/>
  <c r="W61" i="7"/>
  <c r="X61" i="7" s="1"/>
  <c r="Y61" i="7" s="1"/>
  <c r="W62" i="7"/>
  <c r="X62" i="7" s="1"/>
  <c r="Y62" i="7" s="1"/>
  <c r="W63" i="7"/>
  <c r="X63" i="7" s="1"/>
  <c r="Y63" i="7" s="1"/>
  <c r="W64" i="7"/>
  <c r="X64" i="7"/>
  <c r="Y64" i="7"/>
  <c r="W65" i="7"/>
  <c r="X65" i="7" s="1"/>
  <c r="Y65" i="7" s="1"/>
  <c r="W66" i="7"/>
  <c r="X66" i="7"/>
  <c r="Y66" i="7" s="1"/>
  <c r="W67" i="7"/>
  <c r="X67" i="7"/>
  <c r="Y67" i="7" s="1"/>
  <c r="W68" i="7"/>
  <c r="X68" i="7" s="1"/>
  <c r="Y68" i="7" s="1"/>
  <c r="W69" i="7"/>
  <c r="X69" i="7" s="1"/>
  <c r="Y69" i="7" s="1"/>
  <c r="W70" i="7"/>
  <c r="X70" i="7" s="1"/>
  <c r="Y70" i="7" s="1"/>
  <c r="W71" i="7"/>
  <c r="X71" i="7" s="1"/>
  <c r="Y71" i="7" s="1"/>
  <c r="W72" i="7"/>
  <c r="X72" i="7"/>
  <c r="Y72" i="7"/>
  <c r="W73" i="7"/>
  <c r="X73" i="7" s="1"/>
  <c r="Y73" i="7" s="1"/>
  <c r="W74" i="7"/>
  <c r="X74" i="7"/>
  <c r="Y74" i="7" s="1"/>
  <c r="W75" i="7"/>
  <c r="X75" i="7"/>
  <c r="Y75" i="7" s="1"/>
  <c r="W76" i="7"/>
  <c r="X76" i="7" s="1"/>
  <c r="Y76" i="7" s="1"/>
  <c r="W77" i="7"/>
  <c r="X77" i="7" s="1"/>
  <c r="Y77" i="7" s="1"/>
  <c r="W78" i="7"/>
  <c r="X78" i="7" s="1"/>
  <c r="Y78" i="7" s="1"/>
  <c r="W79" i="7"/>
  <c r="X79" i="7" s="1"/>
  <c r="Y79" i="7" s="1"/>
  <c r="W80" i="7"/>
  <c r="X80" i="7"/>
  <c r="Y80" i="7"/>
  <c r="W81" i="7"/>
  <c r="X81" i="7" s="1"/>
  <c r="Y81" i="7" s="1"/>
  <c r="W82" i="7"/>
  <c r="X82" i="7"/>
  <c r="Y82" i="7" s="1"/>
  <c r="W83" i="7"/>
  <c r="X83" i="7"/>
  <c r="Y83" i="7" s="1"/>
  <c r="W84" i="7"/>
  <c r="X84" i="7" s="1"/>
  <c r="Y84" i="7" s="1"/>
  <c r="W85" i="7"/>
  <c r="X85" i="7" s="1"/>
  <c r="Y85" i="7" s="1"/>
  <c r="W86" i="7"/>
  <c r="X86" i="7" s="1"/>
  <c r="Y86" i="7" s="1"/>
  <c r="W87" i="7"/>
  <c r="X87" i="7" s="1"/>
  <c r="Y87" i="7" s="1"/>
  <c r="W88" i="7"/>
  <c r="X88" i="7"/>
  <c r="Y88" i="7"/>
  <c r="W89" i="7"/>
  <c r="X89" i="7" s="1"/>
  <c r="Y89" i="7" s="1"/>
  <c r="W90" i="7"/>
  <c r="X90" i="7"/>
  <c r="Y90" i="7" s="1"/>
  <c r="W91" i="7"/>
  <c r="X91" i="7"/>
  <c r="Y91" i="7" s="1"/>
  <c r="W92" i="7"/>
  <c r="X92" i="7" s="1"/>
  <c r="Y92" i="7" s="1"/>
  <c r="W93" i="7"/>
  <c r="X93" i="7" s="1"/>
  <c r="Y93" i="7" s="1"/>
  <c r="W94" i="7"/>
  <c r="X94" i="7" s="1"/>
  <c r="Y94" i="7" s="1"/>
  <c r="W95" i="7"/>
  <c r="X95" i="7" s="1"/>
  <c r="Y95" i="7" s="1"/>
  <c r="W96" i="7"/>
  <c r="X96" i="7"/>
  <c r="Y96" i="7"/>
  <c r="W97" i="7"/>
  <c r="X97" i="7" s="1"/>
  <c r="Y97" i="7" s="1"/>
  <c r="W98" i="7"/>
  <c r="X98" i="7"/>
  <c r="Y98" i="7" s="1"/>
  <c r="W99" i="7"/>
  <c r="X99" i="7"/>
  <c r="Y99" i="7" s="1"/>
  <c r="W100" i="7"/>
  <c r="X100" i="7" s="1"/>
  <c r="Y100" i="7" s="1"/>
  <c r="W101" i="7"/>
  <c r="X101" i="7" s="1"/>
  <c r="Y101" i="7" s="1"/>
  <c r="W102" i="7"/>
  <c r="X102" i="7" s="1"/>
  <c r="Y102" i="7" s="1"/>
  <c r="W103" i="7"/>
  <c r="X103" i="7" s="1"/>
  <c r="Y103" i="7" s="1"/>
  <c r="W104" i="7"/>
  <c r="X104" i="7"/>
  <c r="Y104" i="7"/>
  <c r="W105" i="7"/>
  <c r="X105" i="7" s="1"/>
  <c r="Y105" i="7" s="1"/>
  <c r="W106" i="7"/>
  <c r="X106" i="7"/>
  <c r="Y106" i="7" s="1"/>
  <c r="W107" i="7"/>
  <c r="X107" i="7"/>
  <c r="Y107" i="7" s="1"/>
  <c r="W108" i="7"/>
  <c r="X108" i="7" s="1"/>
  <c r="Y108" i="7" s="1"/>
  <c r="W109" i="7"/>
  <c r="X109" i="7" s="1"/>
  <c r="Y109" i="7" s="1"/>
  <c r="W110" i="7"/>
  <c r="X110" i="7" s="1"/>
  <c r="Y110" i="7" s="1"/>
  <c r="W111" i="7"/>
  <c r="X111" i="7" s="1"/>
  <c r="Y111" i="7" s="1"/>
  <c r="W112" i="7"/>
  <c r="X112" i="7"/>
  <c r="Y112" i="7"/>
  <c r="W113" i="7"/>
  <c r="X113" i="7" s="1"/>
  <c r="Y113" i="7" s="1"/>
  <c r="W114" i="7"/>
  <c r="X114" i="7"/>
  <c r="Y114" i="7" s="1"/>
  <c r="W115" i="7"/>
  <c r="X115" i="7"/>
  <c r="Y115" i="7" s="1"/>
  <c r="W116" i="7"/>
  <c r="X116" i="7" s="1"/>
  <c r="Y116" i="7" s="1"/>
  <c r="W117" i="7"/>
  <c r="X117" i="7" s="1"/>
  <c r="Y117" i="7" s="1"/>
  <c r="W118" i="7"/>
  <c r="X118" i="7" s="1"/>
  <c r="Y118" i="7" s="1"/>
  <c r="W119" i="7"/>
  <c r="X119" i="7" s="1"/>
  <c r="Y119" i="7" s="1"/>
  <c r="W120" i="7"/>
  <c r="X120" i="7"/>
  <c r="Y120" i="7"/>
  <c r="W121" i="7"/>
  <c r="X121" i="7" s="1"/>
  <c r="Y121" i="7" s="1"/>
  <c r="W122" i="7"/>
  <c r="X122" i="7"/>
  <c r="Y122" i="7" s="1"/>
  <c r="W123" i="7"/>
  <c r="X123" i="7"/>
  <c r="Y123" i="7" s="1"/>
  <c r="W124" i="7"/>
  <c r="X124" i="7" s="1"/>
  <c r="Y124" i="7" s="1"/>
  <c r="W125" i="7"/>
  <c r="X125" i="7" s="1"/>
  <c r="Y125" i="7" s="1"/>
  <c r="W126" i="7"/>
  <c r="X126" i="7" s="1"/>
  <c r="Y126" i="7" s="1"/>
  <c r="W127" i="7"/>
  <c r="X127" i="7" s="1"/>
  <c r="Y127" i="7" s="1"/>
  <c r="W128" i="7"/>
  <c r="X128" i="7"/>
  <c r="Y128" i="7"/>
  <c r="W129" i="7"/>
  <c r="X129" i="7" s="1"/>
  <c r="Y129" i="7" s="1"/>
  <c r="W130" i="7"/>
  <c r="X130" i="7"/>
  <c r="Y130" i="7" s="1"/>
  <c r="W131" i="7"/>
  <c r="X131" i="7"/>
  <c r="Y131" i="7" s="1"/>
  <c r="W132" i="7"/>
  <c r="X132" i="7" s="1"/>
  <c r="Y132" i="7" s="1"/>
  <c r="W133" i="7"/>
  <c r="X133" i="7" s="1"/>
  <c r="Y133" i="7" s="1"/>
  <c r="W134" i="7"/>
  <c r="X134" i="7" s="1"/>
  <c r="Y134" i="7" s="1"/>
  <c r="W135" i="7"/>
  <c r="X135" i="7" s="1"/>
  <c r="Y135" i="7" s="1"/>
  <c r="W136" i="7"/>
  <c r="X136" i="7"/>
  <c r="Y136" i="7"/>
  <c r="W137" i="7"/>
  <c r="X137" i="7" s="1"/>
  <c r="Y137" i="7" s="1"/>
  <c r="W138" i="7"/>
  <c r="X138" i="7"/>
  <c r="Y138" i="7" s="1"/>
  <c r="W139" i="7"/>
  <c r="X139" i="7"/>
  <c r="Y139" i="7" s="1"/>
  <c r="W140" i="7"/>
  <c r="X140" i="7" s="1"/>
  <c r="Y140" i="7" s="1"/>
  <c r="W141" i="7"/>
  <c r="X141" i="7" s="1"/>
  <c r="Y141" i="7" s="1"/>
  <c r="W142" i="7"/>
  <c r="X142" i="7" s="1"/>
  <c r="Y142" i="7" s="1"/>
  <c r="W143" i="7"/>
  <c r="X143" i="7" s="1"/>
  <c r="Y143" i="7" s="1"/>
  <c r="W144" i="7"/>
  <c r="X144" i="7"/>
  <c r="Y144" i="7"/>
  <c r="W145" i="7"/>
  <c r="X145" i="7" s="1"/>
  <c r="Y145" i="7" s="1"/>
  <c r="W146" i="7"/>
  <c r="X146" i="7"/>
  <c r="Y146" i="7" s="1"/>
  <c r="W147" i="7"/>
  <c r="X147" i="7"/>
  <c r="Y147" i="7" s="1"/>
  <c r="W148" i="7"/>
  <c r="X148" i="7" s="1"/>
  <c r="Y148" i="7" s="1"/>
  <c r="W149" i="7"/>
  <c r="X149" i="7" s="1"/>
  <c r="Y149" i="7" s="1"/>
  <c r="W150" i="7"/>
  <c r="X150" i="7" s="1"/>
  <c r="Y150" i="7" s="1"/>
  <c r="W151" i="7"/>
  <c r="X151" i="7" s="1"/>
  <c r="Y151" i="7"/>
  <c r="W152" i="7"/>
  <c r="X152" i="7"/>
  <c r="Y152" i="7"/>
  <c r="W153" i="7"/>
  <c r="X153" i="7" s="1"/>
  <c r="Y153" i="7" s="1"/>
  <c r="W154" i="7"/>
  <c r="X154" i="7"/>
  <c r="Y154" i="7" s="1"/>
  <c r="W155" i="7"/>
  <c r="X155" i="7"/>
  <c r="Y155" i="7" s="1"/>
  <c r="W156" i="7"/>
  <c r="X156" i="7" s="1"/>
  <c r="Y156" i="7" s="1"/>
  <c r="W157" i="7"/>
  <c r="X157" i="7" s="1"/>
  <c r="Y157" i="7" s="1"/>
  <c r="W158" i="7"/>
  <c r="X158" i="7" s="1"/>
  <c r="Y158" i="7" s="1"/>
  <c r="W159" i="7"/>
  <c r="X159" i="7" s="1"/>
  <c r="Y159" i="7"/>
  <c r="W160" i="7"/>
  <c r="X160" i="7"/>
  <c r="Y160" i="7"/>
  <c r="W161" i="7"/>
  <c r="X161" i="7" s="1"/>
  <c r="Y161" i="7" s="1"/>
  <c r="W162" i="7"/>
  <c r="X162" i="7"/>
  <c r="Y162" i="7" s="1"/>
  <c r="W163" i="7"/>
  <c r="X163" i="7"/>
  <c r="Y163" i="7" s="1"/>
  <c r="W164" i="7"/>
  <c r="X164" i="7" s="1"/>
  <c r="Y164" i="7" s="1"/>
  <c r="W165" i="7"/>
  <c r="X165" i="7" s="1"/>
  <c r="Y165" i="7" s="1"/>
  <c r="W166" i="7"/>
  <c r="X166" i="7" s="1"/>
  <c r="Y166" i="7" s="1"/>
  <c r="W167" i="7"/>
  <c r="X167" i="7" s="1"/>
  <c r="Y167" i="7"/>
  <c r="W168" i="7"/>
  <c r="X168" i="7"/>
  <c r="Y168" i="7"/>
  <c r="W169" i="7"/>
  <c r="X169" i="7" s="1"/>
  <c r="Y169" i="7" s="1"/>
  <c r="W170" i="7"/>
  <c r="X170" i="7"/>
  <c r="Y170" i="7" s="1"/>
  <c r="W171" i="7"/>
  <c r="X171" i="7"/>
  <c r="Y171" i="7" s="1"/>
  <c r="W172" i="7"/>
  <c r="X172" i="7" s="1"/>
  <c r="Y172" i="7" s="1"/>
  <c r="W173" i="7"/>
  <c r="X173" i="7" s="1"/>
  <c r="Y173" i="7" s="1"/>
  <c r="W174" i="7"/>
  <c r="X174" i="7" s="1"/>
  <c r="Y174" i="7" s="1"/>
  <c r="W175" i="7"/>
  <c r="X175" i="7" s="1"/>
  <c r="Y175" i="7" s="1"/>
  <c r="W176" i="7"/>
  <c r="X176" i="7"/>
  <c r="Y176" i="7"/>
  <c r="W177" i="7"/>
  <c r="X177" i="7" s="1"/>
  <c r="Y177" i="7" s="1"/>
  <c r="W178" i="7"/>
  <c r="X178" i="7"/>
  <c r="Y178" i="7" s="1"/>
  <c r="W179" i="7"/>
  <c r="X179" i="7"/>
  <c r="Y179" i="7" s="1"/>
  <c r="W180" i="7"/>
  <c r="X180" i="7" s="1"/>
  <c r="Y180" i="7" s="1"/>
  <c r="W181" i="7"/>
  <c r="X181" i="7" s="1"/>
  <c r="Y181" i="7" s="1"/>
  <c r="W182" i="7"/>
  <c r="X182" i="7" s="1"/>
  <c r="Y182" i="7" s="1"/>
  <c r="W183" i="7"/>
  <c r="X183" i="7" s="1"/>
  <c r="Y183" i="7"/>
  <c r="W184" i="7"/>
  <c r="X184" i="7"/>
  <c r="Y184" i="7"/>
  <c r="W185" i="7"/>
  <c r="X185" i="7" s="1"/>
  <c r="Y185" i="7" s="1"/>
  <c r="W186" i="7"/>
  <c r="X186" i="7"/>
  <c r="Y186" i="7" s="1"/>
  <c r="W187" i="7"/>
  <c r="X187" i="7"/>
  <c r="Y187" i="7" s="1"/>
  <c r="W188" i="7"/>
  <c r="X188" i="7" s="1"/>
  <c r="Y188" i="7" s="1"/>
  <c r="W189" i="7"/>
  <c r="X189" i="7" s="1"/>
  <c r="Y189" i="7" s="1"/>
  <c r="W190" i="7"/>
  <c r="X190" i="7" s="1"/>
  <c r="Y190" i="7" s="1"/>
  <c r="W191" i="7"/>
  <c r="X191" i="7" s="1"/>
  <c r="Y191" i="7" s="1"/>
  <c r="W192" i="7"/>
  <c r="X192" i="7"/>
  <c r="Y192" i="7"/>
  <c r="W193" i="7"/>
  <c r="X193" i="7" s="1"/>
  <c r="Y193" i="7" s="1"/>
  <c r="W194" i="7"/>
  <c r="X194" i="7"/>
  <c r="Y194" i="7" s="1"/>
  <c r="W195" i="7"/>
  <c r="X195" i="7"/>
  <c r="Y195" i="7" s="1"/>
  <c r="W196" i="7"/>
  <c r="X196" i="7" s="1"/>
  <c r="Y196" i="7" s="1"/>
  <c r="W197" i="7"/>
  <c r="X197" i="7" s="1"/>
  <c r="Y197" i="7" s="1"/>
  <c r="W198" i="7"/>
  <c r="X198" i="7" s="1"/>
  <c r="Y198" i="7" s="1"/>
  <c r="W199" i="7"/>
  <c r="X199" i="7" s="1"/>
  <c r="Y199" i="7" s="1"/>
  <c r="W200" i="7"/>
  <c r="X200" i="7"/>
  <c r="Y200" i="7"/>
  <c r="W201" i="7"/>
  <c r="X201" i="7" s="1"/>
  <c r="Y201" i="7" s="1"/>
  <c r="W202" i="7"/>
  <c r="X202" i="7"/>
  <c r="Y202" i="7" s="1"/>
  <c r="W203" i="7"/>
  <c r="X203" i="7"/>
  <c r="Y203" i="7" s="1"/>
  <c r="W204" i="7"/>
  <c r="X204" i="7" s="1"/>
  <c r="Y204" i="7" s="1"/>
  <c r="W205" i="7"/>
  <c r="X205" i="7" s="1"/>
  <c r="Y205" i="7" s="1"/>
  <c r="W206" i="7"/>
  <c r="X206" i="7" s="1"/>
  <c r="Y206" i="7" s="1"/>
  <c r="W207" i="7"/>
  <c r="X207" i="7" s="1"/>
  <c r="Y207" i="7"/>
  <c r="W208" i="7"/>
  <c r="X208" i="7"/>
  <c r="Y208" i="7"/>
  <c r="W209" i="7"/>
  <c r="X209" i="7" s="1"/>
  <c r="Y209" i="7" s="1"/>
  <c r="W210" i="7"/>
  <c r="X210" i="7"/>
  <c r="Y210" i="7" s="1"/>
  <c r="W211" i="7"/>
  <c r="X211" i="7"/>
  <c r="Y211" i="7" s="1"/>
  <c r="W212" i="7"/>
  <c r="X212" i="7" s="1"/>
  <c r="Y212" i="7" s="1"/>
  <c r="W213" i="7"/>
  <c r="X213" i="7" s="1"/>
  <c r="Y213" i="7" s="1"/>
  <c r="W214" i="7"/>
  <c r="X214" i="7"/>
  <c r="Y214" i="7" s="1"/>
  <c r="W215" i="7"/>
  <c r="X215" i="7" s="1"/>
  <c r="Y215" i="7"/>
  <c r="W216" i="7"/>
  <c r="X216" i="7" s="1"/>
  <c r="Y216" i="7" s="1"/>
  <c r="W217" i="7"/>
  <c r="X217" i="7" s="1"/>
  <c r="Y217" i="7" s="1"/>
  <c r="W218" i="7"/>
  <c r="X218" i="7"/>
  <c r="Y218" i="7" s="1"/>
  <c r="W219" i="7"/>
  <c r="X219" i="7"/>
  <c r="Y219" i="7"/>
  <c r="W220" i="7"/>
  <c r="X220" i="7" s="1"/>
  <c r="Y220" i="7" s="1"/>
  <c r="W221" i="7"/>
  <c r="X221" i="7" s="1"/>
  <c r="Y221" i="7" s="1"/>
  <c r="W222" i="7"/>
  <c r="X222" i="7"/>
  <c r="Y222" i="7" s="1"/>
  <c r="W223" i="7"/>
  <c r="X223" i="7" s="1"/>
  <c r="Y223" i="7" s="1"/>
  <c r="W224" i="7"/>
  <c r="X224" i="7" s="1"/>
  <c r="Y224" i="7"/>
  <c r="W225" i="7"/>
  <c r="X225" i="7" s="1"/>
  <c r="Y225" i="7" s="1"/>
  <c r="W226" i="7"/>
  <c r="X226" i="7"/>
  <c r="Y226" i="7" s="1"/>
  <c r="W227" i="7"/>
  <c r="X227" i="7"/>
  <c r="Y227" i="7" s="1"/>
  <c r="W228" i="7"/>
  <c r="X228" i="7" s="1"/>
  <c r="Y228" i="7" s="1"/>
  <c r="W229" i="7"/>
  <c r="X229" i="7" s="1"/>
  <c r="Y229" i="7" s="1"/>
  <c r="W230" i="7"/>
  <c r="X230" i="7" s="1"/>
  <c r="Y230" i="7" s="1"/>
  <c r="W231" i="7"/>
  <c r="X231" i="7" s="1"/>
  <c r="Y231" i="7"/>
  <c r="W232" i="7"/>
  <c r="X232" i="7" s="1"/>
  <c r="Y232" i="7" s="1"/>
  <c r="W233" i="7"/>
  <c r="X233" i="7" s="1"/>
  <c r="Y233" i="7" s="1"/>
  <c r="W234" i="7"/>
  <c r="X234" i="7"/>
  <c r="Y234" i="7" s="1"/>
  <c r="W235" i="7"/>
  <c r="X235" i="7"/>
  <c r="Y235" i="7"/>
  <c r="W236" i="7"/>
  <c r="X236" i="7" s="1"/>
  <c r="Y236" i="7" s="1"/>
  <c r="W237" i="7"/>
  <c r="X237" i="7" s="1"/>
  <c r="Y237" i="7" s="1"/>
  <c r="W238" i="7"/>
  <c r="X238" i="7"/>
  <c r="Y238" i="7" s="1"/>
  <c r="W239" i="7"/>
  <c r="X239" i="7" s="1"/>
  <c r="Y239" i="7" s="1"/>
  <c r="W240" i="7"/>
  <c r="X240" i="7" s="1"/>
  <c r="Y240" i="7"/>
  <c r="W241" i="7"/>
  <c r="X241" i="7" s="1"/>
  <c r="Y241" i="7" s="1"/>
  <c r="W242" i="7"/>
  <c r="X242" i="7"/>
  <c r="Y242" i="7" s="1"/>
  <c r="W243" i="7"/>
  <c r="X243" i="7"/>
  <c r="Y243" i="7" s="1"/>
  <c r="W244" i="7"/>
  <c r="X244" i="7" s="1"/>
  <c r="Y244" i="7" s="1"/>
  <c r="W245" i="7"/>
  <c r="X245" i="7" s="1"/>
  <c r="Y245" i="7" s="1"/>
  <c r="W246" i="7"/>
  <c r="X246" i="7" s="1"/>
  <c r="Y246" i="7" s="1"/>
  <c r="W247" i="7"/>
  <c r="X247" i="7" s="1"/>
  <c r="Y247" i="7"/>
  <c r="W248" i="7"/>
  <c r="X248" i="7" s="1"/>
  <c r="Y248" i="7" s="1"/>
  <c r="W249" i="7"/>
  <c r="X249" i="7" s="1"/>
  <c r="Y249" i="7" s="1"/>
  <c r="W250" i="7"/>
  <c r="X250" i="7"/>
  <c r="Y250" i="7" s="1"/>
  <c r="W251" i="7"/>
  <c r="X251" i="7"/>
  <c r="Y251" i="7"/>
  <c r="W252" i="7"/>
  <c r="X252" i="7"/>
  <c r="Y252" i="7" s="1"/>
  <c r="W253" i="7"/>
  <c r="X253" i="7" s="1"/>
  <c r="Y253" i="7" s="1"/>
  <c r="W254" i="7"/>
  <c r="X254" i="7" s="1"/>
  <c r="Y254" i="7" s="1"/>
  <c r="W255" i="7"/>
  <c r="X255" i="7" s="1"/>
  <c r="Y255" i="7"/>
  <c r="W256" i="7"/>
  <c r="X256" i="7" s="1"/>
  <c r="Y256" i="7" s="1"/>
  <c r="W257" i="7"/>
  <c r="X257" i="7"/>
  <c r="Y257" i="7" s="1"/>
  <c r="W258" i="7"/>
  <c r="X258" i="7"/>
  <c r="Y258" i="7" s="1"/>
  <c r="W259" i="7"/>
  <c r="X259" i="7"/>
  <c r="Y259" i="7" s="1"/>
  <c r="W260" i="7"/>
  <c r="X260" i="7"/>
  <c r="Y260" i="7" s="1"/>
  <c r="W261" i="7"/>
  <c r="X261" i="7" s="1"/>
  <c r="Y261" i="7" s="1"/>
  <c r="W262" i="7"/>
  <c r="X262" i="7" s="1"/>
  <c r="Y262" i="7" s="1"/>
  <c r="W263" i="7"/>
  <c r="X263" i="7" s="1"/>
  <c r="Y263" i="7" s="1"/>
  <c r="W264" i="7"/>
  <c r="X264" i="7" s="1"/>
  <c r="Y264" i="7"/>
  <c r="W265" i="7"/>
  <c r="X265" i="7" s="1"/>
  <c r="Y265" i="7" s="1"/>
  <c r="W266" i="7"/>
  <c r="X266" i="7"/>
  <c r="Y266" i="7" s="1"/>
  <c r="W267" i="7"/>
  <c r="X267" i="7"/>
  <c r="Y267" i="7"/>
  <c r="W268" i="7"/>
  <c r="X268" i="7" s="1"/>
  <c r="Y268" i="7" s="1"/>
  <c r="W269" i="7"/>
  <c r="X269" i="7" s="1"/>
  <c r="Y269" i="7" s="1"/>
  <c r="W270" i="7"/>
  <c r="X270" i="7"/>
  <c r="Y270" i="7" s="1"/>
  <c r="W271" i="7"/>
  <c r="X271" i="7" s="1"/>
  <c r="Y271" i="7"/>
  <c r="W272" i="7"/>
  <c r="X272" i="7" s="1"/>
  <c r="Y272" i="7" s="1"/>
  <c r="W273" i="7"/>
  <c r="X273" i="7"/>
  <c r="Y273" i="7"/>
  <c r="W274" i="7"/>
  <c r="X274" i="7"/>
  <c r="Y274" i="7" s="1"/>
  <c r="W275" i="7"/>
  <c r="X275" i="7"/>
  <c r="Y275" i="7" s="1"/>
  <c r="W276" i="7"/>
  <c r="X276" i="7"/>
  <c r="Y276" i="7" s="1"/>
  <c r="W277" i="7"/>
  <c r="X277" i="7" s="1"/>
  <c r="Y277" i="7" s="1"/>
  <c r="W278" i="7"/>
  <c r="X278" i="7" s="1"/>
  <c r="Y278" i="7" s="1"/>
  <c r="W279" i="7"/>
  <c r="X279" i="7" s="1"/>
  <c r="Y279" i="7" s="1"/>
  <c r="W280" i="7"/>
  <c r="X280" i="7" s="1"/>
  <c r="Y280" i="7"/>
  <c r="W281" i="7"/>
  <c r="X281" i="7" s="1"/>
  <c r="Y281" i="7" s="1"/>
  <c r="W282" i="7"/>
  <c r="X282" i="7"/>
  <c r="Y282" i="7" s="1"/>
  <c r="W283" i="7"/>
  <c r="X283" i="7"/>
  <c r="Y283" i="7"/>
  <c r="W284" i="7"/>
  <c r="X284" i="7" s="1"/>
  <c r="Y284" i="7" s="1"/>
  <c r="W285" i="7"/>
  <c r="X285" i="7" s="1"/>
  <c r="Y285" i="7" s="1"/>
  <c r="W286" i="7"/>
  <c r="X286" i="7" s="1"/>
  <c r="Y286" i="7" s="1"/>
  <c r="W287" i="7"/>
  <c r="X287" i="7" s="1"/>
  <c r="Y287" i="7" s="1"/>
  <c r="W288" i="7"/>
  <c r="X288" i="7" s="1"/>
  <c r="Y288" i="7" s="1"/>
  <c r="W289" i="7"/>
  <c r="X289" i="7"/>
  <c r="Y289" i="7" s="1"/>
  <c r="W290" i="7"/>
  <c r="X290" i="7"/>
  <c r="Y290" i="7" s="1"/>
  <c r="W291" i="7"/>
  <c r="X291" i="7"/>
  <c r="Y291" i="7" s="1"/>
  <c r="W292" i="7"/>
  <c r="X292" i="7"/>
  <c r="Y292" i="7" s="1"/>
  <c r="W293" i="7"/>
  <c r="X293" i="7" s="1"/>
  <c r="Y293" i="7" s="1"/>
  <c r="W294" i="7"/>
  <c r="X294" i="7" s="1"/>
  <c r="Y294" i="7" s="1"/>
  <c r="W295" i="7"/>
  <c r="X295" i="7" s="1"/>
  <c r="Y295" i="7" s="1"/>
  <c r="W296" i="7"/>
  <c r="X296" i="7" s="1"/>
  <c r="Y296" i="7"/>
  <c r="W297" i="7"/>
  <c r="X297" i="7" s="1"/>
  <c r="Y297" i="7" s="1"/>
  <c r="W298" i="7"/>
  <c r="X298" i="7"/>
  <c r="Y298" i="7" s="1"/>
  <c r="W299" i="7"/>
  <c r="X299" i="7"/>
  <c r="Y299" i="7"/>
  <c r="W300" i="7"/>
  <c r="X300" i="7" s="1"/>
  <c r="Y300" i="7" s="1"/>
  <c r="W301" i="7"/>
  <c r="X301" i="7" s="1"/>
  <c r="Y301" i="7" s="1"/>
  <c r="W302" i="7"/>
  <c r="X302" i="7"/>
  <c r="Y302" i="7" s="1"/>
  <c r="W303" i="7"/>
  <c r="X303" i="7" s="1"/>
  <c r="Y303" i="7"/>
  <c r="W304" i="7"/>
  <c r="X304" i="7" s="1"/>
  <c r="Y304" i="7" s="1"/>
  <c r="W305" i="7"/>
  <c r="X305" i="7" s="1"/>
  <c r="Y305" i="7" s="1"/>
  <c r="W306" i="7"/>
  <c r="X306" i="7"/>
  <c r="Y306" i="7" s="1"/>
  <c r="W307" i="7"/>
  <c r="X307" i="7"/>
  <c r="Y307" i="7" s="1"/>
  <c r="W308" i="7"/>
  <c r="X308" i="7" s="1"/>
  <c r="Y308" i="7" s="1"/>
  <c r="W309" i="7"/>
  <c r="X309" i="7" s="1"/>
  <c r="Y309" i="7" s="1"/>
  <c r="W310" i="7"/>
  <c r="X310" i="7" s="1"/>
  <c r="Y310" i="7" s="1"/>
  <c r="W311" i="7"/>
  <c r="X311" i="7" s="1"/>
  <c r="Y311" i="7" s="1"/>
  <c r="W312" i="7"/>
  <c r="X312" i="7" s="1"/>
  <c r="Y312" i="7" s="1"/>
  <c r="W313" i="7"/>
  <c r="X313" i="7" s="1"/>
  <c r="Y313" i="7" s="1"/>
  <c r="W314" i="7"/>
  <c r="X314" i="7"/>
  <c r="Y314" i="7" s="1"/>
  <c r="W315" i="7"/>
  <c r="X315" i="7"/>
  <c r="Y315" i="7" s="1"/>
  <c r="W316" i="7"/>
  <c r="X316" i="7" s="1"/>
  <c r="Y316" i="7" s="1"/>
  <c r="W317" i="7"/>
  <c r="X317" i="7" s="1"/>
  <c r="Y317" i="7" s="1"/>
  <c r="W318" i="7"/>
  <c r="X318" i="7"/>
  <c r="Y318" i="7" s="1"/>
  <c r="W319" i="7"/>
  <c r="X319" i="7" s="1"/>
  <c r="Y319" i="7" s="1"/>
  <c r="W320" i="7"/>
  <c r="X320" i="7" s="1"/>
  <c r="Y320" i="7" s="1"/>
  <c r="W321" i="7"/>
  <c r="X321" i="7"/>
  <c r="Y321" i="7"/>
  <c r="W322" i="7"/>
  <c r="X322" i="7"/>
  <c r="Y322" i="7" s="1"/>
  <c r="W323" i="7"/>
  <c r="X323" i="7"/>
  <c r="Y323" i="7" s="1"/>
  <c r="W324" i="7"/>
  <c r="X324" i="7"/>
  <c r="Y324" i="7" s="1"/>
  <c r="W325" i="7"/>
  <c r="X325" i="7" s="1"/>
  <c r="Y325" i="7" s="1"/>
  <c r="W326" i="7"/>
  <c r="X326" i="7" s="1"/>
  <c r="Y326" i="7" s="1"/>
  <c r="W327" i="7"/>
  <c r="X327" i="7" s="1"/>
  <c r="Y327" i="7" s="1"/>
  <c r="W328" i="7"/>
  <c r="X328" i="7" s="1"/>
  <c r="Y328" i="7"/>
  <c r="W329" i="7"/>
  <c r="X329" i="7" s="1"/>
  <c r="Y329" i="7" s="1"/>
  <c r="W330" i="7"/>
  <c r="X330" i="7"/>
  <c r="Y330" i="7" s="1"/>
  <c r="W331" i="7"/>
  <c r="X331" i="7"/>
  <c r="Y331" i="7"/>
  <c r="W332" i="7"/>
  <c r="X332" i="7" s="1"/>
  <c r="Y332" i="7" s="1"/>
  <c r="W333" i="7"/>
  <c r="X333" i="7" s="1"/>
  <c r="Y333" i="7" s="1"/>
  <c r="W334" i="7"/>
  <c r="X334" i="7"/>
  <c r="Y334" i="7" s="1"/>
  <c r="W335" i="7"/>
  <c r="X335" i="7" s="1"/>
  <c r="Y335" i="7"/>
  <c r="W336" i="7"/>
  <c r="X336" i="7" s="1"/>
  <c r="Y336" i="7" s="1"/>
  <c r="W337" i="7"/>
  <c r="X337" i="7" s="1"/>
  <c r="Y337" i="7" s="1"/>
  <c r="W338" i="7"/>
  <c r="X338" i="7"/>
  <c r="Y338" i="7" s="1"/>
  <c r="W339" i="7"/>
  <c r="X339" i="7"/>
  <c r="Y339" i="7" s="1"/>
  <c r="W340" i="7"/>
  <c r="X340" i="7" s="1"/>
  <c r="Y340" i="7" s="1"/>
  <c r="W341" i="7"/>
  <c r="X341" i="7" s="1"/>
  <c r="Y341" i="7" s="1"/>
  <c r="W342" i="7"/>
  <c r="X342" i="7" s="1"/>
  <c r="Y342" i="7" s="1"/>
  <c r="W343" i="7"/>
  <c r="X343" i="7" s="1"/>
  <c r="Y343" i="7" s="1"/>
  <c r="W344" i="7"/>
  <c r="X344" i="7" s="1"/>
  <c r="Y344" i="7" s="1"/>
  <c r="W345" i="7"/>
  <c r="X345" i="7" s="1"/>
  <c r="Y345" i="7" s="1"/>
  <c r="W346" i="7"/>
  <c r="X346" i="7"/>
  <c r="Y346" i="7" s="1"/>
  <c r="W347" i="7"/>
  <c r="X347" i="7"/>
  <c r="Y347" i="7" s="1"/>
  <c r="W348" i="7"/>
  <c r="X348" i="7" s="1"/>
  <c r="Y348" i="7" s="1"/>
  <c r="W349" i="7"/>
  <c r="X349" i="7"/>
  <c r="Y349" i="7" s="1"/>
  <c r="W350" i="7"/>
  <c r="X350" i="7" s="1"/>
  <c r="Y350" i="7" s="1"/>
  <c r="W351" i="7"/>
  <c r="X351" i="7" s="1"/>
  <c r="Y351" i="7" s="1"/>
  <c r="W352" i="7"/>
  <c r="X352" i="7" s="1"/>
  <c r="Y352" i="7" s="1"/>
  <c r="W353" i="7"/>
  <c r="X353" i="7"/>
  <c r="Y353" i="7" s="1"/>
  <c r="W354" i="7"/>
  <c r="X354" i="7"/>
  <c r="Y354" i="7"/>
  <c r="W355" i="7"/>
  <c r="X355" i="7" s="1"/>
  <c r="Y355" i="7" s="1"/>
  <c r="W356" i="7"/>
  <c r="X356" i="7" s="1"/>
  <c r="Y356" i="7" s="1"/>
  <c r="W357" i="7"/>
  <c r="X357" i="7"/>
  <c r="Y357" i="7" s="1"/>
  <c r="W358" i="7"/>
  <c r="X358" i="7" s="1"/>
  <c r="Y358" i="7" s="1"/>
  <c r="W359" i="7"/>
  <c r="X359" i="7" s="1"/>
  <c r="Y359" i="7" s="1"/>
  <c r="W360" i="7"/>
  <c r="X360" i="7" s="1"/>
  <c r="Y360" i="7" s="1"/>
  <c r="W361" i="7"/>
  <c r="X361" i="7"/>
  <c r="Y361" i="7" s="1"/>
  <c r="W362" i="7"/>
  <c r="X362" i="7"/>
  <c r="Y362" i="7"/>
  <c r="W363" i="7"/>
  <c r="X363" i="7" s="1"/>
  <c r="Y363" i="7" s="1"/>
  <c r="W364" i="7"/>
  <c r="X364" i="7" s="1"/>
  <c r="Y364" i="7" s="1"/>
  <c r="W365" i="7"/>
  <c r="X365" i="7"/>
  <c r="Y365" i="7" s="1"/>
  <c r="W366" i="7"/>
  <c r="X366" i="7" s="1"/>
  <c r="Y366" i="7" s="1"/>
  <c r="W367" i="7"/>
  <c r="X367" i="7" s="1"/>
  <c r="Y367" i="7" s="1"/>
  <c r="W368" i="7"/>
  <c r="X368" i="7" s="1"/>
  <c r="Y368" i="7" s="1"/>
  <c r="W369" i="7"/>
  <c r="X369" i="7"/>
  <c r="Y369" i="7" s="1"/>
  <c r="W370" i="7"/>
  <c r="X370" i="7"/>
  <c r="Y370" i="7"/>
  <c r="W371" i="7"/>
  <c r="X371" i="7" s="1"/>
  <c r="Y371" i="7" s="1"/>
  <c r="W372" i="7"/>
  <c r="X372" i="7" s="1"/>
  <c r="Y372" i="7" s="1"/>
  <c r="W373" i="7"/>
  <c r="X373" i="7"/>
  <c r="Y373" i="7" s="1"/>
  <c r="W374" i="7"/>
  <c r="X374" i="7" s="1"/>
  <c r="Y374" i="7" s="1"/>
  <c r="W375" i="7"/>
  <c r="X375" i="7" s="1"/>
  <c r="Y375" i="7" s="1"/>
  <c r="W376" i="7"/>
  <c r="X376" i="7" s="1"/>
  <c r="Y376" i="7" s="1"/>
  <c r="W377" i="7"/>
  <c r="X377" i="7"/>
  <c r="Y377" i="7" s="1"/>
  <c r="W378" i="7"/>
  <c r="X378" i="7"/>
  <c r="Y378" i="7"/>
  <c r="W379" i="7"/>
  <c r="X379" i="7" s="1"/>
  <c r="Y379" i="7" s="1"/>
  <c r="W380" i="7"/>
  <c r="X380" i="7" s="1"/>
  <c r="Y380" i="7" s="1"/>
  <c r="W381" i="7"/>
  <c r="X381" i="7"/>
  <c r="Y381" i="7" s="1"/>
  <c r="W382" i="7"/>
  <c r="X382" i="7" s="1"/>
  <c r="Y382" i="7" s="1"/>
  <c r="W383" i="7"/>
  <c r="X383" i="7" s="1"/>
  <c r="Y383" i="7" s="1"/>
  <c r="W384" i="7"/>
  <c r="X384" i="7" s="1"/>
  <c r="Y384" i="7" s="1"/>
  <c r="W385" i="7"/>
  <c r="X385" i="7"/>
  <c r="Y385" i="7" s="1"/>
  <c r="W386" i="7"/>
  <c r="X386" i="7"/>
  <c r="Y386" i="7"/>
  <c r="W387" i="7"/>
  <c r="X387" i="7" s="1"/>
  <c r="Y387" i="7" s="1"/>
  <c r="W388" i="7"/>
  <c r="X388" i="7" s="1"/>
  <c r="Y388" i="7" s="1"/>
  <c r="W389" i="7"/>
  <c r="X389" i="7"/>
  <c r="Y389" i="7" s="1"/>
  <c r="W390" i="7"/>
  <c r="X390" i="7" s="1"/>
  <c r="Y390" i="7" s="1"/>
  <c r="W391" i="7"/>
  <c r="X391" i="7" s="1"/>
  <c r="Y391" i="7" s="1"/>
  <c r="W392" i="7"/>
  <c r="X392" i="7" s="1"/>
  <c r="Y392" i="7" s="1"/>
  <c r="W393" i="7"/>
  <c r="X393" i="7"/>
  <c r="Y393" i="7" s="1"/>
  <c r="W394" i="7"/>
  <c r="X394" i="7"/>
  <c r="Y394" i="7"/>
  <c r="W395" i="7"/>
  <c r="X395" i="7" s="1"/>
  <c r="Y395" i="7" s="1"/>
  <c r="W396" i="7"/>
  <c r="X396" i="7" s="1"/>
  <c r="Y396" i="7" s="1"/>
  <c r="W397" i="7"/>
  <c r="X397" i="7"/>
  <c r="Y397" i="7" s="1"/>
  <c r="W398" i="7"/>
  <c r="X398" i="7" s="1"/>
  <c r="Y398" i="7" s="1"/>
  <c r="W399" i="7"/>
  <c r="X399" i="7" s="1"/>
  <c r="Y399" i="7" s="1"/>
  <c r="W400" i="7"/>
  <c r="X400" i="7" s="1"/>
  <c r="Y400" i="7" s="1"/>
  <c r="W401" i="7"/>
  <c r="X401" i="7"/>
  <c r="Y401" i="7" s="1"/>
  <c r="W402" i="7"/>
  <c r="X402" i="7"/>
  <c r="Y402" i="7"/>
  <c r="W403" i="7"/>
  <c r="X403" i="7" s="1"/>
  <c r="Y403" i="7" s="1"/>
  <c r="W404" i="7"/>
  <c r="X404" i="7" s="1"/>
  <c r="Y404" i="7" s="1"/>
  <c r="W405" i="7"/>
  <c r="X405" i="7"/>
  <c r="Y405" i="7" s="1"/>
  <c r="W406" i="7"/>
  <c r="X406" i="7" s="1"/>
  <c r="Y406" i="7" s="1"/>
  <c r="W407" i="7"/>
  <c r="X407" i="7" s="1"/>
  <c r="Y407" i="7" s="1"/>
  <c r="W408" i="7"/>
  <c r="X408" i="7" s="1"/>
  <c r="Y408" i="7" s="1"/>
  <c r="W409" i="7"/>
  <c r="X409" i="7"/>
  <c r="Y409" i="7" s="1"/>
  <c r="W410" i="7"/>
  <c r="X410" i="7"/>
  <c r="Y410" i="7"/>
  <c r="W411" i="7"/>
  <c r="X411" i="7" s="1"/>
  <c r="Y411" i="7" s="1"/>
  <c r="W412" i="7"/>
  <c r="X412" i="7" s="1"/>
  <c r="Y412" i="7" s="1"/>
  <c r="W413" i="7"/>
  <c r="X413" i="7"/>
  <c r="Y413" i="7" s="1"/>
  <c r="W414" i="7"/>
  <c r="X414" i="7" s="1"/>
  <c r="Y414" i="7" s="1"/>
  <c r="W415" i="7"/>
  <c r="X415" i="7" s="1"/>
  <c r="Y415" i="7" s="1"/>
  <c r="W416" i="7"/>
  <c r="X416" i="7" s="1"/>
  <c r="Y416" i="7" s="1"/>
  <c r="W417" i="7"/>
  <c r="X417" i="7"/>
  <c r="Y417" i="7" s="1"/>
  <c r="W418" i="7"/>
  <c r="X418" i="7"/>
  <c r="Y418" i="7"/>
  <c r="W419" i="7"/>
  <c r="X419" i="7" s="1"/>
  <c r="Y419" i="7" s="1"/>
  <c r="W420" i="7"/>
  <c r="X420" i="7" s="1"/>
  <c r="Y420" i="7" s="1"/>
  <c r="W421" i="7"/>
  <c r="X421" i="7"/>
  <c r="Y421" i="7" s="1"/>
  <c r="W422" i="7"/>
  <c r="X422" i="7" s="1"/>
  <c r="Y422" i="7" s="1"/>
  <c r="W423" i="7"/>
  <c r="X423" i="7" s="1"/>
  <c r="Y423" i="7" s="1"/>
  <c r="W424" i="7"/>
  <c r="X424" i="7" s="1"/>
  <c r="Y424" i="7" s="1"/>
  <c r="W425" i="7"/>
  <c r="X425" i="7"/>
  <c r="Y425" i="7" s="1"/>
  <c r="W426" i="7"/>
  <c r="X426" i="7"/>
  <c r="Y426" i="7"/>
  <c r="W427" i="7"/>
  <c r="X427" i="7" s="1"/>
  <c r="Y427" i="7" s="1"/>
  <c r="W428" i="7"/>
  <c r="X428" i="7" s="1"/>
  <c r="Y428" i="7" s="1"/>
  <c r="W429" i="7"/>
  <c r="X429" i="7"/>
  <c r="Y429" i="7" s="1"/>
  <c r="W430" i="7"/>
  <c r="X430" i="7" s="1"/>
  <c r="Y430" i="7" s="1"/>
  <c r="W7" i="6"/>
  <c r="X7" i="6" s="1"/>
  <c r="Y7" i="6" s="1"/>
  <c r="W8" i="6"/>
  <c r="X8" i="6" s="1"/>
  <c r="Y8" i="6" s="1"/>
  <c r="W9" i="6"/>
  <c r="X9" i="6"/>
  <c r="Y9" i="6" s="1"/>
  <c r="W10" i="6"/>
  <c r="X10" i="6" s="1"/>
  <c r="Y10" i="6" s="1"/>
  <c r="W11" i="6"/>
  <c r="X11" i="6"/>
  <c r="Y11" i="6"/>
  <c r="W12" i="6"/>
  <c r="X12" i="6" s="1"/>
  <c r="Y12" i="6" s="1"/>
  <c r="W13" i="6"/>
  <c r="X13" i="6"/>
  <c r="Y13" i="6" s="1"/>
  <c r="W14" i="6"/>
  <c r="X14" i="6"/>
  <c r="Y14" i="6"/>
  <c r="W15" i="6"/>
  <c r="X15" i="6" s="1"/>
  <c r="Y15" i="6" s="1"/>
  <c r="W16" i="6"/>
  <c r="X16" i="6" s="1"/>
  <c r="Y16" i="6" s="1"/>
  <c r="W17" i="6"/>
  <c r="X17" i="6"/>
  <c r="Y17" i="6" s="1"/>
  <c r="W18" i="6"/>
  <c r="X18" i="6" s="1"/>
  <c r="Y18" i="6" s="1"/>
  <c r="W19" i="6"/>
  <c r="X19" i="6"/>
  <c r="Y19" i="6"/>
  <c r="W20" i="6"/>
  <c r="X20" i="6" s="1"/>
  <c r="Y20" i="6" s="1"/>
  <c r="W21" i="6"/>
  <c r="X21" i="6"/>
  <c r="Y21" i="6" s="1"/>
  <c r="W22" i="6"/>
  <c r="X22" i="6"/>
  <c r="Y22" i="6"/>
  <c r="W23" i="6"/>
  <c r="X23" i="6" s="1"/>
  <c r="Y23" i="6" s="1"/>
  <c r="W24" i="6"/>
  <c r="X24" i="6" s="1"/>
  <c r="Y24" i="6" s="1"/>
  <c r="W25" i="6"/>
  <c r="X25" i="6"/>
  <c r="Y25" i="6" s="1"/>
  <c r="W26" i="6"/>
  <c r="X26" i="6" s="1"/>
  <c r="Y26" i="6" s="1"/>
  <c r="W27" i="6"/>
  <c r="X27" i="6"/>
  <c r="Y27" i="6"/>
  <c r="W28" i="6"/>
  <c r="X28" i="6" s="1"/>
  <c r="Y28" i="6" s="1"/>
  <c r="W29" i="6"/>
  <c r="X29" i="6"/>
  <c r="Y29" i="6" s="1"/>
  <c r="W30" i="6"/>
  <c r="X30" i="6"/>
  <c r="Y30" i="6"/>
  <c r="W31" i="6"/>
  <c r="X31" i="6" s="1"/>
  <c r="Y31" i="6" s="1"/>
  <c r="W32" i="6"/>
  <c r="X32" i="6" s="1"/>
  <c r="Y32" i="6" s="1"/>
  <c r="W33" i="6"/>
  <c r="X33" i="6"/>
  <c r="Y33" i="6" s="1"/>
  <c r="W34" i="6"/>
  <c r="X34" i="6"/>
  <c r="Y34" i="6"/>
  <c r="W35" i="6"/>
  <c r="X35" i="6"/>
  <c r="Y35" i="6"/>
  <c r="W36" i="6"/>
  <c r="X36" i="6" s="1"/>
  <c r="Y36" i="6" s="1"/>
  <c r="W37" i="6"/>
  <c r="X37" i="6"/>
  <c r="Y37" i="6" s="1"/>
  <c r="W38" i="6"/>
  <c r="X38" i="6"/>
  <c r="Y38" i="6"/>
  <c r="W39" i="6"/>
  <c r="X39" i="6" s="1"/>
  <c r="Y39" i="6" s="1"/>
  <c r="W40" i="6"/>
  <c r="X40" i="6" s="1"/>
  <c r="Y40" i="6" s="1"/>
  <c r="W41" i="6"/>
  <c r="X41" i="6"/>
  <c r="Y41" i="6" s="1"/>
  <c r="W42" i="6"/>
  <c r="X42" i="6"/>
  <c r="Y42" i="6"/>
  <c r="W43" i="6"/>
  <c r="X43" i="6"/>
  <c r="Y43" i="6"/>
  <c r="W44" i="6"/>
  <c r="X44" i="6" s="1"/>
  <c r="Y44" i="6" s="1"/>
  <c r="W45" i="6"/>
  <c r="X45" i="6"/>
  <c r="Y45" i="6" s="1"/>
  <c r="W46" i="6"/>
  <c r="X46" i="6"/>
  <c r="Y46" i="6"/>
  <c r="W47" i="6"/>
  <c r="X47" i="6" s="1"/>
  <c r="Y47" i="6" s="1"/>
  <c r="W48" i="6"/>
  <c r="X48" i="6" s="1"/>
  <c r="Y48" i="6" s="1"/>
  <c r="W49" i="6"/>
  <c r="X49" i="6"/>
  <c r="Y49" i="6" s="1"/>
  <c r="W50" i="6"/>
  <c r="X50" i="6"/>
  <c r="Y50" i="6"/>
  <c r="W51" i="6"/>
  <c r="X51" i="6"/>
  <c r="Y51" i="6"/>
  <c r="W52" i="6"/>
  <c r="X52" i="6" s="1"/>
  <c r="Y52" i="6" s="1"/>
  <c r="W53" i="6"/>
  <c r="X53" i="6"/>
  <c r="Y53" i="6" s="1"/>
  <c r="W54" i="6"/>
  <c r="X54" i="6"/>
  <c r="Y54" i="6"/>
  <c r="W55" i="6"/>
  <c r="X55" i="6" s="1"/>
  <c r="Y55" i="6" s="1"/>
  <c r="W56" i="6"/>
  <c r="X56" i="6" s="1"/>
  <c r="Y56" i="6" s="1"/>
  <c r="W57" i="6"/>
  <c r="X57" i="6"/>
  <c r="Y57" i="6" s="1"/>
  <c r="W58" i="6"/>
  <c r="X58" i="6"/>
  <c r="Y58" i="6"/>
  <c r="W59" i="6"/>
  <c r="X59" i="6"/>
  <c r="Y59" i="6"/>
  <c r="W60" i="6"/>
  <c r="X60" i="6" s="1"/>
  <c r="Y60" i="6" s="1"/>
  <c r="W61" i="6"/>
  <c r="X61" i="6"/>
  <c r="Y61" i="6" s="1"/>
  <c r="W62" i="6"/>
  <c r="X62" i="6"/>
  <c r="Y62" i="6"/>
  <c r="W63" i="6"/>
  <c r="X63" i="6" s="1"/>
  <c r="Y63" i="6" s="1"/>
  <c r="W64" i="6"/>
  <c r="X64" i="6" s="1"/>
  <c r="Y64" i="6" s="1"/>
  <c r="W65" i="6"/>
  <c r="X65" i="6"/>
  <c r="Y65" i="6" s="1"/>
  <c r="W66" i="6"/>
  <c r="X66" i="6"/>
  <c r="Y66" i="6"/>
  <c r="W67" i="6"/>
  <c r="X67" i="6"/>
  <c r="Y67" i="6"/>
  <c r="W68" i="6"/>
  <c r="X68" i="6" s="1"/>
  <c r="Y68" i="6" s="1"/>
  <c r="W69" i="6"/>
  <c r="X69" i="6"/>
  <c r="Y69" i="6" s="1"/>
  <c r="W70" i="6"/>
  <c r="X70" i="6"/>
  <c r="Y70" i="6"/>
  <c r="W71" i="6"/>
  <c r="X71" i="6" s="1"/>
  <c r="Y71" i="6" s="1"/>
  <c r="W72" i="6"/>
  <c r="X72" i="6" s="1"/>
  <c r="Y72" i="6" s="1"/>
  <c r="W73" i="6"/>
  <c r="X73" i="6"/>
  <c r="Y73" i="6" s="1"/>
  <c r="W74" i="6"/>
  <c r="X74" i="6"/>
  <c r="Y74" i="6"/>
  <c r="W75" i="6"/>
  <c r="X75" i="6"/>
  <c r="Y75" i="6"/>
  <c r="W76" i="6"/>
  <c r="X76" i="6" s="1"/>
  <c r="Y76" i="6" s="1"/>
  <c r="W77" i="6"/>
  <c r="X77" i="6"/>
  <c r="Y77" i="6" s="1"/>
  <c r="W78" i="6"/>
  <c r="X78" i="6"/>
  <c r="Y78" i="6"/>
  <c r="W79" i="6"/>
  <c r="X79" i="6" s="1"/>
  <c r="Y79" i="6" s="1"/>
  <c r="W80" i="6"/>
  <c r="X80" i="6" s="1"/>
  <c r="Y80" i="6" s="1"/>
  <c r="W81" i="6"/>
  <c r="X81" i="6"/>
  <c r="Y81" i="6" s="1"/>
  <c r="W6" i="6"/>
  <c r="X6" i="6" s="1"/>
  <c r="Y6" i="6" s="1"/>
  <c r="W8" i="7"/>
  <c r="X8" i="7" s="1"/>
  <c r="Y8" i="7" s="1"/>
  <c r="X36" i="7" l="1"/>
  <c r="Y36" i="7" s="1"/>
  <c r="D8" i="10"/>
  <c r="N16" i="10" s="1"/>
  <c r="D38" i="6"/>
  <c r="D39" i="6"/>
  <c r="D40" i="6"/>
  <c r="D6" i="6"/>
  <c r="D41" i="6"/>
  <c r="D24" i="6"/>
  <c r="D42" i="6"/>
  <c r="D25" i="6"/>
  <c r="D7" i="6"/>
  <c r="D43" i="6"/>
  <c r="D44" i="6"/>
  <c r="D8" i="6"/>
  <c r="D45" i="6"/>
  <c r="D9" i="6"/>
  <c r="D46" i="6"/>
  <c r="D47" i="6"/>
  <c r="D26" i="6"/>
  <c r="D10" i="6"/>
  <c r="D48" i="6"/>
  <c r="D49" i="6"/>
  <c r="D50" i="6"/>
  <c r="D51" i="6"/>
  <c r="D52" i="6"/>
  <c r="D53" i="6"/>
  <c r="D54" i="6"/>
  <c r="D27" i="6"/>
  <c r="D55" i="6"/>
  <c r="D11" i="6"/>
  <c r="D56" i="6"/>
  <c r="D57" i="6"/>
  <c r="D28" i="6"/>
  <c r="D58" i="6"/>
  <c r="D29" i="6"/>
  <c r="D59" i="6"/>
  <c r="D60" i="6"/>
  <c r="D12" i="6"/>
  <c r="D13" i="6"/>
  <c r="D14" i="6"/>
  <c r="D15" i="6"/>
  <c r="D16" i="6"/>
  <c r="D17" i="6"/>
  <c r="D61" i="6"/>
  <c r="D30" i="6"/>
  <c r="D62" i="6"/>
  <c r="D63" i="6"/>
  <c r="D64" i="6"/>
  <c r="D31" i="6"/>
  <c r="D65" i="6"/>
  <c r="D66" i="6"/>
  <c r="D32" i="6"/>
  <c r="D33" i="6"/>
  <c r="D18" i="6"/>
  <c r="D67" i="6"/>
  <c r="D19" i="6"/>
  <c r="D68" i="6"/>
  <c r="D69" i="6"/>
  <c r="D70" i="6"/>
  <c r="D20" i="6"/>
  <c r="D71" i="6"/>
  <c r="D72" i="6"/>
  <c r="D21" i="6"/>
  <c r="D73" i="6"/>
  <c r="D74" i="6"/>
  <c r="D75" i="6"/>
  <c r="D76" i="6"/>
  <c r="D77" i="6"/>
  <c r="D78" i="6"/>
  <c r="D79" i="6"/>
  <c r="D80" i="6"/>
  <c r="D81" i="6"/>
  <c r="D22" i="6"/>
  <c r="D23" i="6"/>
  <c r="D34" i="6"/>
  <c r="D35" i="6"/>
  <c r="D36" i="6"/>
  <c r="D37" i="6"/>
  <c r="N37" i="6"/>
  <c r="D215" i="7"/>
  <c r="D8" i="7"/>
  <c r="D9" i="7"/>
  <c r="D10" i="7"/>
  <c r="D216" i="7"/>
  <c r="D217" i="7"/>
  <c r="D156" i="7"/>
  <c r="D11" i="7"/>
  <c r="D218" i="7"/>
  <c r="D219" i="7"/>
  <c r="D157" i="7"/>
  <c r="D12" i="7"/>
  <c r="D158" i="7"/>
  <c r="D220" i="7"/>
  <c r="D221" i="7"/>
  <c r="D222" i="7"/>
  <c r="D223" i="7"/>
  <c r="D224" i="7"/>
  <c r="D225" i="7"/>
  <c r="D13" i="7"/>
  <c r="D159" i="7"/>
  <c r="D226" i="7"/>
  <c r="D14" i="7"/>
  <c r="D227" i="7"/>
  <c r="D228" i="7"/>
  <c r="D15" i="7"/>
  <c r="D16" i="7"/>
  <c r="D229" i="7"/>
  <c r="D230" i="7"/>
  <c r="D231" i="7"/>
  <c r="D232" i="7"/>
  <c r="D17" i="7"/>
  <c r="D18" i="7"/>
  <c r="D233" i="7"/>
  <c r="D19" i="7"/>
  <c r="D20" i="7"/>
  <c r="D21" i="7"/>
  <c r="D22" i="7"/>
  <c r="D234" i="7"/>
  <c r="D235" i="7"/>
  <c r="D236" i="7"/>
  <c r="D237" i="7"/>
  <c r="D238" i="7"/>
  <c r="D239" i="7"/>
  <c r="D240" i="7"/>
  <c r="D23" i="7"/>
  <c r="D241" i="7"/>
  <c r="D242" i="7"/>
  <c r="D24" i="7"/>
  <c r="D243" i="7"/>
  <c r="D244" i="7"/>
  <c r="D245" i="7"/>
  <c r="D246" i="7"/>
  <c r="D247" i="7"/>
  <c r="D248" i="7"/>
  <c r="D25" i="7"/>
  <c r="D26" i="7"/>
  <c r="D27" i="7"/>
  <c r="D28" i="7"/>
  <c r="D160" i="7"/>
  <c r="D249" i="7"/>
  <c r="D29" i="7"/>
  <c r="D30" i="7"/>
  <c r="D161" i="7"/>
  <c r="D162" i="7"/>
  <c r="D31" i="7"/>
  <c r="D250" i="7"/>
  <c r="D32" i="7"/>
  <c r="D33" i="7"/>
  <c r="D163" i="7"/>
  <c r="D251" i="7"/>
  <c r="D34" i="7"/>
  <c r="D252" i="7"/>
  <c r="D253" i="7"/>
  <c r="D35" i="7"/>
  <c r="D36" i="7"/>
  <c r="D37" i="7"/>
  <c r="D254" i="7"/>
  <c r="D255" i="7"/>
  <c r="D38" i="7"/>
  <c r="D256" i="7"/>
  <c r="D257" i="7"/>
  <c r="D39" i="7"/>
  <c r="D40" i="7"/>
  <c r="D258" i="7"/>
  <c r="D41" i="7"/>
  <c r="D259" i="7"/>
  <c r="D42" i="7"/>
  <c r="D43" i="7"/>
  <c r="D260" i="7"/>
  <c r="D44" i="7"/>
  <c r="D261" i="7"/>
  <c r="D262" i="7"/>
  <c r="D263" i="7"/>
  <c r="D264" i="7"/>
  <c r="D164" i="7"/>
  <c r="D265" i="7"/>
  <c r="D266" i="7"/>
  <c r="D267" i="7"/>
  <c r="D268" i="7"/>
  <c r="D269" i="7"/>
  <c r="D165" i="7"/>
  <c r="D270" i="7"/>
  <c r="D271" i="7"/>
  <c r="D272" i="7"/>
  <c r="D273" i="7"/>
  <c r="D166" i="7"/>
  <c r="D45" i="7"/>
  <c r="D46" i="7"/>
  <c r="D167" i="7"/>
  <c r="D47" i="7"/>
  <c r="D48" i="7"/>
  <c r="D274" i="7"/>
  <c r="D275" i="7"/>
  <c r="D276" i="7"/>
  <c r="D277" i="7"/>
  <c r="D168" i="7"/>
  <c r="D278" i="7"/>
  <c r="D49" i="7"/>
  <c r="D279" i="7"/>
  <c r="D280" i="7"/>
  <c r="D281" i="7"/>
  <c r="D282" i="7"/>
  <c r="D283" i="7"/>
  <c r="D284" i="7"/>
  <c r="D285" i="7"/>
  <c r="D169" i="7"/>
  <c r="D286" i="7"/>
  <c r="D287" i="7"/>
  <c r="D170" i="7"/>
  <c r="D288" i="7"/>
  <c r="D289" i="7"/>
  <c r="D290" i="7"/>
  <c r="D291" i="7"/>
  <c r="D292" i="7"/>
  <c r="D293" i="7"/>
  <c r="D294" i="7"/>
  <c r="D295" i="7"/>
  <c r="D296" i="7"/>
  <c r="D50" i="7"/>
  <c r="D297" i="7"/>
  <c r="D171" i="7"/>
  <c r="D298" i="7"/>
  <c r="D172" i="7"/>
  <c r="D173" i="7"/>
  <c r="D51" i="7"/>
  <c r="D299" i="7"/>
  <c r="D300" i="7"/>
  <c r="D301" i="7"/>
  <c r="D52" i="7"/>
  <c r="D302" i="7"/>
  <c r="D303" i="7"/>
  <c r="D174" i="7"/>
  <c r="D53" i="7"/>
  <c r="D304" i="7"/>
  <c r="D305" i="7"/>
  <c r="D306" i="7"/>
  <c r="D175" i="7"/>
  <c r="D176" i="7"/>
  <c r="D307" i="7"/>
  <c r="D308" i="7"/>
  <c r="D309" i="7"/>
  <c r="D310" i="7"/>
  <c r="D311" i="7"/>
  <c r="D54" i="7"/>
  <c r="D312" i="7"/>
  <c r="D313" i="7"/>
  <c r="D314" i="7"/>
  <c r="D315" i="7"/>
  <c r="D316" i="7"/>
  <c r="D55" i="7"/>
  <c r="D56" i="7"/>
  <c r="D317" i="7"/>
  <c r="D318" i="7"/>
  <c r="D319" i="7"/>
  <c r="D320" i="7"/>
  <c r="D321" i="7"/>
  <c r="D322" i="7"/>
  <c r="D57" i="7"/>
  <c r="D323" i="7"/>
  <c r="D58" i="7"/>
  <c r="D324" i="7"/>
  <c r="D325" i="7"/>
  <c r="D326" i="7"/>
  <c r="D327" i="7"/>
  <c r="D328" i="7"/>
  <c r="D329" i="7"/>
  <c r="D177" i="7"/>
  <c r="D59" i="7"/>
  <c r="D60" i="7"/>
  <c r="D330" i="7"/>
  <c r="D61" i="7"/>
  <c r="D62" i="7"/>
  <c r="D178" i="7"/>
  <c r="D63" i="7"/>
  <c r="D64" i="7"/>
  <c r="D331" i="7"/>
  <c r="D332" i="7"/>
  <c r="D179" i="7"/>
  <c r="D333" i="7"/>
  <c r="D65" i="7"/>
  <c r="D180" i="7"/>
  <c r="D334" i="7"/>
  <c r="D66" i="7"/>
  <c r="D67" i="7"/>
  <c r="D181" i="7"/>
  <c r="D68" i="7"/>
  <c r="D69" i="7"/>
  <c r="D70" i="7"/>
  <c r="D335" i="7"/>
  <c r="D182" i="7"/>
  <c r="D71" i="7"/>
  <c r="D72" i="7"/>
  <c r="D336" i="7"/>
  <c r="D73" i="7"/>
  <c r="D74" i="7"/>
  <c r="D75" i="7"/>
  <c r="D76" i="7"/>
  <c r="D77" i="7"/>
  <c r="D183" i="7"/>
  <c r="D184" i="7"/>
  <c r="D78" i="7"/>
  <c r="D79" i="7"/>
  <c r="D337" i="7"/>
  <c r="D80" i="7"/>
  <c r="D338" i="7"/>
  <c r="D339" i="7"/>
  <c r="D81" i="7"/>
  <c r="D82" i="7"/>
  <c r="D83" i="7"/>
  <c r="D84" i="7"/>
  <c r="D185" i="7"/>
  <c r="D85" i="7"/>
  <c r="D86" i="7"/>
  <c r="D186" i="7"/>
  <c r="D87" i="7"/>
  <c r="D340" i="7"/>
  <c r="D187" i="7"/>
  <c r="D188" i="7"/>
  <c r="D189" i="7"/>
  <c r="D341" i="7"/>
  <c r="D342" i="7"/>
  <c r="D190" i="7"/>
  <c r="D88" i="7"/>
  <c r="D343" i="7"/>
  <c r="D89" i="7"/>
  <c r="D90" i="7"/>
  <c r="D344" i="7"/>
  <c r="D91" i="7"/>
  <c r="D191" i="7"/>
  <c r="D192" i="7"/>
  <c r="D92" i="7"/>
  <c r="D93" i="7"/>
  <c r="D345" i="7"/>
  <c r="D94" i="7"/>
  <c r="D346" i="7"/>
  <c r="D347" i="7"/>
  <c r="D193" i="7"/>
  <c r="D194" i="7"/>
  <c r="D195" i="7"/>
  <c r="D95" i="7"/>
  <c r="D96" i="7"/>
  <c r="D97" i="7"/>
  <c r="D348" i="7"/>
  <c r="D349" i="7"/>
  <c r="D98" i="7"/>
  <c r="D196" i="7"/>
  <c r="D350" i="7"/>
  <c r="D99" i="7"/>
  <c r="D100" i="7"/>
  <c r="D197" i="7"/>
  <c r="D101" i="7"/>
  <c r="D351" i="7"/>
  <c r="D102" i="7"/>
  <c r="D103" i="7"/>
  <c r="D198" i="7"/>
  <c r="D352" i="7"/>
  <c r="D353" i="7"/>
  <c r="D354" i="7"/>
  <c r="D199" i="7"/>
  <c r="D355" i="7"/>
  <c r="D104" i="7"/>
  <c r="D105" i="7"/>
  <c r="D356" i="7"/>
  <c r="D357" i="7"/>
  <c r="D358" i="7"/>
  <c r="D359" i="7"/>
  <c r="D360" i="7"/>
  <c r="D361" i="7"/>
  <c r="D362" i="7"/>
  <c r="D363" i="7"/>
  <c r="D106" i="7"/>
  <c r="D107" i="7"/>
  <c r="D108" i="7"/>
  <c r="D109" i="7"/>
  <c r="D200" i="7"/>
  <c r="D110" i="7"/>
  <c r="D111" i="7"/>
  <c r="D364" i="7"/>
  <c r="D112" i="7"/>
  <c r="D113" i="7"/>
  <c r="D365" i="7"/>
  <c r="D366" i="7"/>
  <c r="D367" i="7"/>
  <c r="D368" i="7"/>
  <c r="D369" i="7"/>
  <c r="D370" i="7"/>
  <c r="D201" i="7"/>
  <c r="D114" i="7"/>
  <c r="D371" i="7"/>
  <c r="D115" i="7"/>
  <c r="D372" i="7"/>
  <c r="D116" i="7"/>
  <c r="D117" i="7"/>
  <c r="D373" i="7"/>
  <c r="D374" i="7"/>
  <c r="D375" i="7"/>
  <c r="D202" i="7"/>
  <c r="D376" i="7"/>
  <c r="D377" i="7"/>
  <c r="D378" i="7"/>
  <c r="D379" i="7"/>
  <c r="D380" i="7"/>
  <c r="D381" i="7"/>
  <c r="D118" i="7"/>
  <c r="D119" i="7"/>
  <c r="D120" i="7"/>
  <c r="D382" i="7"/>
  <c r="D203" i="7"/>
  <c r="D383" i="7"/>
  <c r="D121" i="7"/>
  <c r="D384" i="7"/>
  <c r="D204" i="7"/>
  <c r="D122" i="7"/>
  <c r="D123" i="7"/>
  <c r="D124" i="7"/>
  <c r="D125" i="7"/>
  <c r="D126" i="7"/>
  <c r="D127" i="7"/>
  <c r="D128" i="7"/>
  <c r="D385" i="7"/>
  <c r="D386" i="7"/>
  <c r="D387" i="7"/>
  <c r="D129" i="7"/>
  <c r="D388" i="7"/>
  <c r="D205" i="7"/>
  <c r="D130" i="7"/>
  <c r="D389" i="7"/>
  <c r="D390" i="7"/>
  <c r="D206" i="7"/>
  <c r="D391" i="7"/>
  <c r="D392" i="7"/>
  <c r="D393" i="7"/>
  <c r="D394" i="7"/>
  <c r="D395" i="7"/>
  <c r="D396" i="7"/>
  <c r="D397" i="7"/>
  <c r="D207" i="7"/>
  <c r="D131" i="7"/>
  <c r="D398" i="7"/>
  <c r="D132" i="7"/>
  <c r="D399" i="7"/>
  <c r="D133" i="7"/>
  <c r="D400" i="7"/>
  <c r="D401" i="7"/>
  <c r="D134" i="7"/>
  <c r="D402" i="7"/>
  <c r="D135" i="7"/>
  <c r="D136" i="7"/>
  <c r="D137" i="7"/>
  <c r="D138" i="7"/>
  <c r="D403" i="7"/>
  <c r="D404" i="7"/>
  <c r="D405" i="7"/>
  <c r="D139" i="7"/>
  <c r="D406" i="7"/>
  <c r="D407" i="7"/>
  <c r="D408" i="7"/>
  <c r="D409" i="7"/>
  <c r="D208" i="7"/>
  <c r="D140" i="7"/>
  <c r="D209" i="7"/>
  <c r="D141" i="7"/>
  <c r="D210" i="7"/>
  <c r="D410" i="7"/>
  <c r="D142" i="7"/>
  <c r="D411" i="7"/>
  <c r="D412" i="7"/>
  <c r="D413" i="7"/>
  <c r="D414" i="7"/>
  <c r="D211" i="7"/>
  <c r="D212" i="7"/>
  <c r="D213" i="7"/>
  <c r="D143" i="7"/>
  <c r="D415" i="7"/>
  <c r="D144" i="7"/>
  <c r="D416" i="7"/>
  <c r="D417" i="7"/>
  <c r="D418" i="7"/>
  <c r="D419" i="7"/>
  <c r="D420" i="7"/>
  <c r="D421" i="7"/>
  <c r="D145" i="7"/>
  <c r="D146" i="7"/>
  <c r="D147" i="7"/>
  <c r="D148" i="7"/>
  <c r="D422" i="7"/>
  <c r="D423" i="7"/>
  <c r="D149" i="7"/>
  <c r="D424" i="7"/>
  <c r="D425" i="7"/>
  <c r="D150" i="7"/>
  <c r="D214" i="7"/>
  <c r="D151" i="7"/>
  <c r="D152" i="7"/>
  <c r="D153" i="7"/>
  <c r="D426" i="7"/>
  <c r="D427" i="7"/>
  <c r="D154" i="7"/>
  <c r="D155" i="7"/>
  <c r="D428" i="7"/>
  <c r="D429" i="7"/>
  <c r="D430" i="7"/>
  <c r="N215" i="7"/>
  <c r="N8" i="7"/>
  <c r="N9" i="7"/>
  <c r="N10" i="7"/>
  <c r="N216" i="7"/>
  <c r="O216" i="7" s="1"/>
  <c r="N217" i="7"/>
  <c r="N156" i="7"/>
  <c r="N11" i="7"/>
  <c r="O11" i="7" s="1"/>
  <c r="N218" i="7"/>
  <c r="O218" i="7" s="1"/>
  <c r="N219" i="7"/>
  <c r="N157" i="7"/>
  <c r="N12" i="7"/>
  <c r="N158" i="7"/>
  <c r="O158" i="7" s="1"/>
  <c r="N220" i="7"/>
  <c r="O220" i="7" s="1"/>
  <c r="N221" i="7"/>
  <c r="N222" i="7"/>
  <c r="O222" i="7" s="1"/>
  <c r="N223" i="7"/>
  <c r="O223" i="7" s="1"/>
  <c r="N224" i="7"/>
  <c r="O224" i="7" s="1"/>
  <c r="N225" i="7"/>
  <c r="O225" i="7" s="1"/>
  <c r="N13" i="7"/>
  <c r="N159" i="7"/>
  <c r="O159" i="7" s="1"/>
  <c r="N226" i="7"/>
  <c r="N14" i="7"/>
  <c r="O14" i="7" s="1"/>
  <c r="N227" i="7"/>
  <c r="O227" i="7" s="1"/>
  <c r="N228" i="7"/>
  <c r="O228" i="7" s="1"/>
  <c r="N15" i="7"/>
  <c r="O15" i="7" s="1"/>
  <c r="N16" i="7"/>
  <c r="O16" i="7" s="1"/>
  <c r="N229" i="7"/>
  <c r="N230" i="7"/>
  <c r="N231" i="7"/>
  <c r="N232" i="7"/>
  <c r="N17" i="7"/>
  <c r="O17" i="7" s="1"/>
  <c r="N18" i="7"/>
  <c r="N233" i="7"/>
  <c r="N19" i="7"/>
  <c r="N20" i="7"/>
  <c r="N21" i="7"/>
  <c r="O21" i="7" s="1"/>
  <c r="N22" i="7"/>
  <c r="O22" i="7" s="1"/>
  <c r="N234" i="7"/>
  <c r="O234" i="7" s="1"/>
  <c r="N235" i="7"/>
  <c r="O235" i="7" s="1"/>
  <c r="N236" i="7"/>
  <c r="N237" i="7"/>
  <c r="O237" i="7" s="1"/>
  <c r="N238" i="7"/>
  <c r="N239" i="7"/>
  <c r="O239" i="7" s="1"/>
  <c r="N240" i="7"/>
  <c r="O240" i="7" s="1"/>
  <c r="N23" i="7"/>
  <c r="O23" i="7" s="1"/>
  <c r="N241" i="7"/>
  <c r="O241" i="7" s="1"/>
  <c r="N242" i="7"/>
  <c r="O242" i="7" s="1"/>
  <c r="N24" i="7"/>
  <c r="O24" i="7" s="1"/>
  <c r="N243" i="7"/>
  <c r="O243" i="7" s="1"/>
  <c r="N244" i="7"/>
  <c r="N245" i="7"/>
  <c r="O245" i="7" s="1"/>
  <c r="N246" i="7"/>
  <c r="N247" i="7"/>
  <c r="O247" i="7" s="1"/>
  <c r="N248" i="7"/>
  <c r="O248" i="7" s="1"/>
  <c r="N25" i="7"/>
  <c r="O25" i="7" s="1"/>
  <c r="N26" i="7"/>
  <c r="O26" i="7" s="1"/>
  <c r="N27" i="7"/>
  <c r="O27" i="7" s="1"/>
  <c r="N28" i="7"/>
  <c r="N160" i="7"/>
  <c r="N249" i="7"/>
  <c r="N29" i="7"/>
  <c r="N30" i="7"/>
  <c r="N161" i="7"/>
  <c r="O161" i="7" s="1"/>
  <c r="N162" i="7"/>
  <c r="N31" i="7"/>
  <c r="N250" i="7"/>
  <c r="N32" i="7"/>
  <c r="N33" i="7"/>
  <c r="N163" i="7"/>
  <c r="O163" i="7" s="1"/>
  <c r="N251" i="7"/>
  <c r="O251" i="7" s="1"/>
  <c r="N34" i="7"/>
  <c r="O34" i="7" s="1"/>
  <c r="N252" i="7"/>
  <c r="N253" i="7"/>
  <c r="O253" i="7" s="1"/>
  <c r="N35" i="7"/>
  <c r="N36" i="7"/>
  <c r="O36" i="7" s="1"/>
  <c r="N37" i="7"/>
  <c r="O37" i="7" s="1"/>
  <c r="N254" i="7"/>
  <c r="O254" i="7" s="1"/>
  <c r="N255" i="7"/>
  <c r="O255" i="7" s="1"/>
  <c r="N38" i="7"/>
  <c r="O38" i="7" s="1"/>
  <c r="N256" i="7"/>
  <c r="N257" i="7"/>
  <c r="O257" i="7" s="1"/>
  <c r="N39" i="7"/>
  <c r="N40" i="7"/>
  <c r="O40" i="7" s="1"/>
  <c r="N258" i="7"/>
  <c r="N41" i="7"/>
  <c r="O41" i="7" s="1"/>
  <c r="N259" i="7"/>
  <c r="O259" i="7" s="1"/>
  <c r="N42" i="7"/>
  <c r="O42" i="7" s="1"/>
  <c r="N43" i="7"/>
  <c r="O43" i="7" s="1"/>
  <c r="N260" i="7"/>
  <c r="O260" i="7" s="1"/>
  <c r="N44" i="7"/>
  <c r="N261" i="7"/>
  <c r="N262" i="7"/>
  <c r="N263" i="7"/>
  <c r="N264" i="7"/>
  <c r="N164" i="7"/>
  <c r="O164" i="7" s="1"/>
  <c r="N265" i="7"/>
  <c r="N266" i="7"/>
  <c r="N267" i="7"/>
  <c r="N268" i="7"/>
  <c r="N269" i="7"/>
  <c r="N165" i="7"/>
  <c r="O165" i="7" s="1"/>
  <c r="N270" i="7"/>
  <c r="O270" i="7" s="1"/>
  <c r="N271" i="7"/>
  <c r="O271" i="7" s="1"/>
  <c r="N272" i="7"/>
  <c r="N273" i="7"/>
  <c r="O273" i="7" s="1"/>
  <c r="N166" i="7"/>
  <c r="N45" i="7"/>
  <c r="O45" i="7" s="1"/>
  <c r="N46" i="7"/>
  <c r="O46" i="7" s="1"/>
  <c r="N167" i="7"/>
  <c r="O167" i="7" s="1"/>
  <c r="N47" i="7"/>
  <c r="O47" i="7" s="1"/>
  <c r="N48" i="7"/>
  <c r="O48" i="7" s="1"/>
  <c r="N274" i="7"/>
  <c r="O274" i="7" s="1"/>
  <c r="N275" i="7"/>
  <c r="N276" i="7"/>
  <c r="N277" i="7"/>
  <c r="N168" i="7"/>
  <c r="N278" i="7"/>
  <c r="O278" i="7" s="1"/>
  <c r="N49" i="7"/>
  <c r="O49" i="7" s="1"/>
  <c r="N279" i="7"/>
  <c r="O279" i="7" s="1"/>
  <c r="N280" i="7"/>
  <c r="O280" i="7" s="1"/>
  <c r="N281" i="7"/>
  <c r="N282" i="7"/>
  <c r="O282" i="7" s="1"/>
  <c r="N283" i="7"/>
  <c r="N284" i="7"/>
  <c r="N285" i="7"/>
  <c r="O285" i="7" s="1"/>
  <c r="N169" i="7"/>
  <c r="O169" i="7" s="1"/>
  <c r="N286" i="7"/>
  <c r="O286" i="7" s="1"/>
  <c r="N287" i="7"/>
  <c r="O287" i="7" s="1"/>
  <c r="N170" i="7"/>
  <c r="N288" i="7"/>
  <c r="N289" i="7"/>
  <c r="N290" i="7"/>
  <c r="O290" i="7" s="1"/>
  <c r="N291" i="7"/>
  <c r="O291" i="7" s="1"/>
  <c r="N292" i="7"/>
  <c r="O292" i="7" s="1"/>
  <c r="N293" i="7"/>
  <c r="O293" i="7" s="1"/>
  <c r="N294" i="7"/>
  <c r="O294" i="7" s="1"/>
  <c r="N295" i="7"/>
  <c r="N296" i="7"/>
  <c r="N50" i="7"/>
  <c r="N297" i="7"/>
  <c r="N171" i="7"/>
  <c r="O171" i="7" s="1"/>
  <c r="N298" i="7"/>
  <c r="N172" i="7"/>
  <c r="O172" i="7" s="1"/>
  <c r="N173" i="7"/>
  <c r="O173" i="7" s="1"/>
  <c r="N51" i="7"/>
  <c r="O51" i="7" s="1"/>
  <c r="N299" i="7"/>
  <c r="O299" i="7" s="1"/>
  <c r="N300" i="7"/>
  <c r="O300" i="7" s="1"/>
  <c r="N301" i="7"/>
  <c r="N52" i="7"/>
  <c r="O52" i="7" s="1"/>
  <c r="N302" i="7"/>
  <c r="N303" i="7"/>
  <c r="O303" i="7" s="1"/>
  <c r="N174" i="7"/>
  <c r="N53" i="7"/>
  <c r="O53" i="7" s="1"/>
  <c r="N304" i="7"/>
  <c r="O304" i="7" s="1"/>
  <c r="N305" i="7"/>
  <c r="O305" i="7" s="1"/>
  <c r="N306" i="7"/>
  <c r="N175" i="7"/>
  <c r="N176" i="7"/>
  <c r="N307" i="7"/>
  <c r="N308" i="7"/>
  <c r="N309" i="7"/>
  <c r="O309" i="7" s="1"/>
  <c r="N310" i="7"/>
  <c r="O310" i="7" s="1"/>
  <c r="N311" i="7"/>
  <c r="O311" i="7" s="1"/>
  <c r="N54" i="7"/>
  <c r="N312" i="7"/>
  <c r="O312" i="7" s="1"/>
  <c r="N313" i="7"/>
  <c r="N314" i="7"/>
  <c r="N315" i="7"/>
  <c r="O315" i="7" s="1"/>
  <c r="N316" i="7"/>
  <c r="O316" i="7" s="1"/>
  <c r="N55" i="7"/>
  <c r="O55" i="7" s="1"/>
  <c r="N56" i="7"/>
  <c r="O56" i="7" s="1"/>
  <c r="N317" i="7"/>
  <c r="N318" i="7"/>
  <c r="N319" i="7"/>
  <c r="N320" i="7"/>
  <c r="O320" i="7" s="1"/>
  <c r="N321" i="7"/>
  <c r="O321" i="7" s="1"/>
  <c r="N322" i="7"/>
  <c r="O322" i="7" s="1"/>
  <c r="N57" i="7"/>
  <c r="O57" i="7" s="1"/>
  <c r="N323" i="7"/>
  <c r="O323" i="7" s="1"/>
  <c r="N58" i="7"/>
  <c r="N324" i="7"/>
  <c r="O324" i="7" s="1"/>
  <c r="N325" i="7"/>
  <c r="N326" i="7"/>
  <c r="O326" i="7" s="1"/>
  <c r="N327" i="7"/>
  <c r="N328" i="7"/>
  <c r="O328" i="7" s="1"/>
  <c r="N329" i="7"/>
  <c r="O329" i="7" s="1"/>
  <c r="N177" i="7"/>
  <c r="O177" i="7" s="1"/>
  <c r="N59" i="7"/>
  <c r="N60" i="7"/>
  <c r="N330" i="7"/>
  <c r="N61" i="7"/>
  <c r="N62" i="7"/>
  <c r="N178" i="7"/>
  <c r="O178" i="7" s="1"/>
  <c r="N63" i="7"/>
  <c r="O63" i="7" s="1"/>
  <c r="N64" i="7"/>
  <c r="O64" i="7" s="1"/>
  <c r="N331" i="7"/>
  <c r="N332" i="7"/>
  <c r="N179" i="7"/>
  <c r="N333" i="7"/>
  <c r="N65" i="7"/>
  <c r="O65" i="7" s="1"/>
  <c r="N180" i="7"/>
  <c r="O180" i="7" s="1"/>
  <c r="N334" i="7"/>
  <c r="O334" i="7" s="1"/>
  <c r="N66" i="7"/>
  <c r="O66" i="7" s="1"/>
  <c r="N67" i="7"/>
  <c r="N181" i="7"/>
  <c r="N68" i="7"/>
  <c r="N69" i="7"/>
  <c r="O69" i="7" s="1"/>
  <c r="N70" i="7"/>
  <c r="O70" i="7" s="1"/>
  <c r="N335" i="7"/>
  <c r="O335" i="7" s="1"/>
  <c r="N182" i="7"/>
  <c r="O182" i="7" s="1"/>
  <c r="N71" i="7"/>
  <c r="O71" i="7" s="1"/>
  <c r="N72" i="7"/>
  <c r="N336" i="7"/>
  <c r="N73" i="7"/>
  <c r="N74" i="7"/>
  <c r="O74" i="7" s="1"/>
  <c r="N75" i="7"/>
  <c r="N76" i="7"/>
  <c r="O76" i="7" s="1"/>
  <c r="N77" i="7"/>
  <c r="O77" i="7" s="1"/>
  <c r="N183" i="7"/>
  <c r="O183" i="7" s="1"/>
  <c r="N184" i="7"/>
  <c r="N78" i="7"/>
  <c r="N79" i="7"/>
  <c r="N337" i="7"/>
  <c r="N80" i="7"/>
  <c r="N338" i="7"/>
  <c r="O338" i="7" s="1"/>
  <c r="N339" i="7"/>
  <c r="O339" i="7" s="1"/>
  <c r="N81" i="7"/>
  <c r="O81" i="7" s="1"/>
  <c r="N82" i="7"/>
  <c r="N83" i="7"/>
  <c r="N84" i="7"/>
  <c r="N185" i="7"/>
  <c r="N85" i="7"/>
  <c r="O85" i="7" s="1"/>
  <c r="N86" i="7"/>
  <c r="O86" i="7" s="1"/>
  <c r="N186" i="7"/>
  <c r="O186" i="7" s="1"/>
  <c r="N87" i="7"/>
  <c r="O87" i="7" s="1"/>
  <c r="N340" i="7"/>
  <c r="N187" i="7"/>
  <c r="N188" i="7"/>
  <c r="N189" i="7"/>
  <c r="O189" i="7" s="1"/>
  <c r="N341" i="7"/>
  <c r="O341" i="7" s="1"/>
  <c r="N342" i="7"/>
  <c r="O342" i="7" s="1"/>
  <c r="N190" i="7"/>
  <c r="O190" i="7" s="1"/>
  <c r="N88" i="7"/>
  <c r="O88" i="7" s="1"/>
  <c r="N343" i="7"/>
  <c r="N89" i="7"/>
  <c r="O89" i="7" s="1"/>
  <c r="N90" i="7"/>
  <c r="N344" i="7"/>
  <c r="O344" i="7" s="1"/>
  <c r="N91" i="7"/>
  <c r="N191" i="7"/>
  <c r="O191" i="7" s="1"/>
  <c r="N192" i="7"/>
  <c r="O192" i="7" s="1"/>
  <c r="N92" i="7"/>
  <c r="O92" i="7" s="1"/>
  <c r="N93" i="7"/>
  <c r="N345" i="7"/>
  <c r="N94" i="7"/>
  <c r="O94" i="7" s="1"/>
  <c r="N346" i="7"/>
  <c r="N347" i="7"/>
  <c r="N193" i="7"/>
  <c r="O193" i="7" s="1"/>
  <c r="N194" i="7"/>
  <c r="O194" i="7" s="1"/>
  <c r="N195" i="7"/>
  <c r="O195" i="7" s="1"/>
  <c r="N95" i="7"/>
  <c r="N96" i="7"/>
  <c r="N97" i="7"/>
  <c r="N348" i="7"/>
  <c r="O348" i="7" s="1"/>
  <c r="N349" i="7"/>
  <c r="O349" i="7" s="1"/>
  <c r="N98" i="7"/>
  <c r="O98" i="7" s="1"/>
  <c r="N196" i="7"/>
  <c r="O196" i="7" s="1"/>
  <c r="N350" i="7"/>
  <c r="N99" i="7"/>
  <c r="O99" i="7" s="1"/>
  <c r="N100" i="7"/>
  <c r="N197" i="7"/>
  <c r="O197" i="7" s="1"/>
  <c r="N101" i="7"/>
  <c r="O101" i="7" s="1"/>
  <c r="N351" i="7"/>
  <c r="O351" i="7" s="1"/>
  <c r="N102" i="7"/>
  <c r="N103" i="7"/>
  <c r="N198" i="7"/>
  <c r="N352" i="7"/>
  <c r="N353" i="7"/>
  <c r="N354" i="7"/>
  <c r="O354" i="7" s="1"/>
  <c r="N199" i="7"/>
  <c r="O199" i="7" s="1"/>
  <c r="N355" i="7"/>
  <c r="O355" i="7" s="1"/>
  <c r="N104" i="7"/>
  <c r="N105" i="7"/>
  <c r="N356" i="7"/>
  <c r="N357" i="7"/>
  <c r="N358" i="7"/>
  <c r="N359" i="7"/>
  <c r="O359" i="7" s="1"/>
  <c r="N360" i="7"/>
  <c r="O360" i="7" s="1"/>
  <c r="N361" i="7"/>
  <c r="O361" i="7" s="1"/>
  <c r="N362" i="7"/>
  <c r="N363" i="7"/>
  <c r="N106" i="7"/>
  <c r="N107" i="7"/>
  <c r="N108" i="7"/>
  <c r="N109" i="7"/>
  <c r="O109" i="7" s="1"/>
  <c r="N200" i="7"/>
  <c r="O200" i="7" s="1"/>
  <c r="N110" i="7"/>
  <c r="O110" i="7" s="1"/>
  <c r="N111" i="7"/>
  <c r="N364" i="7"/>
  <c r="N112" i="7"/>
  <c r="N113" i="7"/>
  <c r="O113" i="7" s="1"/>
  <c r="N365" i="7"/>
  <c r="O365" i="7" s="1"/>
  <c r="N366" i="7"/>
  <c r="O366" i="7" s="1"/>
  <c r="N367" i="7"/>
  <c r="O367" i="7" s="1"/>
  <c r="N368" i="7"/>
  <c r="O368" i="7" s="1"/>
  <c r="N369" i="7"/>
  <c r="N370" i="7"/>
  <c r="N201" i="7"/>
  <c r="N114" i="7"/>
  <c r="N371" i="7"/>
  <c r="O371" i="7" s="1"/>
  <c r="N115" i="7"/>
  <c r="O115" i="7" s="1"/>
  <c r="N372" i="7"/>
  <c r="O372" i="7" s="1"/>
  <c r="N116" i="7"/>
  <c r="O116" i="7" s="1"/>
  <c r="N117" i="7"/>
  <c r="N373" i="7"/>
  <c r="N374" i="7"/>
  <c r="N375" i="7"/>
  <c r="N202" i="7"/>
  <c r="N376" i="7"/>
  <c r="O376" i="7" s="1"/>
  <c r="N377" i="7"/>
  <c r="O377" i="7" s="1"/>
  <c r="N378" i="7"/>
  <c r="O378" i="7" s="1"/>
  <c r="N379" i="7"/>
  <c r="N380" i="7"/>
  <c r="N381" i="7"/>
  <c r="N118" i="7"/>
  <c r="N119" i="7"/>
  <c r="N120" i="7"/>
  <c r="O120" i="7" s="1"/>
  <c r="N382" i="7"/>
  <c r="O382" i="7" s="1"/>
  <c r="N203" i="7"/>
  <c r="O203" i="7" s="1"/>
  <c r="N383" i="7"/>
  <c r="N121" i="7"/>
  <c r="N384" i="7"/>
  <c r="N204" i="7"/>
  <c r="O204" i="7" s="1"/>
  <c r="N122" i="7"/>
  <c r="N123" i="7"/>
  <c r="O123" i="7" s="1"/>
  <c r="N124" i="7"/>
  <c r="O124" i="7" s="1"/>
  <c r="N125" i="7"/>
  <c r="O125" i="7" s="1"/>
  <c r="N126" i="7"/>
  <c r="N127" i="7"/>
  <c r="N128" i="7"/>
  <c r="N385" i="7"/>
  <c r="N386" i="7"/>
  <c r="N387" i="7"/>
  <c r="O387" i="7" s="1"/>
  <c r="N129" i="7"/>
  <c r="O129" i="7" s="1"/>
  <c r="N388" i="7"/>
  <c r="O388" i="7" s="1"/>
  <c r="N205" i="7"/>
  <c r="N130" i="7"/>
  <c r="N389" i="7"/>
  <c r="N390" i="7"/>
  <c r="N206" i="7"/>
  <c r="N391" i="7"/>
  <c r="O391" i="7" s="1"/>
  <c r="N392" i="7"/>
  <c r="O392" i="7" s="1"/>
  <c r="N393" i="7"/>
  <c r="O393" i="7" s="1"/>
  <c r="N394" i="7"/>
  <c r="N395" i="7"/>
  <c r="N396" i="7"/>
  <c r="N397" i="7"/>
  <c r="N207" i="7"/>
  <c r="N131" i="7"/>
  <c r="O131" i="7" s="1"/>
  <c r="N398" i="7"/>
  <c r="O398" i="7" s="1"/>
  <c r="N132" i="7"/>
  <c r="O132" i="7" s="1"/>
  <c r="N399" i="7"/>
  <c r="N133" i="7"/>
  <c r="N400" i="7"/>
  <c r="N401" i="7"/>
  <c r="N134" i="7"/>
  <c r="N402" i="7"/>
  <c r="O402" i="7" s="1"/>
  <c r="N135" i="7"/>
  <c r="O135" i="7" s="1"/>
  <c r="N136" i="7"/>
  <c r="O136" i="7" s="1"/>
  <c r="N137" i="7"/>
  <c r="N138" i="7"/>
  <c r="N403" i="7"/>
  <c r="N404" i="7"/>
  <c r="N405" i="7"/>
  <c r="N139" i="7"/>
  <c r="O139" i="7" s="1"/>
  <c r="N406" i="7"/>
  <c r="O406" i="7" s="1"/>
  <c r="N407" i="7"/>
  <c r="O407" i="7" s="1"/>
  <c r="N408" i="7"/>
  <c r="N409" i="7"/>
  <c r="N208" i="7"/>
  <c r="N140" i="7"/>
  <c r="N209" i="7"/>
  <c r="N141" i="7"/>
  <c r="O141" i="7" s="1"/>
  <c r="N210" i="7"/>
  <c r="O210" i="7" s="1"/>
  <c r="N410" i="7"/>
  <c r="O410" i="7" s="1"/>
  <c r="N142" i="7"/>
  <c r="N411" i="7"/>
  <c r="N412" i="7"/>
  <c r="N413" i="7"/>
  <c r="N414" i="7"/>
  <c r="N211" i="7"/>
  <c r="O211" i="7" s="1"/>
  <c r="N212" i="7"/>
  <c r="O212" i="7" s="1"/>
  <c r="N213" i="7"/>
  <c r="O213" i="7" s="1"/>
  <c r="N143" i="7"/>
  <c r="N415" i="7"/>
  <c r="N144" i="7"/>
  <c r="N416" i="7"/>
  <c r="N417" i="7"/>
  <c r="N418" i="7"/>
  <c r="O418" i="7" s="1"/>
  <c r="N419" i="7"/>
  <c r="O419" i="7" s="1"/>
  <c r="N420" i="7"/>
  <c r="O420" i="7" s="1"/>
  <c r="N421" i="7"/>
  <c r="N145" i="7"/>
  <c r="N146" i="7"/>
  <c r="N147" i="7"/>
  <c r="N148" i="7"/>
  <c r="N422" i="7"/>
  <c r="O422" i="7" s="1"/>
  <c r="N423" i="7"/>
  <c r="O423" i="7" s="1"/>
  <c r="N149" i="7"/>
  <c r="O149" i="7" s="1"/>
  <c r="N424" i="7"/>
  <c r="N425" i="7"/>
  <c r="N150" i="7"/>
  <c r="N214" i="7"/>
  <c r="N151" i="7"/>
  <c r="N152" i="7"/>
  <c r="O152" i="7" s="1"/>
  <c r="N153" i="7"/>
  <c r="O153" i="7" s="1"/>
  <c r="N426" i="7"/>
  <c r="O426" i="7" s="1"/>
  <c r="N427" i="7"/>
  <c r="N154" i="7"/>
  <c r="N155" i="7"/>
  <c r="N428" i="7"/>
  <c r="N429" i="7"/>
  <c r="N430" i="7"/>
  <c r="O430" i="7" s="1"/>
  <c r="F225" i="7"/>
  <c r="F221" i="7"/>
  <c r="F222" i="7" s="1"/>
  <c r="F217" i="7"/>
  <c r="F215" i="7"/>
  <c r="N36" i="6"/>
  <c r="O36" i="6" s="1"/>
  <c r="N35" i="6"/>
  <c r="O35" i="6" s="1"/>
  <c r="N34" i="6"/>
  <c r="O34" i="6" s="1"/>
  <c r="N23" i="6"/>
  <c r="N22" i="6"/>
  <c r="O22" i="6" s="1"/>
  <c r="N81" i="6"/>
  <c r="O81" i="6" s="1"/>
  <c r="N80" i="6"/>
  <c r="O80" i="6" s="1"/>
  <c r="N79" i="6"/>
  <c r="N78" i="6"/>
  <c r="O78" i="6" s="1"/>
  <c r="N77" i="6"/>
  <c r="O77" i="6" s="1"/>
  <c r="N76" i="6"/>
  <c r="O76" i="6" s="1"/>
  <c r="N75" i="6"/>
  <c r="O75" i="6" s="1"/>
  <c r="N74" i="6"/>
  <c r="O74" i="6" s="1"/>
  <c r="N73" i="6"/>
  <c r="O73" i="6" s="1"/>
  <c r="N21" i="6"/>
  <c r="O21" i="6" s="1"/>
  <c r="N72" i="6"/>
  <c r="O72" i="6" s="1"/>
  <c r="N71" i="6"/>
  <c r="O71" i="6" s="1"/>
  <c r="N20" i="6"/>
  <c r="O20" i="6" s="1"/>
  <c r="N70" i="6"/>
  <c r="O70" i="6" s="1"/>
  <c r="N69" i="6"/>
  <c r="O69" i="6" s="1"/>
  <c r="N68" i="6"/>
  <c r="O68" i="6" s="1"/>
  <c r="N19" i="6"/>
  <c r="O19" i="6" s="1"/>
  <c r="N67" i="6"/>
  <c r="O67" i="6" s="1"/>
  <c r="N18" i="6"/>
  <c r="O18" i="6" s="1"/>
  <c r="N33" i="6"/>
  <c r="O33" i="6" s="1"/>
  <c r="N32" i="6"/>
  <c r="O32" i="6" s="1"/>
  <c r="N66" i="6"/>
  <c r="O66" i="6" s="1"/>
  <c r="N65" i="6"/>
  <c r="O65" i="6" s="1"/>
  <c r="N31" i="6"/>
  <c r="O31" i="6" s="1"/>
  <c r="N64" i="6"/>
  <c r="O64" i="6" s="1"/>
  <c r="N63" i="6"/>
  <c r="O63" i="6" s="1"/>
  <c r="N62" i="6"/>
  <c r="O62" i="6" s="1"/>
  <c r="N30" i="6"/>
  <c r="O30" i="6" s="1"/>
  <c r="N61" i="6"/>
  <c r="O61" i="6" s="1"/>
  <c r="N17" i="6"/>
  <c r="O17" i="6" s="1"/>
  <c r="N16" i="6"/>
  <c r="N15" i="6"/>
  <c r="O15" i="6" s="1"/>
  <c r="N14" i="6"/>
  <c r="O14" i="6" s="1"/>
  <c r="N13" i="6"/>
  <c r="O13" i="6" s="1"/>
  <c r="N12" i="6"/>
  <c r="N60" i="6"/>
  <c r="O60" i="6" s="1"/>
  <c r="N59" i="6"/>
  <c r="O59" i="6" s="1"/>
  <c r="N29" i="6"/>
  <c r="O29" i="6" s="1"/>
  <c r="N58" i="6"/>
  <c r="O58" i="6" s="1"/>
  <c r="N28" i="6"/>
  <c r="O28" i="6" s="1"/>
  <c r="N57" i="6"/>
  <c r="O57" i="6" s="1"/>
  <c r="N56" i="6"/>
  <c r="O56" i="6" s="1"/>
  <c r="N11" i="6"/>
  <c r="O11" i="6" s="1"/>
  <c r="N55" i="6"/>
  <c r="O55" i="6" s="1"/>
  <c r="N27" i="6"/>
  <c r="O27" i="6" s="1"/>
  <c r="N54" i="6"/>
  <c r="O54" i="6" s="1"/>
  <c r="N53" i="6"/>
  <c r="O53" i="6" s="1"/>
  <c r="N52" i="6"/>
  <c r="O52" i="6" s="1"/>
  <c r="N51" i="6"/>
  <c r="O51" i="6" s="1"/>
  <c r="N50" i="6"/>
  <c r="O50" i="6" s="1"/>
  <c r="N49" i="6"/>
  <c r="O49" i="6" s="1"/>
  <c r="N48" i="6"/>
  <c r="O48" i="6" s="1"/>
  <c r="N10" i="6"/>
  <c r="O10" i="6" s="1"/>
  <c r="N26" i="6"/>
  <c r="O26" i="6" s="1"/>
  <c r="N47" i="6"/>
  <c r="O47" i="6" s="1"/>
  <c r="N46" i="6"/>
  <c r="O46" i="6" s="1"/>
  <c r="N9" i="6"/>
  <c r="O9" i="6" s="1"/>
  <c r="N45" i="6"/>
  <c r="O45" i="6" s="1"/>
  <c r="N8" i="6"/>
  <c r="O8" i="6" s="1"/>
  <c r="N44" i="6"/>
  <c r="O44" i="6" s="1"/>
  <c r="N43" i="6"/>
  <c r="O43" i="6" s="1"/>
  <c r="N7" i="6"/>
  <c r="O7" i="6" s="1"/>
  <c r="N25" i="6"/>
  <c r="N42" i="6"/>
  <c r="O42" i="6" s="1"/>
  <c r="N24" i="6"/>
  <c r="N41" i="6"/>
  <c r="O41" i="6" s="1"/>
  <c r="N6" i="6"/>
  <c r="N40" i="6"/>
  <c r="O40" i="6" s="1"/>
  <c r="N39" i="6"/>
  <c r="O39" i="6" s="1"/>
  <c r="N38" i="6"/>
  <c r="O38" i="6" s="1"/>
  <c r="C7" i="10" l="1"/>
  <c r="C6" i="10"/>
  <c r="C5" i="10"/>
  <c r="C29" i="10"/>
  <c r="E29" i="10" s="1"/>
  <c r="C30" i="10"/>
  <c r="E30" i="10" s="1"/>
  <c r="C31" i="10"/>
  <c r="E31" i="10" s="1"/>
  <c r="O45" i="10"/>
  <c r="O23" i="6"/>
  <c r="O16" i="6"/>
  <c r="O215" i="7"/>
  <c r="O24" i="6"/>
  <c r="O79" i="6"/>
  <c r="O12" i="6"/>
  <c r="O6" i="6"/>
  <c r="O25" i="6"/>
  <c r="O396" i="7"/>
  <c r="O401" i="7"/>
  <c r="O157" i="7"/>
  <c r="O390" i="7"/>
  <c r="O356" i="7"/>
  <c r="O340" i="7"/>
  <c r="O330" i="7"/>
  <c r="O267" i="7"/>
  <c r="O128" i="7"/>
  <c r="O105" i="7"/>
  <c r="O155" i="7"/>
  <c r="O232" i="7"/>
  <c r="O68" i="7"/>
  <c r="O146" i="7"/>
  <c r="O381" i="7"/>
  <c r="O95" i="7"/>
  <c r="O319" i="7"/>
  <c r="O281" i="7"/>
  <c r="O412" i="7"/>
  <c r="O79" i="7"/>
  <c r="O403" i="7"/>
  <c r="O302" i="7"/>
  <c r="O30" i="7"/>
  <c r="O137" i="7"/>
  <c r="O369" i="7"/>
  <c r="O333" i="7"/>
  <c r="O265" i="7"/>
  <c r="O252" i="7"/>
  <c r="O427" i="7"/>
  <c r="O421" i="7"/>
  <c r="O399" i="7"/>
  <c r="O126" i="7"/>
  <c r="O80" i="7"/>
  <c r="O18" i="7"/>
  <c r="O8" i="7"/>
  <c r="O185" i="7"/>
  <c r="O314" i="7"/>
  <c r="O214" i="7"/>
  <c r="O416" i="7"/>
  <c r="O140" i="7"/>
  <c r="O374" i="7"/>
  <c r="O111" i="7"/>
  <c r="O337" i="7"/>
  <c r="O308" i="7"/>
  <c r="O50" i="7"/>
  <c r="O261" i="7"/>
  <c r="O32" i="7"/>
  <c r="O91" i="7"/>
  <c r="O327" i="7"/>
  <c r="O429" i="7"/>
  <c r="O151" i="7"/>
  <c r="O148" i="7"/>
  <c r="O417" i="7"/>
  <c r="O414" i="7"/>
  <c r="O209" i="7"/>
  <c r="O405" i="7"/>
  <c r="O134" i="7"/>
  <c r="O207" i="7"/>
  <c r="O206" i="7"/>
  <c r="O386" i="7"/>
  <c r="O122" i="7"/>
  <c r="O119" i="7"/>
  <c r="O202" i="7"/>
  <c r="O108" i="7"/>
  <c r="O358" i="7"/>
  <c r="O96" i="7"/>
  <c r="O345" i="7"/>
  <c r="O83" i="7"/>
  <c r="O78" i="7"/>
  <c r="O181" i="7"/>
  <c r="O60" i="7"/>
  <c r="O318" i="7"/>
  <c r="O150" i="7"/>
  <c r="O144" i="7"/>
  <c r="O208" i="7"/>
  <c r="O400" i="7"/>
  <c r="O389" i="7"/>
  <c r="O384" i="7"/>
  <c r="O373" i="7"/>
  <c r="O353" i="7"/>
  <c r="O307" i="7"/>
  <c r="O295" i="7"/>
  <c r="O276" i="7"/>
  <c r="O44" i="7"/>
  <c r="O250" i="7"/>
  <c r="O143" i="7"/>
  <c r="O394" i="7"/>
  <c r="O379" i="7"/>
  <c r="O104" i="7"/>
  <c r="O62" i="7"/>
  <c r="O174" i="7"/>
  <c r="O162" i="7"/>
  <c r="O236" i="7"/>
  <c r="O375" i="7"/>
  <c r="O114" i="7"/>
  <c r="O357" i="7"/>
  <c r="O352" i="7"/>
  <c r="O93" i="7"/>
  <c r="O343" i="7"/>
  <c r="O82" i="7"/>
  <c r="O184" i="7"/>
  <c r="O72" i="7"/>
  <c r="O67" i="7"/>
  <c r="O331" i="7"/>
  <c r="O59" i="7"/>
  <c r="O58" i="7"/>
  <c r="O317" i="7"/>
  <c r="O54" i="7"/>
  <c r="O306" i="7"/>
  <c r="O301" i="7"/>
  <c r="O297" i="7"/>
  <c r="O284" i="7"/>
  <c r="O168" i="7"/>
  <c r="O269" i="7"/>
  <c r="O262" i="7"/>
  <c r="O258" i="7"/>
  <c r="O33" i="7"/>
  <c r="O249" i="7"/>
  <c r="O246" i="7"/>
  <c r="O230" i="7"/>
  <c r="O226" i="7"/>
  <c r="O217" i="7"/>
  <c r="O107" i="7"/>
  <c r="O103" i="7"/>
  <c r="O347" i="7"/>
  <c r="O187" i="7"/>
  <c r="O332" i="7"/>
  <c r="O219" i="7"/>
  <c r="O142" i="7"/>
  <c r="O198" i="7"/>
  <c r="O283" i="7"/>
  <c r="O268" i="7"/>
  <c r="O229" i="7"/>
  <c r="O106" i="7"/>
  <c r="O424" i="7"/>
  <c r="O408" i="7"/>
  <c r="O205" i="7"/>
  <c r="O383" i="7"/>
  <c r="O117" i="7"/>
  <c r="O362" i="7"/>
  <c r="O201" i="7"/>
  <c r="O112" i="7"/>
  <c r="O350" i="7"/>
  <c r="O289" i="7"/>
  <c r="O277" i="7"/>
  <c r="O102" i="7"/>
  <c r="O346" i="7"/>
  <c r="O75" i="7"/>
  <c r="O160" i="7"/>
  <c r="O20" i="7"/>
  <c r="O154" i="7"/>
  <c r="O425" i="7"/>
  <c r="O145" i="7"/>
  <c r="O415" i="7"/>
  <c r="O411" i="7"/>
  <c r="O409" i="7"/>
  <c r="O138" i="7"/>
  <c r="O133" i="7"/>
  <c r="O395" i="7"/>
  <c r="O130" i="7"/>
  <c r="O127" i="7"/>
  <c r="O121" i="7"/>
  <c r="O380" i="7"/>
  <c r="O364" i="7"/>
  <c r="O363" i="7"/>
  <c r="O296" i="7"/>
  <c r="O288" i="7"/>
  <c r="O166" i="7"/>
  <c r="O39" i="7"/>
  <c r="O35" i="7"/>
  <c r="O28" i="7"/>
  <c r="O244" i="7"/>
  <c r="O238" i="7"/>
  <c r="O19" i="7"/>
  <c r="O13" i="7"/>
  <c r="O12" i="7"/>
  <c r="O428" i="7"/>
  <c r="O147" i="7"/>
  <c r="O413" i="7"/>
  <c r="O404" i="7"/>
  <c r="O397" i="7"/>
  <c r="O385" i="7"/>
  <c r="O118" i="7"/>
  <c r="O370" i="7"/>
  <c r="O100" i="7"/>
  <c r="O336" i="7"/>
  <c r="O61" i="7"/>
  <c r="O272" i="7"/>
  <c r="O256" i="7"/>
  <c r="O10" i="7"/>
  <c r="O170" i="7"/>
  <c r="O266" i="7"/>
  <c r="O31" i="7"/>
  <c r="O233" i="7"/>
  <c r="O9" i="7"/>
  <c r="O73" i="7"/>
  <c r="O325" i="7"/>
  <c r="O264" i="7"/>
  <c r="O97" i="7"/>
  <c r="O90" i="7"/>
  <c r="O188" i="7"/>
  <c r="O84" i="7"/>
  <c r="O313" i="7"/>
  <c r="O176" i="7"/>
  <c r="O275" i="7"/>
  <c r="O175" i="7"/>
  <c r="O263" i="7"/>
  <c r="O29" i="7"/>
  <c r="O231" i="7"/>
  <c r="O179" i="7"/>
  <c r="O156" i="7"/>
  <c r="O298" i="7"/>
  <c r="O221" i="7"/>
  <c r="O37" i="6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41" i="4"/>
  <c r="N40" i="4"/>
  <c r="N39" i="4"/>
  <c r="N38" i="4"/>
  <c r="N37" i="4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17" i="1"/>
  <c r="N16" i="1"/>
  <c r="C57" i="10" l="1"/>
  <c r="E57" i="10" s="1"/>
  <c r="E5" i="10"/>
  <c r="C8" i="10"/>
  <c r="C58" i="10"/>
  <c r="E58" i="10" s="1"/>
  <c r="E6" i="10"/>
  <c r="C59" i="10"/>
  <c r="E59" i="10" s="1"/>
  <c r="E7" i="10"/>
  <c r="N29" i="1"/>
  <c r="N28" i="1"/>
  <c r="N27" i="1"/>
  <c r="N26" i="1"/>
  <c r="N25" i="1"/>
  <c r="N24" i="1"/>
  <c r="N23" i="1"/>
  <c r="N22" i="1"/>
  <c r="N21" i="1"/>
  <c r="N20" i="1"/>
  <c r="N19" i="1"/>
  <c r="N18" i="1"/>
  <c r="N15" i="1"/>
  <c r="N14" i="1"/>
  <c r="N13" i="1"/>
  <c r="N12" i="1"/>
  <c r="N11" i="1"/>
  <c r="N10" i="1"/>
  <c r="N9" i="1"/>
  <c r="C60" i="10" l="1"/>
  <c r="M16" i="10"/>
  <c r="N45" i="10"/>
  <c r="E8" i="10"/>
  <c r="N8" i="1"/>
  <c r="N7" i="1"/>
  <c r="N6" i="1"/>
  <c r="P41" i="10" l="1"/>
  <c r="P43" i="10"/>
  <c r="P42" i="10"/>
  <c r="P44" i="10"/>
  <c r="M10" i="10"/>
  <c r="M11" i="10"/>
  <c r="M12" i="10"/>
  <c r="M9" i="10"/>
  <c r="M13" i="10"/>
  <c r="M6" i="10"/>
  <c r="M14" i="10"/>
  <c r="M7" i="10"/>
  <c r="M15" i="10"/>
  <c r="M8" i="10"/>
  <c r="M5" i="10"/>
</calcChain>
</file>

<file path=xl/sharedStrings.xml><?xml version="1.0" encoding="utf-8"?>
<sst xmlns="http://schemas.openxmlformats.org/spreadsheetml/2006/main" count="2576" uniqueCount="824">
  <si>
    <t>AXLE LOAD SURVEY FORM</t>
  </si>
  <si>
    <t>Date:</t>
  </si>
  <si>
    <t>Station Name:</t>
  </si>
  <si>
    <t>S/No.</t>
  </si>
  <si>
    <t>Time</t>
  </si>
  <si>
    <t>Reg. Number</t>
  </si>
  <si>
    <t>Number of Axles</t>
  </si>
  <si>
    <t>Axle Configuration</t>
  </si>
  <si>
    <t>Axle 1</t>
  </si>
  <si>
    <t>Axle 2</t>
  </si>
  <si>
    <t>Axle 3</t>
  </si>
  <si>
    <t>Axle 4</t>
  </si>
  <si>
    <t>Axle 5</t>
  </si>
  <si>
    <t>Axle 6</t>
  </si>
  <si>
    <t>Axle 7</t>
  </si>
  <si>
    <t>Total (Tonnes)</t>
  </si>
  <si>
    <t>Vehicle Type</t>
  </si>
  <si>
    <t>Front</t>
  </si>
  <si>
    <t>Total (ESA's)</t>
  </si>
  <si>
    <t>COMMENTS</t>
  </si>
  <si>
    <t>1*22-222</t>
  </si>
  <si>
    <t>1*2</t>
  </si>
  <si>
    <t>BUILDING MATERIAL</t>
  </si>
  <si>
    <t>PROCESSED FOODS</t>
  </si>
  <si>
    <t>FERTILIZER</t>
  </si>
  <si>
    <t>OTHERS</t>
  </si>
  <si>
    <t>1*22</t>
  </si>
  <si>
    <t>EQUIPMENT</t>
  </si>
  <si>
    <t>JINJA-KAMPALA</t>
  </si>
  <si>
    <t>NAKIBIZZI</t>
  </si>
  <si>
    <t>KAMPALA-JINJA</t>
  </si>
  <si>
    <t>UBC 648D</t>
  </si>
  <si>
    <t>KAX 251 U</t>
  </si>
  <si>
    <t>KAW 037 R</t>
  </si>
  <si>
    <t>KCV 613 F</t>
  </si>
  <si>
    <t>UAY 484 B</t>
  </si>
  <si>
    <t>A 2588A</t>
  </si>
  <si>
    <t>UAX 416B</t>
  </si>
  <si>
    <t>KCN 135 Q</t>
  </si>
  <si>
    <t>UAH 982 V</t>
  </si>
  <si>
    <t>UAN 676X</t>
  </si>
  <si>
    <t>UAG 982 T</t>
  </si>
  <si>
    <t>KCT 248 R</t>
  </si>
  <si>
    <t>UAZ 536X</t>
  </si>
  <si>
    <t>KBU 781S</t>
  </si>
  <si>
    <t>UAN 583A</t>
  </si>
  <si>
    <t>UAM 548 H</t>
  </si>
  <si>
    <t>UBE 620S</t>
  </si>
  <si>
    <t>UAN 272 D</t>
  </si>
  <si>
    <t>UBD 675Y</t>
  </si>
  <si>
    <t>KBV 876S</t>
  </si>
  <si>
    <t>UAK 990A</t>
  </si>
  <si>
    <t>UAE 744R</t>
  </si>
  <si>
    <t>UAD 925D</t>
  </si>
  <si>
    <t>UAR 067R</t>
  </si>
  <si>
    <t>6</t>
  </si>
  <si>
    <t>2</t>
  </si>
  <si>
    <t>4</t>
  </si>
  <si>
    <t>5</t>
  </si>
  <si>
    <t>7</t>
  </si>
  <si>
    <t>3</t>
  </si>
  <si>
    <t>1*21</t>
  </si>
  <si>
    <t>1*222</t>
  </si>
  <si>
    <t>11*22</t>
  </si>
  <si>
    <t>AGRICULTURAL PRODUCTS</t>
  </si>
  <si>
    <t>MINERAL ROCK</t>
  </si>
  <si>
    <t>FUEL</t>
  </si>
  <si>
    <t>UBE 457R</t>
  </si>
  <si>
    <t>UBA 473L</t>
  </si>
  <si>
    <t>UBA 967D</t>
  </si>
  <si>
    <t>UAS 962 U</t>
  </si>
  <si>
    <t>UAZ 192V</t>
  </si>
  <si>
    <t>KCH 040P</t>
  </si>
  <si>
    <t>UAU 743H</t>
  </si>
  <si>
    <t>UBF 018K</t>
  </si>
  <si>
    <t>UAQ 159T</t>
  </si>
  <si>
    <t>UAU 690M</t>
  </si>
  <si>
    <t>UAW 255B</t>
  </si>
  <si>
    <t>UBF 028K</t>
  </si>
  <si>
    <t>KCU 353G</t>
  </si>
  <si>
    <t>KBU 739W</t>
  </si>
  <si>
    <t>UAV 368E</t>
  </si>
  <si>
    <t>KBR 933V</t>
  </si>
  <si>
    <t>UAU 152S</t>
  </si>
  <si>
    <t>UAD 400J</t>
  </si>
  <si>
    <t>KCP 784T</t>
  </si>
  <si>
    <t>UAP 906F</t>
  </si>
  <si>
    <t>KCL 960B</t>
  </si>
  <si>
    <t>UBD 281X</t>
  </si>
  <si>
    <t>KCC 578M</t>
  </si>
  <si>
    <t>UAW 025N</t>
  </si>
  <si>
    <t>AGRICULTURAL PRODUCT</t>
  </si>
  <si>
    <t>JINJA KAMPALA</t>
  </si>
  <si>
    <t>UAW 415X</t>
  </si>
  <si>
    <t>UAH 162H</t>
  </si>
  <si>
    <t>UAJ 045T</t>
  </si>
  <si>
    <t>UAE 881L</t>
  </si>
  <si>
    <t>UBD 799H</t>
  </si>
  <si>
    <t>UAZ 225T</t>
  </si>
  <si>
    <t>UBD 828J</t>
  </si>
  <si>
    <t>UAZ 192 H</t>
  </si>
  <si>
    <t>UAP 910L</t>
  </si>
  <si>
    <t>UAS 576U</t>
  </si>
  <si>
    <t>KBT 223B</t>
  </si>
  <si>
    <t>UAZ 408W</t>
  </si>
  <si>
    <t>UAL 914W</t>
  </si>
  <si>
    <t>UAU 183L</t>
  </si>
  <si>
    <t>UAY 645M</t>
  </si>
  <si>
    <t>KCM 864T</t>
  </si>
  <si>
    <t>UAT 861N</t>
  </si>
  <si>
    <t>UAF 433J</t>
  </si>
  <si>
    <t>UBE 081D</t>
  </si>
  <si>
    <t>UAA 949C</t>
  </si>
  <si>
    <t>KCM 709S</t>
  </si>
  <si>
    <t>UAZ 116X</t>
  </si>
  <si>
    <t>UAW 961P</t>
  </si>
  <si>
    <t>KBT 780D</t>
  </si>
  <si>
    <t>KCD 213Z</t>
  </si>
  <si>
    <t>UAT 527R</t>
  </si>
  <si>
    <t>UAK 241L</t>
  </si>
  <si>
    <t>KCC 959G</t>
  </si>
  <si>
    <t>UAH 401Y</t>
  </si>
  <si>
    <t>UAV 010F</t>
  </si>
  <si>
    <t>UAY 324T</t>
  </si>
  <si>
    <t>KBQ 399M</t>
  </si>
  <si>
    <t>KCS 027G</t>
  </si>
  <si>
    <t>1*11-22</t>
  </si>
  <si>
    <t>1*22-111</t>
  </si>
  <si>
    <t>1*12-111</t>
  </si>
  <si>
    <t>1*22+22*22</t>
  </si>
  <si>
    <t xml:space="preserve"> TRUCK TYPES</t>
  </si>
  <si>
    <t>2-Axles</t>
  </si>
  <si>
    <t>3-Axle</t>
  </si>
  <si>
    <t>4-Axle</t>
  </si>
  <si>
    <t>5-Axle</t>
  </si>
  <si>
    <t>6-Axle</t>
  </si>
  <si>
    <t>7-Axle</t>
  </si>
  <si>
    <t xml:space="preserve">LIGHT SINGLE UNIT TRUCK-DYNAS AND TRACTORS(2 axles) </t>
  </si>
  <si>
    <t xml:space="preserve">LIGHT/MEDIUM SINGLE UNIT TRUCKS (3 axles) </t>
  </si>
  <si>
    <t>MEDIUM - SINGLE UNIT TRUCKS-LORRIES, FUSOS (4 axles)</t>
  </si>
  <si>
    <t>1.1-22</t>
  </si>
  <si>
    <t>HEAVY TRUCK RIGID (5 axles)</t>
  </si>
  <si>
    <t>1.1-222</t>
  </si>
  <si>
    <t>1.2-222</t>
  </si>
  <si>
    <t>1.22-22</t>
  </si>
  <si>
    <t>TRUCK TRAILER AND SEMI TRAILER (6 axles)</t>
  </si>
  <si>
    <t>1.12-222</t>
  </si>
  <si>
    <t>1.22-222</t>
  </si>
  <si>
    <t>1.22+1-22</t>
  </si>
  <si>
    <t>1.22+2-22</t>
  </si>
  <si>
    <t>1.21-222</t>
  </si>
  <si>
    <t>1.22-111</t>
  </si>
  <si>
    <t>TRUCK TRAILER  TYPE 2 (7 axles)</t>
  </si>
  <si>
    <t>1.11+11-11</t>
  </si>
  <si>
    <t>1.22+22-22</t>
  </si>
  <si>
    <t>1.12+11-22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</si>
  <si>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</si>
  <si>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</si>
  <si>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</si>
  <si>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</si>
  <si>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1*1</t>
  </si>
  <si>
    <t>Light Truck</t>
  </si>
  <si>
    <t>Medium Truck</t>
  </si>
  <si>
    <t>Heavy Truck</t>
  </si>
  <si>
    <t>1*2*2</t>
  </si>
  <si>
    <t>Truck Trailer</t>
  </si>
  <si>
    <t>1*2*22</t>
  </si>
  <si>
    <t>1*22-22</t>
  </si>
  <si>
    <t>1*2*2*2</t>
  </si>
  <si>
    <t>1*22*2*22</t>
  </si>
  <si>
    <t>Feasibility Study and Detailed Design of Kampala-Jinja Highway</t>
  </si>
  <si>
    <t>Axle Load Survey</t>
  </si>
  <si>
    <t>Station: Nakibizzi</t>
  </si>
  <si>
    <t>Direction From: Kampala</t>
  </si>
  <si>
    <t>Direction To: Jinja</t>
  </si>
  <si>
    <t>Date: 29/09/2010</t>
  </si>
  <si>
    <t>Time: 7:00-19:00</t>
  </si>
  <si>
    <t>Measure No.</t>
  </si>
  <si>
    <t>Reg.No</t>
  </si>
  <si>
    <t>Configuration</t>
  </si>
  <si>
    <t>Axle Load(T)</t>
  </si>
  <si>
    <t>Load Type</t>
  </si>
  <si>
    <t>Axle-1</t>
  </si>
  <si>
    <t>Axle -2</t>
  </si>
  <si>
    <t>Axle-3</t>
  </si>
  <si>
    <t>Axle-4</t>
  </si>
  <si>
    <t>Axle-5</t>
  </si>
  <si>
    <t>Axle-6</t>
  </si>
  <si>
    <t>Axle-7</t>
  </si>
  <si>
    <t>001</t>
  </si>
  <si>
    <t>S2.T6.T12</t>
  </si>
  <si>
    <t>002</t>
  </si>
  <si>
    <t>003</t>
  </si>
  <si>
    <t>S2.T8.T12</t>
  </si>
  <si>
    <t>004</t>
  </si>
  <si>
    <t>005</t>
  </si>
  <si>
    <t>006</t>
  </si>
  <si>
    <t>007</t>
  </si>
  <si>
    <t>S2.T8.T8.T8</t>
  </si>
  <si>
    <t>008</t>
  </si>
  <si>
    <t>S2.T8</t>
  </si>
  <si>
    <t>009</t>
  </si>
  <si>
    <t>010</t>
  </si>
  <si>
    <t>011</t>
  </si>
  <si>
    <t>012</t>
  </si>
  <si>
    <t>S2.S4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</si>
  <si>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</si>
  <si>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</si>
  <si>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</si>
  <si>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</si>
  <si>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</si>
  <si>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</si>
  <si>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</si>
  <si>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</si>
  <si>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</si>
  <si>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</si>
  <si>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</si>
  <si>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</si>
  <si>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</si>
  <si>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</si>
  <si>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</si>
  <si>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</si>
  <si>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</si>
  <si>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</si>
  <si>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Empty</t>
  </si>
  <si>
    <t>031</t>
  </si>
  <si>
    <t>032</t>
  </si>
  <si>
    <t>S2.S4.T12</t>
  </si>
  <si>
    <t>033</t>
  </si>
  <si>
    <t>034</t>
  </si>
  <si>
    <t>035</t>
  </si>
  <si>
    <t>036</t>
  </si>
  <si>
    <t>037</t>
  </si>
  <si>
    <t>038</t>
  </si>
  <si>
    <t>039</t>
  </si>
  <si>
    <t>040</t>
  </si>
  <si>
    <t>S2.S4.T8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</si>
  <si>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</si>
  <si>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</si>
  <si>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</si>
  <si>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</si>
  <si>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</si>
  <si>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</si>
  <si>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</si>
  <si>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</si>
  <si>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</si>
  <si>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</si>
  <si>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</si>
  <si>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UAN 859G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</si>
  <si>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</si>
  <si>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</si>
  <si>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</si>
  <si>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</si>
  <si>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</si>
  <si>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</si>
  <si>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</si>
  <si>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</si>
  <si>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</si>
  <si>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</si>
  <si>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</si>
  <si>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</si>
  <si>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</si>
  <si>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</si>
  <si>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</si>
  <si>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</si>
  <si>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</si>
  <si>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</si>
  <si>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</si>
  <si>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</si>
  <si>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</si>
  <si>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</si>
  <si>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</si>
  <si>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</si>
  <si>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</si>
  <si>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</si>
  <si>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</si>
  <si>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</si>
  <si>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</si>
  <si>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</si>
  <si>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</si>
  <si>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</si>
  <si>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</si>
  <si>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</si>
  <si>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</si>
  <si>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SK2801 BB</t>
  </si>
  <si>
    <t>087</t>
  </si>
  <si>
    <t>088</t>
  </si>
  <si>
    <t>UAB 674T</t>
  </si>
  <si>
    <t>089</t>
  </si>
  <si>
    <t>090</t>
  </si>
  <si>
    <t>091</t>
  </si>
  <si>
    <t>092</t>
  </si>
  <si>
    <t>093</t>
  </si>
  <si>
    <t>094</t>
  </si>
  <si>
    <t>095</t>
  </si>
  <si>
    <t>S2.T8.S4.T8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</si>
  <si>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</si>
  <si>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</si>
  <si>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</si>
  <si>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</si>
  <si>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</si>
  <si>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</si>
  <si>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</si>
  <si>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</si>
  <si>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</si>
  <si>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</si>
  <si>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</si>
  <si>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</si>
  <si>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</si>
  <si>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</si>
  <si>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</si>
  <si>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T262 ABS</t>
  </si>
  <si>
    <t>112</t>
  </si>
  <si>
    <t>113</t>
  </si>
  <si>
    <t>114</t>
  </si>
  <si>
    <t>115</t>
  </si>
  <si>
    <t>116</t>
  </si>
  <si>
    <t>117</t>
  </si>
  <si>
    <t>UAG 504A</t>
  </si>
  <si>
    <t>118</t>
  </si>
  <si>
    <t>119</t>
  </si>
  <si>
    <t>120</t>
  </si>
  <si>
    <t>121</t>
  </si>
  <si>
    <t>122</t>
  </si>
  <si>
    <t>123</t>
  </si>
  <si>
    <t>124</t>
  </si>
  <si>
    <t>UAN 902J</t>
  </si>
  <si>
    <t>125</t>
  </si>
  <si>
    <t>126</t>
  </si>
  <si>
    <t>127</t>
  </si>
  <si>
    <t>128</t>
  </si>
  <si>
    <t>UAL 210N</t>
  </si>
  <si>
    <t>129</t>
  </si>
  <si>
    <t>130</t>
  </si>
  <si>
    <t>131</t>
  </si>
  <si>
    <t>132</t>
  </si>
  <si>
    <t>133</t>
  </si>
  <si>
    <t>UAL 312H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</si>
  <si>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</si>
  <si>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</si>
  <si>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</si>
  <si>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</si>
  <si>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</si>
  <si>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</si>
  <si>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</si>
  <si>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</si>
  <si>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</si>
  <si>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</si>
  <si>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</si>
  <si>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</si>
  <si>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</si>
  <si>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</si>
  <si>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</si>
  <si>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</si>
  <si>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</si>
  <si>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</si>
  <si>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UAH 984Y</t>
  </si>
  <si>
    <t>152</t>
  </si>
  <si>
    <t>153</t>
  </si>
  <si>
    <t>154</t>
  </si>
  <si>
    <t>155</t>
  </si>
  <si>
    <t>156</t>
  </si>
  <si>
    <t>157</t>
  </si>
  <si>
    <t>UAG 270T</t>
  </si>
  <si>
    <t>158</t>
  </si>
  <si>
    <t>159</t>
  </si>
  <si>
    <t>UAG 940B</t>
  </si>
  <si>
    <t>160</t>
  </si>
  <si>
    <t>UAG 020Y</t>
  </si>
  <si>
    <t>UAD 588N</t>
  </si>
  <si>
    <t>UAM 427Q</t>
  </si>
  <si>
    <t>UAM 801F</t>
  </si>
  <si>
    <t>UAB 182W</t>
  </si>
  <si>
    <t>UAN 818A</t>
  </si>
  <si>
    <t>KAM 373J</t>
  </si>
  <si>
    <t>096</t>
  </si>
  <si>
    <t>UAD 774R</t>
  </si>
  <si>
    <t>UAM 939N</t>
  </si>
  <si>
    <t>S2.T8.T8</t>
  </si>
  <si>
    <t>KBB 292Z</t>
  </si>
  <si>
    <t>UAD 529E</t>
  </si>
  <si>
    <t>KAZ 516M</t>
  </si>
  <si>
    <t>UAM 971A</t>
  </si>
  <si>
    <t>UAJ 624F</t>
  </si>
  <si>
    <t>KBD 465T</t>
  </si>
  <si>
    <t>UAG 947P</t>
  </si>
  <si>
    <t>KAV 373U</t>
  </si>
  <si>
    <t>UAH 487R</t>
  </si>
  <si>
    <t>KBG 46</t>
  </si>
  <si>
    <t>UAM 785T</t>
  </si>
  <si>
    <t>UAM 814J</t>
  </si>
  <si>
    <t>KAW 687K</t>
  </si>
  <si>
    <t>KAP 544F</t>
  </si>
  <si>
    <t>KAK 157V</t>
  </si>
  <si>
    <t>KAU 130U</t>
  </si>
  <si>
    <t>KBK 554R</t>
  </si>
  <si>
    <t>UAM 927Q</t>
  </si>
  <si>
    <t>KAT 108B</t>
  </si>
  <si>
    <t>KBK 200P</t>
  </si>
  <si>
    <t>KAK 084B</t>
  </si>
  <si>
    <t>KBF 375H</t>
  </si>
  <si>
    <t>KAT 780Q</t>
  </si>
  <si>
    <t>KAT 986P</t>
  </si>
  <si>
    <t>0959AA107</t>
  </si>
  <si>
    <t>UAN 627A</t>
  </si>
  <si>
    <t>UXJ 053</t>
  </si>
  <si>
    <t>KAK 876T</t>
  </si>
  <si>
    <t>KBB 004G</t>
  </si>
  <si>
    <t>UAH 161T</t>
  </si>
  <si>
    <t>UAK 969T</t>
  </si>
  <si>
    <t>KAW 655L</t>
  </si>
  <si>
    <t>UAG 677U</t>
  </si>
  <si>
    <t>KBJ 552A</t>
  </si>
  <si>
    <t>UAJ 722T</t>
  </si>
  <si>
    <t>UAF 756N</t>
  </si>
  <si>
    <t>UAF 720U</t>
  </si>
  <si>
    <t>UAB 675T</t>
  </si>
  <si>
    <t>KAT 960R</t>
  </si>
  <si>
    <t>KAT 970R</t>
  </si>
  <si>
    <t>UAL 845D</t>
  </si>
  <si>
    <t>KBK 224Q</t>
  </si>
  <si>
    <t>UAJ 299R</t>
  </si>
  <si>
    <t>UAL 910L</t>
  </si>
  <si>
    <t>KBL 207J</t>
  </si>
  <si>
    <t>UAL 025X</t>
  </si>
  <si>
    <t>UAK 695G</t>
  </si>
  <si>
    <t>UAL 037L</t>
  </si>
  <si>
    <t>UAJ 592M</t>
  </si>
  <si>
    <t>KBE 993M</t>
  </si>
  <si>
    <t>KAM 445H</t>
  </si>
  <si>
    <t>KAE 538R</t>
  </si>
  <si>
    <t>KAP 942M</t>
  </si>
  <si>
    <t>KAS 360B</t>
  </si>
  <si>
    <t>S2.T4.T12</t>
  </si>
  <si>
    <t>KAU 518V</t>
  </si>
  <si>
    <t>KBK 535V</t>
  </si>
  <si>
    <t>UAF 553V</t>
  </si>
  <si>
    <t>KBK 528V</t>
  </si>
  <si>
    <t>UAM 611W</t>
  </si>
  <si>
    <t>UAM 221R</t>
  </si>
  <si>
    <t>KBB 381B</t>
  </si>
  <si>
    <t>UAA 601A</t>
  </si>
  <si>
    <t>S2.T8.S4.S4</t>
  </si>
  <si>
    <t>KBL 217E</t>
  </si>
  <si>
    <t>KBL 779J</t>
  </si>
  <si>
    <t>UAF 728F</t>
  </si>
  <si>
    <t xml:space="preserve">KAR 216D </t>
  </si>
  <si>
    <t>UAN 338U</t>
  </si>
  <si>
    <t>UAK 662L</t>
  </si>
  <si>
    <t>UAM 938Y</t>
  </si>
  <si>
    <t>UAK 394E</t>
  </si>
  <si>
    <t>KBD 054Y</t>
  </si>
  <si>
    <t>UAK 784Q</t>
  </si>
  <si>
    <t>UAM 093X</t>
  </si>
  <si>
    <t>UAL 480R</t>
  </si>
  <si>
    <t>UAM 046M</t>
  </si>
  <si>
    <t>UAG 871C</t>
  </si>
  <si>
    <t>UAN 166D</t>
  </si>
  <si>
    <t>UAN 166F</t>
  </si>
  <si>
    <t>UAL 626U</t>
  </si>
  <si>
    <t>1421AB/19</t>
  </si>
  <si>
    <t>UAH 610R</t>
  </si>
  <si>
    <t>UAA 773A</t>
  </si>
  <si>
    <t>UAA 960Q</t>
  </si>
  <si>
    <t>UAJ 972Z</t>
  </si>
  <si>
    <t>UAK 450L</t>
  </si>
  <si>
    <t>KV2541BA</t>
  </si>
  <si>
    <t>RAA 011E</t>
  </si>
  <si>
    <t>KBL 060K</t>
  </si>
  <si>
    <t>KAU  130U</t>
  </si>
  <si>
    <t>UAL 795D</t>
  </si>
  <si>
    <t>UAG 174T</t>
  </si>
  <si>
    <t>UAK 990T</t>
  </si>
  <si>
    <t>KAX 294C</t>
  </si>
  <si>
    <t>UAE 374U</t>
  </si>
  <si>
    <t>KAV 320T</t>
  </si>
  <si>
    <t>UAG 021T</t>
  </si>
  <si>
    <t>KAP 948Y</t>
  </si>
  <si>
    <t>UAL 387N</t>
  </si>
  <si>
    <t>UAL 605H</t>
  </si>
  <si>
    <t>KBD 851Q</t>
  </si>
  <si>
    <t>UAG 277J</t>
  </si>
  <si>
    <t>S2.T8.12</t>
  </si>
  <si>
    <t>KAR 644Z</t>
  </si>
  <si>
    <t>KAR 674X</t>
  </si>
  <si>
    <t>KBJ 040L</t>
  </si>
  <si>
    <t>KAY 233Z</t>
  </si>
  <si>
    <t>UAM 890F</t>
  </si>
  <si>
    <t>KBB 709K</t>
  </si>
  <si>
    <t>KAW 653L</t>
  </si>
  <si>
    <t>KBE 410Y</t>
  </si>
  <si>
    <t>KAR 364V</t>
  </si>
  <si>
    <t>UAG 157Y</t>
  </si>
  <si>
    <t>UAL 380U</t>
  </si>
  <si>
    <t>UAG 599T</t>
  </si>
  <si>
    <t>UAN 616A</t>
  </si>
  <si>
    <t>UAJ 565K</t>
  </si>
  <si>
    <t>UAL 283W</t>
  </si>
  <si>
    <t>KAP 967S</t>
  </si>
  <si>
    <t>UAF 166T</t>
  </si>
  <si>
    <t>KAV 451R</t>
  </si>
  <si>
    <t>RAB 214H</t>
  </si>
  <si>
    <t>KAJ 800M</t>
  </si>
  <si>
    <t>KBM 460H</t>
  </si>
  <si>
    <t>S2.T6.T8</t>
  </si>
  <si>
    <t>KAU 518H</t>
  </si>
  <si>
    <t>KBC 409C</t>
  </si>
  <si>
    <t>KAR 186S</t>
  </si>
  <si>
    <t xml:space="preserve">KAX 093Y </t>
  </si>
  <si>
    <t>KBK 769R</t>
  </si>
  <si>
    <t>UAB 739U</t>
  </si>
  <si>
    <t>UAL 995L</t>
  </si>
  <si>
    <t>UAN 943X</t>
  </si>
  <si>
    <t>KAG 420J</t>
  </si>
  <si>
    <t>UAN 620J</t>
  </si>
  <si>
    <t>KBJ 329Y</t>
  </si>
  <si>
    <t>UAH 234Y</t>
  </si>
  <si>
    <t>KAU 307K</t>
  </si>
  <si>
    <t>UAJ 216T</t>
  </si>
  <si>
    <t>KAV 428T</t>
  </si>
  <si>
    <t>KAW 605P</t>
  </si>
  <si>
    <t>KBB 793X</t>
  </si>
  <si>
    <t>KAY 688L</t>
  </si>
  <si>
    <t>UAH 419V</t>
  </si>
  <si>
    <t>C3-R4</t>
  </si>
  <si>
    <t>KBC 254J</t>
  </si>
  <si>
    <t>UAL 839N</t>
  </si>
  <si>
    <t>S2.S2.S2.S2</t>
  </si>
  <si>
    <t>UAG 556T</t>
  </si>
  <si>
    <t>UAN 987Z</t>
  </si>
  <si>
    <t>UAM 871J</t>
  </si>
  <si>
    <t>UAG 576Y</t>
  </si>
  <si>
    <t>KBJ 411A</t>
  </si>
  <si>
    <t>KBH 070R</t>
  </si>
  <si>
    <t>KBJ 235Y</t>
  </si>
  <si>
    <t>UAG 539H</t>
  </si>
  <si>
    <t>S2.T6.T6</t>
  </si>
  <si>
    <t>UAF 492Q</t>
  </si>
  <si>
    <t>RAA 540U</t>
  </si>
  <si>
    <t>C3-R3</t>
  </si>
  <si>
    <t>RAB 987F</t>
  </si>
  <si>
    <t>KBJ 896J</t>
  </si>
  <si>
    <t>UAA 357A</t>
  </si>
  <si>
    <t>UAJ 133T</t>
  </si>
  <si>
    <t>KAU 015U</t>
  </si>
  <si>
    <t>UAN 802L</t>
  </si>
  <si>
    <t>857 UCK</t>
  </si>
  <si>
    <t>T356 ABS</t>
  </si>
  <si>
    <t>UAE 802Y</t>
  </si>
  <si>
    <t>RAA 544X</t>
  </si>
  <si>
    <t>RAA 287V</t>
  </si>
  <si>
    <t>UAL 028H</t>
  </si>
  <si>
    <t>UAN 316J</t>
  </si>
  <si>
    <t>RAA 169E</t>
  </si>
  <si>
    <t>KBL 961F</t>
  </si>
  <si>
    <t>KBH 264J</t>
  </si>
  <si>
    <t>KAS 364N</t>
  </si>
  <si>
    <t>KBK 948B</t>
  </si>
  <si>
    <t>UAN 541E</t>
  </si>
  <si>
    <t>KBA 842N</t>
  </si>
  <si>
    <t>UAM 966V</t>
  </si>
  <si>
    <t>UAE 881Q</t>
  </si>
  <si>
    <t>UAF 099B</t>
  </si>
  <si>
    <t>UAL 503R</t>
  </si>
  <si>
    <t>KAN 034H</t>
  </si>
  <si>
    <t>UAG 069H</t>
  </si>
  <si>
    <t>UAJ 303B</t>
  </si>
  <si>
    <t>KBH 985D</t>
  </si>
  <si>
    <t>UAL 904N</t>
  </si>
  <si>
    <t>UAL 372B</t>
  </si>
  <si>
    <t>UAN 474J</t>
  </si>
  <si>
    <t>UAG 689T</t>
  </si>
  <si>
    <t>UAB 832J</t>
  </si>
  <si>
    <t>UAM 133N</t>
  </si>
  <si>
    <t>KBE 962M</t>
  </si>
  <si>
    <t>UAN 010X</t>
  </si>
  <si>
    <t>UAN 293S</t>
  </si>
  <si>
    <t>KAV 208A</t>
  </si>
  <si>
    <t>UAA 800L</t>
  </si>
  <si>
    <t>UAA 435A</t>
  </si>
  <si>
    <t>UAK 436G</t>
  </si>
  <si>
    <t>UAJ 481D</t>
  </si>
  <si>
    <t>UAB 867P</t>
  </si>
  <si>
    <t>UAL 480F</t>
  </si>
  <si>
    <t>CE 229C</t>
  </si>
  <si>
    <t>UAA 459K</t>
  </si>
  <si>
    <t>UAL 063B</t>
  </si>
  <si>
    <t>KAY 552F</t>
  </si>
  <si>
    <t>UAM 989F</t>
  </si>
  <si>
    <t>UAH 003H</t>
  </si>
  <si>
    <t>UAH 022R</t>
  </si>
  <si>
    <t>UAE 384Y</t>
  </si>
  <si>
    <t>UAH 101H</t>
  </si>
  <si>
    <t>UAM 921J</t>
  </si>
  <si>
    <t>UAH 310R</t>
  </si>
  <si>
    <t>UAM 925C</t>
  </si>
  <si>
    <t>KBD 436J</t>
  </si>
  <si>
    <t>UAK 971G</t>
  </si>
  <si>
    <t>KAW</t>
  </si>
  <si>
    <t>KAS 122M</t>
  </si>
  <si>
    <t>UAH 869P</t>
  </si>
  <si>
    <t>UAL 799U</t>
  </si>
  <si>
    <t>UAK 276A</t>
  </si>
  <si>
    <t>UAN 868L</t>
  </si>
  <si>
    <t>UAD 413D</t>
  </si>
  <si>
    <t>UAH 157X</t>
  </si>
  <si>
    <t>UAH 823D</t>
  </si>
  <si>
    <t>UAG 753X</t>
  </si>
  <si>
    <t>UAG 069A</t>
  </si>
  <si>
    <t>KAL 657M</t>
  </si>
  <si>
    <t>UAH 998F</t>
  </si>
  <si>
    <t>RAB 943Q</t>
  </si>
  <si>
    <t>UAF 611E</t>
  </si>
  <si>
    <t>UAD 121X</t>
  </si>
  <si>
    <t>UAH 282F</t>
  </si>
  <si>
    <t>KAU 309V</t>
  </si>
  <si>
    <t>UAL 023F</t>
  </si>
  <si>
    <t>UAK 542G</t>
  </si>
  <si>
    <t>UAL 421T</t>
  </si>
  <si>
    <t>UAF 128M</t>
  </si>
  <si>
    <t>UAM 843V</t>
  </si>
  <si>
    <t>UAG 298Q</t>
  </si>
  <si>
    <t>UAL 630W</t>
  </si>
  <si>
    <t>UAE 616J</t>
  </si>
  <si>
    <t>UAB 953A</t>
  </si>
  <si>
    <t>UAE 841N</t>
  </si>
  <si>
    <t>UAM 952F</t>
  </si>
  <si>
    <t>UAL 749Z</t>
  </si>
  <si>
    <t>KBK 701B</t>
  </si>
  <si>
    <t>UAL 377U</t>
  </si>
  <si>
    <t>UAL 809B</t>
  </si>
  <si>
    <t>UAJ 926H</t>
  </si>
  <si>
    <t>RAB 267P</t>
  </si>
  <si>
    <t>UWP 632</t>
  </si>
  <si>
    <t>UAH 739Y</t>
  </si>
  <si>
    <t>UAF 618T</t>
  </si>
  <si>
    <t>RAA 497K</t>
  </si>
  <si>
    <t>UAM 912Y</t>
  </si>
  <si>
    <t>UAM 923F</t>
  </si>
  <si>
    <t>UAG 702T</t>
  </si>
  <si>
    <t>KBB 167W</t>
  </si>
  <si>
    <t>KAP 701Y</t>
  </si>
  <si>
    <t>KBD 492F</t>
  </si>
  <si>
    <t>UAM 520H</t>
  </si>
  <si>
    <t>UAK 987T</t>
  </si>
  <si>
    <t>UAN 149X</t>
  </si>
  <si>
    <t>UAM 215X</t>
  </si>
  <si>
    <t>KBJ 532A</t>
  </si>
  <si>
    <t>UAM 332Y</t>
  </si>
  <si>
    <t>KBL 280N</t>
  </si>
  <si>
    <t>UAG 961L</t>
  </si>
  <si>
    <t>3493AA119</t>
  </si>
  <si>
    <t>UAK 552G</t>
  </si>
  <si>
    <t>UAK 842V</t>
  </si>
  <si>
    <t>UAK 821T</t>
  </si>
  <si>
    <t>UAL 210B</t>
  </si>
  <si>
    <t>UAL 122W</t>
  </si>
  <si>
    <t>UAL 623N</t>
  </si>
  <si>
    <t>KBB 388G</t>
  </si>
  <si>
    <t>UAL 432L</t>
  </si>
  <si>
    <t>KBC 849F</t>
  </si>
  <si>
    <t>KAW 993J</t>
  </si>
  <si>
    <t>KAR 444B</t>
  </si>
  <si>
    <t>KBE 999H</t>
  </si>
  <si>
    <t>UAF 040T</t>
  </si>
  <si>
    <t>KAY 863J</t>
  </si>
  <si>
    <t>KAX 844L</t>
  </si>
  <si>
    <t>UAH 078P</t>
  </si>
  <si>
    <t>UAL 535R</t>
  </si>
  <si>
    <t>KBK 168C</t>
  </si>
  <si>
    <t>UAL 635N</t>
  </si>
  <si>
    <t>UAG 289B</t>
  </si>
  <si>
    <t>KBL 114H</t>
  </si>
  <si>
    <t>NK6678BB</t>
  </si>
  <si>
    <t>UAJ 104J</t>
  </si>
  <si>
    <t>KBK 445X</t>
  </si>
  <si>
    <t>KAY 241S</t>
  </si>
  <si>
    <t>KAY 968U</t>
  </si>
  <si>
    <t>KBL 294K</t>
  </si>
  <si>
    <t>KAJ 695B</t>
  </si>
  <si>
    <t>KBE 977E</t>
  </si>
  <si>
    <t>UAF 403Q</t>
  </si>
  <si>
    <t>UAJ 566K</t>
  </si>
  <si>
    <t>KBK 621V</t>
  </si>
  <si>
    <t>UAD 251C</t>
  </si>
  <si>
    <t>KAZ 305J</t>
  </si>
  <si>
    <t>UAH 225H</t>
  </si>
  <si>
    <t>RAB 849L</t>
  </si>
  <si>
    <t>UAG 616U</t>
  </si>
  <si>
    <t>UAH 661F</t>
  </si>
  <si>
    <t>UAK 089Z</t>
  </si>
  <si>
    <t>UAL 787R</t>
  </si>
  <si>
    <t>UAH 824K</t>
  </si>
  <si>
    <t>UAL 834L</t>
  </si>
  <si>
    <t>UAH 904Q</t>
  </si>
  <si>
    <t>UAK 024N</t>
  </si>
  <si>
    <t>KAM 916K</t>
  </si>
  <si>
    <t>KAE 391K</t>
  </si>
  <si>
    <t>KBJ 731G</t>
  </si>
  <si>
    <t>KBL 203R</t>
  </si>
  <si>
    <t>UAL 486G</t>
  </si>
  <si>
    <t>UAG 028X</t>
  </si>
  <si>
    <t>KBJ 332Y</t>
  </si>
  <si>
    <t>KBF 239U</t>
  </si>
  <si>
    <t>UAN 011X</t>
  </si>
  <si>
    <t>KBK 614X</t>
  </si>
  <si>
    <t>KAY 811T</t>
  </si>
  <si>
    <t>KAS 577Z</t>
  </si>
  <si>
    <t>UAB 975U</t>
  </si>
  <si>
    <t>KBB 523A</t>
  </si>
  <si>
    <t>UAH 373M</t>
  </si>
  <si>
    <t>KBK 577R</t>
  </si>
  <si>
    <t>UAG 291G</t>
  </si>
  <si>
    <t>690 UBS</t>
  </si>
  <si>
    <t>KRR 375</t>
  </si>
  <si>
    <t>UAG 964D</t>
  </si>
  <si>
    <t>KAX 743R</t>
  </si>
  <si>
    <t>KAX 524K</t>
  </si>
  <si>
    <t>KAX 091M</t>
  </si>
  <si>
    <t>325 UAX</t>
  </si>
  <si>
    <t>KAQ 624M</t>
  </si>
  <si>
    <t>UAL 280U</t>
  </si>
  <si>
    <t>UAJ 731N</t>
  </si>
  <si>
    <t>UAE 883Q</t>
  </si>
  <si>
    <t>UAE 581B</t>
  </si>
  <si>
    <t>KAH 004P</t>
  </si>
  <si>
    <t>UAN 217S</t>
  </si>
  <si>
    <t>KAV 360T</t>
  </si>
  <si>
    <t>KBK 309S</t>
  </si>
  <si>
    <t>KAW 081E</t>
  </si>
  <si>
    <t>UAJ 889N</t>
  </si>
  <si>
    <t>UAH 355P</t>
  </si>
  <si>
    <t>UAN 591A</t>
  </si>
  <si>
    <t>UAL 896D</t>
  </si>
  <si>
    <t>KAN 396Z</t>
  </si>
  <si>
    <t>RAA 859T</t>
  </si>
  <si>
    <t>UAB 597A</t>
  </si>
  <si>
    <t>KAP 937M</t>
  </si>
  <si>
    <t>UAL 974N</t>
  </si>
  <si>
    <t>UAF 541P</t>
  </si>
  <si>
    <t>UAD 836B</t>
  </si>
  <si>
    <t>UAD 822U</t>
  </si>
  <si>
    <t>KBH 910J</t>
  </si>
  <si>
    <t>UAN 004F</t>
  </si>
  <si>
    <t>KBK 190Z</t>
  </si>
  <si>
    <t>KBK 008U</t>
  </si>
  <si>
    <t>KBK 322K</t>
  </si>
  <si>
    <t>KAS 863R</t>
  </si>
  <si>
    <t>KBJ 139C</t>
  </si>
  <si>
    <t>KBJ 306X</t>
  </si>
  <si>
    <t>KBG 015R</t>
  </si>
  <si>
    <t>UAP 824Q</t>
  </si>
  <si>
    <t>UAM 865X</t>
  </si>
  <si>
    <t>KBJ 663Y</t>
  </si>
  <si>
    <t>KBJ 538A</t>
  </si>
  <si>
    <t>KBH 187Y</t>
  </si>
  <si>
    <t>B2740A</t>
  </si>
  <si>
    <t>KBF 328H</t>
  </si>
  <si>
    <t>UAM 981F</t>
  </si>
  <si>
    <t>UAJ 045M</t>
  </si>
  <si>
    <t>161</t>
  </si>
  <si>
    <t>UAF 494J</t>
  </si>
  <si>
    <t>162</t>
  </si>
  <si>
    <t>UAE 636B</t>
  </si>
  <si>
    <t>163</t>
  </si>
  <si>
    <t>UAG 148P</t>
  </si>
  <si>
    <t>164</t>
  </si>
  <si>
    <t>KAY 426T</t>
  </si>
  <si>
    <t>SS4.T12</t>
  </si>
  <si>
    <t>165</t>
  </si>
  <si>
    <t>UAA 916E</t>
  </si>
  <si>
    <t>UAK 635E</t>
  </si>
  <si>
    <t>UAJ 906H</t>
  </si>
  <si>
    <t>KBH 048D</t>
  </si>
  <si>
    <t>OVERLOADED?</t>
  </si>
  <si>
    <t>Overloaded by?</t>
  </si>
  <si>
    <t>Vehicle Categories</t>
  </si>
  <si>
    <t>Load Description</t>
  </si>
  <si>
    <t>Truck Type</t>
  </si>
  <si>
    <t>Both Directions</t>
  </si>
  <si>
    <t>Category</t>
  </si>
  <si>
    <t>Light/Medium Trucks</t>
  </si>
  <si>
    <t>Agricultural produce</t>
  </si>
  <si>
    <t>Heavy Trucks</t>
  </si>
  <si>
    <t>Perishable</t>
  </si>
  <si>
    <t>Truck/Trailer</t>
  </si>
  <si>
    <t>Construction Material</t>
  </si>
  <si>
    <t>Totals</t>
  </si>
  <si>
    <t>Metal/machinery</t>
  </si>
  <si>
    <t>Forestry products</t>
  </si>
  <si>
    <t>Fuels</t>
  </si>
  <si>
    <t>Chemical Products</t>
  </si>
  <si>
    <t>Livestock</t>
  </si>
  <si>
    <t xml:space="preserve">Household retail products </t>
  </si>
  <si>
    <t>Others</t>
  </si>
  <si>
    <t>Total</t>
  </si>
  <si>
    <t>Comment</t>
  </si>
  <si>
    <t>Food crop</t>
  </si>
  <si>
    <t xml:space="preserve"> (Maize,rice,wheat etc)</t>
  </si>
  <si>
    <t>Cash Crops</t>
  </si>
  <si>
    <t xml:space="preserve"> (coffee,tea etc)</t>
  </si>
  <si>
    <t xml:space="preserve"> (fish,milk,tea etc)</t>
  </si>
  <si>
    <t xml:space="preserve">Construction Material </t>
  </si>
  <si>
    <t>(cement, gravel,stones,gravel,pipes)</t>
  </si>
  <si>
    <t xml:space="preserve"> (timber &amp; charcoal)</t>
  </si>
  <si>
    <t xml:space="preserve"> (any petroleum products)</t>
  </si>
  <si>
    <t xml:space="preserve"> (fertilizer,paints)</t>
  </si>
  <si>
    <t xml:space="preserve"> (cows,goats,camel etc)</t>
  </si>
  <si>
    <t>(beverage,oil,sugar,salt,flour)</t>
  </si>
  <si>
    <t>Others (Pl specify)</t>
  </si>
  <si>
    <t>Kampala-Jinja</t>
  </si>
  <si>
    <t>Jinja-Kampala</t>
  </si>
  <si>
    <t>Household retail products</t>
  </si>
  <si>
    <t>Load limit (Tonnes)</t>
  </si>
  <si>
    <t>Overload Bands</t>
  </si>
  <si>
    <t>Average Total Loading (Tonnes)</t>
  </si>
  <si>
    <t>Limit</t>
  </si>
  <si>
    <t>Proportion of Overloaded Trucks</t>
  </si>
  <si>
    <t>0-4.9%</t>
  </si>
  <si>
    <t>5-25%</t>
  </si>
  <si>
    <t>25-50%</t>
  </si>
  <si>
    <t>Over 50%</t>
  </si>
  <si>
    <t>Overall</t>
  </si>
  <si>
    <t>AXLE LOAD DATA ANALYSIS (KAMPALA - JINJA HIGHWAY)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</si>
</sst>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name val="Calibri"/>
      <family val="2"/>
    </font>
    <font>
      <b/>
      <sz val="14"/>
      <color indexed="1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8" fillId="0" borderId="0"/>
    <xf numFmtId="0" fontId="19" fillId="0" borderId="0"/>
    <xf numFmtId="41" fontId="7" fillId="0" borderId="0" applyFont="0" applyFill="0" applyBorder="0" applyAlignment="0" applyProtection="0"/>
  </cellStyleXfs>
  <cellXfs count="15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/>
    <xf numFmtId="0" fontId="2" fillId="0" borderId="1" xfId="0" applyFont="1" applyBorder="1"/>
    <xf numFmtId="0" fontId="4" fillId="0" borderId="0" xfId="0" applyFont="1" applyBorder="1"/>
    <xf numFmtId="0" fontId="1" fillId="0" borderId="4" xfId="0" applyFont="1" applyBorder="1" applyAlignment="1">
      <alignment vertical="top" wrapText="1"/>
    </xf>
    <xf numFmtId="0" fontId="0" fillId="0" borderId="6" xfId="0" applyBorder="1"/>
    <xf numFmtId="164" fontId="2" fillId="0" borderId="2" xfId="0" applyNumberFormat="1" applyFont="1" applyBorder="1"/>
    <xf numFmtId="0" fontId="2" fillId="0" borderId="12" xfId="0" applyFont="1" applyBorder="1"/>
    <xf numFmtId="0" fontId="2" fillId="0" borderId="13" xfId="0" applyFont="1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49" fontId="1" fillId="0" borderId="0" xfId="0" applyNumberFormat="1" applyFont="1" applyBorder="1"/>
    <xf numFmtId="49" fontId="2" fillId="0" borderId="1" xfId="0" applyNumberFormat="1" applyFont="1" applyBorder="1"/>
    <xf numFmtId="49" fontId="0" fillId="0" borderId="0" xfId="0" applyNumberFormat="1"/>
    <xf numFmtId="2" fontId="2" fillId="0" borderId="3" xfId="0" applyNumberFormat="1" applyFont="1" applyBorder="1"/>
    <xf numFmtId="49" fontId="2" fillId="0" borderId="0" xfId="0" applyNumberFormat="1" applyFont="1"/>
    <xf numFmtId="2" fontId="2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49" fontId="2" fillId="0" borderId="0" xfId="0" applyNumberFormat="1" applyFont="1" applyBorder="1"/>
    <xf numFmtId="0" fontId="1" fillId="0" borderId="0" xfId="0" applyFont="1" applyBorder="1" applyAlignment="1">
      <alignment horizontal="center"/>
    </xf>
    <xf numFmtId="165" fontId="6" fillId="0" borderId="1" xfId="0" applyNumberFormat="1" applyFont="1" applyBorder="1"/>
    <xf numFmtId="0" fontId="8" fillId="0" borderId="0" xfId="2"/>
    <xf numFmtId="0" fontId="8" fillId="0" borderId="0" xfId="2" applyAlignment="1">
      <alignment horizontal="left"/>
    </xf>
    <xf numFmtId="0" fontId="9" fillId="0" borderId="1" xfId="0" applyFont="1" applyBorder="1" applyAlignment="1">
      <alignment horizontal="left" vertical="center"/>
    </xf>
    <xf numFmtId="0" fontId="13" fillId="0" borderId="22" xfId="0" applyFont="1" applyBorder="1"/>
    <xf numFmtId="0" fontId="13" fillId="0" borderId="2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5" fillId="0" borderId="0" xfId="0" applyFont="1"/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7" fillId="0" borderId="0" xfId="0" applyFont="1"/>
    <xf numFmtId="0" fontId="17" fillId="2" borderId="0" xfId="0" applyFont="1" applyFill="1"/>
    <xf numFmtId="166" fontId="2" fillId="0" borderId="3" xfId="0" applyNumberFormat="1" applyFont="1" applyBorder="1"/>
    <xf numFmtId="166" fontId="2" fillId="0" borderId="35" xfId="0" applyNumberFormat="1" applyFont="1" applyBorder="1"/>
    <xf numFmtId="166" fontId="2" fillId="0" borderId="35" xfId="0" applyNumberFormat="1" applyFont="1" applyBorder="1" applyAlignment="1">
      <alignment horizontal="center"/>
    </xf>
    <xf numFmtId="0" fontId="18" fillId="0" borderId="0" xfId="0" applyFont="1"/>
    <xf numFmtId="0" fontId="5" fillId="0" borderId="0" xfId="0" applyFont="1"/>
    <xf numFmtId="0" fontId="0" fillId="0" borderId="1" xfId="0" applyBorder="1"/>
    <xf numFmtId="166" fontId="0" fillId="0" borderId="1" xfId="0" applyNumberFormat="1" applyBorder="1"/>
    <xf numFmtId="0" fontId="20" fillId="0" borderId="0" xfId="3" applyFont="1" applyAlignment="1">
      <alignment vertical="center"/>
    </xf>
    <xf numFmtId="0" fontId="20" fillId="0" borderId="40" xfId="3" applyFont="1" applyBorder="1" applyAlignment="1">
      <alignment vertical="center" wrapText="1"/>
    </xf>
    <xf numFmtId="0" fontId="5" fillId="0" borderId="1" xfId="0" applyFont="1" applyBorder="1"/>
    <xf numFmtId="167" fontId="0" fillId="0" borderId="1" xfId="1" applyNumberFormat="1" applyFont="1" applyBorder="1"/>
    <xf numFmtId="0" fontId="20" fillId="0" borderId="0" xfId="3" applyFont="1" applyAlignment="1">
      <alignment vertical="center" wrapText="1"/>
    </xf>
    <xf numFmtId="0" fontId="20" fillId="0" borderId="41" xfId="3" applyFont="1" applyBorder="1" applyAlignment="1">
      <alignment vertical="center"/>
    </xf>
    <xf numFmtId="0" fontId="20" fillId="0" borderId="0" xfId="3" applyFont="1"/>
    <xf numFmtId="0" fontId="1" fillId="0" borderId="0" xfId="0" applyFont="1" applyBorder="1" applyAlignment="1">
      <alignment horizontal="center"/>
    </xf>
    <xf numFmtId="0" fontId="1" fillId="0" borderId="39" xfId="0" applyFont="1" applyBorder="1" applyAlignment="1">
      <alignment horizontal="center" vertical="top" wrapText="1"/>
    </xf>
    <xf numFmtId="49" fontId="0" fillId="0" borderId="33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166" fontId="2" fillId="0" borderId="3" xfId="0" applyNumberFormat="1" applyFont="1" applyFill="1" applyBorder="1"/>
    <xf numFmtId="0" fontId="0" fillId="0" borderId="0" xfId="0" applyFill="1"/>
    <xf numFmtId="49" fontId="16" fillId="0" borderId="33" xfId="0" applyNumberFormat="1" applyFont="1" applyFill="1" applyBorder="1" applyAlignment="1">
      <alignment horizontal="center"/>
    </xf>
    <xf numFmtId="49" fontId="16" fillId="0" borderId="2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7" fillId="0" borderId="0" xfId="0" applyFont="1" applyFill="1"/>
    <xf numFmtId="0" fontId="15" fillId="0" borderId="0" xfId="0" applyFont="1" applyFill="1"/>
    <xf numFmtId="49" fontId="0" fillId="0" borderId="34" xfId="0" applyNumberFormat="1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49" fontId="0" fillId="0" borderId="33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15" fillId="0" borderId="33" xfId="0" applyNumberFormat="1" applyFont="1" applyFill="1" applyBorder="1" applyAlignment="1">
      <alignment horizontal="center"/>
    </xf>
    <xf numFmtId="49" fontId="15" fillId="0" borderId="2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49" fontId="14" fillId="0" borderId="33" xfId="0" applyNumberFormat="1" applyFont="1" applyFill="1" applyBorder="1" applyAlignment="1">
      <alignment horizontal="center"/>
    </xf>
    <xf numFmtId="49" fontId="14" fillId="0" borderId="2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49" fontId="0" fillId="0" borderId="26" xfId="0" applyNumberFormat="1" applyFill="1" applyBorder="1" applyAlignment="1">
      <alignment horizontal="center"/>
    </xf>
    <xf numFmtId="49" fontId="0" fillId="0" borderId="37" xfId="0" applyNumberForma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49" fontId="17" fillId="0" borderId="33" xfId="0" applyNumberFormat="1" applyFont="1" applyFill="1" applyBorder="1" applyAlignment="1">
      <alignment horizontal="center"/>
    </xf>
    <xf numFmtId="49" fontId="17" fillId="0" borderId="2" xfId="0" applyNumberFormat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" fillId="0" borderId="39" xfId="0" applyFont="1" applyBorder="1" applyAlignment="1">
      <alignment vertical="top" wrapText="1"/>
    </xf>
    <xf numFmtId="167" fontId="2" fillId="0" borderId="35" xfId="1" applyNumberFormat="1" applyFont="1" applyBorder="1"/>
    <xf numFmtId="0" fontId="0" fillId="0" borderId="6" xfId="0" applyFill="1" applyBorder="1" applyAlignment="1">
      <alignment horizontal="left"/>
    </xf>
    <xf numFmtId="0" fontId="16" fillId="0" borderId="6" xfId="0" applyFont="1" applyFill="1" applyBorder="1" applyAlignment="1">
      <alignment horizontal="left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/>
    </xf>
    <xf numFmtId="0" fontId="0" fillId="0" borderId="6" xfId="0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wrapText="1"/>
    </xf>
    <xf numFmtId="0" fontId="14" fillId="0" borderId="6" xfId="0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0" fillId="0" borderId="36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17" fillId="0" borderId="6" xfId="0" applyFont="1" applyFill="1" applyBorder="1" applyAlignment="1">
      <alignment horizontal="left"/>
    </xf>
    <xf numFmtId="0" fontId="2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21" fillId="0" borderId="0" xfId="3" applyFont="1" applyAlignment="1">
      <alignment vertical="center"/>
    </xf>
    <xf numFmtId="0" fontId="20" fillId="0" borderId="1" xfId="3" applyFont="1" applyBorder="1" applyAlignment="1">
      <alignment vertical="center"/>
    </xf>
    <xf numFmtId="0" fontId="21" fillId="0" borderId="1" xfId="3" applyFont="1" applyBorder="1" applyAlignment="1">
      <alignment vertical="center"/>
    </xf>
    <xf numFmtId="168" fontId="0" fillId="0" borderId="0" xfId="4" applyNumberFormat="1" applyFont="1" applyBorder="1"/>
    <xf numFmtId="41" fontId="0" fillId="0" borderId="0" xfId="4" applyFont="1"/>
    <xf numFmtId="41" fontId="0" fillId="0" borderId="0" xfId="0" applyNumberFormat="1"/>
    <xf numFmtId="167" fontId="5" fillId="0" borderId="1" xfId="1" applyNumberFormat="1" applyFont="1" applyBorder="1"/>
    <xf numFmtId="0" fontId="20" fillId="0" borderId="0" xfId="3" applyFont="1" applyBorder="1" applyAlignment="1">
      <alignment vertical="center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horizontal="center" vertical="top" wrapText="1"/>
    </xf>
    <xf numFmtId="15" fontId="4" fillId="0" borderId="0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left"/>
    </xf>
    <xf numFmtId="0" fontId="13" fillId="0" borderId="2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22" xfId="0" applyFont="1" applyBorder="1" applyAlignment="1">
      <alignment horizontal="right"/>
    </xf>
    <xf numFmtId="0" fontId="13" fillId="0" borderId="21" xfId="0" applyFont="1" applyBorder="1" applyAlignment="1">
      <alignment horizontal="right"/>
    </xf>
    <xf numFmtId="0" fontId="13" fillId="0" borderId="23" xfId="0" applyFont="1" applyBorder="1" applyAlignment="1">
      <alignment horizontal="right"/>
    </xf>
    <xf numFmtId="0" fontId="8" fillId="0" borderId="0" xfId="2" applyAlignment="1">
      <alignment horizontal="center"/>
    </xf>
  </cellXfs>
  <cellStyles count="5">
    <cellStyle name="Comma [0]" xfId="4" builtinId="6"/>
    <cellStyle name="Normal" xfId="0" builtinId="0"/>
    <cellStyle name="Normal 2" xfId="2" xr:uid="{00000000-0005-0000-0000-000001000000}"/>
    <cellStyle name="Normal 2 2" xfId="3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Truck Composition for Kampala - Jinja</a:t>
            </a:r>
            <a:r>
              <a:rPr lang="en-US" sz="1400" b="1" baseline="0"/>
              <a:t> Highway</a:t>
            </a:r>
            <a:endParaRPr lang="en-US" sz="1400" b="1"/>
          </a:p>
        </c:rich>
      </c:tx>
      <c:layout>
        <c:manualLayout>
          <c:xMode val="edge"/>
          <c:yMode val="edge"/>
          <c:x val="0.18979532600532667"/>
          <c:y val="4.5644252760869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374999999999999"/>
          <c:y val="0.13726649305555555"/>
          <c:w val="0.8525880758807588"/>
          <c:h val="0.71693148153192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Kampala-Jinja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7A-47F7-B39B-2A6931503B36}"/>
              </c:ext>
            </c:extLst>
          </c:dPt>
          <c:dPt>
            <c:idx val="1"/>
            <c:invertIfNegative val="0"/>
            <c:bubble3D val="0"/>
            <c:explosion val="1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7A-47F7-B39B-2A6931503B36}"/>
              </c:ext>
            </c:extLst>
          </c:dPt>
          <c:dPt>
            <c:idx val="2"/>
            <c:invertIfNegative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7A-47F7-B39B-2A6931503B36}"/>
              </c:ext>
            </c:extLst>
          </c:dPt>
          <c:cat>
            <c:strRef>
              <c:f>Graphs!$B$5:$B$7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Graphs!$C$5:$C$7</c:f>
              <c:numCache>
                <c:formatCode>General</c:formatCode>
                <c:ptCount val="3"/>
                <c:pt idx="0">
                  <c:v>148</c:v>
                </c:pt>
                <c:pt idx="1">
                  <c:v>59</c:v>
                </c:pt>
                <c:pt idx="2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7A-47F7-B39B-2A6931503B36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Jinja-Kampala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Graphs!$D$5:$D$7</c:f>
              <c:numCache>
                <c:formatCode>General</c:formatCode>
                <c:ptCount val="3"/>
                <c:pt idx="0">
                  <c:v>17</c:v>
                </c:pt>
                <c:pt idx="1">
                  <c:v>13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7A-47F7-B39B-2A693150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5989920"/>
        <c:axId val="624706576"/>
      </c:barChart>
      <c:catAx>
        <c:axId val="7359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4706576"/>
        <c:crosses val="autoZero"/>
        <c:auto val="1"/>
        <c:lblAlgn val="ctr"/>
        <c:lblOffset val="100"/>
        <c:noMultiLvlLbl val="0"/>
      </c:catAx>
      <c:valAx>
        <c:axId val="6247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Truck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Composition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359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Truck Loading (Kampala - </a:t>
            </a:r>
            <a:r>
              <a:rPr lang="en-US" sz="1400" b="1" i="0" u="none" strike="noStrike" baseline="0">
                <a:effectLst/>
              </a:rPr>
              <a:t>Jinja</a:t>
            </a:r>
            <a:r>
              <a:rPr lang="en-US" sz="1400" b="1">
                <a:solidFill>
                  <a:sysClr val="windowText" lastClr="000000"/>
                </a:solidFill>
              </a:rPr>
              <a:t> Higwhay)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Kampala-Jinja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Graphs!$C$29:$C$31</c:f>
              <c:numCache>
                <c:formatCode>0.0</c:formatCode>
                <c:ptCount val="3"/>
                <c:pt idx="0">
                  <c:v>9.0525675675675696</c:v>
                </c:pt>
                <c:pt idx="1">
                  <c:v>17.758474576271183</c:v>
                </c:pt>
                <c:pt idx="2">
                  <c:v>27.766574074074065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8-4AE8-ABA3-5C04A5820F40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Jinja-Kampala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Graphs!$D$29:$D$31</c:f>
              <c:numCache>
                <c:formatCode>0.0</c:formatCode>
                <c:ptCount val="3"/>
                <c:pt idx="0">
                  <c:v>14.094117647058825</c:v>
                </c:pt>
                <c:pt idx="1">
                  <c:v>24.138461538461538</c:v>
                </c:pt>
                <c:pt idx="2">
                  <c:v>39.695333333333338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8-4AE8-ABA3-5C04A5820F40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Graphs!$E$29:$E$31</c:f>
              <c:numCache>
                <c:formatCode>0.0</c:formatCode>
                <c:ptCount val="3"/>
                <c:pt idx="0">
                  <c:v>11.573342607313197</c:v>
                </c:pt>
                <c:pt idx="1">
                  <c:v>20.948468057366362</c:v>
                </c:pt>
                <c:pt idx="2">
                  <c:v>33.730953703703705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8-4AE8-ABA3-5C04A5820F40}"/>
            </c:ext>
          </c:extLst>
        </c:ser>
        <c:ser>
          <c:idx val="3"/>
          <c:order val="3"/>
          <c:tx>
            <c:strRef>
              <c:f>Graphs!$F$28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Graphs!$F$29:$F$31</c:f>
              <c:numCache>
                <c:formatCode>General</c:formatCode>
                <c:ptCount val="3"/>
                <c:pt idx="0">
                  <c:v>18</c:v>
                </c:pt>
                <c:pt idx="1">
                  <c:v>27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8-4AE8-ABA3-5C04A5820F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Truck Loading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Proportion of Overloaded Trucks (Kampala-</a:t>
            </a:r>
            <a:r>
              <a:rPr lang="en-US" sz="1400" b="1" i="0" u="none" strike="noStrike" baseline="0">
                <a:effectLst/>
              </a:rPr>
              <a:t>Jinja</a:t>
            </a:r>
            <a:r>
              <a:rPr lang="en-US" b="1">
                <a:solidFill>
                  <a:sysClr val="windowText" lastClr="000000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Kampala-Jinja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Graphs!$C$57:$C$59</c:f>
              <c:numCache>
                <c:formatCode>0.0%</c:formatCode>
                <c:ptCount val="3"/>
                <c:pt idx="0">
                  <c:v>0.14864864864864866</c:v>
                </c:pt>
                <c:pt idx="1">
                  <c:v>0.1864406779661017</c:v>
                </c:pt>
                <c:pt idx="2">
                  <c:v>0.19907407407407407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3-456B-BBB3-B7F6CD058C24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Jinja-Kampala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Graphs!$D$57:$D$59</c:f>
              <c:numCache>
                <c:formatCode>0.0%</c:formatCode>
                <c:ptCount val="3"/>
                <c:pt idx="0">
                  <c:v>0.52941176470588236</c:v>
                </c:pt>
                <c:pt idx="1">
                  <c:v>0.76923076923076927</c:v>
                </c:pt>
                <c:pt idx="2">
                  <c:v>0.37777777777777777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3-456B-BBB3-B7F6CD058C24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Graphs!$E$57:$E$59</c:f>
              <c:numCache>
                <c:formatCode>0.0%</c:formatCode>
                <c:ptCount val="3"/>
                <c:pt idx="0">
                  <c:v>0.33903020667726552</c:v>
                </c:pt>
                <c:pt idx="1">
                  <c:v>0.47783572359843551</c:v>
                </c:pt>
                <c:pt idx="2">
                  <c:v>0.28842592592592592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3-456B-BBB3-B7F6CD058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Overloading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Percentage By Which Vehicles Are</a:t>
            </a:r>
            <a:r>
              <a:rPr lang="en-US" sz="1400" b="1" baseline="0">
                <a:solidFill>
                  <a:sysClr val="windowText" lastClr="000000"/>
                </a:solidFill>
              </a:rPr>
              <a:t> Overloaded (Kampala-</a:t>
            </a:r>
            <a:r>
              <a:rPr lang="en-US" sz="1400" b="1" i="0" u="none" strike="noStrike" baseline="0">
                <a:effectLst/>
              </a:rPr>
              <a:t>Jinja</a:t>
            </a:r>
            <a:r>
              <a:rPr lang="en-US" sz="1400" b="1" baseline="0">
                <a:solidFill>
                  <a:sysClr val="windowText" lastClr="000000"/>
                </a:solidFill>
              </a:rPr>
              <a:t>)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413569001226599"/>
          <c:y val="9.7963675213675216E-2"/>
          <c:w val="0.82436564718183825"/>
          <c:h val="0.67389401709401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Graphs!$N$40</c:f>
              <c:strCache>
                <c:ptCount val="1"/>
                <c:pt idx="0">
                  <c:v>Kampala-Jinja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Graphs!$N$41:$N$44</c:f>
              <c:numCache>
                <c:formatCode>0.0%</c:formatCode>
                <c:ptCount val="4"/>
                <c:pt idx="0">
                  <c:v>0.85815602836879434</c:v>
                </c:pt>
                <c:pt idx="1">
                  <c:v>0.10401891252955082</c:v>
                </c:pt>
                <c:pt idx="2">
                  <c:v>2.8368794326241134E-2</c:v>
                </c:pt>
                <c:pt idx="3">
                  <c:v>9.4562647754137114E-3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B-431F-90E9-03AE14314FCF}"/>
            </c:ext>
          </c:extLst>
        </c:ser>
        <c:ser>
          <c:idx val="1"/>
          <c:order val="1"/>
          <c:tx>
            <c:strRef>
              <c:f>Graphs!$O$40</c:f>
              <c:strCache>
                <c:ptCount val="1"/>
                <c:pt idx="0">
                  <c:v>Jinja-Kampala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Graphs!$O$41:$O$44</c:f>
              <c:numCache>
                <c:formatCode>0.0%</c:formatCode>
                <c:ptCount val="4"/>
                <c:pt idx="0">
                  <c:v>0.66666666666666663</c:v>
                </c:pt>
                <c:pt idx="1">
                  <c:v>0.21333333333333335</c:v>
                </c:pt>
                <c:pt idx="2">
                  <c:v>0.12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B-431F-90E9-03AE14314F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620641328"/>
        <c:axId val="620643624"/>
      </c:barChart>
      <c:catAx>
        <c:axId val="6206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3624"/>
        <c:crosses val="autoZero"/>
        <c:auto val="1"/>
        <c:lblAlgn val="ctr"/>
        <c:lblOffset val="100"/>
        <c:noMultiLvlLbl val="0"/>
      </c:catAx>
      <c:valAx>
        <c:axId val="62064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Percentage By Which Overloaded</a:t>
                </a:r>
              </a:p>
            </c:rich>
          </c:tx>
          <c:layout>
            <c:manualLayout>
              <c:xMode val="edge"/>
              <c:yMode val="edge"/>
              <c:x val="0.36296796766604333"/>
              <c:y val="0.84897222222222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Load Description (Kampala-</a:t>
            </a:r>
            <a:r>
              <a:rPr lang="en-US" sz="1400" b="1" i="0" u="none" strike="noStrike" baseline="0">
                <a:effectLst/>
              </a:rPr>
              <a:t>Jinja</a:t>
            </a:r>
            <a:r>
              <a:rPr lang="en-US" sz="1400" b="1">
                <a:solidFill>
                  <a:sysClr val="windowText" lastClr="000000"/>
                </a:solidFill>
              </a:rPr>
              <a:t> Highway)</a:t>
            </a:r>
          </a:p>
        </c:rich>
      </c:tx>
      <c:layout>
        <c:manualLayout>
          <c:xMode val="edge"/>
          <c:yMode val="edge"/>
          <c:x val="0.32064069134850776"/>
          <c:y val="1.68366389941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Graphs!$M$4</c:f>
              <c:strCache>
                <c:ptCount val="1"/>
                <c:pt idx="0">
                  <c:v>Kampala-Jinja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Graphs!$M$5:$M$15</c:f>
              <c:numCache>
                <c:formatCode>0.0%</c:formatCode>
                <c:ptCount val="11"/>
                <c:pt idx="0">
                  <c:v>9.4562647754137114E-2</c:v>
                </c:pt>
                <c:pt idx="1">
                  <c:v>4.7281323877068557E-3</c:v>
                </c:pt>
                <c:pt idx="2">
                  <c:v>8.9834515366430265E-2</c:v>
                </c:pt>
                <c:pt idx="3">
                  <c:v>3.7825059101654845E-2</c:v>
                </c:pt>
                <c:pt idx="4">
                  <c:v>7.0921985815602835E-3</c:v>
                </c:pt>
                <c:pt idx="5">
                  <c:v>0.1276595744680851</c:v>
                </c:pt>
                <c:pt idx="6">
                  <c:v>4.7281323877068557E-3</c:v>
                </c:pt>
                <c:pt idx="7">
                  <c:v>0</c:v>
                </c:pt>
                <c:pt idx="8">
                  <c:v>0.1867612293144208</c:v>
                </c:pt>
                <c:pt idx="9">
                  <c:v>0.29550827423167847</c:v>
                </c:pt>
                <c:pt idx="10">
                  <c:v>0.15130023640661938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F-406E-A29F-651BE60CC981}"/>
            </c:ext>
          </c:extLst>
        </c:ser>
        <c:ser>
          <c:idx val="1"/>
          <c:order val="1"/>
          <c:tx>
            <c:strRef>
              <c:f>Graphs!$N$4</c:f>
              <c:strCache>
                <c:ptCount val="1"/>
                <c:pt idx="0">
                  <c:v>Jinja-Kampala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Graphs!$N$5:$N$15</c:f>
              <c:numCache>
                <c:formatCode>0.0%</c:formatCode>
                <c:ptCount val="11"/>
                <c:pt idx="0">
                  <c:v>0.28000000000000003</c:v>
                </c:pt>
                <c:pt idx="1">
                  <c:v>0</c:v>
                </c:pt>
                <c:pt idx="2">
                  <c:v>0.16</c:v>
                </c:pt>
                <c:pt idx="3">
                  <c:v>0.04</c:v>
                </c:pt>
                <c:pt idx="4">
                  <c:v>0</c:v>
                </c:pt>
                <c:pt idx="5">
                  <c:v>0.16</c:v>
                </c:pt>
                <c:pt idx="6">
                  <c:v>1.3333333333333334E-2</c:v>
                </c:pt>
                <c:pt idx="7">
                  <c:v>0</c:v>
                </c:pt>
                <c:pt idx="8">
                  <c:v>0.24</c:v>
                </c:pt>
                <c:pt idx="9">
                  <c:v>0</c:v>
                </c:pt>
                <c:pt idx="10">
                  <c:v>0.10666666666666667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F-406E-A29F-651BE60CC9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619720880"/>
        <c:axId val="619721536"/>
      </c:barChart>
      <c:catAx>
        <c:axId val="61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1536"/>
        <c:crosses val="autoZero"/>
        <c:auto val="1"/>
        <c:lblAlgn val="ctr"/>
        <c:lblOffset val="100"/>
        <c:noMultiLvlLbl val="0"/>
      </c:catAx>
      <c:valAx>
        <c:axId val="6197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297180</xdr:colOff>
      <xdr:row>3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77700" y="182880"/>
          <a:ext cx="1516380" cy="381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297180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B026A-F014-4FF6-AD4E-07EF0500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297180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3C91E-6969-4456-91A2-86816324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13</xdr:col>
      <xdr:colOff>297180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7589F-32D1-40A8-ACC3-EF92E417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12314</xdr:colOff>
      <xdr:row>2</xdr:row>
      <xdr:rowOff>165870</xdr:rowOff>
    </xdr:from>
    <xdr:to>
      <xdr:col>9</xdr:col>
      <xdr:colOff>1047981</xdr:colOff>
      <xdr:row>25</xdr:row>
      <xdr:rowOff>117203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3D017-DF3B-47A3-A205-6890B67D8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14429</xdr:colOff>
      <xdr:row>26</xdr:row>
      <xdr:rowOff>160095</xdr:rowOff>
    </xdr:from>
    <xdr:to>
      <xdr:col>9</xdr:col>
      <xdr:colOff>1050096</xdr:colOff>
      <xdr:row>51</xdr:row>
      <xdr:rowOff>5595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EE68B-81C1-4E11-810A-544FAF08F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14622</xdr:colOff>
      <xdr:row>53</xdr:row>
      <xdr:rowOff>61672</xdr:rowOff>
    </xdr:from>
    <xdr:to>
      <xdr:col>9</xdr:col>
      <xdr:colOff>1063144</xdr:colOff>
      <xdr:row>77</xdr:row>
      <xdr:rowOff>127480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637F3-DE73-4EA7-AD04-C3D78AF7D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602287</xdr:colOff>
      <xdr:row>44</xdr:row>
      <xdr:rowOff>188096</xdr:rowOff>
    </xdr:from>
    <xdr:to>
      <xdr:col>21</xdr:col>
      <xdr:colOff>444500</xdr:colOff>
      <xdr:row>68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17B29-8FE4-46DC-82CB-13E2A7EB8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69273</xdr:colOff>
      <xdr:row>1</xdr:row>
      <xdr:rowOff>65806</xdr:rowOff>
    </xdr:from>
    <xdr:to>
      <xdr:col>23</xdr:col>
      <xdr:colOff>398318</xdr:colOff>
      <xdr:row>36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B91BD0-E5C4-4345-B42F-A241F63FC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421821</xdr:colOff>
      <xdr:row>1</xdr:row>
      <xdr:rowOff>149678</xdr:rowOff>
    </xdr:from>
    <xdr:to>
      <xdr:col>20</xdr:col>
      <xdr:colOff>555170</xdr:colOff>
      <xdr:row>28</xdr:row>
      <xdr:rowOff>62593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D06D2FE-9C02-431B-BC3E-404B3AB2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296" y="311603"/>
          <a:ext cx="3181349" cy="4284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485775</xdr:colOff>
      <xdr:row>1</xdr:row>
      <xdr:rowOff>57149</xdr:rowOff>
    </xdr:from>
    <xdr:to>
      <xdr:col>31</xdr:col>
      <xdr:colOff>464910</xdr:colOff>
      <xdr:row>44</xdr:row>
      <xdr:rowOff>52887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12A98F-9D0B-4473-8423-8A348D763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19074"/>
          <a:ext cx="5465535" cy="71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6"/>
  <sheetViews>
    <sheetView view="pageBreakPreview" zoomScale="75" zoomScaleNormal="100" zoomScaleSheetLayoutView="7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1" sqref="N11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6" x14ac:dyDescent="0.25">
      <c r="A2" s="2" t="s">
        <v>1</v>
      </c>
      <c r="B2" s="2"/>
      <c r="C2" s="2"/>
      <c r="D2" s="2" t="s">
        <v>2</v>
      </c>
      <c r="E2" s="18" t="s">
        <v>29</v>
      </c>
      <c r="F2" s="14"/>
      <c r="G2" s="2"/>
      <c r="H2" s="3"/>
      <c r="I2" s="2"/>
      <c r="J2" s="2"/>
      <c r="K2" s="2"/>
      <c r="L2" s="2"/>
      <c r="M2" s="3"/>
      <c r="N2" s="4"/>
      <c r="O2" s="2"/>
    </row>
    <row r="3" spans="1:16" ht="15.75" thickBot="1" x14ac:dyDescent="0.3">
      <c r="A3" s="119">
        <v>43772</v>
      </c>
      <c r="B3" s="119"/>
      <c r="C3" s="2"/>
      <c r="D3" s="6"/>
      <c r="E3" s="18"/>
      <c r="F3" s="14"/>
      <c r="G3" s="2"/>
      <c r="H3" s="22" t="s">
        <v>28</v>
      </c>
      <c r="I3" s="2"/>
      <c r="J3" s="2"/>
      <c r="K3" s="2"/>
      <c r="L3" s="2"/>
      <c r="M3" s="4"/>
      <c r="N3" s="4"/>
      <c r="O3" s="2"/>
    </row>
    <row r="4" spans="1:16" s="1" customFormat="1" ht="14.45" customHeight="1" x14ac:dyDescent="0.25">
      <c r="A4" s="112" t="s">
        <v>3</v>
      </c>
      <c r="B4" s="114" t="s">
        <v>4</v>
      </c>
      <c r="C4" s="111" t="s">
        <v>5</v>
      </c>
      <c r="D4" s="111" t="s">
        <v>16</v>
      </c>
      <c r="E4" s="117" t="s">
        <v>6</v>
      </c>
      <c r="F4" s="117" t="s">
        <v>7</v>
      </c>
      <c r="G4" s="7" t="s">
        <v>17</v>
      </c>
      <c r="H4" s="111"/>
      <c r="I4" s="111"/>
      <c r="J4" s="111"/>
      <c r="K4" s="111"/>
      <c r="L4" s="111"/>
      <c r="M4" s="111"/>
      <c r="N4" s="111" t="s">
        <v>15</v>
      </c>
      <c r="O4" s="111" t="s">
        <v>18</v>
      </c>
      <c r="P4" s="108" t="s">
        <v>19</v>
      </c>
    </row>
    <row r="5" spans="1:16" ht="13.9" customHeight="1" thickBot="1" x14ac:dyDescent="0.3">
      <c r="A5" s="113"/>
      <c r="B5" s="115"/>
      <c r="C5" s="116"/>
      <c r="D5" s="116"/>
      <c r="E5" s="118"/>
      <c r="F5" s="118"/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116"/>
      <c r="O5" s="116"/>
      <c r="P5" s="109"/>
    </row>
    <row r="6" spans="1:16" ht="24" customHeight="1" x14ac:dyDescent="0.25">
      <c r="A6" s="10">
        <v>1</v>
      </c>
      <c r="B6" s="9">
        <v>0.40625</v>
      </c>
      <c r="C6" s="5" t="s">
        <v>31</v>
      </c>
      <c r="D6" s="5">
        <v>12</v>
      </c>
      <c r="E6" s="15" t="s">
        <v>55</v>
      </c>
      <c r="F6" s="15" t="s">
        <v>20</v>
      </c>
      <c r="G6" s="19">
        <v>6.8</v>
      </c>
      <c r="H6" s="19">
        <v>7.8</v>
      </c>
      <c r="I6" s="19">
        <v>7.4</v>
      </c>
      <c r="J6" s="19">
        <v>7.3</v>
      </c>
      <c r="K6" s="19">
        <v>6.1</v>
      </c>
      <c r="L6" s="19">
        <v>6.3</v>
      </c>
      <c r="M6" s="19"/>
      <c r="N6" s="17">
        <f t="shared" ref="N6:N17" si="0">SUM(G6:M6)</f>
        <v>41.699999999999996</v>
      </c>
      <c r="O6" s="12"/>
      <c r="P6" s="8" t="s">
        <v>64</v>
      </c>
    </row>
    <row r="7" spans="1:16" ht="24" customHeight="1" x14ac:dyDescent="0.25">
      <c r="A7" s="10">
        <v>2</v>
      </c>
      <c r="B7" s="9">
        <v>0.41875000000000001</v>
      </c>
      <c r="C7" s="5" t="s">
        <v>32</v>
      </c>
      <c r="D7" s="5">
        <v>12</v>
      </c>
      <c r="E7" s="15" t="s">
        <v>55</v>
      </c>
      <c r="F7" s="15" t="s">
        <v>20</v>
      </c>
      <c r="G7" s="19">
        <v>5.55</v>
      </c>
      <c r="H7" s="19">
        <v>3.8</v>
      </c>
      <c r="I7" s="19">
        <v>7.6</v>
      </c>
      <c r="J7" s="19">
        <v>5.45</v>
      </c>
      <c r="K7" s="19">
        <v>5.0999999999999996</v>
      </c>
      <c r="L7" s="19">
        <v>4.75</v>
      </c>
      <c r="M7" s="19"/>
      <c r="N7" s="17">
        <f t="shared" si="0"/>
        <v>32.25</v>
      </c>
      <c r="O7" s="12"/>
      <c r="P7" s="8" t="s">
        <v>64</v>
      </c>
    </row>
    <row r="8" spans="1:16" ht="24" customHeight="1" x14ac:dyDescent="0.25">
      <c r="A8" s="10">
        <v>3</v>
      </c>
      <c r="B8" s="9">
        <v>0.4236111111111111</v>
      </c>
      <c r="C8" s="5" t="s">
        <v>33</v>
      </c>
      <c r="D8" s="5">
        <v>12</v>
      </c>
      <c r="E8" s="15" t="s">
        <v>55</v>
      </c>
      <c r="F8" s="15" t="s">
        <v>20</v>
      </c>
      <c r="G8" s="19">
        <v>5.0999999999999996</v>
      </c>
      <c r="H8" s="19">
        <v>3.35</v>
      </c>
      <c r="I8" s="19">
        <v>10.199999999999999</v>
      </c>
      <c r="J8" s="19">
        <v>8.1</v>
      </c>
      <c r="K8" s="19">
        <v>7.9</v>
      </c>
      <c r="L8" s="19">
        <v>7.3</v>
      </c>
      <c r="M8" s="19"/>
      <c r="N8" s="17">
        <f t="shared" si="0"/>
        <v>41.949999999999996</v>
      </c>
      <c r="O8" s="12"/>
      <c r="P8" s="8" t="s">
        <v>25</v>
      </c>
    </row>
    <row r="9" spans="1:16" ht="24" customHeight="1" x14ac:dyDescent="0.25">
      <c r="A9" s="10">
        <v>4</v>
      </c>
      <c r="B9" s="9">
        <v>0.4375</v>
      </c>
      <c r="C9" s="5" t="s">
        <v>34</v>
      </c>
      <c r="D9" s="5">
        <v>12</v>
      </c>
      <c r="E9" s="15" t="s">
        <v>55</v>
      </c>
      <c r="F9" s="15" t="s">
        <v>20</v>
      </c>
      <c r="G9" s="13">
        <v>5.7</v>
      </c>
      <c r="H9" s="13">
        <v>5.95</v>
      </c>
      <c r="I9" s="13">
        <v>8.9</v>
      </c>
      <c r="J9" s="13">
        <v>8.1999999999999993</v>
      </c>
      <c r="K9" s="13">
        <v>6.6</v>
      </c>
      <c r="L9" s="13">
        <v>7.45</v>
      </c>
      <c r="M9" s="13"/>
      <c r="N9" s="17">
        <f t="shared" si="0"/>
        <v>42.800000000000004</v>
      </c>
      <c r="O9" s="12"/>
      <c r="P9" s="8" t="s">
        <v>25</v>
      </c>
    </row>
    <row r="10" spans="1:16" ht="24" customHeight="1" x14ac:dyDescent="0.25">
      <c r="A10" s="10">
        <v>5</v>
      </c>
      <c r="B10" s="9">
        <v>0.44097222222222227</v>
      </c>
      <c r="C10" s="5" t="s">
        <v>35</v>
      </c>
      <c r="D10" s="21">
        <v>7</v>
      </c>
      <c r="E10" s="15" t="s">
        <v>56</v>
      </c>
      <c r="F10" s="15" t="s">
        <v>21</v>
      </c>
      <c r="G10" s="13">
        <v>3.4</v>
      </c>
      <c r="H10" s="13">
        <v>8.5500000000000007</v>
      </c>
      <c r="I10" s="13"/>
      <c r="J10" s="13"/>
      <c r="K10" s="13"/>
      <c r="L10" s="13"/>
      <c r="M10" s="13"/>
      <c r="N10" s="17">
        <f t="shared" si="0"/>
        <v>11.950000000000001</v>
      </c>
      <c r="O10" s="12"/>
      <c r="P10" s="8" t="s">
        <v>25</v>
      </c>
    </row>
    <row r="11" spans="1:16" ht="24" customHeight="1" x14ac:dyDescent="0.25">
      <c r="A11" s="10">
        <v>6</v>
      </c>
      <c r="B11" s="9">
        <v>0.46249999999999997</v>
      </c>
      <c r="C11" s="5" t="s">
        <v>36</v>
      </c>
      <c r="D11" s="5">
        <v>13</v>
      </c>
      <c r="E11" s="15" t="s">
        <v>59</v>
      </c>
      <c r="F11" s="15" t="s">
        <v>129</v>
      </c>
      <c r="G11" s="13">
        <v>5.75</v>
      </c>
      <c r="H11" s="13">
        <v>5.0999999999999996</v>
      </c>
      <c r="I11" s="13">
        <v>3.85</v>
      </c>
      <c r="J11" s="13">
        <v>5.45</v>
      </c>
      <c r="K11" s="13">
        <v>4.5</v>
      </c>
      <c r="L11" s="13">
        <v>5.75</v>
      </c>
      <c r="M11" s="13">
        <v>5.25</v>
      </c>
      <c r="N11" s="17">
        <f t="shared" si="0"/>
        <v>35.65</v>
      </c>
      <c r="O11" s="12"/>
      <c r="P11" s="8" t="s">
        <v>65</v>
      </c>
    </row>
    <row r="12" spans="1:16" ht="24" customHeight="1" x14ac:dyDescent="0.25">
      <c r="A12" s="10">
        <v>7</v>
      </c>
      <c r="B12" s="9">
        <v>0.47152777777777777</v>
      </c>
      <c r="C12" s="5" t="s">
        <v>37</v>
      </c>
      <c r="D12" s="5">
        <v>8</v>
      </c>
      <c r="E12" s="15" t="s">
        <v>60</v>
      </c>
      <c r="F12" s="15" t="s">
        <v>61</v>
      </c>
      <c r="G12" s="13">
        <v>7.1</v>
      </c>
      <c r="H12" s="13">
        <v>9.1999999999999993</v>
      </c>
      <c r="I12" s="13">
        <v>5.8</v>
      </c>
      <c r="J12" s="13"/>
      <c r="K12" s="13"/>
      <c r="L12" s="13"/>
      <c r="M12" s="13"/>
      <c r="N12" s="17">
        <f t="shared" si="0"/>
        <v>22.099999999999998</v>
      </c>
      <c r="O12" s="12"/>
      <c r="P12" s="8" t="s">
        <v>23</v>
      </c>
    </row>
    <row r="13" spans="1:16" ht="24" customHeight="1" x14ac:dyDescent="0.25">
      <c r="A13" s="10">
        <v>8</v>
      </c>
      <c r="B13" s="9">
        <v>0.49305555555555558</v>
      </c>
      <c r="C13" s="5" t="s">
        <v>38</v>
      </c>
      <c r="D13" s="5">
        <v>12</v>
      </c>
      <c r="E13" s="15" t="s">
        <v>55</v>
      </c>
      <c r="F13" s="15" t="s">
        <v>20</v>
      </c>
      <c r="G13" s="13">
        <v>4.9000000000000004</v>
      </c>
      <c r="H13" s="13">
        <v>6.6</v>
      </c>
      <c r="I13" s="13">
        <v>6.75</v>
      </c>
      <c r="J13" s="13">
        <v>8.3000000000000007</v>
      </c>
      <c r="K13" s="13">
        <v>8.25</v>
      </c>
      <c r="L13" s="13">
        <v>8.0500000000000007</v>
      </c>
      <c r="M13" s="13"/>
      <c r="N13" s="17">
        <f t="shared" si="0"/>
        <v>42.849999999999994</v>
      </c>
      <c r="O13" s="12"/>
      <c r="P13" s="8" t="s">
        <v>27</v>
      </c>
    </row>
    <row r="14" spans="1:16" ht="24" customHeight="1" x14ac:dyDescent="0.25">
      <c r="A14" s="10">
        <v>9</v>
      </c>
      <c r="B14" s="9">
        <v>0.5083333333333333</v>
      </c>
      <c r="C14" s="5" t="s">
        <v>39</v>
      </c>
      <c r="D14" s="5">
        <v>8</v>
      </c>
      <c r="E14" s="15" t="s">
        <v>60</v>
      </c>
      <c r="F14" s="15" t="s">
        <v>26</v>
      </c>
      <c r="G14" s="13">
        <v>7.45</v>
      </c>
      <c r="H14" s="13">
        <v>7.3</v>
      </c>
      <c r="I14" s="13">
        <v>7.75</v>
      </c>
      <c r="J14" s="13"/>
      <c r="K14" s="13"/>
      <c r="L14" s="13"/>
      <c r="M14" s="13"/>
      <c r="N14" s="17">
        <f t="shared" si="0"/>
        <v>22.5</v>
      </c>
      <c r="O14" s="12"/>
      <c r="P14" s="8" t="s">
        <v>66</v>
      </c>
    </row>
    <row r="15" spans="1:16" ht="24" customHeight="1" x14ac:dyDescent="0.25">
      <c r="A15" s="10">
        <v>10</v>
      </c>
      <c r="B15" s="9">
        <v>0.52083333333333337</v>
      </c>
      <c r="C15" s="5" t="s">
        <v>40</v>
      </c>
      <c r="D15" s="5">
        <v>7</v>
      </c>
      <c r="E15" s="15" t="s">
        <v>56</v>
      </c>
      <c r="F15" s="15" t="s">
        <v>21</v>
      </c>
      <c r="G15" s="13">
        <v>3.9</v>
      </c>
      <c r="H15" s="13">
        <v>9.1999999999999993</v>
      </c>
      <c r="I15" s="13"/>
      <c r="J15" s="13"/>
      <c r="K15" s="13"/>
      <c r="L15" s="13"/>
      <c r="M15" s="13"/>
      <c r="N15" s="17">
        <f t="shared" si="0"/>
        <v>13.1</v>
      </c>
      <c r="O15" s="12"/>
      <c r="P15" s="8" t="s">
        <v>24</v>
      </c>
    </row>
    <row r="16" spans="1:16" ht="24" customHeight="1" x14ac:dyDescent="0.25">
      <c r="A16" s="10">
        <v>11</v>
      </c>
      <c r="B16" s="9">
        <v>0.52430555555555558</v>
      </c>
      <c r="C16" s="5" t="s">
        <v>41</v>
      </c>
      <c r="D16" s="5">
        <v>10</v>
      </c>
      <c r="E16" s="15" t="s">
        <v>57</v>
      </c>
      <c r="F16" s="15" t="s">
        <v>62</v>
      </c>
      <c r="G16" s="13">
        <v>6.9</v>
      </c>
      <c r="H16" s="13">
        <v>10.1</v>
      </c>
      <c r="I16" s="13">
        <v>7.25</v>
      </c>
      <c r="J16" s="13">
        <v>2.6</v>
      </c>
      <c r="K16" s="13"/>
      <c r="L16" s="13"/>
      <c r="M16" s="13"/>
      <c r="N16" s="12">
        <f t="shared" si="0"/>
        <v>26.85</v>
      </c>
      <c r="O16" s="12"/>
      <c r="P16" s="8" t="s">
        <v>23</v>
      </c>
    </row>
    <row r="17" spans="1:16" ht="24" customHeight="1" x14ac:dyDescent="0.25">
      <c r="A17" s="10">
        <v>12</v>
      </c>
      <c r="B17" s="9">
        <v>0.52777777777777779</v>
      </c>
      <c r="C17" s="5" t="s">
        <v>42</v>
      </c>
      <c r="D17" s="5">
        <v>12</v>
      </c>
      <c r="E17" s="15" t="s">
        <v>55</v>
      </c>
      <c r="F17" s="23" t="s">
        <v>20</v>
      </c>
      <c r="G17" s="13">
        <v>6.6</v>
      </c>
      <c r="H17" s="13">
        <v>5.25</v>
      </c>
      <c r="I17" s="13">
        <v>8.1999999999999993</v>
      </c>
      <c r="J17" s="13">
        <v>7.05</v>
      </c>
      <c r="K17" s="13">
        <v>5.75</v>
      </c>
      <c r="L17" s="13">
        <v>6.85</v>
      </c>
      <c r="M17" s="13"/>
      <c r="N17" s="12">
        <f t="shared" si="0"/>
        <v>39.699999999999996</v>
      </c>
      <c r="O17" s="12"/>
      <c r="P17" s="8" t="s">
        <v>65</v>
      </c>
    </row>
    <row r="18" spans="1:16" ht="24" customHeight="1" x14ac:dyDescent="0.25">
      <c r="A18" s="10">
        <v>13</v>
      </c>
      <c r="B18" s="9">
        <v>0.54652777777777783</v>
      </c>
      <c r="C18" s="5" t="s">
        <v>43</v>
      </c>
      <c r="D18" s="5">
        <v>7</v>
      </c>
      <c r="E18" s="15" t="s">
        <v>56</v>
      </c>
      <c r="F18" s="15" t="s">
        <v>21</v>
      </c>
      <c r="G18" s="13">
        <v>3.25</v>
      </c>
      <c r="H18" s="13">
        <v>12.85</v>
      </c>
      <c r="I18" s="13"/>
      <c r="J18" s="13"/>
      <c r="K18" s="13"/>
      <c r="L18" s="13"/>
      <c r="M18" s="13"/>
      <c r="N18" s="17">
        <f t="shared" ref="N18:N29" si="1">SUM(G18:M18)</f>
        <v>16.100000000000001</v>
      </c>
      <c r="O18" s="12"/>
      <c r="P18" s="8" t="s">
        <v>64</v>
      </c>
    </row>
    <row r="19" spans="1:16" ht="24" customHeight="1" x14ac:dyDescent="0.25">
      <c r="A19" s="10">
        <v>14</v>
      </c>
      <c r="B19" s="9">
        <v>0.54722222222222217</v>
      </c>
      <c r="C19" s="5" t="s">
        <v>44</v>
      </c>
      <c r="D19" s="5">
        <v>12</v>
      </c>
      <c r="E19" s="15" t="s">
        <v>55</v>
      </c>
      <c r="F19" s="15" t="s">
        <v>20</v>
      </c>
      <c r="G19" s="13">
        <v>5.75</v>
      </c>
      <c r="H19" s="13">
        <v>5.4</v>
      </c>
      <c r="I19" s="13">
        <v>5.5</v>
      </c>
      <c r="J19" s="13">
        <v>6.3</v>
      </c>
      <c r="K19" s="13">
        <v>7.2</v>
      </c>
      <c r="L19" s="13">
        <v>5.3</v>
      </c>
      <c r="M19" s="13"/>
      <c r="N19" s="17">
        <f t="shared" si="1"/>
        <v>35.449999999999996</v>
      </c>
      <c r="O19" s="12"/>
      <c r="P19" s="8" t="s">
        <v>25</v>
      </c>
    </row>
    <row r="20" spans="1:16" ht="24" customHeight="1" x14ac:dyDescent="0.25">
      <c r="A20" s="10">
        <v>15</v>
      </c>
      <c r="B20" s="9">
        <v>0.55555555555555558</v>
      </c>
      <c r="C20" s="5" t="s">
        <v>45</v>
      </c>
      <c r="D20" s="5">
        <v>7</v>
      </c>
      <c r="E20" s="15" t="s">
        <v>56</v>
      </c>
      <c r="F20" s="15" t="s">
        <v>21</v>
      </c>
      <c r="G20" s="13">
        <v>3.85</v>
      </c>
      <c r="H20" s="13">
        <v>9.1</v>
      </c>
      <c r="I20" s="13"/>
      <c r="J20" s="13"/>
      <c r="K20" s="13"/>
      <c r="L20" s="13"/>
      <c r="M20" s="13"/>
      <c r="N20" s="17">
        <f t="shared" si="1"/>
        <v>12.95</v>
      </c>
      <c r="O20" s="12"/>
      <c r="P20" s="8" t="s">
        <v>23</v>
      </c>
    </row>
    <row r="21" spans="1:16" ht="24" customHeight="1" x14ac:dyDescent="0.25">
      <c r="A21" s="10">
        <v>16</v>
      </c>
      <c r="B21" s="9">
        <v>0.60416666666666663</v>
      </c>
      <c r="C21" s="5" t="s">
        <v>46</v>
      </c>
      <c r="D21" s="5">
        <v>10</v>
      </c>
      <c r="E21" s="15" t="s">
        <v>57</v>
      </c>
      <c r="F21" s="15" t="s">
        <v>62</v>
      </c>
      <c r="G21" s="13">
        <v>6.85</v>
      </c>
      <c r="H21" s="13">
        <v>8.6</v>
      </c>
      <c r="I21" s="13">
        <v>9.6</v>
      </c>
      <c r="J21" s="13">
        <v>2.75</v>
      </c>
      <c r="K21" s="13"/>
      <c r="L21" s="13"/>
      <c r="M21" s="13"/>
      <c r="N21" s="17">
        <f t="shared" si="1"/>
        <v>27.799999999999997</v>
      </c>
      <c r="O21" s="12"/>
      <c r="P21" s="8" t="s">
        <v>23</v>
      </c>
    </row>
    <row r="22" spans="1:16" ht="24" customHeight="1" x14ac:dyDescent="0.25">
      <c r="A22" s="10">
        <v>17</v>
      </c>
      <c r="B22" s="9">
        <v>0.60625000000000007</v>
      </c>
      <c r="C22" s="5" t="s">
        <v>47</v>
      </c>
      <c r="D22" s="5">
        <v>10</v>
      </c>
      <c r="E22" s="15" t="s">
        <v>57</v>
      </c>
      <c r="F22" s="15" t="s">
        <v>63</v>
      </c>
      <c r="G22" s="13">
        <v>6.55</v>
      </c>
      <c r="H22" s="13">
        <v>8</v>
      </c>
      <c r="I22" s="13">
        <v>9</v>
      </c>
      <c r="J22" s="13">
        <v>7.8</v>
      </c>
      <c r="K22" s="13"/>
      <c r="L22" s="13"/>
      <c r="M22" s="13"/>
      <c r="N22" s="17">
        <f t="shared" si="1"/>
        <v>31.35</v>
      </c>
      <c r="O22" s="12"/>
      <c r="P22" s="8" t="s">
        <v>22</v>
      </c>
    </row>
    <row r="23" spans="1:16" ht="24" customHeight="1" x14ac:dyDescent="0.25">
      <c r="A23" s="10">
        <v>18</v>
      </c>
      <c r="B23" s="9">
        <v>0.61944444444444446</v>
      </c>
      <c r="C23" s="5" t="s">
        <v>48</v>
      </c>
      <c r="D23" s="5">
        <v>8</v>
      </c>
      <c r="E23" s="15" t="s">
        <v>60</v>
      </c>
      <c r="F23" s="15" t="s">
        <v>26</v>
      </c>
      <c r="G23" s="13">
        <v>5.3</v>
      </c>
      <c r="H23" s="13">
        <v>9.6</v>
      </c>
      <c r="I23" s="13">
        <v>9.3000000000000007</v>
      </c>
      <c r="J23" s="13"/>
      <c r="K23" s="13"/>
      <c r="L23" s="13"/>
      <c r="M23" s="13"/>
      <c r="N23" s="17">
        <f t="shared" si="1"/>
        <v>24.2</v>
      </c>
      <c r="O23" s="12"/>
      <c r="P23" s="8" t="s">
        <v>23</v>
      </c>
    </row>
    <row r="24" spans="1:16" ht="24" customHeight="1" x14ac:dyDescent="0.25">
      <c r="A24" s="10">
        <v>19</v>
      </c>
      <c r="B24" s="9">
        <v>0.63888888888888895</v>
      </c>
      <c r="C24" s="5" t="s">
        <v>49</v>
      </c>
      <c r="D24" s="5">
        <v>7</v>
      </c>
      <c r="E24" s="15" t="s">
        <v>56</v>
      </c>
      <c r="F24" s="15" t="s">
        <v>21</v>
      </c>
      <c r="G24" s="13">
        <v>3.7</v>
      </c>
      <c r="H24" s="13">
        <v>9.75</v>
      </c>
      <c r="I24" s="13"/>
      <c r="J24" s="13"/>
      <c r="K24" s="13"/>
      <c r="L24" s="13"/>
      <c r="M24" s="13"/>
      <c r="N24" s="17">
        <f t="shared" si="1"/>
        <v>13.45</v>
      </c>
      <c r="O24" s="12"/>
      <c r="P24" s="8" t="s">
        <v>64</v>
      </c>
    </row>
    <row r="25" spans="1:16" ht="24" customHeight="1" x14ac:dyDescent="0.25">
      <c r="A25" s="10">
        <v>20</v>
      </c>
      <c r="B25" s="9">
        <v>0.64236111111111105</v>
      </c>
      <c r="C25" s="5" t="s">
        <v>50</v>
      </c>
      <c r="D25" s="5">
        <v>12</v>
      </c>
      <c r="E25" s="15" t="s">
        <v>55</v>
      </c>
      <c r="F25" s="15" t="s">
        <v>20</v>
      </c>
      <c r="G25" s="13">
        <v>6.6</v>
      </c>
      <c r="H25" s="13">
        <v>8.6999999999999993</v>
      </c>
      <c r="I25" s="13">
        <v>7.4</v>
      </c>
      <c r="J25" s="13">
        <v>7.5</v>
      </c>
      <c r="K25" s="13">
        <v>7.6</v>
      </c>
      <c r="L25" s="13">
        <v>8.4</v>
      </c>
      <c r="M25" s="13"/>
      <c r="N25" s="17">
        <f t="shared" si="1"/>
        <v>46.199999999999996</v>
      </c>
      <c r="O25" s="12"/>
      <c r="P25" s="8" t="s">
        <v>65</v>
      </c>
    </row>
    <row r="26" spans="1:16" ht="24" customHeight="1" x14ac:dyDescent="0.25">
      <c r="A26" s="10">
        <v>21</v>
      </c>
      <c r="B26" s="9">
        <v>0.66875000000000007</v>
      </c>
      <c r="C26" s="5" t="s">
        <v>51</v>
      </c>
      <c r="D26" s="5">
        <v>13</v>
      </c>
      <c r="E26" s="15" t="s">
        <v>59</v>
      </c>
      <c r="F26" s="15" t="s">
        <v>129</v>
      </c>
      <c r="G26" s="13">
        <v>7.1</v>
      </c>
      <c r="H26" s="13">
        <v>7.65</v>
      </c>
      <c r="I26" s="13">
        <v>6.4</v>
      </c>
      <c r="J26" s="13">
        <v>6.25</v>
      </c>
      <c r="K26" s="13">
        <v>8.3000000000000007</v>
      </c>
      <c r="L26" s="13">
        <v>5.9</v>
      </c>
      <c r="M26" s="13">
        <v>5.65</v>
      </c>
      <c r="N26" s="17">
        <f t="shared" si="1"/>
        <v>47.25</v>
      </c>
      <c r="O26" s="12"/>
      <c r="P26" s="8" t="s">
        <v>23</v>
      </c>
    </row>
    <row r="27" spans="1:16" ht="24" customHeight="1" x14ac:dyDescent="0.25">
      <c r="A27" s="10">
        <v>22</v>
      </c>
      <c r="B27" s="9">
        <v>0.67361111111111116</v>
      </c>
      <c r="C27" s="5" t="s">
        <v>52</v>
      </c>
      <c r="D27" s="5">
        <v>12</v>
      </c>
      <c r="E27" s="15" t="s">
        <v>55</v>
      </c>
      <c r="F27" s="15" t="s">
        <v>20</v>
      </c>
      <c r="G27" s="13">
        <v>6.1</v>
      </c>
      <c r="H27" s="13">
        <v>7.35</v>
      </c>
      <c r="I27" s="13">
        <v>6.9</v>
      </c>
      <c r="J27" s="13">
        <v>6.55</v>
      </c>
      <c r="K27" s="13">
        <v>7.15</v>
      </c>
      <c r="L27" s="13">
        <v>9.1</v>
      </c>
      <c r="M27" s="13"/>
      <c r="N27" s="17">
        <f t="shared" si="1"/>
        <v>43.150000000000006</v>
      </c>
      <c r="O27" s="12"/>
      <c r="P27" s="8" t="s">
        <v>64</v>
      </c>
    </row>
    <row r="28" spans="1:16" ht="24" customHeight="1" x14ac:dyDescent="0.25">
      <c r="A28" s="10">
        <v>23</v>
      </c>
      <c r="B28" s="9">
        <v>0.72916666666666663</v>
      </c>
      <c r="C28" s="5" t="s">
        <v>53</v>
      </c>
      <c r="D28" s="5">
        <v>12</v>
      </c>
      <c r="E28" s="15" t="s">
        <v>55</v>
      </c>
      <c r="F28" s="15" t="s">
        <v>20</v>
      </c>
      <c r="G28" s="13">
        <v>5.2</v>
      </c>
      <c r="H28" s="13">
        <v>4.95</v>
      </c>
      <c r="I28" s="13">
        <v>3.45</v>
      </c>
      <c r="J28" s="13">
        <v>4.05</v>
      </c>
      <c r="K28" s="13">
        <v>4</v>
      </c>
      <c r="L28" s="13">
        <v>4.9000000000000004</v>
      </c>
      <c r="M28" s="13"/>
      <c r="N28" s="17">
        <f t="shared" si="1"/>
        <v>26.550000000000004</v>
      </c>
      <c r="O28" s="12"/>
      <c r="P28" s="8" t="s">
        <v>25</v>
      </c>
    </row>
    <row r="29" spans="1:16" ht="24" customHeight="1" x14ac:dyDescent="0.25">
      <c r="A29" s="10">
        <v>24</v>
      </c>
      <c r="B29" s="9">
        <v>0.75</v>
      </c>
      <c r="C29" s="5" t="s">
        <v>54</v>
      </c>
      <c r="D29" s="5">
        <v>12</v>
      </c>
      <c r="E29" s="15" t="s">
        <v>55</v>
      </c>
      <c r="F29" s="15" t="s">
        <v>20</v>
      </c>
      <c r="G29" s="13">
        <v>6.1</v>
      </c>
      <c r="H29" s="13">
        <v>4.9000000000000004</v>
      </c>
      <c r="I29" s="13">
        <v>7.4</v>
      </c>
      <c r="J29" s="13">
        <v>5.3</v>
      </c>
      <c r="K29" s="13">
        <v>7</v>
      </c>
      <c r="L29" s="13">
        <v>7.5</v>
      </c>
      <c r="M29" s="13"/>
      <c r="N29" s="17">
        <f t="shared" si="1"/>
        <v>38.200000000000003</v>
      </c>
      <c r="O29" s="12"/>
      <c r="P29" s="8" t="s">
        <v>22</v>
      </c>
    </row>
    <row r="30" spans="1:16" ht="24" customHeight="1" x14ac:dyDescent="0.25">
      <c r="A30" s="10"/>
      <c r="B30" s="9"/>
      <c r="C30" s="5"/>
      <c r="D30" s="5"/>
      <c r="E30" s="15"/>
      <c r="F30" s="15"/>
      <c r="G30" s="13"/>
      <c r="H30" s="13"/>
      <c r="I30" s="13"/>
      <c r="J30" s="13"/>
      <c r="K30" s="13"/>
      <c r="L30" s="13"/>
      <c r="M30" s="13"/>
      <c r="N30" s="17"/>
      <c r="O30" s="12"/>
      <c r="P30" s="8"/>
    </row>
    <row r="31" spans="1:16" ht="24" customHeight="1" x14ac:dyDescent="0.25">
      <c r="A31" s="10"/>
      <c r="B31" s="9"/>
      <c r="C31" s="5"/>
      <c r="D31" s="5"/>
      <c r="E31" s="15"/>
      <c r="F31" s="15"/>
      <c r="G31" s="13"/>
      <c r="H31" s="13"/>
      <c r="I31" s="13"/>
      <c r="J31" s="13"/>
      <c r="K31" s="13"/>
      <c r="L31" s="13"/>
      <c r="M31" s="13"/>
      <c r="N31" s="17"/>
      <c r="O31" s="12"/>
      <c r="P31" s="8"/>
    </row>
    <row r="32" spans="1:16" ht="24" customHeight="1" x14ac:dyDescent="0.25">
      <c r="A32" s="10"/>
      <c r="B32" s="9"/>
      <c r="C32" s="5"/>
      <c r="D32" s="5"/>
      <c r="E32" s="15"/>
      <c r="F32" s="15"/>
      <c r="G32" s="13"/>
      <c r="H32" s="13"/>
      <c r="I32" s="13"/>
      <c r="J32" s="13"/>
      <c r="K32" s="13"/>
      <c r="L32" s="13"/>
      <c r="M32" s="13"/>
      <c r="N32" s="17"/>
      <c r="O32" s="12"/>
      <c r="P32" s="8"/>
    </row>
    <row r="33" spans="1:16" ht="24" customHeight="1" x14ac:dyDescent="0.25">
      <c r="A33" s="10"/>
      <c r="B33" s="9"/>
      <c r="C33" s="5"/>
      <c r="D33" s="5"/>
      <c r="E33" s="15"/>
      <c r="F33" s="15"/>
      <c r="G33" s="13"/>
      <c r="H33" s="13"/>
      <c r="I33" s="13"/>
      <c r="J33" s="13"/>
      <c r="K33" s="13"/>
      <c r="L33" s="13"/>
      <c r="M33" s="13"/>
      <c r="N33" s="17"/>
      <c r="O33" s="12"/>
      <c r="P33" s="8"/>
    </row>
    <row r="34" spans="1:16" ht="24" customHeight="1" x14ac:dyDescent="0.25">
      <c r="A34" s="10"/>
      <c r="B34" s="9"/>
      <c r="C34" s="5"/>
      <c r="D34" s="5"/>
      <c r="E34" s="15"/>
      <c r="F34" s="15"/>
      <c r="G34" s="13"/>
      <c r="H34" s="13"/>
      <c r="I34" s="13"/>
      <c r="J34" s="13"/>
      <c r="K34" s="13"/>
      <c r="L34" s="13"/>
      <c r="M34" s="13"/>
      <c r="N34" s="17"/>
      <c r="O34" s="12"/>
      <c r="P34" s="8"/>
    </row>
    <row r="35" spans="1:16" ht="24" customHeight="1" x14ac:dyDescent="0.25">
      <c r="A35" s="10"/>
      <c r="B35" s="9"/>
      <c r="C35" s="5"/>
      <c r="D35" s="5"/>
      <c r="E35" s="15"/>
      <c r="F35" s="15"/>
      <c r="G35" s="13"/>
      <c r="H35" s="13"/>
      <c r="I35" s="13"/>
      <c r="J35" s="13"/>
      <c r="K35" s="13"/>
      <c r="L35" s="13"/>
      <c r="M35" s="13"/>
      <c r="N35" s="17"/>
      <c r="O35" s="12"/>
      <c r="P35" s="8"/>
    </row>
    <row r="36" spans="1:16" ht="24" customHeight="1" x14ac:dyDescent="0.25">
      <c r="A36" s="10"/>
      <c r="B36" s="9"/>
      <c r="C36" s="5"/>
      <c r="D36" s="5"/>
      <c r="E36" s="15"/>
      <c r="F36" s="15"/>
      <c r="G36" s="13"/>
      <c r="H36" s="13"/>
      <c r="I36" s="13"/>
      <c r="J36" s="13"/>
      <c r="K36" s="13"/>
      <c r="L36" s="13"/>
      <c r="M36" s="13"/>
      <c r="N36" s="17"/>
      <c r="O36" s="12"/>
      <c r="P36" s="8"/>
    </row>
    <row r="37" spans="1:16" ht="24" customHeight="1" x14ac:dyDescent="0.25">
      <c r="A37" s="10"/>
      <c r="B37" s="9"/>
      <c r="C37" s="5"/>
      <c r="D37" s="5"/>
      <c r="E37" s="15"/>
      <c r="F37" s="15"/>
      <c r="G37" s="13"/>
      <c r="H37" s="13"/>
      <c r="I37" s="13"/>
      <c r="J37" s="13"/>
      <c r="K37" s="13"/>
      <c r="L37" s="13"/>
      <c r="M37" s="13"/>
      <c r="N37" s="17"/>
      <c r="O37" s="12"/>
      <c r="P37" s="8"/>
    </row>
    <row r="38" spans="1:16" ht="24" customHeight="1" x14ac:dyDescent="0.25">
      <c r="A38" s="10"/>
      <c r="B38" s="9"/>
      <c r="C38" s="5"/>
      <c r="D38" s="5"/>
      <c r="E38" s="15"/>
      <c r="F38" s="15"/>
      <c r="G38" s="13"/>
      <c r="H38" s="13"/>
      <c r="I38" s="13"/>
      <c r="J38" s="13"/>
      <c r="K38" s="13"/>
      <c r="L38" s="13"/>
      <c r="M38" s="13"/>
      <c r="N38" s="17"/>
      <c r="O38" s="12"/>
      <c r="P38" s="8"/>
    </row>
    <row r="39" spans="1:16" ht="24" customHeight="1" x14ac:dyDescent="0.25">
      <c r="A39" s="10"/>
      <c r="B39" s="9"/>
      <c r="C39" s="5"/>
      <c r="D39" s="5"/>
      <c r="E39" s="15"/>
      <c r="F39" s="15"/>
      <c r="G39" s="13"/>
      <c r="H39" s="13"/>
      <c r="I39" s="13"/>
      <c r="J39" s="13"/>
      <c r="K39" s="13"/>
      <c r="L39" s="13"/>
      <c r="M39" s="13"/>
      <c r="N39" s="17"/>
      <c r="O39" s="12"/>
      <c r="P39" s="8"/>
    </row>
    <row r="40" spans="1:16" ht="24" customHeight="1" x14ac:dyDescent="0.25">
      <c r="A40" s="10"/>
      <c r="B40" s="9"/>
      <c r="C40" s="5"/>
      <c r="D40" s="5"/>
      <c r="E40" s="15"/>
      <c r="F40" s="15"/>
      <c r="G40" s="13"/>
      <c r="H40" s="13"/>
      <c r="I40" s="13"/>
      <c r="J40" s="13"/>
      <c r="K40" s="13"/>
      <c r="L40" s="13"/>
      <c r="M40" s="13"/>
      <c r="N40" s="17"/>
      <c r="O40" s="12"/>
      <c r="P40" s="8"/>
    </row>
    <row r="41" spans="1:16" ht="24" customHeight="1" x14ac:dyDescent="0.25">
      <c r="A41" s="10"/>
      <c r="B41" s="9"/>
      <c r="C41" s="5"/>
      <c r="D41" s="5"/>
      <c r="E41" s="15"/>
      <c r="F41" s="15"/>
      <c r="G41" s="13"/>
      <c r="H41" s="13"/>
      <c r="I41" s="13"/>
      <c r="J41" s="13"/>
      <c r="K41" s="13"/>
      <c r="L41" s="13"/>
      <c r="M41" s="13"/>
      <c r="N41" s="17"/>
      <c r="O41" s="12"/>
      <c r="P41" s="8"/>
    </row>
    <row r="42" spans="1:16" ht="24" customHeight="1" x14ac:dyDescent="0.25">
      <c r="A42" s="10"/>
      <c r="B42" s="9"/>
      <c r="C42" s="5"/>
      <c r="D42" s="5"/>
      <c r="E42" s="15"/>
      <c r="F42" s="15"/>
      <c r="G42" s="13"/>
      <c r="H42" s="13"/>
      <c r="I42" s="13"/>
      <c r="J42" s="13"/>
      <c r="K42" s="13"/>
      <c r="L42" s="13"/>
      <c r="M42" s="13"/>
      <c r="N42" s="17"/>
      <c r="O42" s="12"/>
      <c r="P42" s="8"/>
    </row>
    <row r="43" spans="1:16" ht="24" customHeight="1" x14ac:dyDescent="0.25">
      <c r="A43" s="10"/>
      <c r="B43" s="9"/>
      <c r="C43" s="5"/>
      <c r="D43" s="5"/>
      <c r="E43" s="15"/>
      <c r="F43" s="15"/>
      <c r="G43" s="13"/>
      <c r="H43" s="13"/>
      <c r="I43" s="13"/>
      <c r="J43" s="13"/>
      <c r="K43" s="13"/>
      <c r="L43" s="13"/>
      <c r="M43" s="13"/>
      <c r="N43" s="17"/>
      <c r="O43" s="12"/>
      <c r="P43" s="8"/>
    </row>
    <row r="44" spans="1:16" ht="24" customHeight="1" x14ac:dyDescent="0.25">
      <c r="A44" s="10"/>
      <c r="B44" s="9"/>
      <c r="C44" s="5"/>
      <c r="D44" s="5"/>
      <c r="E44" s="15"/>
      <c r="F44" s="15"/>
      <c r="G44" s="13"/>
      <c r="H44" s="13"/>
      <c r="I44" s="13"/>
      <c r="J44" s="13"/>
      <c r="K44" s="13"/>
      <c r="L44" s="13"/>
      <c r="M44" s="13"/>
      <c r="N44" s="17"/>
      <c r="O44" s="12"/>
      <c r="P44" s="8"/>
    </row>
    <row r="45" spans="1:16" ht="24" customHeight="1" x14ac:dyDescent="0.25">
      <c r="A45" s="10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7"/>
      <c r="O45" s="12"/>
      <c r="P45" s="8"/>
    </row>
    <row r="46" spans="1:16" ht="24" customHeight="1" x14ac:dyDescent="0.25">
      <c r="A46" s="10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7"/>
      <c r="O46" s="12"/>
      <c r="P46" s="8"/>
    </row>
    <row r="47" spans="1:16" ht="24" customHeight="1" x14ac:dyDescent="0.25">
      <c r="A47" s="10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7"/>
      <c r="O47" s="12"/>
      <c r="P47" s="8"/>
    </row>
    <row r="48" spans="1:16" ht="24" customHeight="1" x14ac:dyDescent="0.25">
      <c r="A48" s="10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7"/>
      <c r="O48" s="12"/>
      <c r="P48" s="8"/>
    </row>
    <row r="49" spans="1:16" ht="24" customHeight="1" x14ac:dyDescent="0.25">
      <c r="A49" s="10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2"/>
      <c r="O49" s="12"/>
      <c r="P49" s="8"/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ht="24" customHeight="1" x14ac:dyDescent="0.25">
      <c r="A51" s="10"/>
      <c r="B51" s="9"/>
      <c r="C51" s="5"/>
      <c r="D51" s="5"/>
      <c r="E51" s="15"/>
      <c r="F51" s="15"/>
      <c r="G51" s="13"/>
      <c r="H51" s="13"/>
      <c r="I51" s="13"/>
      <c r="J51" s="13"/>
      <c r="K51" s="13"/>
      <c r="L51" s="13"/>
      <c r="M51" s="13"/>
      <c r="N51" s="12"/>
      <c r="O51" s="12"/>
      <c r="P51" s="8"/>
    </row>
    <row r="52" spans="1:16" ht="24" customHeight="1" x14ac:dyDescent="0.25">
      <c r="A52" s="10"/>
      <c r="B52" s="9"/>
      <c r="C52" s="5"/>
      <c r="D52" s="5"/>
      <c r="E52" s="15"/>
      <c r="F52" s="15"/>
      <c r="G52" s="13"/>
      <c r="H52" s="13"/>
      <c r="I52" s="13"/>
      <c r="J52" s="13"/>
      <c r="K52" s="13"/>
      <c r="L52" s="13"/>
      <c r="M52" s="13"/>
      <c r="N52" s="12"/>
      <c r="O52" s="12"/>
      <c r="P52" s="8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thickBot="1" x14ac:dyDescent="0.3">
      <c r="A64" s="11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ht="24" customHeight="1" x14ac:dyDescent="0.25"/>
    <row r="66" ht="24" customHeight="1" x14ac:dyDescent="0.25"/>
  </sheetData>
  <mergeCells count="12">
    <mergeCell ref="P4:P5"/>
    <mergeCell ref="A1:O1"/>
    <mergeCell ref="H4:M4"/>
    <mergeCell ref="A4:A5"/>
    <mergeCell ref="B4:B5"/>
    <mergeCell ref="C4:C5"/>
    <mergeCell ref="D4:D5"/>
    <mergeCell ref="E4:E5"/>
    <mergeCell ref="F4:F5"/>
    <mergeCell ref="N4:N5"/>
    <mergeCell ref="O4:O5"/>
    <mergeCell ref="A3:B3"/>
  </mergeCells>
  <printOptions horizontalCentered="1"/>
  <pageMargins left="0.7" right="0.7" top="0.75" bottom="0.75" header="0.3" footer="0.3"/>
  <pageSetup paperSize="9" scale="34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6"/>
  <sheetViews>
    <sheetView view="pageBreakPreview" zoomScale="75" zoomScaleNormal="100" zoomScaleSheetLayoutView="75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A6" sqref="A6:XFD29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2.28515625" customWidth="1"/>
  </cols>
  <sheetData>
    <row r="1" spans="1:16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6" x14ac:dyDescent="0.25">
      <c r="A2" s="2" t="s">
        <v>1</v>
      </c>
      <c r="B2" s="2"/>
      <c r="C2" s="2"/>
      <c r="D2" s="2" t="s">
        <v>2</v>
      </c>
      <c r="E2" s="18" t="s">
        <v>29</v>
      </c>
      <c r="F2" s="14"/>
      <c r="G2" s="2"/>
      <c r="H2" s="3"/>
      <c r="I2" s="2"/>
      <c r="J2" s="2"/>
      <c r="K2" s="2"/>
      <c r="L2" s="2"/>
      <c r="M2" s="3"/>
      <c r="N2" s="4"/>
      <c r="O2" s="2"/>
    </row>
    <row r="3" spans="1:16" ht="15.75" thickBot="1" x14ac:dyDescent="0.3">
      <c r="A3" s="119">
        <v>43773</v>
      </c>
      <c r="B3" s="119"/>
      <c r="C3" s="2"/>
      <c r="D3" s="6" t="s">
        <v>28</v>
      </c>
      <c r="E3" s="18"/>
      <c r="F3" s="14"/>
      <c r="G3" s="2"/>
      <c r="H3" s="3" t="s">
        <v>28</v>
      </c>
      <c r="I3" s="2"/>
      <c r="J3" s="2"/>
      <c r="K3" s="2"/>
      <c r="L3" s="2"/>
      <c r="M3" s="4"/>
      <c r="N3" s="4"/>
      <c r="O3" s="2"/>
    </row>
    <row r="4" spans="1:16" s="1" customFormat="1" ht="14.45" customHeight="1" x14ac:dyDescent="0.25">
      <c r="A4" s="112" t="s">
        <v>3</v>
      </c>
      <c r="B4" s="114" t="s">
        <v>4</v>
      </c>
      <c r="C4" s="111" t="s">
        <v>5</v>
      </c>
      <c r="D4" s="111" t="s">
        <v>16</v>
      </c>
      <c r="E4" s="117" t="s">
        <v>6</v>
      </c>
      <c r="F4" s="117" t="s">
        <v>7</v>
      </c>
      <c r="G4" s="7" t="s">
        <v>17</v>
      </c>
      <c r="H4" s="111"/>
      <c r="I4" s="111"/>
      <c r="J4" s="111"/>
      <c r="K4" s="111"/>
      <c r="L4" s="111"/>
      <c r="M4" s="111"/>
      <c r="N4" s="111" t="s">
        <v>15</v>
      </c>
      <c r="O4" s="111" t="s">
        <v>18</v>
      </c>
      <c r="P4" s="108" t="s">
        <v>19</v>
      </c>
    </row>
    <row r="5" spans="1:16" ht="13.9" customHeight="1" thickBot="1" x14ac:dyDescent="0.3">
      <c r="A5" s="113"/>
      <c r="B5" s="115"/>
      <c r="C5" s="116"/>
      <c r="D5" s="116"/>
      <c r="E5" s="118"/>
      <c r="F5" s="118"/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116"/>
      <c r="O5" s="116"/>
      <c r="P5" s="109"/>
    </row>
    <row r="6" spans="1:16" ht="24" customHeight="1" x14ac:dyDescent="0.25">
      <c r="A6" s="10">
        <v>1</v>
      </c>
      <c r="B6" s="9">
        <v>0.34027777777777773</v>
      </c>
      <c r="C6" s="5" t="s">
        <v>90</v>
      </c>
      <c r="D6" s="5">
        <v>13</v>
      </c>
      <c r="E6" s="15" t="s">
        <v>59</v>
      </c>
      <c r="F6" s="15" t="s">
        <v>129</v>
      </c>
      <c r="G6" s="19">
        <v>5.95</v>
      </c>
      <c r="H6" s="19">
        <v>12.25</v>
      </c>
      <c r="I6" s="19">
        <v>5</v>
      </c>
      <c r="J6" s="19">
        <v>8.35</v>
      </c>
      <c r="K6" s="19">
        <v>6.15</v>
      </c>
      <c r="L6" s="19">
        <v>8.5</v>
      </c>
      <c r="M6" s="19">
        <v>7.35</v>
      </c>
      <c r="N6" s="17">
        <f t="shared" ref="N6:N29" si="0">SUM(G6:M6)</f>
        <v>53.55</v>
      </c>
      <c r="O6" s="12"/>
      <c r="P6" s="8" t="s">
        <v>22</v>
      </c>
    </row>
    <row r="7" spans="1:16" ht="24" customHeight="1" x14ac:dyDescent="0.25">
      <c r="A7" s="10">
        <v>2</v>
      </c>
      <c r="B7" s="9">
        <v>0.34583333333333338</v>
      </c>
      <c r="C7" s="5" t="s">
        <v>89</v>
      </c>
      <c r="D7" s="5">
        <v>12</v>
      </c>
      <c r="E7" s="15" t="s">
        <v>55</v>
      </c>
      <c r="F7" s="15" t="s">
        <v>20</v>
      </c>
      <c r="G7" s="19">
        <v>6.8</v>
      </c>
      <c r="H7" s="19">
        <v>8.8000000000000007</v>
      </c>
      <c r="I7" s="19">
        <v>7.5</v>
      </c>
      <c r="J7" s="19">
        <v>8.4</v>
      </c>
      <c r="K7" s="19">
        <v>8.1999999999999993</v>
      </c>
      <c r="L7" s="19">
        <v>6.8</v>
      </c>
      <c r="M7" s="19"/>
      <c r="N7" s="17">
        <f t="shared" si="0"/>
        <v>46.5</v>
      </c>
      <c r="O7" s="12"/>
      <c r="P7" s="8" t="s">
        <v>22</v>
      </c>
    </row>
    <row r="8" spans="1:16" ht="24" customHeight="1" x14ac:dyDescent="0.25">
      <c r="A8" s="10">
        <v>3</v>
      </c>
      <c r="B8" s="9">
        <v>0.37152777777777773</v>
      </c>
      <c r="C8" s="5" t="s">
        <v>88</v>
      </c>
      <c r="D8" s="5">
        <v>8</v>
      </c>
      <c r="E8" s="15" t="s">
        <v>60</v>
      </c>
      <c r="F8" s="15" t="s">
        <v>26</v>
      </c>
      <c r="G8" s="19">
        <v>4.6500000000000004</v>
      </c>
      <c r="H8" s="19">
        <v>8.6</v>
      </c>
      <c r="I8" s="19">
        <v>10.25</v>
      </c>
      <c r="J8" s="19"/>
      <c r="K8" s="19"/>
      <c r="L8" s="19"/>
      <c r="M8" s="19"/>
      <c r="N8" s="17">
        <f t="shared" si="0"/>
        <v>23.5</v>
      </c>
      <c r="O8" s="12"/>
      <c r="P8" s="8" t="s">
        <v>91</v>
      </c>
    </row>
    <row r="9" spans="1:16" ht="24" customHeight="1" x14ac:dyDescent="0.25">
      <c r="A9" s="10">
        <v>4</v>
      </c>
      <c r="B9" s="9">
        <v>0.3756944444444445</v>
      </c>
      <c r="C9" s="5" t="s">
        <v>87</v>
      </c>
      <c r="D9" s="5">
        <v>12</v>
      </c>
      <c r="E9" s="15" t="s">
        <v>55</v>
      </c>
      <c r="F9" s="15" t="s">
        <v>20</v>
      </c>
      <c r="G9" s="13">
        <v>6.6</v>
      </c>
      <c r="H9" s="13">
        <v>6.7</v>
      </c>
      <c r="I9" s="13">
        <v>6.1</v>
      </c>
      <c r="J9" s="13">
        <v>7</v>
      </c>
      <c r="K9" s="13">
        <v>6.8</v>
      </c>
      <c r="L9" s="13">
        <v>8</v>
      </c>
      <c r="M9" s="13"/>
      <c r="N9" s="17">
        <f t="shared" si="0"/>
        <v>41.199999999999996</v>
      </c>
      <c r="O9" s="12"/>
      <c r="P9" s="8" t="s">
        <v>22</v>
      </c>
    </row>
    <row r="10" spans="1:16" ht="24" customHeight="1" x14ac:dyDescent="0.25">
      <c r="A10" s="10">
        <v>5</v>
      </c>
      <c r="B10" s="9">
        <v>0.38611111111111113</v>
      </c>
      <c r="C10" s="5" t="s">
        <v>86</v>
      </c>
      <c r="D10" s="21">
        <v>7</v>
      </c>
      <c r="E10" s="15" t="s">
        <v>56</v>
      </c>
      <c r="F10" s="15" t="s">
        <v>21</v>
      </c>
      <c r="G10" s="13">
        <v>3.3</v>
      </c>
      <c r="H10" s="13">
        <v>12.65</v>
      </c>
      <c r="I10" s="13"/>
      <c r="J10" s="13"/>
      <c r="K10" s="13"/>
      <c r="L10" s="13"/>
      <c r="M10" s="13"/>
      <c r="N10" s="17">
        <f t="shared" si="0"/>
        <v>15.95</v>
      </c>
      <c r="O10" s="12"/>
      <c r="P10" s="8" t="s">
        <v>91</v>
      </c>
    </row>
    <row r="11" spans="1:16" ht="24" customHeight="1" x14ac:dyDescent="0.25">
      <c r="A11" s="10">
        <v>6</v>
      </c>
      <c r="B11" s="9">
        <v>0.39583333333333331</v>
      </c>
      <c r="C11" s="5" t="s">
        <v>85</v>
      </c>
      <c r="D11" s="5">
        <v>12</v>
      </c>
      <c r="E11" s="15" t="s">
        <v>55</v>
      </c>
      <c r="F11" s="15" t="s">
        <v>20</v>
      </c>
      <c r="G11" s="13">
        <v>5.2</v>
      </c>
      <c r="H11" s="13">
        <v>2.9</v>
      </c>
      <c r="I11" s="13">
        <v>4.8</v>
      </c>
      <c r="J11" s="13">
        <v>5</v>
      </c>
      <c r="K11" s="13">
        <v>4.5</v>
      </c>
      <c r="L11" s="13">
        <v>4.5</v>
      </c>
      <c r="M11" s="13"/>
      <c r="N11" s="17">
        <f t="shared" si="0"/>
        <v>26.9</v>
      </c>
      <c r="O11" s="12"/>
      <c r="P11" s="8" t="s">
        <v>27</v>
      </c>
    </row>
    <row r="12" spans="1:16" ht="24" customHeight="1" x14ac:dyDescent="0.25">
      <c r="A12" s="10">
        <v>7</v>
      </c>
      <c r="B12" s="9">
        <v>0.43055555555555558</v>
      </c>
      <c r="C12" s="5" t="s">
        <v>84</v>
      </c>
      <c r="D12" s="5">
        <v>12</v>
      </c>
      <c r="E12" s="15" t="s">
        <v>55</v>
      </c>
      <c r="F12" s="15" t="s">
        <v>20</v>
      </c>
      <c r="G12" s="13">
        <v>5.4</v>
      </c>
      <c r="H12" s="13">
        <v>6.95</v>
      </c>
      <c r="I12" s="13">
        <v>8.4499999999999993</v>
      </c>
      <c r="J12" s="13">
        <v>8.15</v>
      </c>
      <c r="K12" s="13">
        <v>8.1</v>
      </c>
      <c r="L12" s="13">
        <v>8.1</v>
      </c>
      <c r="M12" s="13"/>
      <c r="N12" s="17">
        <f t="shared" si="0"/>
        <v>45.150000000000006</v>
      </c>
      <c r="O12" s="12"/>
      <c r="P12" s="8" t="s">
        <v>91</v>
      </c>
    </row>
    <row r="13" spans="1:16" ht="24" customHeight="1" x14ac:dyDescent="0.25">
      <c r="A13" s="10">
        <v>8</v>
      </c>
      <c r="B13" s="9">
        <v>0.43263888888888885</v>
      </c>
      <c r="C13" s="5" t="s">
        <v>83</v>
      </c>
      <c r="D13" s="5">
        <v>8</v>
      </c>
      <c r="E13" s="15" t="s">
        <v>60</v>
      </c>
      <c r="F13" s="15" t="s">
        <v>26</v>
      </c>
      <c r="G13" s="13">
        <v>6.2</v>
      </c>
      <c r="H13" s="13">
        <v>14.7</v>
      </c>
      <c r="I13" s="13">
        <v>4.6500000000000004</v>
      </c>
      <c r="J13" s="13"/>
      <c r="K13" s="13"/>
      <c r="L13" s="13"/>
      <c r="M13" s="13"/>
      <c r="N13" s="17">
        <f t="shared" si="0"/>
        <v>25.549999999999997</v>
      </c>
      <c r="O13" s="12"/>
      <c r="P13" s="8" t="s">
        <v>23</v>
      </c>
    </row>
    <row r="14" spans="1:16" ht="24" customHeight="1" x14ac:dyDescent="0.25">
      <c r="A14" s="10">
        <v>9</v>
      </c>
      <c r="B14" s="9">
        <v>0.44722222222222219</v>
      </c>
      <c r="C14" s="5" t="s">
        <v>82</v>
      </c>
      <c r="D14" s="5">
        <v>12</v>
      </c>
      <c r="E14" s="15" t="s">
        <v>55</v>
      </c>
      <c r="F14" s="15" t="s">
        <v>20</v>
      </c>
      <c r="G14" s="13">
        <v>5.25</v>
      </c>
      <c r="H14" s="13">
        <v>4.05</v>
      </c>
      <c r="I14" s="13">
        <v>6.6</v>
      </c>
      <c r="J14" s="13">
        <v>6.45</v>
      </c>
      <c r="K14" s="13">
        <v>5.65</v>
      </c>
      <c r="L14" s="13">
        <v>6.1</v>
      </c>
      <c r="M14" s="13"/>
      <c r="N14" s="17">
        <f t="shared" si="0"/>
        <v>34.1</v>
      </c>
      <c r="O14" s="12"/>
      <c r="P14" s="8" t="s">
        <v>23</v>
      </c>
    </row>
    <row r="15" spans="1:16" ht="24" customHeight="1" x14ac:dyDescent="0.25">
      <c r="A15" s="10">
        <v>10</v>
      </c>
      <c r="B15" s="9">
        <v>0.46180555555555558</v>
      </c>
      <c r="C15" s="5" t="s">
        <v>81</v>
      </c>
      <c r="D15" s="5">
        <v>8</v>
      </c>
      <c r="E15" s="15" t="s">
        <v>60</v>
      </c>
      <c r="F15" s="15" t="s">
        <v>26</v>
      </c>
      <c r="G15" s="13">
        <v>7</v>
      </c>
      <c r="H15" s="13">
        <v>12.8</v>
      </c>
      <c r="I15" s="13">
        <v>4.75</v>
      </c>
      <c r="J15" s="13"/>
      <c r="K15" s="13"/>
      <c r="L15" s="13"/>
      <c r="M15" s="13"/>
      <c r="N15" s="17">
        <f t="shared" si="0"/>
        <v>24.55</v>
      </c>
      <c r="O15" s="12"/>
      <c r="P15" s="8" t="s">
        <v>23</v>
      </c>
    </row>
    <row r="16" spans="1:16" ht="24" customHeight="1" x14ac:dyDescent="0.25">
      <c r="A16" s="10">
        <v>11</v>
      </c>
      <c r="B16" s="9">
        <v>0.50763888888888886</v>
      </c>
      <c r="C16" s="5" t="s">
        <v>80</v>
      </c>
      <c r="D16" s="5">
        <v>12</v>
      </c>
      <c r="E16" s="15" t="s">
        <v>55</v>
      </c>
      <c r="F16" s="15" t="s">
        <v>20</v>
      </c>
      <c r="G16" s="13">
        <v>5.5</v>
      </c>
      <c r="H16" s="13">
        <v>6.95</v>
      </c>
      <c r="I16" s="13">
        <v>7.15</v>
      </c>
      <c r="J16" s="13">
        <v>7.8</v>
      </c>
      <c r="K16" s="13">
        <v>6.7</v>
      </c>
      <c r="L16" s="13">
        <v>8.3000000000000007</v>
      </c>
      <c r="M16" s="13"/>
      <c r="N16" s="17">
        <f t="shared" si="0"/>
        <v>42.400000000000006</v>
      </c>
      <c r="O16" s="12"/>
      <c r="P16" s="8" t="s">
        <v>25</v>
      </c>
    </row>
    <row r="17" spans="1:16" ht="24" customHeight="1" x14ac:dyDescent="0.25">
      <c r="A17" s="10">
        <v>12</v>
      </c>
      <c r="B17" s="9">
        <v>0.51388888888888895</v>
      </c>
      <c r="C17" s="5" t="s">
        <v>79</v>
      </c>
      <c r="D17" s="5">
        <v>12</v>
      </c>
      <c r="E17" s="15" t="s">
        <v>55</v>
      </c>
      <c r="F17" s="15" t="s">
        <v>20</v>
      </c>
      <c r="G17" s="13">
        <v>6.05</v>
      </c>
      <c r="H17" s="13">
        <v>6.25</v>
      </c>
      <c r="I17" s="13">
        <v>6.75</v>
      </c>
      <c r="J17" s="13">
        <v>7.5</v>
      </c>
      <c r="K17" s="13">
        <v>7.85</v>
      </c>
      <c r="L17" s="13">
        <v>7.55</v>
      </c>
      <c r="M17" s="13"/>
      <c r="N17" s="17">
        <f t="shared" si="0"/>
        <v>41.949999999999996</v>
      </c>
      <c r="O17" s="12"/>
      <c r="P17" s="8" t="s">
        <v>27</v>
      </c>
    </row>
    <row r="18" spans="1:16" ht="24" customHeight="1" x14ac:dyDescent="0.25">
      <c r="A18" s="10">
        <v>13</v>
      </c>
      <c r="B18" s="9">
        <v>0.55694444444444446</v>
      </c>
      <c r="C18" s="5" t="s">
        <v>78</v>
      </c>
      <c r="D18" s="5">
        <v>7</v>
      </c>
      <c r="E18" s="15" t="s">
        <v>56</v>
      </c>
      <c r="F18" s="15" t="s">
        <v>21</v>
      </c>
      <c r="G18" s="13">
        <v>3.6</v>
      </c>
      <c r="H18" s="13">
        <v>12.1</v>
      </c>
      <c r="I18" s="13"/>
      <c r="J18" s="13"/>
      <c r="K18" s="13"/>
      <c r="L18" s="13"/>
      <c r="M18" s="13"/>
      <c r="N18" s="17">
        <f t="shared" si="0"/>
        <v>15.7</v>
      </c>
      <c r="O18" s="12"/>
      <c r="P18" s="8" t="s">
        <v>91</v>
      </c>
    </row>
    <row r="19" spans="1:16" ht="24" customHeight="1" x14ac:dyDescent="0.25">
      <c r="A19" s="10">
        <v>14</v>
      </c>
      <c r="B19" s="9">
        <v>0.56944444444444442</v>
      </c>
      <c r="C19" s="5" t="s">
        <v>77</v>
      </c>
      <c r="D19" s="5">
        <v>7</v>
      </c>
      <c r="E19" s="15" t="s">
        <v>56</v>
      </c>
      <c r="F19" s="15" t="s">
        <v>21</v>
      </c>
      <c r="G19" s="13">
        <v>4.1500000000000004</v>
      </c>
      <c r="H19" s="13">
        <v>9.4499999999999993</v>
      </c>
      <c r="I19" s="13"/>
      <c r="J19" s="13"/>
      <c r="K19" s="13"/>
      <c r="L19" s="13"/>
      <c r="M19" s="13"/>
      <c r="N19" s="17">
        <f t="shared" si="0"/>
        <v>13.6</v>
      </c>
      <c r="O19" s="12"/>
      <c r="P19" s="8" t="s">
        <v>91</v>
      </c>
    </row>
    <row r="20" spans="1:16" ht="24" customHeight="1" x14ac:dyDescent="0.25">
      <c r="A20" s="10">
        <v>15</v>
      </c>
      <c r="B20" s="9">
        <v>0.57986111111111105</v>
      </c>
      <c r="C20" s="5" t="s">
        <v>76</v>
      </c>
      <c r="D20" s="5">
        <v>7</v>
      </c>
      <c r="E20" s="15" t="s">
        <v>56</v>
      </c>
      <c r="F20" s="15" t="s">
        <v>21</v>
      </c>
      <c r="G20" s="13">
        <v>3.5</v>
      </c>
      <c r="H20" s="13">
        <v>7.15</v>
      </c>
      <c r="I20" s="13"/>
      <c r="J20" s="13"/>
      <c r="K20" s="13"/>
      <c r="L20" s="13"/>
      <c r="M20" s="13"/>
      <c r="N20" s="17">
        <f t="shared" si="0"/>
        <v>10.65</v>
      </c>
      <c r="O20" s="12"/>
      <c r="P20" s="8" t="s">
        <v>25</v>
      </c>
    </row>
    <row r="21" spans="1:16" ht="24" customHeight="1" x14ac:dyDescent="0.25">
      <c r="A21" s="10">
        <v>16</v>
      </c>
      <c r="B21" s="9">
        <v>0.58402777777777781</v>
      </c>
      <c r="C21" s="5" t="s">
        <v>75</v>
      </c>
      <c r="D21" s="5">
        <v>7</v>
      </c>
      <c r="E21" s="15" t="s">
        <v>56</v>
      </c>
      <c r="F21" s="15" t="s">
        <v>21</v>
      </c>
      <c r="G21" s="13">
        <v>5.6</v>
      </c>
      <c r="H21" s="13">
        <v>10.7</v>
      </c>
      <c r="I21" s="13"/>
      <c r="J21" s="13"/>
      <c r="K21" s="13"/>
      <c r="L21" s="13"/>
      <c r="M21" s="13"/>
      <c r="N21" s="17">
        <f t="shared" si="0"/>
        <v>16.299999999999997</v>
      </c>
      <c r="O21" s="12"/>
      <c r="P21" s="8" t="s">
        <v>23</v>
      </c>
    </row>
    <row r="22" spans="1:16" ht="24" customHeight="1" x14ac:dyDescent="0.25">
      <c r="A22" s="10">
        <v>17</v>
      </c>
      <c r="B22" s="9">
        <v>0.58888888888888891</v>
      </c>
      <c r="C22" s="5" t="s">
        <v>74</v>
      </c>
      <c r="D22" s="5">
        <v>7</v>
      </c>
      <c r="E22" s="15" t="s">
        <v>56</v>
      </c>
      <c r="F22" s="15" t="s">
        <v>21</v>
      </c>
      <c r="G22" s="13">
        <v>3.55</v>
      </c>
      <c r="H22" s="13">
        <v>10.1</v>
      </c>
      <c r="I22" s="13"/>
      <c r="J22" s="13"/>
      <c r="K22" s="13"/>
      <c r="L22" s="13"/>
      <c r="M22" s="13"/>
      <c r="N22" s="17">
        <f t="shared" si="0"/>
        <v>13.649999999999999</v>
      </c>
      <c r="O22" s="12"/>
      <c r="P22" s="8" t="s">
        <v>91</v>
      </c>
    </row>
    <row r="23" spans="1:16" ht="24" customHeight="1" x14ac:dyDescent="0.25">
      <c r="A23" s="10">
        <v>18</v>
      </c>
      <c r="B23" s="9">
        <v>0.59236111111111112</v>
      </c>
      <c r="C23" s="5" t="s">
        <v>73</v>
      </c>
      <c r="D23" s="5">
        <v>7</v>
      </c>
      <c r="E23" s="15" t="s">
        <v>56</v>
      </c>
      <c r="F23" s="15" t="s">
        <v>21</v>
      </c>
      <c r="G23" s="13">
        <v>3.2</v>
      </c>
      <c r="H23" s="13">
        <v>11</v>
      </c>
      <c r="I23" s="13"/>
      <c r="J23" s="13"/>
      <c r="K23" s="13"/>
      <c r="L23" s="13"/>
      <c r="M23" s="13"/>
      <c r="N23" s="17">
        <f t="shared" si="0"/>
        <v>14.2</v>
      </c>
      <c r="O23" s="12"/>
      <c r="P23" s="8" t="s">
        <v>91</v>
      </c>
    </row>
    <row r="24" spans="1:16" ht="24" customHeight="1" x14ac:dyDescent="0.25">
      <c r="A24" s="10">
        <v>19</v>
      </c>
      <c r="B24" s="9">
        <v>0.61111111111111105</v>
      </c>
      <c r="C24" s="5" t="s">
        <v>72</v>
      </c>
      <c r="D24" s="5">
        <v>12</v>
      </c>
      <c r="E24" s="15" t="s">
        <v>55</v>
      </c>
      <c r="F24" s="15" t="s">
        <v>20</v>
      </c>
      <c r="G24" s="13">
        <v>4.3</v>
      </c>
      <c r="H24" s="13">
        <v>4.95</v>
      </c>
      <c r="I24" s="13">
        <v>6.6</v>
      </c>
      <c r="J24" s="13">
        <v>6</v>
      </c>
      <c r="K24" s="13">
        <v>6.2</v>
      </c>
      <c r="L24" s="13">
        <v>7.2</v>
      </c>
      <c r="M24" s="13"/>
      <c r="N24" s="17">
        <f t="shared" si="0"/>
        <v>35.25</v>
      </c>
      <c r="O24" s="12"/>
      <c r="P24" s="8" t="s">
        <v>25</v>
      </c>
    </row>
    <row r="25" spans="1:16" ht="24" customHeight="1" x14ac:dyDescent="0.25">
      <c r="A25" s="10">
        <v>20</v>
      </c>
      <c r="B25" s="9">
        <v>0.63263888888888886</v>
      </c>
      <c r="C25" s="5" t="s">
        <v>71</v>
      </c>
      <c r="D25" s="5">
        <v>8</v>
      </c>
      <c r="E25" s="15" t="s">
        <v>60</v>
      </c>
      <c r="F25" s="15" t="s">
        <v>26</v>
      </c>
      <c r="G25" s="13">
        <v>4.3499999999999996</v>
      </c>
      <c r="H25" s="13">
        <v>10.199999999999999</v>
      </c>
      <c r="I25" s="13">
        <v>10.85</v>
      </c>
      <c r="J25" s="13"/>
      <c r="K25" s="13"/>
      <c r="L25" s="13"/>
      <c r="M25" s="13"/>
      <c r="N25" s="17">
        <f t="shared" si="0"/>
        <v>25.4</v>
      </c>
      <c r="O25" s="12"/>
      <c r="P25" s="8" t="s">
        <v>91</v>
      </c>
    </row>
    <row r="26" spans="1:16" ht="24" customHeight="1" x14ac:dyDescent="0.25">
      <c r="A26" s="10">
        <v>21</v>
      </c>
      <c r="B26" s="9">
        <v>0.63750000000000007</v>
      </c>
      <c r="C26" s="5" t="s">
        <v>70</v>
      </c>
      <c r="D26" s="5">
        <v>12</v>
      </c>
      <c r="E26" s="15" t="s">
        <v>55</v>
      </c>
      <c r="F26" s="15" t="s">
        <v>20</v>
      </c>
      <c r="G26" s="13">
        <v>5.3</v>
      </c>
      <c r="H26" s="13">
        <v>6.8</v>
      </c>
      <c r="I26" s="13">
        <v>6.5</v>
      </c>
      <c r="J26" s="13">
        <v>7.4</v>
      </c>
      <c r="K26" s="13">
        <v>7.5</v>
      </c>
      <c r="L26" s="13">
        <v>8.1</v>
      </c>
      <c r="M26" s="13"/>
      <c r="N26" s="17">
        <f t="shared" si="0"/>
        <v>41.6</v>
      </c>
      <c r="O26" s="12"/>
      <c r="P26" s="8" t="s">
        <v>23</v>
      </c>
    </row>
    <row r="27" spans="1:16" ht="24" customHeight="1" x14ac:dyDescent="0.25">
      <c r="A27" s="10">
        <v>22</v>
      </c>
      <c r="B27" s="9">
        <v>0.63541666666666663</v>
      </c>
      <c r="C27" s="5" t="s">
        <v>69</v>
      </c>
      <c r="D27" s="5">
        <v>12</v>
      </c>
      <c r="E27" s="15" t="s">
        <v>55</v>
      </c>
      <c r="F27" s="15" t="s">
        <v>20</v>
      </c>
      <c r="G27" s="13">
        <v>5</v>
      </c>
      <c r="H27" s="13">
        <v>5.0999999999999996</v>
      </c>
      <c r="I27" s="13">
        <v>6.3</v>
      </c>
      <c r="J27" s="13">
        <v>7.4</v>
      </c>
      <c r="K27" s="13">
        <v>6.7</v>
      </c>
      <c r="L27" s="13">
        <v>8</v>
      </c>
      <c r="M27" s="13"/>
      <c r="N27" s="17">
        <f t="shared" si="0"/>
        <v>38.5</v>
      </c>
      <c r="O27" s="12"/>
      <c r="P27" s="8" t="s">
        <v>91</v>
      </c>
    </row>
    <row r="28" spans="1:16" ht="24" customHeight="1" x14ac:dyDescent="0.25">
      <c r="A28" s="10">
        <v>23</v>
      </c>
      <c r="B28" s="9">
        <v>0.66666666666666663</v>
      </c>
      <c r="C28" s="5" t="s">
        <v>68</v>
      </c>
      <c r="D28" s="5">
        <v>12</v>
      </c>
      <c r="E28" s="15" t="s">
        <v>55</v>
      </c>
      <c r="F28" s="15" t="s">
        <v>20</v>
      </c>
      <c r="G28" s="13">
        <v>6.5</v>
      </c>
      <c r="H28" s="13">
        <v>6.1</v>
      </c>
      <c r="I28" s="13">
        <v>5.6</v>
      </c>
      <c r="J28" s="13">
        <v>5.65</v>
      </c>
      <c r="K28" s="13">
        <v>7.9</v>
      </c>
      <c r="L28" s="13">
        <v>9.5500000000000007</v>
      </c>
      <c r="M28" s="13"/>
      <c r="N28" s="17">
        <f t="shared" si="0"/>
        <v>41.3</v>
      </c>
      <c r="O28" s="12"/>
      <c r="P28" s="8" t="s">
        <v>23</v>
      </c>
    </row>
    <row r="29" spans="1:16" ht="24" customHeight="1" x14ac:dyDescent="0.25">
      <c r="A29" s="10">
        <v>24</v>
      </c>
      <c r="B29" s="9">
        <v>0.6791666666666667</v>
      </c>
      <c r="C29" s="5" t="s">
        <v>67</v>
      </c>
      <c r="D29" s="5">
        <v>8</v>
      </c>
      <c r="E29" s="15" t="s">
        <v>60</v>
      </c>
      <c r="F29" s="15" t="s">
        <v>26</v>
      </c>
      <c r="G29" s="13">
        <v>4.95</v>
      </c>
      <c r="H29" s="13">
        <v>9.0500000000000007</v>
      </c>
      <c r="I29" s="13">
        <v>9.4499999999999993</v>
      </c>
      <c r="J29" s="13"/>
      <c r="K29" s="13"/>
      <c r="L29" s="13"/>
      <c r="M29" s="13"/>
      <c r="N29" s="17">
        <f t="shared" si="0"/>
        <v>23.45</v>
      </c>
      <c r="O29" s="12"/>
      <c r="P29" s="8" t="s">
        <v>91</v>
      </c>
    </row>
    <row r="30" spans="1:16" ht="24" customHeight="1" x14ac:dyDescent="0.25">
      <c r="A30" s="10"/>
      <c r="B30" s="9"/>
      <c r="C30" s="5"/>
      <c r="D30" s="5"/>
      <c r="E30" s="15"/>
      <c r="F30" s="15"/>
      <c r="G30" s="13"/>
      <c r="H30" s="13"/>
      <c r="I30" s="13"/>
      <c r="J30" s="13"/>
      <c r="K30" s="13"/>
      <c r="L30" s="13"/>
      <c r="M30" s="13"/>
      <c r="N30" s="17"/>
      <c r="O30" s="12"/>
      <c r="P30" s="8"/>
    </row>
    <row r="31" spans="1:16" ht="24" customHeight="1" x14ac:dyDescent="0.25">
      <c r="A31" s="10"/>
      <c r="B31" s="9"/>
      <c r="C31" s="5"/>
      <c r="D31" s="5"/>
      <c r="E31" s="15"/>
      <c r="F31" s="15"/>
      <c r="G31" s="13"/>
      <c r="H31" s="13"/>
      <c r="I31" s="13"/>
      <c r="J31" s="13"/>
      <c r="K31" s="13"/>
      <c r="L31" s="13"/>
      <c r="M31" s="13"/>
      <c r="N31" s="17"/>
      <c r="O31" s="12"/>
      <c r="P31" s="8"/>
    </row>
    <row r="32" spans="1:16" ht="24" customHeight="1" x14ac:dyDescent="0.25">
      <c r="A32" s="10"/>
      <c r="B32" s="9"/>
      <c r="C32" s="5"/>
      <c r="D32" s="5"/>
      <c r="E32" s="15"/>
      <c r="F32" s="15"/>
      <c r="G32" s="13"/>
      <c r="H32" s="13"/>
      <c r="I32" s="13"/>
      <c r="J32" s="13"/>
      <c r="K32" s="13"/>
      <c r="L32" s="13"/>
      <c r="M32" s="13"/>
      <c r="N32" s="17"/>
      <c r="O32" s="12"/>
      <c r="P32" s="8"/>
    </row>
    <row r="33" spans="1:16" ht="24" customHeight="1" x14ac:dyDescent="0.25">
      <c r="A33" s="10"/>
      <c r="B33" s="9"/>
      <c r="C33" s="5"/>
      <c r="D33" s="5"/>
      <c r="E33" s="15"/>
      <c r="F33" s="15"/>
      <c r="G33" s="13"/>
      <c r="H33" s="13"/>
      <c r="I33" s="13"/>
      <c r="J33" s="13"/>
      <c r="K33" s="13"/>
      <c r="L33" s="13"/>
      <c r="M33" s="13"/>
      <c r="N33" s="17"/>
      <c r="O33" s="12"/>
      <c r="P33" s="8"/>
    </row>
    <row r="34" spans="1:16" ht="24" customHeight="1" x14ac:dyDescent="0.25">
      <c r="A34" s="10"/>
      <c r="B34" s="9"/>
      <c r="C34" s="5"/>
      <c r="D34" s="5"/>
      <c r="E34" s="15"/>
      <c r="F34" s="15"/>
      <c r="G34" s="13"/>
      <c r="H34" s="13"/>
      <c r="I34" s="13"/>
      <c r="J34" s="13"/>
      <c r="K34" s="13"/>
      <c r="L34" s="13"/>
      <c r="M34" s="13"/>
      <c r="N34" s="17"/>
      <c r="O34" s="12"/>
      <c r="P34" s="8"/>
    </row>
    <row r="35" spans="1:16" ht="24" customHeight="1" x14ac:dyDescent="0.25">
      <c r="A35" s="10"/>
      <c r="B35" s="9"/>
      <c r="C35" s="5"/>
      <c r="D35" s="5"/>
      <c r="E35" s="15"/>
      <c r="F35" s="15"/>
      <c r="G35" s="13"/>
      <c r="H35" s="13"/>
      <c r="I35" s="13"/>
      <c r="J35" s="13"/>
      <c r="K35" s="13"/>
      <c r="L35" s="13"/>
      <c r="M35" s="13"/>
      <c r="N35" s="17"/>
      <c r="O35" s="12"/>
      <c r="P35" s="8"/>
    </row>
    <row r="36" spans="1:16" ht="24" customHeight="1" x14ac:dyDescent="0.25">
      <c r="A36" s="10"/>
      <c r="B36" s="9"/>
      <c r="C36" s="5"/>
      <c r="D36" s="5"/>
      <c r="E36" s="15"/>
      <c r="F36" s="15"/>
      <c r="G36" s="13"/>
      <c r="H36" s="13"/>
      <c r="I36" s="13"/>
      <c r="J36" s="13"/>
      <c r="K36" s="13"/>
      <c r="L36" s="13"/>
      <c r="M36" s="13"/>
      <c r="N36" s="17"/>
      <c r="O36" s="12"/>
      <c r="P36" s="8"/>
    </row>
    <row r="37" spans="1:16" ht="24" customHeight="1" x14ac:dyDescent="0.25">
      <c r="A37" s="10"/>
      <c r="B37" s="9"/>
      <c r="C37" s="5"/>
      <c r="D37" s="5"/>
      <c r="E37" s="15"/>
      <c r="F37" s="15"/>
      <c r="G37" s="13"/>
      <c r="H37" s="13"/>
      <c r="I37" s="13"/>
      <c r="J37" s="13"/>
      <c r="K37" s="13"/>
      <c r="L37" s="13"/>
      <c r="M37" s="13"/>
      <c r="N37" s="17"/>
      <c r="O37" s="12"/>
      <c r="P37" s="8"/>
    </row>
    <row r="38" spans="1:16" ht="24" customHeight="1" x14ac:dyDescent="0.25">
      <c r="A38" s="10"/>
      <c r="B38" s="9"/>
      <c r="C38" s="5"/>
      <c r="D38" s="5"/>
      <c r="E38" s="15"/>
      <c r="F38" s="15"/>
      <c r="G38" s="13"/>
      <c r="H38" s="13"/>
      <c r="I38" s="13"/>
      <c r="J38" s="13"/>
      <c r="K38" s="13"/>
      <c r="L38" s="13"/>
      <c r="M38" s="13"/>
      <c r="N38" s="17"/>
      <c r="O38" s="12"/>
      <c r="P38" s="8"/>
    </row>
    <row r="39" spans="1:16" ht="24" customHeight="1" x14ac:dyDescent="0.25">
      <c r="A39" s="10"/>
      <c r="B39" s="9"/>
      <c r="C39" s="5"/>
      <c r="D39" s="5"/>
      <c r="E39" s="15"/>
      <c r="F39" s="15"/>
      <c r="G39" s="13"/>
      <c r="H39" s="13"/>
      <c r="I39" s="13"/>
      <c r="J39" s="13"/>
      <c r="K39" s="13"/>
      <c r="L39" s="13"/>
      <c r="M39" s="13"/>
      <c r="N39" s="17"/>
      <c r="O39" s="12"/>
      <c r="P39" s="8"/>
    </row>
    <row r="40" spans="1:16" ht="24" customHeight="1" x14ac:dyDescent="0.25">
      <c r="A40" s="10"/>
      <c r="B40" s="9"/>
      <c r="C40" s="5"/>
      <c r="D40" s="5"/>
      <c r="E40" s="15"/>
      <c r="F40" s="15"/>
      <c r="G40" s="13"/>
      <c r="H40" s="13"/>
      <c r="I40" s="13"/>
      <c r="J40" s="13"/>
      <c r="K40" s="13"/>
      <c r="L40" s="13"/>
      <c r="M40" s="13"/>
      <c r="N40" s="17"/>
      <c r="O40" s="12"/>
      <c r="P40" s="8"/>
    </row>
    <row r="41" spans="1:16" ht="24" customHeight="1" x14ac:dyDescent="0.25">
      <c r="A41" s="10"/>
      <c r="B41" s="9"/>
      <c r="C41" s="5"/>
      <c r="D41" s="5"/>
      <c r="E41" s="15"/>
      <c r="F41" s="15"/>
      <c r="G41" s="13"/>
      <c r="H41" s="13"/>
      <c r="I41" s="13"/>
      <c r="J41" s="13"/>
      <c r="K41" s="13"/>
      <c r="L41" s="13"/>
      <c r="M41" s="13"/>
      <c r="N41" s="17"/>
      <c r="O41" s="12"/>
      <c r="P41" s="8"/>
    </row>
    <row r="42" spans="1:16" ht="24" customHeight="1" x14ac:dyDescent="0.25">
      <c r="A42" s="10"/>
      <c r="B42" s="9"/>
      <c r="C42" s="5"/>
      <c r="D42" s="5"/>
      <c r="E42" s="15"/>
      <c r="F42" s="15"/>
      <c r="G42" s="13"/>
      <c r="H42" s="13"/>
      <c r="I42" s="13"/>
      <c r="J42" s="13"/>
      <c r="K42" s="13"/>
      <c r="L42" s="13"/>
      <c r="M42" s="13"/>
      <c r="N42" s="17"/>
      <c r="O42" s="12"/>
      <c r="P42" s="8"/>
    </row>
    <row r="43" spans="1:16" ht="24" customHeight="1" x14ac:dyDescent="0.25">
      <c r="A43" s="10"/>
      <c r="B43" s="9"/>
      <c r="C43" s="5"/>
      <c r="D43" s="5"/>
      <c r="E43" s="15"/>
      <c r="F43" s="15"/>
      <c r="G43" s="13"/>
      <c r="H43" s="13"/>
      <c r="I43" s="13"/>
      <c r="J43" s="13"/>
      <c r="K43" s="13"/>
      <c r="L43" s="13"/>
      <c r="M43" s="13"/>
      <c r="N43" s="17"/>
      <c r="O43" s="12"/>
      <c r="P43" s="8"/>
    </row>
    <row r="44" spans="1:16" ht="24" customHeight="1" x14ac:dyDescent="0.25">
      <c r="A44" s="10"/>
      <c r="B44" s="9"/>
      <c r="C44" s="5"/>
      <c r="D44" s="5"/>
      <c r="E44" s="15"/>
      <c r="F44" s="15"/>
      <c r="G44" s="13"/>
      <c r="H44" s="13"/>
      <c r="I44" s="13"/>
      <c r="J44" s="13"/>
      <c r="K44" s="13"/>
      <c r="L44" s="13"/>
      <c r="M44" s="13"/>
      <c r="N44" s="17"/>
      <c r="O44" s="12"/>
      <c r="P44" s="8"/>
    </row>
    <row r="45" spans="1:16" ht="24" customHeight="1" x14ac:dyDescent="0.25">
      <c r="A45" s="10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7"/>
      <c r="O45" s="12"/>
      <c r="P45" s="8"/>
    </row>
    <row r="46" spans="1:16" ht="24" customHeight="1" x14ac:dyDescent="0.25">
      <c r="A46" s="10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7"/>
      <c r="O46" s="12"/>
      <c r="P46" s="8"/>
    </row>
    <row r="47" spans="1:16" ht="24" customHeight="1" x14ac:dyDescent="0.25">
      <c r="A47" s="10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7"/>
      <c r="O47" s="12"/>
      <c r="P47" s="8"/>
    </row>
    <row r="48" spans="1:16" ht="24" customHeight="1" x14ac:dyDescent="0.25">
      <c r="A48" s="10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7"/>
      <c r="O48" s="12"/>
      <c r="P48" s="8"/>
    </row>
    <row r="49" spans="1:16" ht="24" customHeight="1" x14ac:dyDescent="0.25">
      <c r="A49" s="10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2"/>
      <c r="O49" s="12"/>
      <c r="P49" s="8"/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ht="24" customHeight="1" x14ac:dyDescent="0.25">
      <c r="A51" s="10"/>
      <c r="B51" s="9"/>
      <c r="C51" s="5"/>
      <c r="D51" s="5"/>
      <c r="E51" s="15"/>
      <c r="F51" s="15"/>
      <c r="G51" s="13"/>
      <c r="H51" s="13"/>
      <c r="I51" s="13"/>
      <c r="J51" s="13"/>
      <c r="K51" s="13"/>
      <c r="L51" s="13"/>
      <c r="M51" s="13"/>
      <c r="N51" s="12"/>
      <c r="O51" s="12"/>
      <c r="P51" s="8"/>
    </row>
    <row r="52" spans="1:16" ht="24" customHeight="1" x14ac:dyDescent="0.25">
      <c r="A52" s="10"/>
      <c r="B52" s="9"/>
      <c r="C52" s="5"/>
      <c r="D52" s="5"/>
      <c r="E52" s="15"/>
      <c r="F52" s="15"/>
      <c r="G52" s="13"/>
      <c r="H52" s="13"/>
      <c r="I52" s="13"/>
      <c r="J52" s="13"/>
      <c r="K52" s="13"/>
      <c r="L52" s="13"/>
      <c r="M52" s="13"/>
      <c r="N52" s="12"/>
      <c r="O52" s="12"/>
      <c r="P52" s="8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thickBot="1" x14ac:dyDescent="0.3">
      <c r="A64" s="11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ht="24" customHeight="1" x14ac:dyDescent="0.25"/>
    <row r="66" ht="24" customHeight="1" x14ac:dyDescent="0.25"/>
  </sheetData>
  <mergeCells count="12">
    <mergeCell ref="O4:O5"/>
    <mergeCell ref="P4:P5"/>
    <mergeCell ref="A1:O1"/>
    <mergeCell ref="A3:B3"/>
    <mergeCell ref="A4:A5"/>
    <mergeCell ref="B4:B5"/>
    <mergeCell ref="C4:C5"/>
    <mergeCell ref="D4:D5"/>
    <mergeCell ref="E4:E5"/>
    <mergeCell ref="F4:F5"/>
    <mergeCell ref="H4:M4"/>
    <mergeCell ref="N4:N5"/>
  </mergeCells>
  <printOptions horizontalCentered="1"/>
  <pageMargins left="0.7" right="0.7" top="0.75" bottom="0.75" header="0.3" footer="0.3"/>
  <pageSetup paperSize="9" scale="34" orientation="landscape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66"/>
  <sheetViews>
    <sheetView view="pageBreakPreview" zoomScale="75" zoomScaleNormal="100" zoomScaleSheetLayoutView="7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XFD33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15" width="13.28515625" customWidth="1"/>
    <col min="16" max="16" width="22.28515625" customWidth="1"/>
  </cols>
  <sheetData>
    <row r="1" spans="1:16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1:16" x14ac:dyDescent="0.25">
      <c r="A2" s="2" t="s">
        <v>1</v>
      </c>
      <c r="B2" s="2"/>
      <c r="C2" s="2"/>
      <c r="D2" s="2" t="s">
        <v>2</v>
      </c>
      <c r="E2" s="18" t="s">
        <v>29</v>
      </c>
      <c r="F2" s="14"/>
      <c r="G2" s="2"/>
      <c r="H2" s="3"/>
      <c r="I2" s="2"/>
      <c r="J2" s="2"/>
      <c r="K2" s="2"/>
      <c r="L2" s="2"/>
      <c r="M2" s="3"/>
      <c r="N2" s="4"/>
      <c r="O2" s="2"/>
    </row>
    <row r="3" spans="1:16" ht="15.75" thickBot="1" x14ac:dyDescent="0.3">
      <c r="A3" s="119">
        <v>43774</v>
      </c>
      <c r="B3" s="119"/>
      <c r="C3" s="2"/>
      <c r="D3" s="6" t="s">
        <v>28</v>
      </c>
      <c r="E3" s="18"/>
      <c r="F3" s="14"/>
      <c r="G3" s="2"/>
      <c r="H3" s="3" t="s">
        <v>92</v>
      </c>
      <c r="I3" s="2"/>
      <c r="J3" s="2"/>
      <c r="K3" s="2"/>
      <c r="L3" s="2"/>
      <c r="M3" s="4"/>
      <c r="N3" s="4"/>
      <c r="O3" s="2"/>
    </row>
    <row r="4" spans="1:16" s="1" customFormat="1" ht="14.45" customHeight="1" x14ac:dyDescent="0.25">
      <c r="A4" s="112" t="s">
        <v>3</v>
      </c>
      <c r="B4" s="114" t="s">
        <v>4</v>
      </c>
      <c r="C4" s="111" t="s">
        <v>5</v>
      </c>
      <c r="D4" s="111" t="s">
        <v>16</v>
      </c>
      <c r="E4" s="117" t="s">
        <v>6</v>
      </c>
      <c r="F4" s="117" t="s">
        <v>7</v>
      </c>
      <c r="G4" s="7" t="s">
        <v>17</v>
      </c>
      <c r="H4" s="111"/>
      <c r="I4" s="111"/>
      <c r="J4" s="111"/>
      <c r="K4" s="111"/>
      <c r="L4" s="111"/>
      <c r="M4" s="111"/>
      <c r="N4" s="111" t="s">
        <v>15</v>
      </c>
      <c r="O4" s="111" t="s">
        <v>18</v>
      </c>
      <c r="P4" s="108" t="s">
        <v>19</v>
      </c>
    </row>
    <row r="5" spans="1:16" ht="13.9" customHeight="1" thickBot="1" x14ac:dyDescent="0.3">
      <c r="A5" s="113"/>
      <c r="B5" s="115"/>
      <c r="C5" s="116"/>
      <c r="D5" s="116"/>
      <c r="E5" s="118"/>
      <c r="F5" s="118"/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116"/>
      <c r="O5" s="116"/>
      <c r="P5" s="109"/>
    </row>
    <row r="6" spans="1:16" ht="24" customHeight="1" x14ac:dyDescent="0.25">
      <c r="A6" s="10">
        <v>1</v>
      </c>
      <c r="B6" s="9">
        <v>0.38055555555555554</v>
      </c>
      <c r="C6" s="5" t="s">
        <v>125</v>
      </c>
      <c r="D6" s="5">
        <v>10</v>
      </c>
      <c r="E6" s="15" t="s">
        <v>55</v>
      </c>
      <c r="F6" s="15" t="s">
        <v>127</v>
      </c>
      <c r="G6" s="19">
        <v>5.3</v>
      </c>
      <c r="H6" s="19">
        <v>5.2</v>
      </c>
      <c r="I6" s="19">
        <v>9.1</v>
      </c>
      <c r="J6" s="19">
        <v>6.1</v>
      </c>
      <c r="K6" s="19">
        <v>7.3</v>
      </c>
      <c r="L6" s="19">
        <v>8</v>
      </c>
      <c r="M6" s="19"/>
      <c r="N6" s="17">
        <f t="shared" ref="N6:N33" si="0">SUM(G6:M6)</f>
        <v>41</v>
      </c>
      <c r="O6" s="12"/>
      <c r="P6" s="8" t="s">
        <v>25</v>
      </c>
    </row>
    <row r="7" spans="1:16" ht="24" customHeight="1" x14ac:dyDescent="0.25">
      <c r="A7" s="10">
        <v>2</v>
      </c>
      <c r="B7" s="9">
        <v>0.38263888888888892</v>
      </c>
      <c r="C7" s="5" t="s">
        <v>124</v>
      </c>
      <c r="D7" s="5">
        <v>10</v>
      </c>
      <c r="E7" s="15" t="s">
        <v>55</v>
      </c>
      <c r="F7" s="15" t="s">
        <v>20</v>
      </c>
      <c r="G7" s="19">
        <v>6.2</v>
      </c>
      <c r="H7" s="19">
        <v>8.4</v>
      </c>
      <c r="I7" s="19">
        <v>8.8000000000000007</v>
      </c>
      <c r="J7" s="19">
        <v>7.4</v>
      </c>
      <c r="K7" s="19">
        <v>7.4</v>
      </c>
      <c r="L7" s="19">
        <v>8.1999999999999993</v>
      </c>
      <c r="M7" s="19"/>
      <c r="N7" s="17">
        <f t="shared" si="0"/>
        <v>46.400000000000006</v>
      </c>
      <c r="O7" s="12"/>
      <c r="P7" s="8" t="s">
        <v>25</v>
      </c>
    </row>
    <row r="8" spans="1:16" ht="24" customHeight="1" x14ac:dyDescent="0.25">
      <c r="A8" s="10">
        <v>3</v>
      </c>
      <c r="B8" s="9">
        <v>0.3888888888888889</v>
      </c>
      <c r="C8" s="5" t="s">
        <v>123</v>
      </c>
      <c r="D8" s="5">
        <v>8</v>
      </c>
      <c r="E8" s="15" t="s">
        <v>60</v>
      </c>
      <c r="F8" s="15" t="s">
        <v>26</v>
      </c>
      <c r="G8" s="19">
        <v>3.75</v>
      </c>
      <c r="H8" s="19">
        <v>11</v>
      </c>
      <c r="I8" s="19">
        <v>11.75</v>
      </c>
      <c r="J8" s="19"/>
      <c r="K8" s="19"/>
      <c r="L8" s="19"/>
      <c r="M8" s="19"/>
      <c r="N8" s="17">
        <f t="shared" si="0"/>
        <v>26.5</v>
      </c>
      <c r="O8" s="12"/>
      <c r="P8" s="8" t="s">
        <v>64</v>
      </c>
    </row>
    <row r="9" spans="1:16" ht="24" customHeight="1" x14ac:dyDescent="0.25">
      <c r="A9" s="10">
        <v>4</v>
      </c>
      <c r="B9" s="9">
        <v>0.40902777777777777</v>
      </c>
      <c r="C9" s="5" t="s">
        <v>122</v>
      </c>
      <c r="D9" s="5">
        <v>8</v>
      </c>
      <c r="E9" s="15" t="s">
        <v>60</v>
      </c>
      <c r="F9" s="15" t="s">
        <v>26</v>
      </c>
      <c r="G9" s="13">
        <v>4.2</v>
      </c>
      <c r="H9" s="13">
        <v>9.8000000000000007</v>
      </c>
      <c r="I9" s="13">
        <v>9.35</v>
      </c>
      <c r="J9" s="13"/>
      <c r="K9" s="13"/>
      <c r="L9" s="13"/>
      <c r="M9" s="13"/>
      <c r="N9" s="17">
        <f t="shared" si="0"/>
        <v>23.35</v>
      </c>
      <c r="O9" s="12"/>
      <c r="P9" s="8" t="s">
        <v>64</v>
      </c>
    </row>
    <row r="10" spans="1:16" ht="24" customHeight="1" x14ac:dyDescent="0.25">
      <c r="A10" s="10">
        <v>5</v>
      </c>
      <c r="B10" s="9">
        <v>0.41944444444444445</v>
      </c>
      <c r="C10" s="5" t="s">
        <v>121</v>
      </c>
      <c r="D10" s="21">
        <v>7</v>
      </c>
      <c r="E10" s="15" t="s">
        <v>56</v>
      </c>
      <c r="F10" s="15" t="s">
        <v>21</v>
      </c>
      <c r="G10" s="13">
        <v>3.4</v>
      </c>
      <c r="H10" s="13">
        <v>10.4</v>
      </c>
      <c r="I10" s="13"/>
      <c r="J10" s="13"/>
      <c r="K10" s="13"/>
      <c r="L10" s="13"/>
      <c r="M10" s="13"/>
      <c r="N10" s="17">
        <f t="shared" si="0"/>
        <v>13.8</v>
      </c>
      <c r="O10" s="12"/>
      <c r="P10" s="8" t="s">
        <v>23</v>
      </c>
    </row>
    <row r="11" spans="1:16" ht="24" customHeight="1" x14ac:dyDescent="0.25">
      <c r="A11" s="10">
        <v>6</v>
      </c>
      <c r="B11" s="9">
        <v>0.4236111111111111</v>
      </c>
      <c r="C11" s="5" t="s">
        <v>120</v>
      </c>
      <c r="D11" s="5">
        <v>10</v>
      </c>
      <c r="E11" s="15" t="s">
        <v>55</v>
      </c>
      <c r="F11" s="15" t="s">
        <v>20</v>
      </c>
      <c r="G11" s="13">
        <v>6.3</v>
      </c>
      <c r="H11" s="13">
        <v>3.45</v>
      </c>
      <c r="I11" s="13">
        <v>8.6999999999999993</v>
      </c>
      <c r="J11" s="13">
        <v>6.4</v>
      </c>
      <c r="K11" s="13">
        <v>6.6</v>
      </c>
      <c r="L11" s="13">
        <v>5.2</v>
      </c>
      <c r="M11" s="13"/>
      <c r="N11" s="17">
        <f t="shared" si="0"/>
        <v>36.650000000000006</v>
      </c>
      <c r="O11" s="12"/>
      <c r="P11" s="8" t="s">
        <v>25</v>
      </c>
    </row>
    <row r="12" spans="1:16" ht="24" customHeight="1" x14ac:dyDescent="0.25">
      <c r="A12" s="10">
        <v>7</v>
      </c>
      <c r="B12" s="9">
        <v>0.44097222222222227</v>
      </c>
      <c r="C12" s="5" t="s">
        <v>119</v>
      </c>
      <c r="D12" s="5">
        <v>7</v>
      </c>
      <c r="E12" s="15" t="s">
        <v>56</v>
      </c>
      <c r="F12" s="15" t="s">
        <v>21</v>
      </c>
      <c r="G12" s="13">
        <v>3.6</v>
      </c>
      <c r="H12" s="13">
        <v>8.3000000000000007</v>
      </c>
      <c r="I12" s="13"/>
      <c r="J12" s="13"/>
      <c r="K12" s="13"/>
      <c r="L12" s="13"/>
      <c r="M12" s="13"/>
      <c r="N12" s="17">
        <f t="shared" si="0"/>
        <v>11.9</v>
      </c>
      <c r="O12" s="12"/>
      <c r="P12" s="8" t="s">
        <v>23</v>
      </c>
    </row>
    <row r="13" spans="1:16" ht="24" customHeight="1" x14ac:dyDescent="0.25">
      <c r="A13" s="10">
        <v>8</v>
      </c>
      <c r="B13" s="9">
        <v>0.45902777777777781</v>
      </c>
      <c r="C13" s="5" t="s">
        <v>118</v>
      </c>
      <c r="D13" s="5">
        <v>12</v>
      </c>
      <c r="E13" s="15" t="s">
        <v>55</v>
      </c>
      <c r="F13" s="15" t="s">
        <v>20</v>
      </c>
      <c r="G13" s="13">
        <v>5.25</v>
      </c>
      <c r="H13" s="13">
        <v>4.95</v>
      </c>
      <c r="I13" s="13">
        <v>9.4</v>
      </c>
      <c r="J13" s="13">
        <v>5.9</v>
      </c>
      <c r="K13" s="13">
        <v>7.7</v>
      </c>
      <c r="L13" s="13">
        <v>7.7</v>
      </c>
      <c r="M13" s="13"/>
      <c r="N13" s="17">
        <f t="shared" si="0"/>
        <v>40.900000000000006</v>
      </c>
      <c r="O13" s="12"/>
      <c r="P13" s="8" t="s">
        <v>22</v>
      </c>
    </row>
    <row r="14" spans="1:16" ht="24" customHeight="1" x14ac:dyDescent="0.25">
      <c r="A14" s="10">
        <v>9</v>
      </c>
      <c r="B14" s="9">
        <v>0.46319444444444446</v>
      </c>
      <c r="C14" s="5" t="s">
        <v>117</v>
      </c>
      <c r="D14" s="5">
        <v>12</v>
      </c>
      <c r="E14" s="15" t="s">
        <v>55</v>
      </c>
      <c r="F14" s="15" t="s">
        <v>20</v>
      </c>
      <c r="G14" s="13">
        <v>6.4</v>
      </c>
      <c r="H14" s="13">
        <v>7.55</v>
      </c>
      <c r="I14" s="13">
        <v>7.3</v>
      </c>
      <c r="J14" s="13">
        <v>7.6</v>
      </c>
      <c r="K14" s="13">
        <v>6.35</v>
      </c>
      <c r="L14" s="13">
        <v>10.94</v>
      </c>
      <c r="M14" s="13"/>
      <c r="N14" s="17">
        <f t="shared" si="0"/>
        <v>46.14</v>
      </c>
      <c r="O14" s="12"/>
      <c r="P14" s="8" t="s">
        <v>23</v>
      </c>
    </row>
    <row r="15" spans="1:16" ht="24" customHeight="1" x14ac:dyDescent="0.25">
      <c r="A15" s="10">
        <v>10</v>
      </c>
      <c r="B15" s="9">
        <v>0.47222222222222227</v>
      </c>
      <c r="C15" s="5" t="s">
        <v>116</v>
      </c>
      <c r="D15" s="5">
        <v>12</v>
      </c>
      <c r="E15" s="15" t="s">
        <v>55</v>
      </c>
      <c r="F15" s="15" t="s">
        <v>20</v>
      </c>
      <c r="G15" s="13">
        <v>6.1</v>
      </c>
      <c r="H15" s="13">
        <v>2.9</v>
      </c>
      <c r="I15" s="13">
        <v>12.1</v>
      </c>
      <c r="J15" s="13">
        <v>9.25</v>
      </c>
      <c r="K15" s="13">
        <v>7.7</v>
      </c>
      <c r="L15" s="13">
        <v>7.4</v>
      </c>
      <c r="M15" s="13"/>
      <c r="N15" s="17">
        <f t="shared" si="0"/>
        <v>45.45</v>
      </c>
      <c r="O15" s="12"/>
      <c r="P15" s="8" t="s">
        <v>25</v>
      </c>
    </row>
    <row r="16" spans="1:16" ht="24" customHeight="1" x14ac:dyDescent="0.25">
      <c r="A16" s="10">
        <v>11</v>
      </c>
      <c r="B16" s="9">
        <v>0.4777777777777778</v>
      </c>
      <c r="C16" s="5" t="s">
        <v>115</v>
      </c>
      <c r="D16" s="5">
        <v>7</v>
      </c>
      <c r="E16" s="15" t="s">
        <v>56</v>
      </c>
      <c r="F16" s="15" t="s">
        <v>21</v>
      </c>
      <c r="G16" s="13">
        <v>3.6</v>
      </c>
      <c r="H16" s="13">
        <v>8.25</v>
      </c>
      <c r="I16" s="13"/>
      <c r="J16" s="13"/>
      <c r="K16" s="13"/>
      <c r="L16" s="13"/>
      <c r="M16" s="13"/>
      <c r="N16" s="17">
        <f t="shared" si="0"/>
        <v>11.85</v>
      </c>
      <c r="O16" s="12"/>
      <c r="P16" s="8" t="s">
        <v>25</v>
      </c>
    </row>
    <row r="17" spans="1:16" ht="24" customHeight="1" x14ac:dyDescent="0.25">
      <c r="A17" s="10">
        <v>12</v>
      </c>
      <c r="B17" s="9">
        <v>0.4861111111111111</v>
      </c>
      <c r="C17" s="5" t="s">
        <v>114</v>
      </c>
      <c r="D17" s="5">
        <v>12</v>
      </c>
      <c r="E17" s="15" t="s">
        <v>55</v>
      </c>
      <c r="F17" s="15" t="s">
        <v>20</v>
      </c>
      <c r="G17" s="13">
        <v>6.3</v>
      </c>
      <c r="H17" s="13">
        <v>8.25</v>
      </c>
      <c r="I17" s="13">
        <v>8.4499999999999993</v>
      </c>
      <c r="J17" s="13">
        <v>8.9499999999999993</v>
      </c>
      <c r="K17" s="13">
        <v>7.9</v>
      </c>
      <c r="L17" s="13">
        <v>7.7</v>
      </c>
      <c r="M17" s="13"/>
      <c r="N17" s="17">
        <f t="shared" si="0"/>
        <v>47.550000000000004</v>
      </c>
      <c r="O17" s="12"/>
      <c r="P17" s="8" t="s">
        <v>64</v>
      </c>
    </row>
    <row r="18" spans="1:16" ht="24" customHeight="1" x14ac:dyDescent="0.25">
      <c r="A18" s="10">
        <v>13</v>
      </c>
      <c r="B18" s="9">
        <v>0.50069444444444444</v>
      </c>
      <c r="C18" s="5" t="s">
        <v>113</v>
      </c>
      <c r="D18" s="5">
        <v>12</v>
      </c>
      <c r="E18" s="15" t="s">
        <v>55</v>
      </c>
      <c r="F18" s="15" t="s">
        <v>20</v>
      </c>
      <c r="G18" s="13">
        <v>6.2</v>
      </c>
      <c r="H18" s="13">
        <v>2.8</v>
      </c>
      <c r="I18" s="13">
        <v>12</v>
      </c>
      <c r="J18" s="13">
        <v>6.6</v>
      </c>
      <c r="K18" s="13">
        <v>9</v>
      </c>
      <c r="L18" s="13">
        <v>9</v>
      </c>
      <c r="M18" s="13"/>
      <c r="N18" s="17">
        <f t="shared" si="0"/>
        <v>45.6</v>
      </c>
      <c r="O18" s="12"/>
      <c r="P18" s="8" t="s">
        <v>23</v>
      </c>
    </row>
    <row r="19" spans="1:16" ht="24" customHeight="1" x14ac:dyDescent="0.25">
      <c r="A19" s="10">
        <v>14</v>
      </c>
      <c r="B19" s="9">
        <v>0.50763888888888886</v>
      </c>
      <c r="C19" s="5" t="s">
        <v>112</v>
      </c>
      <c r="D19" s="5">
        <v>7</v>
      </c>
      <c r="E19" s="15" t="s">
        <v>56</v>
      </c>
      <c r="F19" s="15" t="s">
        <v>21</v>
      </c>
      <c r="G19" s="13">
        <v>3.4</v>
      </c>
      <c r="H19" s="13">
        <v>12.6</v>
      </c>
      <c r="I19" s="13"/>
      <c r="J19" s="13"/>
      <c r="K19" s="13"/>
      <c r="L19" s="13"/>
      <c r="M19" s="13"/>
      <c r="N19" s="17">
        <f t="shared" si="0"/>
        <v>16</v>
      </c>
      <c r="O19" s="12"/>
      <c r="P19" s="8" t="s">
        <v>64</v>
      </c>
    </row>
    <row r="20" spans="1:16" ht="24" customHeight="1" x14ac:dyDescent="0.25">
      <c r="A20" s="10">
        <v>15</v>
      </c>
      <c r="B20" s="9">
        <v>0.51736111111111105</v>
      </c>
      <c r="C20" s="5" t="s">
        <v>111</v>
      </c>
      <c r="D20" s="5">
        <v>10</v>
      </c>
      <c r="E20" s="15" t="s">
        <v>57</v>
      </c>
      <c r="F20" s="15" t="s">
        <v>63</v>
      </c>
      <c r="G20" s="13">
        <v>6.25</v>
      </c>
      <c r="H20" s="13">
        <v>2.35</v>
      </c>
      <c r="I20" s="13">
        <v>10.199999999999999</v>
      </c>
      <c r="J20" s="13">
        <v>8.3000000000000007</v>
      </c>
      <c r="K20" s="13"/>
      <c r="L20" s="13"/>
      <c r="M20" s="13"/>
      <c r="N20" s="17">
        <f t="shared" si="0"/>
        <v>27.099999999999998</v>
      </c>
      <c r="O20" s="12"/>
      <c r="P20" s="8" t="s">
        <v>23</v>
      </c>
    </row>
    <row r="21" spans="1:16" ht="24" customHeight="1" x14ac:dyDescent="0.25">
      <c r="A21" s="10">
        <v>16</v>
      </c>
      <c r="B21" s="9">
        <v>0.53749999999999998</v>
      </c>
      <c r="C21" s="5" t="s">
        <v>110</v>
      </c>
      <c r="D21" s="5">
        <v>11</v>
      </c>
      <c r="E21" s="15" t="s">
        <v>58</v>
      </c>
      <c r="F21" s="15" t="s">
        <v>126</v>
      </c>
      <c r="G21" s="13">
        <v>6.6</v>
      </c>
      <c r="H21" s="13">
        <v>10.45</v>
      </c>
      <c r="I21" s="13">
        <v>7.1</v>
      </c>
      <c r="J21" s="13">
        <v>6.95</v>
      </c>
      <c r="K21" s="13">
        <v>7.7</v>
      </c>
      <c r="L21" s="13"/>
      <c r="M21" s="13"/>
      <c r="N21" s="17">
        <f t="shared" si="0"/>
        <v>38.799999999999997</v>
      </c>
      <c r="O21" s="12"/>
      <c r="P21" s="8" t="s">
        <v>22</v>
      </c>
    </row>
    <row r="22" spans="1:16" ht="24" customHeight="1" x14ac:dyDescent="0.25">
      <c r="A22" s="10">
        <v>17</v>
      </c>
      <c r="B22" s="9">
        <v>0.54305555555555551</v>
      </c>
      <c r="C22" s="5" t="s">
        <v>109</v>
      </c>
      <c r="D22" s="5">
        <v>12</v>
      </c>
      <c r="E22" s="15" t="s">
        <v>55</v>
      </c>
      <c r="F22" s="15" t="s">
        <v>20</v>
      </c>
      <c r="G22" s="13">
        <v>6</v>
      </c>
      <c r="H22" s="13">
        <v>2.5</v>
      </c>
      <c r="I22" s="13">
        <v>8</v>
      </c>
      <c r="J22" s="13">
        <v>8.4</v>
      </c>
      <c r="K22" s="13">
        <v>8</v>
      </c>
      <c r="L22" s="13">
        <v>8.1999999999999993</v>
      </c>
      <c r="M22" s="13"/>
      <c r="N22" s="17">
        <f t="shared" si="0"/>
        <v>41.099999999999994</v>
      </c>
      <c r="O22" s="12"/>
      <c r="P22" s="8" t="s">
        <v>22</v>
      </c>
    </row>
    <row r="23" spans="1:16" ht="24" customHeight="1" x14ac:dyDescent="0.25">
      <c r="A23" s="10">
        <v>18</v>
      </c>
      <c r="B23" s="9">
        <v>0.54861111111111105</v>
      </c>
      <c r="C23" s="5" t="s">
        <v>108</v>
      </c>
      <c r="D23" s="5">
        <v>12</v>
      </c>
      <c r="E23" s="15" t="s">
        <v>55</v>
      </c>
      <c r="F23" s="15" t="s">
        <v>20</v>
      </c>
      <c r="G23" s="13">
        <v>6.55</v>
      </c>
      <c r="H23" s="13">
        <v>8.3000000000000007</v>
      </c>
      <c r="I23" s="13">
        <v>9.6</v>
      </c>
      <c r="J23" s="13">
        <v>7.6</v>
      </c>
      <c r="K23" s="13">
        <v>7.4</v>
      </c>
      <c r="L23" s="13">
        <v>6.2</v>
      </c>
      <c r="M23" s="13"/>
      <c r="N23" s="17">
        <f t="shared" si="0"/>
        <v>45.650000000000006</v>
      </c>
      <c r="O23" s="12"/>
      <c r="P23" s="8" t="s">
        <v>64</v>
      </c>
    </row>
    <row r="24" spans="1:16" ht="24" customHeight="1" x14ac:dyDescent="0.25">
      <c r="A24" s="10">
        <v>19</v>
      </c>
      <c r="B24" s="9">
        <v>0.56597222222222221</v>
      </c>
      <c r="C24" s="5" t="s">
        <v>107</v>
      </c>
      <c r="D24" s="5">
        <v>12</v>
      </c>
      <c r="E24" s="15" t="s">
        <v>55</v>
      </c>
      <c r="F24" s="15" t="s">
        <v>20</v>
      </c>
      <c r="G24" s="13">
        <v>5.7</v>
      </c>
      <c r="H24" s="13">
        <v>11</v>
      </c>
      <c r="I24" s="13">
        <v>4.5</v>
      </c>
      <c r="J24" s="13">
        <v>7.4</v>
      </c>
      <c r="K24" s="13">
        <v>8.4</v>
      </c>
      <c r="L24" s="13">
        <v>8.1999999999999993</v>
      </c>
      <c r="M24" s="13"/>
      <c r="N24" s="17">
        <f t="shared" si="0"/>
        <v>45.2</v>
      </c>
      <c r="O24" s="12"/>
      <c r="P24" s="8" t="s">
        <v>22</v>
      </c>
    </row>
    <row r="25" spans="1:16" ht="24" customHeight="1" x14ac:dyDescent="0.25">
      <c r="A25" s="10">
        <v>20</v>
      </c>
      <c r="B25" s="9">
        <v>0.59305555555555556</v>
      </c>
      <c r="C25" s="5" t="s">
        <v>106</v>
      </c>
      <c r="D25" s="5">
        <v>12</v>
      </c>
      <c r="E25" s="15" t="s">
        <v>55</v>
      </c>
      <c r="F25" s="15" t="s">
        <v>20</v>
      </c>
      <c r="G25" s="13">
        <v>5.9</v>
      </c>
      <c r="H25" s="13">
        <v>9.3000000000000007</v>
      </c>
      <c r="I25" s="13">
        <v>8.8000000000000007</v>
      </c>
      <c r="J25" s="13">
        <v>3.4</v>
      </c>
      <c r="K25" s="13">
        <v>3.6</v>
      </c>
      <c r="L25" s="13">
        <v>3.6</v>
      </c>
      <c r="M25" s="13"/>
      <c r="N25" s="17">
        <f t="shared" si="0"/>
        <v>34.6</v>
      </c>
      <c r="O25" s="12"/>
      <c r="P25" s="8" t="s">
        <v>25</v>
      </c>
    </row>
    <row r="26" spans="1:16" ht="24" customHeight="1" x14ac:dyDescent="0.25">
      <c r="A26" s="10">
        <v>21</v>
      </c>
      <c r="B26" s="9">
        <v>0.59583333333333333</v>
      </c>
      <c r="C26" s="5" t="s">
        <v>105</v>
      </c>
      <c r="D26" s="5">
        <v>12</v>
      </c>
      <c r="E26" s="15" t="s">
        <v>55</v>
      </c>
      <c r="F26" s="15" t="s">
        <v>20</v>
      </c>
      <c r="G26" s="13">
        <v>7.4</v>
      </c>
      <c r="H26" s="13">
        <v>2.4</v>
      </c>
      <c r="I26" s="13">
        <v>12.1</v>
      </c>
      <c r="J26" s="13">
        <v>10.1</v>
      </c>
      <c r="K26" s="13">
        <v>8</v>
      </c>
      <c r="L26" s="13">
        <v>7.9</v>
      </c>
      <c r="M26" s="13"/>
      <c r="N26" s="17">
        <f t="shared" si="0"/>
        <v>47.9</v>
      </c>
      <c r="O26" s="12"/>
      <c r="P26" s="8" t="s">
        <v>22</v>
      </c>
    </row>
    <row r="27" spans="1:16" ht="24" customHeight="1" x14ac:dyDescent="0.25">
      <c r="A27" s="10">
        <v>22</v>
      </c>
      <c r="B27" s="9">
        <v>0.60555555555555551</v>
      </c>
      <c r="C27" s="5" t="s">
        <v>104</v>
      </c>
      <c r="D27" s="5">
        <v>12</v>
      </c>
      <c r="E27" s="15" t="s">
        <v>55</v>
      </c>
      <c r="F27" s="15" t="s">
        <v>128</v>
      </c>
      <c r="G27" s="13">
        <v>4.6500000000000004</v>
      </c>
      <c r="H27" s="13">
        <v>8.5500000000000007</v>
      </c>
      <c r="I27" s="13">
        <v>6.35</v>
      </c>
      <c r="J27" s="13">
        <v>6.4</v>
      </c>
      <c r="K27" s="13">
        <v>6.7</v>
      </c>
      <c r="L27" s="13">
        <v>9.4</v>
      </c>
      <c r="M27" s="13"/>
      <c r="N27" s="17">
        <f t="shared" si="0"/>
        <v>42.050000000000004</v>
      </c>
      <c r="O27" s="12"/>
      <c r="P27" s="8" t="s">
        <v>23</v>
      </c>
    </row>
    <row r="28" spans="1:16" ht="24" customHeight="1" x14ac:dyDescent="0.25">
      <c r="A28" s="10">
        <v>23</v>
      </c>
      <c r="B28" s="9">
        <v>0.61805555555555558</v>
      </c>
      <c r="C28" s="5" t="s">
        <v>103</v>
      </c>
      <c r="D28" s="5">
        <v>12</v>
      </c>
      <c r="E28" s="15" t="s">
        <v>55</v>
      </c>
      <c r="F28" s="15" t="s">
        <v>20</v>
      </c>
      <c r="G28" s="13">
        <v>4</v>
      </c>
      <c r="H28" s="13">
        <v>3.4</v>
      </c>
      <c r="I28" s="13">
        <v>7.2</v>
      </c>
      <c r="J28" s="13">
        <v>4.3</v>
      </c>
      <c r="K28" s="13">
        <v>4.2</v>
      </c>
      <c r="L28" s="13">
        <v>3</v>
      </c>
      <c r="M28" s="13"/>
      <c r="N28" s="17">
        <f t="shared" si="0"/>
        <v>26.1</v>
      </c>
      <c r="O28" s="12"/>
      <c r="P28" s="8" t="s">
        <v>25</v>
      </c>
    </row>
    <row r="29" spans="1:16" ht="24" customHeight="1" x14ac:dyDescent="0.25">
      <c r="A29" s="10">
        <v>24</v>
      </c>
      <c r="B29" s="9">
        <v>0.62708333333333333</v>
      </c>
      <c r="C29" s="5" t="s">
        <v>102</v>
      </c>
      <c r="D29" s="5">
        <v>7</v>
      </c>
      <c r="E29" s="15" t="s">
        <v>56</v>
      </c>
      <c r="F29" s="15" t="s">
        <v>21</v>
      </c>
      <c r="G29" s="13">
        <v>4.3</v>
      </c>
      <c r="H29" s="13">
        <v>11.25</v>
      </c>
      <c r="I29" s="13"/>
      <c r="J29" s="13"/>
      <c r="K29" s="13"/>
      <c r="L29" s="13"/>
      <c r="M29" s="13"/>
      <c r="N29" s="17">
        <f t="shared" si="0"/>
        <v>15.55</v>
      </c>
      <c r="O29" s="12"/>
      <c r="P29" s="8" t="s">
        <v>23</v>
      </c>
    </row>
    <row r="30" spans="1:16" ht="24" customHeight="1" x14ac:dyDescent="0.25">
      <c r="A30" s="10">
        <v>25</v>
      </c>
      <c r="B30" s="9">
        <v>0.63194444444444442</v>
      </c>
      <c r="C30" s="5" t="s">
        <v>101</v>
      </c>
      <c r="D30" s="5">
        <v>7</v>
      </c>
      <c r="E30" s="15" t="s">
        <v>56</v>
      </c>
      <c r="F30" s="15" t="s">
        <v>21</v>
      </c>
      <c r="G30" s="13">
        <v>4.95</v>
      </c>
      <c r="H30" s="13">
        <v>9.9</v>
      </c>
      <c r="I30" s="13"/>
      <c r="J30" s="13"/>
      <c r="K30" s="13"/>
      <c r="L30" s="13"/>
      <c r="M30" s="13"/>
      <c r="N30" s="17">
        <f t="shared" si="0"/>
        <v>14.850000000000001</v>
      </c>
      <c r="O30" s="12"/>
      <c r="P30" s="8" t="s">
        <v>23</v>
      </c>
    </row>
    <row r="31" spans="1:16" ht="24" customHeight="1" x14ac:dyDescent="0.25">
      <c r="A31" s="10">
        <v>26</v>
      </c>
      <c r="B31" s="9">
        <v>0.63750000000000007</v>
      </c>
      <c r="C31" s="5" t="s">
        <v>100</v>
      </c>
      <c r="D31" s="5">
        <v>8</v>
      </c>
      <c r="E31" s="15" t="s">
        <v>60</v>
      </c>
      <c r="F31" s="15" t="s">
        <v>26</v>
      </c>
      <c r="G31" s="13">
        <v>4.6500000000000004</v>
      </c>
      <c r="H31" s="13">
        <v>11.35</v>
      </c>
      <c r="I31" s="13">
        <v>10.7</v>
      </c>
      <c r="J31" s="13"/>
      <c r="K31" s="13"/>
      <c r="L31" s="13"/>
      <c r="M31" s="13"/>
      <c r="N31" s="17">
        <f t="shared" si="0"/>
        <v>26.7</v>
      </c>
      <c r="O31" s="12"/>
      <c r="P31" s="8" t="s">
        <v>64</v>
      </c>
    </row>
    <row r="32" spans="1:16" ht="24" customHeight="1" x14ac:dyDescent="0.25">
      <c r="A32" s="10">
        <v>27</v>
      </c>
      <c r="B32" s="9">
        <v>0.65972222222222221</v>
      </c>
      <c r="C32" s="5" t="s">
        <v>99</v>
      </c>
      <c r="D32" s="5">
        <v>8</v>
      </c>
      <c r="E32" s="15" t="s">
        <v>60</v>
      </c>
      <c r="F32" s="15" t="s">
        <v>26</v>
      </c>
      <c r="G32" s="13">
        <v>5.7</v>
      </c>
      <c r="H32" s="13">
        <v>8.6999999999999993</v>
      </c>
      <c r="I32" s="13">
        <v>8.15</v>
      </c>
      <c r="J32" s="13"/>
      <c r="K32" s="13"/>
      <c r="L32" s="13"/>
      <c r="M32" s="13"/>
      <c r="N32" s="17">
        <f t="shared" si="0"/>
        <v>22.549999999999997</v>
      </c>
      <c r="O32" s="12"/>
      <c r="P32" s="8" t="s">
        <v>25</v>
      </c>
    </row>
    <row r="33" spans="1:16" ht="24" customHeight="1" x14ac:dyDescent="0.25">
      <c r="A33" s="10">
        <v>28</v>
      </c>
      <c r="B33" s="9">
        <v>0.72222222222222221</v>
      </c>
      <c r="C33" s="5" t="s">
        <v>98</v>
      </c>
      <c r="D33" s="5">
        <v>8</v>
      </c>
      <c r="E33" s="15" t="s">
        <v>60</v>
      </c>
      <c r="F33" s="15" t="s">
        <v>26</v>
      </c>
      <c r="G33" s="13">
        <v>3.9</v>
      </c>
      <c r="H33" s="13">
        <v>9.9499999999999993</v>
      </c>
      <c r="I33" s="13">
        <v>9.6</v>
      </c>
      <c r="J33" s="13"/>
      <c r="K33" s="13"/>
      <c r="L33" s="13"/>
      <c r="M33" s="13"/>
      <c r="N33" s="17">
        <f t="shared" si="0"/>
        <v>23.45</v>
      </c>
      <c r="O33" s="12"/>
      <c r="P33" s="8" t="s">
        <v>64</v>
      </c>
    </row>
    <row r="34" spans="1:16" ht="24" customHeight="1" x14ac:dyDescent="0.25">
      <c r="A34" s="10"/>
      <c r="B34" s="9"/>
      <c r="C34" s="5"/>
      <c r="D34" s="5"/>
      <c r="E34" s="15"/>
      <c r="F34" s="15"/>
      <c r="G34" s="13"/>
      <c r="H34" s="13"/>
      <c r="I34" s="13"/>
      <c r="J34" s="13"/>
      <c r="K34" s="13"/>
      <c r="L34" s="13"/>
      <c r="M34" s="13"/>
      <c r="N34" s="17"/>
      <c r="O34" s="12"/>
      <c r="P34" s="8"/>
    </row>
    <row r="35" spans="1:16" ht="24" customHeight="1" x14ac:dyDescent="0.25">
      <c r="A35" s="10"/>
      <c r="B35" s="9"/>
      <c r="C35" s="5"/>
      <c r="D35" s="5"/>
      <c r="E35" s="15"/>
      <c r="F35" s="15"/>
      <c r="G35" s="13"/>
      <c r="H35" s="13"/>
      <c r="I35" s="13"/>
      <c r="J35" s="13"/>
      <c r="K35" s="13"/>
      <c r="L35" s="13"/>
      <c r="M35" s="13"/>
      <c r="N35" s="17"/>
      <c r="O35" s="12"/>
      <c r="P35" s="8"/>
    </row>
    <row r="36" spans="1:16" ht="24" customHeight="1" x14ac:dyDescent="0.25">
      <c r="A36" s="10"/>
      <c r="B36" s="9"/>
      <c r="C36" s="5"/>
      <c r="D36" s="5"/>
      <c r="E36" s="15"/>
      <c r="F36" s="15"/>
      <c r="G36" s="25" t="s">
        <v>30</v>
      </c>
      <c r="H36" s="13"/>
      <c r="I36" s="13"/>
      <c r="J36" s="13"/>
      <c r="K36" s="13"/>
      <c r="L36" s="13"/>
      <c r="M36" s="13"/>
      <c r="N36" s="17"/>
      <c r="O36" s="12"/>
      <c r="P36" s="8"/>
    </row>
    <row r="37" spans="1:16" ht="24" customHeight="1" x14ac:dyDescent="0.25">
      <c r="A37" s="10">
        <v>1</v>
      </c>
      <c r="B37" s="9">
        <v>0.64097222222222217</v>
      </c>
      <c r="C37" s="5" t="s">
        <v>93</v>
      </c>
      <c r="D37" s="5">
        <v>7</v>
      </c>
      <c r="E37" s="15" t="s">
        <v>56</v>
      </c>
      <c r="F37" s="15" t="s">
        <v>21</v>
      </c>
      <c r="G37" s="13">
        <v>2.9</v>
      </c>
      <c r="H37" s="13">
        <v>4.4000000000000004</v>
      </c>
      <c r="I37" s="13"/>
      <c r="J37" s="13"/>
      <c r="K37" s="13"/>
      <c r="L37" s="13"/>
      <c r="M37" s="13"/>
      <c r="N37" s="17">
        <f t="shared" ref="N37:N41" si="1">SUM(G37:M37)</f>
        <v>7.3000000000000007</v>
      </c>
      <c r="O37" s="12"/>
      <c r="P37" s="8" t="s">
        <v>25</v>
      </c>
    </row>
    <row r="38" spans="1:16" ht="24" customHeight="1" x14ac:dyDescent="0.25">
      <c r="A38" s="10">
        <v>2</v>
      </c>
      <c r="B38" s="9">
        <v>0.6694444444444444</v>
      </c>
      <c r="C38" s="5" t="s">
        <v>94</v>
      </c>
      <c r="D38" s="5">
        <v>10</v>
      </c>
      <c r="E38" s="15" t="s">
        <v>57</v>
      </c>
      <c r="F38" s="15" t="s">
        <v>62</v>
      </c>
      <c r="G38" s="13">
        <v>8.6</v>
      </c>
      <c r="H38" s="13">
        <v>9.1</v>
      </c>
      <c r="I38" s="13">
        <v>7.2</v>
      </c>
      <c r="J38" s="13">
        <v>3.6</v>
      </c>
      <c r="K38" s="13"/>
      <c r="L38" s="13"/>
      <c r="M38" s="13"/>
      <c r="N38" s="17">
        <f t="shared" si="1"/>
        <v>28.5</v>
      </c>
      <c r="O38" s="12"/>
      <c r="P38" s="8" t="s">
        <v>25</v>
      </c>
    </row>
    <row r="39" spans="1:16" ht="24" customHeight="1" x14ac:dyDescent="0.25">
      <c r="A39" s="10">
        <v>3</v>
      </c>
      <c r="B39" s="9">
        <v>0.68194444444444446</v>
      </c>
      <c r="C39" s="5" t="s">
        <v>95</v>
      </c>
      <c r="D39" s="5">
        <v>10</v>
      </c>
      <c r="E39" s="15" t="s">
        <v>57</v>
      </c>
      <c r="F39" s="15" t="s">
        <v>62</v>
      </c>
      <c r="G39" s="13">
        <v>8.4499999999999993</v>
      </c>
      <c r="H39" s="13">
        <v>11.15</v>
      </c>
      <c r="I39" s="13">
        <v>7.25</v>
      </c>
      <c r="J39" s="13">
        <v>2.8</v>
      </c>
      <c r="K39" s="13"/>
      <c r="L39" s="13"/>
      <c r="M39" s="13"/>
      <c r="N39" s="17">
        <f t="shared" si="1"/>
        <v>29.650000000000002</v>
      </c>
      <c r="O39" s="12"/>
      <c r="P39" s="8" t="s">
        <v>25</v>
      </c>
    </row>
    <row r="40" spans="1:16" ht="24" customHeight="1" x14ac:dyDescent="0.25">
      <c r="A40" s="10">
        <v>4</v>
      </c>
      <c r="B40" s="9">
        <v>0.70138888888888884</v>
      </c>
      <c r="C40" s="5" t="s">
        <v>96</v>
      </c>
      <c r="D40" s="5">
        <v>10</v>
      </c>
      <c r="E40" s="15" t="s">
        <v>57</v>
      </c>
      <c r="F40" s="15" t="s">
        <v>62</v>
      </c>
      <c r="G40" s="13">
        <v>7.2</v>
      </c>
      <c r="H40" s="13">
        <v>11.2</v>
      </c>
      <c r="I40" s="13">
        <v>11.2</v>
      </c>
      <c r="J40" s="13">
        <v>2.4</v>
      </c>
      <c r="K40" s="13"/>
      <c r="L40" s="13"/>
      <c r="M40" s="13"/>
      <c r="N40" s="17">
        <f t="shared" si="1"/>
        <v>31.999999999999996</v>
      </c>
      <c r="O40" s="12"/>
      <c r="P40" s="8" t="s">
        <v>25</v>
      </c>
    </row>
    <row r="41" spans="1:16" ht="24" customHeight="1" x14ac:dyDescent="0.25">
      <c r="A41" s="10">
        <v>5</v>
      </c>
      <c r="B41" s="9">
        <v>0.71250000000000002</v>
      </c>
      <c r="C41" s="5" t="s">
        <v>97</v>
      </c>
      <c r="D41" s="5">
        <v>7</v>
      </c>
      <c r="E41" s="15" t="s">
        <v>56</v>
      </c>
      <c r="F41" s="15" t="s">
        <v>21</v>
      </c>
      <c r="G41" s="13">
        <v>4.2</v>
      </c>
      <c r="H41" s="13">
        <v>11.1</v>
      </c>
      <c r="I41" s="13"/>
      <c r="J41" s="13"/>
      <c r="K41" s="13"/>
      <c r="L41" s="13"/>
      <c r="M41" s="13"/>
      <c r="N41" s="17">
        <f t="shared" si="1"/>
        <v>15.3</v>
      </c>
      <c r="O41" s="12"/>
      <c r="P41" s="8" t="s">
        <v>64</v>
      </c>
    </row>
    <row r="42" spans="1:16" ht="24" customHeight="1" x14ac:dyDescent="0.25">
      <c r="A42" s="10"/>
      <c r="B42" s="9"/>
      <c r="C42" s="5"/>
      <c r="D42" s="5"/>
      <c r="E42" s="15"/>
      <c r="F42" s="15"/>
      <c r="G42" s="13"/>
      <c r="H42" s="13"/>
      <c r="I42" s="13"/>
      <c r="J42" s="13"/>
      <c r="K42" s="13"/>
      <c r="L42" s="13"/>
      <c r="M42" s="13"/>
      <c r="N42" s="17"/>
      <c r="O42" s="12"/>
      <c r="P42" s="8"/>
    </row>
    <row r="43" spans="1:16" ht="24" customHeight="1" x14ac:dyDescent="0.25">
      <c r="A43" s="10"/>
      <c r="B43" s="9"/>
      <c r="C43" s="5"/>
      <c r="D43" s="5"/>
      <c r="E43" s="15"/>
      <c r="F43" s="15"/>
      <c r="G43" s="13"/>
      <c r="H43" s="13"/>
      <c r="I43" s="13"/>
      <c r="J43" s="13"/>
      <c r="K43" s="13"/>
      <c r="L43" s="13"/>
      <c r="M43" s="13"/>
      <c r="N43" s="17"/>
      <c r="O43" s="12"/>
      <c r="P43" s="8"/>
    </row>
    <row r="44" spans="1:16" ht="24" customHeight="1" x14ac:dyDescent="0.25">
      <c r="A44" s="10"/>
      <c r="B44" s="9"/>
      <c r="C44" s="5"/>
      <c r="D44" s="5"/>
      <c r="E44" s="15"/>
      <c r="F44" s="15"/>
      <c r="G44" s="13"/>
      <c r="H44" s="13"/>
      <c r="I44" s="13"/>
      <c r="J44" s="13"/>
      <c r="K44" s="13"/>
      <c r="L44" s="13"/>
      <c r="M44" s="13"/>
      <c r="N44" s="17"/>
      <c r="O44" s="12"/>
      <c r="P44" s="8"/>
    </row>
    <row r="45" spans="1:16" ht="24" customHeight="1" x14ac:dyDescent="0.25">
      <c r="A45" s="10"/>
      <c r="B45" s="9"/>
      <c r="C45" s="5"/>
      <c r="D45" s="5"/>
      <c r="E45" s="15"/>
      <c r="F45" s="15"/>
      <c r="G45" s="13"/>
      <c r="H45" s="13"/>
      <c r="I45" s="13"/>
      <c r="J45" s="13"/>
      <c r="K45" s="13"/>
      <c r="L45" s="13"/>
      <c r="M45" s="13"/>
      <c r="N45" s="17"/>
      <c r="O45" s="12"/>
      <c r="P45" s="8"/>
    </row>
    <row r="46" spans="1:16" ht="24" customHeight="1" x14ac:dyDescent="0.25">
      <c r="A46" s="10"/>
      <c r="B46" s="9"/>
      <c r="C46" s="5"/>
      <c r="D46" s="5"/>
      <c r="E46" s="15"/>
      <c r="F46" s="15"/>
      <c r="G46" s="13"/>
      <c r="H46" s="13"/>
      <c r="I46" s="13"/>
      <c r="J46" s="13"/>
      <c r="K46" s="13"/>
      <c r="L46" s="13"/>
      <c r="M46" s="13"/>
      <c r="N46" s="17"/>
      <c r="O46" s="12"/>
      <c r="P46" s="8"/>
    </row>
    <row r="47" spans="1:16" ht="24" customHeight="1" x14ac:dyDescent="0.25">
      <c r="A47" s="10"/>
      <c r="B47" s="9"/>
      <c r="C47" s="5"/>
      <c r="D47" s="5"/>
      <c r="E47" s="15"/>
      <c r="F47" s="15"/>
      <c r="G47" s="13"/>
      <c r="H47" s="13"/>
      <c r="I47" s="13"/>
      <c r="J47" s="13"/>
      <c r="K47" s="13"/>
      <c r="L47" s="13"/>
      <c r="M47" s="13"/>
      <c r="N47" s="17"/>
      <c r="O47" s="12"/>
      <c r="P47" s="8"/>
    </row>
    <row r="48" spans="1:16" ht="24" customHeight="1" x14ac:dyDescent="0.25">
      <c r="A48" s="10"/>
      <c r="B48" s="9"/>
      <c r="C48" s="5"/>
      <c r="D48" s="5"/>
      <c r="E48" s="15"/>
      <c r="F48" s="15"/>
      <c r="G48" s="13"/>
      <c r="H48" s="13"/>
      <c r="I48" s="13"/>
      <c r="J48" s="13"/>
      <c r="K48" s="13"/>
      <c r="L48" s="13"/>
      <c r="M48" s="13"/>
      <c r="N48" s="17"/>
      <c r="O48" s="12"/>
      <c r="P48" s="8"/>
    </row>
    <row r="49" spans="1:16" ht="24" customHeight="1" x14ac:dyDescent="0.25">
      <c r="A49" s="10"/>
      <c r="B49" s="9"/>
      <c r="C49" s="5"/>
      <c r="D49" s="5"/>
      <c r="E49" s="15"/>
      <c r="F49" s="15"/>
      <c r="G49" s="13"/>
      <c r="H49" s="13"/>
      <c r="I49" s="13"/>
      <c r="J49" s="13"/>
      <c r="K49" s="13"/>
      <c r="L49" s="13"/>
      <c r="M49" s="13"/>
      <c r="N49" s="12"/>
      <c r="O49" s="12"/>
      <c r="P49" s="8"/>
    </row>
    <row r="50" spans="1:16" ht="24" customHeight="1" x14ac:dyDescent="0.25">
      <c r="A50" s="10"/>
      <c r="B50" s="9"/>
      <c r="C50" s="5"/>
      <c r="D50" s="5"/>
      <c r="E50" s="15"/>
      <c r="F50" s="15"/>
      <c r="G50" s="13"/>
      <c r="H50" s="13"/>
      <c r="I50" s="13"/>
      <c r="J50" s="13"/>
      <c r="K50" s="13"/>
      <c r="L50" s="13"/>
      <c r="M50" s="13"/>
      <c r="N50" s="12"/>
      <c r="O50" s="12"/>
      <c r="P50" s="8"/>
    </row>
    <row r="51" spans="1:16" ht="24" customHeight="1" x14ac:dyDescent="0.25">
      <c r="A51" s="10"/>
      <c r="B51" s="9"/>
      <c r="C51" s="5"/>
      <c r="D51" s="5"/>
      <c r="E51" s="15"/>
      <c r="F51" s="15"/>
      <c r="G51" s="13"/>
      <c r="H51" s="13"/>
      <c r="I51" s="13"/>
      <c r="J51" s="13"/>
      <c r="K51" s="13"/>
      <c r="L51" s="13"/>
      <c r="M51" s="13"/>
      <c r="N51" s="12"/>
      <c r="O51" s="12"/>
      <c r="P51" s="8"/>
    </row>
    <row r="52" spans="1:16" ht="24" customHeight="1" x14ac:dyDescent="0.25">
      <c r="A52" s="10"/>
      <c r="B52" s="9"/>
      <c r="C52" s="5"/>
      <c r="D52" s="5"/>
      <c r="E52" s="15"/>
      <c r="F52" s="15"/>
      <c r="G52" s="13"/>
      <c r="H52" s="13"/>
      <c r="I52" s="13"/>
      <c r="J52" s="13"/>
      <c r="K52" s="13"/>
      <c r="L52" s="13"/>
      <c r="M52" s="13"/>
      <c r="N52" s="12"/>
      <c r="O52" s="12"/>
      <c r="P52" s="8"/>
    </row>
    <row r="53" spans="1:16" ht="24" customHeight="1" x14ac:dyDescent="0.25">
      <c r="A53" s="10"/>
      <c r="B53" s="9"/>
      <c r="C53" s="5"/>
      <c r="D53" s="5"/>
      <c r="E53" s="15"/>
      <c r="F53" s="15"/>
      <c r="G53" s="13"/>
      <c r="H53" s="13"/>
      <c r="I53" s="13"/>
      <c r="J53" s="13"/>
      <c r="K53" s="13"/>
      <c r="L53" s="13"/>
      <c r="M53" s="13"/>
      <c r="N53" s="12"/>
      <c r="O53" s="12"/>
      <c r="P53" s="8"/>
    </row>
    <row r="54" spans="1:16" ht="24" customHeight="1" x14ac:dyDescent="0.25">
      <c r="A54" s="10"/>
      <c r="B54" s="9"/>
      <c r="C54" s="5"/>
      <c r="D54" s="5"/>
      <c r="E54" s="15"/>
      <c r="F54" s="15"/>
      <c r="G54" s="13"/>
      <c r="H54" s="13"/>
      <c r="I54" s="13"/>
      <c r="J54" s="13"/>
      <c r="K54" s="13"/>
      <c r="L54" s="13"/>
      <c r="M54" s="13"/>
      <c r="N54" s="12"/>
      <c r="O54" s="12"/>
      <c r="P54" s="8"/>
    </row>
    <row r="55" spans="1:16" ht="24" customHeight="1" x14ac:dyDescent="0.25">
      <c r="A55" s="10"/>
      <c r="B55" s="9"/>
      <c r="C55" s="5"/>
      <c r="D55" s="5"/>
      <c r="E55" s="15"/>
      <c r="F55" s="15"/>
      <c r="G55" s="13"/>
      <c r="H55" s="13"/>
      <c r="I55" s="13"/>
      <c r="J55" s="13"/>
      <c r="K55" s="13"/>
      <c r="L55" s="13"/>
      <c r="M55" s="13"/>
      <c r="N55" s="12"/>
      <c r="O55" s="12"/>
      <c r="P55" s="8"/>
    </row>
    <row r="56" spans="1:16" ht="24" customHeight="1" x14ac:dyDescent="0.25">
      <c r="A56" s="10"/>
      <c r="B56" s="9"/>
      <c r="C56" s="5"/>
      <c r="D56" s="5"/>
      <c r="E56" s="15"/>
      <c r="F56" s="15"/>
      <c r="G56" s="13"/>
      <c r="H56" s="13"/>
      <c r="I56" s="13"/>
      <c r="J56" s="13"/>
      <c r="K56" s="13"/>
      <c r="L56" s="13"/>
      <c r="M56" s="13"/>
      <c r="N56" s="12"/>
      <c r="O56" s="12"/>
      <c r="P56" s="8"/>
    </row>
    <row r="57" spans="1:16" ht="24" customHeight="1" x14ac:dyDescent="0.25">
      <c r="A57" s="10"/>
      <c r="B57" s="9"/>
      <c r="C57" s="5"/>
      <c r="D57" s="5"/>
      <c r="E57" s="15"/>
      <c r="F57" s="15"/>
      <c r="G57" s="13"/>
      <c r="H57" s="13"/>
      <c r="I57" s="13"/>
      <c r="J57" s="13"/>
      <c r="K57" s="13"/>
      <c r="L57" s="13"/>
      <c r="M57" s="13"/>
      <c r="N57" s="12"/>
      <c r="O57" s="12"/>
      <c r="P57" s="8"/>
    </row>
    <row r="58" spans="1:16" ht="24" customHeight="1" x14ac:dyDescent="0.25">
      <c r="A58" s="10"/>
      <c r="B58" s="9"/>
      <c r="C58" s="5"/>
      <c r="D58" s="5"/>
      <c r="E58" s="15"/>
      <c r="F58" s="15"/>
      <c r="G58" s="13"/>
      <c r="H58" s="13"/>
      <c r="I58" s="13"/>
      <c r="J58" s="13"/>
      <c r="K58" s="13"/>
      <c r="L58" s="13"/>
      <c r="M58" s="13"/>
      <c r="N58" s="12"/>
      <c r="O58" s="12"/>
      <c r="P58" s="8"/>
    </row>
    <row r="59" spans="1:16" ht="24" customHeight="1" x14ac:dyDescent="0.25">
      <c r="A59" s="10"/>
      <c r="B59" s="9"/>
      <c r="C59" s="5"/>
      <c r="D59" s="5"/>
      <c r="E59" s="15"/>
      <c r="F59" s="15"/>
      <c r="G59" s="13"/>
      <c r="H59" s="13"/>
      <c r="I59" s="13"/>
      <c r="J59" s="13"/>
      <c r="K59" s="13"/>
      <c r="L59" s="13"/>
      <c r="M59" s="13"/>
      <c r="N59" s="12"/>
      <c r="O59" s="12"/>
      <c r="P59" s="8"/>
    </row>
    <row r="60" spans="1:16" ht="24" customHeight="1" x14ac:dyDescent="0.25">
      <c r="A60" s="10"/>
      <c r="B60" s="9"/>
      <c r="C60" s="5"/>
      <c r="D60" s="5"/>
      <c r="E60" s="15"/>
      <c r="F60" s="15"/>
      <c r="G60" s="13"/>
      <c r="H60" s="13"/>
      <c r="I60" s="13"/>
      <c r="J60" s="13"/>
      <c r="K60" s="13"/>
      <c r="L60" s="13"/>
      <c r="M60" s="13"/>
      <c r="N60" s="12"/>
      <c r="O60" s="12"/>
      <c r="P60" s="8"/>
    </row>
    <row r="61" spans="1:16" ht="24" customHeight="1" x14ac:dyDescent="0.25">
      <c r="A61" s="10"/>
      <c r="B61" s="9"/>
      <c r="C61" s="5"/>
      <c r="D61" s="5"/>
      <c r="E61" s="15"/>
      <c r="F61" s="15"/>
      <c r="G61" s="13"/>
      <c r="H61" s="13"/>
      <c r="I61" s="13"/>
      <c r="J61" s="13"/>
      <c r="K61" s="13"/>
      <c r="L61" s="13"/>
      <c r="M61" s="13"/>
      <c r="N61" s="12"/>
      <c r="O61" s="12"/>
      <c r="P61" s="8"/>
    </row>
    <row r="62" spans="1:16" ht="24" customHeight="1" x14ac:dyDescent="0.25">
      <c r="A62" s="10"/>
      <c r="B62" s="9"/>
      <c r="C62" s="5"/>
      <c r="D62" s="5"/>
      <c r="E62" s="15"/>
      <c r="F62" s="15"/>
      <c r="G62" s="13"/>
      <c r="H62" s="13"/>
      <c r="I62" s="13"/>
      <c r="J62" s="13"/>
      <c r="K62" s="13"/>
      <c r="L62" s="13"/>
      <c r="M62" s="13"/>
      <c r="N62" s="12"/>
      <c r="O62" s="12"/>
      <c r="P62" s="8"/>
    </row>
    <row r="63" spans="1:16" ht="24" customHeight="1" x14ac:dyDescent="0.25">
      <c r="A63" s="10"/>
      <c r="B63" s="9"/>
      <c r="C63" s="5"/>
      <c r="D63" s="5"/>
      <c r="E63" s="15"/>
      <c r="F63" s="15"/>
      <c r="G63" s="13"/>
      <c r="H63" s="13"/>
      <c r="I63" s="13"/>
      <c r="J63" s="13"/>
      <c r="K63" s="13"/>
      <c r="L63" s="13"/>
      <c r="M63" s="13"/>
      <c r="N63" s="12"/>
      <c r="O63" s="12"/>
      <c r="P63" s="8"/>
    </row>
    <row r="64" spans="1:16" ht="24" customHeight="1" thickBot="1" x14ac:dyDescent="0.3">
      <c r="A64" s="11"/>
      <c r="B64" s="9"/>
      <c r="C64" s="5"/>
      <c r="D64" s="5"/>
      <c r="E64" s="15"/>
      <c r="F64" s="15"/>
      <c r="G64" s="13"/>
      <c r="H64" s="13"/>
      <c r="I64" s="13"/>
      <c r="J64" s="13"/>
      <c r="K64" s="13"/>
      <c r="L64" s="13"/>
      <c r="M64" s="13"/>
      <c r="N64" s="12"/>
      <c r="O64" s="12"/>
      <c r="P64" s="8"/>
    </row>
    <row r="65" ht="24" customHeight="1" x14ac:dyDescent="0.25"/>
    <row r="66" ht="24" customHeight="1" x14ac:dyDescent="0.25"/>
  </sheetData>
  <mergeCells count="12">
    <mergeCell ref="O4:O5"/>
    <mergeCell ref="P4:P5"/>
    <mergeCell ref="A1:O1"/>
    <mergeCell ref="A3:B3"/>
    <mergeCell ref="A4:A5"/>
    <mergeCell ref="B4:B5"/>
    <mergeCell ref="C4:C5"/>
    <mergeCell ref="D4:D5"/>
    <mergeCell ref="E4:E5"/>
    <mergeCell ref="F4:F5"/>
    <mergeCell ref="H4:M4"/>
    <mergeCell ref="N4:N5"/>
  </mergeCells>
  <printOptions horizontalCentered="1"/>
  <pageMargins left="0.7" right="0.7" top="0.75" bottom="0.75" header="0.3" footer="0.3"/>
  <pageSetup paperSize="9" scale="34" orientation="landscape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30"/>
  <sheetViews>
    <sheetView view="pageBreakPreview" topLeftCell="G1" zoomScale="70" zoomScaleNormal="75" zoomScaleSheetLayoutView="70" workbookViewId="0">
      <selection activeCell="P6" sqref="P6:Y8"/>
    </sheetView>
  </sheetViews>
  <sheetFormatPr defaultColWidth="8.7109375" defaultRowHeight="15" x14ac:dyDescent="0.25"/>
  <cols>
    <col min="1" max="2" width="10.5703125" customWidth="1"/>
    <col min="3" max="5" width="10.140625" customWidth="1"/>
    <col min="6" max="6" width="13.140625" customWidth="1"/>
    <col min="7" max="13" width="8.7109375" customWidth="1"/>
    <col min="14" max="25" width="13.42578125" customWidth="1"/>
    <col min="26" max="26" width="27.85546875" bestFit="1" customWidth="1"/>
    <col min="271" max="271" width="10.5703125" customWidth="1"/>
    <col min="272" max="272" width="10.140625" customWidth="1"/>
    <col min="273" max="273" width="13.140625" customWidth="1"/>
    <col min="274" max="274" width="17.7109375" customWidth="1"/>
    <col min="275" max="275" width="16.42578125" customWidth="1"/>
    <col min="276" max="276" width="15.28515625" customWidth="1"/>
    <col min="277" max="277" width="16" customWidth="1"/>
    <col min="278" max="278" width="17.28515625" customWidth="1"/>
    <col min="279" max="280" width="17.140625" customWidth="1"/>
    <col min="281" max="281" width="13.42578125" customWidth="1"/>
    <col min="282" max="282" width="10.140625" customWidth="1"/>
    <col min="527" max="527" width="10.5703125" customWidth="1"/>
    <col min="528" max="528" width="10.140625" customWidth="1"/>
    <col min="529" max="529" width="13.140625" customWidth="1"/>
    <col min="530" max="530" width="17.7109375" customWidth="1"/>
    <col min="531" max="531" width="16.42578125" customWidth="1"/>
    <col min="532" max="532" width="15.28515625" customWidth="1"/>
    <col min="533" max="533" width="16" customWidth="1"/>
    <col min="534" max="534" width="17.28515625" customWidth="1"/>
    <col min="535" max="536" width="17.140625" customWidth="1"/>
    <col min="537" max="537" width="13.42578125" customWidth="1"/>
    <col min="538" max="538" width="10.140625" customWidth="1"/>
    <col min="783" max="783" width="10.5703125" customWidth="1"/>
    <col min="784" max="784" width="10.140625" customWidth="1"/>
    <col min="785" max="785" width="13.140625" customWidth="1"/>
    <col min="786" max="786" width="17.7109375" customWidth="1"/>
    <col min="787" max="787" width="16.42578125" customWidth="1"/>
    <col min="788" max="788" width="15.28515625" customWidth="1"/>
    <col min="789" max="789" width="16" customWidth="1"/>
    <col min="790" max="790" width="17.28515625" customWidth="1"/>
    <col min="791" max="792" width="17.140625" customWidth="1"/>
    <col min="793" max="793" width="13.42578125" customWidth="1"/>
    <col min="794" max="794" width="10.140625" customWidth="1"/>
    <col min="1039" max="1039" width="10.5703125" customWidth="1"/>
    <col min="1040" max="1040" width="10.140625" customWidth="1"/>
    <col min="1041" max="1041" width="13.140625" customWidth="1"/>
    <col min="1042" max="1042" width="17.7109375" customWidth="1"/>
    <col min="1043" max="1043" width="16.42578125" customWidth="1"/>
    <col min="1044" max="1044" width="15.28515625" customWidth="1"/>
    <col min="1045" max="1045" width="16" customWidth="1"/>
    <col min="1046" max="1046" width="17.28515625" customWidth="1"/>
    <col min="1047" max="1048" width="17.140625" customWidth="1"/>
    <col min="1049" max="1049" width="13.42578125" customWidth="1"/>
    <col min="1050" max="1050" width="10.140625" customWidth="1"/>
    <col min="1295" max="1295" width="10.5703125" customWidth="1"/>
    <col min="1296" max="1296" width="10.140625" customWidth="1"/>
    <col min="1297" max="1297" width="13.140625" customWidth="1"/>
    <col min="1298" max="1298" width="17.7109375" customWidth="1"/>
    <col min="1299" max="1299" width="16.42578125" customWidth="1"/>
    <col min="1300" max="1300" width="15.28515625" customWidth="1"/>
    <col min="1301" max="1301" width="16" customWidth="1"/>
    <col min="1302" max="1302" width="17.28515625" customWidth="1"/>
    <col min="1303" max="1304" width="17.140625" customWidth="1"/>
    <col min="1305" max="1305" width="13.42578125" customWidth="1"/>
    <col min="1306" max="1306" width="10.140625" customWidth="1"/>
    <col min="1551" max="1551" width="10.5703125" customWidth="1"/>
    <col min="1552" max="1552" width="10.140625" customWidth="1"/>
    <col min="1553" max="1553" width="13.140625" customWidth="1"/>
    <col min="1554" max="1554" width="17.7109375" customWidth="1"/>
    <col min="1555" max="1555" width="16.42578125" customWidth="1"/>
    <col min="1556" max="1556" width="15.28515625" customWidth="1"/>
    <col min="1557" max="1557" width="16" customWidth="1"/>
    <col min="1558" max="1558" width="17.28515625" customWidth="1"/>
    <col min="1559" max="1560" width="17.140625" customWidth="1"/>
    <col min="1561" max="1561" width="13.42578125" customWidth="1"/>
    <col min="1562" max="1562" width="10.140625" customWidth="1"/>
    <col min="1807" max="1807" width="10.5703125" customWidth="1"/>
    <col min="1808" max="1808" width="10.140625" customWidth="1"/>
    <col min="1809" max="1809" width="13.140625" customWidth="1"/>
    <col min="1810" max="1810" width="17.7109375" customWidth="1"/>
    <col min="1811" max="1811" width="16.42578125" customWidth="1"/>
    <col min="1812" max="1812" width="15.28515625" customWidth="1"/>
    <col min="1813" max="1813" width="16" customWidth="1"/>
    <col min="1814" max="1814" width="17.28515625" customWidth="1"/>
    <col min="1815" max="1816" width="17.140625" customWidth="1"/>
    <col min="1817" max="1817" width="13.42578125" customWidth="1"/>
    <col min="1818" max="1818" width="10.140625" customWidth="1"/>
    <col min="2063" max="2063" width="10.5703125" customWidth="1"/>
    <col min="2064" max="2064" width="10.140625" customWidth="1"/>
    <col min="2065" max="2065" width="13.140625" customWidth="1"/>
    <col min="2066" max="2066" width="17.7109375" customWidth="1"/>
    <col min="2067" max="2067" width="16.42578125" customWidth="1"/>
    <col min="2068" max="2068" width="15.28515625" customWidth="1"/>
    <col min="2069" max="2069" width="16" customWidth="1"/>
    <col min="2070" max="2070" width="17.28515625" customWidth="1"/>
    <col min="2071" max="2072" width="17.140625" customWidth="1"/>
    <col min="2073" max="2073" width="13.42578125" customWidth="1"/>
    <col min="2074" max="2074" width="10.140625" customWidth="1"/>
    <col min="2319" max="2319" width="10.5703125" customWidth="1"/>
    <col min="2320" max="2320" width="10.140625" customWidth="1"/>
    <col min="2321" max="2321" width="13.140625" customWidth="1"/>
    <col min="2322" max="2322" width="17.7109375" customWidth="1"/>
    <col min="2323" max="2323" width="16.42578125" customWidth="1"/>
    <col min="2324" max="2324" width="15.28515625" customWidth="1"/>
    <col min="2325" max="2325" width="16" customWidth="1"/>
    <col min="2326" max="2326" width="17.28515625" customWidth="1"/>
    <col min="2327" max="2328" width="17.140625" customWidth="1"/>
    <col min="2329" max="2329" width="13.42578125" customWidth="1"/>
    <col min="2330" max="2330" width="10.140625" customWidth="1"/>
    <col min="2575" max="2575" width="10.5703125" customWidth="1"/>
    <col min="2576" max="2576" width="10.140625" customWidth="1"/>
    <col min="2577" max="2577" width="13.140625" customWidth="1"/>
    <col min="2578" max="2578" width="17.7109375" customWidth="1"/>
    <col min="2579" max="2579" width="16.42578125" customWidth="1"/>
    <col min="2580" max="2580" width="15.28515625" customWidth="1"/>
    <col min="2581" max="2581" width="16" customWidth="1"/>
    <col min="2582" max="2582" width="17.28515625" customWidth="1"/>
    <col min="2583" max="2584" width="17.140625" customWidth="1"/>
    <col min="2585" max="2585" width="13.42578125" customWidth="1"/>
    <col min="2586" max="2586" width="10.140625" customWidth="1"/>
    <col min="2831" max="2831" width="10.5703125" customWidth="1"/>
    <col min="2832" max="2832" width="10.140625" customWidth="1"/>
    <col min="2833" max="2833" width="13.140625" customWidth="1"/>
    <col min="2834" max="2834" width="17.7109375" customWidth="1"/>
    <col min="2835" max="2835" width="16.42578125" customWidth="1"/>
    <col min="2836" max="2836" width="15.28515625" customWidth="1"/>
    <col min="2837" max="2837" width="16" customWidth="1"/>
    <col min="2838" max="2838" width="17.28515625" customWidth="1"/>
    <col min="2839" max="2840" width="17.140625" customWidth="1"/>
    <col min="2841" max="2841" width="13.42578125" customWidth="1"/>
    <col min="2842" max="2842" width="10.140625" customWidth="1"/>
    <col min="3087" max="3087" width="10.5703125" customWidth="1"/>
    <col min="3088" max="3088" width="10.140625" customWidth="1"/>
    <col min="3089" max="3089" width="13.140625" customWidth="1"/>
    <col min="3090" max="3090" width="17.7109375" customWidth="1"/>
    <col min="3091" max="3091" width="16.42578125" customWidth="1"/>
    <col min="3092" max="3092" width="15.28515625" customWidth="1"/>
    <col min="3093" max="3093" width="16" customWidth="1"/>
    <col min="3094" max="3094" width="17.28515625" customWidth="1"/>
    <col min="3095" max="3096" width="17.140625" customWidth="1"/>
    <col min="3097" max="3097" width="13.42578125" customWidth="1"/>
    <col min="3098" max="3098" width="10.140625" customWidth="1"/>
    <col min="3343" max="3343" width="10.5703125" customWidth="1"/>
    <col min="3344" max="3344" width="10.140625" customWidth="1"/>
    <col min="3345" max="3345" width="13.140625" customWidth="1"/>
    <col min="3346" max="3346" width="17.7109375" customWidth="1"/>
    <col min="3347" max="3347" width="16.42578125" customWidth="1"/>
    <col min="3348" max="3348" width="15.28515625" customWidth="1"/>
    <col min="3349" max="3349" width="16" customWidth="1"/>
    <col min="3350" max="3350" width="17.28515625" customWidth="1"/>
    <col min="3351" max="3352" width="17.140625" customWidth="1"/>
    <col min="3353" max="3353" width="13.42578125" customWidth="1"/>
    <col min="3354" max="3354" width="10.140625" customWidth="1"/>
    <col min="3599" max="3599" width="10.5703125" customWidth="1"/>
    <col min="3600" max="3600" width="10.140625" customWidth="1"/>
    <col min="3601" max="3601" width="13.140625" customWidth="1"/>
    <col min="3602" max="3602" width="17.7109375" customWidth="1"/>
    <col min="3603" max="3603" width="16.42578125" customWidth="1"/>
    <col min="3604" max="3604" width="15.28515625" customWidth="1"/>
    <col min="3605" max="3605" width="16" customWidth="1"/>
    <col min="3606" max="3606" width="17.28515625" customWidth="1"/>
    <col min="3607" max="3608" width="17.140625" customWidth="1"/>
    <col min="3609" max="3609" width="13.42578125" customWidth="1"/>
    <col min="3610" max="3610" width="10.140625" customWidth="1"/>
    <col min="3855" max="3855" width="10.5703125" customWidth="1"/>
    <col min="3856" max="3856" width="10.140625" customWidth="1"/>
    <col min="3857" max="3857" width="13.140625" customWidth="1"/>
    <col min="3858" max="3858" width="17.7109375" customWidth="1"/>
    <col min="3859" max="3859" width="16.42578125" customWidth="1"/>
    <col min="3860" max="3860" width="15.28515625" customWidth="1"/>
    <col min="3861" max="3861" width="16" customWidth="1"/>
    <col min="3862" max="3862" width="17.28515625" customWidth="1"/>
    <col min="3863" max="3864" width="17.140625" customWidth="1"/>
    <col min="3865" max="3865" width="13.42578125" customWidth="1"/>
    <col min="3866" max="3866" width="10.140625" customWidth="1"/>
    <col min="4111" max="4111" width="10.5703125" customWidth="1"/>
    <col min="4112" max="4112" width="10.140625" customWidth="1"/>
    <col min="4113" max="4113" width="13.140625" customWidth="1"/>
    <col min="4114" max="4114" width="17.7109375" customWidth="1"/>
    <col min="4115" max="4115" width="16.42578125" customWidth="1"/>
    <col min="4116" max="4116" width="15.28515625" customWidth="1"/>
    <col min="4117" max="4117" width="16" customWidth="1"/>
    <col min="4118" max="4118" width="17.28515625" customWidth="1"/>
    <col min="4119" max="4120" width="17.140625" customWidth="1"/>
    <col min="4121" max="4121" width="13.42578125" customWidth="1"/>
    <col min="4122" max="4122" width="10.140625" customWidth="1"/>
    <col min="4367" max="4367" width="10.5703125" customWidth="1"/>
    <col min="4368" max="4368" width="10.140625" customWidth="1"/>
    <col min="4369" max="4369" width="13.140625" customWidth="1"/>
    <col min="4370" max="4370" width="17.7109375" customWidth="1"/>
    <col min="4371" max="4371" width="16.42578125" customWidth="1"/>
    <col min="4372" max="4372" width="15.28515625" customWidth="1"/>
    <col min="4373" max="4373" width="16" customWidth="1"/>
    <col min="4374" max="4374" width="17.28515625" customWidth="1"/>
    <col min="4375" max="4376" width="17.140625" customWidth="1"/>
    <col min="4377" max="4377" width="13.42578125" customWidth="1"/>
    <col min="4378" max="4378" width="10.140625" customWidth="1"/>
    <col min="4623" max="4623" width="10.5703125" customWidth="1"/>
    <col min="4624" max="4624" width="10.140625" customWidth="1"/>
    <col min="4625" max="4625" width="13.140625" customWidth="1"/>
    <col min="4626" max="4626" width="17.7109375" customWidth="1"/>
    <col min="4627" max="4627" width="16.42578125" customWidth="1"/>
    <col min="4628" max="4628" width="15.28515625" customWidth="1"/>
    <col min="4629" max="4629" width="16" customWidth="1"/>
    <col min="4630" max="4630" width="17.28515625" customWidth="1"/>
    <col min="4631" max="4632" width="17.140625" customWidth="1"/>
    <col min="4633" max="4633" width="13.42578125" customWidth="1"/>
    <col min="4634" max="4634" width="10.140625" customWidth="1"/>
    <col min="4879" max="4879" width="10.5703125" customWidth="1"/>
    <col min="4880" max="4880" width="10.140625" customWidth="1"/>
    <col min="4881" max="4881" width="13.140625" customWidth="1"/>
    <col min="4882" max="4882" width="17.7109375" customWidth="1"/>
    <col min="4883" max="4883" width="16.42578125" customWidth="1"/>
    <col min="4884" max="4884" width="15.28515625" customWidth="1"/>
    <col min="4885" max="4885" width="16" customWidth="1"/>
    <col min="4886" max="4886" width="17.28515625" customWidth="1"/>
    <col min="4887" max="4888" width="17.140625" customWidth="1"/>
    <col min="4889" max="4889" width="13.42578125" customWidth="1"/>
    <col min="4890" max="4890" width="10.140625" customWidth="1"/>
    <col min="5135" max="5135" width="10.5703125" customWidth="1"/>
    <col min="5136" max="5136" width="10.140625" customWidth="1"/>
    <col min="5137" max="5137" width="13.140625" customWidth="1"/>
    <col min="5138" max="5138" width="17.7109375" customWidth="1"/>
    <col min="5139" max="5139" width="16.42578125" customWidth="1"/>
    <col min="5140" max="5140" width="15.28515625" customWidth="1"/>
    <col min="5141" max="5141" width="16" customWidth="1"/>
    <col min="5142" max="5142" width="17.28515625" customWidth="1"/>
    <col min="5143" max="5144" width="17.140625" customWidth="1"/>
    <col min="5145" max="5145" width="13.42578125" customWidth="1"/>
    <col min="5146" max="5146" width="10.140625" customWidth="1"/>
    <col min="5391" max="5391" width="10.5703125" customWidth="1"/>
    <col min="5392" max="5392" width="10.140625" customWidth="1"/>
    <col min="5393" max="5393" width="13.140625" customWidth="1"/>
    <col min="5394" max="5394" width="17.7109375" customWidth="1"/>
    <col min="5395" max="5395" width="16.42578125" customWidth="1"/>
    <col min="5396" max="5396" width="15.28515625" customWidth="1"/>
    <col min="5397" max="5397" width="16" customWidth="1"/>
    <col min="5398" max="5398" width="17.28515625" customWidth="1"/>
    <col min="5399" max="5400" width="17.140625" customWidth="1"/>
    <col min="5401" max="5401" width="13.42578125" customWidth="1"/>
    <col min="5402" max="5402" width="10.140625" customWidth="1"/>
    <col min="5647" max="5647" width="10.5703125" customWidth="1"/>
    <col min="5648" max="5648" width="10.140625" customWidth="1"/>
    <col min="5649" max="5649" width="13.140625" customWidth="1"/>
    <col min="5650" max="5650" width="17.7109375" customWidth="1"/>
    <col min="5651" max="5651" width="16.42578125" customWidth="1"/>
    <col min="5652" max="5652" width="15.28515625" customWidth="1"/>
    <col min="5653" max="5653" width="16" customWidth="1"/>
    <col min="5654" max="5654" width="17.28515625" customWidth="1"/>
    <col min="5655" max="5656" width="17.140625" customWidth="1"/>
    <col min="5657" max="5657" width="13.42578125" customWidth="1"/>
    <col min="5658" max="5658" width="10.140625" customWidth="1"/>
    <col min="5903" max="5903" width="10.5703125" customWidth="1"/>
    <col min="5904" max="5904" width="10.140625" customWidth="1"/>
    <col min="5905" max="5905" width="13.140625" customWidth="1"/>
    <col min="5906" max="5906" width="17.7109375" customWidth="1"/>
    <col min="5907" max="5907" width="16.42578125" customWidth="1"/>
    <col min="5908" max="5908" width="15.28515625" customWidth="1"/>
    <col min="5909" max="5909" width="16" customWidth="1"/>
    <col min="5910" max="5910" width="17.28515625" customWidth="1"/>
    <col min="5911" max="5912" width="17.140625" customWidth="1"/>
    <col min="5913" max="5913" width="13.42578125" customWidth="1"/>
    <col min="5914" max="5914" width="10.140625" customWidth="1"/>
    <col min="6159" max="6159" width="10.5703125" customWidth="1"/>
    <col min="6160" max="6160" width="10.140625" customWidth="1"/>
    <col min="6161" max="6161" width="13.140625" customWidth="1"/>
    <col min="6162" max="6162" width="17.7109375" customWidth="1"/>
    <col min="6163" max="6163" width="16.42578125" customWidth="1"/>
    <col min="6164" max="6164" width="15.28515625" customWidth="1"/>
    <col min="6165" max="6165" width="16" customWidth="1"/>
    <col min="6166" max="6166" width="17.28515625" customWidth="1"/>
    <col min="6167" max="6168" width="17.140625" customWidth="1"/>
    <col min="6169" max="6169" width="13.42578125" customWidth="1"/>
    <col min="6170" max="6170" width="10.140625" customWidth="1"/>
    <col min="6415" max="6415" width="10.5703125" customWidth="1"/>
    <col min="6416" max="6416" width="10.140625" customWidth="1"/>
    <col min="6417" max="6417" width="13.140625" customWidth="1"/>
    <col min="6418" max="6418" width="17.7109375" customWidth="1"/>
    <col min="6419" max="6419" width="16.42578125" customWidth="1"/>
    <col min="6420" max="6420" width="15.28515625" customWidth="1"/>
    <col min="6421" max="6421" width="16" customWidth="1"/>
    <col min="6422" max="6422" width="17.28515625" customWidth="1"/>
    <col min="6423" max="6424" width="17.140625" customWidth="1"/>
    <col min="6425" max="6425" width="13.42578125" customWidth="1"/>
    <col min="6426" max="6426" width="10.140625" customWidth="1"/>
    <col min="6671" max="6671" width="10.5703125" customWidth="1"/>
    <col min="6672" max="6672" width="10.140625" customWidth="1"/>
    <col min="6673" max="6673" width="13.140625" customWidth="1"/>
    <col min="6674" max="6674" width="17.7109375" customWidth="1"/>
    <col min="6675" max="6675" width="16.42578125" customWidth="1"/>
    <col min="6676" max="6676" width="15.28515625" customWidth="1"/>
    <col min="6677" max="6677" width="16" customWidth="1"/>
    <col min="6678" max="6678" width="17.28515625" customWidth="1"/>
    <col min="6679" max="6680" width="17.140625" customWidth="1"/>
    <col min="6681" max="6681" width="13.42578125" customWidth="1"/>
    <col min="6682" max="6682" width="10.140625" customWidth="1"/>
    <col min="6927" max="6927" width="10.5703125" customWidth="1"/>
    <col min="6928" max="6928" width="10.140625" customWidth="1"/>
    <col min="6929" max="6929" width="13.140625" customWidth="1"/>
    <col min="6930" max="6930" width="17.7109375" customWidth="1"/>
    <col min="6931" max="6931" width="16.42578125" customWidth="1"/>
    <col min="6932" max="6932" width="15.28515625" customWidth="1"/>
    <col min="6933" max="6933" width="16" customWidth="1"/>
    <col min="6934" max="6934" width="17.28515625" customWidth="1"/>
    <col min="6935" max="6936" width="17.140625" customWidth="1"/>
    <col min="6937" max="6937" width="13.42578125" customWidth="1"/>
    <col min="6938" max="6938" width="10.140625" customWidth="1"/>
    <col min="7183" max="7183" width="10.5703125" customWidth="1"/>
    <col min="7184" max="7184" width="10.140625" customWidth="1"/>
    <col min="7185" max="7185" width="13.140625" customWidth="1"/>
    <col min="7186" max="7186" width="17.7109375" customWidth="1"/>
    <col min="7187" max="7187" width="16.42578125" customWidth="1"/>
    <col min="7188" max="7188" width="15.28515625" customWidth="1"/>
    <col min="7189" max="7189" width="16" customWidth="1"/>
    <col min="7190" max="7190" width="17.28515625" customWidth="1"/>
    <col min="7191" max="7192" width="17.140625" customWidth="1"/>
    <col min="7193" max="7193" width="13.42578125" customWidth="1"/>
    <col min="7194" max="7194" width="10.140625" customWidth="1"/>
    <col min="7439" max="7439" width="10.5703125" customWidth="1"/>
    <col min="7440" max="7440" width="10.140625" customWidth="1"/>
    <col min="7441" max="7441" width="13.140625" customWidth="1"/>
    <col min="7442" max="7442" width="17.7109375" customWidth="1"/>
    <col min="7443" max="7443" width="16.42578125" customWidth="1"/>
    <col min="7444" max="7444" width="15.28515625" customWidth="1"/>
    <col min="7445" max="7445" width="16" customWidth="1"/>
    <col min="7446" max="7446" width="17.28515625" customWidth="1"/>
    <col min="7447" max="7448" width="17.140625" customWidth="1"/>
    <col min="7449" max="7449" width="13.42578125" customWidth="1"/>
    <col min="7450" max="7450" width="10.140625" customWidth="1"/>
    <col min="7695" max="7695" width="10.5703125" customWidth="1"/>
    <col min="7696" max="7696" width="10.140625" customWidth="1"/>
    <col min="7697" max="7697" width="13.140625" customWidth="1"/>
    <col min="7698" max="7698" width="17.7109375" customWidth="1"/>
    <col min="7699" max="7699" width="16.42578125" customWidth="1"/>
    <col min="7700" max="7700" width="15.28515625" customWidth="1"/>
    <col min="7701" max="7701" width="16" customWidth="1"/>
    <col min="7702" max="7702" width="17.28515625" customWidth="1"/>
    <col min="7703" max="7704" width="17.140625" customWidth="1"/>
    <col min="7705" max="7705" width="13.42578125" customWidth="1"/>
    <col min="7706" max="7706" width="10.140625" customWidth="1"/>
    <col min="7951" max="7951" width="10.5703125" customWidth="1"/>
    <col min="7952" max="7952" width="10.140625" customWidth="1"/>
    <col min="7953" max="7953" width="13.140625" customWidth="1"/>
    <col min="7954" max="7954" width="17.7109375" customWidth="1"/>
    <col min="7955" max="7955" width="16.42578125" customWidth="1"/>
    <col min="7956" max="7956" width="15.28515625" customWidth="1"/>
    <col min="7957" max="7957" width="16" customWidth="1"/>
    <col min="7958" max="7958" width="17.28515625" customWidth="1"/>
    <col min="7959" max="7960" width="17.140625" customWidth="1"/>
    <col min="7961" max="7961" width="13.42578125" customWidth="1"/>
    <col min="7962" max="7962" width="10.140625" customWidth="1"/>
    <col min="8207" max="8207" width="10.5703125" customWidth="1"/>
    <col min="8208" max="8208" width="10.140625" customWidth="1"/>
    <col min="8209" max="8209" width="13.140625" customWidth="1"/>
    <col min="8210" max="8210" width="17.7109375" customWidth="1"/>
    <col min="8211" max="8211" width="16.42578125" customWidth="1"/>
    <col min="8212" max="8212" width="15.28515625" customWidth="1"/>
    <col min="8213" max="8213" width="16" customWidth="1"/>
    <col min="8214" max="8214" width="17.28515625" customWidth="1"/>
    <col min="8215" max="8216" width="17.140625" customWidth="1"/>
    <col min="8217" max="8217" width="13.42578125" customWidth="1"/>
    <col min="8218" max="8218" width="10.140625" customWidth="1"/>
    <col min="8463" max="8463" width="10.5703125" customWidth="1"/>
    <col min="8464" max="8464" width="10.140625" customWidth="1"/>
    <col min="8465" max="8465" width="13.140625" customWidth="1"/>
    <col min="8466" max="8466" width="17.7109375" customWidth="1"/>
    <col min="8467" max="8467" width="16.42578125" customWidth="1"/>
    <col min="8468" max="8468" width="15.28515625" customWidth="1"/>
    <col min="8469" max="8469" width="16" customWidth="1"/>
    <col min="8470" max="8470" width="17.28515625" customWidth="1"/>
    <col min="8471" max="8472" width="17.140625" customWidth="1"/>
    <col min="8473" max="8473" width="13.42578125" customWidth="1"/>
    <col min="8474" max="8474" width="10.140625" customWidth="1"/>
    <col min="8719" max="8719" width="10.5703125" customWidth="1"/>
    <col min="8720" max="8720" width="10.140625" customWidth="1"/>
    <col min="8721" max="8721" width="13.140625" customWidth="1"/>
    <col min="8722" max="8722" width="17.7109375" customWidth="1"/>
    <col min="8723" max="8723" width="16.42578125" customWidth="1"/>
    <col min="8724" max="8724" width="15.28515625" customWidth="1"/>
    <col min="8725" max="8725" width="16" customWidth="1"/>
    <col min="8726" max="8726" width="17.28515625" customWidth="1"/>
    <col min="8727" max="8728" width="17.140625" customWidth="1"/>
    <col min="8729" max="8729" width="13.42578125" customWidth="1"/>
    <col min="8730" max="8730" width="10.140625" customWidth="1"/>
    <col min="8975" max="8975" width="10.5703125" customWidth="1"/>
    <col min="8976" max="8976" width="10.140625" customWidth="1"/>
    <col min="8977" max="8977" width="13.140625" customWidth="1"/>
    <col min="8978" max="8978" width="17.7109375" customWidth="1"/>
    <col min="8979" max="8979" width="16.42578125" customWidth="1"/>
    <col min="8980" max="8980" width="15.28515625" customWidth="1"/>
    <col min="8981" max="8981" width="16" customWidth="1"/>
    <col min="8982" max="8982" width="17.28515625" customWidth="1"/>
    <col min="8983" max="8984" width="17.140625" customWidth="1"/>
    <col min="8985" max="8985" width="13.42578125" customWidth="1"/>
    <col min="8986" max="8986" width="10.140625" customWidth="1"/>
    <col min="9231" max="9231" width="10.5703125" customWidth="1"/>
    <col min="9232" max="9232" width="10.140625" customWidth="1"/>
    <col min="9233" max="9233" width="13.140625" customWidth="1"/>
    <col min="9234" max="9234" width="17.7109375" customWidth="1"/>
    <col min="9235" max="9235" width="16.42578125" customWidth="1"/>
    <col min="9236" max="9236" width="15.28515625" customWidth="1"/>
    <col min="9237" max="9237" width="16" customWidth="1"/>
    <col min="9238" max="9238" width="17.28515625" customWidth="1"/>
    <col min="9239" max="9240" width="17.140625" customWidth="1"/>
    <col min="9241" max="9241" width="13.42578125" customWidth="1"/>
    <col min="9242" max="9242" width="10.140625" customWidth="1"/>
    <col min="9487" max="9487" width="10.5703125" customWidth="1"/>
    <col min="9488" max="9488" width="10.140625" customWidth="1"/>
    <col min="9489" max="9489" width="13.140625" customWidth="1"/>
    <col min="9490" max="9490" width="17.7109375" customWidth="1"/>
    <col min="9491" max="9491" width="16.42578125" customWidth="1"/>
    <col min="9492" max="9492" width="15.28515625" customWidth="1"/>
    <col min="9493" max="9493" width="16" customWidth="1"/>
    <col min="9494" max="9494" width="17.28515625" customWidth="1"/>
    <col min="9495" max="9496" width="17.140625" customWidth="1"/>
    <col min="9497" max="9497" width="13.42578125" customWidth="1"/>
    <col min="9498" max="9498" width="10.140625" customWidth="1"/>
    <col min="9743" max="9743" width="10.5703125" customWidth="1"/>
    <col min="9744" max="9744" width="10.140625" customWidth="1"/>
    <col min="9745" max="9745" width="13.140625" customWidth="1"/>
    <col min="9746" max="9746" width="17.7109375" customWidth="1"/>
    <col min="9747" max="9747" width="16.42578125" customWidth="1"/>
    <col min="9748" max="9748" width="15.28515625" customWidth="1"/>
    <col min="9749" max="9749" width="16" customWidth="1"/>
    <col min="9750" max="9750" width="17.28515625" customWidth="1"/>
    <col min="9751" max="9752" width="17.140625" customWidth="1"/>
    <col min="9753" max="9753" width="13.42578125" customWidth="1"/>
    <col min="9754" max="9754" width="10.140625" customWidth="1"/>
    <col min="9999" max="9999" width="10.5703125" customWidth="1"/>
    <col min="10000" max="10000" width="10.140625" customWidth="1"/>
    <col min="10001" max="10001" width="13.140625" customWidth="1"/>
    <col min="10002" max="10002" width="17.7109375" customWidth="1"/>
    <col min="10003" max="10003" width="16.42578125" customWidth="1"/>
    <col min="10004" max="10004" width="15.28515625" customWidth="1"/>
    <col min="10005" max="10005" width="16" customWidth="1"/>
    <col min="10006" max="10006" width="17.28515625" customWidth="1"/>
    <col min="10007" max="10008" width="17.140625" customWidth="1"/>
    <col min="10009" max="10009" width="13.42578125" customWidth="1"/>
    <col min="10010" max="10010" width="10.140625" customWidth="1"/>
    <col min="10255" max="10255" width="10.5703125" customWidth="1"/>
    <col min="10256" max="10256" width="10.140625" customWidth="1"/>
    <col min="10257" max="10257" width="13.140625" customWidth="1"/>
    <col min="10258" max="10258" width="17.7109375" customWidth="1"/>
    <col min="10259" max="10259" width="16.42578125" customWidth="1"/>
    <col min="10260" max="10260" width="15.28515625" customWidth="1"/>
    <col min="10261" max="10261" width="16" customWidth="1"/>
    <col min="10262" max="10262" width="17.28515625" customWidth="1"/>
    <col min="10263" max="10264" width="17.140625" customWidth="1"/>
    <col min="10265" max="10265" width="13.42578125" customWidth="1"/>
    <col min="10266" max="10266" width="10.140625" customWidth="1"/>
    <col min="10511" max="10511" width="10.5703125" customWidth="1"/>
    <col min="10512" max="10512" width="10.140625" customWidth="1"/>
    <col min="10513" max="10513" width="13.140625" customWidth="1"/>
    <col min="10514" max="10514" width="17.7109375" customWidth="1"/>
    <col min="10515" max="10515" width="16.42578125" customWidth="1"/>
    <col min="10516" max="10516" width="15.28515625" customWidth="1"/>
    <col min="10517" max="10517" width="16" customWidth="1"/>
    <col min="10518" max="10518" width="17.28515625" customWidth="1"/>
    <col min="10519" max="10520" width="17.140625" customWidth="1"/>
    <col min="10521" max="10521" width="13.42578125" customWidth="1"/>
    <col min="10522" max="10522" width="10.140625" customWidth="1"/>
    <col min="10767" max="10767" width="10.5703125" customWidth="1"/>
    <col min="10768" max="10768" width="10.140625" customWidth="1"/>
    <col min="10769" max="10769" width="13.140625" customWidth="1"/>
    <col min="10770" max="10770" width="17.7109375" customWidth="1"/>
    <col min="10771" max="10771" width="16.42578125" customWidth="1"/>
    <col min="10772" max="10772" width="15.28515625" customWidth="1"/>
    <col min="10773" max="10773" width="16" customWidth="1"/>
    <col min="10774" max="10774" width="17.28515625" customWidth="1"/>
    <col min="10775" max="10776" width="17.140625" customWidth="1"/>
    <col min="10777" max="10777" width="13.42578125" customWidth="1"/>
    <col min="10778" max="10778" width="10.140625" customWidth="1"/>
    <col min="11023" max="11023" width="10.5703125" customWidth="1"/>
    <col min="11024" max="11024" width="10.140625" customWidth="1"/>
    <col min="11025" max="11025" width="13.140625" customWidth="1"/>
    <col min="11026" max="11026" width="17.7109375" customWidth="1"/>
    <col min="11027" max="11027" width="16.42578125" customWidth="1"/>
    <col min="11028" max="11028" width="15.28515625" customWidth="1"/>
    <col min="11029" max="11029" width="16" customWidth="1"/>
    <col min="11030" max="11030" width="17.28515625" customWidth="1"/>
    <col min="11031" max="11032" width="17.140625" customWidth="1"/>
    <col min="11033" max="11033" width="13.42578125" customWidth="1"/>
    <col min="11034" max="11034" width="10.140625" customWidth="1"/>
    <col min="11279" max="11279" width="10.5703125" customWidth="1"/>
    <col min="11280" max="11280" width="10.140625" customWidth="1"/>
    <col min="11281" max="11281" width="13.140625" customWidth="1"/>
    <col min="11282" max="11282" width="17.7109375" customWidth="1"/>
    <col min="11283" max="11283" width="16.42578125" customWidth="1"/>
    <col min="11284" max="11284" width="15.28515625" customWidth="1"/>
    <col min="11285" max="11285" width="16" customWidth="1"/>
    <col min="11286" max="11286" width="17.28515625" customWidth="1"/>
    <col min="11287" max="11288" width="17.140625" customWidth="1"/>
    <col min="11289" max="11289" width="13.42578125" customWidth="1"/>
    <col min="11290" max="11290" width="10.140625" customWidth="1"/>
    <col min="11535" max="11535" width="10.5703125" customWidth="1"/>
    <col min="11536" max="11536" width="10.140625" customWidth="1"/>
    <col min="11537" max="11537" width="13.140625" customWidth="1"/>
    <col min="11538" max="11538" width="17.7109375" customWidth="1"/>
    <col min="11539" max="11539" width="16.42578125" customWidth="1"/>
    <col min="11540" max="11540" width="15.28515625" customWidth="1"/>
    <col min="11541" max="11541" width="16" customWidth="1"/>
    <col min="11542" max="11542" width="17.28515625" customWidth="1"/>
    <col min="11543" max="11544" width="17.140625" customWidth="1"/>
    <col min="11545" max="11545" width="13.42578125" customWidth="1"/>
    <col min="11546" max="11546" width="10.140625" customWidth="1"/>
    <col min="11791" max="11791" width="10.5703125" customWidth="1"/>
    <col min="11792" max="11792" width="10.140625" customWidth="1"/>
    <col min="11793" max="11793" width="13.140625" customWidth="1"/>
    <col min="11794" max="11794" width="17.7109375" customWidth="1"/>
    <col min="11795" max="11795" width="16.42578125" customWidth="1"/>
    <col min="11796" max="11796" width="15.28515625" customWidth="1"/>
    <col min="11797" max="11797" width="16" customWidth="1"/>
    <col min="11798" max="11798" width="17.28515625" customWidth="1"/>
    <col min="11799" max="11800" width="17.140625" customWidth="1"/>
    <col min="11801" max="11801" width="13.42578125" customWidth="1"/>
    <col min="11802" max="11802" width="10.140625" customWidth="1"/>
    <col min="12047" max="12047" width="10.5703125" customWidth="1"/>
    <col min="12048" max="12048" width="10.140625" customWidth="1"/>
    <col min="12049" max="12049" width="13.140625" customWidth="1"/>
    <col min="12050" max="12050" width="17.7109375" customWidth="1"/>
    <col min="12051" max="12051" width="16.42578125" customWidth="1"/>
    <col min="12052" max="12052" width="15.28515625" customWidth="1"/>
    <col min="12053" max="12053" width="16" customWidth="1"/>
    <col min="12054" max="12054" width="17.28515625" customWidth="1"/>
    <col min="12055" max="12056" width="17.140625" customWidth="1"/>
    <col min="12057" max="12057" width="13.42578125" customWidth="1"/>
    <col min="12058" max="12058" width="10.140625" customWidth="1"/>
    <col min="12303" max="12303" width="10.5703125" customWidth="1"/>
    <col min="12304" max="12304" width="10.140625" customWidth="1"/>
    <col min="12305" max="12305" width="13.140625" customWidth="1"/>
    <col min="12306" max="12306" width="17.7109375" customWidth="1"/>
    <col min="12307" max="12307" width="16.42578125" customWidth="1"/>
    <col min="12308" max="12308" width="15.28515625" customWidth="1"/>
    <col min="12309" max="12309" width="16" customWidth="1"/>
    <col min="12310" max="12310" width="17.28515625" customWidth="1"/>
    <col min="12311" max="12312" width="17.140625" customWidth="1"/>
    <col min="12313" max="12313" width="13.42578125" customWidth="1"/>
    <col min="12314" max="12314" width="10.140625" customWidth="1"/>
    <col min="12559" max="12559" width="10.5703125" customWidth="1"/>
    <col min="12560" max="12560" width="10.140625" customWidth="1"/>
    <col min="12561" max="12561" width="13.140625" customWidth="1"/>
    <col min="12562" max="12562" width="17.7109375" customWidth="1"/>
    <col min="12563" max="12563" width="16.42578125" customWidth="1"/>
    <col min="12564" max="12564" width="15.28515625" customWidth="1"/>
    <col min="12565" max="12565" width="16" customWidth="1"/>
    <col min="12566" max="12566" width="17.28515625" customWidth="1"/>
    <col min="12567" max="12568" width="17.140625" customWidth="1"/>
    <col min="12569" max="12569" width="13.42578125" customWidth="1"/>
    <col min="12570" max="12570" width="10.140625" customWidth="1"/>
    <col min="12815" max="12815" width="10.5703125" customWidth="1"/>
    <col min="12816" max="12816" width="10.140625" customWidth="1"/>
    <col min="12817" max="12817" width="13.140625" customWidth="1"/>
    <col min="12818" max="12818" width="17.7109375" customWidth="1"/>
    <col min="12819" max="12819" width="16.42578125" customWidth="1"/>
    <col min="12820" max="12820" width="15.28515625" customWidth="1"/>
    <col min="12821" max="12821" width="16" customWidth="1"/>
    <col min="12822" max="12822" width="17.28515625" customWidth="1"/>
    <col min="12823" max="12824" width="17.140625" customWidth="1"/>
    <col min="12825" max="12825" width="13.42578125" customWidth="1"/>
    <col min="12826" max="12826" width="10.140625" customWidth="1"/>
    <col min="13071" max="13071" width="10.5703125" customWidth="1"/>
    <col min="13072" max="13072" width="10.140625" customWidth="1"/>
    <col min="13073" max="13073" width="13.140625" customWidth="1"/>
    <col min="13074" max="13074" width="17.7109375" customWidth="1"/>
    <col min="13075" max="13075" width="16.42578125" customWidth="1"/>
    <col min="13076" max="13076" width="15.28515625" customWidth="1"/>
    <col min="13077" max="13077" width="16" customWidth="1"/>
    <col min="13078" max="13078" width="17.28515625" customWidth="1"/>
    <col min="13079" max="13080" width="17.140625" customWidth="1"/>
    <col min="13081" max="13081" width="13.42578125" customWidth="1"/>
    <col min="13082" max="13082" width="10.140625" customWidth="1"/>
    <col min="13327" max="13327" width="10.5703125" customWidth="1"/>
    <col min="13328" max="13328" width="10.140625" customWidth="1"/>
    <col min="13329" max="13329" width="13.140625" customWidth="1"/>
    <col min="13330" max="13330" width="17.7109375" customWidth="1"/>
    <col min="13331" max="13331" width="16.42578125" customWidth="1"/>
    <col min="13332" max="13332" width="15.28515625" customWidth="1"/>
    <col min="13333" max="13333" width="16" customWidth="1"/>
    <col min="13334" max="13334" width="17.28515625" customWidth="1"/>
    <col min="13335" max="13336" width="17.140625" customWidth="1"/>
    <col min="13337" max="13337" width="13.42578125" customWidth="1"/>
    <col min="13338" max="13338" width="10.140625" customWidth="1"/>
    <col min="13583" max="13583" width="10.5703125" customWidth="1"/>
    <col min="13584" max="13584" width="10.140625" customWidth="1"/>
    <col min="13585" max="13585" width="13.140625" customWidth="1"/>
    <col min="13586" max="13586" width="17.7109375" customWidth="1"/>
    <col min="13587" max="13587" width="16.42578125" customWidth="1"/>
    <col min="13588" max="13588" width="15.28515625" customWidth="1"/>
    <col min="13589" max="13589" width="16" customWidth="1"/>
    <col min="13590" max="13590" width="17.28515625" customWidth="1"/>
    <col min="13591" max="13592" width="17.140625" customWidth="1"/>
    <col min="13593" max="13593" width="13.42578125" customWidth="1"/>
    <col min="13594" max="13594" width="10.140625" customWidth="1"/>
    <col min="13839" max="13839" width="10.5703125" customWidth="1"/>
    <col min="13840" max="13840" width="10.140625" customWidth="1"/>
    <col min="13841" max="13841" width="13.140625" customWidth="1"/>
    <col min="13842" max="13842" width="17.7109375" customWidth="1"/>
    <col min="13843" max="13843" width="16.42578125" customWidth="1"/>
    <col min="13844" max="13844" width="15.28515625" customWidth="1"/>
    <col min="13845" max="13845" width="16" customWidth="1"/>
    <col min="13846" max="13846" width="17.28515625" customWidth="1"/>
    <col min="13847" max="13848" width="17.140625" customWidth="1"/>
    <col min="13849" max="13849" width="13.42578125" customWidth="1"/>
    <col min="13850" max="13850" width="10.140625" customWidth="1"/>
    <col min="14095" max="14095" width="10.5703125" customWidth="1"/>
    <col min="14096" max="14096" width="10.140625" customWidth="1"/>
    <col min="14097" max="14097" width="13.140625" customWidth="1"/>
    <col min="14098" max="14098" width="17.7109375" customWidth="1"/>
    <col min="14099" max="14099" width="16.42578125" customWidth="1"/>
    <col min="14100" max="14100" width="15.28515625" customWidth="1"/>
    <col min="14101" max="14101" width="16" customWidth="1"/>
    <col min="14102" max="14102" width="17.28515625" customWidth="1"/>
    <col min="14103" max="14104" width="17.140625" customWidth="1"/>
    <col min="14105" max="14105" width="13.42578125" customWidth="1"/>
    <col min="14106" max="14106" width="10.140625" customWidth="1"/>
    <col min="14351" max="14351" width="10.5703125" customWidth="1"/>
    <col min="14352" max="14352" width="10.140625" customWidth="1"/>
    <col min="14353" max="14353" width="13.140625" customWidth="1"/>
    <col min="14354" max="14354" width="17.7109375" customWidth="1"/>
    <col min="14355" max="14355" width="16.42578125" customWidth="1"/>
    <col min="14356" max="14356" width="15.28515625" customWidth="1"/>
    <col min="14357" max="14357" width="16" customWidth="1"/>
    <col min="14358" max="14358" width="17.28515625" customWidth="1"/>
    <col min="14359" max="14360" width="17.140625" customWidth="1"/>
    <col min="14361" max="14361" width="13.42578125" customWidth="1"/>
    <col min="14362" max="14362" width="10.140625" customWidth="1"/>
    <col min="14607" max="14607" width="10.5703125" customWidth="1"/>
    <col min="14608" max="14608" width="10.140625" customWidth="1"/>
    <col min="14609" max="14609" width="13.140625" customWidth="1"/>
    <col min="14610" max="14610" width="17.7109375" customWidth="1"/>
    <col min="14611" max="14611" width="16.42578125" customWidth="1"/>
    <col min="14612" max="14612" width="15.28515625" customWidth="1"/>
    <col min="14613" max="14613" width="16" customWidth="1"/>
    <col min="14614" max="14614" width="17.28515625" customWidth="1"/>
    <col min="14615" max="14616" width="17.140625" customWidth="1"/>
    <col min="14617" max="14617" width="13.42578125" customWidth="1"/>
    <col min="14618" max="14618" width="10.140625" customWidth="1"/>
    <col min="14863" max="14863" width="10.5703125" customWidth="1"/>
    <col min="14864" max="14864" width="10.140625" customWidth="1"/>
    <col min="14865" max="14865" width="13.140625" customWidth="1"/>
    <col min="14866" max="14866" width="17.7109375" customWidth="1"/>
    <col min="14867" max="14867" width="16.42578125" customWidth="1"/>
    <col min="14868" max="14868" width="15.28515625" customWidth="1"/>
    <col min="14869" max="14869" width="16" customWidth="1"/>
    <col min="14870" max="14870" width="17.28515625" customWidth="1"/>
    <col min="14871" max="14872" width="17.140625" customWidth="1"/>
    <col min="14873" max="14873" width="13.42578125" customWidth="1"/>
    <col min="14874" max="14874" width="10.140625" customWidth="1"/>
    <col min="15119" max="15119" width="10.5703125" customWidth="1"/>
    <col min="15120" max="15120" width="10.140625" customWidth="1"/>
    <col min="15121" max="15121" width="13.140625" customWidth="1"/>
    <col min="15122" max="15122" width="17.7109375" customWidth="1"/>
    <col min="15123" max="15123" width="16.42578125" customWidth="1"/>
    <col min="15124" max="15124" width="15.28515625" customWidth="1"/>
    <col min="15125" max="15125" width="16" customWidth="1"/>
    <col min="15126" max="15126" width="17.28515625" customWidth="1"/>
    <col min="15127" max="15128" width="17.140625" customWidth="1"/>
    <col min="15129" max="15129" width="13.42578125" customWidth="1"/>
    <col min="15130" max="15130" width="10.140625" customWidth="1"/>
    <col min="15375" max="15375" width="10.5703125" customWidth="1"/>
    <col min="15376" max="15376" width="10.140625" customWidth="1"/>
    <col min="15377" max="15377" width="13.140625" customWidth="1"/>
    <col min="15378" max="15378" width="17.7109375" customWidth="1"/>
    <col min="15379" max="15379" width="16.42578125" customWidth="1"/>
    <col min="15380" max="15380" width="15.28515625" customWidth="1"/>
    <col min="15381" max="15381" width="16" customWidth="1"/>
    <col min="15382" max="15382" width="17.28515625" customWidth="1"/>
    <col min="15383" max="15384" width="17.140625" customWidth="1"/>
    <col min="15385" max="15385" width="13.42578125" customWidth="1"/>
    <col min="15386" max="15386" width="10.140625" customWidth="1"/>
    <col min="15631" max="15631" width="10.5703125" customWidth="1"/>
    <col min="15632" max="15632" width="10.140625" customWidth="1"/>
    <col min="15633" max="15633" width="13.140625" customWidth="1"/>
    <col min="15634" max="15634" width="17.7109375" customWidth="1"/>
    <col min="15635" max="15635" width="16.42578125" customWidth="1"/>
    <col min="15636" max="15636" width="15.28515625" customWidth="1"/>
    <col min="15637" max="15637" width="16" customWidth="1"/>
    <col min="15638" max="15638" width="17.28515625" customWidth="1"/>
    <col min="15639" max="15640" width="17.140625" customWidth="1"/>
    <col min="15641" max="15641" width="13.42578125" customWidth="1"/>
    <col min="15642" max="15642" width="10.140625" customWidth="1"/>
    <col min="15887" max="15887" width="10.5703125" customWidth="1"/>
    <col min="15888" max="15888" width="10.140625" customWidth="1"/>
    <col min="15889" max="15889" width="13.140625" customWidth="1"/>
    <col min="15890" max="15890" width="17.7109375" customWidth="1"/>
    <col min="15891" max="15891" width="16.42578125" customWidth="1"/>
    <col min="15892" max="15892" width="15.28515625" customWidth="1"/>
    <col min="15893" max="15893" width="16" customWidth="1"/>
    <col min="15894" max="15894" width="17.28515625" customWidth="1"/>
    <col min="15895" max="15896" width="17.140625" customWidth="1"/>
    <col min="15897" max="15897" width="13.42578125" customWidth="1"/>
    <col min="15898" max="15898" width="10.140625" customWidth="1"/>
    <col min="16143" max="16143" width="10.5703125" customWidth="1"/>
    <col min="16144" max="16144" width="10.140625" customWidth="1"/>
    <col min="16145" max="16145" width="13.140625" customWidth="1"/>
    <col min="16146" max="16146" width="17.7109375" customWidth="1"/>
    <col min="16147" max="16147" width="16.42578125" customWidth="1"/>
    <col min="16148" max="16148" width="15.28515625" customWidth="1"/>
    <col min="16149" max="16149" width="16" customWidth="1"/>
    <col min="16150" max="16150" width="17.28515625" customWidth="1"/>
    <col min="16151" max="16152" width="17.140625" customWidth="1"/>
    <col min="16153" max="16153" width="13.42578125" customWidth="1"/>
    <col min="16154" max="16154" width="10.140625" customWidth="1"/>
  </cols>
  <sheetData>
    <row r="1" spans="1:30" ht="19.5" thickBot="1" x14ac:dyDescent="0.35">
      <c r="A1" s="139" t="s">
        <v>170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1"/>
    </row>
    <row r="2" spans="1:30" ht="19.5" thickBot="1" x14ac:dyDescent="0.35">
      <c r="A2" s="142" t="s">
        <v>171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4"/>
    </row>
    <row r="3" spans="1:30" ht="18.75" x14ac:dyDescent="0.3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7"/>
    </row>
    <row r="4" spans="1:30" x14ac:dyDescent="0.25">
      <c r="A4" s="148" t="s">
        <v>172</v>
      </c>
      <c r="B4" s="149"/>
      <c r="C4" s="149"/>
      <c r="D4" s="149"/>
      <c r="E4" s="149"/>
      <c r="F4" s="150"/>
      <c r="G4" s="151" t="s">
        <v>173</v>
      </c>
      <c r="H4" s="149"/>
      <c r="I4" s="150"/>
      <c r="J4" s="151" t="s">
        <v>174</v>
      </c>
      <c r="K4" s="149"/>
      <c r="L4" s="150"/>
      <c r="M4" s="29" t="s">
        <v>175</v>
      </c>
      <c r="N4" s="152" t="s">
        <v>176</v>
      </c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4"/>
    </row>
    <row r="5" spans="1:30" ht="15.75" thickBot="1" x14ac:dyDescent="0.3">
      <c r="A5" s="120"/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3"/>
    </row>
    <row r="6" spans="1:30" ht="30" customHeight="1" x14ac:dyDescent="0.25">
      <c r="A6" s="124" t="s">
        <v>177</v>
      </c>
      <c r="B6" s="34"/>
      <c r="C6" s="126" t="s">
        <v>178</v>
      </c>
      <c r="D6" s="111" t="s">
        <v>16</v>
      </c>
      <c r="E6" s="117" t="s">
        <v>6</v>
      </c>
      <c r="F6" s="128" t="s">
        <v>179</v>
      </c>
      <c r="G6" s="130" t="s">
        <v>180</v>
      </c>
      <c r="H6" s="130"/>
      <c r="I6" s="130"/>
      <c r="J6" s="130"/>
      <c r="K6" s="130"/>
      <c r="L6" s="130"/>
      <c r="M6" s="131"/>
      <c r="N6" s="111" t="s">
        <v>15</v>
      </c>
      <c r="O6" s="111" t="s">
        <v>18</v>
      </c>
      <c r="P6" s="136" t="s">
        <v>813</v>
      </c>
      <c r="Q6" s="137"/>
      <c r="R6" s="137"/>
      <c r="S6" s="137"/>
      <c r="T6" s="137"/>
      <c r="U6" s="137"/>
      <c r="V6" s="138"/>
      <c r="W6" s="134" t="s">
        <v>774</v>
      </c>
      <c r="X6" s="134" t="s">
        <v>775</v>
      </c>
      <c r="Y6" s="134" t="s">
        <v>814</v>
      </c>
      <c r="Z6" s="132" t="s">
        <v>181</v>
      </c>
    </row>
    <row r="7" spans="1:30" ht="15.75" thickBot="1" x14ac:dyDescent="0.3">
      <c r="A7" s="125"/>
      <c r="B7" s="35"/>
      <c r="C7" s="127"/>
      <c r="D7" s="116"/>
      <c r="E7" s="118"/>
      <c r="F7" s="129"/>
      <c r="G7" s="30" t="s">
        <v>182</v>
      </c>
      <c r="H7" s="31" t="s">
        <v>183</v>
      </c>
      <c r="I7" s="30" t="s">
        <v>184</v>
      </c>
      <c r="J7" s="31" t="s">
        <v>185</v>
      </c>
      <c r="K7" s="30" t="s">
        <v>186</v>
      </c>
      <c r="L7" s="31" t="s">
        <v>187</v>
      </c>
      <c r="M7" s="32" t="s">
        <v>188</v>
      </c>
      <c r="N7" s="116"/>
      <c r="O7" s="116"/>
      <c r="P7" s="83" t="s">
        <v>8</v>
      </c>
      <c r="Q7" s="53" t="s">
        <v>9</v>
      </c>
      <c r="R7" s="83" t="s">
        <v>10</v>
      </c>
      <c r="S7" s="53" t="s">
        <v>11</v>
      </c>
      <c r="T7" s="83" t="s">
        <v>12</v>
      </c>
      <c r="U7" s="53" t="s">
        <v>13</v>
      </c>
      <c r="V7" s="83" t="s">
        <v>14</v>
      </c>
      <c r="W7" s="135"/>
      <c r="X7" s="135"/>
      <c r="Y7" s="135"/>
      <c r="Z7" s="133"/>
    </row>
    <row r="8" spans="1:30" x14ac:dyDescent="0.25">
      <c r="A8" s="54" t="s">
        <v>242</v>
      </c>
      <c r="B8" s="55"/>
      <c r="C8" s="56" t="s">
        <v>389</v>
      </c>
      <c r="D8" s="57">
        <f t="shared" ref="D8:D71" si="0">IF(COUNT(G8:M8)&gt;3,10,IF(COUNT(G8:M8)&gt;2,9,7))</f>
        <v>7</v>
      </c>
      <c r="E8" s="56"/>
      <c r="F8" s="56" t="s">
        <v>205</v>
      </c>
      <c r="G8" s="56">
        <v>4.2</v>
      </c>
      <c r="H8" s="56">
        <v>9.6</v>
      </c>
      <c r="I8" s="56"/>
      <c r="J8" s="56"/>
      <c r="K8" s="56"/>
      <c r="L8" s="56"/>
      <c r="M8" s="56"/>
      <c r="N8" s="58">
        <f t="shared" ref="N8:N71" si="1">SUM(G8:M8)</f>
        <v>13.8</v>
      </c>
      <c r="O8" s="58">
        <f t="shared" ref="O8:O71" si="2">(N8/8.16)^4.5</f>
        <v>10.637759669253024</v>
      </c>
      <c r="P8" s="39">
        <v>8</v>
      </c>
      <c r="Q8" s="39">
        <v>10</v>
      </c>
      <c r="R8" s="39">
        <v>9</v>
      </c>
      <c r="S8" s="39">
        <v>9</v>
      </c>
      <c r="T8" s="39">
        <v>9</v>
      </c>
      <c r="U8" s="39">
        <v>9</v>
      </c>
      <c r="V8" s="39">
        <v>9</v>
      </c>
      <c r="W8" s="40" t="str">
        <f t="shared" ref="W8" si="3">IF(G8&gt;P8,"Y",IF(H8&gt;Q8,"Y",IF(I8&gt;R8,"Y",IF(J8&gt;S8,"Y",IF(K8&gt;T8,"Y",IF(L8&gt;U8,"Y",IF(M8&gt;V8,"Y","N")))))))</f>
        <v>N</v>
      </c>
      <c r="X8" s="84">
        <f t="shared" ref="X8" si="4">IF(W8="Y",MAX((G8-P8),(H8-Q8),(I8-R8),(J8-S8),(K8-T8),(L8-U8),(M8-V8))/10,0)</f>
        <v>0</v>
      </c>
      <c r="Y8" s="84" t="str">
        <f t="shared" ref="Y8:Y71" si="5">IF(X8&lt;5%,"0-4.9%",IF(X8&lt;25%,"5-25%",IF(X8&lt;50%,"25-50%","Over 50%")))</f>
        <v>0-4.9%</v>
      </c>
      <c r="Z8" s="85" t="s">
        <v>782</v>
      </c>
      <c r="AA8" s="59"/>
      <c r="AB8" s="59"/>
      <c r="AC8" s="59"/>
      <c r="AD8" s="59"/>
    </row>
    <row r="9" spans="1:30" x14ac:dyDescent="0.25">
      <c r="A9" s="54" t="s">
        <v>243</v>
      </c>
      <c r="B9" s="55"/>
      <c r="C9" s="56" t="s">
        <v>390</v>
      </c>
      <c r="D9" s="57">
        <f t="shared" si="0"/>
        <v>7</v>
      </c>
      <c r="E9" s="56"/>
      <c r="F9" s="56" t="s">
        <v>205</v>
      </c>
      <c r="G9" s="56">
        <v>2.9</v>
      </c>
      <c r="H9" s="56">
        <v>7.4</v>
      </c>
      <c r="I9" s="56"/>
      <c r="J9" s="56"/>
      <c r="K9" s="56"/>
      <c r="L9" s="56"/>
      <c r="M9" s="56"/>
      <c r="N9" s="58">
        <f t="shared" si="1"/>
        <v>10.3</v>
      </c>
      <c r="O9" s="58">
        <f t="shared" si="2"/>
        <v>2.8520806146762392</v>
      </c>
      <c r="P9" s="39">
        <v>8</v>
      </c>
      <c r="Q9" s="39">
        <v>10</v>
      </c>
      <c r="R9" s="39">
        <v>9</v>
      </c>
      <c r="S9" s="39">
        <v>9</v>
      </c>
      <c r="T9" s="39">
        <v>9</v>
      </c>
      <c r="U9" s="39">
        <v>9</v>
      </c>
      <c r="V9" s="39">
        <v>9</v>
      </c>
      <c r="W9" s="40" t="str">
        <f t="shared" ref="W9:W72" si="6">IF(G9&gt;P9,"Y",IF(H9&gt;Q9,"Y",IF(I9&gt;R9,"Y",IF(J9&gt;S9,"Y",IF(K9&gt;T9,"Y",IF(L9&gt;U9,"Y",IF(M9&gt;V9,"Y","N")))))))</f>
        <v>N</v>
      </c>
      <c r="X9" s="84">
        <f t="shared" ref="X9:X72" si="7">IF(W9="Y",MAX((G9-P9),(H9-Q9),(I9-R9),(J9-S9),(K9-T9),(L9-U9),(M9-V9))/10,0)</f>
        <v>0</v>
      </c>
      <c r="Y9" s="84" t="str">
        <f t="shared" si="5"/>
        <v>0-4.9%</v>
      </c>
      <c r="Z9" s="85" t="s">
        <v>812</v>
      </c>
      <c r="AA9" s="59"/>
      <c r="AB9" s="59"/>
      <c r="AC9" s="59"/>
      <c r="AD9" s="59"/>
    </row>
    <row r="10" spans="1:30" x14ac:dyDescent="0.25">
      <c r="A10" s="54" t="s">
        <v>244</v>
      </c>
      <c r="B10" s="55"/>
      <c r="C10" s="56" t="s">
        <v>373</v>
      </c>
      <c r="D10" s="57">
        <f t="shared" si="0"/>
        <v>7</v>
      </c>
      <c r="E10" s="56"/>
      <c r="F10" s="56" t="s">
        <v>205</v>
      </c>
      <c r="G10" s="56">
        <v>4.8499999999999996</v>
      </c>
      <c r="H10" s="56">
        <v>9.25</v>
      </c>
      <c r="I10" s="56"/>
      <c r="J10" s="56"/>
      <c r="K10" s="56"/>
      <c r="L10" s="56"/>
      <c r="M10" s="56"/>
      <c r="N10" s="58">
        <f t="shared" si="1"/>
        <v>14.1</v>
      </c>
      <c r="O10" s="58">
        <f t="shared" si="2"/>
        <v>11.718723101583175</v>
      </c>
      <c r="P10" s="39">
        <v>8</v>
      </c>
      <c r="Q10" s="39">
        <v>10</v>
      </c>
      <c r="R10" s="39">
        <v>9</v>
      </c>
      <c r="S10" s="39">
        <v>9</v>
      </c>
      <c r="T10" s="39">
        <v>9</v>
      </c>
      <c r="U10" s="39">
        <v>9</v>
      </c>
      <c r="V10" s="39">
        <v>9</v>
      </c>
      <c r="W10" s="40" t="str">
        <f t="shared" si="6"/>
        <v>N</v>
      </c>
      <c r="X10" s="84">
        <f t="shared" si="7"/>
        <v>0</v>
      </c>
      <c r="Y10" s="84" t="str">
        <f t="shared" si="5"/>
        <v>0-4.9%</v>
      </c>
      <c r="Z10" s="85" t="s">
        <v>812</v>
      </c>
      <c r="AA10" s="59"/>
      <c r="AB10" s="59"/>
      <c r="AC10" s="59"/>
      <c r="AD10" s="59"/>
    </row>
    <row r="11" spans="1:30" x14ac:dyDescent="0.25">
      <c r="A11" s="54" t="s">
        <v>249</v>
      </c>
      <c r="B11" s="55"/>
      <c r="C11" s="56" t="s">
        <v>318</v>
      </c>
      <c r="D11" s="57">
        <f t="shared" si="0"/>
        <v>7</v>
      </c>
      <c r="E11" s="56"/>
      <c r="F11" s="56" t="s">
        <v>205</v>
      </c>
      <c r="G11" s="56">
        <v>4.75</v>
      </c>
      <c r="H11" s="56">
        <v>8.9</v>
      </c>
      <c r="I11" s="56"/>
      <c r="J11" s="56"/>
      <c r="K11" s="56"/>
      <c r="L11" s="56"/>
      <c r="M11" s="56"/>
      <c r="N11" s="58">
        <f t="shared" si="1"/>
        <v>13.65</v>
      </c>
      <c r="O11" s="58">
        <f t="shared" si="2"/>
        <v>10.127242672128766</v>
      </c>
      <c r="P11" s="39">
        <v>8</v>
      </c>
      <c r="Q11" s="39">
        <v>10</v>
      </c>
      <c r="R11" s="39">
        <v>9</v>
      </c>
      <c r="S11" s="39">
        <v>9</v>
      </c>
      <c r="T11" s="39">
        <v>9</v>
      </c>
      <c r="U11" s="39">
        <v>9</v>
      </c>
      <c r="V11" s="39">
        <v>9</v>
      </c>
      <c r="W11" s="40" t="str">
        <f t="shared" si="6"/>
        <v>N</v>
      </c>
      <c r="X11" s="84">
        <f t="shared" si="7"/>
        <v>0</v>
      </c>
      <c r="Y11" s="84" t="str">
        <f t="shared" si="5"/>
        <v>0-4.9%</v>
      </c>
      <c r="Z11" s="85" t="s">
        <v>812</v>
      </c>
      <c r="AA11" s="59"/>
      <c r="AB11" s="59"/>
      <c r="AC11" s="59"/>
      <c r="AD11" s="59"/>
    </row>
    <row r="12" spans="1:30" x14ac:dyDescent="0.25">
      <c r="A12" s="54" t="s">
        <v>253</v>
      </c>
      <c r="B12" s="55"/>
      <c r="C12" s="56" t="s">
        <v>396</v>
      </c>
      <c r="D12" s="57">
        <f t="shared" si="0"/>
        <v>7</v>
      </c>
      <c r="E12" s="56"/>
      <c r="F12" s="56" t="s">
        <v>205</v>
      </c>
      <c r="G12" s="56">
        <v>3.95</v>
      </c>
      <c r="H12" s="56">
        <v>10.7</v>
      </c>
      <c r="I12" s="56"/>
      <c r="J12" s="56"/>
      <c r="K12" s="56"/>
      <c r="L12" s="56"/>
      <c r="M12" s="56"/>
      <c r="N12" s="58">
        <f t="shared" si="1"/>
        <v>14.649999999999999</v>
      </c>
      <c r="O12" s="58">
        <f t="shared" si="2"/>
        <v>13.920780854354676</v>
      </c>
      <c r="P12" s="39">
        <v>8</v>
      </c>
      <c r="Q12" s="39">
        <v>10</v>
      </c>
      <c r="R12" s="39">
        <v>9</v>
      </c>
      <c r="S12" s="39">
        <v>9</v>
      </c>
      <c r="T12" s="39">
        <v>9</v>
      </c>
      <c r="U12" s="39">
        <v>9</v>
      </c>
      <c r="V12" s="39">
        <v>9</v>
      </c>
      <c r="W12" s="40" t="str">
        <f t="shared" si="6"/>
        <v>Y</v>
      </c>
      <c r="X12" s="84">
        <f t="shared" si="7"/>
        <v>6.9999999999999923E-2</v>
      </c>
      <c r="Y12" s="84" t="str">
        <f t="shared" si="5"/>
        <v>5-25%</v>
      </c>
      <c r="Z12" s="85" t="s">
        <v>791</v>
      </c>
      <c r="AA12" s="59"/>
      <c r="AB12" s="59"/>
      <c r="AC12" s="59"/>
      <c r="AD12" s="59"/>
    </row>
    <row r="13" spans="1:30" x14ac:dyDescent="0.25">
      <c r="A13" s="60" t="s">
        <v>261</v>
      </c>
      <c r="B13" s="61"/>
      <c r="C13" s="62" t="s">
        <v>403</v>
      </c>
      <c r="D13" s="57">
        <f t="shared" si="0"/>
        <v>7</v>
      </c>
      <c r="E13" s="62"/>
      <c r="F13" s="62" t="s">
        <v>205</v>
      </c>
      <c r="G13" s="62">
        <v>4.75</v>
      </c>
      <c r="H13" s="62">
        <v>11.05</v>
      </c>
      <c r="I13" s="62"/>
      <c r="J13" s="62"/>
      <c r="K13" s="62"/>
      <c r="L13" s="62"/>
      <c r="M13" s="62"/>
      <c r="N13" s="58">
        <f t="shared" si="1"/>
        <v>15.8</v>
      </c>
      <c r="O13" s="58">
        <f t="shared" si="2"/>
        <v>19.559204024918479</v>
      </c>
      <c r="P13" s="39">
        <v>8</v>
      </c>
      <c r="Q13" s="39">
        <v>10</v>
      </c>
      <c r="R13" s="39">
        <v>9</v>
      </c>
      <c r="S13" s="39">
        <v>9</v>
      </c>
      <c r="T13" s="39">
        <v>9</v>
      </c>
      <c r="U13" s="39">
        <v>9</v>
      </c>
      <c r="V13" s="39">
        <v>9</v>
      </c>
      <c r="W13" s="40" t="str">
        <f t="shared" si="6"/>
        <v>Y</v>
      </c>
      <c r="X13" s="84">
        <f t="shared" si="7"/>
        <v>0.10500000000000007</v>
      </c>
      <c r="Y13" s="84" t="str">
        <f t="shared" si="5"/>
        <v>5-25%</v>
      </c>
      <c r="Z13" s="86" t="s">
        <v>782</v>
      </c>
      <c r="AA13" s="59"/>
      <c r="AB13" s="59"/>
      <c r="AC13" s="59"/>
      <c r="AD13" s="59"/>
    </row>
    <row r="14" spans="1:30" x14ac:dyDescent="0.25">
      <c r="A14" s="54" t="s">
        <v>264</v>
      </c>
      <c r="B14" s="55"/>
      <c r="C14" s="56" t="s">
        <v>363</v>
      </c>
      <c r="D14" s="57">
        <f t="shared" si="0"/>
        <v>7</v>
      </c>
      <c r="E14" s="56"/>
      <c r="F14" s="56" t="s">
        <v>205</v>
      </c>
      <c r="G14" s="56">
        <v>4.75</v>
      </c>
      <c r="H14" s="56">
        <v>11.05</v>
      </c>
      <c r="I14" s="56"/>
      <c r="J14" s="56"/>
      <c r="K14" s="56"/>
      <c r="L14" s="56"/>
      <c r="M14" s="56"/>
      <c r="N14" s="58">
        <f t="shared" si="1"/>
        <v>15.8</v>
      </c>
      <c r="O14" s="58">
        <f t="shared" si="2"/>
        <v>19.559204024918479</v>
      </c>
      <c r="P14" s="39">
        <v>8</v>
      </c>
      <c r="Q14" s="39">
        <v>10</v>
      </c>
      <c r="R14" s="39">
        <v>9</v>
      </c>
      <c r="S14" s="39">
        <v>9</v>
      </c>
      <c r="T14" s="39">
        <v>9</v>
      </c>
      <c r="U14" s="39">
        <v>9</v>
      </c>
      <c r="V14" s="39">
        <v>9</v>
      </c>
      <c r="W14" s="40" t="str">
        <f t="shared" si="6"/>
        <v>Y</v>
      </c>
      <c r="X14" s="84">
        <f t="shared" si="7"/>
        <v>0.10500000000000007</v>
      </c>
      <c r="Y14" s="84" t="str">
        <f t="shared" si="5"/>
        <v>5-25%</v>
      </c>
      <c r="Z14" s="85" t="s">
        <v>782</v>
      </c>
      <c r="AA14" s="59"/>
      <c r="AB14" s="59"/>
      <c r="AC14" s="59"/>
      <c r="AD14" s="59"/>
    </row>
    <row r="15" spans="1:30" x14ac:dyDescent="0.25">
      <c r="A15" s="54" t="s">
        <v>267</v>
      </c>
      <c r="B15" s="55"/>
      <c r="C15" s="56" t="s">
        <v>408</v>
      </c>
      <c r="D15" s="57">
        <f t="shared" si="0"/>
        <v>7</v>
      </c>
      <c r="E15" s="56"/>
      <c r="F15" s="56" t="s">
        <v>205</v>
      </c>
      <c r="G15" s="56">
        <v>3.35</v>
      </c>
      <c r="H15" s="56">
        <v>6.05</v>
      </c>
      <c r="I15" s="56"/>
      <c r="J15" s="56"/>
      <c r="K15" s="56"/>
      <c r="L15" s="56"/>
      <c r="M15" s="56"/>
      <c r="N15" s="58">
        <f t="shared" si="1"/>
        <v>9.4</v>
      </c>
      <c r="O15" s="58">
        <f t="shared" si="2"/>
        <v>1.8900340435123808</v>
      </c>
      <c r="P15" s="39">
        <v>8</v>
      </c>
      <c r="Q15" s="39">
        <v>10</v>
      </c>
      <c r="R15" s="39">
        <v>9</v>
      </c>
      <c r="S15" s="39">
        <v>9</v>
      </c>
      <c r="T15" s="39">
        <v>9</v>
      </c>
      <c r="U15" s="39">
        <v>9</v>
      </c>
      <c r="V15" s="39">
        <v>9</v>
      </c>
      <c r="W15" s="40" t="str">
        <f t="shared" si="6"/>
        <v>N</v>
      </c>
      <c r="X15" s="84">
        <f t="shared" si="7"/>
        <v>0</v>
      </c>
      <c r="Y15" s="84" t="str">
        <f t="shared" si="5"/>
        <v>0-4.9%</v>
      </c>
      <c r="Z15" s="85" t="s">
        <v>812</v>
      </c>
      <c r="AA15" s="59"/>
      <c r="AB15" s="59"/>
      <c r="AC15" s="59"/>
      <c r="AD15" s="59"/>
    </row>
    <row r="16" spans="1:30" x14ac:dyDescent="0.25">
      <c r="A16" s="54" t="s">
        <v>268</v>
      </c>
      <c r="B16" s="55"/>
      <c r="C16" s="56" t="s">
        <v>409</v>
      </c>
      <c r="D16" s="57">
        <f t="shared" si="0"/>
        <v>7</v>
      </c>
      <c r="E16" s="56"/>
      <c r="F16" s="56" t="s">
        <v>205</v>
      </c>
      <c r="G16" s="56">
        <v>4.05</v>
      </c>
      <c r="H16" s="56">
        <v>9.25</v>
      </c>
      <c r="I16" s="56"/>
      <c r="J16" s="56"/>
      <c r="K16" s="56"/>
      <c r="L16" s="56"/>
      <c r="M16" s="56"/>
      <c r="N16" s="58">
        <f t="shared" si="1"/>
        <v>13.3</v>
      </c>
      <c r="O16" s="58">
        <f t="shared" si="2"/>
        <v>9.0100389819607773</v>
      </c>
      <c r="P16" s="39">
        <v>8</v>
      </c>
      <c r="Q16" s="39">
        <v>10</v>
      </c>
      <c r="R16" s="39">
        <v>9</v>
      </c>
      <c r="S16" s="39">
        <v>9</v>
      </c>
      <c r="T16" s="39">
        <v>9</v>
      </c>
      <c r="U16" s="39">
        <v>9</v>
      </c>
      <c r="V16" s="39">
        <v>9</v>
      </c>
      <c r="W16" s="40" t="str">
        <f t="shared" si="6"/>
        <v>N</v>
      </c>
      <c r="X16" s="84">
        <f t="shared" si="7"/>
        <v>0</v>
      </c>
      <c r="Y16" s="84" t="str">
        <f t="shared" si="5"/>
        <v>0-4.9%</v>
      </c>
      <c r="Z16" s="85" t="s">
        <v>782</v>
      </c>
      <c r="AA16" s="59"/>
      <c r="AB16" s="59"/>
      <c r="AC16" s="59"/>
      <c r="AD16" s="59"/>
    </row>
    <row r="17" spans="1:30" x14ac:dyDescent="0.25">
      <c r="A17" s="54" t="s">
        <v>345</v>
      </c>
      <c r="B17" s="55"/>
      <c r="C17" s="56" t="s">
        <v>421</v>
      </c>
      <c r="D17" s="57">
        <f t="shared" si="0"/>
        <v>7</v>
      </c>
      <c r="E17" s="56"/>
      <c r="F17" s="56" t="s">
        <v>205</v>
      </c>
      <c r="G17" s="56">
        <v>3.4</v>
      </c>
      <c r="H17" s="56">
        <v>7.2</v>
      </c>
      <c r="I17" s="56"/>
      <c r="J17" s="56"/>
      <c r="K17" s="56"/>
      <c r="L17" s="56"/>
      <c r="M17" s="56"/>
      <c r="N17" s="58">
        <f t="shared" si="1"/>
        <v>10.6</v>
      </c>
      <c r="O17" s="58">
        <f t="shared" si="2"/>
        <v>3.2454182895542734</v>
      </c>
      <c r="P17" s="39">
        <v>8</v>
      </c>
      <c r="Q17" s="39">
        <v>10</v>
      </c>
      <c r="R17" s="39">
        <v>9</v>
      </c>
      <c r="S17" s="39">
        <v>9</v>
      </c>
      <c r="T17" s="39">
        <v>9</v>
      </c>
      <c r="U17" s="39">
        <v>9</v>
      </c>
      <c r="V17" s="39">
        <v>9</v>
      </c>
      <c r="W17" s="40" t="str">
        <f t="shared" si="6"/>
        <v>N</v>
      </c>
      <c r="X17" s="84">
        <f t="shared" si="7"/>
        <v>0</v>
      </c>
      <c r="Y17" s="84" t="str">
        <f t="shared" si="5"/>
        <v>0-4.9%</v>
      </c>
      <c r="Z17" s="85" t="s">
        <v>812</v>
      </c>
      <c r="AA17" s="59"/>
      <c r="AB17" s="59"/>
      <c r="AC17" s="59"/>
      <c r="AD17" s="59"/>
    </row>
    <row r="18" spans="1:30" s="36" customFormat="1" x14ac:dyDescent="0.25">
      <c r="A18" s="54" t="s">
        <v>346</v>
      </c>
      <c r="B18" s="55"/>
      <c r="C18" s="56" t="s">
        <v>422</v>
      </c>
      <c r="D18" s="57">
        <f t="shared" si="0"/>
        <v>7</v>
      </c>
      <c r="E18" s="56"/>
      <c r="F18" s="56" t="s">
        <v>205</v>
      </c>
      <c r="G18" s="56">
        <v>3.95</v>
      </c>
      <c r="H18" s="56">
        <v>6.45</v>
      </c>
      <c r="I18" s="56"/>
      <c r="J18" s="56"/>
      <c r="K18" s="56"/>
      <c r="L18" s="56"/>
      <c r="M18" s="56"/>
      <c r="N18" s="58">
        <f t="shared" si="1"/>
        <v>10.4</v>
      </c>
      <c r="O18" s="58">
        <f t="shared" si="2"/>
        <v>2.9788203524719394</v>
      </c>
      <c r="P18" s="39">
        <v>8</v>
      </c>
      <c r="Q18" s="39">
        <v>10</v>
      </c>
      <c r="R18" s="39">
        <v>9</v>
      </c>
      <c r="S18" s="39">
        <v>9</v>
      </c>
      <c r="T18" s="39">
        <v>9</v>
      </c>
      <c r="U18" s="39">
        <v>9</v>
      </c>
      <c r="V18" s="39">
        <v>9</v>
      </c>
      <c r="W18" s="40" t="str">
        <f t="shared" si="6"/>
        <v>N</v>
      </c>
      <c r="X18" s="84">
        <f t="shared" si="7"/>
        <v>0</v>
      </c>
      <c r="Y18" s="84" t="str">
        <f t="shared" si="5"/>
        <v>0-4.9%</v>
      </c>
      <c r="Z18" s="85" t="s">
        <v>782</v>
      </c>
      <c r="AA18" s="63"/>
      <c r="AB18" s="63"/>
      <c r="AC18" s="63"/>
      <c r="AD18" s="63"/>
    </row>
    <row r="19" spans="1:30" x14ac:dyDescent="0.25">
      <c r="A19" s="54" t="s">
        <v>348</v>
      </c>
      <c r="B19" s="55"/>
      <c r="C19" s="56" t="s">
        <v>424</v>
      </c>
      <c r="D19" s="57">
        <f t="shared" si="0"/>
        <v>7</v>
      </c>
      <c r="E19" s="56"/>
      <c r="F19" s="56" t="s">
        <v>205</v>
      </c>
      <c r="G19" s="56">
        <v>3.2</v>
      </c>
      <c r="H19" s="56">
        <v>10.199999999999999</v>
      </c>
      <c r="I19" s="56"/>
      <c r="J19" s="56"/>
      <c r="K19" s="56"/>
      <c r="L19" s="56"/>
      <c r="M19" s="56"/>
      <c r="N19" s="58">
        <f t="shared" si="1"/>
        <v>13.399999999999999</v>
      </c>
      <c r="O19" s="58">
        <f t="shared" si="2"/>
        <v>9.3189263253051724</v>
      </c>
      <c r="P19" s="39">
        <v>8</v>
      </c>
      <c r="Q19" s="39">
        <v>10</v>
      </c>
      <c r="R19" s="39">
        <v>9</v>
      </c>
      <c r="S19" s="39">
        <v>9</v>
      </c>
      <c r="T19" s="39">
        <v>9</v>
      </c>
      <c r="U19" s="39">
        <v>9</v>
      </c>
      <c r="V19" s="39">
        <v>9</v>
      </c>
      <c r="W19" s="40" t="str">
        <f t="shared" si="6"/>
        <v>Y</v>
      </c>
      <c r="X19" s="84">
        <f t="shared" si="7"/>
        <v>1.9999999999999928E-2</v>
      </c>
      <c r="Y19" s="84" t="str">
        <f t="shared" si="5"/>
        <v>0-4.9%</v>
      </c>
      <c r="Z19" s="85" t="s">
        <v>812</v>
      </c>
      <c r="AA19" s="59"/>
      <c r="AB19" s="59"/>
      <c r="AC19" s="59"/>
      <c r="AD19" s="59"/>
    </row>
    <row r="20" spans="1:30" x14ac:dyDescent="0.25">
      <c r="A20" s="54" t="s">
        <v>349</v>
      </c>
      <c r="B20" s="55"/>
      <c r="C20" s="56" t="s">
        <v>425</v>
      </c>
      <c r="D20" s="57">
        <f t="shared" si="0"/>
        <v>7</v>
      </c>
      <c r="E20" s="56"/>
      <c r="F20" s="56" t="s">
        <v>205</v>
      </c>
      <c r="G20" s="56">
        <v>4.45</v>
      </c>
      <c r="H20" s="56">
        <v>10.55</v>
      </c>
      <c r="I20" s="56"/>
      <c r="J20" s="56"/>
      <c r="K20" s="56"/>
      <c r="L20" s="56"/>
      <c r="M20" s="56"/>
      <c r="N20" s="58">
        <f t="shared" si="1"/>
        <v>15</v>
      </c>
      <c r="O20" s="58">
        <f t="shared" si="2"/>
        <v>15.481211766195157</v>
      </c>
      <c r="P20" s="39">
        <v>8</v>
      </c>
      <c r="Q20" s="39">
        <v>10</v>
      </c>
      <c r="R20" s="39">
        <v>9</v>
      </c>
      <c r="S20" s="39">
        <v>9</v>
      </c>
      <c r="T20" s="39">
        <v>9</v>
      </c>
      <c r="U20" s="39">
        <v>9</v>
      </c>
      <c r="V20" s="39">
        <v>9</v>
      </c>
      <c r="W20" s="40" t="str">
        <f t="shared" si="6"/>
        <v>Y</v>
      </c>
      <c r="X20" s="84">
        <f t="shared" si="7"/>
        <v>5.500000000000007E-2</v>
      </c>
      <c r="Y20" s="84" t="str">
        <f t="shared" si="5"/>
        <v>5-25%</v>
      </c>
      <c r="Z20" s="85" t="s">
        <v>812</v>
      </c>
      <c r="AA20" s="59"/>
      <c r="AB20" s="59"/>
      <c r="AC20" s="59"/>
      <c r="AD20" s="59"/>
    </row>
    <row r="21" spans="1:30" x14ac:dyDescent="0.25">
      <c r="A21" s="54" t="s">
        <v>350</v>
      </c>
      <c r="B21" s="55"/>
      <c r="C21" s="56" t="s">
        <v>426</v>
      </c>
      <c r="D21" s="57">
        <f t="shared" si="0"/>
        <v>7</v>
      </c>
      <c r="E21" s="56"/>
      <c r="F21" s="56" t="s">
        <v>205</v>
      </c>
      <c r="G21" s="56">
        <v>4.5</v>
      </c>
      <c r="H21" s="56">
        <v>12.1</v>
      </c>
      <c r="I21" s="56"/>
      <c r="J21" s="56"/>
      <c r="K21" s="56"/>
      <c r="L21" s="56"/>
      <c r="M21" s="56"/>
      <c r="N21" s="58">
        <f t="shared" si="1"/>
        <v>16.600000000000001</v>
      </c>
      <c r="O21" s="58">
        <f t="shared" si="2"/>
        <v>24.427593359709242</v>
      </c>
      <c r="P21" s="39">
        <v>8</v>
      </c>
      <c r="Q21" s="39">
        <v>10</v>
      </c>
      <c r="R21" s="39">
        <v>9</v>
      </c>
      <c r="S21" s="39">
        <v>9</v>
      </c>
      <c r="T21" s="39">
        <v>9</v>
      </c>
      <c r="U21" s="39">
        <v>9</v>
      </c>
      <c r="V21" s="39">
        <v>9</v>
      </c>
      <c r="W21" s="40" t="str">
        <f t="shared" si="6"/>
        <v>Y</v>
      </c>
      <c r="X21" s="84">
        <f t="shared" si="7"/>
        <v>0.20999999999999996</v>
      </c>
      <c r="Y21" s="84" t="str">
        <f t="shared" si="5"/>
        <v>5-25%</v>
      </c>
      <c r="Z21" s="85" t="s">
        <v>782</v>
      </c>
      <c r="AA21" s="59"/>
      <c r="AB21" s="59"/>
      <c r="AC21" s="59"/>
      <c r="AD21" s="59"/>
    </row>
    <row r="22" spans="1:30" x14ac:dyDescent="0.25">
      <c r="A22" s="54" t="s">
        <v>351</v>
      </c>
      <c r="B22" s="55"/>
      <c r="C22" s="56" t="s">
        <v>427</v>
      </c>
      <c r="D22" s="57">
        <f t="shared" si="0"/>
        <v>7</v>
      </c>
      <c r="E22" s="56"/>
      <c r="F22" s="56" t="s">
        <v>205</v>
      </c>
      <c r="G22" s="56">
        <v>1.9</v>
      </c>
      <c r="H22" s="56">
        <v>2.2999999999999998</v>
      </c>
      <c r="I22" s="56"/>
      <c r="J22" s="56"/>
      <c r="K22" s="56"/>
      <c r="L22" s="56"/>
      <c r="M22" s="56"/>
      <c r="N22" s="58">
        <f t="shared" si="1"/>
        <v>4.1999999999999993</v>
      </c>
      <c r="O22" s="58">
        <f t="shared" si="2"/>
        <v>5.0351926590360495E-2</v>
      </c>
      <c r="P22" s="39">
        <v>8</v>
      </c>
      <c r="Q22" s="39">
        <v>10</v>
      </c>
      <c r="R22" s="39">
        <v>9</v>
      </c>
      <c r="S22" s="39">
        <v>9</v>
      </c>
      <c r="T22" s="39">
        <v>9</v>
      </c>
      <c r="U22" s="39">
        <v>9</v>
      </c>
      <c r="V22" s="39">
        <v>9</v>
      </c>
      <c r="W22" s="40" t="str">
        <f t="shared" si="6"/>
        <v>N</v>
      </c>
      <c r="X22" s="84">
        <f t="shared" si="7"/>
        <v>0</v>
      </c>
      <c r="Y22" s="84" t="str">
        <f t="shared" si="5"/>
        <v>0-4.9%</v>
      </c>
      <c r="Z22" s="85" t="s">
        <v>788</v>
      </c>
      <c r="AA22" s="59"/>
      <c r="AB22" s="59"/>
      <c r="AC22" s="59"/>
      <c r="AD22" s="59"/>
    </row>
    <row r="23" spans="1:30" x14ac:dyDescent="0.25">
      <c r="A23" s="54" t="s">
        <v>360</v>
      </c>
      <c r="B23" s="55"/>
      <c r="C23" s="56" t="s">
        <v>436</v>
      </c>
      <c r="D23" s="57">
        <f t="shared" si="0"/>
        <v>7</v>
      </c>
      <c r="E23" s="56"/>
      <c r="F23" s="56" t="s">
        <v>205</v>
      </c>
      <c r="G23" s="56">
        <v>6.9</v>
      </c>
      <c r="H23" s="56">
        <v>12.2</v>
      </c>
      <c r="I23" s="56"/>
      <c r="J23" s="56"/>
      <c r="K23" s="56"/>
      <c r="L23" s="56"/>
      <c r="M23" s="56"/>
      <c r="N23" s="58">
        <f t="shared" si="1"/>
        <v>19.100000000000001</v>
      </c>
      <c r="O23" s="58">
        <f t="shared" si="2"/>
        <v>45.924500166196779</v>
      </c>
      <c r="P23" s="39">
        <v>8</v>
      </c>
      <c r="Q23" s="39">
        <v>10</v>
      </c>
      <c r="R23" s="39">
        <v>9</v>
      </c>
      <c r="S23" s="39">
        <v>9</v>
      </c>
      <c r="T23" s="39">
        <v>9</v>
      </c>
      <c r="U23" s="39">
        <v>9</v>
      </c>
      <c r="V23" s="39">
        <v>9</v>
      </c>
      <c r="W23" s="40" t="str">
        <f t="shared" si="6"/>
        <v>Y</v>
      </c>
      <c r="X23" s="84">
        <f t="shared" si="7"/>
        <v>0.21999999999999992</v>
      </c>
      <c r="Y23" s="84" t="str">
        <f t="shared" si="5"/>
        <v>5-25%</v>
      </c>
      <c r="Z23" s="85" t="s">
        <v>812</v>
      </c>
      <c r="AA23" s="59"/>
      <c r="AB23" s="59"/>
      <c r="AC23" s="59"/>
      <c r="AD23" s="59"/>
    </row>
    <row r="24" spans="1:30" x14ac:dyDescent="0.25">
      <c r="A24" s="54" t="s">
        <v>364</v>
      </c>
      <c r="B24" s="55"/>
      <c r="C24" s="56" t="s">
        <v>439</v>
      </c>
      <c r="D24" s="57">
        <f t="shared" si="0"/>
        <v>7</v>
      </c>
      <c r="E24" s="56"/>
      <c r="F24" s="56" t="s">
        <v>205</v>
      </c>
      <c r="G24" s="56">
        <v>5.2</v>
      </c>
      <c r="H24" s="56">
        <v>9.6999999999999993</v>
      </c>
      <c r="I24" s="56"/>
      <c r="J24" s="56"/>
      <c r="K24" s="56"/>
      <c r="L24" s="56"/>
      <c r="M24" s="56"/>
      <c r="N24" s="58">
        <f t="shared" si="1"/>
        <v>14.899999999999999</v>
      </c>
      <c r="O24" s="58">
        <f t="shared" si="2"/>
        <v>15.022163810176943</v>
      </c>
      <c r="P24" s="39">
        <v>8</v>
      </c>
      <c r="Q24" s="39">
        <v>10</v>
      </c>
      <c r="R24" s="39">
        <v>9</v>
      </c>
      <c r="S24" s="39">
        <v>9</v>
      </c>
      <c r="T24" s="39">
        <v>9</v>
      </c>
      <c r="U24" s="39">
        <v>9</v>
      </c>
      <c r="V24" s="39">
        <v>9</v>
      </c>
      <c r="W24" s="40" t="str">
        <f t="shared" si="6"/>
        <v>N</v>
      </c>
      <c r="X24" s="84">
        <f t="shared" si="7"/>
        <v>0</v>
      </c>
      <c r="Y24" s="84" t="str">
        <f t="shared" si="5"/>
        <v>0-4.9%</v>
      </c>
      <c r="Z24" s="85" t="s">
        <v>812</v>
      </c>
      <c r="AA24" s="59"/>
      <c r="AB24" s="59"/>
      <c r="AC24" s="59"/>
      <c r="AD24" s="59"/>
    </row>
    <row r="25" spans="1:30" s="33" customFormat="1" x14ac:dyDescent="0.25">
      <c r="A25" s="54" t="s">
        <v>196</v>
      </c>
      <c r="B25" s="55"/>
      <c r="C25" s="56" t="s">
        <v>447</v>
      </c>
      <c r="D25" s="57">
        <f t="shared" si="0"/>
        <v>7</v>
      </c>
      <c r="E25" s="56"/>
      <c r="F25" s="56" t="s">
        <v>205</v>
      </c>
      <c r="G25" s="56">
        <v>4</v>
      </c>
      <c r="H25" s="56">
        <v>10.75</v>
      </c>
      <c r="I25" s="56"/>
      <c r="J25" s="56"/>
      <c r="K25" s="56"/>
      <c r="L25" s="56"/>
      <c r="M25" s="56"/>
      <c r="N25" s="58">
        <f t="shared" si="1"/>
        <v>14.75</v>
      </c>
      <c r="O25" s="58">
        <f t="shared" si="2"/>
        <v>14.353518619930183</v>
      </c>
      <c r="P25" s="39">
        <v>8</v>
      </c>
      <c r="Q25" s="39">
        <v>10</v>
      </c>
      <c r="R25" s="39">
        <v>9</v>
      </c>
      <c r="S25" s="39">
        <v>9</v>
      </c>
      <c r="T25" s="39">
        <v>9</v>
      </c>
      <c r="U25" s="39">
        <v>9</v>
      </c>
      <c r="V25" s="39">
        <v>9</v>
      </c>
      <c r="W25" s="40" t="str">
        <f t="shared" si="6"/>
        <v>Y</v>
      </c>
      <c r="X25" s="84">
        <f t="shared" si="7"/>
        <v>7.4999999999999997E-2</v>
      </c>
      <c r="Y25" s="84" t="str">
        <f t="shared" si="5"/>
        <v>5-25%</v>
      </c>
      <c r="Z25" s="85" t="s">
        <v>812</v>
      </c>
      <c r="AA25" s="64"/>
      <c r="AB25" s="64"/>
      <c r="AC25" s="64"/>
      <c r="AD25" s="64"/>
    </row>
    <row r="26" spans="1:30" x14ac:dyDescent="0.25">
      <c r="A26" s="54" t="s">
        <v>197</v>
      </c>
      <c r="B26" s="55"/>
      <c r="C26" s="56" t="s">
        <v>356</v>
      </c>
      <c r="D26" s="57">
        <f t="shared" si="0"/>
        <v>7</v>
      </c>
      <c r="E26" s="56"/>
      <c r="F26" s="56" t="s">
        <v>205</v>
      </c>
      <c r="G26" s="56">
        <v>3.9</v>
      </c>
      <c r="H26" s="56">
        <v>4.7</v>
      </c>
      <c r="I26" s="56"/>
      <c r="J26" s="56"/>
      <c r="K26" s="56"/>
      <c r="L26" s="56"/>
      <c r="M26" s="56"/>
      <c r="N26" s="58">
        <f t="shared" si="1"/>
        <v>8.6</v>
      </c>
      <c r="O26" s="58">
        <f t="shared" si="2"/>
        <v>1.2665936786372298</v>
      </c>
      <c r="P26" s="39">
        <v>8</v>
      </c>
      <c r="Q26" s="39">
        <v>10</v>
      </c>
      <c r="R26" s="39">
        <v>9</v>
      </c>
      <c r="S26" s="39">
        <v>9</v>
      </c>
      <c r="T26" s="39">
        <v>9</v>
      </c>
      <c r="U26" s="39">
        <v>9</v>
      </c>
      <c r="V26" s="39">
        <v>9</v>
      </c>
      <c r="W26" s="40" t="str">
        <f t="shared" si="6"/>
        <v>N</v>
      </c>
      <c r="X26" s="84">
        <f t="shared" si="7"/>
        <v>0</v>
      </c>
      <c r="Y26" s="84" t="str">
        <f t="shared" si="5"/>
        <v>0-4.9%</v>
      </c>
      <c r="Z26" s="85" t="s">
        <v>224</v>
      </c>
      <c r="AA26" s="59"/>
      <c r="AB26" s="59"/>
      <c r="AC26" s="59"/>
      <c r="AD26" s="59"/>
    </row>
    <row r="27" spans="1:30" s="36" customFormat="1" x14ac:dyDescent="0.25">
      <c r="A27" s="54" t="s">
        <v>199</v>
      </c>
      <c r="B27" s="55"/>
      <c r="C27" s="56" t="s">
        <v>448</v>
      </c>
      <c r="D27" s="57">
        <f t="shared" si="0"/>
        <v>7</v>
      </c>
      <c r="E27" s="56"/>
      <c r="F27" s="56" t="s">
        <v>205</v>
      </c>
      <c r="G27" s="56">
        <v>2.4500000000000002</v>
      </c>
      <c r="H27" s="56">
        <v>4.6500000000000004</v>
      </c>
      <c r="I27" s="56"/>
      <c r="J27" s="56"/>
      <c r="K27" s="56"/>
      <c r="L27" s="56"/>
      <c r="M27" s="56"/>
      <c r="N27" s="58">
        <f t="shared" si="1"/>
        <v>7.1000000000000005</v>
      </c>
      <c r="O27" s="58">
        <f t="shared" si="2"/>
        <v>0.53463434546338817</v>
      </c>
      <c r="P27" s="39">
        <v>8</v>
      </c>
      <c r="Q27" s="39">
        <v>10</v>
      </c>
      <c r="R27" s="39">
        <v>9</v>
      </c>
      <c r="S27" s="39">
        <v>9</v>
      </c>
      <c r="T27" s="39">
        <v>9</v>
      </c>
      <c r="U27" s="39">
        <v>9</v>
      </c>
      <c r="V27" s="39">
        <v>9</v>
      </c>
      <c r="W27" s="40" t="str">
        <f t="shared" si="6"/>
        <v>N</v>
      </c>
      <c r="X27" s="84">
        <f t="shared" si="7"/>
        <v>0</v>
      </c>
      <c r="Y27" s="84" t="str">
        <f t="shared" si="5"/>
        <v>0-4.9%</v>
      </c>
      <c r="Z27" s="85" t="s">
        <v>782</v>
      </c>
      <c r="AA27" s="63"/>
      <c r="AB27" s="63"/>
      <c r="AC27" s="63"/>
      <c r="AD27" s="63"/>
    </row>
    <row r="28" spans="1:30" s="36" customFormat="1" x14ac:dyDescent="0.25">
      <c r="A28" s="54" t="s">
        <v>201</v>
      </c>
      <c r="B28" s="55"/>
      <c r="C28" s="56" t="s">
        <v>449</v>
      </c>
      <c r="D28" s="57">
        <f t="shared" si="0"/>
        <v>7</v>
      </c>
      <c r="E28" s="56"/>
      <c r="F28" s="56" t="s">
        <v>205</v>
      </c>
      <c r="G28" s="56">
        <v>2.6</v>
      </c>
      <c r="H28" s="56">
        <v>2.2000000000000002</v>
      </c>
      <c r="I28" s="56"/>
      <c r="J28" s="56"/>
      <c r="K28" s="56"/>
      <c r="L28" s="56"/>
      <c r="M28" s="56"/>
      <c r="N28" s="58">
        <f t="shared" si="1"/>
        <v>4.8000000000000007</v>
      </c>
      <c r="O28" s="58">
        <f t="shared" si="2"/>
        <v>9.1828999754238E-2</v>
      </c>
      <c r="P28" s="39">
        <v>8</v>
      </c>
      <c r="Q28" s="39">
        <v>10</v>
      </c>
      <c r="R28" s="39">
        <v>9</v>
      </c>
      <c r="S28" s="39">
        <v>9</v>
      </c>
      <c r="T28" s="39">
        <v>9</v>
      </c>
      <c r="U28" s="39">
        <v>9</v>
      </c>
      <c r="V28" s="39">
        <v>9</v>
      </c>
      <c r="W28" s="40" t="str">
        <f t="shared" si="6"/>
        <v>N</v>
      </c>
      <c r="X28" s="84">
        <f t="shared" si="7"/>
        <v>0</v>
      </c>
      <c r="Y28" s="84" t="str">
        <f t="shared" si="5"/>
        <v>0-4.9%</v>
      </c>
      <c r="Z28" s="85" t="s">
        <v>790</v>
      </c>
      <c r="AA28" s="63"/>
      <c r="AB28" s="63"/>
      <c r="AC28" s="63"/>
      <c r="AD28" s="63"/>
    </row>
    <row r="29" spans="1:30" x14ac:dyDescent="0.25">
      <c r="A29" s="54" t="s">
        <v>204</v>
      </c>
      <c r="B29" s="55"/>
      <c r="C29" s="56" t="s">
        <v>452</v>
      </c>
      <c r="D29" s="57">
        <f t="shared" si="0"/>
        <v>7</v>
      </c>
      <c r="E29" s="56"/>
      <c r="F29" s="56" t="s">
        <v>205</v>
      </c>
      <c r="G29" s="56">
        <v>2.65</v>
      </c>
      <c r="H29" s="56">
        <v>3.1</v>
      </c>
      <c r="I29" s="56"/>
      <c r="J29" s="56"/>
      <c r="K29" s="56"/>
      <c r="L29" s="56"/>
      <c r="M29" s="56"/>
      <c r="N29" s="58">
        <f t="shared" si="1"/>
        <v>5.75</v>
      </c>
      <c r="O29" s="58">
        <f t="shared" si="2"/>
        <v>0.20696627664435177</v>
      </c>
      <c r="P29" s="39">
        <v>8</v>
      </c>
      <c r="Q29" s="39">
        <v>10</v>
      </c>
      <c r="R29" s="39">
        <v>9</v>
      </c>
      <c r="S29" s="39">
        <v>9</v>
      </c>
      <c r="T29" s="39">
        <v>9</v>
      </c>
      <c r="U29" s="39">
        <v>9</v>
      </c>
      <c r="V29" s="39">
        <v>9</v>
      </c>
      <c r="W29" s="40" t="str">
        <f t="shared" si="6"/>
        <v>N</v>
      </c>
      <c r="X29" s="84">
        <f t="shared" si="7"/>
        <v>0</v>
      </c>
      <c r="Y29" s="84" t="str">
        <f t="shared" si="5"/>
        <v>0-4.9%</v>
      </c>
      <c r="Z29" s="85" t="s">
        <v>224</v>
      </c>
      <c r="AA29" s="59"/>
      <c r="AB29" s="59"/>
      <c r="AC29" s="59"/>
      <c r="AD29" s="59"/>
    </row>
    <row r="30" spans="1:30" x14ac:dyDescent="0.25">
      <c r="A30" s="54" t="s">
        <v>206</v>
      </c>
      <c r="B30" s="55"/>
      <c r="C30" s="56" t="s">
        <v>453</v>
      </c>
      <c r="D30" s="57">
        <f t="shared" si="0"/>
        <v>7</v>
      </c>
      <c r="E30" s="56"/>
      <c r="F30" s="56" t="s">
        <v>205</v>
      </c>
      <c r="G30" s="56">
        <v>3.15</v>
      </c>
      <c r="H30" s="56">
        <v>4.4000000000000004</v>
      </c>
      <c r="I30" s="56"/>
      <c r="J30" s="56"/>
      <c r="K30" s="56"/>
      <c r="L30" s="56"/>
      <c r="M30" s="56"/>
      <c r="N30" s="58">
        <f t="shared" si="1"/>
        <v>7.5500000000000007</v>
      </c>
      <c r="O30" s="58">
        <f t="shared" si="2"/>
        <v>0.7049455411721457</v>
      </c>
      <c r="P30" s="39">
        <v>8</v>
      </c>
      <c r="Q30" s="39">
        <v>10</v>
      </c>
      <c r="R30" s="39">
        <v>9</v>
      </c>
      <c r="S30" s="39">
        <v>9</v>
      </c>
      <c r="T30" s="39">
        <v>9</v>
      </c>
      <c r="U30" s="39">
        <v>9</v>
      </c>
      <c r="V30" s="39">
        <v>9</v>
      </c>
      <c r="W30" s="40" t="str">
        <f t="shared" si="6"/>
        <v>N</v>
      </c>
      <c r="X30" s="84">
        <f t="shared" si="7"/>
        <v>0</v>
      </c>
      <c r="Y30" s="84" t="str">
        <f t="shared" si="5"/>
        <v>0-4.9%</v>
      </c>
      <c r="Z30" s="85" t="s">
        <v>812</v>
      </c>
      <c r="AA30" s="59"/>
      <c r="AB30" s="59"/>
      <c r="AC30" s="59"/>
      <c r="AD30" s="59"/>
    </row>
    <row r="31" spans="1:30" x14ac:dyDescent="0.25">
      <c r="A31" s="54" t="s">
        <v>209</v>
      </c>
      <c r="B31" s="55"/>
      <c r="C31" s="56" t="s">
        <v>455</v>
      </c>
      <c r="D31" s="57">
        <f t="shared" si="0"/>
        <v>7</v>
      </c>
      <c r="E31" s="56"/>
      <c r="F31" s="56" t="s">
        <v>205</v>
      </c>
      <c r="G31" s="56">
        <v>3.6</v>
      </c>
      <c r="H31" s="56">
        <v>7.8</v>
      </c>
      <c r="I31" s="56"/>
      <c r="J31" s="56"/>
      <c r="K31" s="56"/>
      <c r="L31" s="56"/>
      <c r="M31" s="56"/>
      <c r="N31" s="58">
        <f t="shared" si="1"/>
        <v>11.4</v>
      </c>
      <c r="O31" s="58">
        <f t="shared" si="2"/>
        <v>4.502628506974852</v>
      </c>
      <c r="P31" s="39">
        <v>8</v>
      </c>
      <c r="Q31" s="39">
        <v>10</v>
      </c>
      <c r="R31" s="39">
        <v>9</v>
      </c>
      <c r="S31" s="39">
        <v>9</v>
      </c>
      <c r="T31" s="39">
        <v>9</v>
      </c>
      <c r="U31" s="39">
        <v>9</v>
      </c>
      <c r="V31" s="39">
        <v>9</v>
      </c>
      <c r="W31" s="40" t="str">
        <f t="shared" si="6"/>
        <v>N</v>
      </c>
      <c r="X31" s="84">
        <f t="shared" si="7"/>
        <v>0</v>
      </c>
      <c r="Y31" s="84" t="str">
        <f t="shared" si="5"/>
        <v>0-4.9%</v>
      </c>
      <c r="Z31" s="85" t="s">
        <v>782</v>
      </c>
      <c r="AA31" s="59"/>
      <c r="AB31" s="59"/>
      <c r="AC31" s="59"/>
      <c r="AD31" s="59"/>
    </row>
    <row r="32" spans="1:30" x14ac:dyDescent="0.25">
      <c r="A32" s="54" t="s">
        <v>211</v>
      </c>
      <c r="B32" s="55"/>
      <c r="C32" s="56" t="s">
        <v>457</v>
      </c>
      <c r="D32" s="57">
        <f t="shared" si="0"/>
        <v>7</v>
      </c>
      <c r="E32" s="56"/>
      <c r="F32" s="56" t="s">
        <v>205</v>
      </c>
      <c r="G32" s="56">
        <v>2.7</v>
      </c>
      <c r="H32" s="56">
        <v>2.4500000000000002</v>
      </c>
      <c r="I32" s="56"/>
      <c r="J32" s="56"/>
      <c r="K32" s="56"/>
      <c r="L32" s="56"/>
      <c r="M32" s="56"/>
      <c r="N32" s="58">
        <f t="shared" si="1"/>
        <v>5.15</v>
      </c>
      <c r="O32" s="58">
        <f t="shared" si="2"/>
        <v>0.1260453464455166</v>
      </c>
      <c r="P32" s="39">
        <v>8</v>
      </c>
      <c r="Q32" s="39">
        <v>10</v>
      </c>
      <c r="R32" s="39">
        <v>9</v>
      </c>
      <c r="S32" s="39">
        <v>9</v>
      </c>
      <c r="T32" s="39">
        <v>9</v>
      </c>
      <c r="U32" s="39">
        <v>9</v>
      </c>
      <c r="V32" s="39">
        <v>9</v>
      </c>
      <c r="W32" s="40" t="str">
        <f t="shared" si="6"/>
        <v>N</v>
      </c>
      <c r="X32" s="84">
        <f t="shared" si="7"/>
        <v>0</v>
      </c>
      <c r="Y32" s="84" t="str">
        <f t="shared" si="5"/>
        <v>0-4.9%</v>
      </c>
      <c r="Z32" s="85" t="s">
        <v>224</v>
      </c>
      <c r="AA32" s="59"/>
      <c r="AB32" s="59"/>
      <c r="AC32" s="59"/>
      <c r="AD32" s="59"/>
    </row>
    <row r="33" spans="1:30" x14ac:dyDescent="0.25">
      <c r="A33" s="54" t="s">
        <v>212</v>
      </c>
      <c r="B33" s="55"/>
      <c r="C33" s="56" t="s">
        <v>458</v>
      </c>
      <c r="D33" s="57">
        <f t="shared" si="0"/>
        <v>7</v>
      </c>
      <c r="E33" s="56"/>
      <c r="F33" s="56" t="s">
        <v>205</v>
      </c>
      <c r="G33" s="56">
        <v>2.8</v>
      </c>
      <c r="H33" s="56">
        <v>2.5</v>
      </c>
      <c r="I33" s="56"/>
      <c r="J33" s="56"/>
      <c r="K33" s="56"/>
      <c r="L33" s="56"/>
      <c r="M33" s="56"/>
      <c r="N33" s="58">
        <f t="shared" si="1"/>
        <v>5.3</v>
      </c>
      <c r="O33" s="58">
        <f t="shared" si="2"/>
        <v>0.14342858002066711</v>
      </c>
      <c r="P33" s="39">
        <v>8</v>
      </c>
      <c r="Q33" s="39">
        <v>10</v>
      </c>
      <c r="R33" s="39">
        <v>9</v>
      </c>
      <c r="S33" s="39">
        <v>9</v>
      </c>
      <c r="T33" s="39">
        <v>9</v>
      </c>
      <c r="U33" s="39">
        <v>9</v>
      </c>
      <c r="V33" s="39">
        <v>9</v>
      </c>
      <c r="W33" s="40" t="str">
        <f t="shared" si="6"/>
        <v>N</v>
      </c>
      <c r="X33" s="84">
        <f t="shared" si="7"/>
        <v>0</v>
      </c>
      <c r="Y33" s="84" t="str">
        <f t="shared" si="5"/>
        <v>0-4.9%</v>
      </c>
      <c r="Z33" s="85" t="s">
        <v>224</v>
      </c>
      <c r="AA33" s="59"/>
      <c r="AB33" s="59"/>
      <c r="AC33" s="59"/>
      <c r="AD33" s="59"/>
    </row>
    <row r="34" spans="1:30" x14ac:dyDescent="0.25">
      <c r="A34" s="54" t="s">
        <v>215</v>
      </c>
      <c r="B34" s="55"/>
      <c r="C34" s="56" t="s">
        <v>461</v>
      </c>
      <c r="D34" s="57">
        <f t="shared" si="0"/>
        <v>7</v>
      </c>
      <c r="E34" s="56"/>
      <c r="F34" s="56" t="s">
        <v>205</v>
      </c>
      <c r="G34" s="56">
        <v>3.8</v>
      </c>
      <c r="H34" s="56">
        <v>9.65</v>
      </c>
      <c r="I34" s="56"/>
      <c r="J34" s="56"/>
      <c r="K34" s="56"/>
      <c r="L34" s="56"/>
      <c r="M34" s="56"/>
      <c r="N34" s="58">
        <f t="shared" si="1"/>
        <v>13.45</v>
      </c>
      <c r="O34" s="58">
        <f t="shared" si="2"/>
        <v>9.4764257712360642</v>
      </c>
      <c r="P34" s="39">
        <v>8</v>
      </c>
      <c r="Q34" s="39">
        <v>10</v>
      </c>
      <c r="R34" s="39">
        <v>9</v>
      </c>
      <c r="S34" s="39">
        <v>9</v>
      </c>
      <c r="T34" s="39">
        <v>9</v>
      </c>
      <c r="U34" s="39">
        <v>9</v>
      </c>
      <c r="V34" s="39">
        <v>9</v>
      </c>
      <c r="W34" s="40" t="str">
        <f t="shared" si="6"/>
        <v>N</v>
      </c>
      <c r="X34" s="84">
        <f t="shared" si="7"/>
        <v>0</v>
      </c>
      <c r="Y34" s="84" t="str">
        <f t="shared" si="5"/>
        <v>0-4.9%</v>
      </c>
      <c r="Z34" s="85" t="s">
        <v>794</v>
      </c>
      <c r="AA34" s="59"/>
      <c r="AB34" s="59"/>
      <c r="AC34" s="59"/>
      <c r="AD34" s="59"/>
    </row>
    <row r="35" spans="1:30" x14ac:dyDescent="0.25">
      <c r="A35" s="54" t="s">
        <v>218</v>
      </c>
      <c r="B35" s="55"/>
      <c r="C35" s="56" t="s">
        <v>463</v>
      </c>
      <c r="D35" s="57">
        <f t="shared" si="0"/>
        <v>7</v>
      </c>
      <c r="E35" s="56"/>
      <c r="F35" s="56" t="s">
        <v>205</v>
      </c>
      <c r="G35" s="56">
        <v>3.75</v>
      </c>
      <c r="H35" s="56">
        <v>4.5999999999999996</v>
      </c>
      <c r="I35" s="56"/>
      <c r="J35" s="56"/>
      <c r="K35" s="56"/>
      <c r="L35" s="56"/>
      <c r="M35" s="56"/>
      <c r="N35" s="58">
        <f t="shared" si="1"/>
        <v>8.35</v>
      </c>
      <c r="O35" s="58">
        <f t="shared" si="2"/>
        <v>1.1091324847523507</v>
      </c>
      <c r="P35" s="39">
        <v>8</v>
      </c>
      <c r="Q35" s="39">
        <v>10</v>
      </c>
      <c r="R35" s="39">
        <v>9</v>
      </c>
      <c r="S35" s="39">
        <v>9</v>
      </c>
      <c r="T35" s="39">
        <v>9</v>
      </c>
      <c r="U35" s="39">
        <v>9</v>
      </c>
      <c r="V35" s="39">
        <v>9</v>
      </c>
      <c r="W35" s="40" t="str">
        <f t="shared" si="6"/>
        <v>N</v>
      </c>
      <c r="X35" s="84">
        <f t="shared" si="7"/>
        <v>0</v>
      </c>
      <c r="Y35" s="84" t="str">
        <f t="shared" si="5"/>
        <v>0-4.9%</v>
      </c>
      <c r="Z35" s="85" t="s">
        <v>224</v>
      </c>
      <c r="AA35" s="59"/>
      <c r="AB35" s="59"/>
      <c r="AC35" s="59"/>
      <c r="AD35" s="59"/>
    </row>
    <row r="36" spans="1:30" x14ac:dyDescent="0.25">
      <c r="A36" s="54" t="s">
        <v>219</v>
      </c>
      <c r="B36" s="55"/>
      <c r="C36" s="56" t="s">
        <v>464</v>
      </c>
      <c r="D36" s="57">
        <f t="shared" si="0"/>
        <v>7</v>
      </c>
      <c r="E36" s="56"/>
      <c r="F36" s="56" t="s">
        <v>205</v>
      </c>
      <c r="G36" s="56">
        <v>1.8</v>
      </c>
      <c r="H36" s="56">
        <v>2.25</v>
      </c>
      <c r="I36" s="56"/>
      <c r="J36" s="56"/>
      <c r="K36" s="56"/>
      <c r="L36" s="56"/>
      <c r="M36" s="56"/>
      <c r="N36" s="58">
        <f t="shared" si="1"/>
        <v>4.05</v>
      </c>
      <c r="O36" s="58">
        <f t="shared" si="2"/>
        <v>4.2750568076047699E-2</v>
      </c>
      <c r="P36" s="39">
        <v>8</v>
      </c>
      <c r="Q36" s="39">
        <v>10</v>
      </c>
      <c r="R36" s="39">
        <v>9</v>
      </c>
      <c r="S36" s="39">
        <v>9</v>
      </c>
      <c r="T36" s="39">
        <v>9</v>
      </c>
      <c r="U36" s="39">
        <v>9</v>
      </c>
      <c r="V36" s="39">
        <v>9</v>
      </c>
      <c r="W36" s="40" t="str">
        <f t="shared" si="6"/>
        <v>N</v>
      </c>
      <c r="X36" s="84">
        <f t="shared" si="7"/>
        <v>0</v>
      </c>
      <c r="Y36" s="84" t="str">
        <f t="shared" si="5"/>
        <v>0-4.9%</v>
      </c>
      <c r="Z36" s="85" t="s">
        <v>782</v>
      </c>
      <c r="AA36" s="59"/>
      <c r="AB36" s="59"/>
      <c r="AC36" s="59"/>
      <c r="AD36" s="59"/>
    </row>
    <row r="37" spans="1:30" x14ac:dyDescent="0.25">
      <c r="A37" s="54" t="s">
        <v>220</v>
      </c>
      <c r="B37" s="55"/>
      <c r="C37" s="56" t="s">
        <v>465</v>
      </c>
      <c r="D37" s="57">
        <f t="shared" si="0"/>
        <v>7</v>
      </c>
      <c r="E37" s="56"/>
      <c r="F37" s="56" t="s">
        <v>205</v>
      </c>
      <c r="G37" s="56">
        <v>2.85</v>
      </c>
      <c r="H37" s="56">
        <v>3.1</v>
      </c>
      <c r="I37" s="56"/>
      <c r="J37" s="56"/>
      <c r="K37" s="56"/>
      <c r="L37" s="56"/>
      <c r="M37" s="56"/>
      <c r="N37" s="58">
        <f t="shared" si="1"/>
        <v>5.95</v>
      </c>
      <c r="O37" s="58">
        <f t="shared" si="2"/>
        <v>0.24139075405871419</v>
      </c>
      <c r="P37" s="39">
        <v>8</v>
      </c>
      <c r="Q37" s="39">
        <v>10</v>
      </c>
      <c r="R37" s="39">
        <v>9</v>
      </c>
      <c r="S37" s="39">
        <v>9</v>
      </c>
      <c r="T37" s="39">
        <v>9</v>
      </c>
      <c r="U37" s="39">
        <v>9</v>
      </c>
      <c r="V37" s="39">
        <v>9</v>
      </c>
      <c r="W37" s="40" t="str">
        <f t="shared" si="6"/>
        <v>N</v>
      </c>
      <c r="X37" s="84">
        <f t="shared" si="7"/>
        <v>0</v>
      </c>
      <c r="Y37" s="84" t="str">
        <f t="shared" si="5"/>
        <v>0-4.9%</v>
      </c>
      <c r="Z37" s="85" t="s">
        <v>782</v>
      </c>
      <c r="AA37" s="59"/>
      <c r="AB37" s="59"/>
      <c r="AC37" s="59"/>
      <c r="AD37" s="59"/>
    </row>
    <row r="38" spans="1:30" x14ac:dyDescent="0.25">
      <c r="A38" s="54" t="s">
        <v>223</v>
      </c>
      <c r="B38" s="55"/>
      <c r="C38" s="56" t="s">
        <v>468</v>
      </c>
      <c r="D38" s="57">
        <f t="shared" si="0"/>
        <v>7</v>
      </c>
      <c r="E38" s="56"/>
      <c r="F38" s="56" t="s">
        <v>205</v>
      </c>
      <c r="G38" s="56">
        <v>2.25</v>
      </c>
      <c r="H38" s="56">
        <v>2.6</v>
      </c>
      <c r="I38" s="56"/>
      <c r="J38" s="56"/>
      <c r="K38" s="56"/>
      <c r="L38" s="56"/>
      <c r="M38" s="56"/>
      <c r="N38" s="58">
        <f t="shared" si="1"/>
        <v>4.8499999999999996</v>
      </c>
      <c r="O38" s="58">
        <f t="shared" si="2"/>
        <v>9.621263508262709E-2</v>
      </c>
      <c r="P38" s="39">
        <v>8</v>
      </c>
      <c r="Q38" s="39">
        <v>10</v>
      </c>
      <c r="R38" s="39">
        <v>9</v>
      </c>
      <c r="S38" s="39">
        <v>9</v>
      </c>
      <c r="T38" s="39">
        <v>9</v>
      </c>
      <c r="U38" s="39">
        <v>9</v>
      </c>
      <c r="V38" s="39">
        <v>9</v>
      </c>
      <c r="W38" s="40" t="str">
        <f t="shared" si="6"/>
        <v>N</v>
      </c>
      <c r="X38" s="84">
        <f t="shared" si="7"/>
        <v>0</v>
      </c>
      <c r="Y38" s="84" t="str">
        <f t="shared" si="5"/>
        <v>0-4.9%</v>
      </c>
      <c r="Z38" s="85" t="s">
        <v>782</v>
      </c>
      <c r="AA38" s="59"/>
      <c r="AB38" s="59"/>
      <c r="AC38" s="59"/>
      <c r="AD38" s="59"/>
    </row>
    <row r="39" spans="1:30" x14ac:dyDescent="0.25">
      <c r="A39" s="54" t="s">
        <v>228</v>
      </c>
      <c r="B39" s="55"/>
      <c r="C39" s="56" t="s">
        <v>471</v>
      </c>
      <c r="D39" s="57">
        <f t="shared" si="0"/>
        <v>7</v>
      </c>
      <c r="E39" s="56"/>
      <c r="F39" s="56" t="s">
        <v>205</v>
      </c>
      <c r="G39" s="56">
        <v>2.5</v>
      </c>
      <c r="H39" s="56">
        <v>3.1</v>
      </c>
      <c r="I39" s="56"/>
      <c r="J39" s="56"/>
      <c r="K39" s="56"/>
      <c r="L39" s="56"/>
      <c r="M39" s="56"/>
      <c r="N39" s="58">
        <f t="shared" si="1"/>
        <v>5.6</v>
      </c>
      <c r="O39" s="58">
        <f t="shared" si="2"/>
        <v>0.18375552550659727</v>
      </c>
      <c r="P39" s="39">
        <v>8</v>
      </c>
      <c r="Q39" s="39">
        <v>10</v>
      </c>
      <c r="R39" s="39">
        <v>9</v>
      </c>
      <c r="S39" s="39">
        <v>9</v>
      </c>
      <c r="T39" s="39">
        <v>9</v>
      </c>
      <c r="U39" s="39">
        <v>9</v>
      </c>
      <c r="V39" s="39">
        <v>9</v>
      </c>
      <c r="W39" s="40" t="str">
        <f t="shared" si="6"/>
        <v>N</v>
      </c>
      <c r="X39" s="84">
        <f t="shared" si="7"/>
        <v>0</v>
      </c>
      <c r="Y39" s="84" t="str">
        <f t="shared" si="5"/>
        <v>0-4.9%</v>
      </c>
      <c r="Z39" s="85" t="s">
        <v>784</v>
      </c>
      <c r="AA39" s="59"/>
      <c r="AB39" s="59"/>
      <c r="AC39" s="59"/>
      <c r="AD39" s="59"/>
    </row>
    <row r="40" spans="1:30" x14ac:dyDescent="0.25">
      <c r="A40" s="54" t="s">
        <v>229</v>
      </c>
      <c r="B40" s="55"/>
      <c r="C40" s="56" t="s">
        <v>472</v>
      </c>
      <c r="D40" s="57">
        <f t="shared" si="0"/>
        <v>7</v>
      </c>
      <c r="E40" s="56"/>
      <c r="F40" s="56" t="s">
        <v>205</v>
      </c>
      <c r="G40" s="56">
        <v>2.65</v>
      </c>
      <c r="H40" s="56">
        <v>2.75</v>
      </c>
      <c r="I40" s="56"/>
      <c r="J40" s="56"/>
      <c r="K40" s="56"/>
      <c r="L40" s="56"/>
      <c r="M40" s="56"/>
      <c r="N40" s="58">
        <f t="shared" si="1"/>
        <v>5.4</v>
      </c>
      <c r="O40" s="58">
        <f t="shared" si="2"/>
        <v>0.15601494589133791</v>
      </c>
      <c r="P40" s="39">
        <v>8</v>
      </c>
      <c r="Q40" s="39">
        <v>10</v>
      </c>
      <c r="R40" s="39">
        <v>9</v>
      </c>
      <c r="S40" s="39">
        <v>9</v>
      </c>
      <c r="T40" s="39">
        <v>9</v>
      </c>
      <c r="U40" s="39">
        <v>9</v>
      </c>
      <c r="V40" s="39">
        <v>9</v>
      </c>
      <c r="W40" s="40" t="str">
        <f t="shared" si="6"/>
        <v>N</v>
      </c>
      <c r="X40" s="84">
        <f t="shared" si="7"/>
        <v>0</v>
      </c>
      <c r="Y40" s="84" t="str">
        <f t="shared" si="5"/>
        <v>0-4.9%</v>
      </c>
      <c r="Z40" s="85" t="s">
        <v>786</v>
      </c>
      <c r="AA40" s="59"/>
      <c r="AB40" s="59"/>
      <c r="AC40" s="59"/>
      <c r="AD40" s="59"/>
    </row>
    <row r="41" spans="1:30" x14ac:dyDescent="0.25">
      <c r="A41" s="54" t="s">
        <v>231</v>
      </c>
      <c r="B41" s="55"/>
      <c r="C41" s="56" t="s">
        <v>474</v>
      </c>
      <c r="D41" s="57">
        <f t="shared" si="0"/>
        <v>7</v>
      </c>
      <c r="E41" s="56"/>
      <c r="F41" s="56" t="s">
        <v>205</v>
      </c>
      <c r="G41" s="56">
        <v>3.5</v>
      </c>
      <c r="H41" s="56">
        <v>7</v>
      </c>
      <c r="I41" s="56"/>
      <c r="J41" s="56"/>
      <c r="K41" s="56"/>
      <c r="L41" s="56"/>
      <c r="M41" s="56"/>
      <c r="N41" s="58">
        <f t="shared" si="1"/>
        <v>10.5</v>
      </c>
      <c r="O41" s="58">
        <f t="shared" si="2"/>
        <v>3.1098979024049838</v>
      </c>
      <c r="P41" s="39">
        <v>8</v>
      </c>
      <c r="Q41" s="39">
        <v>10</v>
      </c>
      <c r="R41" s="39">
        <v>9</v>
      </c>
      <c r="S41" s="39">
        <v>9</v>
      </c>
      <c r="T41" s="39">
        <v>9</v>
      </c>
      <c r="U41" s="39">
        <v>9</v>
      </c>
      <c r="V41" s="39">
        <v>9</v>
      </c>
      <c r="W41" s="40" t="str">
        <f t="shared" si="6"/>
        <v>N</v>
      </c>
      <c r="X41" s="84">
        <f t="shared" si="7"/>
        <v>0</v>
      </c>
      <c r="Y41" s="84" t="str">
        <f t="shared" si="5"/>
        <v>0-4.9%</v>
      </c>
      <c r="Z41" s="85" t="s">
        <v>790</v>
      </c>
      <c r="AA41" s="59"/>
      <c r="AB41" s="59"/>
      <c r="AC41" s="59"/>
      <c r="AD41" s="59"/>
    </row>
    <row r="42" spans="1:30" x14ac:dyDescent="0.25">
      <c r="A42" s="54" t="s">
        <v>233</v>
      </c>
      <c r="B42" s="55"/>
      <c r="C42" s="56" t="s">
        <v>476</v>
      </c>
      <c r="D42" s="57">
        <f t="shared" si="0"/>
        <v>7</v>
      </c>
      <c r="E42" s="56"/>
      <c r="F42" s="56" t="s">
        <v>205</v>
      </c>
      <c r="G42" s="56">
        <v>3.25</v>
      </c>
      <c r="H42" s="56">
        <v>8.4499999999999993</v>
      </c>
      <c r="I42" s="56"/>
      <c r="J42" s="56"/>
      <c r="K42" s="56"/>
      <c r="L42" s="56"/>
      <c r="M42" s="56"/>
      <c r="N42" s="58">
        <f t="shared" si="1"/>
        <v>11.7</v>
      </c>
      <c r="O42" s="58">
        <f t="shared" si="2"/>
        <v>5.0609338809603859</v>
      </c>
      <c r="P42" s="39">
        <v>8</v>
      </c>
      <c r="Q42" s="39">
        <v>10</v>
      </c>
      <c r="R42" s="39">
        <v>9</v>
      </c>
      <c r="S42" s="39">
        <v>9</v>
      </c>
      <c r="T42" s="39">
        <v>9</v>
      </c>
      <c r="U42" s="39">
        <v>9</v>
      </c>
      <c r="V42" s="39">
        <v>9</v>
      </c>
      <c r="W42" s="40" t="str">
        <f t="shared" si="6"/>
        <v>N</v>
      </c>
      <c r="X42" s="84">
        <f t="shared" si="7"/>
        <v>0</v>
      </c>
      <c r="Y42" s="84" t="str">
        <f t="shared" si="5"/>
        <v>0-4.9%</v>
      </c>
      <c r="Z42" s="85" t="s">
        <v>782</v>
      </c>
      <c r="AA42" s="59"/>
      <c r="AB42" s="59"/>
      <c r="AC42" s="59"/>
      <c r="AD42" s="59"/>
    </row>
    <row r="43" spans="1:30" x14ac:dyDescent="0.25">
      <c r="A43" s="54" t="s">
        <v>234</v>
      </c>
      <c r="B43" s="55"/>
      <c r="C43" s="56" t="s">
        <v>383</v>
      </c>
      <c r="D43" s="57">
        <f t="shared" si="0"/>
        <v>7</v>
      </c>
      <c r="E43" s="56"/>
      <c r="F43" s="56" t="s">
        <v>205</v>
      </c>
      <c r="G43" s="56">
        <v>1.9</v>
      </c>
      <c r="H43" s="56">
        <v>2.35</v>
      </c>
      <c r="I43" s="56"/>
      <c r="J43" s="56"/>
      <c r="K43" s="56"/>
      <c r="L43" s="56"/>
      <c r="M43" s="56"/>
      <c r="N43" s="58">
        <f t="shared" si="1"/>
        <v>4.25</v>
      </c>
      <c r="O43" s="58">
        <f t="shared" si="2"/>
        <v>5.3106107571024401E-2</v>
      </c>
      <c r="P43" s="39">
        <v>8</v>
      </c>
      <c r="Q43" s="39">
        <v>10</v>
      </c>
      <c r="R43" s="39">
        <v>9</v>
      </c>
      <c r="S43" s="39">
        <v>9</v>
      </c>
      <c r="T43" s="39">
        <v>9</v>
      </c>
      <c r="U43" s="39">
        <v>9</v>
      </c>
      <c r="V43" s="39">
        <v>9</v>
      </c>
      <c r="W43" s="40" t="str">
        <f t="shared" si="6"/>
        <v>N</v>
      </c>
      <c r="X43" s="84">
        <f t="shared" si="7"/>
        <v>0</v>
      </c>
      <c r="Y43" s="84" t="str">
        <f t="shared" si="5"/>
        <v>0-4.9%</v>
      </c>
      <c r="Z43" s="85" t="s">
        <v>812</v>
      </c>
      <c r="AA43" s="59"/>
      <c r="AB43" s="59"/>
      <c r="AC43" s="59"/>
      <c r="AD43" s="59"/>
    </row>
    <row r="44" spans="1:30" x14ac:dyDescent="0.25">
      <c r="A44" s="54" t="s">
        <v>237</v>
      </c>
      <c r="B44" s="55"/>
      <c r="C44" s="56" t="s">
        <v>478</v>
      </c>
      <c r="D44" s="57">
        <f t="shared" si="0"/>
        <v>7</v>
      </c>
      <c r="E44" s="56"/>
      <c r="F44" s="56" t="s">
        <v>205</v>
      </c>
      <c r="G44" s="56">
        <v>2.5499999999999998</v>
      </c>
      <c r="H44" s="56">
        <v>6.2</v>
      </c>
      <c r="I44" s="56"/>
      <c r="J44" s="56"/>
      <c r="K44" s="56"/>
      <c r="L44" s="56"/>
      <c r="M44" s="56"/>
      <c r="N44" s="58">
        <f t="shared" si="1"/>
        <v>8.75</v>
      </c>
      <c r="O44" s="58">
        <f t="shared" si="2"/>
        <v>1.369085352916996</v>
      </c>
      <c r="P44" s="39">
        <v>8</v>
      </c>
      <c r="Q44" s="39">
        <v>10</v>
      </c>
      <c r="R44" s="39">
        <v>9</v>
      </c>
      <c r="S44" s="39">
        <v>9</v>
      </c>
      <c r="T44" s="39">
        <v>9</v>
      </c>
      <c r="U44" s="39">
        <v>9</v>
      </c>
      <c r="V44" s="39">
        <v>9</v>
      </c>
      <c r="W44" s="40" t="str">
        <f t="shared" si="6"/>
        <v>N</v>
      </c>
      <c r="X44" s="84">
        <f t="shared" si="7"/>
        <v>0</v>
      </c>
      <c r="Y44" s="84" t="str">
        <f t="shared" si="5"/>
        <v>0-4.9%</v>
      </c>
      <c r="Z44" s="85" t="s">
        <v>788</v>
      </c>
      <c r="AA44" s="59"/>
      <c r="AB44" s="59"/>
      <c r="AC44" s="59"/>
      <c r="AD44" s="59"/>
    </row>
    <row r="45" spans="1:30" x14ac:dyDescent="0.25">
      <c r="A45" s="54" t="s">
        <v>255</v>
      </c>
      <c r="B45" s="55"/>
      <c r="C45" s="56" t="s">
        <v>493</v>
      </c>
      <c r="D45" s="57">
        <f t="shared" si="0"/>
        <v>7</v>
      </c>
      <c r="E45" s="56"/>
      <c r="F45" s="56" t="s">
        <v>205</v>
      </c>
      <c r="G45" s="56">
        <v>3.25</v>
      </c>
      <c r="H45" s="56">
        <v>3.35</v>
      </c>
      <c r="I45" s="56"/>
      <c r="J45" s="56"/>
      <c r="K45" s="56"/>
      <c r="L45" s="56"/>
      <c r="M45" s="56"/>
      <c r="N45" s="58">
        <f t="shared" si="1"/>
        <v>6.6</v>
      </c>
      <c r="O45" s="58">
        <f t="shared" si="2"/>
        <v>0.38489475729205003</v>
      </c>
      <c r="P45" s="39">
        <v>8</v>
      </c>
      <c r="Q45" s="39">
        <v>10</v>
      </c>
      <c r="R45" s="39">
        <v>9</v>
      </c>
      <c r="S45" s="39">
        <v>9</v>
      </c>
      <c r="T45" s="39">
        <v>9</v>
      </c>
      <c r="U45" s="39">
        <v>9</v>
      </c>
      <c r="V45" s="39">
        <v>9</v>
      </c>
      <c r="W45" s="40" t="str">
        <f t="shared" si="6"/>
        <v>N</v>
      </c>
      <c r="X45" s="84">
        <f t="shared" si="7"/>
        <v>0</v>
      </c>
      <c r="Y45" s="84" t="str">
        <f t="shared" si="5"/>
        <v>0-4.9%</v>
      </c>
      <c r="Z45" s="85" t="s">
        <v>812</v>
      </c>
      <c r="AA45" s="59"/>
      <c r="AB45" s="59"/>
      <c r="AC45" s="59"/>
      <c r="AD45" s="59"/>
    </row>
    <row r="46" spans="1:30" x14ac:dyDescent="0.25">
      <c r="A46" s="54" t="s">
        <v>256</v>
      </c>
      <c r="B46" s="55"/>
      <c r="C46" s="56" t="s">
        <v>494</v>
      </c>
      <c r="D46" s="57">
        <f t="shared" si="0"/>
        <v>7</v>
      </c>
      <c r="E46" s="56"/>
      <c r="F46" s="56" t="s">
        <v>205</v>
      </c>
      <c r="G46" s="56">
        <v>2.75</v>
      </c>
      <c r="H46" s="56">
        <v>2.5499999999999998</v>
      </c>
      <c r="I46" s="56"/>
      <c r="J46" s="56"/>
      <c r="K46" s="56"/>
      <c r="L46" s="56"/>
      <c r="M46" s="56"/>
      <c r="N46" s="58">
        <f t="shared" si="1"/>
        <v>5.3</v>
      </c>
      <c r="O46" s="58">
        <f t="shared" si="2"/>
        <v>0.14342858002066711</v>
      </c>
      <c r="P46" s="39">
        <v>8</v>
      </c>
      <c r="Q46" s="39">
        <v>10</v>
      </c>
      <c r="R46" s="39">
        <v>9</v>
      </c>
      <c r="S46" s="39">
        <v>9</v>
      </c>
      <c r="T46" s="39">
        <v>9</v>
      </c>
      <c r="U46" s="39">
        <v>9</v>
      </c>
      <c r="V46" s="39">
        <v>9</v>
      </c>
      <c r="W46" s="40" t="str">
        <f t="shared" si="6"/>
        <v>N</v>
      </c>
      <c r="X46" s="84">
        <f t="shared" si="7"/>
        <v>0</v>
      </c>
      <c r="Y46" s="84" t="str">
        <f t="shared" si="5"/>
        <v>0-4.9%</v>
      </c>
      <c r="Z46" s="85" t="s">
        <v>224</v>
      </c>
      <c r="AA46" s="59"/>
      <c r="AB46" s="59"/>
      <c r="AC46" s="59"/>
      <c r="AD46" s="59"/>
    </row>
    <row r="47" spans="1:30" x14ac:dyDescent="0.25">
      <c r="A47" s="54" t="s">
        <v>258</v>
      </c>
      <c r="B47" s="55"/>
      <c r="C47" s="56" t="s">
        <v>496</v>
      </c>
      <c r="D47" s="57">
        <f t="shared" si="0"/>
        <v>7</v>
      </c>
      <c r="E47" s="56"/>
      <c r="F47" s="56" t="s">
        <v>205</v>
      </c>
      <c r="G47" s="56">
        <v>3.8</v>
      </c>
      <c r="H47" s="56">
        <v>10.45</v>
      </c>
      <c r="I47" s="56"/>
      <c r="J47" s="56"/>
      <c r="K47" s="56"/>
      <c r="L47" s="56"/>
      <c r="M47" s="56"/>
      <c r="N47" s="58">
        <f t="shared" si="1"/>
        <v>14.25</v>
      </c>
      <c r="O47" s="58">
        <f t="shared" si="2"/>
        <v>12.290262962675968</v>
      </c>
      <c r="P47" s="39">
        <v>8</v>
      </c>
      <c r="Q47" s="39">
        <v>10</v>
      </c>
      <c r="R47" s="39">
        <v>9</v>
      </c>
      <c r="S47" s="39">
        <v>9</v>
      </c>
      <c r="T47" s="39">
        <v>9</v>
      </c>
      <c r="U47" s="39">
        <v>9</v>
      </c>
      <c r="V47" s="39">
        <v>9</v>
      </c>
      <c r="W47" s="40" t="str">
        <f t="shared" si="6"/>
        <v>Y</v>
      </c>
      <c r="X47" s="84">
        <f t="shared" si="7"/>
        <v>4.4999999999999929E-2</v>
      </c>
      <c r="Y47" s="84" t="str">
        <f t="shared" si="5"/>
        <v>0-4.9%</v>
      </c>
      <c r="Z47" s="85" t="s">
        <v>782</v>
      </c>
      <c r="AA47" s="59"/>
      <c r="AB47" s="59"/>
      <c r="AC47" s="59"/>
      <c r="AD47" s="59"/>
    </row>
    <row r="48" spans="1:30" x14ac:dyDescent="0.25">
      <c r="A48" s="54" t="s">
        <v>259</v>
      </c>
      <c r="B48" s="55"/>
      <c r="C48" s="56" t="s">
        <v>497</v>
      </c>
      <c r="D48" s="57">
        <f t="shared" si="0"/>
        <v>7</v>
      </c>
      <c r="E48" s="56"/>
      <c r="F48" s="56" t="s">
        <v>205</v>
      </c>
      <c r="G48" s="56">
        <v>4.8499999999999996</v>
      </c>
      <c r="H48" s="56">
        <v>4.9000000000000004</v>
      </c>
      <c r="I48" s="56"/>
      <c r="J48" s="56"/>
      <c r="K48" s="56"/>
      <c r="L48" s="56"/>
      <c r="M48" s="56"/>
      <c r="N48" s="58">
        <f t="shared" si="1"/>
        <v>9.75</v>
      </c>
      <c r="O48" s="58">
        <f t="shared" si="2"/>
        <v>2.2279993317934754</v>
      </c>
      <c r="P48" s="39">
        <v>8</v>
      </c>
      <c r="Q48" s="39">
        <v>10</v>
      </c>
      <c r="R48" s="39">
        <v>9</v>
      </c>
      <c r="S48" s="39">
        <v>9</v>
      </c>
      <c r="T48" s="39">
        <v>9</v>
      </c>
      <c r="U48" s="39">
        <v>9</v>
      </c>
      <c r="V48" s="39">
        <v>9</v>
      </c>
      <c r="W48" s="40" t="str">
        <f t="shared" si="6"/>
        <v>N</v>
      </c>
      <c r="X48" s="84">
        <f t="shared" si="7"/>
        <v>0</v>
      </c>
      <c r="Y48" s="84" t="str">
        <f t="shared" si="5"/>
        <v>0-4.9%</v>
      </c>
      <c r="Z48" s="85" t="s">
        <v>812</v>
      </c>
      <c r="AA48" s="59"/>
      <c r="AB48" s="59"/>
      <c r="AC48" s="59"/>
      <c r="AD48" s="59"/>
    </row>
    <row r="49" spans="1:30" x14ac:dyDescent="0.25">
      <c r="A49" s="54" t="s">
        <v>266</v>
      </c>
      <c r="B49" s="55"/>
      <c r="C49" s="56" t="s">
        <v>474</v>
      </c>
      <c r="D49" s="57">
        <f t="shared" si="0"/>
        <v>7</v>
      </c>
      <c r="E49" s="56"/>
      <c r="F49" s="56" t="s">
        <v>205</v>
      </c>
      <c r="G49" s="56">
        <v>3.5</v>
      </c>
      <c r="H49" s="56">
        <v>7</v>
      </c>
      <c r="I49" s="56"/>
      <c r="J49" s="56"/>
      <c r="K49" s="56"/>
      <c r="L49" s="56"/>
      <c r="M49" s="56"/>
      <c r="N49" s="58">
        <f t="shared" si="1"/>
        <v>10.5</v>
      </c>
      <c r="O49" s="58">
        <f t="shared" si="2"/>
        <v>3.1098979024049838</v>
      </c>
      <c r="P49" s="39">
        <v>8</v>
      </c>
      <c r="Q49" s="39">
        <v>10</v>
      </c>
      <c r="R49" s="39">
        <v>9</v>
      </c>
      <c r="S49" s="39">
        <v>9</v>
      </c>
      <c r="T49" s="39">
        <v>9</v>
      </c>
      <c r="U49" s="39">
        <v>9</v>
      </c>
      <c r="V49" s="39">
        <v>9</v>
      </c>
      <c r="W49" s="40" t="str">
        <f t="shared" si="6"/>
        <v>N</v>
      </c>
      <c r="X49" s="84">
        <f t="shared" si="7"/>
        <v>0</v>
      </c>
      <c r="Y49" s="84" t="str">
        <f t="shared" si="5"/>
        <v>0-4.9%</v>
      </c>
      <c r="Z49" s="85" t="s">
        <v>790</v>
      </c>
      <c r="AA49" s="59"/>
      <c r="AB49" s="59"/>
      <c r="AC49" s="59"/>
      <c r="AD49" s="59"/>
    </row>
    <row r="50" spans="1:30" x14ac:dyDescent="0.25">
      <c r="A50" s="54" t="s">
        <v>289</v>
      </c>
      <c r="B50" s="55"/>
      <c r="C50" s="56" t="s">
        <v>413</v>
      </c>
      <c r="D50" s="57">
        <f t="shared" si="0"/>
        <v>7</v>
      </c>
      <c r="E50" s="56"/>
      <c r="F50" s="56" t="s">
        <v>205</v>
      </c>
      <c r="G50" s="56">
        <v>2.4</v>
      </c>
      <c r="H50" s="56">
        <v>2.9</v>
      </c>
      <c r="I50" s="56"/>
      <c r="J50" s="56"/>
      <c r="K50" s="56"/>
      <c r="L50" s="56"/>
      <c r="M50" s="56"/>
      <c r="N50" s="58">
        <f t="shared" si="1"/>
        <v>5.3</v>
      </c>
      <c r="O50" s="58">
        <f t="shared" si="2"/>
        <v>0.14342858002066711</v>
      </c>
      <c r="P50" s="39">
        <v>8</v>
      </c>
      <c r="Q50" s="39">
        <v>10</v>
      </c>
      <c r="R50" s="39">
        <v>9</v>
      </c>
      <c r="S50" s="39">
        <v>9</v>
      </c>
      <c r="T50" s="39">
        <v>9</v>
      </c>
      <c r="U50" s="39">
        <v>9</v>
      </c>
      <c r="V50" s="39">
        <v>9</v>
      </c>
      <c r="W50" s="40" t="str">
        <f t="shared" si="6"/>
        <v>N</v>
      </c>
      <c r="X50" s="84">
        <f t="shared" si="7"/>
        <v>0</v>
      </c>
      <c r="Y50" s="84" t="str">
        <f t="shared" si="5"/>
        <v>0-4.9%</v>
      </c>
      <c r="Z50" s="85" t="s">
        <v>224</v>
      </c>
      <c r="AA50" s="59"/>
      <c r="AB50" s="59"/>
      <c r="AC50" s="59"/>
      <c r="AD50" s="59"/>
    </row>
    <row r="51" spans="1:30" x14ac:dyDescent="0.25">
      <c r="A51" s="54" t="s">
        <v>202</v>
      </c>
      <c r="B51" s="55"/>
      <c r="C51" s="56" t="s">
        <v>530</v>
      </c>
      <c r="D51" s="57">
        <f t="shared" si="0"/>
        <v>7</v>
      </c>
      <c r="E51" s="56"/>
      <c r="F51" s="56" t="s">
        <v>205</v>
      </c>
      <c r="G51" s="56">
        <v>4.8499999999999996</v>
      </c>
      <c r="H51" s="56">
        <v>12.2</v>
      </c>
      <c r="I51" s="56"/>
      <c r="J51" s="56"/>
      <c r="K51" s="56"/>
      <c r="L51" s="56"/>
      <c r="M51" s="56"/>
      <c r="N51" s="58">
        <f t="shared" si="1"/>
        <v>17.049999999999997</v>
      </c>
      <c r="O51" s="58">
        <f t="shared" si="2"/>
        <v>27.552055879520772</v>
      </c>
      <c r="P51" s="39">
        <v>8</v>
      </c>
      <c r="Q51" s="39">
        <v>10</v>
      </c>
      <c r="R51" s="39">
        <v>9</v>
      </c>
      <c r="S51" s="39">
        <v>9</v>
      </c>
      <c r="T51" s="39">
        <v>9</v>
      </c>
      <c r="U51" s="39">
        <v>9</v>
      </c>
      <c r="V51" s="39">
        <v>9</v>
      </c>
      <c r="W51" s="40" t="str">
        <f t="shared" si="6"/>
        <v>Y</v>
      </c>
      <c r="X51" s="84">
        <f t="shared" si="7"/>
        <v>0.21999999999999992</v>
      </c>
      <c r="Y51" s="84" t="str">
        <f t="shared" si="5"/>
        <v>5-25%</v>
      </c>
      <c r="Z51" s="85" t="s">
        <v>782</v>
      </c>
      <c r="AA51" s="59"/>
      <c r="AB51" s="59"/>
      <c r="AC51" s="59"/>
      <c r="AD51" s="59"/>
    </row>
    <row r="52" spans="1:30" x14ac:dyDescent="0.25">
      <c r="A52" s="54" t="s">
        <v>207</v>
      </c>
      <c r="B52" s="55"/>
      <c r="C52" s="56" t="s">
        <v>318</v>
      </c>
      <c r="D52" s="57">
        <f t="shared" si="0"/>
        <v>7</v>
      </c>
      <c r="E52" s="56"/>
      <c r="F52" s="56" t="s">
        <v>205</v>
      </c>
      <c r="G52" s="56">
        <v>3.6</v>
      </c>
      <c r="H52" s="56">
        <v>7.3</v>
      </c>
      <c r="I52" s="56"/>
      <c r="J52" s="56"/>
      <c r="K52" s="56"/>
      <c r="L52" s="56"/>
      <c r="M52" s="56"/>
      <c r="N52" s="58">
        <f t="shared" si="1"/>
        <v>10.9</v>
      </c>
      <c r="O52" s="58">
        <f t="shared" si="2"/>
        <v>3.6797094349367212</v>
      </c>
      <c r="P52" s="39">
        <v>8</v>
      </c>
      <c r="Q52" s="39">
        <v>10</v>
      </c>
      <c r="R52" s="39">
        <v>9</v>
      </c>
      <c r="S52" s="39">
        <v>9</v>
      </c>
      <c r="T52" s="39">
        <v>9</v>
      </c>
      <c r="U52" s="39">
        <v>9</v>
      </c>
      <c r="V52" s="39">
        <v>9</v>
      </c>
      <c r="W52" s="40" t="str">
        <f t="shared" si="6"/>
        <v>N</v>
      </c>
      <c r="X52" s="84">
        <f t="shared" si="7"/>
        <v>0</v>
      </c>
      <c r="Y52" s="84" t="str">
        <f t="shared" si="5"/>
        <v>0-4.9%</v>
      </c>
      <c r="Z52" s="85" t="s">
        <v>794</v>
      </c>
      <c r="AA52" s="59"/>
      <c r="AB52" s="59"/>
      <c r="AC52" s="59"/>
      <c r="AD52" s="59"/>
    </row>
    <row r="53" spans="1:30" x14ac:dyDescent="0.25">
      <c r="A53" s="54" t="s">
        <v>211</v>
      </c>
      <c r="B53" s="55"/>
      <c r="C53" s="56" t="s">
        <v>476</v>
      </c>
      <c r="D53" s="57">
        <f t="shared" si="0"/>
        <v>7</v>
      </c>
      <c r="E53" s="56"/>
      <c r="F53" s="56" t="s">
        <v>205</v>
      </c>
      <c r="G53" s="56">
        <v>3.25</v>
      </c>
      <c r="H53" s="56">
        <v>7.15</v>
      </c>
      <c r="I53" s="56"/>
      <c r="J53" s="56"/>
      <c r="K53" s="56"/>
      <c r="L53" s="56"/>
      <c r="M53" s="56"/>
      <c r="N53" s="58">
        <f t="shared" si="1"/>
        <v>10.4</v>
      </c>
      <c r="O53" s="58">
        <f t="shared" si="2"/>
        <v>2.9788203524719394</v>
      </c>
      <c r="P53" s="39">
        <v>8</v>
      </c>
      <c r="Q53" s="39">
        <v>10</v>
      </c>
      <c r="R53" s="39">
        <v>9</v>
      </c>
      <c r="S53" s="39">
        <v>9</v>
      </c>
      <c r="T53" s="39">
        <v>9</v>
      </c>
      <c r="U53" s="39">
        <v>9</v>
      </c>
      <c r="V53" s="39">
        <v>9</v>
      </c>
      <c r="W53" s="40" t="str">
        <f t="shared" si="6"/>
        <v>N</v>
      </c>
      <c r="X53" s="84">
        <f t="shared" si="7"/>
        <v>0</v>
      </c>
      <c r="Y53" s="84" t="str">
        <f t="shared" si="5"/>
        <v>0-4.9%</v>
      </c>
      <c r="Z53" s="87" t="s">
        <v>782</v>
      </c>
      <c r="AA53" s="59"/>
      <c r="AB53" s="59"/>
      <c r="AC53" s="59"/>
      <c r="AD53" s="59"/>
    </row>
    <row r="54" spans="1:30" x14ac:dyDescent="0.25">
      <c r="A54" s="54" t="s">
        <v>223</v>
      </c>
      <c r="B54" s="55"/>
      <c r="C54" s="56" t="s">
        <v>371</v>
      </c>
      <c r="D54" s="57">
        <f t="shared" si="0"/>
        <v>7</v>
      </c>
      <c r="E54" s="56"/>
      <c r="F54" s="56" t="s">
        <v>205</v>
      </c>
      <c r="G54" s="56">
        <v>4.7</v>
      </c>
      <c r="H54" s="56">
        <v>11.2</v>
      </c>
      <c r="I54" s="56"/>
      <c r="J54" s="56"/>
      <c r="K54" s="56"/>
      <c r="L54" s="56"/>
      <c r="M54" s="56"/>
      <c r="N54" s="58">
        <f t="shared" si="1"/>
        <v>15.899999999999999</v>
      </c>
      <c r="O54" s="58">
        <f t="shared" si="2"/>
        <v>20.122472616113562</v>
      </c>
      <c r="P54" s="39">
        <v>8</v>
      </c>
      <c r="Q54" s="39">
        <v>10</v>
      </c>
      <c r="R54" s="39">
        <v>9</v>
      </c>
      <c r="S54" s="39">
        <v>9</v>
      </c>
      <c r="T54" s="39">
        <v>9</v>
      </c>
      <c r="U54" s="39">
        <v>9</v>
      </c>
      <c r="V54" s="39">
        <v>9</v>
      </c>
      <c r="W54" s="40" t="str">
        <f t="shared" si="6"/>
        <v>Y</v>
      </c>
      <c r="X54" s="84">
        <f t="shared" si="7"/>
        <v>0.11999999999999993</v>
      </c>
      <c r="Y54" s="84" t="str">
        <f t="shared" si="5"/>
        <v>5-25%</v>
      </c>
      <c r="Z54" s="85" t="s">
        <v>812</v>
      </c>
      <c r="AA54" s="59"/>
      <c r="AB54" s="59"/>
      <c r="AC54" s="59"/>
      <c r="AD54" s="59"/>
    </row>
    <row r="55" spans="1:30" x14ac:dyDescent="0.25">
      <c r="A55" s="54" t="s">
        <v>231</v>
      </c>
      <c r="B55" s="55"/>
      <c r="C55" s="56" t="s">
        <v>551</v>
      </c>
      <c r="D55" s="57">
        <f t="shared" si="0"/>
        <v>7</v>
      </c>
      <c r="E55" s="56"/>
      <c r="F55" s="56" t="s">
        <v>205</v>
      </c>
      <c r="G55" s="56">
        <v>2.7</v>
      </c>
      <c r="H55" s="56">
        <v>2.4500000000000002</v>
      </c>
      <c r="I55" s="56"/>
      <c r="J55" s="56"/>
      <c r="K55" s="56"/>
      <c r="L55" s="56"/>
      <c r="M55" s="56"/>
      <c r="N55" s="58">
        <f t="shared" si="1"/>
        <v>5.15</v>
      </c>
      <c r="O55" s="58">
        <f t="shared" si="2"/>
        <v>0.1260453464455166</v>
      </c>
      <c r="P55" s="39">
        <v>8</v>
      </c>
      <c r="Q55" s="39">
        <v>10</v>
      </c>
      <c r="R55" s="39">
        <v>9</v>
      </c>
      <c r="S55" s="39">
        <v>9</v>
      </c>
      <c r="T55" s="39">
        <v>9</v>
      </c>
      <c r="U55" s="39">
        <v>9</v>
      </c>
      <c r="V55" s="39">
        <v>9</v>
      </c>
      <c r="W55" s="40" t="str">
        <f t="shared" si="6"/>
        <v>N</v>
      </c>
      <c r="X55" s="84">
        <f t="shared" si="7"/>
        <v>0</v>
      </c>
      <c r="Y55" s="84" t="str">
        <f t="shared" si="5"/>
        <v>0-4.9%</v>
      </c>
      <c r="Z55" s="85" t="s">
        <v>788</v>
      </c>
      <c r="AA55" s="59"/>
      <c r="AB55" s="59"/>
      <c r="AC55" s="59"/>
      <c r="AD55" s="59"/>
    </row>
    <row r="56" spans="1:30" x14ac:dyDescent="0.25">
      <c r="A56" s="54" t="s">
        <v>232</v>
      </c>
      <c r="B56" s="55"/>
      <c r="C56" s="56" t="s">
        <v>552</v>
      </c>
      <c r="D56" s="57">
        <f t="shared" si="0"/>
        <v>7</v>
      </c>
      <c r="E56" s="56"/>
      <c r="F56" s="56" t="s">
        <v>205</v>
      </c>
      <c r="G56" s="56">
        <v>4.5999999999999996</v>
      </c>
      <c r="H56" s="56">
        <v>11</v>
      </c>
      <c r="I56" s="56"/>
      <c r="J56" s="56"/>
      <c r="K56" s="56"/>
      <c r="L56" s="56"/>
      <c r="M56" s="56"/>
      <c r="N56" s="58">
        <f t="shared" si="1"/>
        <v>15.6</v>
      </c>
      <c r="O56" s="58">
        <f t="shared" si="2"/>
        <v>18.469493181777395</v>
      </c>
      <c r="P56" s="39">
        <v>8</v>
      </c>
      <c r="Q56" s="39">
        <v>10</v>
      </c>
      <c r="R56" s="39">
        <v>9</v>
      </c>
      <c r="S56" s="39">
        <v>9</v>
      </c>
      <c r="T56" s="39">
        <v>9</v>
      </c>
      <c r="U56" s="39">
        <v>9</v>
      </c>
      <c r="V56" s="39">
        <v>9</v>
      </c>
      <c r="W56" s="40" t="str">
        <f t="shared" si="6"/>
        <v>Y</v>
      </c>
      <c r="X56" s="84">
        <f t="shared" si="7"/>
        <v>0.1</v>
      </c>
      <c r="Y56" s="84" t="str">
        <f t="shared" si="5"/>
        <v>5-25%</v>
      </c>
      <c r="Z56" s="85" t="s">
        <v>782</v>
      </c>
      <c r="AA56" s="59"/>
      <c r="AB56" s="59"/>
      <c r="AC56" s="59"/>
      <c r="AD56" s="59"/>
    </row>
    <row r="57" spans="1:30" ht="15.75" thickBot="1" x14ac:dyDescent="0.3">
      <c r="A57" s="65" t="s">
        <v>240</v>
      </c>
      <c r="B57" s="66"/>
      <c r="C57" s="67" t="s">
        <v>558</v>
      </c>
      <c r="D57" s="57">
        <f t="shared" si="0"/>
        <v>7</v>
      </c>
      <c r="E57" s="67"/>
      <c r="F57" s="67" t="s">
        <v>205</v>
      </c>
      <c r="G57" s="67">
        <v>4.3</v>
      </c>
      <c r="H57" s="67">
        <v>12.2</v>
      </c>
      <c r="I57" s="67"/>
      <c r="J57" s="67"/>
      <c r="K57" s="67"/>
      <c r="L57" s="67"/>
      <c r="M57" s="67"/>
      <c r="N57" s="58">
        <f t="shared" si="1"/>
        <v>16.5</v>
      </c>
      <c r="O57" s="58">
        <f t="shared" si="2"/>
        <v>23.77234555665196</v>
      </c>
      <c r="P57" s="39">
        <v>8</v>
      </c>
      <c r="Q57" s="39">
        <v>10</v>
      </c>
      <c r="R57" s="39">
        <v>9</v>
      </c>
      <c r="S57" s="39">
        <v>9</v>
      </c>
      <c r="T57" s="39">
        <v>9</v>
      </c>
      <c r="U57" s="39">
        <v>9</v>
      </c>
      <c r="V57" s="39">
        <v>9</v>
      </c>
      <c r="W57" s="40" t="str">
        <f t="shared" si="6"/>
        <v>Y</v>
      </c>
      <c r="X57" s="84">
        <f t="shared" si="7"/>
        <v>0.21999999999999992</v>
      </c>
      <c r="Y57" s="84" t="str">
        <f t="shared" si="5"/>
        <v>5-25%</v>
      </c>
      <c r="Z57" s="85" t="s">
        <v>782</v>
      </c>
      <c r="AA57" s="59"/>
      <c r="AB57" s="59"/>
      <c r="AC57" s="59"/>
      <c r="AD57" s="59"/>
    </row>
    <row r="58" spans="1:30" x14ac:dyDescent="0.25">
      <c r="A58" s="54" t="s">
        <v>242</v>
      </c>
      <c r="B58" s="55"/>
      <c r="C58" s="56" t="s">
        <v>383</v>
      </c>
      <c r="D58" s="57">
        <f t="shared" si="0"/>
        <v>7</v>
      </c>
      <c r="E58" s="56"/>
      <c r="F58" s="56" t="s">
        <v>205</v>
      </c>
      <c r="G58" s="56">
        <v>1.95</v>
      </c>
      <c r="H58" s="56">
        <v>2</v>
      </c>
      <c r="I58" s="56"/>
      <c r="J58" s="56"/>
      <c r="K58" s="56"/>
      <c r="L58" s="56"/>
      <c r="M58" s="56"/>
      <c r="N58" s="58">
        <f t="shared" si="1"/>
        <v>3.95</v>
      </c>
      <c r="O58" s="58">
        <f t="shared" si="2"/>
        <v>3.8201570361168925E-2</v>
      </c>
      <c r="P58" s="39">
        <v>8</v>
      </c>
      <c r="Q58" s="39">
        <v>10</v>
      </c>
      <c r="R58" s="39">
        <v>9</v>
      </c>
      <c r="S58" s="39">
        <v>9</v>
      </c>
      <c r="T58" s="39">
        <v>9</v>
      </c>
      <c r="U58" s="39">
        <v>9</v>
      </c>
      <c r="V58" s="39">
        <v>9</v>
      </c>
      <c r="W58" s="40" t="str">
        <f t="shared" si="6"/>
        <v>N</v>
      </c>
      <c r="X58" s="84">
        <f t="shared" si="7"/>
        <v>0</v>
      </c>
      <c r="Y58" s="84" t="str">
        <f t="shared" si="5"/>
        <v>0-4.9%</v>
      </c>
      <c r="Z58" s="85" t="s">
        <v>782</v>
      </c>
      <c r="AA58" s="59"/>
      <c r="AB58" s="59"/>
      <c r="AC58" s="59"/>
      <c r="AD58" s="59"/>
    </row>
    <row r="59" spans="1:30" x14ac:dyDescent="0.25">
      <c r="A59" s="54" t="s">
        <v>251</v>
      </c>
      <c r="B59" s="55"/>
      <c r="C59" s="56" t="s">
        <v>566</v>
      </c>
      <c r="D59" s="57">
        <f t="shared" si="0"/>
        <v>7</v>
      </c>
      <c r="E59" s="56"/>
      <c r="F59" s="56" t="s">
        <v>205</v>
      </c>
      <c r="G59" s="56">
        <v>1.7</v>
      </c>
      <c r="H59" s="56">
        <v>1.4</v>
      </c>
      <c r="I59" s="56"/>
      <c r="J59" s="56"/>
      <c r="K59" s="56"/>
      <c r="L59" s="56"/>
      <c r="M59" s="56"/>
      <c r="N59" s="58">
        <f t="shared" si="1"/>
        <v>3.0999999999999996</v>
      </c>
      <c r="O59" s="58">
        <f t="shared" si="2"/>
        <v>1.283872533424469E-2</v>
      </c>
      <c r="P59" s="39">
        <v>8</v>
      </c>
      <c r="Q59" s="39">
        <v>10</v>
      </c>
      <c r="R59" s="39">
        <v>9</v>
      </c>
      <c r="S59" s="39">
        <v>9</v>
      </c>
      <c r="T59" s="39">
        <v>9</v>
      </c>
      <c r="U59" s="39">
        <v>9</v>
      </c>
      <c r="V59" s="39">
        <v>9</v>
      </c>
      <c r="W59" s="40" t="str">
        <f t="shared" si="6"/>
        <v>N</v>
      </c>
      <c r="X59" s="84">
        <f t="shared" si="7"/>
        <v>0</v>
      </c>
      <c r="Y59" s="84" t="str">
        <f t="shared" si="5"/>
        <v>0-4.9%</v>
      </c>
      <c r="Z59" s="85" t="s">
        <v>224</v>
      </c>
      <c r="AA59" s="59"/>
      <c r="AB59" s="59"/>
      <c r="AC59" s="59"/>
      <c r="AD59" s="59"/>
    </row>
    <row r="60" spans="1:30" x14ac:dyDescent="0.25">
      <c r="A60" s="54" t="s">
        <v>252</v>
      </c>
      <c r="B60" s="55"/>
      <c r="C60" s="56" t="s">
        <v>382</v>
      </c>
      <c r="D60" s="57">
        <f t="shared" si="0"/>
        <v>7</v>
      </c>
      <c r="E60" s="56"/>
      <c r="F60" s="56" t="s">
        <v>205</v>
      </c>
      <c r="G60" s="56">
        <v>2.6</v>
      </c>
      <c r="H60" s="56">
        <v>2.5</v>
      </c>
      <c r="I60" s="56"/>
      <c r="J60" s="56"/>
      <c r="K60" s="56"/>
      <c r="L60" s="56"/>
      <c r="M60" s="56"/>
      <c r="N60" s="58">
        <f t="shared" si="1"/>
        <v>5.0999999999999996</v>
      </c>
      <c r="O60" s="58">
        <f t="shared" si="2"/>
        <v>0.12063131943391338</v>
      </c>
      <c r="P60" s="39">
        <v>8</v>
      </c>
      <c r="Q60" s="39">
        <v>10</v>
      </c>
      <c r="R60" s="39">
        <v>9</v>
      </c>
      <c r="S60" s="39">
        <v>9</v>
      </c>
      <c r="T60" s="39">
        <v>9</v>
      </c>
      <c r="U60" s="39">
        <v>9</v>
      </c>
      <c r="V60" s="39">
        <v>9</v>
      </c>
      <c r="W60" s="40" t="str">
        <f t="shared" si="6"/>
        <v>N</v>
      </c>
      <c r="X60" s="84">
        <f t="shared" si="7"/>
        <v>0</v>
      </c>
      <c r="Y60" s="84" t="str">
        <f t="shared" si="5"/>
        <v>0-4.9%</v>
      </c>
      <c r="Z60" s="85" t="s">
        <v>224</v>
      </c>
      <c r="AA60" s="59"/>
      <c r="AB60" s="59"/>
      <c r="AC60" s="59"/>
      <c r="AD60" s="59"/>
    </row>
    <row r="61" spans="1:30" s="33" customFormat="1" x14ac:dyDescent="0.25">
      <c r="A61" s="54" t="s">
        <v>254</v>
      </c>
      <c r="B61" s="55"/>
      <c r="C61" s="56" t="s">
        <v>568</v>
      </c>
      <c r="D61" s="57">
        <f t="shared" si="0"/>
        <v>7</v>
      </c>
      <c r="E61" s="56"/>
      <c r="F61" s="56" t="s">
        <v>205</v>
      </c>
      <c r="G61" s="56">
        <v>2.6</v>
      </c>
      <c r="H61" s="56">
        <v>2.6</v>
      </c>
      <c r="I61" s="56"/>
      <c r="J61" s="56"/>
      <c r="K61" s="56"/>
      <c r="L61" s="56"/>
      <c r="M61" s="56"/>
      <c r="N61" s="58">
        <f t="shared" si="1"/>
        <v>5.2</v>
      </c>
      <c r="O61" s="58">
        <f t="shared" si="2"/>
        <v>0.13164650444808809</v>
      </c>
      <c r="P61" s="39">
        <v>8</v>
      </c>
      <c r="Q61" s="39">
        <v>10</v>
      </c>
      <c r="R61" s="39">
        <v>9</v>
      </c>
      <c r="S61" s="39">
        <v>9</v>
      </c>
      <c r="T61" s="39">
        <v>9</v>
      </c>
      <c r="U61" s="39">
        <v>9</v>
      </c>
      <c r="V61" s="39">
        <v>9</v>
      </c>
      <c r="W61" s="40" t="str">
        <f t="shared" si="6"/>
        <v>N</v>
      </c>
      <c r="X61" s="84">
        <f t="shared" si="7"/>
        <v>0</v>
      </c>
      <c r="Y61" s="84" t="str">
        <f t="shared" si="5"/>
        <v>0-4.9%</v>
      </c>
      <c r="Z61" s="85" t="s">
        <v>224</v>
      </c>
      <c r="AA61" s="64"/>
      <c r="AB61" s="64"/>
      <c r="AC61" s="64"/>
      <c r="AD61" s="64"/>
    </row>
    <row r="62" spans="1:30" x14ac:dyDescent="0.25">
      <c r="A62" s="54" t="s">
        <v>255</v>
      </c>
      <c r="B62" s="55"/>
      <c r="C62" s="56" t="s">
        <v>569</v>
      </c>
      <c r="D62" s="57">
        <f t="shared" si="0"/>
        <v>7</v>
      </c>
      <c r="E62" s="56"/>
      <c r="F62" s="56" t="s">
        <v>205</v>
      </c>
      <c r="G62" s="56">
        <v>2.95</v>
      </c>
      <c r="H62" s="56">
        <v>3</v>
      </c>
      <c r="I62" s="56"/>
      <c r="J62" s="56"/>
      <c r="K62" s="56"/>
      <c r="L62" s="56"/>
      <c r="M62" s="56"/>
      <c r="N62" s="58">
        <f t="shared" si="1"/>
        <v>5.95</v>
      </c>
      <c r="O62" s="58">
        <f t="shared" si="2"/>
        <v>0.24139075405871419</v>
      </c>
      <c r="P62" s="39">
        <v>8</v>
      </c>
      <c r="Q62" s="39">
        <v>10</v>
      </c>
      <c r="R62" s="39">
        <v>9</v>
      </c>
      <c r="S62" s="39">
        <v>9</v>
      </c>
      <c r="T62" s="39">
        <v>9</v>
      </c>
      <c r="U62" s="39">
        <v>9</v>
      </c>
      <c r="V62" s="39">
        <v>9</v>
      </c>
      <c r="W62" s="40" t="str">
        <f t="shared" si="6"/>
        <v>N</v>
      </c>
      <c r="X62" s="84">
        <f t="shared" si="7"/>
        <v>0</v>
      </c>
      <c r="Y62" s="84" t="str">
        <f t="shared" si="5"/>
        <v>0-4.9%</v>
      </c>
      <c r="Z62" s="85" t="s">
        <v>782</v>
      </c>
      <c r="AA62" s="59"/>
      <c r="AB62" s="59"/>
      <c r="AC62" s="59"/>
      <c r="AD62" s="59"/>
    </row>
    <row r="63" spans="1:30" x14ac:dyDescent="0.25">
      <c r="A63" s="54" t="s">
        <v>257</v>
      </c>
      <c r="B63" s="55"/>
      <c r="C63" s="56" t="s">
        <v>380</v>
      </c>
      <c r="D63" s="57">
        <f t="shared" si="0"/>
        <v>7</v>
      </c>
      <c r="E63" s="56"/>
      <c r="F63" s="56" t="s">
        <v>205</v>
      </c>
      <c r="G63" s="56">
        <v>2.9</v>
      </c>
      <c r="H63" s="56">
        <v>3</v>
      </c>
      <c r="I63" s="56"/>
      <c r="J63" s="56"/>
      <c r="K63" s="56"/>
      <c r="L63" s="56"/>
      <c r="M63" s="56"/>
      <c r="N63" s="58">
        <f t="shared" si="1"/>
        <v>5.9</v>
      </c>
      <c r="O63" s="58">
        <f t="shared" si="2"/>
        <v>0.23239583373627443</v>
      </c>
      <c r="P63" s="39">
        <v>8</v>
      </c>
      <c r="Q63" s="39">
        <v>10</v>
      </c>
      <c r="R63" s="39">
        <v>9</v>
      </c>
      <c r="S63" s="39">
        <v>9</v>
      </c>
      <c r="T63" s="39">
        <v>9</v>
      </c>
      <c r="U63" s="39">
        <v>9</v>
      </c>
      <c r="V63" s="39">
        <v>9</v>
      </c>
      <c r="W63" s="40" t="str">
        <f t="shared" si="6"/>
        <v>N</v>
      </c>
      <c r="X63" s="84">
        <f t="shared" si="7"/>
        <v>0</v>
      </c>
      <c r="Y63" s="84" t="str">
        <f t="shared" si="5"/>
        <v>0-4.9%</v>
      </c>
      <c r="Z63" s="85" t="s">
        <v>784</v>
      </c>
      <c r="AA63" s="59"/>
      <c r="AB63" s="59"/>
      <c r="AC63" s="59"/>
      <c r="AD63" s="59"/>
    </row>
    <row r="64" spans="1:30" x14ac:dyDescent="0.25">
      <c r="A64" s="54" t="s">
        <v>258</v>
      </c>
      <c r="B64" s="55"/>
      <c r="C64" s="56" t="s">
        <v>571</v>
      </c>
      <c r="D64" s="57">
        <f t="shared" si="0"/>
        <v>7</v>
      </c>
      <c r="E64" s="56"/>
      <c r="F64" s="56" t="s">
        <v>205</v>
      </c>
      <c r="G64" s="56">
        <v>2.2999999999999998</v>
      </c>
      <c r="H64" s="56">
        <v>4.1500000000000004</v>
      </c>
      <c r="I64" s="56"/>
      <c r="J64" s="56"/>
      <c r="K64" s="56"/>
      <c r="L64" s="56"/>
      <c r="M64" s="56"/>
      <c r="N64" s="58">
        <f t="shared" si="1"/>
        <v>6.45</v>
      </c>
      <c r="O64" s="58">
        <f t="shared" si="2"/>
        <v>0.34706674398352561</v>
      </c>
      <c r="P64" s="39">
        <v>8</v>
      </c>
      <c r="Q64" s="39">
        <v>10</v>
      </c>
      <c r="R64" s="39">
        <v>9</v>
      </c>
      <c r="S64" s="39">
        <v>9</v>
      </c>
      <c r="T64" s="39">
        <v>9</v>
      </c>
      <c r="U64" s="39">
        <v>9</v>
      </c>
      <c r="V64" s="39">
        <v>9</v>
      </c>
      <c r="W64" s="40" t="str">
        <f t="shared" si="6"/>
        <v>N</v>
      </c>
      <c r="X64" s="84">
        <f t="shared" si="7"/>
        <v>0</v>
      </c>
      <c r="Y64" s="84" t="str">
        <f t="shared" si="5"/>
        <v>0-4.9%</v>
      </c>
      <c r="Z64" s="85" t="s">
        <v>812</v>
      </c>
      <c r="AA64" s="59"/>
      <c r="AB64" s="59"/>
      <c r="AC64" s="59"/>
      <c r="AD64" s="59"/>
    </row>
    <row r="65" spans="1:30" x14ac:dyDescent="0.25">
      <c r="A65" s="54" t="s">
        <v>263</v>
      </c>
      <c r="B65" s="55"/>
      <c r="C65" s="56" t="s">
        <v>575</v>
      </c>
      <c r="D65" s="57">
        <f t="shared" si="0"/>
        <v>7</v>
      </c>
      <c r="E65" s="56"/>
      <c r="F65" s="56" t="s">
        <v>205</v>
      </c>
      <c r="G65" s="56">
        <v>2.75</v>
      </c>
      <c r="H65" s="56">
        <v>4.5</v>
      </c>
      <c r="I65" s="56"/>
      <c r="J65" s="56"/>
      <c r="K65" s="56"/>
      <c r="L65" s="56"/>
      <c r="M65" s="56"/>
      <c r="N65" s="58">
        <f t="shared" si="1"/>
        <v>7.25</v>
      </c>
      <c r="O65" s="58">
        <f t="shared" si="2"/>
        <v>0.58737480679284171</v>
      </c>
      <c r="P65" s="39">
        <v>8</v>
      </c>
      <c r="Q65" s="39">
        <v>10</v>
      </c>
      <c r="R65" s="39">
        <v>9</v>
      </c>
      <c r="S65" s="39">
        <v>9</v>
      </c>
      <c r="T65" s="39">
        <v>9</v>
      </c>
      <c r="U65" s="39">
        <v>9</v>
      </c>
      <c r="V65" s="39">
        <v>9</v>
      </c>
      <c r="W65" s="40" t="str">
        <f t="shared" si="6"/>
        <v>N</v>
      </c>
      <c r="X65" s="84">
        <f t="shared" si="7"/>
        <v>0</v>
      </c>
      <c r="Y65" s="84" t="str">
        <f t="shared" si="5"/>
        <v>0-4.9%</v>
      </c>
      <c r="Z65" s="85" t="s">
        <v>812</v>
      </c>
      <c r="AA65" s="59"/>
      <c r="AB65" s="59"/>
      <c r="AC65" s="59"/>
      <c r="AD65" s="59"/>
    </row>
    <row r="66" spans="1:30" ht="15.75" x14ac:dyDescent="0.25">
      <c r="A66" s="54" t="s">
        <v>266</v>
      </c>
      <c r="B66" s="55"/>
      <c r="C66" s="56" t="s">
        <v>578</v>
      </c>
      <c r="D66" s="57">
        <f t="shared" si="0"/>
        <v>7</v>
      </c>
      <c r="E66" s="56"/>
      <c r="F66" s="56" t="s">
        <v>205</v>
      </c>
      <c r="G66" s="56">
        <v>3.8</v>
      </c>
      <c r="H66" s="56">
        <v>5.35</v>
      </c>
      <c r="I66" s="56"/>
      <c r="J66" s="56"/>
      <c r="K66" s="56"/>
      <c r="L66" s="56"/>
      <c r="M66" s="56"/>
      <c r="N66" s="58">
        <f t="shared" si="1"/>
        <v>9.1499999999999986</v>
      </c>
      <c r="O66" s="58">
        <f t="shared" si="2"/>
        <v>1.6741301155917583</v>
      </c>
      <c r="P66" s="39">
        <v>8</v>
      </c>
      <c r="Q66" s="39">
        <v>10</v>
      </c>
      <c r="R66" s="39">
        <v>9</v>
      </c>
      <c r="S66" s="39">
        <v>9</v>
      </c>
      <c r="T66" s="39">
        <v>9</v>
      </c>
      <c r="U66" s="39">
        <v>9</v>
      </c>
      <c r="V66" s="39">
        <v>9</v>
      </c>
      <c r="W66" s="40" t="str">
        <f t="shared" si="6"/>
        <v>N</v>
      </c>
      <c r="X66" s="84">
        <f t="shared" si="7"/>
        <v>0</v>
      </c>
      <c r="Y66" s="84" t="str">
        <f t="shared" si="5"/>
        <v>0-4.9%</v>
      </c>
      <c r="Z66" s="107" t="s">
        <v>789</v>
      </c>
      <c r="AA66" s="59"/>
      <c r="AB66" s="59"/>
      <c r="AC66" s="59"/>
      <c r="AD66" s="59"/>
    </row>
    <row r="67" spans="1:30" x14ac:dyDescent="0.25">
      <c r="A67" s="54" t="s">
        <v>267</v>
      </c>
      <c r="B67" s="55"/>
      <c r="C67" s="56" t="s">
        <v>579</v>
      </c>
      <c r="D67" s="57">
        <f t="shared" si="0"/>
        <v>7</v>
      </c>
      <c r="E67" s="56"/>
      <c r="F67" s="56" t="s">
        <v>205</v>
      </c>
      <c r="G67" s="56">
        <v>2.8</v>
      </c>
      <c r="H67" s="56">
        <v>3</v>
      </c>
      <c r="I67" s="56"/>
      <c r="J67" s="56"/>
      <c r="K67" s="56"/>
      <c r="L67" s="56"/>
      <c r="M67" s="56"/>
      <c r="N67" s="58">
        <f t="shared" si="1"/>
        <v>5.8</v>
      </c>
      <c r="O67" s="58">
        <f t="shared" si="2"/>
        <v>0.21518909378717271</v>
      </c>
      <c r="P67" s="39">
        <v>8</v>
      </c>
      <c r="Q67" s="39">
        <v>10</v>
      </c>
      <c r="R67" s="39">
        <v>9</v>
      </c>
      <c r="S67" s="39">
        <v>9</v>
      </c>
      <c r="T67" s="39">
        <v>9</v>
      </c>
      <c r="U67" s="39">
        <v>9</v>
      </c>
      <c r="V67" s="39">
        <v>9</v>
      </c>
      <c r="W67" s="40" t="str">
        <f t="shared" si="6"/>
        <v>N</v>
      </c>
      <c r="X67" s="84">
        <f t="shared" si="7"/>
        <v>0</v>
      </c>
      <c r="Y67" s="84" t="str">
        <f t="shared" si="5"/>
        <v>0-4.9%</v>
      </c>
      <c r="Z67" s="85" t="s">
        <v>224</v>
      </c>
      <c r="AA67" s="59"/>
      <c r="AB67" s="59"/>
      <c r="AC67" s="59"/>
      <c r="AD67" s="59"/>
    </row>
    <row r="68" spans="1:30" ht="15.75" x14ac:dyDescent="0.25">
      <c r="A68" s="54" t="s">
        <v>269</v>
      </c>
      <c r="B68" s="55"/>
      <c r="C68" s="56" t="s">
        <v>581</v>
      </c>
      <c r="D68" s="57">
        <f t="shared" si="0"/>
        <v>7</v>
      </c>
      <c r="E68" s="56"/>
      <c r="F68" s="56" t="s">
        <v>205</v>
      </c>
      <c r="G68" s="56">
        <v>2.25</v>
      </c>
      <c r="H68" s="56">
        <v>4</v>
      </c>
      <c r="I68" s="56"/>
      <c r="J68" s="56"/>
      <c r="K68" s="56"/>
      <c r="L68" s="56"/>
      <c r="M68" s="56"/>
      <c r="N68" s="58">
        <f t="shared" si="1"/>
        <v>6.25</v>
      </c>
      <c r="O68" s="58">
        <f t="shared" si="2"/>
        <v>0.30119958119124624</v>
      </c>
      <c r="P68" s="39">
        <v>8</v>
      </c>
      <c r="Q68" s="39">
        <v>10</v>
      </c>
      <c r="R68" s="39">
        <v>9</v>
      </c>
      <c r="S68" s="39">
        <v>9</v>
      </c>
      <c r="T68" s="39">
        <v>9</v>
      </c>
      <c r="U68" s="39">
        <v>9</v>
      </c>
      <c r="V68" s="39">
        <v>9</v>
      </c>
      <c r="W68" s="40" t="str">
        <f t="shared" si="6"/>
        <v>N</v>
      </c>
      <c r="X68" s="84">
        <f t="shared" si="7"/>
        <v>0</v>
      </c>
      <c r="Y68" s="84" t="str">
        <f t="shared" si="5"/>
        <v>0-4.9%</v>
      </c>
      <c r="Z68" s="107" t="s">
        <v>789</v>
      </c>
      <c r="AA68" s="59"/>
      <c r="AB68" s="59"/>
      <c r="AC68" s="59"/>
      <c r="AD68" s="59"/>
    </row>
    <row r="69" spans="1:30" x14ac:dyDescent="0.25">
      <c r="A69" s="54" t="s">
        <v>270</v>
      </c>
      <c r="B69" s="55"/>
      <c r="C69" s="56" t="s">
        <v>582</v>
      </c>
      <c r="D69" s="57">
        <f t="shared" si="0"/>
        <v>7</v>
      </c>
      <c r="E69" s="56"/>
      <c r="F69" s="56" t="s">
        <v>205</v>
      </c>
      <c r="G69" s="56">
        <v>2.95</v>
      </c>
      <c r="H69" s="56">
        <v>3.8</v>
      </c>
      <c r="I69" s="56"/>
      <c r="J69" s="56"/>
      <c r="K69" s="56"/>
      <c r="L69" s="56"/>
      <c r="M69" s="56"/>
      <c r="N69" s="58">
        <f t="shared" si="1"/>
        <v>6.75</v>
      </c>
      <c r="O69" s="58">
        <f t="shared" si="2"/>
        <v>0.4258545221178992</v>
      </c>
      <c r="P69" s="39">
        <v>8</v>
      </c>
      <c r="Q69" s="39">
        <v>10</v>
      </c>
      <c r="R69" s="39">
        <v>9</v>
      </c>
      <c r="S69" s="39">
        <v>9</v>
      </c>
      <c r="T69" s="39">
        <v>9</v>
      </c>
      <c r="U69" s="39">
        <v>9</v>
      </c>
      <c r="V69" s="39">
        <v>9</v>
      </c>
      <c r="W69" s="40" t="str">
        <f t="shared" si="6"/>
        <v>N</v>
      </c>
      <c r="X69" s="84">
        <f t="shared" si="7"/>
        <v>0</v>
      </c>
      <c r="Y69" s="84" t="str">
        <f t="shared" si="5"/>
        <v>0-4.9%</v>
      </c>
      <c r="Z69" s="85" t="s">
        <v>794</v>
      </c>
      <c r="AA69" s="59"/>
      <c r="AB69" s="59"/>
      <c r="AC69" s="59"/>
      <c r="AD69" s="59"/>
    </row>
    <row r="70" spans="1:30" x14ac:dyDescent="0.25">
      <c r="A70" s="54" t="s">
        <v>271</v>
      </c>
      <c r="B70" s="55"/>
      <c r="C70" s="56" t="s">
        <v>583</v>
      </c>
      <c r="D70" s="57">
        <f t="shared" si="0"/>
        <v>7</v>
      </c>
      <c r="E70" s="56"/>
      <c r="F70" s="56" t="s">
        <v>205</v>
      </c>
      <c r="G70" s="56">
        <v>2.4500000000000002</v>
      </c>
      <c r="H70" s="56">
        <v>2.85</v>
      </c>
      <c r="I70" s="56"/>
      <c r="J70" s="56"/>
      <c r="K70" s="56"/>
      <c r="L70" s="56"/>
      <c r="M70" s="56"/>
      <c r="N70" s="58">
        <f t="shared" si="1"/>
        <v>5.3000000000000007</v>
      </c>
      <c r="O70" s="58">
        <f t="shared" si="2"/>
        <v>0.14342858002066719</v>
      </c>
      <c r="P70" s="39">
        <v>8</v>
      </c>
      <c r="Q70" s="39">
        <v>10</v>
      </c>
      <c r="R70" s="39">
        <v>9</v>
      </c>
      <c r="S70" s="39">
        <v>9</v>
      </c>
      <c r="T70" s="39">
        <v>9</v>
      </c>
      <c r="U70" s="39">
        <v>9</v>
      </c>
      <c r="V70" s="39">
        <v>9</v>
      </c>
      <c r="W70" s="40" t="str">
        <f t="shared" si="6"/>
        <v>N</v>
      </c>
      <c r="X70" s="84">
        <f t="shared" si="7"/>
        <v>0</v>
      </c>
      <c r="Y70" s="84" t="str">
        <f t="shared" si="5"/>
        <v>0-4.9%</v>
      </c>
      <c r="Z70" s="85" t="s">
        <v>224</v>
      </c>
      <c r="AA70" s="59"/>
      <c r="AB70" s="59"/>
      <c r="AC70" s="59"/>
      <c r="AD70" s="59"/>
    </row>
    <row r="71" spans="1:30" x14ac:dyDescent="0.25">
      <c r="A71" s="54" t="s">
        <v>274</v>
      </c>
      <c r="B71" s="55"/>
      <c r="C71" s="56" t="s">
        <v>369</v>
      </c>
      <c r="D71" s="57">
        <f t="shared" si="0"/>
        <v>7</v>
      </c>
      <c r="E71" s="56"/>
      <c r="F71" s="56" t="s">
        <v>205</v>
      </c>
      <c r="G71" s="56">
        <v>4.9000000000000004</v>
      </c>
      <c r="H71" s="56">
        <v>8.6999999999999993</v>
      </c>
      <c r="I71" s="56"/>
      <c r="J71" s="56"/>
      <c r="K71" s="56"/>
      <c r="L71" s="56"/>
      <c r="M71" s="56"/>
      <c r="N71" s="58">
        <f t="shared" si="1"/>
        <v>13.6</v>
      </c>
      <c r="O71" s="58">
        <f t="shared" si="2"/>
        <v>9.9613769192577557</v>
      </c>
      <c r="P71" s="39">
        <v>8</v>
      </c>
      <c r="Q71" s="39">
        <v>10</v>
      </c>
      <c r="R71" s="39">
        <v>9</v>
      </c>
      <c r="S71" s="39">
        <v>9</v>
      </c>
      <c r="T71" s="39">
        <v>9</v>
      </c>
      <c r="U71" s="39">
        <v>9</v>
      </c>
      <c r="V71" s="39">
        <v>9</v>
      </c>
      <c r="W71" s="40" t="str">
        <f t="shared" si="6"/>
        <v>N</v>
      </c>
      <c r="X71" s="84">
        <f t="shared" si="7"/>
        <v>0</v>
      </c>
      <c r="Y71" s="84" t="str">
        <f t="shared" si="5"/>
        <v>0-4.9%</v>
      </c>
      <c r="Z71" s="85" t="s">
        <v>812</v>
      </c>
      <c r="AA71" s="59"/>
      <c r="AB71" s="59"/>
      <c r="AC71" s="59"/>
      <c r="AD71" s="59"/>
    </row>
    <row r="72" spans="1:30" x14ac:dyDescent="0.25">
      <c r="A72" s="54" t="s">
        <v>275</v>
      </c>
      <c r="B72" s="55"/>
      <c r="C72" s="56" t="s">
        <v>586</v>
      </c>
      <c r="D72" s="57">
        <f t="shared" ref="D72:D135" si="8">IF(COUNT(G72:M72)&gt;3,10,IF(COUNT(G72:M72)&gt;2,9,7))</f>
        <v>7</v>
      </c>
      <c r="E72" s="56"/>
      <c r="F72" s="56" t="s">
        <v>205</v>
      </c>
      <c r="G72" s="56">
        <v>3.6</v>
      </c>
      <c r="H72" s="56">
        <v>3.95</v>
      </c>
      <c r="I72" s="56"/>
      <c r="J72" s="56"/>
      <c r="K72" s="56"/>
      <c r="L72" s="56"/>
      <c r="M72" s="56"/>
      <c r="N72" s="58">
        <f t="shared" ref="N72:N135" si="9">SUM(G72:M72)</f>
        <v>7.5500000000000007</v>
      </c>
      <c r="O72" s="58">
        <f t="shared" ref="O72:O135" si="10">(N72/8.16)^4.5</f>
        <v>0.7049455411721457</v>
      </c>
      <c r="P72" s="39">
        <v>8</v>
      </c>
      <c r="Q72" s="39">
        <v>10</v>
      </c>
      <c r="R72" s="39">
        <v>9</v>
      </c>
      <c r="S72" s="39">
        <v>9</v>
      </c>
      <c r="T72" s="39">
        <v>9</v>
      </c>
      <c r="U72" s="39">
        <v>9</v>
      </c>
      <c r="V72" s="39">
        <v>9</v>
      </c>
      <c r="W72" s="40" t="str">
        <f t="shared" si="6"/>
        <v>N</v>
      </c>
      <c r="X72" s="84">
        <f t="shared" si="7"/>
        <v>0</v>
      </c>
      <c r="Y72" s="84" t="str">
        <f t="shared" ref="Y72:Y135" si="11">IF(X72&lt;5%,"0-4.9%",IF(X72&lt;25%,"5-25%",IF(X72&lt;50%,"25-50%","Over 50%")))</f>
        <v>0-4.9%</v>
      </c>
      <c r="Z72" s="85" t="s">
        <v>224</v>
      </c>
      <c r="AA72" s="59"/>
      <c r="AB72" s="59"/>
      <c r="AC72" s="59"/>
      <c r="AD72" s="59"/>
    </row>
    <row r="73" spans="1:30" x14ac:dyDescent="0.25">
      <c r="A73" s="54" t="s">
        <v>277</v>
      </c>
      <c r="B73" s="55"/>
      <c r="C73" s="56" t="s">
        <v>414</v>
      </c>
      <c r="D73" s="57">
        <f t="shared" si="8"/>
        <v>7</v>
      </c>
      <c r="E73" s="56"/>
      <c r="F73" s="56" t="s">
        <v>205</v>
      </c>
      <c r="G73" s="56">
        <v>2.65</v>
      </c>
      <c r="H73" s="56">
        <v>5.55</v>
      </c>
      <c r="I73" s="56"/>
      <c r="J73" s="56"/>
      <c r="K73" s="56"/>
      <c r="L73" s="56"/>
      <c r="M73" s="56"/>
      <c r="N73" s="58">
        <f t="shared" si="9"/>
        <v>8.1999999999999993</v>
      </c>
      <c r="O73" s="58">
        <f t="shared" si="10"/>
        <v>1.0222488280536579</v>
      </c>
      <c r="P73" s="39">
        <v>8</v>
      </c>
      <c r="Q73" s="39">
        <v>10</v>
      </c>
      <c r="R73" s="39">
        <v>9</v>
      </c>
      <c r="S73" s="39">
        <v>9</v>
      </c>
      <c r="T73" s="39">
        <v>9</v>
      </c>
      <c r="U73" s="39">
        <v>9</v>
      </c>
      <c r="V73" s="39">
        <v>9</v>
      </c>
      <c r="W73" s="40" t="str">
        <f t="shared" ref="W73:W136" si="12">IF(G73&gt;P73,"Y",IF(H73&gt;Q73,"Y",IF(I73&gt;R73,"Y",IF(J73&gt;S73,"Y",IF(K73&gt;T73,"Y",IF(L73&gt;U73,"Y",IF(M73&gt;V73,"Y","N")))))))</f>
        <v>N</v>
      </c>
      <c r="X73" s="84">
        <f t="shared" ref="X73:X136" si="13">IF(W73="Y",MAX((G73-P73),(H73-Q73),(I73-R73),(J73-S73),(K73-T73),(L73-U73),(M73-V73))/10,0)</f>
        <v>0</v>
      </c>
      <c r="Y73" s="84" t="str">
        <f t="shared" si="11"/>
        <v>0-4.9%</v>
      </c>
      <c r="Z73" s="85" t="s">
        <v>812</v>
      </c>
      <c r="AA73" s="59"/>
      <c r="AB73" s="59"/>
      <c r="AC73" s="59"/>
      <c r="AD73" s="59"/>
    </row>
    <row r="74" spans="1:30" x14ac:dyDescent="0.25">
      <c r="A74" s="54" t="s">
        <v>278</v>
      </c>
      <c r="B74" s="55"/>
      <c r="C74" s="56" t="s">
        <v>588</v>
      </c>
      <c r="D74" s="57">
        <f t="shared" si="8"/>
        <v>7</v>
      </c>
      <c r="E74" s="56"/>
      <c r="F74" s="56" t="s">
        <v>205</v>
      </c>
      <c r="G74" s="56">
        <v>2.35</v>
      </c>
      <c r="H74" s="56">
        <v>2.15</v>
      </c>
      <c r="I74" s="56"/>
      <c r="J74" s="56"/>
      <c r="K74" s="56"/>
      <c r="L74" s="56"/>
      <c r="M74" s="56"/>
      <c r="N74" s="58">
        <f t="shared" si="9"/>
        <v>4.5</v>
      </c>
      <c r="O74" s="58">
        <f t="shared" si="10"/>
        <v>6.8683212105061855E-2</v>
      </c>
      <c r="P74" s="39">
        <v>8</v>
      </c>
      <c r="Q74" s="39">
        <v>10</v>
      </c>
      <c r="R74" s="39">
        <v>9</v>
      </c>
      <c r="S74" s="39">
        <v>9</v>
      </c>
      <c r="T74" s="39">
        <v>9</v>
      </c>
      <c r="U74" s="39">
        <v>9</v>
      </c>
      <c r="V74" s="39">
        <v>9</v>
      </c>
      <c r="W74" s="40" t="str">
        <f t="shared" si="12"/>
        <v>N</v>
      </c>
      <c r="X74" s="84">
        <f t="shared" si="13"/>
        <v>0</v>
      </c>
      <c r="Y74" s="84" t="str">
        <f t="shared" si="11"/>
        <v>0-4.9%</v>
      </c>
      <c r="Z74" s="85" t="s">
        <v>224</v>
      </c>
      <c r="AA74" s="59"/>
      <c r="AB74" s="59"/>
      <c r="AC74" s="59"/>
      <c r="AD74" s="59"/>
    </row>
    <row r="75" spans="1:30" x14ac:dyDescent="0.25">
      <c r="A75" s="54" t="s">
        <v>279</v>
      </c>
      <c r="B75" s="55"/>
      <c r="C75" s="56" t="s">
        <v>589</v>
      </c>
      <c r="D75" s="57">
        <f t="shared" si="8"/>
        <v>7</v>
      </c>
      <c r="E75" s="56"/>
      <c r="F75" s="56" t="s">
        <v>205</v>
      </c>
      <c r="G75" s="56">
        <v>3.05</v>
      </c>
      <c r="H75" s="56">
        <v>4.75</v>
      </c>
      <c r="I75" s="56"/>
      <c r="J75" s="56"/>
      <c r="K75" s="56"/>
      <c r="L75" s="56"/>
      <c r="M75" s="56"/>
      <c r="N75" s="58">
        <f t="shared" si="9"/>
        <v>7.8</v>
      </c>
      <c r="O75" s="58">
        <f t="shared" si="10"/>
        <v>0.81624399211959386</v>
      </c>
      <c r="P75" s="39">
        <v>8</v>
      </c>
      <c r="Q75" s="39">
        <v>10</v>
      </c>
      <c r="R75" s="39">
        <v>9</v>
      </c>
      <c r="S75" s="39">
        <v>9</v>
      </c>
      <c r="T75" s="39">
        <v>9</v>
      </c>
      <c r="U75" s="39">
        <v>9</v>
      </c>
      <c r="V75" s="39">
        <v>9</v>
      </c>
      <c r="W75" s="40" t="str">
        <f t="shared" si="12"/>
        <v>N</v>
      </c>
      <c r="X75" s="84">
        <f t="shared" si="13"/>
        <v>0</v>
      </c>
      <c r="Y75" s="84" t="str">
        <f t="shared" si="11"/>
        <v>0-4.9%</v>
      </c>
      <c r="Z75" s="85" t="s">
        <v>782</v>
      </c>
      <c r="AA75" s="59"/>
      <c r="AB75" s="59"/>
      <c r="AC75" s="59"/>
      <c r="AD75" s="59"/>
    </row>
    <row r="76" spans="1:30" x14ac:dyDescent="0.25">
      <c r="A76" s="54" t="s">
        <v>280</v>
      </c>
      <c r="B76" s="55"/>
      <c r="C76" s="56" t="s">
        <v>590</v>
      </c>
      <c r="D76" s="57">
        <f t="shared" si="8"/>
        <v>7</v>
      </c>
      <c r="E76" s="56"/>
      <c r="F76" s="56" t="s">
        <v>205</v>
      </c>
      <c r="G76" s="56">
        <v>3.15</v>
      </c>
      <c r="H76" s="56">
        <v>4.05</v>
      </c>
      <c r="I76" s="56"/>
      <c r="J76" s="56"/>
      <c r="K76" s="56"/>
      <c r="L76" s="56"/>
      <c r="M76" s="56"/>
      <c r="N76" s="58">
        <f t="shared" si="9"/>
        <v>7.1999999999999993</v>
      </c>
      <c r="O76" s="58">
        <f t="shared" si="10"/>
        <v>0.56936467600098795</v>
      </c>
      <c r="P76" s="39">
        <v>8</v>
      </c>
      <c r="Q76" s="39">
        <v>10</v>
      </c>
      <c r="R76" s="39">
        <v>9</v>
      </c>
      <c r="S76" s="39">
        <v>9</v>
      </c>
      <c r="T76" s="39">
        <v>9</v>
      </c>
      <c r="U76" s="39">
        <v>9</v>
      </c>
      <c r="V76" s="39">
        <v>9</v>
      </c>
      <c r="W76" s="40" t="str">
        <f t="shared" si="12"/>
        <v>N</v>
      </c>
      <c r="X76" s="84">
        <f t="shared" si="13"/>
        <v>0</v>
      </c>
      <c r="Y76" s="84" t="str">
        <f t="shared" si="11"/>
        <v>0-4.9%</v>
      </c>
      <c r="Z76" s="85" t="s">
        <v>224</v>
      </c>
      <c r="AA76" s="59"/>
      <c r="AB76" s="59"/>
      <c r="AC76" s="59"/>
      <c r="AD76" s="59"/>
    </row>
    <row r="77" spans="1:30" x14ac:dyDescent="0.25">
      <c r="A77" s="54" t="s">
        <v>281</v>
      </c>
      <c r="B77" s="55"/>
      <c r="C77" s="56" t="s">
        <v>591</v>
      </c>
      <c r="D77" s="57">
        <f t="shared" si="8"/>
        <v>7</v>
      </c>
      <c r="E77" s="56"/>
      <c r="F77" s="56" t="s">
        <v>205</v>
      </c>
      <c r="G77" s="56">
        <v>3.1</v>
      </c>
      <c r="H77" s="56">
        <v>3.6</v>
      </c>
      <c r="I77" s="56"/>
      <c r="J77" s="56"/>
      <c r="K77" s="56"/>
      <c r="L77" s="56"/>
      <c r="M77" s="56"/>
      <c r="N77" s="58">
        <f t="shared" si="9"/>
        <v>6.7</v>
      </c>
      <c r="O77" s="58">
        <f t="shared" si="10"/>
        <v>0.41184224987507045</v>
      </c>
      <c r="P77" s="39">
        <v>8</v>
      </c>
      <c r="Q77" s="39">
        <v>10</v>
      </c>
      <c r="R77" s="39">
        <v>9</v>
      </c>
      <c r="S77" s="39">
        <v>9</v>
      </c>
      <c r="T77" s="39">
        <v>9</v>
      </c>
      <c r="U77" s="39">
        <v>9</v>
      </c>
      <c r="V77" s="39">
        <v>9</v>
      </c>
      <c r="W77" s="40" t="str">
        <f t="shared" si="12"/>
        <v>N</v>
      </c>
      <c r="X77" s="84">
        <f t="shared" si="13"/>
        <v>0</v>
      </c>
      <c r="Y77" s="84" t="str">
        <f t="shared" si="11"/>
        <v>0-4.9%</v>
      </c>
      <c r="Z77" s="85" t="s">
        <v>224</v>
      </c>
      <c r="AA77" s="59"/>
      <c r="AB77" s="59"/>
      <c r="AC77" s="59"/>
      <c r="AD77" s="59"/>
    </row>
    <row r="78" spans="1:30" x14ac:dyDescent="0.25">
      <c r="A78" s="54" t="s">
        <v>285</v>
      </c>
      <c r="B78" s="55"/>
      <c r="C78" s="56" t="s">
        <v>594</v>
      </c>
      <c r="D78" s="57">
        <f t="shared" si="8"/>
        <v>7</v>
      </c>
      <c r="E78" s="56"/>
      <c r="F78" s="56" t="s">
        <v>205</v>
      </c>
      <c r="G78" s="56">
        <v>2.1</v>
      </c>
      <c r="H78" s="56">
        <v>1.6</v>
      </c>
      <c r="I78" s="56"/>
      <c r="J78" s="56"/>
      <c r="K78" s="56"/>
      <c r="L78" s="56"/>
      <c r="M78" s="56"/>
      <c r="N78" s="58">
        <f t="shared" si="9"/>
        <v>3.7</v>
      </c>
      <c r="O78" s="58">
        <f t="shared" si="10"/>
        <v>2.8464400664713729E-2</v>
      </c>
      <c r="P78" s="39">
        <v>8</v>
      </c>
      <c r="Q78" s="39">
        <v>10</v>
      </c>
      <c r="R78" s="39">
        <v>9</v>
      </c>
      <c r="S78" s="39">
        <v>9</v>
      </c>
      <c r="T78" s="39">
        <v>9</v>
      </c>
      <c r="U78" s="39">
        <v>9</v>
      </c>
      <c r="V78" s="39">
        <v>9</v>
      </c>
      <c r="W78" s="40" t="str">
        <f t="shared" si="12"/>
        <v>N</v>
      </c>
      <c r="X78" s="84">
        <f t="shared" si="13"/>
        <v>0</v>
      </c>
      <c r="Y78" s="84" t="str">
        <f t="shared" si="11"/>
        <v>0-4.9%</v>
      </c>
      <c r="Z78" s="85" t="s">
        <v>224</v>
      </c>
      <c r="AA78" s="59"/>
      <c r="AB78" s="59"/>
      <c r="AC78" s="59"/>
      <c r="AD78" s="59"/>
    </row>
    <row r="79" spans="1:30" x14ac:dyDescent="0.25">
      <c r="A79" s="54" t="s">
        <v>286</v>
      </c>
      <c r="B79" s="55"/>
      <c r="C79" s="56" t="s">
        <v>595</v>
      </c>
      <c r="D79" s="57">
        <f t="shared" si="8"/>
        <v>7</v>
      </c>
      <c r="E79" s="56"/>
      <c r="F79" s="56" t="s">
        <v>205</v>
      </c>
      <c r="G79" s="56">
        <v>3.15</v>
      </c>
      <c r="H79" s="56">
        <v>4.3</v>
      </c>
      <c r="I79" s="56"/>
      <c r="J79" s="56"/>
      <c r="K79" s="56"/>
      <c r="L79" s="56"/>
      <c r="M79" s="56"/>
      <c r="N79" s="58">
        <f t="shared" si="9"/>
        <v>7.4499999999999993</v>
      </c>
      <c r="O79" s="58">
        <f t="shared" si="10"/>
        <v>0.66389211864195385</v>
      </c>
      <c r="P79" s="39">
        <v>8</v>
      </c>
      <c r="Q79" s="39">
        <v>10</v>
      </c>
      <c r="R79" s="39">
        <v>9</v>
      </c>
      <c r="S79" s="39">
        <v>9</v>
      </c>
      <c r="T79" s="39">
        <v>9</v>
      </c>
      <c r="U79" s="39">
        <v>9</v>
      </c>
      <c r="V79" s="39">
        <v>9</v>
      </c>
      <c r="W79" s="40" t="str">
        <f t="shared" si="12"/>
        <v>N</v>
      </c>
      <c r="X79" s="84">
        <f t="shared" si="13"/>
        <v>0</v>
      </c>
      <c r="Y79" s="84" t="str">
        <f t="shared" si="11"/>
        <v>0-4.9%</v>
      </c>
      <c r="Z79" s="85" t="s">
        <v>786</v>
      </c>
      <c r="AA79" s="59"/>
      <c r="AB79" s="59"/>
      <c r="AC79" s="59"/>
      <c r="AD79" s="59"/>
    </row>
    <row r="80" spans="1:30" x14ac:dyDescent="0.25">
      <c r="A80" s="54" t="s">
        <v>289</v>
      </c>
      <c r="B80" s="55"/>
      <c r="C80" s="56" t="s">
        <v>597</v>
      </c>
      <c r="D80" s="57">
        <f t="shared" si="8"/>
        <v>7</v>
      </c>
      <c r="E80" s="56"/>
      <c r="F80" s="56" t="s">
        <v>205</v>
      </c>
      <c r="G80" s="56">
        <v>4.25</v>
      </c>
      <c r="H80" s="56">
        <v>11.15</v>
      </c>
      <c r="I80" s="56"/>
      <c r="J80" s="56"/>
      <c r="K80" s="56"/>
      <c r="L80" s="56"/>
      <c r="M80" s="56"/>
      <c r="N80" s="58">
        <f t="shared" si="9"/>
        <v>15.4</v>
      </c>
      <c r="O80" s="58">
        <f t="shared" si="10"/>
        <v>17.427597831595985</v>
      </c>
      <c r="P80" s="39">
        <v>8</v>
      </c>
      <c r="Q80" s="39">
        <v>10</v>
      </c>
      <c r="R80" s="39">
        <v>9</v>
      </c>
      <c r="S80" s="39">
        <v>9</v>
      </c>
      <c r="T80" s="39">
        <v>9</v>
      </c>
      <c r="U80" s="39">
        <v>9</v>
      </c>
      <c r="V80" s="39">
        <v>9</v>
      </c>
      <c r="W80" s="40" t="str">
        <f t="shared" si="12"/>
        <v>Y</v>
      </c>
      <c r="X80" s="84">
        <f t="shared" si="13"/>
        <v>0.11500000000000003</v>
      </c>
      <c r="Y80" s="84" t="str">
        <f t="shared" si="11"/>
        <v>5-25%</v>
      </c>
      <c r="Z80" s="85" t="s">
        <v>812</v>
      </c>
      <c r="AA80" s="59"/>
      <c r="AB80" s="59"/>
      <c r="AC80" s="59"/>
      <c r="AD80" s="59"/>
    </row>
    <row r="81" spans="1:30" x14ac:dyDescent="0.25">
      <c r="A81" s="54" t="s">
        <v>292</v>
      </c>
      <c r="B81" s="55"/>
      <c r="C81" s="56" t="s">
        <v>600</v>
      </c>
      <c r="D81" s="57">
        <f t="shared" si="8"/>
        <v>7</v>
      </c>
      <c r="E81" s="56"/>
      <c r="F81" s="56" t="s">
        <v>205</v>
      </c>
      <c r="G81" s="56">
        <v>5.25</v>
      </c>
      <c r="H81" s="56">
        <v>10.35</v>
      </c>
      <c r="I81" s="56"/>
      <c r="J81" s="56"/>
      <c r="K81" s="56"/>
      <c r="L81" s="56"/>
      <c r="M81" s="56"/>
      <c r="N81" s="58">
        <f t="shared" si="9"/>
        <v>15.6</v>
      </c>
      <c r="O81" s="58">
        <f t="shared" si="10"/>
        <v>18.469493181777395</v>
      </c>
      <c r="P81" s="39">
        <v>8</v>
      </c>
      <c r="Q81" s="39">
        <v>10</v>
      </c>
      <c r="R81" s="39">
        <v>9</v>
      </c>
      <c r="S81" s="39">
        <v>9</v>
      </c>
      <c r="T81" s="39">
        <v>9</v>
      </c>
      <c r="U81" s="39">
        <v>9</v>
      </c>
      <c r="V81" s="39">
        <v>9</v>
      </c>
      <c r="W81" s="40" t="str">
        <f t="shared" si="12"/>
        <v>Y</v>
      </c>
      <c r="X81" s="84">
        <f t="shared" si="13"/>
        <v>3.4999999999999962E-2</v>
      </c>
      <c r="Y81" s="84" t="str">
        <f t="shared" si="11"/>
        <v>0-4.9%</v>
      </c>
      <c r="Z81" s="85" t="s">
        <v>782</v>
      </c>
      <c r="AA81" s="59"/>
      <c r="AB81" s="59"/>
      <c r="AC81" s="59"/>
      <c r="AD81" s="59"/>
    </row>
    <row r="82" spans="1:30" x14ac:dyDescent="0.25">
      <c r="A82" s="54" t="s">
        <v>293</v>
      </c>
      <c r="B82" s="55"/>
      <c r="C82" s="56" t="s">
        <v>476</v>
      </c>
      <c r="D82" s="57">
        <f t="shared" si="8"/>
        <v>7</v>
      </c>
      <c r="E82" s="56"/>
      <c r="F82" s="56" t="s">
        <v>205</v>
      </c>
      <c r="G82" s="56">
        <v>3.3</v>
      </c>
      <c r="H82" s="56">
        <v>6.05</v>
      </c>
      <c r="I82" s="56"/>
      <c r="J82" s="56"/>
      <c r="K82" s="56"/>
      <c r="L82" s="56"/>
      <c r="M82" s="56"/>
      <c r="N82" s="58">
        <f t="shared" si="9"/>
        <v>9.35</v>
      </c>
      <c r="O82" s="58">
        <f t="shared" si="10"/>
        <v>1.8452131226645192</v>
      </c>
      <c r="P82" s="39">
        <v>8</v>
      </c>
      <c r="Q82" s="39">
        <v>10</v>
      </c>
      <c r="R82" s="39">
        <v>9</v>
      </c>
      <c r="S82" s="39">
        <v>9</v>
      </c>
      <c r="T82" s="39">
        <v>9</v>
      </c>
      <c r="U82" s="39">
        <v>9</v>
      </c>
      <c r="V82" s="39">
        <v>9</v>
      </c>
      <c r="W82" s="40" t="str">
        <f t="shared" si="12"/>
        <v>N</v>
      </c>
      <c r="X82" s="84">
        <f t="shared" si="13"/>
        <v>0</v>
      </c>
      <c r="Y82" s="84" t="str">
        <f t="shared" si="11"/>
        <v>0-4.9%</v>
      </c>
      <c r="Z82" s="85" t="s">
        <v>782</v>
      </c>
      <c r="AA82" s="59"/>
      <c r="AB82" s="59"/>
      <c r="AC82" s="59"/>
      <c r="AD82" s="59"/>
    </row>
    <row r="83" spans="1:30" x14ac:dyDescent="0.25">
      <c r="A83" s="54" t="s">
        <v>294</v>
      </c>
      <c r="B83" s="55"/>
      <c r="C83" s="56" t="s">
        <v>601</v>
      </c>
      <c r="D83" s="57">
        <f t="shared" si="8"/>
        <v>7</v>
      </c>
      <c r="E83" s="56"/>
      <c r="F83" s="56" t="s">
        <v>205</v>
      </c>
      <c r="G83" s="56">
        <v>2.8</v>
      </c>
      <c r="H83" s="56">
        <v>3.05</v>
      </c>
      <c r="I83" s="56"/>
      <c r="J83" s="56"/>
      <c r="K83" s="56"/>
      <c r="L83" s="56"/>
      <c r="M83" s="56"/>
      <c r="N83" s="58">
        <f t="shared" si="9"/>
        <v>5.85</v>
      </c>
      <c r="O83" s="58">
        <f t="shared" si="10"/>
        <v>0.22366379164774003</v>
      </c>
      <c r="P83" s="39">
        <v>8</v>
      </c>
      <c r="Q83" s="39">
        <v>10</v>
      </c>
      <c r="R83" s="39">
        <v>9</v>
      </c>
      <c r="S83" s="39">
        <v>9</v>
      </c>
      <c r="T83" s="39">
        <v>9</v>
      </c>
      <c r="U83" s="39">
        <v>9</v>
      </c>
      <c r="V83" s="39">
        <v>9</v>
      </c>
      <c r="W83" s="40" t="str">
        <f t="shared" si="12"/>
        <v>N</v>
      </c>
      <c r="X83" s="84">
        <f t="shared" si="13"/>
        <v>0</v>
      </c>
      <c r="Y83" s="84" t="str">
        <f t="shared" si="11"/>
        <v>0-4.9%</v>
      </c>
      <c r="Z83" s="85" t="s">
        <v>224</v>
      </c>
      <c r="AA83" s="59"/>
      <c r="AB83" s="59"/>
      <c r="AC83" s="59"/>
      <c r="AD83" s="59"/>
    </row>
    <row r="84" spans="1:30" x14ac:dyDescent="0.25">
      <c r="A84" s="54" t="s">
        <v>375</v>
      </c>
      <c r="B84" s="55"/>
      <c r="C84" s="56" t="s">
        <v>602</v>
      </c>
      <c r="D84" s="57">
        <f t="shared" si="8"/>
        <v>7</v>
      </c>
      <c r="E84" s="56"/>
      <c r="F84" s="56" t="s">
        <v>205</v>
      </c>
      <c r="G84" s="56">
        <v>2.9</v>
      </c>
      <c r="H84" s="56">
        <v>3.2</v>
      </c>
      <c r="I84" s="56"/>
      <c r="J84" s="56"/>
      <c r="K84" s="56"/>
      <c r="L84" s="56"/>
      <c r="M84" s="56"/>
      <c r="N84" s="58">
        <f t="shared" si="9"/>
        <v>6.1</v>
      </c>
      <c r="O84" s="58">
        <f t="shared" si="10"/>
        <v>0.27000918822890069</v>
      </c>
      <c r="P84" s="39">
        <v>8</v>
      </c>
      <c r="Q84" s="39">
        <v>10</v>
      </c>
      <c r="R84" s="39">
        <v>9</v>
      </c>
      <c r="S84" s="39">
        <v>9</v>
      </c>
      <c r="T84" s="39">
        <v>9</v>
      </c>
      <c r="U84" s="39">
        <v>9</v>
      </c>
      <c r="V84" s="39">
        <v>9</v>
      </c>
      <c r="W84" s="40" t="str">
        <f t="shared" si="12"/>
        <v>N</v>
      </c>
      <c r="X84" s="84">
        <f t="shared" si="13"/>
        <v>0</v>
      </c>
      <c r="Y84" s="84" t="str">
        <f t="shared" si="11"/>
        <v>0-4.9%</v>
      </c>
      <c r="Z84" s="85" t="s">
        <v>224</v>
      </c>
      <c r="AA84" s="59"/>
      <c r="AB84" s="59"/>
      <c r="AC84" s="59"/>
      <c r="AD84" s="59"/>
    </row>
    <row r="85" spans="1:30" x14ac:dyDescent="0.25">
      <c r="A85" s="54" t="s">
        <v>297</v>
      </c>
      <c r="B85" s="55"/>
      <c r="C85" s="56" t="s">
        <v>603</v>
      </c>
      <c r="D85" s="57">
        <f t="shared" si="8"/>
        <v>7</v>
      </c>
      <c r="E85" s="56"/>
      <c r="F85" s="56" t="s">
        <v>205</v>
      </c>
      <c r="G85" s="56">
        <v>3.8</v>
      </c>
      <c r="H85" s="56">
        <v>4.5</v>
      </c>
      <c r="I85" s="56"/>
      <c r="J85" s="56"/>
      <c r="K85" s="56"/>
      <c r="L85" s="56"/>
      <c r="M85" s="56"/>
      <c r="N85" s="58">
        <f t="shared" si="9"/>
        <v>8.3000000000000007</v>
      </c>
      <c r="O85" s="58">
        <f t="shared" si="10"/>
        <v>1.0795573070448681</v>
      </c>
      <c r="P85" s="39">
        <v>8</v>
      </c>
      <c r="Q85" s="39">
        <v>10</v>
      </c>
      <c r="R85" s="39">
        <v>9</v>
      </c>
      <c r="S85" s="39">
        <v>9</v>
      </c>
      <c r="T85" s="39">
        <v>9</v>
      </c>
      <c r="U85" s="39">
        <v>9</v>
      </c>
      <c r="V85" s="39">
        <v>9</v>
      </c>
      <c r="W85" s="40" t="str">
        <f t="shared" si="12"/>
        <v>N</v>
      </c>
      <c r="X85" s="84">
        <f t="shared" si="13"/>
        <v>0</v>
      </c>
      <c r="Y85" s="84" t="str">
        <f t="shared" si="11"/>
        <v>0-4.9%</v>
      </c>
      <c r="Z85" s="85" t="s">
        <v>224</v>
      </c>
      <c r="AA85" s="59"/>
      <c r="AB85" s="59"/>
      <c r="AC85" s="59"/>
      <c r="AD85" s="59"/>
    </row>
    <row r="86" spans="1:30" x14ac:dyDescent="0.25">
      <c r="A86" s="54" t="s">
        <v>298</v>
      </c>
      <c r="B86" s="55"/>
      <c r="C86" s="56" t="s">
        <v>604</v>
      </c>
      <c r="D86" s="57">
        <f t="shared" si="8"/>
        <v>7</v>
      </c>
      <c r="E86" s="56"/>
      <c r="F86" s="56" t="s">
        <v>205</v>
      </c>
      <c r="G86" s="56">
        <v>3.1</v>
      </c>
      <c r="H86" s="56">
        <v>9.35</v>
      </c>
      <c r="I86" s="56"/>
      <c r="J86" s="56"/>
      <c r="K86" s="56"/>
      <c r="L86" s="56"/>
      <c r="M86" s="56"/>
      <c r="N86" s="58">
        <f t="shared" si="9"/>
        <v>12.45</v>
      </c>
      <c r="O86" s="58">
        <f t="shared" si="10"/>
        <v>6.6935477680811122</v>
      </c>
      <c r="P86" s="39">
        <v>8</v>
      </c>
      <c r="Q86" s="39">
        <v>10</v>
      </c>
      <c r="R86" s="39">
        <v>9</v>
      </c>
      <c r="S86" s="39">
        <v>9</v>
      </c>
      <c r="T86" s="39">
        <v>9</v>
      </c>
      <c r="U86" s="39">
        <v>9</v>
      </c>
      <c r="V86" s="39">
        <v>9</v>
      </c>
      <c r="W86" s="40" t="str">
        <f t="shared" si="12"/>
        <v>N</v>
      </c>
      <c r="X86" s="84">
        <f t="shared" si="13"/>
        <v>0</v>
      </c>
      <c r="Y86" s="84" t="str">
        <f t="shared" si="11"/>
        <v>0-4.9%</v>
      </c>
      <c r="Z86" s="85" t="s">
        <v>812</v>
      </c>
      <c r="AA86" s="59"/>
      <c r="AB86" s="59"/>
      <c r="AC86" s="59"/>
      <c r="AD86" s="59"/>
    </row>
    <row r="87" spans="1:30" x14ac:dyDescent="0.25">
      <c r="A87" s="54" t="s">
        <v>300</v>
      </c>
      <c r="B87" s="55"/>
      <c r="C87" s="56" t="s">
        <v>606</v>
      </c>
      <c r="D87" s="57">
        <f t="shared" si="8"/>
        <v>7</v>
      </c>
      <c r="E87" s="56"/>
      <c r="F87" s="56" t="s">
        <v>205</v>
      </c>
      <c r="G87" s="56">
        <v>1.65</v>
      </c>
      <c r="H87" s="56">
        <v>1.6</v>
      </c>
      <c r="I87" s="56"/>
      <c r="J87" s="56"/>
      <c r="K87" s="56"/>
      <c r="L87" s="56"/>
      <c r="M87" s="56"/>
      <c r="N87" s="58">
        <f t="shared" si="9"/>
        <v>3.25</v>
      </c>
      <c r="O87" s="58">
        <f t="shared" si="10"/>
        <v>1.5880691530435427E-2</v>
      </c>
      <c r="P87" s="39">
        <v>8</v>
      </c>
      <c r="Q87" s="39">
        <v>10</v>
      </c>
      <c r="R87" s="39">
        <v>9</v>
      </c>
      <c r="S87" s="39">
        <v>9</v>
      </c>
      <c r="T87" s="39">
        <v>9</v>
      </c>
      <c r="U87" s="39">
        <v>9</v>
      </c>
      <c r="V87" s="39">
        <v>9</v>
      </c>
      <c r="W87" s="40" t="str">
        <f t="shared" si="12"/>
        <v>N</v>
      </c>
      <c r="X87" s="84">
        <f t="shared" si="13"/>
        <v>0</v>
      </c>
      <c r="Y87" s="84" t="str">
        <f t="shared" si="11"/>
        <v>0-4.9%</v>
      </c>
      <c r="Z87" s="85" t="s">
        <v>224</v>
      </c>
      <c r="AA87" s="59"/>
      <c r="AB87" s="59"/>
      <c r="AC87" s="59"/>
      <c r="AD87" s="59"/>
    </row>
    <row r="88" spans="1:30" x14ac:dyDescent="0.25">
      <c r="A88" s="54" t="s">
        <v>308</v>
      </c>
      <c r="B88" s="55"/>
      <c r="C88" s="56" t="s">
        <v>614</v>
      </c>
      <c r="D88" s="57">
        <f t="shared" si="8"/>
        <v>7</v>
      </c>
      <c r="E88" s="56"/>
      <c r="F88" s="56" t="s">
        <v>205</v>
      </c>
      <c r="G88" s="56">
        <v>2.6</v>
      </c>
      <c r="H88" s="56">
        <v>2.7</v>
      </c>
      <c r="I88" s="56"/>
      <c r="J88" s="56"/>
      <c r="K88" s="56"/>
      <c r="L88" s="56"/>
      <c r="M88" s="56"/>
      <c r="N88" s="58">
        <f t="shared" si="9"/>
        <v>5.3000000000000007</v>
      </c>
      <c r="O88" s="58">
        <f t="shared" si="10"/>
        <v>0.14342858002066719</v>
      </c>
      <c r="P88" s="39">
        <v>8</v>
      </c>
      <c r="Q88" s="39">
        <v>10</v>
      </c>
      <c r="R88" s="39">
        <v>9</v>
      </c>
      <c r="S88" s="39">
        <v>9</v>
      </c>
      <c r="T88" s="39">
        <v>9</v>
      </c>
      <c r="U88" s="39">
        <v>9</v>
      </c>
      <c r="V88" s="39">
        <v>9</v>
      </c>
      <c r="W88" s="40" t="str">
        <f t="shared" si="12"/>
        <v>N</v>
      </c>
      <c r="X88" s="84">
        <f t="shared" si="13"/>
        <v>0</v>
      </c>
      <c r="Y88" s="84" t="str">
        <f t="shared" si="11"/>
        <v>0-4.9%</v>
      </c>
      <c r="Z88" s="85" t="s">
        <v>224</v>
      </c>
      <c r="AA88" s="59"/>
      <c r="AB88" s="59"/>
      <c r="AC88" s="59"/>
      <c r="AD88" s="59"/>
    </row>
    <row r="89" spans="1:30" x14ac:dyDescent="0.25">
      <c r="A89" s="54" t="s">
        <v>310</v>
      </c>
      <c r="B89" s="55"/>
      <c r="C89" s="56" t="s">
        <v>615</v>
      </c>
      <c r="D89" s="57">
        <f t="shared" si="8"/>
        <v>7</v>
      </c>
      <c r="E89" s="56"/>
      <c r="F89" s="56" t="s">
        <v>205</v>
      </c>
      <c r="G89" s="56">
        <v>2.35</v>
      </c>
      <c r="H89" s="56">
        <v>2.8</v>
      </c>
      <c r="I89" s="56"/>
      <c r="J89" s="56"/>
      <c r="K89" s="56"/>
      <c r="L89" s="56"/>
      <c r="M89" s="56"/>
      <c r="N89" s="58">
        <f t="shared" si="9"/>
        <v>5.15</v>
      </c>
      <c r="O89" s="58">
        <f t="shared" si="10"/>
        <v>0.1260453464455166</v>
      </c>
      <c r="P89" s="39">
        <v>8</v>
      </c>
      <c r="Q89" s="39">
        <v>10</v>
      </c>
      <c r="R89" s="39">
        <v>9</v>
      </c>
      <c r="S89" s="39">
        <v>9</v>
      </c>
      <c r="T89" s="39">
        <v>9</v>
      </c>
      <c r="U89" s="39">
        <v>9</v>
      </c>
      <c r="V89" s="39">
        <v>9</v>
      </c>
      <c r="W89" s="40" t="str">
        <f t="shared" si="12"/>
        <v>N</v>
      </c>
      <c r="X89" s="84">
        <f t="shared" si="13"/>
        <v>0</v>
      </c>
      <c r="Y89" s="84" t="str">
        <f t="shared" si="11"/>
        <v>0-4.9%</v>
      </c>
      <c r="Z89" s="85" t="s">
        <v>788</v>
      </c>
      <c r="AA89" s="59"/>
      <c r="AB89" s="59"/>
      <c r="AC89" s="59"/>
      <c r="AD89" s="59"/>
    </row>
    <row r="90" spans="1:30" x14ac:dyDescent="0.25">
      <c r="A90" s="54" t="s">
        <v>312</v>
      </c>
      <c r="B90" s="55"/>
      <c r="C90" s="56" t="s">
        <v>616</v>
      </c>
      <c r="D90" s="57">
        <f t="shared" si="8"/>
        <v>7</v>
      </c>
      <c r="E90" s="56"/>
      <c r="F90" s="56" t="s">
        <v>205</v>
      </c>
      <c r="G90" s="56">
        <v>3.35</v>
      </c>
      <c r="H90" s="56">
        <v>7.4</v>
      </c>
      <c r="I90" s="56"/>
      <c r="J90" s="56"/>
      <c r="K90" s="56"/>
      <c r="L90" s="56"/>
      <c r="M90" s="56"/>
      <c r="N90" s="58">
        <f t="shared" si="9"/>
        <v>10.75</v>
      </c>
      <c r="O90" s="58">
        <f t="shared" si="10"/>
        <v>3.4572626529594337</v>
      </c>
      <c r="P90" s="39">
        <v>8</v>
      </c>
      <c r="Q90" s="39">
        <v>10</v>
      </c>
      <c r="R90" s="39">
        <v>9</v>
      </c>
      <c r="S90" s="39">
        <v>9</v>
      </c>
      <c r="T90" s="39">
        <v>9</v>
      </c>
      <c r="U90" s="39">
        <v>9</v>
      </c>
      <c r="V90" s="39">
        <v>9</v>
      </c>
      <c r="W90" s="40" t="str">
        <f t="shared" si="12"/>
        <v>N</v>
      </c>
      <c r="X90" s="84">
        <f t="shared" si="13"/>
        <v>0</v>
      </c>
      <c r="Y90" s="84" t="str">
        <f t="shared" si="11"/>
        <v>0-4.9%</v>
      </c>
      <c r="Z90" s="85" t="s">
        <v>786</v>
      </c>
      <c r="AA90" s="59"/>
      <c r="AB90" s="59"/>
      <c r="AC90" s="59"/>
      <c r="AD90" s="59"/>
    </row>
    <row r="91" spans="1:30" x14ac:dyDescent="0.25">
      <c r="A91" s="54" t="s">
        <v>314</v>
      </c>
      <c r="B91" s="55"/>
      <c r="C91" s="56" t="s">
        <v>617</v>
      </c>
      <c r="D91" s="57">
        <f t="shared" si="8"/>
        <v>7</v>
      </c>
      <c r="E91" s="56"/>
      <c r="F91" s="56" t="s">
        <v>205</v>
      </c>
      <c r="G91" s="56">
        <v>1.7</v>
      </c>
      <c r="H91" s="56">
        <v>1.4</v>
      </c>
      <c r="I91" s="56"/>
      <c r="J91" s="56"/>
      <c r="K91" s="56"/>
      <c r="L91" s="56"/>
      <c r="M91" s="56"/>
      <c r="N91" s="58">
        <f t="shared" si="9"/>
        <v>3.0999999999999996</v>
      </c>
      <c r="O91" s="58">
        <f t="shared" si="10"/>
        <v>1.283872533424469E-2</v>
      </c>
      <c r="P91" s="39">
        <v>8</v>
      </c>
      <c r="Q91" s="39">
        <v>10</v>
      </c>
      <c r="R91" s="39">
        <v>9</v>
      </c>
      <c r="S91" s="39">
        <v>9</v>
      </c>
      <c r="T91" s="39">
        <v>9</v>
      </c>
      <c r="U91" s="39">
        <v>9</v>
      </c>
      <c r="V91" s="39">
        <v>9</v>
      </c>
      <c r="W91" s="40" t="str">
        <f t="shared" si="12"/>
        <v>N</v>
      </c>
      <c r="X91" s="84">
        <f t="shared" si="13"/>
        <v>0</v>
      </c>
      <c r="Y91" s="84" t="str">
        <f t="shared" si="11"/>
        <v>0-4.9%</v>
      </c>
      <c r="Z91" s="85" t="s">
        <v>224</v>
      </c>
      <c r="AA91" s="59"/>
      <c r="AB91" s="59"/>
      <c r="AC91" s="59"/>
      <c r="AD91" s="59"/>
    </row>
    <row r="92" spans="1:30" x14ac:dyDescent="0.25">
      <c r="A92" s="54" t="s">
        <v>317</v>
      </c>
      <c r="B92" s="55"/>
      <c r="C92" s="56" t="s">
        <v>619</v>
      </c>
      <c r="D92" s="57">
        <f t="shared" si="8"/>
        <v>7</v>
      </c>
      <c r="E92" s="56"/>
      <c r="F92" s="56" t="s">
        <v>205</v>
      </c>
      <c r="G92" s="56">
        <v>2.7</v>
      </c>
      <c r="H92" s="56">
        <v>4.3</v>
      </c>
      <c r="I92" s="56"/>
      <c r="J92" s="56"/>
      <c r="K92" s="56"/>
      <c r="L92" s="56"/>
      <c r="M92" s="56"/>
      <c r="N92" s="58">
        <f t="shared" si="9"/>
        <v>7</v>
      </c>
      <c r="O92" s="58">
        <f t="shared" si="10"/>
        <v>0.50157451937737807</v>
      </c>
      <c r="P92" s="39">
        <v>8</v>
      </c>
      <c r="Q92" s="39">
        <v>10</v>
      </c>
      <c r="R92" s="39">
        <v>9</v>
      </c>
      <c r="S92" s="39">
        <v>9</v>
      </c>
      <c r="T92" s="39">
        <v>9</v>
      </c>
      <c r="U92" s="39">
        <v>9</v>
      </c>
      <c r="V92" s="39">
        <v>9</v>
      </c>
      <c r="W92" s="40" t="str">
        <f t="shared" si="12"/>
        <v>N</v>
      </c>
      <c r="X92" s="84">
        <f t="shared" si="13"/>
        <v>0</v>
      </c>
      <c r="Y92" s="84" t="str">
        <f t="shared" si="11"/>
        <v>0-4.9%</v>
      </c>
      <c r="Z92" s="85" t="s">
        <v>790</v>
      </c>
      <c r="AA92" s="59"/>
      <c r="AB92" s="59"/>
      <c r="AC92" s="59"/>
      <c r="AD92" s="59"/>
    </row>
    <row r="93" spans="1:30" x14ac:dyDescent="0.25">
      <c r="A93" s="54" t="s">
        <v>319</v>
      </c>
      <c r="B93" s="55"/>
      <c r="C93" s="56" t="s">
        <v>620</v>
      </c>
      <c r="D93" s="57">
        <f t="shared" si="8"/>
        <v>7</v>
      </c>
      <c r="E93" s="56"/>
      <c r="F93" s="56" t="s">
        <v>205</v>
      </c>
      <c r="G93" s="56">
        <v>2.7</v>
      </c>
      <c r="H93" s="56">
        <v>2.7</v>
      </c>
      <c r="I93" s="56"/>
      <c r="J93" s="56"/>
      <c r="K93" s="56"/>
      <c r="L93" s="56"/>
      <c r="M93" s="56"/>
      <c r="N93" s="58">
        <f t="shared" si="9"/>
        <v>5.4</v>
      </c>
      <c r="O93" s="58">
        <f t="shared" si="10"/>
        <v>0.15601494589133791</v>
      </c>
      <c r="P93" s="39">
        <v>8</v>
      </c>
      <c r="Q93" s="39">
        <v>10</v>
      </c>
      <c r="R93" s="39">
        <v>9</v>
      </c>
      <c r="S93" s="39">
        <v>9</v>
      </c>
      <c r="T93" s="39">
        <v>9</v>
      </c>
      <c r="U93" s="39">
        <v>9</v>
      </c>
      <c r="V93" s="39">
        <v>9</v>
      </c>
      <c r="W93" s="40" t="str">
        <f t="shared" si="12"/>
        <v>N</v>
      </c>
      <c r="X93" s="84">
        <f t="shared" si="13"/>
        <v>0</v>
      </c>
      <c r="Y93" s="84" t="str">
        <f t="shared" si="11"/>
        <v>0-4.9%</v>
      </c>
      <c r="Z93" s="85" t="s">
        <v>224</v>
      </c>
      <c r="AA93" s="59"/>
      <c r="AB93" s="59"/>
      <c r="AC93" s="59"/>
      <c r="AD93" s="59"/>
    </row>
    <row r="94" spans="1:30" x14ac:dyDescent="0.25">
      <c r="A94" s="54" t="s">
        <v>189</v>
      </c>
      <c r="B94" s="55"/>
      <c r="C94" s="56" t="s">
        <v>622</v>
      </c>
      <c r="D94" s="57">
        <f t="shared" si="8"/>
        <v>7</v>
      </c>
      <c r="E94" s="56"/>
      <c r="F94" s="56" t="s">
        <v>205</v>
      </c>
      <c r="G94" s="56">
        <v>3.7</v>
      </c>
      <c r="H94" s="56">
        <v>1.18</v>
      </c>
      <c r="I94" s="56"/>
      <c r="J94" s="56"/>
      <c r="K94" s="56"/>
      <c r="L94" s="56"/>
      <c r="M94" s="56"/>
      <c r="N94" s="58">
        <f t="shared" si="9"/>
        <v>4.88</v>
      </c>
      <c r="O94" s="58">
        <f t="shared" si="10"/>
        <v>9.8919858082506029E-2</v>
      </c>
      <c r="P94" s="39">
        <v>8</v>
      </c>
      <c r="Q94" s="39">
        <v>10</v>
      </c>
      <c r="R94" s="39">
        <v>9</v>
      </c>
      <c r="S94" s="39">
        <v>9</v>
      </c>
      <c r="T94" s="39">
        <v>9</v>
      </c>
      <c r="U94" s="39">
        <v>9</v>
      </c>
      <c r="V94" s="39">
        <v>9</v>
      </c>
      <c r="W94" s="40" t="str">
        <f t="shared" si="12"/>
        <v>N</v>
      </c>
      <c r="X94" s="84">
        <f t="shared" si="13"/>
        <v>0</v>
      </c>
      <c r="Y94" s="84" t="str">
        <f t="shared" si="11"/>
        <v>0-4.9%</v>
      </c>
      <c r="Z94" s="85" t="s">
        <v>788</v>
      </c>
      <c r="AA94" s="59"/>
      <c r="AB94" s="59"/>
      <c r="AC94" s="59"/>
      <c r="AD94" s="59"/>
    </row>
    <row r="95" spans="1:30" x14ac:dyDescent="0.25">
      <c r="A95" s="54" t="s">
        <v>197</v>
      </c>
      <c r="B95" s="55"/>
      <c r="C95" s="56" t="s">
        <v>626</v>
      </c>
      <c r="D95" s="57">
        <f t="shared" si="8"/>
        <v>7</v>
      </c>
      <c r="E95" s="56"/>
      <c r="F95" s="56" t="s">
        <v>205</v>
      </c>
      <c r="G95" s="56">
        <v>3.5</v>
      </c>
      <c r="H95" s="56">
        <v>4.1500000000000004</v>
      </c>
      <c r="I95" s="56"/>
      <c r="J95" s="56"/>
      <c r="K95" s="56"/>
      <c r="L95" s="56"/>
      <c r="M95" s="56"/>
      <c r="N95" s="58">
        <f t="shared" si="9"/>
        <v>7.65</v>
      </c>
      <c r="O95" s="58">
        <f t="shared" si="10"/>
        <v>0.74794686089229767</v>
      </c>
      <c r="P95" s="39">
        <v>8</v>
      </c>
      <c r="Q95" s="39">
        <v>10</v>
      </c>
      <c r="R95" s="39">
        <v>9</v>
      </c>
      <c r="S95" s="39">
        <v>9</v>
      </c>
      <c r="T95" s="39">
        <v>9</v>
      </c>
      <c r="U95" s="39">
        <v>9</v>
      </c>
      <c r="V95" s="39">
        <v>9</v>
      </c>
      <c r="W95" s="40" t="str">
        <f t="shared" si="12"/>
        <v>N</v>
      </c>
      <c r="X95" s="84">
        <f t="shared" si="13"/>
        <v>0</v>
      </c>
      <c r="Y95" s="84" t="str">
        <f t="shared" si="11"/>
        <v>0-4.9%</v>
      </c>
      <c r="Z95" s="85" t="s">
        <v>224</v>
      </c>
      <c r="AA95" s="59"/>
      <c r="AB95" s="59"/>
      <c r="AC95" s="59"/>
      <c r="AD95" s="59"/>
    </row>
    <row r="96" spans="1:30" x14ac:dyDescent="0.25">
      <c r="A96" s="54" t="s">
        <v>199</v>
      </c>
      <c r="B96" s="55"/>
      <c r="C96" s="56" t="s">
        <v>627</v>
      </c>
      <c r="D96" s="57">
        <f t="shared" si="8"/>
        <v>7</v>
      </c>
      <c r="E96" s="56"/>
      <c r="F96" s="56" t="s">
        <v>205</v>
      </c>
      <c r="G96" s="56">
        <v>3.6</v>
      </c>
      <c r="H96" s="56">
        <v>4</v>
      </c>
      <c r="I96" s="56"/>
      <c r="J96" s="56"/>
      <c r="K96" s="56"/>
      <c r="L96" s="56"/>
      <c r="M96" s="56"/>
      <c r="N96" s="58">
        <f t="shared" si="9"/>
        <v>7.6</v>
      </c>
      <c r="O96" s="58">
        <f t="shared" si="10"/>
        <v>0.72619867281633133</v>
      </c>
      <c r="P96" s="39">
        <v>8</v>
      </c>
      <c r="Q96" s="39">
        <v>10</v>
      </c>
      <c r="R96" s="39">
        <v>9</v>
      </c>
      <c r="S96" s="39">
        <v>9</v>
      </c>
      <c r="T96" s="39">
        <v>9</v>
      </c>
      <c r="U96" s="39">
        <v>9</v>
      </c>
      <c r="V96" s="39">
        <v>9</v>
      </c>
      <c r="W96" s="40" t="str">
        <f t="shared" si="12"/>
        <v>N</v>
      </c>
      <c r="X96" s="84">
        <f t="shared" si="13"/>
        <v>0</v>
      </c>
      <c r="Y96" s="84" t="str">
        <f t="shared" si="11"/>
        <v>0-4.9%</v>
      </c>
      <c r="Z96" s="85" t="s">
        <v>224</v>
      </c>
      <c r="AA96" s="59"/>
      <c r="AB96" s="59"/>
      <c r="AC96" s="59"/>
      <c r="AD96" s="59"/>
    </row>
    <row r="97" spans="1:30" x14ac:dyDescent="0.25">
      <c r="A97" s="54" t="s">
        <v>201</v>
      </c>
      <c r="B97" s="55"/>
      <c r="C97" s="56" t="s">
        <v>426</v>
      </c>
      <c r="D97" s="57">
        <f t="shared" si="8"/>
        <v>7</v>
      </c>
      <c r="E97" s="56"/>
      <c r="F97" s="56" t="s">
        <v>205</v>
      </c>
      <c r="G97" s="56">
        <v>2.6</v>
      </c>
      <c r="H97" s="56">
        <v>2.9</v>
      </c>
      <c r="I97" s="56"/>
      <c r="J97" s="56"/>
      <c r="K97" s="56"/>
      <c r="L97" s="56"/>
      <c r="M97" s="56"/>
      <c r="N97" s="58">
        <f t="shared" si="9"/>
        <v>5.5</v>
      </c>
      <c r="O97" s="58">
        <f t="shared" si="10"/>
        <v>0.16944407538767667</v>
      </c>
      <c r="P97" s="39">
        <v>8</v>
      </c>
      <c r="Q97" s="39">
        <v>10</v>
      </c>
      <c r="R97" s="39">
        <v>9</v>
      </c>
      <c r="S97" s="39">
        <v>9</v>
      </c>
      <c r="T97" s="39">
        <v>9</v>
      </c>
      <c r="U97" s="39">
        <v>9</v>
      </c>
      <c r="V97" s="39">
        <v>9</v>
      </c>
      <c r="W97" s="40" t="str">
        <f t="shared" si="12"/>
        <v>N</v>
      </c>
      <c r="X97" s="84">
        <f t="shared" si="13"/>
        <v>0</v>
      </c>
      <c r="Y97" s="84" t="str">
        <f t="shared" si="11"/>
        <v>0-4.9%</v>
      </c>
      <c r="Z97" s="85" t="s">
        <v>812</v>
      </c>
      <c r="AA97" s="59"/>
      <c r="AB97" s="59"/>
      <c r="AC97" s="59"/>
      <c r="AD97" s="59"/>
    </row>
    <row r="98" spans="1:30" x14ac:dyDescent="0.25">
      <c r="A98" s="54" t="s">
        <v>204</v>
      </c>
      <c r="B98" s="55"/>
      <c r="C98" s="56" t="s">
        <v>630</v>
      </c>
      <c r="D98" s="57">
        <f t="shared" si="8"/>
        <v>7</v>
      </c>
      <c r="E98" s="56"/>
      <c r="F98" s="56" t="s">
        <v>205</v>
      </c>
      <c r="G98" s="56">
        <v>4.9000000000000004</v>
      </c>
      <c r="H98" s="56">
        <v>10.9</v>
      </c>
      <c r="I98" s="56"/>
      <c r="J98" s="56"/>
      <c r="K98" s="56"/>
      <c r="L98" s="56"/>
      <c r="M98" s="56"/>
      <c r="N98" s="58">
        <f t="shared" si="9"/>
        <v>15.8</v>
      </c>
      <c r="O98" s="58">
        <f t="shared" si="10"/>
        <v>19.559204024918479</v>
      </c>
      <c r="P98" s="39">
        <v>8</v>
      </c>
      <c r="Q98" s="39">
        <v>10</v>
      </c>
      <c r="R98" s="39">
        <v>9</v>
      </c>
      <c r="S98" s="39">
        <v>9</v>
      </c>
      <c r="T98" s="39">
        <v>9</v>
      </c>
      <c r="U98" s="39">
        <v>9</v>
      </c>
      <c r="V98" s="39">
        <v>9</v>
      </c>
      <c r="W98" s="40" t="str">
        <f t="shared" si="12"/>
        <v>Y</v>
      </c>
      <c r="X98" s="84">
        <f t="shared" si="13"/>
        <v>9.0000000000000038E-2</v>
      </c>
      <c r="Y98" s="84" t="str">
        <f t="shared" si="11"/>
        <v>5-25%</v>
      </c>
      <c r="Z98" s="85" t="s">
        <v>788</v>
      </c>
      <c r="AA98" s="59"/>
      <c r="AB98" s="59"/>
      <c r="AC98" s="59"/>
      <c r="AD98" s="59"/>
    </row>
    <row r="99" spans="1:30" x14ac:dyDescent="0.25">
      <c r="A99" s="54" t="s">
        <v>208</v>
      </c>
      <c r="B99" s="55"/>
      <c r="C99" s="56" t="s">
        <v>632</v>
      </c>
      <c r="D99" s="57">
        <f t="shared" si="8"/>
        <v>7</v>
      </c>
      <c r="E99" s="56"/>
      <c r="F99" s="56" t="s">
        <v>205</v>
      </c>
      <c r="G99" s="56">
        <v>3.25</v>
      </c>
      <c r="H99" s="56">
        <v>4.0999999999999996</v>
      </c>
      <c r="I99" s="56"/>
      <c r="J99" s="56"/>
      <c r="K99" s="56"/>
      <c r="L99" s="56"/>
      <c r="M99" s="56"/>
      <c r="N99" s="58">
        <f t="shared" si="9"/>
        <v>7.35</v>
      </c>
      <c r="O99" s="58">
        <f t="shared" si="10"/>
        <v>0.62472273549681512</v>
      </c>
      <c r="P99" s="39">
        <v>8</v>
      </c>
      <c r="Q99" s="39">
        <v>10</v>
      </c>
      <c r="R99" s="39">
        <v>9</v>
      </c>
      <c r="S99" s="39">
        <v>9</v>
      </c>
      <c r="T99" s="39">
        <v>9</v>
      </c>
      <c r="U99" s="39">
        <v>9</v>
      </c>
      <c r="V99" s="39">
        <v>9</v>
      </c>
      <c r="W99" s="40" t="str">
        <f t="shared" si="12"/>
        <v>N</v>
      </c>
      <c r="X99" s="84">
        <f t="shared" si="13"/>
        <v>0</v>
      </c>
      <c r="Y99" s="84" t="str">
        <f t="shared" si="11"/>
        <v>0-4.9%</v>
      </c>
      <c r="Z99" s="85" t="s">
        <v>224</v>
      </c>
      <c r="AA99" s="59"/>
      <c r="AB99" s="59"/>
      <c r="AC99" s="59"/>
      <c r="AD99" s="59"/>
    </row>
    <row r="100" spans="1:30" x14ac:dyDescent="0.25">
      <c r="A100" s="54" t="s">
        <v>209</v>
      </c>
      <c r="B100" s="55"/>
      <c r="C100" s="56" t="s">
        <v>633</v>
      </c>
      <c r="D100" s="57">
        <f t="shared" si="8"/>
        <v>7</v>
      </c>
      <c r="E100" s="56"/>
      <c r="F100" s="56" t="s">
        <v>205</v>
      </c>
      <c r="G100" s="56">
        <v>3.9</v>
      </c>
      <c r="H100" s="56">
        <v>12.45</v>
      </c>
      <c r="I100" s="56"/>
      <c r="J100" s="56"/>
      <c r="K100" s="56"/>
      <c r="L100" s="56"/>
      <c r="M100" s="56"/>
      <c r="N100" s="58">
        <f t="shared" si="9"/>
        <v>16.349999999999998</v>
      </c>
      <c r="O100" s="58">
        <f t="shared" si="10"/>
        <v>22.815195371915568</v>
      </c>
      <c r="P100" s="39">
        <v>8</v>
      </c>
      <c r="Q100" s="39">
        <v>10</v>
      </c>
      <c r="R100" s="39">
        <v>9</v>
      </c>
      <c r="S100" s="39">
        <v>9</v>
      </c>
      <c r="T100" s="39">
        <v>9</v>
      </c>
      <c r="U100" s="39">
        <v>9</v>
      </c>
      <c r="V100" s="39">
        <v>9</v>
      </c>
      <c r="W100" s="40" t="str">
        <f t="shared" si="12"/>
        <v>Y</v>
      </c>
      <c r="X100" s="84">
        <f t="shared" si="13"/>
        <v>0.24499999999999994</v>
      </c>
      <c r="Y100" s="84" t="str">
        <f t="shared" si="11"/>
        <v>5-25%</v>
      </c>
      <c r="Z100" s="85" t="s">
        <v>794</v>
      </c>
      <c r="AA100" s="59"/>
      <c r="AB100" s="59"/>
      <c r="AC100" s="59"/>
      <c r="AD100" s="59"/>
    </row>
    <row r="101" spans="1:30" x14ac:dyDescent="0.25">
      <c r="A101" s="54" t="s">
        <v>211</v>
      </c>
      <c r="B101" s="55"/>
      <c r="C101" s="56" t="s">
        <v>635</v>
      </c>
      <c r="D101" s="57">
        <f t="shared" si="8"/>
        <v>7</v>
      </c>
      <c r="E101" s="56"/>
      <c r="F101" s="56" t="s">
        <v>205</v>
      </c>
      <c r="G101" s="56">
        <v>3.75</v>
      </c>
      <c r="H101" s="56">
        <v>8.25</v>
      </c>
      <c r="I101" s="56"/>
      <c r="J101" s="56"/>
      <c r="K101" s="56"/>
      <c r="L101" s="56"/>
      <c r="M101" s="56"/>
      <c r="N101" s="58">
        <f t="shared" si="9"/>
        <v>12</v>
      </c>
      <c r="O101" s="58">
        <f t="shared" si="10"/>
        <v>5.6716561421569134</v>
      </c>
      <c r="P101" s="39">
        <v>8</v>
      </c>
      <c r="Q101" s="39">
        <v>10</v>
      </c>
      <c r="R101" s="39">
        <v>9</v>
      </c>
      <c r="S101" s="39">
        <v>9</v>
      </c>
      <c r="T101" s="39">
        <v>9</v>
      </c>
      <c r="U101" s="39">
        <v>9</v>
      </c>
      <c r="V101" s="39">
        <v>9</v>
      </c>
      <c r="W101" s="40" t="str">
        <f t="shared" si="12"/>
        <v>N</v>
      </c>
      <c r="X101" s="84">
        <f t="shared" si="13"/>
        <v>0</v>
      </c>
      <c r="Y101" s="84" t="str">
        <f t="shared" si="11"/>
        <v>0-4.9%</v>
      </c>
      <c r="Z101" s="85" t="s">
        <v>782</v>
      </c>
      <c r="AA101" s="59"/>
      <c r="AB101" s="59"/>
      <c r="AC101" s="59"/>
      <c r="AD101" s="59"/>
    </row>
    <row r="102" spans="1:30" x14ac:dyDescent="0.25">
      <c r="A102" s="54" t="s">
        <v>213</v>
      </c>
      <c r="B102" s="55"/>
      <c r="C102" s="56" t="s">
        <v>637</v>
      </c>
      <c r="D102" s="57">
        <f t="shared" si="8"/>
        <v>7</v>
      </c>
      <c r="E102" s="56"/>
      <c r="F102" s="56" t="s">
        <v>205</v>
      </c>
      <c r="G102" s="56">
        <v>3.7</v>
      </c>
      <c r="H102" s="56">
        <v>3.9</v>
      </c>
      <c r="I102" s="56"/>
      <c r="J102" s="56"/>
      <c r="K102" s="56"/>
      <c r="L102" s="56"/>
      <c r="M102" s="56"/>
      <c r="N102" s="58">
        <f t="shared" si="9"/>
        <v>7.6</v>
      </c>
      <c r="O102" s="58">
        <f t="shared" si="10"/>
        <v>0.72619867281633133</v>
      </c>
      <c r="P102" s="39">
        <v>8</v>
      </c>
      <c r="Q102" s="39">
        <v>10</v>
      </c>
      <c r="R102" s="39">
        <v>9</v>
      </c>
      <c r="S102" s="39">
        <v>9</v>
      </c>
      <c r="T102" s="39">
        <v>9</v>
      </c>
      <c r="U102" s="39">
        <v>9</v>
      </c>
      <c r="V102" s="39">
        <v>9</v>
      </c>
      <c r="W102" s="40" t="str">
        <f t="shared" si="12"/>
        <v>N</v>
      </c>
      <c r="X102" s="84">
        <f t="shared" si="13"/>
        <v>0</v>
      </c>
      <c r="Y102" s="84" t="str">
        <f t="shared" si="11"/>
        <v>0-4.9%</v>
      </c>
      <c r="Z102" s="85" t="s">
        <v>224</v>
      </c>
      <c r="AA102" s="59"/>
      <c r="AB102" s="59"/>
      <c r="AC102" s="59"/>
      <c r="AD102" s="59"/>
    </row>
    <row r="103" spans="1:30" x14ac:dyDescent="0.25">
      <c r="A103" s="54" t="s">
        <v>214</v>
      </c>
      <c r="B103" s="55"/>
      <c r="C103" s="56" t="s">
        <v>638</v>
      </c>
      <c r="D103" s="57">
        <f t="shared" si="8"/>
        <v>7</v>
      </c>
      <c r="E103" s="56"/>
      <c r="F103" s="56" t="s">
        <v>205</v>
      </c>
      <c r="G103" s="56">
        <v>3.85</v>
      </c>
      <c r="H103" s="56">
        <v>8.8000000000000007</v>
      </c>
      <c r="I103" s="56"/>
      <c r="J103" s="56"/>
      <c r="K103" s="56"/>
      <c r="L103" s="56"/>
      <c r="M103" s="56"/>
      <c r="N103" s="58">
        <f t="shared" si="9"/>
        <v>12.65</v>
      </c>
      <c r="O103" s="58">
        <f t="shared" si="10"/>
        <v>7.1912046858720071</v>
      </c>
      <c r="P103" s="39">
        <v>8</v>
      </c>
      <c r="Q103" s="39">
        <v>10</v>
      </c>
      <c r="R103" s="39">
        <v>9</v>
      </c>
      <c r="S103" s="39">
        <v>9</v>
      </c>
      <c r="T103" s="39">
        <v>9</v>
      </c>
      <c r="U103" s="39">
        <v>9</v>
      </c>
      <c r="V103" s="39">
        <v>9</v>
      </c>
      <c r="W103" s="40" t="str">
        <f t="shared" si="12"/>
        <v>N</v>
      </c>
      <c r="X103" s="84">
        <f t="shared" si="13"/>
        <v>0</v>
      </c>
      <c r="Y103" s="84" t="str">
        <f t="shared" si="11"/>
        <v>0-4.9%</v>
      </c>
      <c r="Z103" s="85" t="s">
        <v>782</v>
      </c>
      <c r="AA103" s="59"/>
      <c r="AB103" s="59"/>
      <c r="AC103" s="59"/>
      <c r="AD103" s="59"/>
    </row>
    <row r="104" spans="1:30" x14ac:dyDescent="0.25">
      <c r="A104" s="54" t="s">
        <v>221</v>
      </c>
      <c r="B104" s="55"/>
      <c r="C104" s="56" t="s">
        <v>645</v>
      </c>
      <c r="D104" s="57">
        <f t="shared" si="8"/>
        <v>7</v>
      </c>
      <c r="E104" s="56"/>
      <c r="F104" s="56" t="s">
        <v>205</v>
      </c>
      <c r="G104" s="56">
        <v>2.6</v>
      </c>
      <c r="H104" s="56">
        <v>3.9</v>
      </c>
      <c r="I104" s="56"/>
      <c r="J104" s="56"/>
      <c r="K104" s="56"/>
      <c r="L104" s="56"/>
      <c r="M104" s="56"/>
      <c r="N104" s="58">
        <f t="shared" si="9"/>
        <v>6.5</v>
      </c>
      <c r="O104" s="58">
        <f t="shared" si="10"/>
        <v>0.35933902947528501</v>
      </c>
      <c r="P104" s="39">
        <v>8</v>
      </c>
      <c r="Q104" s="39">
        <v>10</v>
      </c>
      <c r="R104" s="39">
        <v>9</v>
      </c>
      <c r="S104" s="39">
        <v>9</v>
      </c>
      <c r="T104" s="39">
        <v>9</v>
      </c>
      <c r="U104" s="39">
        <v>9</v>
      </c>
      <c r="V104" s="39">
        <v>9</v>
      </c>
      <c r="W104" s="40" t="str">
        <f t="shared" si="12"/>
        <v>N</v>
      </c>
      <c r="X104" s="84">
        <f t="shared" si="13"/>
        <v>0</v>
      </c>
      <c r="Y104" s="84" t="str">
        <f t="shared" si="11"/>
        <v>0-4.9%</v>
      </c>
      <c r="Z104" s="85" t="s">
        <v>812</v>
      </c>
      <c r="AA104" s="59"/>
      <c r="AB104" s="59"/>
      <c r="AC104" s="59"/>
      <c r="AD104" s="59"/>
    </row>
    <row r="105" spans="1:30" x14ac:dyDescent="0.25">
      <c r="A105" s="54" t="s">
        <v>222</v>
      </c>
      <c r="B105" s="55"/>
      <c r="C105" s="56" t="s">
        <v>646</v>
      </c>
      <c r="D105" s="57">
        <f t="shared" si="8"/>
        <v>7</v>
      </c>
      <c r="E105" s="56"/>
      <c r="F105" s="56" t="s">
        <v>190</v>
      </c>
      <c r="G105" s="56">
        <v>3.45</v>
      </c>
      <c r="H105" s="56">
        <v>3.8</v>
      </c>
      <c r="I105" s="56"/>
      <c r="J105" s="56"/>
      <c r="K105" s="56"/>
      <c r="L105" s="56"/>
      <c r="M105" s="56"/>
      <c r="N105" s="58">
        <f t="shared" si="9"/>
        <v>7.25</v>
      </c>
      <c r="O105" s="58">
        <f t="shared" si="10"/>
        <v>0.58737480679284171</v>
      </c>
      <c r="P105" s="39">
        <v>8</v>
      </c>
      <c r="Q105" s="39">
        <v>10</v>
      </c>
      <c r="R105" s="39">
        <v>9</v>
      </c>
      <c r="S105" s="39">
        <v>9</v>
      </c>
      <c r="T105" s="39">
        <v>9</v>
      </c>
      <c r="U105" s="39">
        <v>9</v>
      </c>
      <c r="V105" s="39">
        <v>9</v>
      </c>
      <c r="W105" s="40" t="str">
        <f t="shared" si="12"/>
        <v>N</v>
      </c>
      <c r="X105" s="84">
        <f t="shared" si="13"/>
        <v>0</v>
      </c>
      <c r="Y105" s="84" t="str">
        <f t="shared" si="11"/>
        <v>0-4.9%</v>
      </c>
      <c r="Z105" s="85" t="s">
        <v>224</v>
      </c>
      <c r="AA105" s="59"/>
      <c r="AB105" s="59"/>
      <c r="AC105" s="59"/>
      <c r="AD105" s="59"/>
    </row>
    <row r="106" spans="1:30" x14ac:dyDescent="0.25">
      <c r="A106" s="54" t="s">
        <v>233</v>
      </c>
      <c r="B106" s="55"/>
      <c r="C106" s="56" t="s">
        <v>579</v>
      </c>
      <c r="D106" s="57">
        <f t="shared" si="8"/>
        <v>7</v>
      </c>
      <c r="E106" s="56"/>
      <c r="F106" s="56" t="s">
        <v>205</v>
      </c>
      <c r="G106" s="56">
        <v>2.7</v>
      </c>
      <c r="H106" s="56">
        <v>2.5</v>
      </c>
      <c r="I106" s="56"/>
      <c r="J106" s="56"/>
      <c r="K106" s="56"/>
      <c r="L106" s="56"/>
      <c r="M106" s="56"/>
      <c r="N106" s="58">
        <f t="shared" si="9"/>
        <v>5.2</v>
      </c>
      <c r="O106" s="58">
        <f t="shared" si="10"/>
        <v>0.13164650444808809</v>
      </c>
      <c r="P106" s="39">
        <v>8</v>
      </c>
      <c r="Q106" s="39">
        <v>10</v>
      </c>
      <c r="R106" s="39">
        <v>9</v>
      </c>
      <c r="S106" s="39">
        <v>9</v>
      </c>
      <c r="T106" s="39">
        <v>9</v>
      </c>
      <c r="U106" s="39">
        <v>9</v>
      </c>
      <c r="V106" s="39">
        <v>9</v>
      </c>
      <c r="W106" s="40" t="str">
        <f t="shared" si="12"/>
        <v>N</v>
      </c>
      <c r="X106" s="84">
        <f t="shared" si="13"/>
        <v>0</v>
      </c>
      <c r="Y106" s="84" t="str">
        <f t="shared" si="11"/>
        <v>0-4.9%</v>
      </c>
      <c r="Z106" s="85" t="s">
        <v>812</v>
      </c>
      <c r="AA106" s="59"/>
      <c r="AB106" s="59"/>
      <c r="AC106" s="59"/>
      <c r="AD106" s="59"/>
    </row>
    <row r="107" spans="1:30" x14ac:dyDescent="0.25">
      <c r="A107" s="54" t="s">
        <v>234</v>
      </c>
      <c r="B107" s="55"/>
      <c r="C107" s="56" t="s">
        <v>653</v>
      </c>
      <c r="D107" s="57">
        <f t="shared" si="8"/>
        <v>7</v>
      </c>
      <c r="E107" s="56"/>
      <c r="F107" s="56" t="s">
        <v>205</v>
      </c>
      <c r="G107" s="56">
        <v>2.65</v>
      </c>
      <c r="H107" s="56">
        <v>3.7</v>
      </c>
      <c r="I107" s="56"/>
      <c r="J107" s="56"/>
      <c r="K107" s="56"/>
      <c r="L107" s="56"/>
      <c r="M107" s="56"/>
      <c r="N107" s="58">
        <f t="shared" si="9"/>
        <v>6.35</v>
      </c>
      <c r="O107" s="58">
        <f t="shared" si="10"/>
        <v>0.32350131429252899</v>
      </c>
      <c r="P107" s="39">
        <v>8</v>
      </c>
      <c r="Q107" s="39">
        <v>10</v>
      </c>
      <c r="R107" s="39">
        <v>9</v>
      </c>
      <c r="S107" s="39">
        <v>9</v>
      </c>
      <c r="T107" s="39">
        <v>9</v>
      </c>
      <c r="U107" s="39">
        <v>9</v>
      </c>
      <c r="V107" s="39">
        <v>9</v>
      </c>
      <c r="W107" s="40" t="str">
        <f t="shared" si="12"/>
        <v>N</v>
      </c>
      <c r="X107" s="84">
        <f t="shared" si="13"/>
        <v>0</v>
      </c>
      <c r="Y107" s="84" t="str">
        <f t="shared" si="11"/>
        <v>0-4.9%</v>
      </c>
      <c r="Z107" s="85" t="s">
        <v>224</v>
      </c>
      <c r="AA107" s="59"/>
      <c r="AB107" s="59"/>
      <c r="AC107" s="59"/>
      <c r="AD107" s="59"/>
    </row>
    <row r="108" spans="1:30" x14ac:dyDescent="0.25">
      <c r="A108" s="54" t="s">
        <v>235</v>
      </c>
      <c r="B108" s="55"/>
      <c r="C108" s="56" t="s">
        <v>337</v>
      </c>
      <c r="D108" s="57">
        <f t="shared" si="8"/>
        <v>7</v>
      </c>
      <c r="E108" s="56"/>
      <c r="F108" s="56" t="s">
        <v>205</v>
      </c>
      <c r="G108" s="56">
        <v>4.8</v>
      </c>
      <c r="H108" s="56">
        <v>4.7</v>
      </c>
      <c r="I108" s="56"/>
      <c r="J108" s="56"/>
      <c r="K108" s="56"/>
      <c r="L108" s="56"/>
      <c r="M108" s="56"/>
      <c r="N108" s="58">
        <f t="shared" si="9"/>
        <v>9.5</v>
      </c>
      <c r="O108" s="58">
        <f t="shared" si="10"/>
        <v>1.9822138642424887</v>
      </c>
      <c r="P108" s="39">
        <v>8</v>
      </c>
      <c r="Q108" s="39">
        <v>10</v>
      </c>
      <c r="R108" s="39">
        <v>9</v>
      </c>
      <c r="S108" s="39">
        <v>9</v>
      </c>
      <c r="T108" s="39">
        <v>9</v>
      </c>
      <c r="U108" s="39">
        <v>9</v>
      </c>
      <c r="V108" s="39">
        <v>9</v>
      </c>
      <c r="W108" s="40" t="str">
        <f t="shared" si="12"/>
        <v>N</v>
      </c>
      <c r="X108" s="84">
        <f t="shared" si="13"/>
        <v>0</v>
      </c>
      <c r="Y108" s="84" t="str">
        <f t="shared" si="11"/>
        <v>0-4.9%</v>
      </c>
      <c r="Z108" s="85" t="s">
        <v>224</v>
      </c>
      <c r="AA108" s="59"/>
      <c r="AB108" s="59"/>
      <c r="AC108" s="59"/>
      <c r="AD108" s="59"/>
    </row>
    <row r="109" spans="1:30" x14ac:dyDescent="0.25">
      <c r="A109" s="54" t="s">
        <v>237</v>
      </c>
      <c r="B109" s="55"/>
      <c r="C109" s="56" t="s">
        <v>654</v>
      </c>
      <c r="D109" s="57">
        <f t="shared" si="8"/>
        <v>7</v>
      </c>
      <c r="E109" s="56"/>
      <c r="F109" s="56" t="s">
        <v>205</v>
      </c>
      <c r="G109" s="56">
        <v>4.45</v>
      </c>
      <c r="H109" s="56">
        <v>12.6</v>
      </c>
      <c r="I109" s="56"/>
      <c r="J109" s="56"/>
      <c r="K109" s="56"/>
      <c r="L109" s="56"/>
      <c r="M109" s="56"/>
      <c r="N109" s="58">
        <f t="shared" si="9"/>
        <v>17.05</v>
      </c>
      <c r="O109" s="58">
        <f t="shared" si="10"/>
        <v>27.552055879520793</v>
      </c>
      <c r="P109" s="39">
        <v>8</v>
      </c>
      <c r="Q109" s="39">
        <v>10</v>
      </c>
      <c r="R109" s="39">
        <v>9</v>
      </c>
      <c r="S109" s="39">
        <v>9</v>
      </c>
      <c r="T109" s="39">
        <v>9</v>
      </c>
      <c r="U109" s="39">
        <v>9</v>
      </c>
      <c r="V109" s="39">
        <v>9</v>
      </c>
      <c r="W109" s="40" t="str">
        <f t="shared" si="12"/>
        <v>Y</v>
      </c>
      <c r="X109" s="84">
        <f t="shared" si="13"/>
        <v>0.25999999999999995</v>
      </c>
      <c r="Y109" s="84" t="str">
        <f t="shared" si="11"/>
        <v>25-50%</v>
      </c>
      <c r="Z109" s="85" t="s">
        <v>790</v>
      </c>
      <c r="AA109" s="59"/>
      <c r="AB109" s="59"/>
      <c r="AC109" s="59"/>
      <c r="AD109" s="59"/>
    </row>
    <row r="110" spans="1:30" x14ac:dyDescent="0.25">
      <c r="A110" s="54" t="s">
        <v>239</v>
      </c>
      <c r="B110" s="55"/>
      <c r="C110" s="56" t="s">
        <v>656</v>
      </c>
      <c r="D110" s="57">
        <f t="shared" si="8"/>
        <v>7</v>
      </c>
      <c r="E110" s="56"/>
      <c r="F110" s="56" t="s">
        <v>205</v>
      </c>
      <c r="G110" s="56">
        <v>1.8</v>
      </c>
      <c r="H110" s="56">
        <v>2.2000000000000002</v>
      </c>
      <c r="I110" s="56"/>
      <c r="J110" s="56"/>
      <c r="K110" s="56"/>
      <c r="L110" s="56"/>
      <c r="M110" s="56"/>
      <c r="N110" s="58">
        <f t="shared" si="9"/>
        <v>4</v>
      </c>
      <c r="O110" s="58">
        <f t="shared" si="10"/>
        <v>4.0426323462040614E-2</v>
      </c>
      <c r="P110" s="39">
        <v>8</v>
      </c>
      <c r="Q110" s="39">
        <v>10</v>
      </c>
      <c r="R110" s="39">
        <v>9</v>
      </c>
      <c r="S110" s="39">
        <v>9</v>
      </c>
      <c r="T110" s="39">
        <v>9</v>
      </c>
      <c r="U110" s="39">
        <v>9</v>
      </c>
      <c r="V110" s="39">
        <v>9</v>
      </c>
      <c r="W110" s="40" t="str">
        <f t="shared" si="12"/>
        <v>N</v>
      </c>
      <c r="X110" s="84">
        <f t="shared" si="13"/>
        <v>0</v>
      </c>
      <c r="Y110" s="84" t="str">
        <f t="shared" si="11"/>
        <v>0-4.9%</v>
      </c>
      <c r="Z110" s="85" t="s">
        <v>224</v>
      </c>
      <c r="AA110" s="59"/>
      <c r="AB110" s="59"/>
      <c r="AC110" s="59"/>
      <c r="AD110" s="59"/>
    </row>
    <row r="111" spans="1:30" x14ac:dyDescent="0.25">
      <c r="A111" s="54" t="s">
        <v>240</v>
      </c>
      <c r="B111" s="55"/>
      <c r="C111" s="56" t="s">
        <v>657</v>
      </c>
      <c r="D111" s="57">
        <f t="shared" si="8"/>
        <v>7</v>
      </c>
      <c r="E111" s="56"/>
      <c r="F111" s="56" t="s">
        <v>205</v>
      </c>
      <c r="G111" s="56">
        <v>1.2</v>
      </c>
      <c r="H111" s="56">
        <v>1.35</v>
      </c>
      <c r="I111" s="56"/>
      <c r="J111" s="56"/>
      <c r="K111" s="56"/>
      <c r="L111" s="56"/>
      <c r="M111" s="56"/>
      <c r="N111" s="58">
        <f t="shared" si="9"/>
        <v>2.5499999999999998</v>
      </c>
      <c r="O111" s="58">
        <f t="shared" si="10"/>
        <v>5.3312014997000468E-3</v>
      </c>
      <c r="P111" s="39">
        <v>8</v>
      </c>
      <c r="Q111" s="39">
        <v>10</v>
      </c>
      <c r="R111" s="39">
        <v>9</v>
      </c>
      <c r="S111" s="39">
        <v>9</v>
      </c>
      <c r="T111" s="39">
        <v>9</v>
      </c>
      <c r="U111" s="39">
        <v>9</v>
      </c>
      <c r="V111" s="39">
        <v>9</v>
      </c>
      <c r="W111" s="40" t="str">
        <f t="shared" si="12"/>
        <v>N</v>
      </c>
      <c r="X111" s="84">
        <f t="shared" si="13"/>
        <v>0</v>
      </c>
      <c r="Y111" s="84" t="str">
        <f t="shared" si="11"/>
        <v>0-4.9%</v>
      </c>
      <c r="Z111" s="85" t="s">
        <v>812</v>
      </c>
      <c r="AA111" s="59"/>
      <c r="AB111" s="59"/>
      <c r="AC111" s="59"/>
      <c r="AD111" s="59"/>
    </row>
    <row r="112" spans="1:30" x14ac:dyDescent="0.25">
      <c r="A112" s="54" t="s">
        <v>242</v>
      </c>
      <c r="B112" s="55"/>
      <c r="C112" s="56" t="s">
        <v>659</v>
      </c>
      <c r="D112" s="57">
        <f t="shared" si="8"/>
        <v>7</v>
      </c>
      <c r="E112" s="56"/>
      <c r="F112" s="56" t="s">
        <v>205</v>
      </c>
      <c r="G112" s="56">
        <v>3.85</v>
      </c>
      <c r="H112" s="56">
        <v>4.3</v>
      </c>
      <c r="I112" s="56"/>
      <c r="J112" s="56"/>
      <c r="K112" s="56"/>
      <c r="L112" s="56"/>
      <c r="M112" s="56"/>
      <c r="N112" s="58">
        <f t="shared" si="9"/>
        <v>8.15</v>
      </c>
      <c r="O112" s="58">
        <f t="shared" si="10"/>
        <v>0.99449710892657883</v>
      </c>
      <c r="P112" s="39">
        <v>8</v>
      </c>
      <c r="Q112" s="39">
        <v>10</v>
      </c>
      <c r="R112" s="39">
        <v>9</v>
      </c>
      <c r="S112" s="39">
        <v>9</v>
      </c>
      <c r="T112" s="39">
        <v>9</v>
      </c>
      <c r="U112" s="39">
        <v>9</v>
      </c>
      <c r="V112" s="39">
        <v>9</v>
      </c>
      <c r="W112" s="40" t="str">
        <f t="shared" si="12"/>
        <v>N</v>
      </c>
      <c r="X112" s="84">
        <f t="shared" si="13"/>
        <v>0</v>
      </c>
      <c r="Y112" s="84" t="str">
        <f t="shared" si="11"/>
        <v>0-4.9%</v>
      </c>
      <c r="Z112" s="85" t="s">
        <v>812</v>
      </c>
      <c r="AA112" s="59"/>
      <c r="AB112" s="59"/>
      <c r="AC112" s="59"/>
      <c r="AD112" s="59"/>
    </row>
    <row r="113" spans="1:30" x14ac:dyDescent="0.25">
      <c r="A113" s="54" t="s">
        <v>243</v>
      </c>
      <c r="B113" s="55"/>
      <c r="C113" s="56" t="s">
        <v>497</v>
      </c>
      <c r="D113" s="57">
        <f t="shared" si="8"/>
        <v>7</v>
      </c>
      <c r="E113" s="56"/>
      <c r="F113" s="56" t="s">
        <v>205</v>
      </c>
      <c r="G113" s="56">
        <v>4.95</v>
      </c>
      <c r="H113" s="56">
        <v>4.8499999999999996</v>
      </c>
      <c r="I113" s="56"/>
      <c r="J113" s="56"/>
      <c r="K113" s="56"/>
      <c r="L113" s="56"/>
      <c r="M113" s="56"/>
      <c r="N113" s="58">
        <f t="shared" si="9"/>
        <v>9.8000000000000007</v>
      </c>
      <c r="O113" s="58">
        <f t="shared" si="10"/>
        <v>2.2798780966429457</v>
      </c>
      <c r="P113" s="39">
        <v>8</v>
      </c>
      <c r="Q113" s="39">
        <v>10</v>
      </c>
      <c r="R113" s="39">
        <v>9</v>
      </c>
      <c r="S113" s="39">
        <v>9</v>
      </c>
      <c r="T113" s="39">
        <v>9</v>
      </c>
      <c r="U113" s="39">
        <v>9</v>
      </c>
      <c r="V113" s="39">
        <v>9</v>
      </c>
      <c r="W113" s="40" t="str">
        <f t="shared" si="12"/>
        <v>N</v>
      </c>
      <c r="X113" s="84">
        <f t="shared" si="13"/>
        <v>0</v>
      </c>
      <c r="Y113" s="84" t="str">
        <f t="shared" si="11"/>
        <v>0-4.9%</v>
      </c>
      <c r="Z113" s="85" t="s">
        <v>224</v>
      </c>
      <c r="AA113" s="59"/>
      <c r="AB113" s="59"/>
      <c r="AC113" s="59"/>
      <c r="AD113" s="59"/>
    </row>
    <row r="114" spans="1:30" x14ac:dyDescent="0.25">
      <c r="A114" s="54" t="s">
        <v>252</v>
      </c>
      <c r="B114" s="55"/>
      <c r="C114" s="56" t="s">
        <v>667</v>
      </c>
      <c r="D114" s="57">
        <f t="shared" si="8"/>
        <v>7</v>
      </c>
      <c r="E114" s="56"/>
      <c r="F114" s="56" t="s">
        <v>205</v>
      </c>
      <c r="G114" s="56">
        <v>3.05</v>
      </c>
      <c r="H114" s="56">
        <v>4.75</v>
      </c>
      <c r="I114" s="56"/>
      <c r="J114" s="56"/>
      <c r="K114" s="56"/>
      <c r="L114" s="56"/>
      <c r="M114" s="56"/>
      <c r="N114" s="58">
        <f t="shared" si="9"/>
        <v>7.8</v>
      </c>
      <c r="O114" s="58">
        <f t="shared" si="10"/>
        <v>0.81624399211959386</v>
      </c>
      <c r="P114" s="39">
        <v>8</v>
      </c>
      <c r="Q114" s="39">
        <v>10</v>
      </c>
      <c r="R114" s="39">
        <v>9</v>
      </c>
      <c r="S114" s="39">
        <v>9</v>
      </c>
      <c r="T114" s="39">
        <v>9</v>
      </c>
      <c r="U114" s="39">
        <v>9</v>
      </c>
      <c r="V114" s="39">
        <v>9</v>
      </c>
      <c r="W114" s="40" t="str">
        <f t="shared" si="12"/>
        <v>N</v>
      </c>
      <c r="X114" s="84">
        <f t="shared" si="13"/>
        <v>0</v>
      </c>
      <c r="Y114" s="84" t="str">
        <f t="shared" si="11"/>
        <v>0-4.9%</v>
      </c>
      <c r="Z114" s="85" t="s">
        <v>812</v>
      </c>
      <c r="AA114" s="59"/>
      <c r="AB114" s="59"/>
      <c r="AC114" s="59"/>
      <c r="AD114" s="59"/>
    </row>
    <row r="115" spans="1:30" x14ac:dyDescent="0.25">
      <c r="A115" s="54" t="s">
        <v>254</v>
      </c>
      <c r="B115" s="55"/>
      <c r="C115" s="56" t="s">
        <v>668</v>
      </c>
      <c r="D115" s="57">
        <f t="shared" si="8"/>
        <v>7</v>
      </c>
      <c r="E115" s="56"/>
      <c r="F115" s="56" t="s">
        <v>205</v>
      </c>
      <c r="G115" s="56">
        <v>4.25</v>
      </c>
      <c r="H115" s="56">
        <v>5.2</v>
      </c>
      <c r="I115" s="56"/>
      <c r="J115" s="56"/>
      <c r="K115" s="56"/>
      <c r="L115" s="56"/>
      <c r="M115" s="56"/>
      <c r="N115" s="58">
        <f t="shared" si="9"/>
        <v>9.4499999999999993</v>
      </c>
      <c r="O115" s="58">
        <f t="shared" si="10"/>
        <v>1.935697209136847</v>
      </c>
      <c r="P115" s="39">
        <v>8</v>
      </c>
      <c r="Q115" s="39">
        <v>10</v>
      </c>
      <c r="R115" s="39">
        <v>9</v>
      </c>
      <c r="S115" s="39">
        <v>9</v>
      </c>
      <c r="T115" s="39">
        <v>9</v>
      </c>
      <c r="U115" s="39">
        <v>9</v>
      </c>
      <c r="V115" s="39">
        <v>9</v>
      </c>
      <c r="W115" s="40" t="str">
        <f t="shared" si="12"/>
        <v>N</v>
      </c>
      <c r="X115" s="84">
        <f t="shared" si="13"/>
        <v>0</v>
      </c>
      <c r="Y115" s="84" t="str">
        <f t="shared" si="11"/>
        <v>0-4.9%</v>
      </c>
      <c r="Z115" s="85" t="s">
        <v>224</v>
      </c>
      <c r="AA115" s="59"/>
      <c r="AB115" s="59"/>
      <c r="AC115" s="59"/>
      <c r="AD115" s="59"/>
    </row>
    <row r="116" spans="1:30" x14ac:dyDescent="0.25">
      <c r="A116" s="54" t="s">
        <v>256</v>
      </c>
      <c r="B116" s="55"/>
      <c r="C116" s="56" t="s">
        <v>670</v>
      </c>
      <c r="D116" s="57">
        <f t="shared" si="8"/>
        <v>7</v>
      </c>
      <c r="E116" s="56"/>
      <c r="F116" s="56" t="s">
        <v>205</v>
      </c>
      <c r="G116" s="56">
        <v>2.85</v>
      </c>
      <c r="H116" s="56">
        <v>3</v>
      </c>
      <c r="I116" s="56"/>
      <c r="J116" s="56"/>
      <c r="K116" s="56"/>
      <c r="L116" s="56"/>
      <c r="M116" s="56"/>
      <c r="N116" s="58">
        <f t="shared" si="9"/>
        <v>5.85</v>
      </c>
      <c r="O116" s="58">
        <f t="shared" si="10"/>
        <v>0.22366379164774003</v>
      </c>
      <c r="P116" s="39">
        <v>8</v>
      </c>
      <c r="Q116" s="39">
        <v>10</v>
      </c>
      <c r="R116" s="39">
        <v>9</v>
      </c>
      <c r="S116" s="39">
        <v>9</v>
      </c>
      <c r="T116" s="39">
        <v>9</v>
      </c>
      <c r="U116" s="39">
        <v>9</v>
      </c>
      <c r="V116" s="39">
        <v>9</v>
      </c>
      <c r="W116" s="40" t="str">
        <f t="shared" si="12"/>
        <v>N</v>
      </c>
      <c r="X116" s="84">
        <f t="shared" si="13"/>
        <v>0</v>
      </c>
      <c r="Y116" s="84" t="str">
        <f t="shared" si="11"/>
        <v>0-4.9%</v>
      </c>
      <c r="Z116" s="85" t="s">
        <v>224</v>
      </c>
      <c r="AA116" s="59"/>
      <c r="AB116" s="59"/>
      <c r="AC116" s="59"/>
      <c r="AD116" s="59"/>
    </row>
    <row r="117" spans="1:30" x14ac:dyDescent="0.25">
      <c r="A117" s="54" t="s">
        <v>257</v>
      </c>
      <c r="B117" s="55"/>
      <c r="C117" s="56" t="s">
        <v>671</v>
      </c>
      <c r="D117" s="57">
        <f t="shared" si="8"/>
        <v>7</v>
      </c>
      <c r="E117" s="56"/>
      <c r="F117" s="56" t="s">
        <v>205</v>
      </c>
      <c r="G117" s="56">
        <v>3.1</v>
      </c>
      <c r="H117" s="56">
        <v>4.3499999999999996</v>
      </c>
      <c r="I117" s="56"/>
      <c r="J117" s="56"/>
      <c r="K117" s="56"/>
      <c r="L117" s="56"/>
      <c r="M117" s="56"/>
      <c r="N117" s="58">
        <f t="shared" si="9"/>
        <v>7.4499999999999993</v>
      </c>
      <c r="O117" s="58">
        <f t="shared" si="10"/>
        <v>0.66389211864195385</v>
      </c>
      <c r="P117" s="39">
        <v>8</v>
      </c>
      <c r="Q117" s="39">
        <v>10</v>
      </c>
      <c r="R117" s="39">
        <v>9</v>
      </c>
      <c r="S117" s="39">
        <v>9</v>
      </c>
      <c r="T117" s="39">
        <v>9</v>
      </c>
      <c r="U117" s="39">
        <v>9</v>
      </c>
      <c r="V117" s="39">
        <v>9</v>
      </c>
      <c r="W117" s="40" t="str">
        <f t="shared" si="12"/>
        <v>N</v>
      </c>
      <c r="X117" s="84">
        <f t="shared" si="13"/>
        <v>0</v>
      </c>
      <c r="Y117" s="84" t="str">
        <f t="shared" si="11"/>
        <v>0-4.9%</v>
      </c>
      <c r="Z117" s="85" t="s">
        <v>224</v>
      </c>
      <c r="AA117" s="59"/>
      <c r="AB117" s="59"/>
      <c r="AC117" s="59"/>
      <c r="AD117" s="59"/>
    </row>
    <row r="118" spans="1:30" x14ac:dyDescent="0.25">
      <c r="A118" s="54" t="s">
        <v>268</v>
      </c>
      <c r="B118" s="55"/>
      <c r="C118" s="56" t="s">
        <v>680</v>
      </c>
      <c r="D118" s="57">
        <f t="shared" si="8"/>
        <v>7</v>
      </c>
      <c r="E118" s="56"/>
      <c r="F118" s="56" t="s">
        <v>205</v>
      </c>
      <c r="G118" s="56">
        <v>2.5499999999999998</v>
      </c>
      <c r="H118" s="56">
        <v>2.75</v>
      </c>
      <c r="I118" s="56"/>
      <c r="J118" s="56"/>
      <c r="K118" s="56"/>
      <c r="L118" s="56"/>
      <c r="M118" s="56"/>
      <c r="N118" s="58">
        <f t="shared" si="9"/>
        <v>5.3</v>
      </c>
      <c r="O118" s="58">
        <f t="shared" si="10"/>
        <v>0.14342858002066711</v>
      </c>
      <c r="P118" s="39">
        <v>8</v>
      </c>
      <c r="Q118" s="39">
        <v>10</v>
      </c>
      <c r="R118" s="39">
        <v>9</v>
      </c>
      <c r="S118" s="39">
        <v>9</v>
      </c>
      <c r="T118" s="39">
        <v>9</v>
      </c>
      <c r="U118" s="39">
        <v>9</v>
      </c>
      <c r="V118" s="39">
        <v>9</v>
      </c>
      <c r="W118" s="40" t="str">
        <f t="shared" si="12"/>
        <v>N</v>
      </c>
      <c r="X118" s="84">
        <f t="shared" si="13"/>
        <v>0</v>
      </c>
      <c r="Y118" s="84" t="str">
        <f t="shared" si="11"/>
        <v>0-4.9%</v>
      </c>
      <c r="Z118" s="85" t="s">
        <v>224</v>
      </c>
      <c r="AA118" s="59"/>
      <c r="AB118" s="59"/>
      <c r="AC118" s="59"/>
      <c r="AD118" s="59"/>
    </row>
    <row r="119" spans="1:30" x14ac:dyDescent="0.25">
      <c r="A119" s="54" t="s">
        <v>269</v>
      </c>
      <c r="B119" s="55"/>
      <c r="C119" s="56" t="s">
        <v>681</v>
      </c>
      <c r="D119" s="57">
        <f t="shared" si="8"/>
        <v>7</v>
      </c>
      <c r="E119" s="56"/>
      <c r="F119" s="56" t="s">
        <v>205</v>
      </c>
      <c r="G119" s="56">
        <v>3.45</v>
      </c>
      <c r="H119" s="56">
        <v>8.35</v>
      </c>
      <c r="I119" s="56"/>
      <c r="J119" s="56"/>
      <c r="K119" s="56"/>
      <c r="L119" s="56"/>
      <c r="M119" s="56"/>
      <c r="N119" s="58">
        <f t="shared" si="9"/>
        <v>11.8</v>
      </c>
      <c r="O119" s="58">
        <f t="shared" si="10"/>
        <v>5.2585174385414728</v>
      </c>
      <c r="P119" s="39">
        <v>8</v>
      </c>
      <c r="Q119" s="39">
        <v>10</v>
      </c>
      <c r="R119" s="39">
        <v>9</v>
      </c>
      <c r="S119" s="39">
        <v>9</v>
      </c>
      <c r="T119" s="39">
        <v>9</v>
      </c>
      <c r="U119" s="39">
        <v>9</v>
      </c>
      <c r="V119" s="39">
        <v>9</v>
      </c>
      <c r="W119" s="40" t="str">
        <f t="shared" si="12"/>
        <v>N</v>
      </c>
      <c r="X119" s="84">
        <f t="shared" si="13"/>
        <v>0</v>
      </c>
      <c r="Y119" s="84" t="str">
        <f t="shared" si="11"/>
        <v>0-4.9%</v>
      </c>
      <c r="Z119" s="85" t="s">
        <v>782</v>
      </c>
      <c r="AA119" s="59"/>
      <c r="AB119" s="59"/>
      <c r="AC119" s="59"/>
      <c r="AD119" s="59"/>
    </row>
    <row r="120" spans="1:30" x14ac:dyDescent="0.25">
      <c r="A120" s="54" t="s">
        <v>270</v>
      </c>
      <c r="B120" s="55"/>
      <c r="C120" s="56" t="s">
        <v>682</v>
      </c>
      <c r="D120" s="57">
        <f t="shared" si="8"/>
        <v>7</v>
      </c>
      <c r="E120" s="56"/>
      <c r="F120" s="56" t="s">
        <v>205</v>
      </c>
      <c r="G120" s="56">
        <v>3.9</v>
      </c>
      <c r="H120" s="56">
        <v>10</v>
      </c>
      <c r="I120" s="56"/>
      <c r="J120" s="56"/>
      <c r="K120" s="56"/>
      <c r="L120" s="56"/>
      <c r="M120" s="56"/>
      <c r="N120" s="58">
        <f t="shared" si="9"/>
        <v>13.9</v>
      </c>
      <c r="O120" s="58">
        <f t="shared" si="10"/>
        <v>10.989068656827685</v>
      </c>
      <c r="P120" s="39">
        <v>8</v>
      </c>
      <c r="Q120" s="39">
        <v>10</v>
      </c>
      <c r="R120" s="39">
        <v>9</v>
      </c>
      <c r="S120" s="39">
        <v>9</v>
      </c>
      <c r="T120" s="39">
        <v>9</v>
      </c>
      <c r="U120" s="39">
        <v>9</v>
      </c>
      <c r="V120" s="39">
        <v>9</v>
      </c>
      <c r="W120" s="40" t="str">
        <f t="shared" si="12"/>
        <v>N</v>
      </c>
      <c r="X120" s="84">
        <f t="shared" si="13"/>
        <v>0</v>
      </c>
      <c r="Y120" s="84" t="str">
        <f t="shared" si="11"/>
        <v>0-4.9%</v>
      </c>
      <c r="Z120" s="85" t="s">
        <v>788</v>
      </c>
      <c r="AA120" s="59"/>
      <c r="AB120" s="59"/>
      <c r="AC120" s="59"/>
      <c r="AD120" s="59"/>
    </row>
    <row r="121" spans="1:30" x14ac:dyDescent="0.25">
      <c r="A121" s="54" t="s">
        <v>274</v>
      </c>
      <c r="B121" s="55"/>
      <c r="C121" s="56" t="s">
        <v>686</v>
      </c>
      <c r="D121" s="57">
        <f t="shared" si="8"/>
        <v>7</v>
      </c>
      <c r="E121" s="56"/>
      <c r="F121" s="56" t="s">
        <v>205</v>
      </c>
      <c r="G121" s="56">
        <v>3.05</v>
      </c>
      <c r="H121" s="56">
        <v>9.75</v>
      </c>
      <c r="I121" s="56"/>
      <c r="J121" s="56"/>
      <c r="K121" s="56"/>
      <c r="L121" s="56"/>
      <c r="M121" s="56"/>
      <c r="N121" s="58">
        <f t="shared" si="9"/>
        <v>12.8</v>
      </c>
      <c r="O121" s="58">
        <f t="shared" si="10"/>
        <v>7.5829667035311212</v>
      </c>
      <c r="P121" s="39">
        <v>8</v>
      </c>
      <c r="Q121" s="39">
        <v>10</v>
      </c>
      <c r="R121" s="39">
        <v>9</v>
      </c>
      <c r="S121" s="39">
        <v>9</v>
      </c>
      <c r="T121" s="39">
        <v>9</v>
      </c>
      <c r="U121" s="39">
        <v>9</v>
      </c>
      <c r="V121" s="39">
        <v>9</v>
      </c>
      <c r="W121" s="40" t="str">
        <f t="shared" si="12"/>
        <v>N</v>
      </c>
      <c r="X121" s="84">
        <f t="shared" si="13"/>
        <v>0</v>
      </c>
      <c r="Y121" s="84" t="str">
        <f t="shared" si="11"/>
        <v>0-4.9%</v>
      </c>
      <c r="Z121" s="85" t="s">
        <v>786</v>
      </c>
      <c r="AA121" s="59"/>
      <c r="AB121" s="59"/>
      <c r="AC121" s="59"/>
      <c r="AD121" s="59"/>
    </row>
    <row r="122" spans="1:30" x14ac:dyDescent="0.25">
      <c r="A122" s="54" t="s">
        <v>277</v>
      </c>
      <c r="B122" s="55"/>
      <c r="C122" s="56" t="s">
        <v>689</v>
      </c>
      <c r="D122" s="57">
        <f t="shared" si="8"/>
        <v>7</v>
      </c>
      <c r="E122" s="56"/>
      <c r="F122" s="56" t="s">
        <v>205</v>
      </c>
      <c r="G122" s="56">
        <v>2.7</v>
      </c>
      <c r="H122" s="56">
        <v>2.5499999999999998</v>
      </c>
      <c r="I122" s="56"/>
      <c r="J122" s="56"/>
      <c r="K122" s="56"/>
      <c r="L122" s="56"/>
      <c r="M122" s="56"/>
      <c r="N122" s="58">
        <f t="shared" si="9"/>
        <v>5.25</v>
      </c>
      <c r="O122" s="58">
        <f t="shared" si="10"/>
        <v>0.13743936847427402</v>
      </c>
      <c r="P122" s="39">
        <v>8</v>
      </c>
      <c r="Q122" s="39">
        <v>10</v>
      </c>
      <c r="R122" s="39">
        <v>9</v>
      </c>
      <c r="S122" s="39">
        <v>9</v>
      </c>
      <c r="T122" s="39">
        <v>9</v>
      </c>
      <c r="U122" s="39">
        <v>9</v>
      </c>
      <c r="V122" s="39">
        <v>9</v>
      </c>
      <c r="W122" s="40" t="str">
        <f t="shared" si="12"/>
        <v>N</v>
      </c>
      <c r="X122" s="84">
        <f t="shared" si="13"/>
        <v>0</v>
      </c>
      <c r="Y122" s="84" t="str">
        <f t="shared" si="11"/>
        <v>0-4.9%</v>
      </c>
      <c r="Z122" s="85" t="s">
        <v>224</v>
      </c>
      <c r="AA122" s="59"/>
      <c r="AB122" s="59"/>
      <c r="AC122" s="59"/>
      <c r="AD122" s="59"/>
    </row>
    <row r="123" spans="1:30" x14ac:dyDescent="0.25">
      <c r="A123" s="54" t="s">
        <v>278</v>
      </c>
      <c r="B123" s="55"/>
      <c r="C123" s="56" t="s">
        <v>690</v>
      </c>
      <c r="D123" s="57">
        <f t="shared" si="8"/>
        <v>7</v>
      </c>
      <c r="E123" s="56"/>
      <c r="F123" s="56" t="s">
        <v>205</v>
      </c>
      <c r="G123" s="56">
        <v>1.6</v>
      </c>
      <c r="H123" s="56">
        <v>1.6</v>
      </c>
      <c r="I123" s="56"/>
      <c r="J123" s="56"/>
      <c r="K123" s="56"/>
      <c r="L123" s="56"/>
      <c r="M123" s="56"/>
      <c r="N123" s="58">
        <f t="shared" si="9"/>
        <v>3.2</v>
      </c>
      <c r="O123" s="58">
        <f t="shared" si="10"/>
        <v>1.4810481842834221E-2</v>
      </c>
      <c r="P123" s="39">
        <v>8</v>
      </c>
      <c r="Q123" s="39">
        <v>10</v>
      </c>
      <c r="R123" s="39">
        <v>9</v>
      </c>
      <c r="S123" s="39">
        <v>9</v>
      </c>
      <c r="T123" s="39">
        <v>9</v>
      </c>
      <c r="U123" s="39">
        <v>9</v>
      </c>
      <c r="V123" s="39">
        <v>9</v>
      </c>
      <c r="W123" s="40" t="str">
        <f t="shared" si="12"/>
        <v>N</v>
      </c>
      <c r="X123" s="84">
        <f t="shared" si="13"/>
        <v>0</v>
      </c>
      <c r="Y123" s="84" t="str">
        <f t="shared" si="11"/>
        <v>0-4.9%</v>
      </c>
      <c r="Z123" s="85" t="s">
        <v>224</v>
      </c>
      <c r="AA123" s="59"/>
      <c r="AB123" s="59"/>
      <c r="AC123" s="59"/>
      <c r="AD123" s="59"/>
    </row>
    <row r="124" spans="1:30" x14ac:dyDescent="0.25">
      <c r="A124" s="54" t="s">
        <v>279</v>
      </c>
      <c r="B124" s="55"/>
      <c r="C124" s="56" t="s">
        <v>691</v>
      </c>
      <c r="D124" s="57">
        <f t="shared" si="8"/>
        <v>7</v>
      </c>
      <c r="E124" s="56"/>
      <c r="F124" s="56" t="s">
        <v>205</v>
      </c>
      <c r="G124" s="56">
        <v>6.7</v>
      </c>
      <c r="H124" s="56">
        <v>8.6999999999999993</v>
      </c>
      <c r="I124" s="56"/>
      <c r="J124" s="56"/>
      <c r="K124" s="56"/>
      <c r="L124" s="56"/>
      <c r="M124" s="56"/>
      <c r="N124" s="58">
        <f t="shared" si="9"/>
        <v>15.399999999999999</v>
      </c>
      <c r="O124" s="58">
        <f t="shared" si="10"/>
        <v>17.427597831595975</v>
      </c>
      <c r="P124" s="39">
        <v>8</v>
      </c>
      <c r="Q124" s="39">
        <v>10</v>
      </c>
      <c r="R124" s="39">
        <v>9</v>
      </c>
      <c r="S124" s="39">
        <v>9</v>
      </c>
      <c r="T124" s="39">
        <v>9</v>
      </c>
      <c r="U124" s="39">
        <v>9</v>
      </c>
      <c r="V124" s="39">
        <v>9</v>
      </c>
      <c r="W124" s="40" t="str">
        <f t="shared" si="12"/>
        <v>N</v>
      </c>
      <c r="X124" s="84">
        <f t="shared" si="13"/>
        <v>0</v>
      </c>
      <c r="Y124" s="84" t="str">
        <f t="shared" si="11"/>
        <v>0-4.9%</v>
      </c>
      <c r="Z124" s="85" t="s">
        <v>794</v>
      </c>
      <c r="AA124" s="59"/>
      <c r="AB124" s="59"/>
      <c r="AC124" s="59"/>
      <c r="AD124" s="59"/>
    </row>
    <row r="125" spans="1:30" x14ac:dyDescent="0.25">
      <c r="A125" s="54" t="s">
        <v>280</v>
      </c>
      <c r="B125" s="55"/>
      <c r="C125" s="56" t="s">
        <v>692</v>
      </c>
      <c r="D125" s="57">
        <f t="shared" si="8"/>
        <v>7</v>
      </c>
      <c r="E125" s="56"/>
      <c r="F125" s="56" t="s">
        <v>205</v>
      </c>
      <c r="G125" s="56">
        <v>4.75</v>
      </c>
      <c r="H125" s="56">
        <v>8.35</v>
      </c>
      <c r="I125" s="56"/>
      <c r="J125" s="56"/>
      <c r="K125" s="56"/>
      <c r="L125" s="56"/>
      <c r="M125" s="56"/>
      <c r="N125" s="58">
        <f t="shared" si="9"/>
        <v>13.1</v>
      </c>
      <c r="O125" s="58">
        <f t="shared" si="10"/>
        <v>8.4161819520537975</v>
      </c>
      <c r="P125" s="39">
        <v>8</v>
      </c>
      <c r="Q125" s="39">
        <v>10</v>
      </c>
      <c r="R125" s="39">
        <v>9</v>
      </c>
      <c r="S125" s="39">
        <v>9</v>
      </c>
      <c r="T125" s="39">
        <v>9</v>
      </c>
      <c r="U125" s="39">
        <v>9</v>
      </c>
      <c r="V125" s="39">
        <v>9</v>
      </c>
      <c r="W125" s="40" t="str">
        <f t="shared" si="12"/>
        <v>N</v>
      </c>
      <c r="X125" s="84">
        <f t="shared" si="13"/>
        <v>0</v>
      </c>
      <c r="Y125" s="84" t="str">
        <f t="shared" si="11"/>
        <v>0-4.9%</v>
      </c>
      <c r="Z125" s="85" t="s">
        <v>224</v>
      </c>
      <c r="AA125" s="59"/>
      <c r="AB125" s="59"/>
      <c r="AC125" s="59"/>
      <c r="AD125" s="59"/>
    </row>
    <row r="126" spans="1:30" x14ac:dyDescent="0.25">
      <c r="A126" s="54" t="s">
        <v>281</v>
      </c>
      <c r="B126" s="55"/>
      <c r="C126" s="56" t="s">
        <v>693</v>
      </c>
      <c r="D126" s="57">
        <f t="shared" si="8"/>
        <v>7</v>
      </c>
      <c r="E126" s="56"/>
      <c r="F126" s="56" t="s">
        <v>205</v>
      </c>
      <c r="G126" s="56">
        <v>3.05</v>
      </c>
      <c r="H126" s="56">
        <v>6.95</v>
      </c>
      <c r="I126" s="56"/>
      <c r="J126" s="56"/>
      <c r="K126" s="56"/>
      <c r="L126" s="56"/>
      <c r="M126" s="56"/>
      <c r="N126" s="58">
        <f t="shared" si="9"/>
        <v>10</v>
      </c>
      <c r="O126" s="58">
        <f t="shared" si="10"/>
        <v>2.4968605384131233</v>
      </c>
      <c r="P126" s="39">
        <v>8</v>
      </c>
      <c r="Q126" s="39">
        <v>10</v>
      </c>
      <c r="R126" s="39">
        <v>9</v>
      </c>
      <c r="S126" s="39">
        <v>9</v>
      </c>
      <c r="T126" s="39">
        <v>9</v>
      </c>
      <c r="U126" s="39">
        <v>9</v>
      </c>
      <c r="V126" s="39">
        <v>9</v>
      </c>
      <c r="W126" s="40" t="str">
        <f t="shared" si="12"/>
        <v>N</v>
      </c>
      <c r="X126" s="84">
        <f t="shared" si="13"/>
        <v>0</v>
      </c>
      <c r="Y126" s="84" t="str">
        <f t="shared" si="11"/>
        <v>0-4.9%</v>
      </c>
      <c r="Z126" s="85" t="s">
        <v>224</v>
      </c>
      <c r="AA126" s="59"/>
      <c r="AB126" s="59"/>
      <c r="AC126" s="59"/>
      <c r="AD126" s="59"/>
    </row>
    <row r="127" spans="1:30" x14ac:dyDescent="0.25">
      <c r="A127" s="54" t="s">
        <v>282</v>
      </c>
      <c r="B127" s="55"/>
      <c r="C127" s="56" t="s">
        <v>694</v>
      </c>
      <c r="D127" s="57">
        <f t="shared" si="8"/>
        <v>7</v>
      </c>
      <c r="E127" s="56"/>
      <c r="F127" s="56" t="s">
        <v>205</v>
      </c>
      <c r="G127" s="56">
        <v>2.5499999999999998</v>
      </c>
      <c r="H127" s="56">
        <v>2.4</v>
      </c>
      <c r="I127" s="56"/>
      <c r="J127" s="56"/>
      <c r="K127" s="56"/>
      <c r="L127" s="56"/>
      <c r="M127" s="56"/>
      <c r="N127" s="58">
        <f t="shared" si="9"/>
        <v>4.9499999999999993</v>
      </c>
      <c r="O127" s="58">
        <f t="shared" si="10"/>
        <v>0.10546726424010647</v>
      </c>
      <c r="P127" s="39">
        <v>8</v>
      </c>
      <c r="Q127" s="39">
        <v>10</v>
      </c>
      <c r="R127" s="39">
        <v>9</v>
      </c>
      <c r="S127" s="39">
        <v>9</v>
      </c>
      <c r="T127" s="39">
        <v>9</v>
      </c>
      <c r="U127" s="39">
        <v>9</v>
      </c>
      <c r="V127" s="39">
        <v>9</v>
      </c>
      <c r="W127" s="40" t="str">
        <f t="shared" si="12"/>
        <v>N</v>
      </c>
      <c r="X127" s="84">
        <f t="shared" si="13"/>
        <v>0</v>
      </c>
      <c r="Y127" s="84" t="str">
        <f t="shared" si="11"/>
        <v>0-4.9%</v>
      </c>
      <c r="Z127" s="85" t="s">
        <v>224</v>
      </c>
      <c r="AA127" s="59"/>
      <c r="AB127" s="59"/>
      <c r="AC127" s="59"/>
      <c r="AD127" s="59"/>
    </row>
    <row r="128" spans="1:30" x14ac:dyDescent="0.25">
      <c r="A128" s="54" t="s">
        <v>283</v>
      </c>
      <c r="B128" s="55"/>
      <c r="C128" s="56" t="s">
        <v>695</v>
      </c>
      <c r="D128" s="57">
        <f t="shared" si="8"/>
        <v>7</v>
      </c>
      <c r="E128" s="56"/>
      <c r="F128" s="56" t="s">
        <v>205</v>
      </c>
      <c r="G128" s="56">
        <v>4.8499999999999996</v>
      </c>
      <c r="H128" s="56">
        <v>10.55</v>
      </c>
      <c r="I128" s="56"/>
      <c r="J128" s="56"/>
      <c r="K128" s="56"/>
      <c r="L128" s="56"/>
      <c r="M128" s="56"/>
      <c r="N128" s="58">
        <f t="shared" si="9"/>
        <v>15.4</v>
      </c>
      <c r="O128" s="58">
        <f t="shared" si="10"/>
        <v>17.427597831595985</v>
      </c>
      <c r="P128" s="39">
        <v>8</v>
      </c>
      <c r="Q128" s="39">
        <v>10</v>
      </c>
      <c r="R128" s="39">
        <v>9</v>
      </c>
      <c r="S128" s="39">
        <v>9</v>
      </c>
      <c r="T128" s="39">
        <v>9</v>
      </c>
      <c r="U128" s="39">
        <v>9</v>
      </c>
      <c r="V128" s="39">
        <v>9</v>
      </c>
      <c r="W128" s="40" t="str">
        <f t="shared" si="12"/>
        <v>Y</v>
      </c>
      <c r="X128" s="84">
        <f t="shared" si="13"/>
        <v>5.500000000000007E-2</v>
      </c>
      <c r="Y128" s="84" t="str">
        <f t="shared" si="11"/>
        <v>5-25%</v>
      </c>
      <c r="Z128" s="85" t="s">
        <v>782</v>
      </c>
      <c r="AA128" s="59"/>
      <c r="AB128" s="59"/>
      <c r="AC128" s="59"/>
      <c r="AD128" s="59"/>
    </row>
    <row r="129" spans="1:30" x14ac:dyDescent="0.25">
      <c r="A129" s="54" t="s">
        <v>289</v>
      </c>
      <c r="B129" s="55"/>
      <c r="C129" s="56" t="s">
        <v>248</v>
      </c>
      <c r="D129" s="57">
        <f t="shared" si="8"/>
        <v>7</v>
      </c>
      <c r="E129" s="56"/>
      <c r="F129" s="56" t="s">
        <v>205</v>
      </c>
      <c r="G129" s="56">
        <v>1.9</v>
      </c>
      <c r="H129" s="56">
        <v>2.2999999999999998</v>
      </c>
      <c r="I129" s="56"/>
      <c r="J129" s="56"/>
      <c r="K129" s="56"/>
      <c r="L129" s="56"/>
      <c r="M129" s="56"/>
      <c r="N129" s="58">
        <f t="shared" si="9"/>
        <v>4.1999999999999993</v>
      </c>
      <c r="O129" s="58">
        <f t="shared" si="10"/>
        <v>5.0351926590360495E-2</v>
      </c>
      <c r="P129" s="39">
        <v>8</v>
      </c>
      <c r="Q129" s="39">
        <v>10</v>
      </c>
      <c r="R129" s="39">
        <v>9</v>
      </c>
      <c r="S129" s="39">
        <v>9</v>
      </c>
      <c r="T129" s="39">
        <v>9</v>
      </c>
      <c r="U129" s="39">
        <v>9</v>
      </c>
      <c r="V129" s="39">
        <v>9</v>
      </c>
      <c r="W129" s="40" t="str">
        <f t="shared" si="12"/>
        <v>N</v>
      </c>
      <c r="X129" s="84">
        <f t="shared" si="13"/>
        <v>0</v>
      </c>
      <c r="Y129" s="84" t="str">
        <f t="shared" si="11"/>
        <v>0-4.9%</v>
      </c>
      <c r="Z129" s="85" t="s">
        <v>791</v>
      </c>
      <c r="AA129" s="59"/>
      <c r="AB129" s="59"/>
      <c r="AC129" s="59"/>
      <c r="AD129" s="59"/>
    </row>
    <row r="130" spans="1:30" x14ac:dyDescent="0.25">
      <c r="A130" s="54" t="s">
        <v>292</v>
      </c>
      <c r="B130" s="55"/>
      <c r="C130" s="56" t="s">
        <v>701</v>
      </c>
      <c r="D130" s="57">
        <f t="shared" si="8"/>
        <v>7</v>
      </c>
      <c r="E130" s="56"/>
      <c r="F130" s="56" t="s">
        <v>205</v>
      </c>
      <c r="G130" s="56">
        <v>2.9</v>
      </c>
      <c r="H130" s="56">
        <v>4.3499999999999996</v>
      </c>
      <c r="I130" s="56"/>
      <c r="J130" s="56"/>
      <c r="K130" s="56"/>
      <c r="L130" s="56"/>
      <c r="M130" s="56"/>
      <c r="N130" s="58">
        <f t="shared" si="9"/>
        <v>7.25</v>
      </c>
      <c r="O130" s="58">
        <f t="shared" si="10"/>
        <v>0.58737480679284171</v>
      </c>
      <c r="P130" s="39">
        <v>8</v>
      </c>
      <c r="Q130" s="39">
        <v>10</v>
      </c>
      <c r="R130" s="39">
        <v>9</v>
      </c>
      <c r="S130" s="39">
        <v>9</v>
      </c>
      <c r="T130" s="39">
        <v>9</v>
      </c>
      <c r="U130" s="39">
        <v>9</v>
      </c>
      <c r="V130" s="39">
        <v>9</v>
      </c>
      <c r="W130" s="40" t="str">
        <f t="shared" si="12"/>
        <v>N</v>
      </c>
      <c r="X130" s="84">
        <f t="shared" si="13"/>
        <v>0</v>
      </c>
      <c r="Y130" s="84" t="str">
        <f t="shared" si="11"/>
        <v>0-4.9%</v>
      </c>
      <c r="Z130" s="85" t="s">
        <v>812</v>
      </c>
      <c r="AA130" s="59"/>
      <c r="AB130" s="59"/>
      <c r="AC130" s="59"/>
      <c r="AD130" s="59"/>
    </row>
    <row r="131" spans="1:30" x14ac:dyDescent="0.25">
      <c r="A131" s="54" t="s">
        <v>304</v>
      </c>
      <c r="B131" s="55"/>
      <c r="C131" s="56" t="s">
        <v>713</v>
      </c>
      <c r="D131" s="57">
        <f t="shared" si="8"/>
        <v>7</v>
      </c>
      <c r="E131" s="56"/>
      <c r="F131" s="56" t="s">
        <v>205</v>
      </c>
      <c r="G131" s="56">
        <v>4.4000000000000004</v>
      </c>
      <c r="H131" s="56">
        <v>4.7</v>
      </c>
      <c r="I131" s="56"/>
      <c r="J131" s="56"/>
      <c r="K131" s="56"/>
      <c r="L131" s="56"/>
      <c r="M131" s="56"/>
      <c r="N131" s="58">
        <f t="shared" si="9"/>
        <v>9.1000000000000014</v>
      </c>
      <c r="O131" s="58">
        <f t="shared" si="10"/>
        <v>1.6333548673616813</v>
      </c>
      <c r="P131" s="39">
        <v>8</v>
      </c>
      <c r="Q131" s="39">
        <v>10</v>
      </c>
      <c r="R131" s="39">
        <v>9</v>
      </c>
      <c r="S131" s="39">
        <v>9</v>
      </c>
      <c r="T131" s="39">
        <v>9</v>
      </c>
      <c r="U131" s="39">
        <v>9</v>
      </c>
      <c r="V131" s="39">
        <v>9</v>
      </c>
      <c r="W131" s="40" t="str">
        <f t="shared" si="12"/>
        <v>N</v>
      </c>
      <c r="X131" s="84">
        <f t="shared" si="13"/>
        <v>0</v>
      </c>
      <c r="Y131" s="84" t="str">
        <f t="shared" si="11"/>
        <v>0-4.9%</v>
      </c>
      <c r="Z131" s="85" t="s">
        <v>224</v>
      </c>
      <c r="AA131" s="59"/>
      <c r="AB131" s="59"/>
      <c r="AC131" s="59"/>
      <c r="AD131" s="59"/>
    </row>
    <row r="132" spans="1:30" x14ac:dyDescent="0.25">
      <c r="A132" s="54" t="s">
        <v>306</v>
      </c>
      <c r="B132" s="55"/>
      <c r="C132" s="56" t="s">
        <v>715</v>
      </c>
      <c r="D132" s="57">
        <f t="shared" si="8"/>
        <v>7</v>
      </c>
      <c r="E132" s="56"/>
      <c r="F132" s="56" t="s">
        <v>205</v>
      </c>
      <c r="G132" s="56">
        <v>4.3</v>
      </c>
      <c r="H132" s="56">
        <v>7.5</v>
      </c>
      <c r="I132" s="56"/>
      <c r="J132" s="56"/>
      <c r="K132" s="56"/>
      <c r="L132" s="56"/>
      <c r="M132" s="56"/>
      <c r="N132" s="58">
        <f t="shared" si="9"/>
        <v>11.8</v>
      </c>
      <c r="O132" s="58">
        <f t="shared" si="10"/>
        <v>5.2585174385414728</v>
      </c>
      <c r="P132" s="39">
        <v>8</v>
      </c>
      <c r="Q132" s="39">
        <v>10</v>
      </c>
      <c r="R132" s="39">
        <v>9</v>
      </c>
      <c r="S132" s="39">
        <v>9</v>
      </c>
      <c r="T132" s="39">
        <v>9</v>
      </c>
      <c r="U132" s="39">
        <v>9</v>
      </c>
      <c r="V132" s="39">
        <v>9</v>
      </c>
      <c r="W132" s="40" t="str">
        <f t="shared" si="12"/>
        <v>N</v>
      </c>
      <c r="X132" s="84">
        <f t="shared" si="13"/>
        <v>0</v>
      </c>
      <c r="Y132" s="84" t="str">
        <f t="shared" si="11"/>
        <v>0-4.9%</v>
      </c>
      <c r="Z132" s="85" t="s">
        <v>782</v>
      </c>
      <c r="AA132" s="59"/>
      <c r="AB132" s="59"/>
      <c r="AC132" s="59"/>
      <c r="AD132" s="59"/>
    </row>
    <row r="133" spans="1:30" x14ac:dyDescent="0.25">
      <c r="A133" s="54" t="s">
        <v>308</v>
      </c>
      <c r="B133" s="55"/>
      <c r="C133" s="56" t="s">
        <v>474</v>
      </c>
      <c r="D133" s="57">
        <f t="shared" si="8"/>
        <v>7</v>
      </c>
      <c r="E133" s="56"/>
      <c r="F133" s="56" t="s">
        <v>205</v>
      </c>
      <c r="G133" s="56">
        <v>3.2</v>
      </c>
      <c r="H133" s="56">
        <v>6.25</v>
      </c>
      <c r="I133" s="56"/>
      <c r="J133" s="56"/>
      <c r="K133" s="56"/>
      <c r="L133" s="56"/>
      <c r="M133" s="56"/>
      <c r="N133" s="58">
        <f t="shared" si="9"/>
        <v>9.4499999999999993</v>
      </c>
      <c r="O133" s="58">
        <f t="shared" si="10"/>
        <v>1.935697209136847</v>
      </c>
      <c r="P133" s="39">
        <v>8</v>
      </c>
      <c r="Q133" s="39">
        <v>10</v>
      </c>
      <c r="R133" s="39">
        <v>9</v>
      </c>
      <c r="S133" s="39">
        <v>9</v>
      </c>
      <c r="T133" s="39">
        <v>9</v>
      </c>
      <c r="U133" s="39">
        <v>9</v>
      </c>
      <c r="V133" s="39">
        <v>9</v>
      </c>
      <c r="W133" s="40" t="str">
        <f t="shared" si="12"/>
        <v>N</v>
      </c>
      <c r="X133" s="84">
        <f t="shared" si="13"/>
        <v>0</v>
      </c>
      <c r="Y133" s="84" t="str">
        <f t="shared" si="11"/>
        <v>0-4.9%</v>
      </c>
      <c r="Z133" s="85" t="s">
        <v>224</v>
      </c>
      <c r="AA133" s="59"/>
      <c r="AB133" s="59"/>
      <c r="AC133" s="59"/>
      <c r="AD133" s="59"/>
    </row>
    <row r="134" spans="1:30" x14ac:dyDescent="0.25">
      <c r="A134" s="54" t="s">
        <v>312</v>
      </c>
      <c r="B134" s="55"/>
      <c r="C134" s="56" t="s">
        <v>719</v>
      </c>
      <c r="D134" s="57">
        <f t="shared" si="8"/>
        <v>7</v>
      </c>
      <c r="E134" s="56"/>
      <c r="F134" s="56" t="s">
        <v>205</v>
      </c>
      <c r="G134" s="56">
        <v>4.4000000000000004</v>
      </c>
      <c r="H134" s="56">
        <v>4.8</v>
      </c>
      <c r="I134" s="56"/>
      <c r="J134" s="56"/>
      <c r="K134" s="56"/>
      <c r="L134" s="56"/>
      <c r="M134" s="56"/>
      <c r="N134" s="58">
        <f t="shared" si="9"/>
        <v>9.1999999999999993</v>
      </c>
      <c r="O134" s="58">
        <f t="shared" si="10"/>
        <v>1.7156927207261141</v>
      </c>
      <c r="P134" s="39">
        <v>8</v>
      </c>
      <c r="Q134" s="39">
        <v>10</v>
      </c>
      <c r="R134" s="39">
        <v>9</v>
      </c>
      <c r="S134" s="39">
        <v>9</v>
      </c>
      <c r="T134" s="39">
        <v>9</v>
      </c>
      <c r="U134" s="39">
        <v>9</v>
      </c>
      <c r="V134" s="39">
        <v>9</v>
      </c>
      <c r="W134" s="40" t="str">
        <f t="shared" si="12"/>
        <v>N</v>
      </c>
      <c r="X134" s="84">
        <f t="shared" si="13"/>
        <v>0</v>
      </c>
      <c r="Y134" s="84" t="str">
        <f t="shared" si="11"/>
        <v>0-4.9%</v>
      </c>
      <c r="Z134" s="85" t="s">
        <v>794</v>
      </c>
      <c r="AA134" s="59"/>
      <c r="AB134" s="59"/>
      <c r="AC134" s="59"/>
      <c r="AD134" s="59"/>
    </row>
    <row r="135" spans="1:30" x14ac:dyDescent="0.25">
      <c r="A135" s="54" t="s">
        <v>314</v>
      </c>
      <c r="B135" s="55"/>
      <c r="C135" s="56" t="s">
        <v>721</v>
      </c>
      <c r="D135" s="57">
        <f t="shared" si="8"/>
        <v>7</v>
      </c>
      <c r="E135" s="56"/>
      <c r="F135" s="56" t="s">
        <v>205</v>
      </c>
      <c r="G135" s="56">
        <v>3.4</v>
      </c>
      <c r="H135" s="56">
        <v>4.4000000000000004</v>
      </c>
      <c r="I135" s="56"/>
      <c r="J135" s="56"/>
      <c r="K135" s="56"/>
      <c r="L135" s="56"/>
      <c r="M135" s="56"/>
      <c r="N135" s="58">
        <f t="shared" si="9"/>
        <v>7.8000000000000007</v>
      </c>
      <c r="O135" s="58">
        <f t="shared" si="10"/>
        <v>0.8162439921195942</v>
      </c>
      <c r="P135" s="39">
        <v>8</v>
      </c>
      <c r="Q135" s="39">
        <v>10</v>
      </c>
      <c r="R135" s="39">
        <v>9</v>
      </c>
      <c r="S135" s="39">
        <v>9</v>
      </c>
      <c r="T135" s="39">
        <v>9</v>
      </c>
      <c r="U135" s="39">
        <v>9</v>
      </c>
      <c r="V135" s="39">
        <v>9</v>
      </c>
      <c r="W135" s="40" t="str">
        <f t="shared" si="12"/>
        <v>N</v>
      </c>
      <c r="X135" s="84">
        <f t="shared" si="13"/>
        <v>0</v>
      </c>
      <c r="Y135" s="84" t="str">
        <f t="shared" si="11"/>
        <v>0-4.9%</v>
      </c>
      <c r="Z135" s="85" t="s">
        <v>224</v>
      </c>
      <c r="AA135" s="59"/>
      <c r="AB135" s="59"/>
      <c r="AC135" s="59"/>
      <c r="AD135" s="59"/>
    </row>
    <row r="136" spans="1:30" x14ac:dyDescent="0.25">
      <c r="A136" s="54" t="s">
        <v>315</v>
      </c>
      <c r="B136" s="55"/>
      <c r="C136" s="56" t="s">
        <v>722</v>
      </c>
      <c r="D136" s="57">
        <f t="shared" ref="D136:D199" si="14">IF(COUNT(G136:M136)&gt;3,10,IF(COUNT(G136:M136)&gt;2,9,7))</f>
        <v>7</v>
      </c>
      <c r="E136" s="56"/>
      <c r="F136" s="56" t="s">
        <v>205</v>
      </c>
      <c r="G136" s="56">
        <v>3.6</v>
      </c>
      <c r="H136" s="56">
        <v>6.8</v>
      </c>
      <c r="I136" s="56"/>
      <c r="J136" s="56"/>
      <c r="K136" s="56"/>
      <c r="L136" s="56"/>
      <c r="M136" s="56"/>
      <c r="N136" s="58">
        <f t="shared" ref="N136:N199" si="15">SUM(G136:M136)</f>
        <v>10.4</v>
      </c>
      <c r="O136" s="58">
        <f t="shared" ref="O136:O199" si="16">(N136/8.16)^4.5</f>
        <v>2.9788203524719394</v>
      </c>
      <c r="P136" s="39">
        <v>8</v>
      </c>
      <c r="Q136" s="39">
        <v>10</v>
      </c>
      <c r="R136" s="39">
        <v>9</v>
      </c>
      <c r="S136" s="39">
        <v>9</v>
      </c>
      <c r="T136" s="39">
        <v>9</v>
      </c>
      <c r="U136" s="39">
        <v>9</v>
      </c>
      <c r="V136" s="39">
        <v>9</v>
      </c>
      <c r="W136" s="40" t="str">
        <f t="shared" si="12"/>
        <v>N</v>
      </c>
      <c r="X136" s="84">
        <f t="shared" si="13"/>
        <v>0</v>
      </c>
      <c r="Y136" s="84" t="str">
        <f t="shared" ref="Y136:Y199" si="17">IF(X136&lt;5%,"0-4.9%",IF(X136&lt;25%,"5-25%",IF(X136&lt;50%,"25-50%","Over 50%")))</f>
        <v>0-4.9%</v>
      </c>
      <c r="Z136" s="85" t="s">
        <v>224</v>
      </c>
      <c r="AA136" s="59"/>
      <c r="AB136" s="59"/>
      <c r="AC136" s="59"/>
      <c r="AD136" s="59"/>
    </row>
    <row r="137" spans="1:30" x14ac:dyDescent="0.25">
      <c r="A137" s="54" t="s">
        <v>316</v>
      </c>
      <c r="B137" s="55"/>
      <c r="C137" s="56" t="s">
        <v>645</v>
      </c>
      <c r="D137" s="57">
        <f t="shared" si="14"/>
        <v>7</v>
      </c>
      <c r="E137" s="56"/>
      <c r="F137" s="56" t="s">
        <v>205</v>
      </c>
      <c r="G137" s="56">
        <v>2.4500000000000002</v>
      </c>
      <c r="H137" s="56">
        <v>2.75</v>
      </c>
      <c r="I137" s="56"/>
      <c r="J137" s="56"/>
      <c r="K137" s="56"/>
      <c r="L137" s="56"/>
      <c r="M137" s="56"/>
      <c r="N137" s="58">
        <f t="shared" si="15"/>
        <v>5.2</v>
      </c>
      <c r="O137" s="58">
        <f t="shared" si="16"/>
        <v>0.13164650444808809</v>
      </c>
      <c r="P137" s="39">
        <v>8</v>
      </c>
      <c r="Q137" s="39">
        <v>10</v>
      </c>
      <c r="R137" s="39">
        <v>9</v>
      </c>
      <c r="S137" s="39">
        <v>9</v>
      </c>
      <c r="T137" s="39">
        <v>9</v>
      </c>
      <c r="U137" s="39">
        <v>9</v>
      </c>
      <c r="V137" s="39">
        <v>9</v>
      </c>
      <c r="W137" s="40" t="str">
        <f t="shared" ref="W137:W200" si="18">IF(G137&gt;P137,"Y",IF(H137&gt;Q137,"Y",IF(I137&gt;R137,"Y",IF(J137&gt;S137,"Y",IF(K137&gt;T137,"Y",IF(L137&gt;U137,"Y",IF(M137&gt;V137,"Y","N")))))))</f>
        <v>N</v>
      </c>
      <c r="X137" s="84">
        <f t="shared" ref="X137:X200" si="19">IF(W137="Y",MAX((G137-P137),(H137-Q137),(I137-R137),(J137-S137),(K137-T137),(L137-U137),(M137-V137))/10,0)</f>
        <v>0</v>
      </c>
      <c r="Y137" s="84" t="str">
        <f t="shared" si="17"/>
        <v>0-4.9%</v>
      </c>
      <c r="Z137" s="85" t="s">
        <v>812</v>
      </c>
      <c r="AA137" s="59"/>
      <c r="AB137" s="59"/>
      <c r="AC137" s="59"/>
      <c r="AD137" s="59"/>
    </row>
    <row r="138" spans="1:30" x14ac:dyDescent="0.25">
      <c r="A138" s="54" t="s">
        <v>317</v>
      </c>
      <c r="B138" s="55"/>
      <c r="C138" s="56" t="s">
        <v>525</v>
      </c>
      <c r="D138" s="57">
        <f t="shared" si="14"/>
        <v>7</v>
      </c>
      <c r="E138" s="56"/>
      <c r="F138" s="56" t="s">
        <v>205</v>
      </c>
      <c r="G138" s="56">
        <v>2.65</v>
      </c>
      <c r="H138" s="56">
        <v>3.9</v>
      </c>
      <c r="I138" s="56"/>
      <c r="J138" s="56"/>
      <c r="K138" s="56"/>
      <c r="L138" s="56"/>
      <c r="M138" s="56"/>
      <c r="N138" s="58">
        <f t="shared" si="15"/>
        <v>6.55</v>
      </c>
      <c r="O138" s="58">
        <f t="shared" si="16"/>
        <v>0.37194620812481721</v>
      </c>
      <c r="P138" s="39">
        <v>8</v>
      </c>
      <c r="Q138" s="39">
        <v>10</v>
      </c>
      <c r="R138" s="39">
        <v>9</v>
      </c>
      <c r="S138" s="39">
        <v>9</v>
      </c>
      <c r="T138" s="39">
        <v>9</v>
      </c>
      <c r="U138" s="39">
        <v>9</v>
      </c>
      <c r="V138" s="39">
        <v>9</v>
      </c>
      <c r="W138" s="40" t="str">
        <f t="shared" si="18"/>
        <v>N</v>
      </c>
      <c r="X138" s="84">
        <f t="shared" si="19"/>
        <v>0</v>
      </c>
      <c r="Y138" s="84" t="str">
        <f t="shared" si="17"/>
        <v>0-4.9%</v>
      </c>
      <c r="Z138" s="85" t="s">
        <v>782</v>
      </c>
      <c r="AA138" s="59"/>
      <c r="AB138" s="59"/>
      <c r="AC138" s="59"/>
      <c r="AD138" s="59"/>
    </row>
    <row r="139" spans="1:30" x14ac:dyDescent="0.25">
      <c r="A139" s="54" t="s">
        <v>322</v>
      </c>
      <c r="B139" s="55"/>
      <c r="C139" s="56" t="s">
        <v>726</v>
      </c>
      <c r="D139" s="57">
        <f t="shared" si="14"/>
        <v>7</v>
      </c>
      <c r="E139" s="56"/>
      <c r="F139" s="56" t="s">
        <v>205</v>
      </c>
      <c r="G139" s="56">
        <v>2.9</v>
      </c>
      <c r="H139" s="56">
        <v>6.4</v>
      </c>
      <c r="I139" s="56"/>
      <c r="J139" s="56"/>
      <c r="K139" s="56"/>
      <c r="L139" s="56"/>
      <c r="M139" s="56"/>
      <c r="N139" s="58">
        <f t="shared" si="15"/>
        <v>9.3000000000000007</v>
      </c>
      <c r="O139" s="58">
        <f t="shared" si="16"/>
        <v>1.8012232912500172</v>
      </c>
      <c r="P139" s="39">
        <v>8</v>
      </c>
      <c r="Q139" s="39">
        <v>10</v>
      </c>
      <c r="R139" s="39">
        <v>9</v>
      </c>
      <c r="S139" s="39">
        <v>9</v>
      </c>
      <c r="T139" s="39">
        <v>9</v>
      </c>
      <c r="U139" s="39">
        <v>9</v>
      </c>
      <c r="V139" s="39">
        <v>9</v>
      </c>
      <c r="W139" s="40" t="str">
        <f t="shared" si="18"/>
        <v>N</v>
      </c>
      <c r="X139" s="84">
        <f t="shared" si="19"/>
        <v>0</v>
      </c>
      <c r="Y139" s="84" t="str">
        <f t="shared" si="17"/>
        <v>0-4.9%</v>
      </c>
      <c r="Z139" s="85" t="s">
        <v>812</v>
      </c>
      <c r="AA139" s="59"/>
      <c r="AB139" s="59"/>
      <c r="AC139" s="59"/>
      <c r="AD139" s="59"/>
    </row>
    <row r="140" spans="1:30" x14ac:dyDescent="0.25">
      <c r="A140" s="54" t="s">
        <v>329</v>
      </c>
      <c r="B140" s="55"/>
      <c r="C140" s="56" t="s">
        <v>730</v>
      </c>
      <c r="D140" s="57">
        <f t="shared" si="14"/>
        <v>7</v>
      </c>
      <c r="E140" s="56"/>
      <c r="F140" s="56" t="s">
        <v>205</v>
      </c>
      <c r="G140" s="56">
        <v>2.4500000000000002</v>
      </c>
      <c r="H140" s="56">
        <v>2.2999999999999998</v>
      </c>
      <c r="I140" s="56"/>
      <c r="J140" s="56"/>
      <c r="K140" s="56"/>
      <c r="L140" s="56"/>
      <c r="M140" s="56"/>
      <c r="N140" s="58">
        <f t="shared" si="15"/>
        <v>4.75</v>
      </c>
      <c r="O140" s="58">
        <f t="shared" si="16"/>
        <v>8.7602304072990911E-2</v>
      </c>
      <c r="P140" s="39">
        <v>8</v>
      </c>
      <c r="Q140" s="39">
        <v>10</v>
      </c>
      <c r="R140" s="39">
        <v>9</v>
      </c>
      <c r="S140" s="39">
        <v>9</v>
      </c>
      <c r="T140" s="39">
        <v>9</v>
      </c>
      <c r="U140" s="39">
        <v>9</v>
      </c>
      <c r="V140" s="39">
        <v>9</v>
      </c>
      <c r="W140" s="40" t="str">
        <f t="shared" si="18"/>
        <v>N</v>
      </c>
      <c r="X140" s="84">
        <f t="shared" si="19"/>
        <v>0</v>
      </c>
      <c r="Y140" s="84" t="str">
        <f t="shared" si="17"/>
        <v>0-4.9%</v>
      </c>
      <c r="Z140" s="85" t="s">
        <v>224</v>
      </c>
      <c r="AA140" s="59"/>
      <c r="AB140" s="59"/>
      <c r="AC140" s="59"/>
      <c r="AD140" s="59"/>
    </row>
    <row r="141" spans="1:30" x14ac:dyDescent="0.25">
      <c r="A141" s="68" t="s">
        <v>332</v>
      </c>
      <c r="B141" s="69"/>
      <c r="C141" s="70" t="s">
        <v>732</v>
      </c>
      <c r="D141" s="57">
        <f t="shared" si="14"/>
        <v>7</v>
      </c>
      <c r="E141" s="70"/>
      <c r="F141" s="70" t="s">
        <v>205</v>
      </c>
      <c r="G141" s="70">
        <v>5</v>
      </c>
      <c r="H141" s="70">
        <v>9.85</v>
      </c>
      <c r="I141" s="70"/>
      <c r="J141" s="70"/>
      <c r="K141" s="70"/>
      <c r="L141" s="70"/>
      <c r="M141" s="70"/>
      <c r="N141" s="58">
        <f t="shared" si="15"/>
        <v>14.85</v>
      </c>
      <c r="O141" s="58">
        <f t="shared" si="16"/>
        <v>14.796647476131691</v>
      </c>
      <c r="P141" s="39">
        <v>8</v>
      </c>
      <c r="Q141" s="39">
        <v>10</v>
      </c>
      <c r="R141" s="39">
        <v>9</v>
      </c>
      <c r="S141" s="39">
        <v>9</v>
      </c>
      <c r="T141" s="39">
        <v>9</v>
      </c>
      <c r="U141" s="39">
        <v>9</v>
      </c>
      <c r="V141" s="39">
        <v>9</v>
      </c>
      <c r="W141" s="40" t="str">
        <f t="shared" si="18"/>
        <v>N</v>
      </c>
      <c r="X141" s="84">
        <f t="shared" si="19"/>
        <v>0</v>
      </c>
      <c r="Y141" s="84" t="str">
        <f t="shared" si="17"/>
        <v>0-4.9%</v>
      </c>
      <c r="Z141" s="89" t="s">
        <v>782</v>
      </c>
      <c r="AA141" s="59"/>
      <c r="AB141" s="59"/>
      <c r="AC141" s="59"/>
      <c r="AD141" s="59"/>
    </row>
    <row r="142" spans="1:30" x14ac:dyDescent="0.25">
      <c r="A142" s="54" t="s">
        <v>335</v>
      </c>
      <c r="B142" s="55"/>
      <c r="C142" s="56" t="s">
        <v>368</v>
      </c>
      <c r="D142" s="57">
        <f t="shared" si="14"/>
        <v>7</v>
      </c>
      <c r="E142" s="56"/>
      <c r="F142" s="56" t="s">
        <v>205</v>
      </c>
      <c r="G142" s="56">
        <v>5.8</v>
      </c>
      <c r="H142" s="56">
        <v>5.85</v>
      </c>
      <c r="I142" s="56"/>
      <c r="J142" s="56"/>
      <c r="K142" s="56"/>
      <c r="L142" s="56"/>
      <c r="M142" s="56"/>
      <c r="N142" s="58">
        <f t="shared" si="15"/>
        <v>11.649999999999999</v>
      </c>
      <c r="O142" s="58">
        <f t="shared" si="16"/>
        <v>4.9643335042305177</v>
      </c>
      <c r="P142" s="39">
        <v>8</v>
      </c>
      <c r="Q142" s="39">
        <v>10</v>
      </c>
      <c r="R142" s="39">
        <v>9</v>
      </c>
      <c r="S142" s="39">
        <v>9</v>
      </c>
      <c r="T142" s="39">
        <v>9</v>
      </c>
      <c r="U142" s="39">
        <v>9</v>
      </c>
      <c r="V142" s="39">
        <v>9</v>
      </c>
      <c r="W142" s="40" t="str">
        <f t="shared" si="18"/>
        <v>N</v>
      </c>
      <c r="X142" s="84">
        <f t="shared" si="19"/>
        <v>0</v>
      </c>
      <c r="Y142" s="84" t="str">
        <f t="shared" si="17"/>
        <v>0-4.9%</v>
      </c>
      <c r="Z142" s="85" t="s">
        <v>788</v>
      </c>
      <c r="AA142" s="59"/>
      <c r="AB142" s="59"/>
      <c r="AC142" s="59"/>
      <c r="AD142" s="59"/>
    </row>
    <row r="143" spans="1:30" x14ac:dyDescent="0.25">
      <c r="A143" s="54" t="s">
        <v>344</v>
      </c>
      <c r="B143" s="55"/>
      <c r="C143" s="56" t="s">
        <v>741</v>
      </c>
      <c r="D143" s="57">
        <f t="shared" si="14"/>
        <v>7</v>
      </c>
      <c r="E143" s="56"/>
      <c r="F143" s="56" t="s">
        <v>205</v>
      </c>
      <c r="G143" s="56">
        <v>6.3</v>
      </c>
      <c r="H143" s="56">
        <v>13.55</v>
      </c>
      <c r="I143" s="56"/>
      <c r="J143" s="56"/>
      <c r="K143" s="56"/>
      <c r="L143" s="56"/>
      <c r="M143" s="56"/>
      <c r="N143" s="58">
        <f t="shared" si="15"/>
        <v>19.850000000000001</v>
      </c>
      <c r="O143" s="58">
        <f t="shared" si="16"/>
        <v>54.615584460733857</v>
      </c>
      <c r="P143" s="39">
        <v>8</v>
      </c>
      <c r="Q143" s="39">
        <v>10</v>
      </c>
      <c r="R143" s="39">
        <v>9</v>
      </c>
      <c r="S143" s="39">
        <v>9</v>
      </c>
      <c r="T143" s="39">
        <v>9</v>
      </c>
      <c r="U143" s="39">
        <v>9</v>
      </c>
      <c r="V143" s="39">
        <v>9</v>
      </c>
      <c r="W143" s="40" t="str">
        <f t="shared" si="18"/>
        <v>Y</v>
      </c>
      <c r="X143" s="84">
        <f t="shared" si="19"/>
        <v>0.35500000000000009</v>
      </c>
      <c r="Y143" s="84" t="str">
        <f t="shared" si="17"/>
        <v>25-50%</v>
      </c>
      <c r="Z143" s="85" t="s">
        <v>224</v>
      </c>
      <c r="AA143" s="59"/>
      <c r="AB143" s="59"/>
      <c r="AC143" s="59"/>
      <c r="AD143" s="59"/>
    </row>
    <row r="144" spans="1:30" x14ac:dyDescent="0.25">
      <c r="A144" s="54" t="s">
        <v>346</v>
      </c>
      <c r="B144" s="55"/>
      <c r="C144" s="56" t="s">
        <v>743</v>
      </c>
      <c r="D144" s="57">
        <f t="shared" si="14"/>
        <v>7</v>
      </c>
      <c r="E144" s="56"/>
      <c r="F144" s="56" t="s">
        <v>205</v>
      </c>
      <c r="G144" s="56">
        <v>2.35</v>
      </c>
      <c r="H144" s="56">
        <v>2.6</v>
      </c>
      <c r="I144" s="56"/>
      <c r="J144" s="56"/>
      <c r="K144" s="56"/>
      <c r="L144" s="56"/>
      <c r="M144" s="56"/>
      <c r="N144" s="58">
        <f t="shared" si="15"/>
        <v>4.95</v>
      </c>
      <c r="O144" s="58">
        <f t="shared" si="16"/>
        <v>0.10546726424010656</v>
      </c>
      <c r="P144" s="39">
        <v>8</v>
      </c>
      <c r="Q144" s="39">
        <v>10</v>
      </c>
      <c r="R144" s="39">
        <v>9</v>
      </c>
      <c r="S144" s="39">
        <v>9</v>
      </c>
      <c r="T144" s="39">
        <v>9</v>
      </c>
      <c r="U144" s="39">
        <v>9</v>
      </c>
      <c r="V144" s="39">
        <v>9</v>
      </c>
      <c r="W144" s="40" t="str">
        <f t="shared" si="18"/>
        <v>N</v>
      </c>
      <c r="X144" s="84">
        <f t="shared" si="19"/>
        <v>0</v>
      </c>
      <c r="Y144" s="84" t="str">
        <f t="shared" si="17"/>
        <v>0-4.9%</v>
      </c>
      <c r="Z144" s="85" t="s">
        <v>224</v>
      </c>
      <c r="AA144" s="59"/>
      <c r="AB144" s="59"/>
      <c r="AC144" s="59"/>
      <c r="AD144" s="59"/>
    </row>
    <row r="145" spans="1:30" x14ac:dyDescent="0.25">
      <c r="A145" s="54" t="s">
        <v>353</v>
      </c>
      <c r="B145" s="55"/>
      <c r="C145" s="56" t="s">
        <v>750</v>
      </c>
      <c r="D145" s="57">
        <f t="shared" si="14"/>
        <v>7</v>
      </c>
      <c r="E145" s="56"/>
      <c r="F145" s="56" t="s">
        <v>205</v>
      </c>
      <c r="G145" s="56">
        <v>3.7</v>
      </c>
      <c r="H145" s="56">
        <v>4.95</v>
      </c>
      <c r="I145" s="56"/>
      <c r="J145" s="56"/>
      <c r="K145" s="56"/>
      <c r="L145" s="56"/>
      <c r="M145" s="56"/>
      <c r="N145" s="58">
        <f t="shared" si="15"/>
        <v>8.65</v>
      </c>
      <c r="O145" s="58">
        <f t="shared" si="16"/>
        <v>1.3000700970935088</v>
      </c>
      <c r="P145" s="39">
        <v>8</v>
      </c>
      <c r="Q145" s="39">
        <v>10</v>
      </c>
      <c r="R145" s="39">
        <v>9</v>
      </c>
      <c r="S145" s="39">
        <v>9</v>
      </c>
      <c r="T145" s="39">
        <v>9</v>
      </c>
      <c r="U145" s="39">
        <v>9</v>
      </c>
      <c r="V145" s="39">
        <v>9</v>
      </c>
      <c r="W145" s="40" t="str">
        <f t="shared" si="18"/>
        <v>N</v>
      </c>
      <c r="X145" s="84">
        <f t="shared" si="19"/>
        <v>0</v>
      </c>
      <c r="Y145" s="84" t="str">
        <f t="shared" si="17"/>
        <v>0-4.9%</v>
      </c>
      <c r="Z145" s="85" t="s">
        <v>224</v>
      </c>
      <c r="AA145" s="59"/>
      <c r="AB145" s="59"/>
      <c r="AC145" s="59"/>
      <c r="AD145" s="59"/>
    </row>
    <row r="146" spans="1:30" x14ac:dyDescent="0.25">
      <c r="A146" s="54" t="s">
        <v>354</v>
      </c>
      <c r="B146" s="55"/>
      <c r="C146" s="56" t="s">
        <v>751</v>
      </c>
      <c r="D146" s="57">
        <f t="shared" si="14"/>
        <v>7</v>
      </c>
      <c r="E146" s="56"/>
      <c r="F146" s="56" t="s">
        <v>205</v>
      </c>
      <c r="G146" s="56">
        <v>3.05</v>
      </c>
      <c r="H146" s="56">
        <v>3.65</v>
      </c>
      <c r="I146" s="56"/>
      <c r="J146" s="56"/>
      <c r="K146" s="56"/>
      <c r="L146" s="56"/>
      <c r="M146" s="56"/>
      <c r="N146" s="58">
        <f t="shared" si="15"/>
        <v>6.6999999999999993</v>
      </c>
      <c r="O146" s="58">
        <f t="shared" si="16"/>
        <v>0.41184224987507018</v>
      </c>
      <c r="P146" s="39">
        <v>8</v>
      </c>
      <c r="Q146" s="39">
        <v>10</v>
      </c>
      <c r="R146" s="39">
        <v>9</v>
      </c>
      <c r="S146" s="39">
        <v>9</v>
      </c>
      <c r="T146" s="39">
        <v>9</v>
      </c>
      <c r="U146" s="39">
        <v>9</v>
      </c>
      <c r="V146" s="39">
        <v>9</v>
      </c>
      <c r="W146" s="40" t="str">
        <f t="shared" si="18"/>
        <v>N</v>
      </c>
      <c r="X146" s="84">
        <f t="shared" si="19"/>
        <v>0</v>
      </c>
      <c r="Y146" s="84" t="str">
        <f t="shared" si="17"/>
        <v>0-4.9%</v>
      </c>
      <c r="Z146" s="85" t="s">
        <v>224</v>
      </c>
      <c r="AA146" s="59"/>
      <c r="AB146" s="59"/>
      <c r="AC146" s="59"/>
      <c r="AD146" s="59"/>
    </row>
    <row r="147" spans="1:30" x14ac:dyDescent="0.25">
      <c r="A147" s="54" t="s">
        <v>355</v>
      </c>
      <c r="B147" s="55"/>
      <c r="C147" s="56" t="s">
        <v>752</v>
      </c>
      <c r="D147" s="57">
        <f t="shared" si="14"/>
        <v>7</v>
      </c>
      <c r="E147" s="56"/>
      <c r="F147" s="56" t="s">
        <v>205</v>
      </c>
      <c r="G147" s="56">
        <v>4.9000000000000004</v>
      </c>
      <c r="H147" s="56">
        <v>11.45</v>
      </c>
      <c r="I147" s="56"/>
      <c r="J147" s="56"/>
      <c r="K147" s="56"/>
      <c r="L147" s="56"/>
      <c r="M147" s="56"/>
      <c r="N147" s="58">
        <f t="shared" si="15"/>
        <v>16.350000000000001</v>
      </c>
      <c r="O147" s="58">
        <f t="shared" si="16"/>
        <v>22.8151953719156</v>
      </c>
      <c r="P147" s="39">
        <v>8</v>
      </c>
      <c r="Q147" s="39">
        <v>10</v>
      </c>
      <c r="R147" s="39">
        <v>9</v>
      </c>
      <c r="S147" s="39">
        <v>9</v>
      </c>
      <c r="T147" s="39">
        <v>9</v>
      </c>
      <c r="U147" s="39">
        <v>9</v>
      </c>
      <c r="V147" s="39">
        <v>9</v>
      </c>
      <c r="W147" s="40" t="str">
        <f t="shared" si="18"/>
        <v>Y</v>
      </c>
      <c r="X147" s="84">
        <f t="shared" si="19"/>
        <v>0.14499999999999993</v>
      </c>
      <c r="Y147" s="84" t="str">
        <f t="shared" si="17"/>
        <v>5-25%</v>
      </c>
      <c r="Z147" s="85" t="s">
        <v>788</v>
      </c>
      <c r="AA147" s="59"/>
      <c r="AB147" s="59"/>
      <c r="AC147" s="59"/>
      <c r="AD147" s="59"/>
    </row>
    <row r="148" spans="1:30" x14ac:dyDescent="0.25">
      <c r="A148" s="54" t="s">
        <v>357</v>
      </c>
      <c r="B148" s="55"/>
      <c r="C148" s="56" t="s">
        <v>753</v>
      </c>
      <c r="D148" s="57">
        <f t="shared" si="14"/>
        <v>7</v>
      </c>
      <c r="E148" s="56"/>
      <c r="F148" s="56" t="s">
        <v>205</v>
      </c>
      <c r="G148" s="56">
        <v>2.5499999999999998</v>
      </c>
      <c r="H148" s="56">
        <v>2.65</v>
      </c>
      <c r="I148" s="56"/>
      <c r="J148" s="56"/>
      <c r="K148" s="56"/>
      <c r="L148" s="56"/>
      <c r="M148" s="56"/>
      <c r="N148" s="58">
        <f t="shared" si="15"/>
        <v>5.1999999999999993</v>
      </c>
      <c r="O148" s="58">
        <f t="shared" si="16"/>
        <v>0.13164650444808809</v>
      </c>
      <c r="P148" s="39">
        <v>8</v>
      </c>
      <c r="Q148" s="39">
        <v>10</v>
      </c>
      <c r="R148" s="39">
        <v>9</v>
      </c>
      <c r="S148" s="39">
        <v>9</v>
      </c>
      <c r="T148" s="39">
        <v>9</v>
      </c>
      <c r="U148" s="39">
        <v>9</v>
      </c>
      <c r="V148" s="39">
        <v>9</v>
      </c>
      <c r="W148" s="40" t="str">
        <f t="shared" si="18"/>
        <v>N</v>
      </c>
      <c r="X148" s="84">
        <f t="shared" si="19"/>
        <v>0</v>
      </c>
      <c r="Y148" s="84" t="str">
        <f t="shared" si="17"/>
        <v>0-4.9%</v>
      </c>
      <c r="Z148" s="85" t="s">
        <v>224</v>
      </c>
      <c r="AA148" s="59"/>
      <c r="AB148" s="59"/>
      <c r="AC148" s="59"/>
      <c r="AD148" s="59"/>
    </row>
    <row r="149" spans="1:30" x14ac:dyDescent="0.25">
      <c r="A149" s="54" t="s">
        <v>360</v>
      </c>
      <c r="B149" s="55"/>
      <c r="C149" s="56" t="s">
        <v>523</v>
      </c>
      <c r="D149" s="57">
        <f t="shared" si="14"/>
        <v>7</v>
      </c>
      <c r="E149" s="56"/>
      <c r="F149" s="56" t="s">
        <v>205</v>
      </c>
      <c r="G149" s="56">
        <v>3.85</v>
      </c>
      <c r="H149" s="56">
        <v>7.5</v>
      </c>
      <c r="I149" s="56"/>
      <c r="J149" s="56"/>
      <c r="K149" s="56"/>
      <c r="L149" s="56"/>
      <c r="M149" s="56"/>
      <c r="N149" s="58">
        <f t="shared" si="15"/>
        <v>11.35</v>
      </c>
      <c r="O149" s="58">
        <f t="shared" si="16"/>
        <v>4.4144404484513853</v>
      </c>
      <c r="P149" s="39">
        <v>8</v>
      </c>
      <c r="Q149" s="39">
        <v>10</v>
      </c>
      <c r="R149" s="39">
        <v>9</v>
      </c>
      <c r="S149" s="39">
        <v>9</v>
      </c>
      <c r="T149" s="39">
        <v>9</v>
      </c>
      <c r="U149" s="39">
        <v>9</v>
      </c>
      <c r="V149" s="39">
        <v>9</v>
      </c>
      <c r="W149" s="40" t="str">
        <f t="shared" si="18"/>
        <v>N</v>
      </c>
      <c r="X149" s="84">
        <f t="shared" si="19"/>
        <v>0</v>
      </c>
      <c r="Y149" s="84" t="str">
        <f t="shared" si="17"/>
        <v>0-4.9%</v>
      </c>
      <c r="Z149" s="85" t="s">
        <v>224</v>
      </c>
      <c r="AA149" s="59"/>
      <c r="AB149" s="59"/>
      <c r="AC149" s="59"/>
      <c r="AD149" s="59"/>
    </row>
    <row r="150" spans="1:30" x14ac:dyDescent="0.25">
      <c r="A150" s="54" t="s">
        <v>364</v>
      </c>
      <c r="B150" s="55"/>
      <c r="C150" s="56" t="s">
        <v>758</v>
      </c>
      <c r="D150" s="57">
        <f t="shared" si="14"/>
        <v>7</v>
      </c>
      <c r="E150" s="56"/>
      <c r="F150" s="56" t="s">
        <v>205</v>
      </c>
      <c r="G150" s="56">
        <v>2.15</v>
      </c>
      <c r="H150" s="56">
        <v>2.8</v>
      </c>
      <c r="I150" s="56"/>
      <c r="J150" s="56"/>
      <c r="K150" s="56"/>
      <c r="L150" s="56"/>
      <c r="M150" s="56"/>
      <c r="N150" s="58">
        <f t="shared" si="15"/>
        <v>4.9499999999999993</v>
      </c>
      <c r="O150" s="58">
        <f t="shared" si="16"/>
        <v>0.10546726424010647</v>
      </c>
      <c r="P150" s="39">
        <v>8</v>
      </c>
      <c r="Q150" s="39">
        <v>10</v>
      </c>
      <c r="R150" s="39">
        <v>9</v>
      </c>
      <c r="S150" s="39">
        <v>9</v>
      </c>
      <c r="T150" s="39">
        <v>9</v>
      </c>
      <c r="U150" s="39">
        <v>9</v>
      </c>
      <c r="V150" s="39">
        <v>9</v>
      </c>
      <c r="W150" s="40" t="str">
        <f t="shared" si="18"/>
        <v>N</v>
      </c>
      <c r="X150" s="84">
        <f t="shared" si="19"/>
        <v>0</v>
      </c>
      <c r="Y150" s="84" t="str">
        <f t="shared" si="17"/>
        <v>0-4.9%</v>
      </c>
      <c r="Z150" s="85" t="s">
        <v>788</v>
      </c>
      <c r="AA150" s="59"/>
      <c r="AB150" s="59"/>
      <c r="AC150" s="59"/>
      <c r="AD150" s="59"/>
    </row>
    <row r="151" spans="1:30" x14ac:dyDescent="0.25">
      <c r="A151" s="54" t="s">
        <v>367</v>
      </c>
      <c r="B151" s="55"/>
      <c r="C151" s="56" t="s">
        <v>759</v>
      </c>
      <c r="D151" s="57">
        <f t="shared" si="14"/>
        <v>7</v>
      </c>
      <c r="E151" s="56"/>
      <c r="F151" s="56" t="s">
        <v>205</v>
      </c>
      <c r="G151" s="56">
        <v>4.2</v>
      </c>
      <c r="H151" s="56">
        <v>10.55</v>
      </c>
      <c r="I151" s="56"/>
      <c r="J151" s="56"/>
      <c r="K151" s="56"/>
      <c r="L151" s="56"/>
      <c r="M151" s="56"/>
      <c r="N151" s="58">
        <f t="shared" si="15"/>
        <v>14.75</v>
      </c>
      <c r="O151" s="58">
        <f t="shared" si="16"/>
        <v>14.353518619930183</v>
      </c>
      <c r="P151" s="39">
        <v>8</v>
      </c>
      <c r="Q151" s="39">
        <v>10</v>
      </c>
      <c r="R151" s="39">
        <v>9</v>
      </c>
      <c r="S151" s="39">
        <v>9</v>
      </c>
      <c r="T151" s="39">
        <v>9</v>
      </c>
      <c r="U151" s="39">
        <v>9</v>
      </c>
      <c r="V151" s="39">
        <v>9</v>
      </c>
      <c r="W151" s="40" t="str">
        <f t="shared" si="18"/>
        <v>Y</v>
      </c>
      <c r="X151" s="84">
        <f t="shared" si="19"/>
        <v>5.500000000000007E-2</v>
      </c>
      <c r="Y151" s="84" t="str">
        <f t="shared" si="17"/>
        <v>5-25%</v>
      </c>
      <c r="Z151" s="85" t="s">
        <v>224</v>
      </c>
      <c r="AA151" s="59"/>
      <c r="AB151" s="59"/>
      <c r="AC151" s="59"/>
      <c r="AD151" s="59"/>
    </row>
    <row r="152" spans="1:30" x14ac:dyDescent="0.25">
      <c r="A152" s="54" t="s">
        <v>760</v>
      </c>
      <c r="B152" s="55"/>
      <c r="C152" s="56" t="s">
        <v>761</v>
      </c>
      <c r="D152" s="57">
        <f t="shared" si="14"/>
        <v>7</v>
      </c>
      <c r="E152" s="56"/>
      <c r="F152" s="56" t="s">
        <v>205</v>
      </c>
      <c r="G152" s="56">
        <v>2.9</v>
      </c>
      <c r="H152" s="56">
        <v>3.2</v>
      </c>
      <c r="I152" s="56"/>
      <c r="J152" s="56"/>
      <c r="K152" s="56"/>
      <c r="L152" s="56"/>
      <c r="M152" s="56"/>
      <c r="N152" s="58">
        <f t="shared" si="15"/>
        <v>6.1</v>
      </c>
      <c r="O152" s="58">
        <f t="shared" si="16"/>
        <v>0.27000918822890069</v>
      </c>
      <c r="P152" s="39">
        <v>8</v>
      </c>
      <c r="Q152" s="39">
        <v>10</v>
      </c>
      <c r="R152" s="39">
        <v>9</v>
      </c>
      <c r="S152" s="39">
        <v>9</v>
      </c>
      <c r="T152" s="39">
        <v>9</v>
      </c>
      <c r="U152" s="39">
        <v>9</v>
      </c>
      <c r="V152" s="39">
        <v>9</v>
      </c>
      <c r="W152" s="40" t="str">
        <f t="shared" si="18"/>
        <v>N</v>
      </c>
      <c r="X152" s="84">
        <f t="shared" si="19"/>
        <v>0</v>
      </c>
      <c r="Y152" s="84" t="str">
        <f t="shared" si="17"/>
        <v>0-4.9%</v>
      </c>
      <c r="Z152" s="85" t="s">
        <v>812</v>
      </c>
      <c r="AA152" s="59"/>
      <c r="AB152" s="59"/>
      <c r="AC152" s="59"/>
      <c r="AD152" s="59"/>
    </row>
    <row r="153" spans="1:30" x14ac:dyDescent="0.25">
      <c r="A153" s="54" t="s">
        <v>762</v>
      </c>
      <c r="B153" s="55"/>
      <c r="C153" s="56" t="s">
        <v>763</v>
      </c>
      <c r="D153" s="57">
        <f t="shared" si="14"/>
        <v>7</v>
      </c>
      <c r="E153" s="56"/>
      <c r="F153" s="56" t="s">
        <v>205</v>
      </c>
      <c r="G153" s="56">
        <v>1.65</v>
      </c>
      <c r="H153" s="56">
        <v>2.2000000000000002</v>
      </c>
      <c r="I153" s="56"/>
      <c r="J153" s="56"/>
      <c r="K153" s="56"/>
      <c r="L153" s="56"/>
      <c r="M153" s="56"/>
      <c r="N153" s="58">
        <f t="shared" si="15"/>
        <v>3.85</v>
      </c>
      <c r="O153" s="58">
        <f t="shared" si="16"/>
        <v>3.4038277014835909E-2</v>
      </c>
      <c r="P153" s="39">
        <v>8</v>
      </c>
      <c r="Q153" s="39">
        <v>10</v>
      </c>
      <c r="R153" s="39">
        <v>9</v>
      </c>
      <c r="S153" s="39">
        <v>9</v>
      </c>
      <c r="T153" s="39">
        <v>9</v>
      </c>
      <c r="U153" s="39">
        <v>9</v>
      </c>
      <c r="V153" s="39">
        <v>9</v>
      </c>
      <c r="W153" s="40" t="str">
        <f t="shared" si="18"/>
        <v>N</v>
      </c>
      <c r="X153" s="84">
        <f t="shared" si="19"/>
        <v>0</v>
      </c>
      <c r="Y153" s="84" t="str">
        <f t="shared" si="17"/>
        <v>0-4.9%</v>
      </c>
      <c r="Z153" s="85" t="s">
        <v>224</v>
      </c>
      <c r="AA153" s="59"/>
      <c r="AB153" s="59"/>
      <c r="AC153" s="59"/>
      <c r="AD153" s="59"/>
    </row>
    <row r="154" spans="1:30" x14ac:dyDescent="0.25">
      <c r="A154" s="54" t="s">
        <v>769</v>
      </c>
      <c r="B154" s="55"/>
      <c r="C154" s="56" t="s">
        <v>770</v>
      </c>
      <c r="D154" s="57">
        <f t="shared" si="14"/>
        <v>7</v>
      </c>
      <c r="E154" s="56"/>
      <c r="F154" s="56" t="s">
        <v>205</v>
      </c>
      <c r="G154" s="56">
        <v>4.75</v>
      </c>
      <c r="H154" s="56">
        <v>4.75</v>
      </c>
      <c r="I154" s="56"/>
      <c r="J154" s="56"/>
      <c r="K154" s="56"/>
      <c r="L154" s="56"/>
      <c r="M154" s="56"/>
      <c r="N154" s="58">
        <f t="shared" si="15"/>
        <v>9.5</v>
      </c>
      <c r="O154" s="58">
        <f t="shared" si="16"/>
        <v>1.9822138642424887</v>
      </c>
      <c r="P154" s="39">
        <v>8</v>
      </c>
      <c r="Q154" s="39">
        <v>10</v>
      </c>
      <c r="R154" s="39">
        <v>9</v>
      </c>
      <c r="S154" s="39">
        <v>9</v>
      </c>
      <c r="T154" s="39">
        <v>9</v>
      </c>
      <c r="U154" s="39">
        <v>9</v>
      </c>
      <c r="V154" s="39">
        <v>9</v>
      </c>
      <c r="W154" s="40" t="str">
        <f t="shared" si="18"/>
        <v>N</v>
      </c>
      <c r="X154" s="84">
        <f t="shared" si="19"/>
        <v>0</v>
      </c>
      <c r="Y154" s="84" t="str">
        <f t="shared" si="17"/>
        <v>0-4.9%</v>
      </c>
      <c r="Z154" s="85" t="s">
        <v>788</v>
      </c>
      <c r="AA154" s="59"/>
      <c r="AB154" s="59"/>
      <c r="AC154" s="59"/>
      <c r="AD154" s="59"/>
    </row>
    <row r="155" spans="1:30" x14ac:dyDescent="0.25">
      <c r="A155" s="54">
        <v>166</v>
      </c>
      <c r="B155" s="55"/>
      <c r="C155" s="56" t="s">
        <v>771</v>
      </c>
      <c r="D155" s="57">
        <f t="shared" si="14"/>
        <v>7</v>
      </c>
      <c r="E155" s="56"/>
      <c r="F155" s="56" t="s">
        <v>205</v>
      </c>
      <c r="G155" s="56">
        <v>4.05</v>
      </c>
      <c r="H155" s="56">
        <v>9.35</v>
      </c>
      <c r="I155" s="56"/>
      <c r="J155" s="56"/>
      <c r="K155" s="56"/>
      <c r="L155" s="56"/>
      <c r="M155" s="56"/>
      <c r="N155" s="58">
        <f t="shared" si="15"/>
        <v>13.399999999999999</v>
      </c>
      <c r="O155" s="58">
        <f t="shared" si="16"/>
        <v>9.3189263253051724</v>
      </c>
      <c r="P155" s="39">
        <v>8</v>
      </c>
      <c r="Q155" s="39">
        <v>10</v>
      </c>
      <c r="R155" s="39">
        <v>9</v>
      </c>
      <c r="S155" s="39">
        <v>9</v>
      </c>
      <c r="T155" s="39">
        <v>9</v>
      </c>
      <c r="U155" s="39">
        <v>9</v>
      </c>
      <c r="V155" s="39">
        <v>9</v>
      </c>
      <c r="W155" s="40" t="str">
        <f t="shared" si="18"/>
        <v>N</v>
      </c>
      <c r="X155" s="84">
        <f t="shared" si="19"/>
        <v>0</v>
      </c>
      <c r="Y155" s="84" t="str">
        <f t="shared" si="17"/>
        <v>0-4.9%</v>
      </c>
      <c r="Z155" s="89" t="s">
        <v>782</v>
      </c>
      <c r="AA155" s="59"/>
      <c r="AB155" s="59"/>
      <c r="AC155" s="59"/>
      <c r="AD155" s="59"/>
    </row>
    <row r="156" spans="1:30" x14ac:dyDescent="0.25">
      <c r="A156" s="54" t="s">
        <v>247</v>
      </c>
      <c r="B156" s="55"/>
      <c r="C156" s="56" t="s">
        <v>393</v>
      </c>
      <c r="D156" s="57">
        <f t="shared" si="14"/>
        <v>9</v>
      </c>
      <c r="E156" s="56"/>
      <c r="F156" s="56" t="s">
        <v>200</v>
      </c>
      <c r="G156" s="56">
        <v>6.05</v>
      </c>
      <c r="H156" s="56">
        <v>8</v>
      </c>
      <c r="I156" s="56">
        <v>8</v>
      </c>
      <c r="J156" s="56"/>
      <c r="K156" s="56"/>
      <c r="L156" s="56"/>
      <c r="M156" s="56"/>
      <c r="N156" s="58">
        <f t="shared" si="15"/>
        <v>22.05</v>
      </c>
      <c r="O156" s="58">
        <f t="shared" si="16"/>
        <v>87.646173000435681</v>
      </c>
      <c r="P156" s="39">
        <v>8</v>
      </c>
      <c r="Q156" s="39">
        <v>10</v>
      </c>
      <c r="R156" s="39">
        <v>9</v>
      </c>
      <c r="S156" s="39">
        <v>9</v>
      </c>
      <c r="T156" s="39">
        <v>9</v>
      </c>
      <c r="U156" s="39">
        <v>9</v>
      </c>
      <c r="V156" s="39">
        <v>9</v>
      </c>
      <c r="W156" s="40" t="str">
        <f t="shared" si="18"/>
        <v>N</v>
      </c>
      <c r="X156" s="84">
        <f t="shared" si="19"/>
        <v>0</v>
      </c>
      <c r="Y156" s="84" t="str">
        <f t="shared" si="17"/>
        <v>0-4.9%</v>
      </c>
      <c r="Z156" s="85" t="s">
        <v>794</v>
      </c>
      <c r="AA156" s="59"/>
      <c r="AB156" s="59"/>
      <c r="AC156" s="59"/>
      <c r="AD156" s="59"/>
    </row>
    <row r="157" spans="1:30" x14ac:dyDescent="0.25">
      <c r="A157" s="60" t="s">
        <v>252</v>
      </c>
      <c r="B157" s="61"/>
      <c r="C157" s="62" t="s">
        <v>248</v>
      </c>
      <c r="D157" s="57">
        <f t="shared" si="14"/>
        <v>9</v>
      </c>
      <c r="E157" s="62"/>
      <c r="F157" s="62" t="s">
        <v>200</v>
      </c>
      <c r="G157" s="62">
        <v>6.75</v>
      </c>
      <c r="H157" s="62">
        <v>11.5</v>
      </c>
      <c r="I157" s="62">
        <v>8.6999999999999993</v>
      </c>
      <c r="J157" s="62"/>
      <c r="K157" s="62"/>
      <c r="L157" s="62"/>
      <c r="M157" s="62"/>
      <c r="N157" s="58">
        <f t="shared" si="15"/>
        <v>26.95</v>
      </c>
      <c r="O157" s="58">
        <f t="shared" si="16"/>
        <v>216.22641530815491</v>
      </c>
      <c r="P157" s="39">
        <v>8</v>
      </c>
      <c r="Q157" s="39">
        <v>10</v>
      </c>
      <c r="R157" s="39">
        <v>9</v>
      </c>
      <c r="S157" s="39">
        <v>9</v>
      </c>
      <c r="T157" s="39">
        <v>9</v>
      </c>
      <c r="U157" s="39">
        <v>9</v>
      </c>
      <c r="V157" s="39">
        <v>9</v>
      </c>
      <c r="W157" s="40" t="str">
        <f t="shared" si="18"/>
        <v>Y</v>
      </c>
      <c r="X157" s="84">
        <f t="shared" si="19"/>
        <v>0.15</v>
      </c>
      <c r="Y157" s="84" t="str">
        <f t="shared" si="17"/>
        <v>5-25%</v>
      </c>
      <c r="Z157" s="86" t="s">
        <v>812</v>
      </c>
      <c r="AA157" s="59"/>
      <c r="AB157" s="59"/>
      <c r="AC157" s="59"/>
      <c r="AD157" s="59"/>
    </row>
    <row r="158" spans="1:30" x14ac:dyDescent="0.25">
      <c r="A158" s="54" t="s">
        <v>254</v>
      </c>
      <c r="B158" s="55"/>
      <c r="C158" s="56" t="s">
        <v>397</v>
      </c>
      <c r="D158" s="57">
        <f t="shared" si="14"/>
        <v>9</v>
      </c>
      <c r="E158" s="56"/>
      <c r="F158" s="56" t="s">
        <v>200</v>
      </c>
      <c r="G158" s="56">
        <v>6.95</v>
      </c>
      <c r="H158" s="56">
        <v>16</v>
      </c>
      <c r="I158" s="56">
        <v>10</v>
      </c>
      <c r="J158" s="56"/>
      <c r="K158" s="56"/>
      <c r="L158" s="56"/>
      <c r="M158" s="56"/>
      <c r="N158" s="58">
        <f t="shared" si="15"/>
        <v>32.950000000000003</v>
      </c>
      <c r="O158" s="58">
        <f t="shared" si="16"/>
        <v>534.24894201348252</v>
      </c>
      <c r="P158" s="39">
        <v>8</v>
      </c>
      <c r="Q158" s="39">
        <v>10</v>
      </c>
      <c r="R158" s="39">
        <v>9</v>
      </c>
      <c r="S158" s="39">
        <v>9</v>
      </c>
      <c r="T158" s="39">
        <v>9</v>
      </c>
      <c r="U158" s="39">
        <v>9</v>
      </c>
      <c r="V158" s="39">
        <v>9</v>
      </c>
      <c r="W158" s="40" t="str">
        <f t="shared" si="18"/>
        <v>Y</v>
      </c>
      <c r="X158" s="84">
        <f t="shared" si="19"/>
        <v>0.6</v>
      </c>
      <c r="Y158" s="84" t="str">
        <f t="shared" si="17"/>
        <v>Over 50%</v>
      </c>
      <c r="Z158" s="85" t="s">
        <v>812</v>
      </c>
      <c r="AA158" s="59"/>
      <c r="AB158" s="59"/>
      <c r="AC158" s="59"/>
      <c r="AD158" s="59"/>
    </row>
    <row r="159" spans="1:30" x14ac:dyDescent="0.25">
      <c r="A159" s="60" t="s">
        <v>262</v>
      </c>
      <c r="B159" s="61"/>
      <c r="C159" s="62" t="s">
        <v>404</v>
      </c>
      <c r="D159" s="57">
        <f t="shared" si="14"/>
        <v>9</v>
      </c>
      <c r="E159" s="62"/>
      <c r="F159" s="62" t="s">
        <v>200</v>
      </c>
      <c r="G159" s="62">
        <v>8.4</v>
      </c>
      <c r="H159" s="62">
        <v>7.4</v>
      </c>
      <c r="I159" s="62">
        <v>7.95</v>
      </c>
      <c r="J159" s="62"/>
      <c r="K159" s="62"/>
      <c r="L159" s="62"/>
      <c r="M159" s="62"/>
      <c r="N159" s="58">
        <f t="shared" si="15"/>
        <v>23.75</v>
      </c>
      <c r="O159" s="58">
        <f t="shared" si="16"/>
        <v>122.427941808009</v>
      </c>
      <c r="P159" s="39">
        <v>8</v>
      </c>
      <c r="Q159" s="39">
        <v>10</v>
      </c>
      <c r="R159" s="39">
        <v>9</v>
      </c>
      <c r="S159" s="39">
        <v>9</v>
      </c>
      <c r="T159" s="39">
        <v>9</v>
      </c>
      <c r="U159" s="39">
        <v>9</v>
      </c>
      <c r="V159" s="39">
        <v>9</v>
      </c>
      <c r="W159" s="40" t="str">
        <f t="shared" si="18"/>
        <v>Y</v>
      </c>
      <c r="X159" s="84">
        <f t="shared" si="19"/>
        <v>4.0000000000000036E-2</v>
      </c>
      <c r="Y159" s="84" t="str">
        <f t="shared" si="17"/>
        <v>0-4.9%</v>
      </c>
      <c r="Z159" s="86" t="s">
        <v>782</v>
      </c>
      <c r="AA159" s="59"/>
      <c r="AB159" s="59"/>
      <c r="AC159" s="59"/>
      <c r="AD159" s="59"/>
    </row>
    <row r="160" spans="1:30" x14ac:dyDescent="0.25">
      <c r="A160" s="54" t="s">
        <v>202</v>
      </c>
      <c r="B160" s="55"/>
      <c r="C160" s="56" t="s">
        <v>450</v>
      </c>
      <c r="D160" s="57">
        <f t="shared" si="14"/>
        <v>9</v>
      </c>
      <c r="E160" s="56"/>
      <c r="F160" s="56" t="s">
        <v>200</v>
      </c>
      <c r="G160" s="56">
        <v>7.75</v>
      </c>
      <c r="H160" s="56">
        <v>7.6</v>
      </c>
      <c r="I160" s="56">
        <v>7.35</v>
      </c>
      <c r="J160" s="56"/>
      <c r="K160" s="56"/>
      <c r="L160" s="56"/>
      <c r="M160" s="56"/>
      <c r="N160" s="58">
        <f t="shared" si="15"/>
        <v>22.7</v>
      </c>
      <c r="O160" s="58">
        <f t="shared" si="16"/>
        <v>99.887384839813038</v>
      </c>
      <c r="P160" s="39">
        <v>8</v>
      </c>
      <c r="Q160" s="39">
        <v>10</v>
      </c>
      <c r="R160" s="39">
        <v>9</v>
      </c>
      <c r="S160" s="39">
        <v>9</v>
      </c>
      <c r="T160" s="39">
        <v>9</v>
      </c>
      <c r="U160" s="39">
        <v>9</v>
      </c>
      <c r="V160" s="39">
        <v>9</v>
      </c>
      <c r="W160" s="40" t="str">
        <f t="shared" si="18"/>
        <v>N</v>
      </c>
      <c r="X160" s="84">
        <f t="shared" si="19"/>
        <v>0</v>
      </c>
      <c r="Y160" s="84" t="str">
        <f t="shared" si="17"/>
        <v>0-4.9%</v>
      </c>
      <c r="Z160" s="85" t="s">
        <v>812</v>
      </c>
      <c r="AA160" s="59"/>
      <c r="AB160" s="59"/>
      <c r="AC160" s="59"/>
      <c r="AD160" s="59"/>
    </row>
    <row r="161" spans="1:30" x14ac:dyDescent="0.25">
      <c r="A161" s="54" t="s">
        <v>207</v>
      </c>
      <c r="B161" s="55"/>
      <c r="C161" s="56" t="s">
        <v>454</v>
      </c>
      <c r="D161" s="57">
        <f t="shared" si="14"/>
        <v>9</v>
      </c>
      <c r="E161" s="56"/>
      <c r="F161" s="56" t="s">
        <v>200</v>
      </c>
      <c r="G161" s="56">
        <v>3.4</v>
      </c>
      <c r="H161" s="56">
        <v>2.75</v>
      </c>
      <c r="I161" s="56">
        <v>2.8</v>
      </c>
      <c r="J161" s="56"/>
      <c r="K161" s="56"/>
      <c r="L161" s="56"/>
      <c r="M161" s="56"/>
      <c r="N161" s="58">
        <f t="shared" si="15"/>
        <v>8.9499999999999993</v>
      </c>
      <c r="O161" s="58">
        <f t="shared" si="16"/>
        <v>1.5156465822818135</v>
      </c>
      <c r="P161" s="39">
        <v>8</v>
      </c>
      <c r="Q161" s="39">
        <v>10</v>
      </c>
      <c r="R161" s="39">
        <v>9</v>
      </c>
      <c r="S161" s="39">
        <v>9</v>
      </c>
      <c r="T161" s="39">
        <v>9</v>
      </c>
      <c r="U161" s="39">
        <v>9</v>
      </c>
      <c r="V161" s="39">
        <v>9</v>
      </c>
      <c r="W161" s="40" t="str">
        <f t="shared" si="18"/>
        <v>N</v>
      </c>
      <c r="X161" s="84">
        <f t="shared" si="19"/>
        <v>0</v>
      </c>
      <c r="Y161" s="84" t="str">
        <f t="shared" si="17"/>
        <v>0-4.9%</v>
      </c>
      <c r="Z161" s="85" t="s">
        <v>782</v>
      </c>
      <c r="AA161" s="59"/>
      <c r="AB161" s="59"/>
      <c r="AC161" s="59"/>
      <c r="AD161" s="59"/>
    </row>
    <row r="162" spans="1:30" x14ac:dyDescent="0.25">
      <c r="A162" s="54" t="s">
        <v>208</v>
      </c>
      <c r="B162" s="55"/>
      <c r="C162" s="56" t="s">
        <v>326</v>
      </c>
      <c r="D162" s="57">
        <f t="shared" si="14"/>
        <v>9</v>
      </c>
      <c r="E162" s="56"/>
      <c r="F162" s="56" t="s">
        <v>200</v>
      </c>
      <c r="G162" s="56">
        <v>6.5</v>
      </c>
      <c r="H162" s="56">
        <v>7.3</v>
      </c>
      <c r="I162" s="56">
        <v>7.3</v>
      </c>
      <c r="J162" s="56"/>
      <c r="K162" s="56"/>
      <c r="L162" s="56"/>
      <c r="M162" s="56"/>
      <c r="N162" s="58">
        <f t="shared" si="15"/>
        <v>21.1</v>
      </c>
      <c r="O162" s="58">
        <f t="shared" si="16"/>
        <v>71.889478711773563</v>
      </c>
      <c r="P162" s="39">
        <v>8</v>
      </c>
      <c r="Q162" s="39">
        <v>10</v>
      </c>
      <c r="R162" s="39">
        <v>9</v>
      </c>
      <c r="S162" s="39">
        <v>9</v>
      </c>
      <c r="T162" s="39">
        <v>9</v>
      </c>
      <c r="U162" s="39">
        <v>9</v>
      </c>
      <c r="V162" s="39">
        <v>9</v>
      </c>
      <c r="W162" s="40" t="str">
        <f t="shared" si="18"/>
        <v>N</v>
      </c>
      <c r="X162" s="84">
        <f t="shared" si="19"/>
        <v>0</v>
      </c>
      <c r="Y162" s="84" t="str">
        <f t="shared" si="17"/>
        <v>0-4.9%</v>
      </c>
      <c r="Z162" s="85" t="s">
        <v>812</v>
      </c>
      <c r="AA162" s="59"/>
      <c r="AB162" s="59"/>
      <c r="AC162" s="59"/>
      <c r="AD162" s="59"/>
    </row>
    <row r="163" spans="1:30" x14ac:dyDescent="0.25">
      <c r="A163" s="54" t="s">
        <v>213</v>
      </c>
      <c r="B163" s="55"/>
      <c r="C163" s="56" t="s">
        <v>459</v>
      </c>
      <c r="D163" s="57">
        <f t="shared" si="14"/>
        <v>9</v>
      </c>
      <c r="E163" s="56"/>
      <c r="F163" s="56" t="s">
        <v>200</v>
      </c>
      <c r="G163" s="56">
        <v>4.1500000000000004</v>
      </c>
      <c r="H163" s="56">
        <v>4.1500000000000004</v>
      </c>
      <c r="I163" s="56">
        <v>2.7</v>
      </c>
      <c r="J163" s="56"/>
      <c r="K163" s="56"/>
      <c r="L163" s="56"/>
      <c r="M163" s="56"/>
      <c r="N163" s="58">
        <f t="shared" si="15"/>
        <v>11</v>
      </c>
      <c r="O163" s="58">
        <f t="shared" si="16"/>
        <v>3.8340817516323442</v>
      </c>
      <c r="P163" s="39">
        <v>8</v>
      </c>
      <c r="Q163" s="39">
        <v>10</v>
      </c>
      <c r="R163" s="39">
        <v>9</v>
      </c>
      <c r="S163" s="39">
        <v>9</v>
      </c>
      <c r="T163" s="39">
        <v>9</v>
      </c>
      <c r="U163" s="39">
        <v>9</v>
      </c>
      <c r="V163" s="39">
        <v>9</v>
      </c>
      <c r="W163" s="40" t="str">
        <f t="shared" si="18"/>
        <v>N</v>
      </c>
      <c r="X163" s="84">
        <f t="shared" si="19"/>
        <v>0</v>
      </c>
      <c r="Y163" s="84" t="str">
        <f t="shared" si="17"/>
        <v>0-4.9%</v>
      </c>
      <c r="Z163" s="85" t="s">
        <v>788</v>
      </c>
      <c r="AA163" s="59"/>
      <c r="AB163" s="59"/>
      <c r="AC163" s="59"/>
      <c r="AD163" s="59"/>
    </row>
    <row r="164" spans="1:30" x14ac:dyDescent="0.25">
      <c r="A164" s="54" t="s">
        <v>242</v>
      </c>
      <c r="B164" s="55"/>
      <c r="C164" s="56" t="s">
        <v>331</v>
      </c>
      <c r="D164" s="57">
        <f t="shared" si="14"/>
        <v>9</v>
      </c>
      <c r="E164" s="56"/>
      <c r="F164" s="56" t="s">
        <v>200</v>
      </c>
      <c r="G164" s="56">
        <v>4.8</v>
      </c>
      <c r="H164" s="56">
        <v>3.7</v>
      </c>
      <c r="I164" s="56">
        <v>3.4</v>
      </c>
      <c r="J164" s="56"/>
      <c r="K164" s="56"/>
      <c r="L164" s="56"/>
      <c r="M164" s="56"/>
      <c r="N164" s="58">
        <f t="shared" si="15"/>
        <v>11.9</v>
      </c>
      <c r="O164" s="58">
        <f t="shared" si="16"/>
        <v>5.4620492515408277</v>
      </c>
      <c r="P164" s="39">
        <v>8</v>
      </c>
      <c r="Q164" s="39">
        <v>10</v>
      </c>
      <c r="R164" s="39">
        <v>9</v>
      </c>
      <c r="S164" s="39">
        <v>9</v>
      </c>
      <c r="T164" s="39">
        <v>9</v>
      </c>
      <c r="U164" s="39">
        <v>9</v>
      </c>
      <c r="V164" s="39">
        <v>9</v>
      </c>
      <c r="W164" s="40" t="str">
        <f t="shared" si="18"/>
        <v>N</v>
      </c>
      <c r="X164" s="84">
        <f t="shared" si="19"/>
        <v>0</v>
      </c>
      <c r="Y164" s="84" t="str">
        <f t="shared" si="17"/>
        <v>0-4.9%</v>
      </c>
      <c r="Z164" s="85" t="s">
        <v>812</v>
      </c>
      <c r="AA164" s="59"/>
      <c r="AB164" s="59"/>
      <c r="AC164" s="59"/>
      <c r="AD164" s="59"/>
    </row>
    <row r="165" spans="1:30" x14ac:dyDescent="0.25">
      <c r="A165" s="54" t="s">
        <v>249</v>
      </c>
      <c r="B165" s="55"/>
      <c r="C165" s="56" t="s">
        <v>487</v>
      </c>
      <c r="D165" s="57">
        <f t="shared" si="14"/>
        <v>9</v>
      </c>
      <c r="E165" s="56"/>
      <c r="F165" s="56" t="s">
        <v>200</v>
      </c>
      <c r="G165" s="56">
        <v>4.75</v>
      </c>
      <c r="H165" s="56">
        <v>3.85</v>
      </c>
      <c r="I165" s="56">
        <v>3.4</v>
      </c>
      <c r="J165" s="56"/>
      <c r="K165" s="56"/>
      <c r="L165" s="56"/>
      <c r="M165" s="56"/>
      <c r="N165" s="58">
        <f t="shared" si="15"/>
        <v>12</v>
      </c>
      <c r="O165" s="58">
        <f t="shared" si="16"/>
        <v>5.6716561421569134</v>
      </c>
      <c r="P165" s="39">
        <v>8</v>
      </c>
      <c r="Q165" s="39">
        <v>10</v>
      </c>
      <c r="R165" s="39">
        <v>9</v>
      </c>
      <c r="S165" s="39">
        <v>9</v>
      </c>
      <c r="T165" s="39">
        <v>9</v>
      </c>
      <c r="U165" s="39">
        <v>9</v>
      </c>
      <c r="V165" s="39">
        <v>9</v>
      </c>
      <c r="W165" s="40" t="str">
        <f t="shared" si="18"/>
        <v>N</v>
      </c>
      <c r="X165" s="84">
        <f t="shared" si="19"/>
        <v>0</v>
      </c>
      <c r="Y165" s="84" t="str">
        <f t="shared" si="17"/>
        <v>0-4.9%</v>
      </c>
      <c r="Z165" s="85" t="s">
        <v>812</v>
      </c>
      <c r="AA165" s="59"/>
      <c r="AB165" s="59"/>
      <c r="AC165" s="59"/>
      <c r="AD165" s="59"/>
    </row>
    <row r="166" spans="1:30" x14ac:dyDescent="0.25">
      <c r="A166" s="54" t="s">
        <v>254</v>
      </c>
      <c r="B166" s="55"/>
      <c r="C166" s="56" t="s">
        <v>492</v>
      </c>
      <c r="D166" s="57">
        <f t="shared" si="14"/>
        <v>9</v>
      </c>
      <c r="E166" s="56"/>
      <c r="F166" s="56" t="s">
        <v>200</v>
      </c>
      <c r="G166" s="56">
        <v>4.55</v>
      </c>
      <c r="H166" s="56">
        <v>4.3</v>
      </c>
      <c r="I166" s="56">
        <v>2.9</v>
      </c>
      <c r="J166" s="56"/>
      <c r="K166" s="56"/>
      <c r="L166" s="56"/>
      <c r="M166" s="56"/>
      <c r="N166" s="58">
        <f t="shared" si="15"/>
        <v>11.75</v>
      </c>
      <c r="O166" s="58">
        <f t="shared" si="16"/>
        <v>5.1589899915557584</v>
      </c>
      <c r="P166" s="39">
        <v>8</v>
      </c>
      <c r="Q166" s="39">
        <v>10</v>
      </c>
      <c r="R166" s="39">
        <v>9</v>
      </c>
      <c r="S166" s="39">
        <v>9</v>
      </c>
      <c r="T166" s="39">
        <v>9</v>
      </c>
      <c r="U166" s="39">
        <v>9</v>
      </c>
      <c r="V166" s="39">
        <v>9</v>
      </c>
      <c r="W166" s="40" t="str">
        <f t="shared" si="18"/>
        <v>N</v>
      </c>
      <c r="X166" s="84">
        <f t="shared" si="19"/>
        <v>0</v>
      </c>
      <c r="Y166" s="84" t="str">
        <f t="shared" si="17"/>
        <v>0-4.9%</v>
      </c>
      <c r="Z166" s="85" t="s">
        <v>812</v>
      </c>
      <c r="AA166" s="59"/>
      <c r="AB166" s="59"/>
      <c r="AC166" s="59"/>
      <c r="AD166" s="59"/>
    </row>
    <row r="167" spans="1:30" x14ac:dyDescent="0.25">
      <c r="A167" s="54" t="s">
        <v>257</v>
      </c>
      <c r="B167" s="55"/>
      <c r="C167" s="56" t="s">
        <v>495</v>
      </c>
      <c r="D167" s="57">
        <f t="shared" si="14"/>
        <v>9</v>
      </c>
      <c r="E167" s="56"/>
      <c r="F167" s="56" t="s">
        <v>200</v>
      </c>
      <c r="G167" s="56">
        <v>4.6500000000000004</v>
      </c>
      <c r="H167" s="56">
        <v>3</v>
      </c>
      <c r="I167" s="56">
        <v>2.8</v>
      </c>
      <c r="J167" s="56"/>
      <c r="K167" s="56"/>
      <c r="L167" s="56"/>
      <c r="M167" s="56"/>
      <c r="N167" s="58">
        <f t="shared" si="15"/>
        <v>10.45</v>
      </c>
      <c r="O167" s="58">
        <f t="shared" si="16"/>
        <v>3.0438103721863903</v>
      </c>
      <c r="P167" s="39">
        <v>8</v>
      </c>
      <c r="Q167" s="39">
        <v>10</v>
      </c>
      <c r="R167" s="39">
        <v>9</v>
      </c>
      <c r="S167" s="39">
        <v>9</v>
      </c>
      <c r="T167" s="39">
        <v>9</v>
      </c>
      <c r="U167" s="39">
        <v>9</v>
      </c>
      <c r="V167" s="39">
        <v>9</v>
      </c>
      <c r="W167" s="40" t="str">
        <f t="shared" si="18"/>
        <v>N</v>
      </c>
      <c r="X167" s="84">
        <f t="shared" si="19"/>
        <v>0</v>
      </c>
      <c r="Y167" s="84" t="str">
        <f t="shared" si="17"/>
        <v>0-4.9%</v>
      </c>
      <c r="Z167" s="85" t="s">
        <v>224</v>
      </c>
      <c r="AA167" s="59"/>
      <c r="AB167" s="59"/>
      <c r="AC167" s="59"/>
      <c r="AD167" s="59"/>
    </row>
    <row r="168" spans="1:30" x14ac:dyDescent="0.25">
      <c r="A168" s="54" t="s">
        <v>264</v>
      </c>
      <c r="B168" s="55"/>
      <c r="C168" s="56" t="s">
        <v>502</v>
      </c>
      <c r="D168" s="57">
        <f t="shared" si="14"/>
        <v>9</v>
      </c>
      <c r="E168" s="56"/>
      <c r="F168" s="56" t="s">
        <v>200</v>
      </c>
      <c r="G168" s="56">
        <v>3.6</v>
      </c>
      <c r="H168" s="56">
        <v>3.2</v>
      </c>
      <c r="I168" s="56">
        <v>3.05</v>
      </c>
      <c r="J168" s="56"/>
      <c r="K168" s="56"/>
      <c r="L168" s="56"/>
      <c r="M168" s="56"/>
      <c r="N168" s="58">
        <f t="shared" si="15"/>
        <v>9.8500000000000014</v>
      </c>
      <c r="O168" s="58">
        <f t="shared" si="16"/>
        <v>2.3326915858812378</v>
      </c>
      <c r="P168" s="39">
        <v>8</v>
      </c>
      <c r="Q168" s="39">
        <v>10</v>
      </c>
      <c r="R168" s="39">
        <v>9</v>
      </c>
      <c r="S168" s="39">
        <v>9</v>
      </c>
      <c r="T168" s="39">
        <v>9</v>
      </c>
      <c r="U168" s="39">
        <v>9</v>
      </c>
      <c r="V168" s="39">
        <v>9</v>
      </c>
      <c r="W168" s="40" t="str">
        <f t="shared" si="18"/>
        <v>N</v>
      </c>
      <c r="X168" s="84">
        <f t="shared" si="19"/>
        <v>0</v>
      </c>
      <c r="Y168" s="84" t="str">
        <f t="shared" si="17"/>
        <v>0-4.9%</v>
      </c>
      <c r="Z168" s="85" t="s">
        <v>812</v>
      </c>
      <c r="AA168" s="59"/>
      <c r="AB168" s="59"/>
      <c r="AC168" s="59"/>
      <c r="AD168" s="59"/>
    </row>
    <row r="169" spans="1:30" x14ac:dyDescent="0.25">
      <c r="A169" s="54" t="s">
        <v>274</v>
      </c>
      <c r="B169" s="55"/>
      <c r="C169" s="56" t="s">
        <v>511</v>
      </c>
      <c r="D169" s="57">
        <f t="shared" si="14"/>
        <v>9</v>
      </c>
      <c r="E169" s="56"/>
      <c r="F169" s="56" t="s">
        <v>200</v>
      </c>
      <c r="G169" s="56">
        <v>4.75</v>
      </c>
      <c r="H169" s="56">
        <v>4</v>
      </c>
      <c r="I169" s="56">
        <v>3.7</v>
      </c>
      <c r="J169" s="56"/>
      <c r="K169" s="56"/>
      <c r="L169" s="56"/>
      <c r="M169" s="56"/>
      <c r="N169" s="58">
        <f t="shared" si="15"/>
        <v>12.45</v>
      </c>
      <c r="O169" s="58">
        <f t="shared" si="16"/>
        <v>6.6935477680811122</v>
      </c>
      <c r="P169" s="39">
        <v>8</v>
      </c>
      <c r="Q169" s="39">
        <v>10</v>
      </c>
      <c r="R169" s="39">
        <v>9</v>
      </c>
      <c r="S169" s="39">
        <v>9</v>
      </c>
      <c r="T169" s="39">
        <v>9</v>
      </c>
      <c r="U169" s="39">
        <v>9</v>
      </c>
      <c r="V169" s="39">
        <v>9</v>
      </c>
      <c r="W169" s="40" t="str">
        <f t="shared" si="18"/>
        <v>N</v>
      </c>
      <c r="X169" s="84">
        <f t="shared" si="19"/>
        <v>0</v>
      </c>
      <c r="Y169" s="84" t="str">
        <f t="shared" si="17"/>
        <v>0-4.9%</v>
      </c>
      <c r="Z169" s="85" t="s">
        <v>812</v>
      </c>
      <c r="AA169" s="59"/>
      <c r="AB169" s="59"/>
      <c r="AC169" s="59"/>
      <c r="AD169" s="59"/>
    </row>
    <row r="170" spans="1:30" x14ac:dyDescent="0.25">
      <c r="A170" s="54" t="s">
        <v>277</v>
      </c>
      <c r="B170" s="55"/>
      <c r="C170" s="56" t="s">
        <v>514</v>
      </c>
      <c r="D170" s="57">
        <f t="shared" si="14"/>
        <v>9</v>
      </c>
      <c r="E170" s="56"/>
      <c r="F170" s="56" t="s">
        <v>200</v>
      </c>
      <c r="G170" s="56">
        <v>3.4</v>
      </c>
      <c r="H170" s="56">
        <v>2.65</v>
      </c>
      <c r="I170" s="56">
        <v>2.4500000000000002</v>
      </c>
      <c r="J170" s="56"/>
      <c r="K170" s="56"/>
      <c r="L170" s="56"/>
      <c r="M170" s="56"/>
      <c r="N170" s="58">
        <f t="shared" si="15"/>
        <v>8.5</v>
      </c>
      <c r="O170" s="58">
        <f t="shared" si="16"/>
        <v>1.2016540411485952</v>
      </c>
      <c r="P170" s="39">
        <v>8</v>
      </c>
      <c r="Q170" s="39">
        <v>10</v>
      </c>
      <c r="R170" s="39">
        <v>9</v>
      </c>
      <c r="S170" s="39">
        <v>9</v>
      </c>
      <c r="T170" s="39">
        <v>9</v>
      </c>
      <c r="U170" s="39">
        <v>9</v>
      </c>
      <c r="V170" s="39">
        <v>9</v>
      </c>
      <c r="W170" s="40" t="str">
        <f t="shared" si="18"/>
        <v>N</v>
      </c>
      <c r="X170" s="84">
        <f t="shared" si="19"/>
        <v>0</v>
      </c>
      <c r="Y170" s="84" t="str">
        <f t="shared" si="17"/>
        <v>0-4.9%</v>
      </c>
      <c r="Z170" s="85" t="s">
        <v>224</v>
      </c>
      <c r="AA170" s="59"/>
      <c r="AB170" s="59"/>
      <c r="AC170" s="59"/>
      <c r="AD170" s="59"/>
    </row>
    <row r="171" spans="1:30" x14ac:dyDescent="0.25">
      <c r="A171" s="54" t="s">
        <v>196</v>
      </c>
      <c r="B171" s="55"/>
      <c r="C171" s="56" t="s">
        <v>377</v>
      </c>
      <c r="D171" s="57">
        <f t="shared" si="14"/>
        <v>9</v>
      </c>
      <c r="E171" s="56"/>
      <c r="F171" s="56" t="s">
        <v>200</v>
      </c>
      <c r="G171" s="56">
        <v>4.75</v>
      </c>
      <c r="H171" s="56">
        <v>4.3499999999999996</v>
      </c>
      <c r="I171" s="56">
        <v>3.05</v>
      </c>
      <c r="J171" s="56"/>
      <c r="K171" s="56"/>
      <c r="L171" s="56"/>
      <c r="M171" s="56"/>
      <c r="N171" s="58">
        <f t="shared" si="15"/>
        <v>12.149999999999999</v>
      </c>
      <c r="O171" s="58">
        <f t="shared" si="16"/>
        <v>5.9977386327718811</v>
      </c>
      <c r="P171" s="39">
        <v>8</v>
      </c>
      <c r="Q171" s="39">
        <v>10</v>
      </c>
      <c r="R171" s="39">
        <v>9</v>
      </c>
      <c r="S171" s="39">
        <v>9</v>
      </c>
      <c r="T171" s="39">
        <v>9</v>
      </c>
      <c r="U171" s="39">
        <v>9</v>
      </c>
      <c r="V171" s="39">
        <v>9</v>
      </c>
      <c r="W171" s="40" t="str">
        <f t="shared" si="18"/>
        <v>N</v>
      </c>
      <c r="X171" s="84">
        <f t="shared" si="19"/>
        <v>0</v>
      </c>
      <c r="Y171" s="84" t="str">
        <f t="shared" si="17"/>
        <v>0-4.9%</v>
      </c>
      <c r="Z171" s="85" t="s">
        <v>224</v>
      </c>
      <c r="AA171" s="59"/>
      <c r="AB171" s="59"/>
      <c r="AC171" s="59"/>
      <c r="AD171" s="59"/>
    </row>
    <row r="172" spans="1:30" x14ac:dyDescent="0.25">
      <c r="A172" s="54" t="s">
        <v>199</v>
      </c>
      <c r="B172" s="55"/>
      <c r="C172" s="56" t="s">
        <v>528</v>
      </c>
      <c r="D172" s="57">
        <f t="shared" si="14"/>
        <v>9</v>
      </c>
      <c r="E172" s="56"/>
      <c r="F172" s="56" t="s">
        <v>200</v>
      </c>
      <c r="G172" s="56">
        <v>6.2</v>
      </c>
      <c r="H172" s="56">
        <v>8.5500000000000007</v>
      </c>
      <c r="I172" s="56">
        <v>8.4</v>
      </c>
      <c r="J172" s="56"/>
      <c r="K172" s="56"/>
      <c r="L172" s="56"/>
      <c r="M172" s="56"/>
      <c r="N172" s="58">
        <f t="shared" si="15"/>
        <v>23.15</v>
      </c>
      <c r="O172" s="58">
        <f t="shared" si="16"/>
        <v>109.11231362963217</v>
      </c>
      <c r="P172" s="39">
        <v>8</v>
      </c>
      <c r="Q172" s="39">
        <v>10</v>
      </c>
      <c r="R172" s="39">
        <v>9</v>
      </c>
      <c r="S172" s="39">
        <v>9</v>
      </c>
      <c r="T172" s="39">
        <v>9</v>
      </c>
      <c r="U172" s="39">
        <v>9</v>
      </c>
      <c r="V172" s="39">
        <v>9</v>
      </c>
      <c r="W172" s="40" t="str">
        <f t="shared" si="18"/>
        <v>N</v>
      </c>
      <c r="X172" s="84">
        <f t="shared" si="19"/>
        <v>0</v>
      </c>
      <c r="Y172" s="84" t="str">
        <f t="shared" si="17"/>
        <v>0-4.9%</v>
      </c>
      <c r="Z172" s="85" t="s">
        <v>812</v>
      </c>
      <c r="AA172" s="59"/>
      <c r="AB172" s="59"/>
      <c r="AC172" s="59"/>
      <c r="AD172" s="59"/>
    </row>
    <row r="173" spans="1:30" x14ac:dyDescent="0.25">
      <c r="A173" s="54" t="s">
        <v>201</v>
      </c>
      <c r="B173" s="55"/>
      <c r="C173" s="56" t="s">
        <v>529</v>
      </c>
      <c r="D173" s="57">
        <f t="shared" si="14"/>
        <v>9</v>
      </c>
      <c r="E173" s="56"/>
      <c r="F173" s="56" t="s">
        <v>200</v>
      </c>
      <c r="G173" s="56">
        <v>5.75</v>
      </c>
      <c r="H173" s="56">
        <v>12.9</v>
      </c>
      <c r="I173" s="56">
        <v>7.65</v>
      </c>
      <c r="J173" s="56"/>
      <c r="K173" s="56"/>
      <c r="L173" s="56"/>
      <c r="M173" s="56"/>
      <c r="N173" s="58">
        <f t="shared" si="15"/>
        <v>26.299999999999997</v>
      </c>
      <c r="O173" s="58">
        <f t="shared" si="16"/>
        <v>193.72923066788891</v>
      </c>
      <c r="P173" s="39">
        <v>8</v>
      </c>
      <c r="Q173" s="39">
        <v>10</v>
      </c>
      <c r="R173" s="39">
        <v>9</v>
      </c>
      <c r="S173" s="39">
        <v>9</v>
      </c>
      <c r="T173" s="39">
        <v>9</v>
      </c>
      <c r="U173" s="39">
        <v>9</v>
      </c>
      <c r="V173" s="39">
        <v>9</v>
      </c>
      <c r="W173" s="40" t="str">
        <f t="shared" si="18"/>
        <v>Y</v>
      </c>
      <c r="X173" s="84">
        <f t="shared" si="19"/>
        <v>0.29000000000000004</v>
      </c>
      <c r="Y173" s="84" t="str">
        <f t="shared" si="17"/>
        <v>25-50%</v>
      </c>
      <c r="Z173" s="85" t="s">
        <v>782</v>
      </c>
      <c r="AA173" s="59"/>
      <c r="AB173" s="59"/>
      <c r="AC173" s="59"/>
      <c r="AD173" s="59"/>
    </row>
    <row r="174" spans="1:30" x14ac:dyDescent="0.25">
      <c r="A174" s="54" t="s">
        <v>210</v>
      </c>
      <c r="B174" s="55"/>
      <c r="C174" s="56" t="s">
        <v>537</v>
      </c>
      <c r="D174" s="57">
        <f t="shared" si="14"/>
        <v>9</v>
      </c>
      <c r="E174" s="56"/>
      <c r="F174" s="56" t="s">
        <v>200</v>
      </c>
      <c r="G174" s="56">
        <v>6.95</v>
      </c>
      <c r="H174" s="56">
        <v>13.75</v>
      </c>
      <c r="I174" s="56">
        <v>8.75</v>
      </c>
      <c r="J174" s="56"/>
      <c r="K174" s="56"/>
      <c r="L174" s="56"/>
      <c r="M174" s="56"/>
      <c r="N174" s="58">
        <f t="shared" si="15"/>
        <v>29.45</v>
      </c>
      <c r="O174" s="58">
        <f t="shared" si="16"/>
        <v>322.31322947005674</v>
      </c>
      <c r="P174" s="39">
        <v>8</v>
      </c>
      <c r="Q174" s="39">
        <v>10</v>
      </c>
      <c r="R174" s="39">
        <v>9</v>
      </c>
      <c r="S174" s="39">
        <v>9</v>
      </c>
      <c r="T174" s="39">
        <v>9</v>
      </c>
      <c r="U174" s="39">
        <v>9</v>
      </c>
      <c r="V174" s="39">
        <v>9</v>
      </c>
      <c r="W174" s="40" t="str">
        <f t="shared" si="18"/>
        <v>Y</v>
      </c>
      <c r="X174" s="84">
        <f t="shared" si="19"/>
        <v>0.375</v>
      </c>
      <c r="Y174" s="84" t="str">
        <f t="shared" si="17"/>
        <v>25-50%</v>
      </c>
      <c r="Z174" s="85" t="s">
        <v>812</v>
      </c>
      <c r="AA174" s="59"/>
      <c r="AB174" s="59"/>
      <c r="AC174" s="59"/>
      <c r="AD174" s="59"/>
    </row>
    <row r="175" spans="1:30" x14ac:dyDescent="0.25">
      <c r="A175" s="54" t="s">
        <v>216</v>
      </c>
      <c r="B175" s="55"/>
      <c r="C175" s="56" t="s">
        <v>542</v>
      </c>
      <c r="D175" s="57">
        <f t="shared" si="14"/>
        <v>9</v>
      </c>
      <c r="E175" s="56"/>
      <c r="F175" s="56" t="s">
        <v>200</v>
      </c>
      <c r="G175" s="56">
        <v>6.85</v>
      </c>
      <c r="H175" s="56">
        <v>5.3</v>
      </c>
      <c r="I175" s="56">
        <v>3.55</v>
      </c>
      <c r="J175" s="56"/>
      <c r="K175" s="56"/>
      <c r="L175" s="56"/>
      <c r="M175" s="56"/>
      <c r="N175" s="58">
        <f t="shared" si="15"/>
        <v>15.7</v>
      </c>
      <c r="O175" s="58">
        <f t="shared" si="16"/>
        <v>19.008275656430591</v>
      </c>
      <c r="P175" s="39">
        <v>8</v>
      </c>
      <c r="Q175" s="39">
        <v>10</v>
      </c>
      <c r="R175" s="39">
        <v>9</v>
      </c>
      <c r="S175" s="39">
        <v>9</v>
      </c>
      <c r="T175" s="39">
        <v>9</v>
      </c>
      <c r="U175" s="39">
        <v>9</v>
      </c>
      <c r="V175" s="39">
        <v>9</v>
      </c>
      <c r="W175" s="40" t="str">
        <f t="shared" si="18"/>
        <v>N</v>
      </c>
      <c r="X175" s="84">
        <f t="shared" si="19"/>
        <v>0</v>
      </c>
      <c r="Y175" s="84" t="str">
        <f t="shared" si="17"/>
        <v>0-4.9%</v>
      </c>
      <c r="Z175" s="85" t="s">
        <v>812</v>
      </c>
      <c r="AA175" s="59"/>
      <c r="AB175" s="59"/>
      <c r="AC175" s="59"/>
      <c r="AD175" s="59"/>
    </row>
    <row r="176" spans="1:30" x14ac:dyDescent="0.25">
      <c r="A176" s="54" t="s">
        <v>217</v>
      </c>
      <c r="B176" s="55"/>
      <c r="C176" s="56" t="s">
        <v>543</v>
      </c>
      <c r="D176" s="57">
        <f t="shared" si="14"/>
        <v>9</v>
      </c>
      <c r="E176" s="56"/>
      <c r="F176" s="56" t="s">
        <v>200</v>
      </c>
      <c r="G176" s="56">
        <v>5.75</v>
      </c>
      <c r="H176" s="56">
        <v>9.35</v>
      </c>
      <c r="I176" s="56">
        <v>6.3</v>
      </c>
      <c r="J176" s="56"/>
      <c r="K176" s="56"/>
      <c r="L176" s="56"/>
      <c r="M176" s="56"/>
      <c r="N176" s="58">
        <f t="shared" si="15"/>
        <v>21.4</v>
      </c>
      <c r="O176" s="58">
        <f t="shared" si="16"/>
        <v>76.604849851691839</v>
      </c>
      <c r="P176" s="39">
        <v>8</v>
      </c>
      <c r="Q176" s="39">
        <v>10</v>
      </c>
      <c r="R176" s="39">
        <v>9</v>
      </c>
      <c r="S176" s="39">
        <v>9</v>
      </c>
      <c r="T176" s="39">
        <v>9</v>
      </c>
      <c r="U176" s="39">
        <v>9</v>
      </c>
      <c r="V176" s="39">
        <v>9</v>
      </c>
      <c r="W176" s="40" t="str">
        <f t="shared" si="18"/>
        <v>N</v>
      </c>
      <c r="X176" s="84">
        <f t="shared" si="19"/>
        <v>0</v>
      </c>
      <c r="Y176" s="84" t="str">
        <f t="shared" si="17"/>
        <v>0-4.9%</v>
      </c>
      <c r="Z176" s="85" t="s">
        <v>812</v>
      </c>
      <c r="AA176" s="59"/>
      <c r="AB176" s="59"/>
      <c r="AC176" s="59"/>
      <c r="AD176" s="59"/>
    </row>
    <row r="177" spans="1:30" x14ac:dyDescent="0.25">
      <c r="A177" s="54" t="s">
        <v>250</v>
      </c>
      <c r="B177" s="55"/>
      <c r="C177" s="56" t="s">
        <v>565</v>
      </c>
      <c r="D177" s="57">
        <f t="shared" si="14"/>
        <v>9</v>
      </c>
      <c r="E177" s="56"/>
      <c r="F177" s="56" t="s">
        <v>200</v>
      </c>
      <c r="G177" s="56">
        <v>4.3499999999999996</v>
      </c>
      <c r="H177" s="56">
        <v>4.1500000000000004</v>
      </c>
      <c r="I177" s="56">
        <v>2.5499999999999998</v>
      </c>
      <c r="J177" s="56"/>
      <c r="K177" s="56"/>
      <c r="L177" s="56"/>
      <c r="M177" s="56"/>
      <c r="N177" s="58">
        <f t="shared" si="15"/>
        <v>11.05</v>
      </c>
      <c r="O177" s="58">
        <f t="shared" si="16"/>
        <v>3.9131323485716365</v>
      </c>
      <c r="P177" s="39">
        <v>8</v>
      </c>
      <c r="Q177" s="39">
        <v>10</v>
      </c>
      <c r="R177" s="39">
        <v>9</v>
      </c>
      <c r="S177" s="39">
        <v>9</v>
      </c>
      <c r="T177" s="39">
        <v>9</v>
      </c>
      <c r="U177" s="39">
        <v>9</v>
      </c>
      <c r="V177" s="39">
        <v>9</v>
      </c>
      <c r="W177" s="40" t="str">
        <f t="shared" si="18"/>
        <v>N</v>
      </c>
      <c r="X177" s="84">
        <f t="shared" si="19"/>
        <v>0</v>
      </c>
      <c r="Y177" s="84" t="str">
        <f t="shared" si="17"/>
        <v>0-4.9%</v>
      </c>
      <c r="Z177" s="85" t="s">
        <v>812</v>
      </c>
      <c r="AA177" s="59"/>
      <c r="AB177" s="59"/>
      <c r="AC177" s="59"/>
      <c r="AD177" s="59"/>
    </row>
    <row r="178" spans="1:30" x14ac:dyDescent="0.25">
      <c r="A178" s="54" t="s">
        <v>256</v>
      </c>
      <c r="B178" s="55"/>
      <c r="C178" s="56" t="s">
        <v>570</v>
      </c>
      <c r="D178" s="57">
        <f t="shared" si="14"/>
        <v>9</v>
      </c>
      <c r="E178" s="56"/>
      <c r="F178" s="56" t="s">
        <v>200</v>
      </c>
      <c r="G178" s="56">
        <v>4</v>
      </c>
      <c r="H178" s="56">
        <v>3</v>
      </c>
      <c r="I178" s="56">
        <v>2.75</v>
      </c>
      <c r="J178" s="56"/>
      <c r="K178" s="56"/>
      <c r="L178" s="56"/>
      <c r="M178" s="56"/>
      <c r="N178" s="58">
        <f t="shared" si="15"/>
        <v>9.75</v>
      </c>
      <c r="O178" s="58">
        <f t="shared" si="16"/>
        <v>2.2279993317934754</v>
      </c>
      <c r="P178" s="39">
        <v>8</v>
      </c>
      <c r="Q178" s="39">
        <v>10</v>
      </c>
      <c r="R178" s="39">
        <v>9</v>
      </c>
      <c r="S178" s="39">
        <v>9</v>
      </c>
      <c r="T178" s="39">
        <v>9</v>
      </c>
      <c r="U178" s="39">
        <v>9</v>
      </c>
      <c r="V178" s="39">
        <v>9</v>
      </c>
      <c r="W178" s="40" t="str">
        <f t="shared" si="18"/>
        <v>N</v>
      </c>
      <c r="X178" s="84">
        <f t="shared" si="19"/>
        <v>0</v>
      </c>
      <c r="Y178" s="84" t="str">
        <f t="shared" si="17"/>
        <v>0-4.9%</v>
      </c>
      <c r="Z178" s="85" t="s">
        <v>786</v>
      </c>
      <c r="AA178" s="59"/>
      <c r="AB178" s="59"/>
      <c r="AC178" s="59"/>
      <c r="AD178" s="59"/>
    </row>
    <row r="179" spans="1:30" x14ac:dyDescent="0.25">
      <c r="A179" s="54" t="s">
        <v>261</v>
      </c>
      <c r="B179" s="55"/>
      <c r="C179" s="56" t="s">
        <v>573</v>
      </c>
      <c r="D179" s="57">
        <f t="shared" si="14"/>
        <v>9</v>
      </c>
      <c r="E179" s="56"/>
      <c r="F179" s="56" t="s">
        <v>200</v>
      </c>
      <c r="G179" s="56">
        <v>4.3</v>
      </c>
      <c r="H179" s="56">
        <v>3.95</v>
      </c>
      <c r="I179" s="56">
        <v>2.95</v>
      </c>
      <c r="J179" s="56"/>
      <c r="K179" s="56"/>
      <c r="L179" s="56"/>
      <c r="M179" s="56"/>
      <c r="N179" s="58">
        <f t="shared" si="15"/>
        <v>11.2</v>
      </c>
      <c r="O179" s="58">
        <f t="shared" si="16"/>
        <v>4.1579129013188014</v>
      </c>
      <c r="P179" s="39">
        <v>8</v>
      </c>
      <c r="Q179" s="39">
        <v>10</v>
      </c>
      <c r="R179" s="39">
        <v>9</v>
      </c>
      <c r="S179" s="39">
        <v>9</v>
      </c>
      <c r="T179" s="39">
        <v>9</v>
      </c>
      <c r="U179" s="39">
        <v>9</v>
      </c>
      <c r="V179" s="39">
        <v>9</v>
      </c>
      <c r="W179" s="40" t="str">
        <f t="shared" si="18"/>
        <v>N</v>
      </c>
      <c r="X179" s="84">
        <f t="shared" si="19"/>
        <v>0</v>
      </c>
      <c r="Y179" s="84" t="str">
        <f t="shared" si="17"/>
        <v>0-4.9%</v>
      </c>
      <c r="Z179" s="85" t="s">
        <v>812</v>
      </c>
      <c r="AA179" s="59"/>
      <c r="AB179" s="59"/>
      <c r="AC179" s="59"/>
      <c r="AD179" s="59"/>
    </row>
    <row r="180" spans="1:30" x14ac:dyDescent="0.25">
      <c r="A180" s="54" t="s">
        <v>264</v>
      </c>
      <c r="B180" s="55"/>
      <c r="C180" s="56" t="s">
        <v>576</v>
      </c>
      <c r="D180" s="57">
        <f t="shared" si="14"/>
        <v>9</v>
      </c>
      <c r="E180" s="56"/>
      <c r="F180" s="56" t="s">
        <v>200</v>
      </c>
      <c r="G180" s="56">
        <v>4.7</v>
      </c>
      <c r="H180" s="56">
        <v>4.5999999999999996</v>
      </c>
      <c r="I180" s="56">
        <v>2.95</v>
      </c>
      <c r="J180" s="56"/>
      <c r="K180" s="56"/>
      <c r="L180" s="56"/>
      <c r="M180" s="56"/>
      <c r="N180" s="58">
        <f t="shared" si="15"/>
        <v>12.25</v>
      </c>
      <c r="O180" s="58">
        <f t="shared" si="16"/>
        <v>6.2230986383135463</v>
      </c>
      <c r="P180" s="39">
        <v>8</v>
      </c>
      <c r="Q180" s="39">
        <v>10</v>
      </c>
      <c r="R180" s="39">
        <v>9</v>
      </c>
      <c r="S180" s="39">
        <v>9</v>
      </c>
      <c r="T180" s="39">
        <v>9</v>
      </c>
      <c r="U180" s="39">
        <v>9</v>
      </c>
      <c r="V180" s="39">
        <v>9</v>
      </c>
      <c r="W180" s="40" t="str">
        <f t="shared" si="18"/>
        <v>N</v>
      </c>
      <c r="X180" s="84">
        <f t="shared" si="19"/>
        <v>0</v>
      </c>
      <c r="Y180" s="84" t="str">
        <f t="shared" si="17"/>
        <v>0-4.9%</v>
      </c>
      <c r="Z180" s="85" t="s">
        <v>786</v>
      </c>
      <c r="AA180" s="59"/>
      <c r="AB180" s="59"/>
      <c r="AC180" s="59"/>
      <c r="AD180" s="59"/>
    </row>
    <row r="181" spans="1:30" x14ac:dyDescent="0.25">
      <c r="A181" s="54" t="s">
        <v>268</v>
      </c>
      <c r="B181" s="55"/>
      <c r="C181" s="56" t="s">
        <v>580</v>
      </c>
      <c r="D181" s="57">
        <f t="shared" si="14"/>
        <v>9</v>
      </c>
      <c r="E181" s="56"/>
      <c r="F181" s="56" t="s">
        <v>200</v>
      </c>
      <c r="G181" s="56">
        <v>8.0500000000000007</v>
      </c>
      <c r="H181" s="56">
        <v>8.3000000000000007</v>
      </c>
      <c r="I181" s="56">
        <v>7.95</v>
      </c>
      <c r="J181" s="56"/>
      <c r="K181" s="56"/>
      <c r="L181" s="56"/>
      <c r="M181" s="56"/>
      <c r="N181" s="58">
        <f t="shared" si="15"/>
        <v>24.3</v>
      </c>
      <c r="O181" s="58">
        <f t="shared" si="16"/>
        <v>135.71333308856089</v>
      </c>
      <c r="P181" s="39">
        <v>8</v>
      </c>
      <c r="Q181" s="39">
        <v>10</v>
      </c>
      <c r="R181" s="39">
        <v>9</v>
      </c>
      <c r="S181" s="39">
        <v>9</v>
      </c>
      <c r="T181" s="39">
        <v>9</v>
      </c>
      <c r="U181" s="39">
        <v>9</v>
      </c>
      <c r="V181" s="39">
        <v>9</v>
      </c>
      <c r="W181" s="40" t="str">
        <f t="shared" si="18"/>
        <v>Y</v>
      </c>
      <c r="X181" s="84">
        <f t="shared" si="19"/>
        <v>5.0000000000000712E-3</v>
      </c>
      <c r="Y181" s="84" t="str">
        <f t="shared" si="17"/>
        <v>0-4.9%</v>
      </c>
      <c r="Z181" s="85" t="s">
        <v>794</v>
      </c>
      <c r="AA181" s="59"/>
      <c r="AB181" s="59"/>
      <c r="AC181" s="59"/>
      <c r="AD181" s="59"/>
    </row>
    <row r="182" spans="1:30" x14ac:dyDescent="0.25">
      <c r="A182" s="71" t="s">
        <v>273</v>
      </c>
      <c r="B182" s="72"/>
      <c r="C182" s="73" t="s">
        <v>585</v>
      </c>
      <c r="D182" s="57">
        <f t="shared" si="14"/>
        <v>9</v>
      </c>
      <c r="E182" s="73"/>
      <c r="F182" s="73" t="s">
        <v>200</v>
      </c>
      <c r="G182" s="73">
        <v>7.2</v>
      </c>
      <c r="H182" s="73">
        <v>7.55</v>
      </c>
      <c r="I182" s="73">
        <v>6.95</v>
      </c>
      <c r="J182" s="73"/>
      <c r="K182" s="73"/>
      <c r="L182" s="73"/>
      <c r="M182" s="73"/>
      <c r="N182" s="58">
        <f t="shared" si="15"/>
        <v>21.7</v>
      </c>
      <c r="O182" s="58">
        <f t="shared" si="16"/>
        <v>81.557346599528074</v>
      </c>
      <c r="P182" s="39">
        <v>8</v>
      </c>
      <c r="Q182" s="39">
        <v>10</v>
      </c>
      <c r="R182" s="39">
        <v>9</v>
      </c>
      <c r="S182" s="39">
        <v>9</v>
      </c>
      <c r="T182" s="39">
        <v>9</v>
      </c>
      <c r="U182" s="39">
        <v>9</v>
      </c>
      <c r="V182" s="39">
        <v>9</v>
      </c>
      <c r="W182" s="40" t="str">
        <f t="shared" si="18"/>
        <v>N</v>
      </c>
      <c r="X182" s="84">
        <f t="shared" si="19"/>
        <v>0</v>
      </c>
      <c r="Y182" s="84" t="str">
        <f t="shared" si="17"/>
        <v>0-4.9%</v>
      </c>
      <c r="Z182" s="90" t="s">
        <v>812</v>
      </c>
      <c r="AA182" s="59"/>
      <c r="AB182" s="59"/>
      <c r="AC182" s="59"/>
      <c r="AD182" s="59"/>
    </row>
    <row r="183" spans="1:30" x14ac:dyDescent="0.25">
      <c r="A183" s="54" t="s">
        <v>282</v>
      </c>
      <c r="B183" s="55"/>
      <c r="C183" s="56" t="s">
        <v>592</v>
      </c>
      <c r="D183" s="57">
        <f t="shared" si="14"/>
        <v>9</v>
      </c>
      <c r="E183" s="56"/>
      <c r="F183" s="56" t="s">
        <v>200</v>
      </c>
      <c r="G183" s="56">
        <v>6.35</v>
      </c>
      <c r="H183" s="56">
        <v>9.85</v>
      </c>
      <c r="I183" s="56">
        <v>6</v>
      </c>
      <c r="J183" s="56"/>
      <c r="K183" s="56"/>
      <c r="L183" s="56"/>
      <c r="M183" s="56"/>
      <c r="N183" s="58">
        <f t="shared" si="15"/>
        <v>22.2</v>
      </c>
      <c r="O183" s="58">
        <f t="shared" si="16"/>
        <v>90.36134167164218</v>
      </c>
      <c r="P183" s="39">
        <v>8</v>
      </c>
      <c r="Q183" s="39">
        <v>10</v>
      </c>
      <c r="R183" s="39">
        <v>9</v>
      </c>
      <c r="S183" s="39">
        <v>9</v>
      </c>
      <c r="T183" s="39">
        <v>9</v>
      </c>
      <c r="U183" s="39">
        <v>9</v>
      </c>
      <c r="V183" s="39">
        <v>9</v>
      </c>
      <c r="W183" s="40" t="str">
        <f t="shared" si="18"/>
        <v>N</v>
      </c>
      <c r="X183" s="84">
        <f t="shared" si="19"/>
        <v>0</v>
      </c>
      <c r="Y183" s="84" t="str">
        <f t="shared" si="17"/>
        <v>0-4.9%</v>
      </c>
      <c r="Z183" s="85" t="s">
        <v>812</v>
      </c>
      <c r="AA183" s="59"/>
      <c r="AB183" s="59"/>
      <c r="AC183" s="59"/>
      <c r="AD183" s="59"/>
    </row>
    <row r="184" spans="1:30" x14ac:dyDescent="0.25">
      <c r="A184" s="54" t="s">
        <v>283</v>
      </c>
      <c r="B184" s="55"/>
      <c r="C184" s="56" t="s">
        <v>593</v>
      </c>
      <c r="D184" s="57">
        <f t="shared" si="14"/>
        <v>9</v>
      </c>
      <c r="E184" s="56"/>
      <c r="F184" s="56" t="s">
        <v>200</v>
      </c>
      <c r="G184" s="56">
        <v>4.7</v>
      </c>
      <c r="H184" s="56">
        <v>2.95</v>
      </c>
      <c r="I184" s="56">
        <v>2.8</v>
      </c>
      <c r="J184" s="56"/>
      <c r="K184" s="56"/>
      <c r="L184" s="56"/>
      <c r="M184" s="56"/>
      <c r="N184" s="58">
        <f t="shared" si="15"/>
        <v>10.45</v>
      </c>
      <c r="O184" s="58">
        <f t="shared" si="16"/>
        <v>3.0438103721863903</v>
      </c>
      <c r="P184" s="39">
        <v>8</v>
      </c>
      <c r="Q184" s="39">
        <v>10</v>
      </c>
      <c r="R184" s="39">
        <v>9</v>
      </c>
      <c r="S184" s="39">
        <v>9</v>
      </c>
      <c r="T184" s="39">
        <v>9</v>
      </c>
      <c r="U184" s="39">
        <v>9</v>
      </c>
      <c r="V184" s="39">
        <v>9</v>
      </c>
      <c r="W184" s="40" t="str">
        <f t="shared" si="18"/>
        <v>N</v>
      </c>
      <c r="X184" s="84">
        <f t="shared" si="19"/>
        <v>0</v>
      </c>
      <c r="Y184" s="84" t="str">
        <f t="shared" si="17"/>
        <v>0-4.9%</v>
      </c>
      <c r="Z184" s="85" t="s">
        <v>224</v>
      </c>
      <c r="AA184" s="59"/>
      <c r="AB184" s="59"/>
      <c r="AC184" s="59"/>
      <c r="AD184" s="59"/>
    </row>
    <row r="185" spans="1:30" x14ac:dyDescent="0.25">
      <c r="A185" s="54" t="s">
        <v>296</v>
      </c>
      <c r="B185" s="55"/>
      <c r="C185" s="56" t="s">
        <v>366</v>
      </c>
      <c r="D185" s="57">
        <f t="shared" si="14"/>
        <v>9</v>
      </c>
      <c r="E185" s="56"/>
      <c r="F185" s="56" t="s">
        <v>205</v>
      </c>
      <c r="G185" s="56">
        <v>5.35</v>
      </c>
      <c r="H185" s="56">
        <v>9.1999999999999993</v>
      </c>
      <c r="I185" s="56">
        <v>5.5</v>
      </c>
      <c r="J185" s="56"/>
      <c r="K185" s="56"/>
      <c r="L185" s="56"/>
      <c r="M185" s="56"/>
      <c r="N185" s="58">
        <f t="shared" si="15"/>
        <v>20.049999999999997</v>
      </c>
      <c r="O185" s="58">
        <f t="shared" si="16"/>
        <v>57.135888050256014</v>
      </c>
      <c r="P185" s="39">
        <v>8</v>
      </c>
      <c r="Q185" s="39">
        <v>10</v>
      </c>
      <c r="R185" s="39">
        <v>9</v>
      </c>
      <c r="S185" s="39">
        <v>9</v>
      </c>
      <c r="T185" s="39">
        <v>9</v>
      </c>
      <c r="U185" s="39">
        <v>9</v>
      </c>
      <c r="V185" s="39">
        <v>9</v>
      </c>
      <c r="W185" s="40" t="str">
        <f t="shared" si="18"/>
        <v>N</v>
      </c>
      <c r="X185" s="84">
        <f t="shared" si="19"/>
        <v>0</v>
      </c>
      <c r="Y185" s="84" t="str">
        <f t="shared" si="17"/>
        <v>0-4.9%</v>
      </c>
      <c r="Z185" s="85" t="s">
        <v>812</v>
      </c>
      <c r="AA185" s="59"/>
      <c r="AB185" s="59"/>
      <c r="AC185" s="59"/>
      <c r="AD185" s="59"/>
    </row>
    <row r="186" spans="1:30" x14ac:dyDescent="0.25">
      <c r="A186" s="54" t="s">
        <v>299</v>
      </c>
      <c r="B186" s="55"/>
      <c r="C186" s="56" t="s">
        <v>605</v>
      </c>
      <c r="D186" s="57">
        <f t="shared" si="14"/>
        <v>9</v>
      </c>
      <c r="E186" s="56"/>
      <c r="F186" s="56" t="s">
        <v>200</v>
      </c>
      <c r="G186" s="56">
        <v>4.8</v>
      </c>
      <c r="H186" s="56">
        <v>9.75</v>
      </c>
      <c r="I186" s="56">
        <v>6.35</v>
      </c>
      <c r="J186" s="56"/>
      <c r="K186" s="56"/>
      <c r="L186" s="56"/>
      <c r="M186" s="56"/>
      <c r="N186" s="58">
        <f t="shared" si="15"/>
        <v>20.9</v>
      </c>
      <c r="O186" s="58">
        <f t="shared" si="16"/>
        <v>68.873566554206249</v>
      </c>
      <c r="P186" s="39">
        <v>8</v>
      </c>
      <c r="Q186" s="39">
        <v>10</v>
      </c>
      <c r="R186" s="39">
        <v>9</v>
      </c>
      <c r="S186" s="39">
        <v>9</v>
      </c>
      <c r="T186" s="39">
        <v>9</v>
      </c>
      <c r="U186" s="39">
        <v>9</v>
      </c>
      <c r="V186" s="39">
        <v>9</v>
      </c>
      <c r="W186" s="40" t="str">
        <f t="shared" si="18"/>
        <v>N</v>
      </c>
      <c r="X186" s="84">
        <f t="shared" si="19"/>
        <v>0</v>
      </c>
      <c r="Y186" s="84" t="str">
        <f t="shared" si="17"/>
        <v>0-4.9%</v>
      </c>
      <c r="Z186" s="85" t="s">
        <v>812</v>
      </c>
      <c r="AA186" s="59"/>
      <c r="AB186" s="59"/>
      <c r="AC186" s="59"/>
      <c r="AD186" s="59"/>
    </row>
    <row r="187" spans="1:30" x14ac:dyDescent="0.25">
      <c r="A187" s="54" t="s">
        <v>302</v>
      </c>
      <c r="B187" s="55"/>
      <c r="C187" s="56" t="s">
        <v>608</v>
      </c>
      <c r="D187" s="57">
        <f t="shared" si="14"/>
        <v>9</v>
      </c>
      <c r="E187" s="56"/>
      <c r="F187" s="56" t="s">
        <v>200</v>
      </c>
      <c r="G187" s="56">
        <v>4.5999999999999996</v>
      </c>
      <c r="H187" s="56">
        <v>4.45</v>
      </c>
      <c r="I187" s="56">
        <v>2.75</v>
      </c>
      <c r="J187" s="56"/>
      <c r="K187" s="56"/>
      <c r="L187" s="56"/>
      <c r="M187" s="56"/>
      <c r="N187" s="58">
        <f t="shared" si="15"/>
        <v>11.8</v>
      </c>
      <c r="O187" s="58">
        <f t="shared" si="16"/>
        <v>5.2585174385414728</v>
      </c>
      <c r="P187" s="39">
        <v>8</v>
      </c>
      <c r="Q187" s="39">
        <v>10</v>
      </c>
      <c r="R187" s="39">
        <v>9</v>
      </c>
      <c r="S187" s="39">
        <v>9</v>
      </c>
      <c r="T187" s="39">
        <v>9</v>
      </c>
      <c r="U187" s="39">
        <v>9</v>
      </c>
      <c r="V187" s="39">
        <v>9</v>
      </c>
      <c r="W187" s="40" t="str">
        <f t="shared" si="18"/>
        <v>N</v>
      </c>
      <c r="X187" s="84">
        <f t="shared" si="19"/>
        <v>0</v>
      </c>
      <c r="Y187" s="84" t="str">
        <f t="shared" si="17"/>
        <v>0-4.9%</v>
      </c>
      <c r="Z187" s="85" t="s">
        <v>782</v>
      </c>
      <c r="AA187" s="59"/>
      <c r="AB187" s="59"/>
      <c r="AC187" s="59"/>
      <c r="AD187" s="59"/>
    </row>
    <row r="188" spans="1:30" x14ac:dyDescent="0.25">
      <c r="A188" s="54" t="s">
        <v>303</v>
      </c>
      <c r="B188" s="55"/>
      <c r="C188" s="56" t="s">
        <v>609</v>
      </c>
      <c r="D188" s="57">
        <f t="shared" si="14"/>
        <v>9</v>
      </c>
      <c r="E188" s="56"/>
      <c r="F188" s="56" t="s">
        <v>200</v>
      </c>
      <c r="G188" s="56">
        <v>6.7</v>
      </c>
      <c r="H188" s="56">
        <v>8.15</v>
      </c>
      <c r="I188" s="56">
        <v>7.55</v>
      </c>
      <c r="J188" s="56"/>
      <c r="K188" s="56"/>
      <c r="L188" s="56"/>
      <c r="M188" s="56"/>
      <c r="N188" s="58">
        <f t="shared" si="15"/>
        <v>22.400000000000002</v>
      </c>
      <c r="O188" s="58">
        <f t="shared" si="16"/>
        <v>94.082829059377929</v>
      </c>
      <c r="P188" s="39">
        <v>8</v>
      </c>
      <c r="Q188" s="39">
        <v>10</v>
      </c>
      <c r="R188" s="39">
        <v>9</v>
      </c>
      <c r="S188" s="39">
        <v>9</v>
      </c>
      <c r="T188" s="39">
        <v>9</v>
      </c>
      <c r="U188" s="39">
        <v>9</v>
      </c>
      <c r="V188" s="39">
        <v>9</v>
      </c>
      <c r="W188" s="40" t="str">
        <f t="shared" si="18"/>
        <v>N</v>
      </c>
      <c r="X188" s="84">
        <f t="shared" si="19"/>
        <v>0</v>
      </c>
      <c r="Y188" s="84" t="str">
        <f t="shared" si="17"/>
        <v>0-4.9%</v>
      </c>
      <c r="Z188" s="85" t="s">
        <v>794</v>
      </c>
      <c r="AA188" s="59"/>
      <c r="AB188" s="59"/>
      <c r="AC188" s="59"/>
      <c r="AD188" s="59"/>
    </row>
    <row r="189" spans="1:30" x14ac:dyDescent="0.25">
      <c r="A189" s="54" t="s">
        <v>304</v>
      </c>
      <c r="B189" s="55"/>
      <c r="C189" s="56" t="s">
        <v>610</v>
      </c>
      <c r="D189" s="57">
        <f t="shared" si="14"/>
        <v>9</v>
      </c>
      <c r="E189" s="56"/>
      <c r="F189" s="56" t="s">
        <v>200</v>
      </c>
      <c r="G189" s="56">
        <v>4.5999999999999996</v>
      </c>
      <c r="H189" s="56">
        <v>5.35</v>
      </c>
      <c r="I189" s="56">
        <v>4</v>
      </c>
      <c r="J189" s="56"/>
      <c r="K189" s="56"/>
      <c r="L189" s="56"/>
      <c r="M189" s="56"/>
      <c r="N189" s="58">
        <f t="shared" si="15"/>
        <v>13.95</v>
      </c>
      <c r="O189" s="58">
        <f t="shared" si="16"/>
        <v>11.168072377709521</v>
      </c>
      <c r="P189" s="39">
        <v>8</v>
      </c>
      <c r="Q189" s="39">
        <v>10</v>
      </c>
      <c r="R189" s="39">
        <v>9</v>
      </c>
      <c r="S189" s="39">
        <v>9</v>
      </c>
      <c r="T189" s="39">
        <v>9</v>
      </c>
      <c r="U189" s="39">
        <v>9</v>
      </c>
      <c r="V189" s="39">
        <v>9</v>
      </c>
      <c r="W189" s="40" t="str">
        <f t="shared" si="18"/>
        <v>N</v>
      </c>
      <c r="X189" s="84">
        <f t="shared" si="19"/>
        <v>0</v>
      </c>
      <c r="Y189" s="84" t="str">
        <f t="shared" si="17"/>
        <v>0-4.9%</v>
      </c>
      <c r="Z189" s="85" t="s">
        <v>786</v>
      </c>
      <c r="AA189" s="59"/>
      <c r="AB189" s="59"/>
      <c r="AC189" s="59"/>
      <c r="AD189" s="59"/>
    </row>
    <row r="190" spans="1:30" x14ac:dyDescent="0.25">
      <c r="A190" s="54" t="s">
        <v>307</v>
      </c>
      <c r="B190" s="55"/>
      <c r="C190" s="56" t="s">
        <v>613</v>
      </c>
      <c r="D190" s="57">
        <f t="shared" si="14"/>
        <v>9</v>
      </c>
      <c r="E190" s="56"/>
      <c r="F190" s="56" t="s">
        <v>200</v>
      </c>
      <c r="G190" s="56">
        <v>6.3</v>
      </c>
      <c r="H190" s="56">
        <v>6.35</v>
      </c>
      <c r="I190" s="56">
        <v>3.9</v>
      </c>
      <c r="J190" s="56"/>
      <c r="K190" s="56"/>
      <c r="L190" s="56"/>
      <c r="M190" s="56"/>
      <c r="N190" s="58">
        <f t="shared" si="15"/>
        <v>16.549999999999997</v>
      </c>
      <c r="O190" s="58">
        <f t="shared" si="16"/>
        <v>24.098237325759101</v>
      </c>
      <c r="P190" s="39">
        <v>8</v>
      </c>
      <c r="Q190" s="39">
        <v>10</v>
      </c>
      <c r="R190" s="39">
        <v>9</v>
      </c>
      <c r="S190" s="39">
        <v>9</v>
      </c>
      <c r="T190" s="39">
        <v>9</v>
      </c>
      <c r="U190" s="39">
        <v>9</v>
      </c>
      <c r="V190" s="39">
        <v>9</v>
      </c>
      <c r="W190" s="40" t="str">
        <f t="shared" si="18"/>
        <v>N</v>
      </c>
      <c r="X190" s="84">
        <f t="shared" si="19"/>
        <v>0</v>
      </c>
      <c r="Y190" s="84" t="str">
        <f t="shared" si="17"/>
        <v>0-4.9%</v>
      </c>
      <c r="Z190" s="85" t="s">
        <v>812</v>
      </c>
      <c r="AA190" s="59"/>
      <c r="AB190" s="59"/>
      <c r="AC190" s="59"/>
      <c r="AD190" s="59"/>
    </row>
    <row r="191" spans="1:30" x14ac:dyDescent="0.25">
      <c r="A191" s="54" t="s">
        <v>315</v>
      </c>
      <c r="B191" s="55"/>
      <c r="C191" s="56" t="s">
        <v>385</v>
      </c>
      <c r="D191" s="57">
        <f t="shared" si="14"/>
        <v>9</v>
      </c>
      <c r="E191" s="56"/>
      <c r="F191" s="56" t="s">
        <v>200</v>
      </c>
      <c r="G191" s="56">
        <v>5.35</v>
      </c>
      <c r="H191" s="56">
        <v>10.1</v>
      </c>
      <c r="I191" s="56">
        <v>6</v>
      </c>
      <c r="J191" s="56"/>
      <c r="K191" s="56"/>
      <c r="L191" s="56"/>
      <c r="M191" s="56"/>
      <c r="N191" s="58">
        <f t="shared" si="15"/>
        <v>21.45</v>
      </c>
      <c r="O191" s="58">
        <f t="shared" si="16"/>
        <v>77.413574301502905</v>
      </c>
      <c r="P191" s="39">
        <v>8</v>
      </c>
      <c r="Q191" s="39">
        <v>10</v>
      </c>
      <c r="R191" s="39">
        <v>9</v>
      </c>
      <c r="S191" s="39">
        <v>9</v>
      </c>
      <c r="T191" s="39">
        <v>9</v>
      </c>
      <c r="U191" s="39">
        <v>9</v>
      </c>
      <c r="V191" s="39">
        <v>9</v>
      </c>
      <c r="W191" s="40" t="str">
        <f t="shared" si="18"/>
        <v>Y</v>
      </c>
      <c r="X191" s="84">
        <f t="shared" si="19"/>
        <v>9.9999999999999638E-3</v>
      </c>
      <c r="Y191" s="84" t="str">
        <f t="shared" si="17"/>
        <v>0-4.9%</v>
      </c>
      <c r="Z191" s="85" t="s">
        <v>812</v>
      </c>
      <c r="AA191" s="59"/>
      <c r="AB191" s="59"/>
      <c r="AC191" s="59"/>
      <c r="AD191" s="59"/>
    </row>
    <row r="192" spans="1:30" x14ac:dyDescent="0.25">
      <c r="A192" s="54" t="s">
        <v>316</v>
      </c>
      <c r="B192" s="55"/>
      <c r="C192" s="56" t="s">
        <v>618</v>
      </c>
      <c r="D192" s="57">
        <f t="shared" si="14"/>
        <v>9</v>
      </c>
      <c r="E192" s="56"/>
      <c r="F192" s="56" t="s">
        <v>200</v>
      </c>
      <c r="G192" s="56">
        <v>9.4499999999999993</v>
      </c>
      <c r="H192" s="56">
        <v>13.45</v>
      </c>
      <c r="I192" s="56">
        <v>13.95</v>
      </c>
      <c r="J192" s="56"/>
      <c r="K192" s="56"/>
      <c r="L192" s="56"/>
      <c r="M192" s="56"/>
      <c r="N192" s="58">
        <f t="shared" si="15"/>
        <v>36.849999999999994</v>
      </c>
      <c r="O192" s="58">
        <f t="shared" si="16"/>
        <v>883.8183220447446</v>
      </c>
      <c r="P192" s="39">
        <v>8</v>
      </c>
      <c r="Q192" s="39">
        <v>10</v>
      </c>
      <c r="R192" s="39">
        <v>9</v>
      </c>
      <c r="S192" s="39">
        <v>9</v>
      </c>
      <c r="T192" s="39">
        <v>9</v>
      </c>
      <c r="U192" s="39">
        <v>9</v>
      </c>
      <c r="V192" s="39">
        <v>9</v>
      </c>
      <c r="W192" s="40" t="str">
        <f t="shared" si="18"/>
        <v>Y</v>
      </c>
      <c r="X192" s="84">
        <f t="shared" si="19"/>
        <v>0.49499999999999994</v>
      </c>
      <c r="Y192" s="84" t="str">
        <f t="shared" si="17"/>
        <v>25-50%</v>
      </c>
      <c r="Z192" s="85" t="s">
        <v>786</v>
      </c>
      <c r="AA192" s="59"/>
      <c r="AB192" s="59"/>
      <c r="AC192" s="59"/>
      <c r="AD192" s="59"/>
    </row>
    <row r="193" spans="1:30" x14ac:dyDescent="0.25">
      <c r="A193" s="54" t="s">
        <v>194</v>
      </c>
      <c r="B193" s="55"/>
      <c r="C193" s="56" t="s">
        <v>625</v>
      </c>
      <c r="D193" s="57">
        <f t="shared" si="14"/>
        <v>9</v>
      </c>
      <c r="E193" s="56"/>
      <c r="F193" s="56" t="s">
        <v>200</v>
      </c>
      <c r="G193" s="56">
        <v>5.3</v>
      </c>
      <c r="H193" s="56">
        <v>6.45</v>
      </c>
      <c r="I193" s="56">
        <v>4.45</v>
      </c>
      <c r="J193" s="56"/>
      <c r="K193" s="56"/>
      <c r="L193" s="56"/>
      <c r="M193" s="56"/>
      <c r="N193" s="58">
        <f t="shared" si="15"/>
        <v>16.2</v>
      </c>
      <c r="O193" s="58">
        <f t="shared" si="16"/>
        <v>21.888290854936422</v>
      </c>
      <c r="P193" s="39">
        <v>8</v>
      </c>
      <c r="Q193" s="39">
        <v>10</v>
      </c>
      <c r="R193" s="39">
        <v>9</v>
      </c>
      <c r="S193" s="39">
        <v>9</v>
      </c>
      <c r="T193" s="39">
        <v>9</v>
      </c>
      <c r="U193" s="39">
        <v>9</v>
      </c>
      <c r="V193" s="39">
        <v>9</v>
      </c>
      <c r="W193" s="40" t="str">
        <f t="shared" si="18"/>
        <v>N</v>
      </c>
      <c r="X193" s="84">
        <f t="shared" si="19"/>
        <v>0</v>
      </c>
      <c r="Y193" s="84" t="str">
        <f t="shared" si="17"/>
        <v>0-4.9%</v>
      </c>
      <c r="Z193" s="85" t="s">
        <v>790</v>
      </c>
      <c r="AA193" s="59"/>
      <c r="AB193" s="59"/>
      <c r="AC193" s="59"/>
      <c r="AD193" s="59"/>
    </row>
    <row r="194" spans="1:30" x14ac:dyDescent="0.25">
      <c r="A194" s="54" t="s">
        <v>195</v>
      </c>
      <c r="B194" s="55"/>
      <c r="C194" s="56" t="s">
        <v>94</v>
      </c>
      <c r="D194" s="57">
        <f t="shared" si="14"/>
        <v>9</v>
      </c>
      <c r="E194" s="56"/>
      <c r="F194" s="56" t="s">
        <v>200</v>
      </c>
      <c r="G194" s="56">
        <v>6.45</v>
      </c>
      <c r="H194" s="56">
        <v>7</v>
      </c>
      <c r="I194" s="56">
        <v>7.15</v>
      </c>
      <c r="J194" s="56"/>
      <c r="K194" s="56"/>
      <c r="L194" s="56"/>
      <c r="M194" s="56"/>
      <c r="N194" s="58">
        <f t="shared" si="15"/>
        <v>20.6</v>
      </c>
      <c r="O194" s="58">
        <f t="shared" si="16"/>
        <v>64.535217380104484</v>
      </c>
      <c r="P194" s="39">
        <v>8</v>
      </c>
      <c r="Q194" s="39">
        <v>10</v>
      </c>
      <c r="R194" s="39">
        <v>9</v>
      </c>
      <c r="S194" s="39">
        <v>9</v>
      </c>
      <c r="T194" s="39">
        <v>9</v>
      </c>
      <c r="U194" s="39">
        <v>9</v>
      </c>
      <c r="V194" s="39">
        <v>9</v>
      </c>
      <c r="W194" s="40" t="str">
        <f t="shared" si="18"/>
        <v>N</v>
      </c>
      <c r="X194" s="84">
        <f t="shared" si="19"/>
        <v>0</v>
      </c>
      <c r="Y194" s="84" t="str">
        <f t="shared" si="17"/>
        <v>0-4.9%</v>
      </c>
      <c r="Z194" s="85" t="s">
        <v>812</v>
      </c>
      <c r="AA194" s="59"/>
      <c r="AB194" s="59"/>
      <c r="AC194" s="59"/>
      <c r="AD194" s="59"/>
    </row>
    <row r="195" spans="1:30" x14ac:dyDescent="0.25">
      <c r="A195" s="54" t="s">
        <v>196</v>
      </c>
      <c r="B195" s="55"/>
      <c r="C195" s="56" t="s">
        <v>625</v>
      </c>
      <c r="D195" s="57">
        <f t="shared" si="14"/>
        <v>9</v>
      </c>
      <c r="E195" s="56"/>
      <c r="F195" s="56" t="s">
        <v>200</v>
      </c>
      <c r="G195" s="56">
        <v>5.3</v>
      </c>
      <c r="H195" s="56">
        <v>6.45</v>
      </c>
      <c r="I195" s="56">
        <v>4.45</v>
      </c>
      <c r="J195" s="56"/>
      <c r="K195" s="56"/>
      <c r="L195" s="56"/>
      <c r="M195" s="56"/>
      <c r="N195" s="58">
        <f t="shared" si="15"/>
        <v>16.2</v>
      </c>
      <c r="O195" s="58">
        <f t="shared" si="16"/>
        <v>21.888290854936422</v>
      </c>
      <c r="P195" s="39">
        <v>8</v>
      </c>
      <c r="Q195" s="39">
        <v>10</v>
      </c>
      <c r="R195" s="39">
        <v>9</v>
      </c>
      <c r="S195" s="39">
        <v>9</v>
      </c>
      <c r="T195" s="39">
        <v>9</v>
      </c>
      <c r="U195" s="39">
        <v>9</v>
      </c>
      <c r="V195" s="39">
        <v>9</v>
      </c>
      <c r="W195" s="40" t="str">
        <f t="shared" si="18"/>
        <v>N</v>
      </c>
      <c r="X195" s="84">
        <f t="shared" si="19"/>
        <v>0</v>
      </c>
      <c r="Y195" s="84" t="str">
        <f t="shared" si="17"/>
        <v>0-4.9%</v>
      </c>
      <c r="Z195" s="85" t="s">
        <v>786</v>
      </c>
      <c r="AA195" s="59"/>
      <c r="AB195" s="59"/>
      <c r="AC195" s="59"/>
      <c r="AD195" s="59"/>
    </row>
    <row r="196" spans="1:30" x14ac:dyDescent="0.25">
      <c r="A196" s="54" t="s">
        <v>206</v>
      </c>
      <c r="B196" s="55"/>
      <c r="C196" s="56" t="s">
        <v>631</v>
      </c>
      <c r="D196" s="57">
        <f t="shared" si="14"/>
        <v>9</v>
      </c>
      <c r="E196" s="56"/>
      <c r="F196" s="56" t="s">
        <v>200</v>
      </c>
      <c r="G196" s="56">
        <v>4.8</v>
      </c>
      <c r="H196" s="56">
        <v>4.9000000000000004</v>
      </c>
      <c r="I196" s="56">
        <v>3.25</v>
      </c>
      <c r="J196" s="56"/>
      <c r="K196" s="56"/>
      <c r="L196" s="56"/>
      <c r="M196" s="56"/>
      <c r="N196" s="58">
        <f t="shared" si="15"/>
        <v>12.95</v>
      </c>
      <c r="O196" s="58">
        <f t="shared" si="16"/>
        <v>7.9911308766354159</v>
      </c>
      <c r="P196" s="39">
        <v>8</v>
      </c>
      <c r="Q196" s="39">
        <v>10</v>
      </c>
      <c r="R196" s="39">
        <v>9</v>
      </c>
      <c r="S196" s="39">
        <v>9</v>
      </c>
      <c r="T196" s="39">
        <v>9</v>
      </c>
      <c r="U196" s="39">
        <v>9</v>
      </c>
      <c r="V196" s="39">
        <v>9</v>
      </c>
      <c r="W196" s="40" t="str">
        <f t="shared" si="18"/>
        <v>N</v>
      </c>
      <c r="X196" s="84">
        <f t="shared" si="19"/>
        <v>0</v>
      </c>
      <c r="Y196" s="84" t="str">
        <f t="shared" si="17"/>
        <v>0-4.9%</v>
      </c>
      <c r="Z196" s="85" t="s">
        <v>794</v>
      </c>
      <c r="AA196" s="59"/>
      <c r="AB196" s="59"/>
      <c r="AC196" s="59"/>
      <c r="AD196" s="59"/>
    </row>
    <row r="197" spans="1:30" x14ac:dyDescent="0.25">
      <c r="A197" s="54" t="s">
        <v>210</v>
      </c>
      <c r="B197" s="55"/>
      <c r="C197" s="56" t="s">
        <v>634</v>
      </c>
      <c r="D197" s="57">
        <f t="shared" si="14"/>
        <v>9</v>
      </c>
      <c r="E197" s="56"/>
      <c r="F197" s="56" t="s">
        <v>200</v>
      </c>
      <c r="G197" s="56">
        <v>4.5999999999999996</v>
      </c>
      <c r="H197" s="56">
        <v>4.8</v>
      </c>
      <c r="I197" s="56">
        <v>12.45</v>
      </c>
      <c r="J197" s="56"/>
      <c r="K197" s="56"/>
      <c r="L197" s="56"/>
      <c r="M197" s="56"/>
      <c r="N197" s="58">
        <f t="shared" si="15"/>
        <v>21.849999999999998</v>
      </c>
      <c r="O197" s="58">
        <f t="shared" si="16"/>
        <v>84.125134480669615</v>
      </c>
      <c r="P197" s="39">
        <v>8</v>
      </c>
      <c r="Q197" s="39">
        <v>10</v>
      </c>
      <c r="R197" s="39">
        <v>9</v>
      </c>
      <c r="S197" s="39">
        <v>9</v>
      </c>
      <c r="T197" s="39">
        <v>9</v>
      </c>
      <c r="U197" s="39">
        <v>9</v>
      </c>
      <c r="V197" s="39">
        <v>9</v>
      </c>
      <c r="W197" s="40" t="str">
        <f t="shared" si="18"/>
        <v>Y</v>
      </c>
      <c r="X197" s="84">
        <f t="shared" si="19"/>
        <v>0.34499999999999992</v>
      </c>
      <c r="Y197" s="84" t="str">
        <f t="shared" si="17"/>
        <v>25-50%</v>
      </c>
      <c r="Z197" s="85" t="s">
        <v>224</v>
      </c>
      <c r="AA197" s="59"/>
      <c r="AB197" s="59"/>
      <c r="AC197" s="59"/>
      <c r="AD197" s="59"/>
    </row>
    <row r="198" spans="1:30" x14ac:dyDescent="0.25">
      <c r="A198" s="54" t="s">
        <v>215</v>
      </c>
      <c r="B198" s="55"/>
      <c r="C198" s="56" t="s">
        <v>639</v>
      </c>
      <c r="D198" s="57">
        <f t="shared" si="14"/>
        <v>9</v>
      </c>
      <c r="E198" s="56"/>
      <c r="F198" s="56" t="s">
        <v>200</v>
      </c>
      <c r="G198" s="56">
        <v>4.5999999999999996</v>
      </c>
      <c r="H198" s="56">
        <v>5.0999999999999996</v>
      </c>
      <c r="I198" s="56">
        <v>3.2</v>
      </c>
      <c r="J198" s="56"/>
      <c r="K198" s="56"/>
      <c r="L198" s="56"/>
      <c r="M198" s="56"/>
      <c r="N198" s="58">
        <f t="shared" si="15"/>
        <v>12.899999999999999</v>
      </c>
      <c r="O198" s="58">
        <f t="shared" si="16"/>
        <v>7.8532239422427566</v>
      </c>
      <c r="P198" s="39">
        <v>8</v>
      </c>
      <c r="Q198" s="39">
        <v>10</v>
      </c>
      <c r="R198" s="39">
        <v>9</v>
      </c>
      <c r="S198" s="39">
        <v>9</v>
      </c>
      <c r="T198" s="39">
        <v>9</v>
      </c>
      <c r="U198" s="39">
        <v>9</v>
      </c>
      <c r="V198" s="39">
        <v>9</v>
      </c>
      <c r="W198" s="40" t="str">
        <f t="shared" si="18"/>
        <v>N</v>
      </c>
      <c r="X198" s="84">
        <f t="shared" si="19"/>
        <v>0</v>
      </c>
      <c r="Y198" s="84" t="str">
        <f t="shared" si="17"/>
        <v>0-4.9%</v>
      </c>
      <c r="Z198" s="85" t="s">
        <v>224</v>
      </c>
      <c r="AA198" s="59"/>
      <c r="AB198" s="59"/>
      <c r="AC198" s="59"/>
      <c r="AD198" s="59"/>
    </row>
    <row r="199" spans="1:30" x14ac:dyDescent="0.25">
      <c r="A199" s="54" t="s">
        <v>219</v>
      </c>
      <c r="B199" s="55"/>
      <c r="C199" s="56" t="s">
        <v>643</v>
      </c>
      <c r="D199" s="57">
        <f t="shared" si="14"/>
        <v>9</v>
      </c>
      <c r="E199" s="56"/>
      <c r="F199" s="56" t="s">
        <v>200</v>
      </c>
      <c r="G199" s="56">
        <v>6.35</v>
      </c>
      <c r="H199" s="56">
        <v>7.35</v>
      </c>
      <c r="I199" s="56">
        <v>5.6</v>
      </c>
      <c r="J199" s="56"/>
      <c r="K199" s="56"/>
      <c r="L199" s="56"/>
      <c r="M199" s="56"/>
      <c r="N199" s="58">
        <f t="shared" si="15"/>
        <v>19.299999999999997</v>
      </c>
      <c r="O199" s="58">
        <f t="shared" si="16"/>
        <v>48.128483346123652</v>
      </c>
      <c r="P199" s="39">
        <v>8</v>
      </c>
      <c r="Q199" s="39">
        <v>10</v>
      </c>
      <c r="R199" s="39">
        <v>9</v>
      </c>
      <c r="S199" s="39">
        <v>9</v>
      </c>
      <c r="T199" s="39">
        <v>9</v>
      </c>
      <c r="U199" s="39">
        <v>9</v>
      </c>
      <c r="V199" s="39">
        <v>9</v>
      </c>
      <c r="W199" s="40" t="str">
        <f t="shared" si="18"/>
        <v>N</v>
      </c>
      <c r="X199" s="84">
        <f t="shared" si="19"/>
        <v>0</v>
      </c>
      <c r="Y199" s="84" t="str">
        <f t="shared" si="17"/>
        <v>0-4.9%</v>
      </c>
      <c r="Z199" s="85" t="s">
        <v>224</v>
      </c>
      <c r="AA199" s="59"/>
      <c r="AB199" s="59"/>
      <c r="AC199" s="59"/>
      <c r="AD199" s="59"/>
    </row>
    <row r="200" spans="1:30" x14ac:dyDescent="0.25">
      <c r="A200" s="54" t="s">
        <v>238</v>
      </c>
      <c r="B200" s="55"/>
      <c r="C200" s="56" t="s">
        <v>655</v>
      </c>
      <c r="D200" s="57">
        <f t="shared" ref="D200:D263" si="20">IF(COUNT(G200:M200)&gt;3,10,IF(COUNT(G200:M200)&gt;2,9,7))</f>
        <v>9</v>
      </c>
      <c r="E200" s="56"/>
      <c r="F200" s="56" t="s">
        <v>200</v>
      </c>
      <c r="G200" s="56">
        <v>4.9000000000000004</v>
      </c>
      <c r="H200" s="56">
        <v>7.25</v>
      </c>
      <c r="I200" s="56">
        <v>4.45</v>
      </c>
      <c r="J200" s="56"/>
      <c r="K200" s="56"/>
      <c r="L200" s="56"/>
      <c r="M200" s="56"/>
      <c r="N200" s="58">
        <f t="shared" ref="N200:N263" si="21">SUM(G200:M200)</f>
        <v>16.600000000000001</v>
      </c>
      <c r="O200" s="58">
        <f t="shared" ref="O200:O263" si="22">(N200/8.16)^4.5</f>
        <v>24.427593359709242</v>
      </c>
      <c r="P200" s="39">
        <v>8</v>
      </c>
      <c r="Q200" s="39">
        <v>10</v>
      </c>
      <c r="R200" s="39">
        <v>9</v>
      </c>
      <c r="S200" s="39">
        <v>9</v>
      </c>
      <c r="T200" s="39">
        <v>9</v>
      </c>
      <c r="U200" s="39">
        <v>9</v>
      </c>
      <c r="V200" s="39">
        <v>9</v>
      </c>
      <c r="W200" s="40" t="str">
        <f t="shared" si="18"/>
        <v>N</v>
      </c>
      <c r="X200" s="84">
        <f t="shared" si="19"/>
        <v>0</v>
      </c>
      <c r="Y200" s="84" t="str">
        <f t="shared" ref="Y200:Y263" si="23">IF(X200&lt;5%,"0-4.9%",IF(X200&lt;25%,"5-25%",IF(X200&lt;50%,"25-50%","Over 50%")))</f>
        <v>0-4.9%</v>
      </c>
      <c r="Z200" s="85" t="s">
        <v>812</v>
      </c>
      <c r="AA200" s="59"/>
      <c r="AB200" s="59"/>
      <c r="AC200" s="59"/>
      <c r="AD200" s="59"/>
    </row>
    <row r="201" spans="1:30" x14ac:dyDescent="0.25">
      <c r="A201" s="54" t="s">
        <v>251</v>
      </c>
      <c r="B201" s="55"/>
      <c r="C201" s="56" t="s">
        <v>666</v>
      </c>
      <c r="D201" s="57">
        <f t="shared" si="20"/>
        <v>9</v>
      </c>
      <c r="E201" s="56"/>
      <c r="F201" s="56" t="s">
        <v>200</v>
      </c>
      <c r="G201" s="56">
        <v>8.4499999999999993</v>
      </c>
      <c r="H201" s="56">
        <v>16.2</v>
      </c>
      <c r="I201" s="56">
        <v>16</v>
      </c>
      <c r="J201" s="56"/>
      <c r="K201" s="56"/>
      <c r="L201" s="56"/>
      <c r="M201" s="56"/>
      <c r="N201" s="58">
        <f t="shared" si="21"/>
        <v>40.65</v>
      </c>
      <c r="O201" s="58">
        <f t="shared" si="22"/>
        <v>1374.5696806345659</v>
      </c>
      <c r="P201" s="39">
        <v>8</v>
      </c>
      <c r="Q201" s="39">
        <v>10</v>
      </c>
      <c r="R201" s="39">
        <v>9</v>
      </c>
      <c r="S201" s="39">
        <v>9</v>
      </c>
      <c r="T201" s="39">
        <v>9</v>
      </c>
      <c r="U201" s="39">
        <v>9</v>
      </c>
      <c r="V201" s="39">
        <v>9</v>
      </c>
      <c r="W201" s="40" t="str">
        <f t="shared" ref="W201:W264" si="24">IF(G201&gt;P201,"Y",IF(H201&gt;Q201,"Y",IF(I201&gt;R201,"Y",IF(J201&gt;S201,"Y",IF(K201&gt;T201,"Y",IF(L201&gt;U201,"Y",IF(M201&gt;V201,"Y","N")))))))</f>
        <v>Y</v>
      </c>
      <c r="X201" s="84">
        <f t="shared" ref="X201:X264" si="25">IF(W201="Y",MAX((G201-P201),(H201-Q201),(I201-R201),(J201-S201),(K201-T201),(L201-U201),(M201-V201))/10,0)</f>
        <v>0.7</v>
      </c>
      <c r="Y201" s="84" t="str">
        <f t="shared" si="23"/>
        <v>Over 50%</v>
      </c>
      <c r="Z201" s="85" t="s">
        <v>782</v>
      </c>
      <c r="AA201" s="59"/>
      <c r="AB201" s="59"/>
      <c r="AC201" s="59"/>
      <c r="AD201" s="59"/>
    </row>
    <row r="202" spans="1:30" x14ac:dyDescent="0.25">
      <c r="A202" s="54" t="s">
        <v>261</v>
      </c>
      <c r="B202" s="55"/>
      <c r="C202" s="56" t="s">
        <v>674</v>
      </c>
      <c r="D202" s="57">
        <f t="shared" si="20"/>
        <v>9</v>
      </c>
      <c r="E202" s="56"/>
      <c r="F202" s="56" t="s">
        <v>200</v>
      </c>
      <c r="G202" s="56">
        <v>5.6</v>
      </c>
      <c r="H202" s="56">
        <v>8.0500000000000007</v>
      </c>
      <c r="I202" s="56">
        <v>7.75</v>
      </c>
      <c r="J202" s="56"/>
      <c r="K202" s="56"/>
      <c r="L202" s="56"/>
      <c r="M202" s="56"/>
      <c r="N202" s="58">
        <f t="shared" si="21"/>
        <v>21.4</v>
      </c>
      <c r="O202" s="58">
        <f t="shared" si="22"/>
        <v>76.604849851691839</v>
      </c>
      <c r="P202" s="39">
        <v>8</v>
      </c>
      <c r="Q202" s="39">
        <v>10</v>
      </c>
      <c r="R202" s="39">
        <v>9</v>
      </c>
      <c r="S202" s="39">
        <v>9</v>
      </c>
      <c r="T202" s="39">
        <v>9</v>
      </c>
      <c r="U202" s="39">
        <v>9</v>
      </c>
      <c r="V202" s="39">
        <v>9</v>
      </c>
      <c r="W202" s="40" t="str">
        <f t="shared" si="24"/>
        <v>N</v>
      </c>
      <c r="X202" s="84">
        <f t="shared" si="25"/>
        <v>0</v>
      </c>
      <c r="Y202" s="84" t="str">
        <f t="shared" si="23"/>
        <v>0-4.9%</v>
      </c>
      <c r="Z202" s="85" t="s">
        <v>812</v>
      </c>
      <c r="AA202" s="59"/>
      <c r="AB202" s="59"/>
      <c r="AC202" s="59"/>
      <c r="AD202" s="59"/>
    </row>
    <row r="203" spans="1:30" x14ac:dyDescent="0.25">
      <c r="A203" s="54" t="s">
        <v>272</v>
      </c>
      <c r="B203" s="55"/>
      <c r="C203" s="56" t="s">
        <v>684</v>
      </c>
      <c r="D203" s="57">
        <f t="shared" si="20"/>
        <v>9</v>
      </c>
      <c r="E203" s="56"/>
      <c r="F203" s="56" t="s">
        <v>200</v>
      </c>
      <c r="G203" s="56">
        <v>4.4000000000000004</v>
      </c>
      <c r="H203" s="56">
        <v>3.6</v>
      </c>
      <c r="I203" s="56">
        <v>2.4500000000000002</v>
      </c>
      <c r="J203" s="56"/>
      <c r="K203" s="56"/>
      <c r="L203" s="56"/>
      <c r="M203" s="56"/>
      <c r="N203" s="58">
        <f t="shared" si="21"/>
        <v>10.45</v>
      </c>
      <c r="O203" s="58">
        <f t="shared" si="22"/>
        <v>3.0438103721863903</v>
      </c>
      <c r="P203" s="39">
        <v>8</v>
      </c>
      <c r="Q203" s="39">
        <v>10</v>
      </c>
      <c r="R203" s="39">
        <v>9</v>
      </c>
      <c r="S203" s="39">
        <v>9</v>
      </c>
      <c r="T203" s="39">
        <v>9</v>
      </c>
      <c r="U203" s="39">
        <v>9</v>
      </c>
      <c r="V203" s="39">
        <v>9</v>
      </c>
      <c r="W203" s="40" t="str">
        <f t="shared" si="24"/>
        <v>N</v>
      </c>
      <c r="X203" s="84">
        <f t="shared" si="25"/>
        <v>0</v>
      </c>
      <c r="Y203" s="84" t="str">
        <f t="shared" si="23"/>
        <v>0-4.9%</v>
      </c>
      <c r="Z203" s="85" t="s">
        <v>224</v>
      </c>
      <c r="AA203" s="59"/>
      <c r="AB203" s="59"/>
      <c r="AC203" s="59"/>
      <c r="AD203" s="59"/>
    </row>
    <row r="204" spans="1:30" x14ac:dyDescent="0.25">
      <c r="A204" s="54" t="s">
        <v>276</v>
      </c>
      <c r="B204" s="55"/>
      <c r="C204" s="56" t="s">
        <v>688</v>
      </c>
      <c r="D204" s="57">
        <f t="shared" si="20"/>
        <v>9</v>
      </c>
      <c r="E204" s="56"/>
      <c r="F204" s="56" t="s">
        <v>200</v>
      </c>
      <c r="G204" s="56">
        <v>5.5</v>
      </c>
      <c r="H204" s="56">
        <v>8.75</v>
      </c>
      <c r="I204" s="56">
        <v>8.0500000000000007</v>
      </c>
      <c r="J204" s="56"/>
      <c r="K204" s="56"/>
      <c r="L204" s="56"/>
      <c r="M204" s="56"/>
      <c r="N204" s="58">
        <f t="shared" si="21"/>
        <v>22.3</v>
      </c>
      <c r="O204" s="58">
        <f t="shared" si="22"/>
        <v>92.207483453240357</v>
      </c>
      <c r="P204" s="39">
        <v>8</v>
      </c>
      <c r="Q204" s="39">
        <v>10</v>
      </c>
      <c r="R204" s="39">
        <v>9</v>
      </c>
      <c r="S204" s="39">
        <v>9</v>
      </c>
      <c r="T204" s="39">
        <v>9</v>
      </c>
      <c r="U204" s="39">
        <v>9</v>
      </c>
      <c r="V204" s="39">
        <v>9</v>
      </c>
      <c r="W204" s="40" t="str">
        <f t="shared" si="24"/>
        <v>N</v>
      </c>
      <c r="X204" s="84">
        <f t="shared" si="25"/>
        <v>0</v>
      </c>
      <c r="Y204" s="84" t="str">
        <f t="shared" si="23"/>
        <v>0-4.9%</v>
      </c>
      <c r="Z204" s="85" t="s">
        <v>812</v>
      </c>
      <c r="AA204" s="59"/>
      <c r="AB204" s="59"/>
      <c r="AC204" s="59"/>
      <c r="AD204" s="59"/>
    </row>
    <row r="205" spans="1:30" x14ac:dyDescent="0.25">
      <c r="A205" s="54" t="s">
        <v>291</v>
      </c>
      <c r="B205" s="55"/>
      <c r="C205" s="56" t="s">
        <v>700</v>
      </c>
      <c r="D205" s="57">
        <f t="shared" si="20"/>
        <v>9</v>
      </c>
      <c r="E205" s="56"/>
      <c r="F205" s="56" t="s">
        <v>200</v>
      </c>
      <c r="G205" s="56">
        <v>4.3499999999999996</v>
      </c>
      <c r="H205" s="56">
        <v>4.8499999999999996</v>
      </c>
      <c r="I205" s="56">
        <v>3.15</v>
      </c>
      <c r="J205" s="56"/>
      <c r="K205" s="56"/>
      <c r="L205" s="56"/>
      <c r="M205" s="56"/>
      <c r="N205" s="58">
        <f t="shared" si="21"/>
        <v>12.35</v>
      </c>
      <c r="O205" s="58">
        <f t="shared" si="22"/>
        <v>6.4549903119705689</v>
      </c>
      <c r="P205" s="39">
        <v>8</v>
      </c>
      <c r="Q205" s="39">
        <v>10</v>
      </c>
      <c r="R205" s="39">
        <v>9</v>
      </c>
      <c r="S205" s="39">
        <v>9</v>
      </c>
      <c r="T205" s="39">
        <v>9</v>
      </c>
      <c r="U205" s="39">
        <v>9</v>
      </c>
      <c r="V205" s="39">
        <v>9</v>
      </c>
      <c r="W205" s="40" t="str">
        <f t="shared" si="24"/>
        <v>N</v>
      </c>
      <c r="X205" s="84">
        <f t="shared" si="25"/>
        <v>0</v>
      </c>
      <c r="Y205" s="84" t="str">
        <f t="shared" si="23"/>
        <v>0-4.9%</v>
      </c>
      <c r="Z205" s="85" t="s">
        <v>224</v>
      </c>
      <c r="AA205" s="59"/>
      <c r="AB205" s="59"/>
      <c r="AC205" s="59"/>
      <c r="AD205" s="59"/>
    </row>
    <row r="206" spans="1:30" x14ac:dyDescent="0.25">
      <c r="A206" s="54" t="s">
        <v>375</v>
      </c>
      <c r="B206" s="55"/>
      <c r="C206" s="56" t="s">
        <v>704</v>
      </c>
      <c r="D206" s="57">
        <f t="shared" si="20"/>
        <v>9</v>
      </c>
      <c r="E206" s="56"/>
      <c r="F206" s="56" t="s">
        <v>200</v>
      </c>
      <c r="G206" s="56">
        <v>5.9</v>
      </c>
      <c r="H206" s="56">
        <v>7.2</v>
      </c>
      <c r="I206" s="56">
        <v>6.8</v>
      </c>
      <c r="J206" s="56"/>
      <c r="K206" s="56"/>
      <c r="L206" s="56"/>
      <c r="M206" s="56"/>
      <c r="N206" s="58">
        <f t="shared" si="21"/>
        <v>19.900000000000002</v>
      </c>
      <c r="O206" s="58">
        <f t="shared" si="22"/>
        <v>55.237387422669499</v>
      </c>
      <c r="P206" s="39">
        <v>8</v>
      </c>
      <c r="Q206" s="39">
        <v>10</v>
      </c>
      <c r="R206" s="39">
        <v>9</v>
      </c>
      <c r="S206" s="39">
        <v>9</v>
      </c>
      <c r="T206" s="39">
        <v>9</v>
      </c>
      <c r="U206" s="39">
        <v>9</v>
      </c>
      <c r="V206" s="39">
        <v>9</v>
      </c>
      <c r="W206" s="40" t="str">
        <f t="shared" si="24"/>
        <v>N</v>
      </c>
      <c r="X206" s="84">
        <f t="shared" si="25"/>
        <v>0</v>
      </c>
      <c r="Y206" s="84" t="str">
        <f t="shared" si="23"/>
        <v>0-4.9%</v>
      </c>
      <c r="Z206" s="85" t="s">
        <v>224</v>
      </c>
      <c r="AA206" s="59"/>
      <c r="AB206" s="59"/>
      <c r="AC206" s="59"/>
      <c r="AD206" s="59"/>
    </row>
    <row r="207" spans="1:30" x14ac:dyDescent="0.25">
      <c r="A207" s="54" t="s">
        <v>303</v>
      </c>
      <c r="B207" s="55"/>
      <c r="C207" s="56" t="s">
        <v>712</v>
      </c>
      <c r="D207" s="57">
        <f t="shared" si="20"/>
        <v>9</v>
      </c>
      <c r="E207" s="56"/>
      <c r="F207" s="56" t="s">
        <v>200</v>
      </c>
      <c r="G207" s="56">
        <v>6.95</v>
      </c>
      <c r="H207" s="56">
        <v>6</v>
      </c>
      <c r="I207" s="56">
        <v>3.95</v>
      </c>
      <c r="J207" s="56"/>
      <c r="K207" s="56"/>
      <c r="L207" s="56"/>
      <c r="M207" s="56"/>
      <c r="N207" s="58">
        <f t="shared" si="21"/>
        <v>16.899999999999999</v>
      </c>
      <c r="O207" s="58">
        <f t="shared" si="22"/>
        <v>26.477956014070383</v>
      </c>
      <c r="P207" s="39">
        <v>8</v>
      </c>
      <c r="Q207" s="39">
        <v>10</v>
      </c>
      <c r="R207" s="39">
        <v>9</v>
      </c>
      <c r="S207" s="39">
        <v>9</v>
      </c>
      <c r="T207" s="39">
        <v>9</v>
      </c>
      <c r="U207" s="39">
        <v>9</v>
      </c>
      <c r="V207" s="39">
        <v>9</v>
      </c>
      <c r="W207" s="40" t="str">
        <f t="shared" si="24"/>
        <v>N</v>
      </c>
      <c r="X207" s="84">
        <f t="shared" si="25"/>
        <v>0</v>
      </c>
      <c r="Y207" s="84" t="str">
        <f t="shared" si="23"/>
        <v>0-4.9%</v>
      </c>
      <c r="Z207" s="85" t="s">
        <v>224</v>
      </c>
      <c r="AA207" s="59"/>
      <c r="AB207" s="59"/>
      <c r="AC207" s="59"/>
      <c r="AD207" s="59"/>
    </row>
    <row r="208" spans="1:30" x14ac:dyDescent="0.25">
      <c r="A208" s="54" t="s">
        <v>328</v>
      </c>
      <c r="B208" s="55"/>
      <c r="C208" s="56" t="s">
        <v>573</v>
      </c>
      <c r="D208" s="57">
        <f t="shared" si="20"/>
        <v>9</v>
      </c>
      <c r="E208" s="56"/>
      <c r="F208" s="56" t="s">
        <v>200</v>
      </c>
      <c r="G208" s="56">
        <v>4.25</v>
      </c>
      <c r="H208" s="56">
        <v>3.95</v>
      </c>
      <c r="I208" s="56">
        <v>2.95</v>
      </c>
      <c r="J208" s="56"/>
      <c r="K208" s="56"/>
      <c r="L208" s="56"/>
      <c r="M208" s="56"/>
      <c r="N208" s="58">
        <f t="shared" si="21"/>
        <v>11.149999999999999</v>
      </c>
      <c r="O208" s="58">
        <f t="shared" si="22"/>
        <v>4.0750335516207858</v>
      </c>
      <c r="P208" s="39">
        <v>8</v>
      </c>
      <c r="Q208" s="39">
        <v>10</v>
      </c>
      <c r="R208" s="39">
        <v>9</v>
      </c>
      <c r="S208" s="39">
        <v>9</v>
      </c>
      <c r="T208" s="39">
        <v>9</v>
      </c>
      <c r="U208" s="39">
        <v>9</v>
      </c>
      <c r="V208" s="39">
        <v>9</v>
      </c>
      <c r="W208" s="40" t="str">
        <f t="shared" si="24"/>
        <v>N</v>
      </c>
      <c r="X208" s="84">
        <f t="shared" si="25"/>
        <v>0</v>
      </c>
      <c r="Y208" s="84" t="str">
        <f t="shared" si="23"/>
        <v>0-4.9%</v>
      </c>
      <c r="Z208" s="85" t="s">
        <v>786</v>
      </c>
      <c r="AA208" s="59"/>
      <c r="AB208" s="59"/>
      <c r="AC208" s="59"/>
      <c r="AD208" s="59"/>
    </row>
    <row r="209" spans="1:30" x14ac:dyDescent="0.25">
      <c r="A209" s="54" t="s">
        <v>330</v>
      </c>
      <c r="B209" s="55"/>
      <c r="C209" s="56" t="s">
        <v>731</v>
      </c>
      <c r="D209" s="57">
        <f t="shared" si="20"/>
        <v>9</v>
      </c>
      <c r="E209" s="56"/>
      <c r="F209" s="56" t="s">
        <v>200</v>
      </c>
      <c r="G209" s="56">
        <v>6.35</v>
      </c>
      <c r="H209" s="56">
        <v>5.45</v>
      </c>
      <c r="I209" s="56">
        <v>3.2</v>
      </c>
      <c r="J209" s="56"/>
      <c r="K209" s="56"/>
      <c r="L209" s="56"/>
      <c r="M209" s="56"/>
      <c r="N209" s="58">
        <f t="shared" si="21"/>
        <v>15</v>
      </c>
      <c r="O209" s="58">
        <f t="shared" si="22"/>
        <v>15.481211766195157</v>
      </c>
      <c r="P209" s="39">
        <v>8</v>
      </c>
      <c r="Q209" s="39">
        <v>10</v>
      </c>
      <c r="R209" s="39">
        <v>9</v>
      </c>
      <c r="S209" s="39">
        <v>9</v>
      </c>
      <c r="T209" s="39">
        <v>9</v>
      </c>
      <c r="U209" s="39">
        <v>9</v>
      </c>
      <c r="V209" s="39">
        <v>9</v>
      </c>
      <c r="W209" s="40" t="str">
        <f t="shared" si="24"/>
        <v>N</v>
      </c>
      <c r="X209" s="84">
        <f t="shared" si="25"/>
        <v>0</v>
      </c>
      <c r="Y209" s="84" t="str">
        <f t="shared" si="23"/>
        <v>0-4.9%</v>
      </c>
      <c r="Z209" s="85" t="s">
        <v>812</v>
      </c>
      <c r="AA209" s="59"/>
      <c r="AB209" s="59"/>
      <c r="AC209" s="59"/>
      <c r="AD209" s="59"/>
    </row>
    <row r="210" spans="1:30" x14ac:dyDescent="0.25">
      <c r="A210" s="54" t="s">
        <v>333</v>
      </c>
      <c r="B210" s="55"/>
      <c r="C210" s="56" t="s">
        <v>733</v>
      </c>
      <c r="D210" s="57">
        <f t="shared" si="20"/>
        <v>9</v>
      </c>
      <c r="E210" s="56"/>
      <c r="F210" s="56" t="s">
        <v>200</v>
      </c>
      <c r="G210" s="56">
        <v>5</v>
      </c>
      <c r="H210" s="56">
        <v>4.2</v>
      </c>
      <c r="I210" s="56">
        <v>3.95</v>
      </c>
      <c r="J210" s="56"/>
      <c r="K210" s="56"/>
      <c r="L210" s="56"/>
      <c r="M210" s="56"/>
      <c r="N210" s="58">
        <f t="shared" si="21"/>
        <v>13.149999999999999</v>
      </c>
      <c r="O210" s="58">
        <f t="shared" si="22"/>
        <v>8.5617032949573204</v>
      </c>
      <c r="P210" s="39">
        <v>8</v>
      </c>
      <c r="Q210" s="39">
        <v>10</v>
      </c>
      <c r="R210" s="39">
        <v>9</v>
      </c>
      <c r="S210" s="39">
        <v>9</v>
      </c>
      <c r="T210" s="39">
        <v>9</v>
      </c>
      <c r="U210" s="39">
        <v>9</v>
      </c>
      <c r="V210" s="39">
        <v>9</v>
      </c>
      <c r="W210" s="40" t="str">
        <f t="shared" si="24"/>
        <v>N</v>
      </c>
      <c r="X210" s="84">
        <f t="shared" si="25"/>
        <v>0</v>
      </c>
      <c r="Y210" s="84" t="str">
        <f t="shared" si="23"/>
        <v>0-4.9%</v>
      </c>
      <c r="Z210" s="85" t="s">
        <v>812</v>
      </c>
      <c r="AA210" s="59"/>
      <c r="AB210" s="59"/>
      <c r="AC210" s="59"/>
      <c r="AD210" s="59"/>
    </row>
    <row r="211" spans="1:30" x14ac:dyDescent="0.25">
      <c r="A211" s="54" t="s">
        <v>341</v>
      </c>
      <c r="B211" s="55"/>
      <c r="C211" s="56" t="s">
        <v>738</v>
      </c>
      <c r="D211" s="57">
        <f t="shared" si="20"/>
        <v>9</v>
      </c>
      <c r="E211" s="56"/>
      <c r="F211" s="56" t="s">
        <v>200</v>
      </c>
      <c r="G211" s="56">
        <v>4.8</v>
      </c>
      <c r="H211" s="56">
        <v>3.5</v>
      </c>
      <c r="I211" s="56">
        <v>3.5</v>
      </c>
      <c r="J211" s="56"/>
      <c r="K211" s="56"/>
      <c r="L211" s="56"/>
      <c r="M211" s="56"/>
      <c r="N211" s="58">
        <f t="shared" si="21"/>
        <v>11.8</v>
      </c>
      <c r="O211" s="58">
        <f t="shared" si="22"/>
        <v>5.2585174385414728</v>
      </c>
      <c r="P211" s="39">
        <v>8</v>
      </c>
      <c r="Q211" s="39">
        <v>10</v>
      </c>
      <c r="R211" s="39">
        <v>9</v>
      </c>
      <c r="S211" s="39">
        <v>9</v>
      </c>
      <c r="T211" s="39">
        <v>9</v>
      </c>
      <c r="U211" s="39">
        <v>9</v>
      </c>
      <c r="V211" s="39">
        <v>9</v>
      </c>
      <c r="W211" s="40" t="str">
        <f t="shared" si="24"/>
        <v>N</v>
      </c>
      <c r="X211" s="84">
        <f t="shared" si="25"/>
        <v>0</v>
      </c>
      <c r="Y211" s="84" t="str">
        <f t="shared" si="23"/>
        <v>0-4.9%</v>
      </c>
      <c r="Z211" s="85" t="s">
        <v>224</v>
      </c>
      <c r="AA211" s="59"/>
      <c r="AB211" s="59"/>
      <c r="AC211" s="59"/>
      <c r="AD211" s="59"/>
    </row>
    <row r="212" spans="1:30" x14ac:dyDescent="0.25">
      <c r="A212" s="54" t="s">
        <v>342</v>
      </c>
      <c r="B212" s="55"/>
      <c r="C212" s="56" t="s">
        <v>739</v>
      </c>
      <c r="D212" s="57">
        <f t="shared" si="20"/>
        <v>9</v>
      </c>
      <c r="E212" s="56"/>
      <c r="F212" s="56" t="s">
        <v>200</v>
      </c>
      <c r="G212" s="56">
        <v>5.15</v>
      </c>
      <c r="H212" s="56">
        <v>10.1</v>
      </c>
      <c r="I212" s="56">
        <v>5.65</v>
      </c>
      <c r="J212" s="56"/>
      <c r="K212" s="56"/>
      <c r="L212" s="56"/>
      <c r="M212" s="56"/>
      <c r="N212" s="58">
        <f t="shared" si="21"/>
        <v>20.9</v>
      </c>
      <c r="O212" s="58">
        <f t="shared" si="22"/>
        <v>68.873566554206249</v>
      </c>
      <c r="P212" s="39">
        <v>8</v>
      </c>
      <c r="Q212" s="39">
        <v>10</v>
      </c>
      <c r="R212" s="39">
        <v>9</v>
      </c>
      <c r="S212" s="39">
        <v>9</v>
      </c>
      <c r="T212" s="39">
        <v>9</v>
      </c>
      <c r="U212" s="39">
        <v>9</v>
      </c>
      <c r="V212" s="39">
        <v>9</v>
      </c>
      <c r="W212" s="40" t="str">
        <f t="shared" si="24"/>
        <v>Y</v>
      </c>
      <c r="X212" s="84">
        <f t="shared" si="25"/>
        <v>9.9999999999999638E-3</v>
      </c>
      <c r="Y212" s="84" t="str">
        <f t="shared" si="23"/>
        <v>0-4.9%</v>
      </c>
      <c r="Z212" s="85" t="s">
        <v>812</v>
      </c>
      <c r="AA212" s="59"/>
      <c r="AB212" s="59"/>
      <c r="AC212" s="59"/>
      <c r="AD212" s="59"/>
    </row>
    <row r="213" spans="1:30" x14ac:dyDescent="0.25">
      <c r="A213" s="54" t="s">
        <v>343</v>
      </c>
      <c r="B213" s="55"/>
      <c r="C213" s="56" t="s">
        <v>740</v>
      </c>
      <c r="D213" s="57">
        <f t="shared" si="20"/>
        <v>9</v>
      </c>
      <c r="E213" s="56"/>
      <c r="F213" s="56" t="s">
        <v>200</v>
      </c>
      <c r="G213" s="56">
        <v>4.4000000000000004</v>
      </c>
      <c r="H213" s="56">
        <v>4</v>
      </c>
      <c r="I213" s="56">
        <v>2.65</v>
      </c>
      <c r="J213" s="56"/>
      <c r="K213" s="56"/>
      <c r="L213" s="56"/>
      <c r="M213" s="56"/>
      <c r="N213" s="58">
        <f t="shared" si="21"/>
        <v>11.05</v>
      </c>
      <c r="O213" s="58">
        <f t="shared" si="22"/>
        <v>3.9131323485716365</v>
      </c>
      <c r="P213" s="39">
        <v>8</v>
      </c>
      <c r="Q213" s="39">
        <v>10</v>
      </c>
      <c r="R213" s="39">
        <v>9</v>
      </c>
      <c r="S213" s="39">
        <v>9</v>
      </c>
      <c r="T213" s="39">
        <v>9</v>
      </c>
      <c r="U213" s="39">
        <v>9</v>
      </c>
      <c r="V213" s="39">
        <v>9</v>
      </c>
      <c r="W213" s="40" t="str">
        <f t="shared" si="24"/>
        <v>N</v>
      </c>
      <c r="X213" s="84">
        <f t="shared" si="25"/>
        <v>0</v>
      </c>
      <c r="Y213" s="84" t="str">
        <f t="shared" si="23"/>
        <v>0-4.9%</v>
      </c>
      <c r="Z213" s="85" t="s">
        <v>224</v>
      </c>
      <c r="AA213" s="59"/>
      <c r="AB213" s="59"/>
      <c r="AC213" s="59"/>
      <c r="AD213" s="59"/>
    </row>
    <row r="214" spans="1:30" x14ac:dyDescent="0.25">
      <c r="A214" s="54" t="s">
        <v>365</v>
      </c>
      <c r="B214" s="55"/>
      <c r="C214" s="56" t="s">
        <v>528</v>
      </c>
      <c r="D214" s="57">
        <f t="shared" si="20"/>
        <v>9</v>
      </c>
      <c r="E214" s="56"/>
      <c r="F214" s="56" t="s">
        <v>200</v>
      </c>
      <c r="G214" s="56">
        <v>6.45</v>
      </c>
      <c r="H214" s="56">
        <v>8.3000000000000007</v>
      </c>
      <c r="I214" s="56">
        <v>8.0500000000000007</v>
      </c>
      <c r="J214" s="56"/>
      <c r="K214" s="56"/>
      <c r="L214" s="56"/>
      <c r="M214" s="56"/>
      <c r="N214" s="58">
        <f t="shared" si="21"/>
        <v>22.8</v>
      </c>
      <c r="O214" s="58">
        <f t="shared" si="22"/>
        <v>101.88285281426489</v>
      </c>
      <c r="P214" s="39">
        <v>8</v>
      </c>
      <c r="Q214" s="39">
        <v>10</v>
      </c>
      <c r="R214" s="39">
        <v>9</v>
      </c>
      <c r="S214" s="39">
        <v>9</v>
      </c>
      <c r="T214" s="39">
        <v>9</v>
      </c>
      <c r="U214" s="39">
        <v>9</v>
      </c>
      <c r="V214" s="39">
        <v>9</v>
      </c>
      <c r="W214" s="40" t="str">
        <f t="shared" si="24"/>
        <v>N</v>
      </c>
      <c r="X214" s="84">
        <f t="shared" si="25"/>
        <v>0</v>
      </c>
      <c r="Y214" s="84" t="str">
        <f t="shared" si="23"/>
        <v>0-4.9%</v>
      </c>
      <c r="Z214" s="85" t="s">
        <v>812</v>
      </c>
      <c r="AA214" s="59"/>
      <c r="AB214" s="59"/>
      <c r="AC214" s="59"/>
      <c r="AD214" s="59"/>
    </row>
    <row r="215" spans="1:30" x14ac:dyDescent="0.25">
      <c r="A215" s="54" t="s">
        <v>241</v>
      </c>
      <c r="B215" s="55"/>
      <c r="C215" s="62" t="s">
        <v>388</v>
      </c>
      <c r="D215" s="57">
        <f t="shared" si="20"/>
        <v>10</v>
      </c>
      <c r="E215" s="62"/>
      <c r="F215" s="56" t="e">
        <f>#REF!</f>
        <v>#REF!</v>
      </c>
      <c r="G215" s="56">
        <v>6.05</v>
      </c>
      <c r="H215" s="56">
        <v>8.25</v>
      </c>
      <c r="I215" s="56">
        <v>8.3000000000000007</v>
      </c>
      <c r="J215" s="56">
        <v>8.3000000000000007</v>
      </c>
      <c r="K215" s="56">
        <v>8.4499999999999993</v>
      </c>
      <c r="L215" s="56">
        <v>9.8000000000000007</v>
      </c>
      <c r="M215" s="56"/>
      <c r="N215" s="58">
        <f t="shared" si="21"/>
        <v>49.150000000000006</v>
      </c>
      <c r="O215" s="58">
        <f t="shared" si="22"/>
        <v>3230.3541341975265</v>
      </c>
      <c r="P215" s="39">
        <v>8</v>
      </c>
      <c r="Q215" s="39">
        <v>10</v>
      </c>
      <c r="R215" s="39">
        <v>9</v>
      </c>
      <c r="S215" s="39">
        <v>9</v>
      </c>
      <c r="T215" s="39">
        <v>9</v>
      </c>
      <c r="U215" s="39">
        <v>9</v>
      </c>
      <c r="V215" s="39">
        <v>9</v>
      </c>
      <c r="W215" s="40" t="str">
        <f t="shared" si="24"/>
        <v>Y</v>
      </c>
      <c r="X215" s="84">
        <f t="shared" si="25"/>
        <v>8.0000000000000071E-2</v>
      </c>
      <c r="Y215" s="84" t="str">
        <f t="shared" si="23"/>
        <v>5-25%</v>
      </c>
      <c r="Z215" s="85" t="s">
        <v>794</v>
      </c>
      <c r="AA215" s="59"/>
      <c r="AB215" s="59"/>
      <c r="AC215" s="59"/>
      <c r="AD215" s="59"/>
    </row>
    <row r="216" spans="1:30" x14ac:dyDescent="0.25">
      <c r="A216" s="54" t="s">
        <v>245</v>
      </c>
      <c r="B216" s="55"/>
      <c r="C216" s="56" t="s">
        <v>391</v>
      </c>
      <c r="D216" s="57">
        <f t="shared" si="20"/>
        <v>10</v>
      </c>
      <c r="E216" s="56"/>
      <c r="F216" s="56" t="s">
        <v>193</v>
      </c>
      <c r="G216" s="56">
        <v>6.25</v>
      </c>
      <c r="H216" s="56">
        <v>6.1</v>
      </c>
      <c r="I216" s="56">
        <v>6.65</v>
      </c>
      <c r="J216" s="56">
        <v>6.9</v>
      </c>
      <c r="K216" s="56">
        <v>6.8</v>
      </c>
      <c r="L216" s="56">
        <v>8</v>
      </c>
      <c r="M216" s="56"/>
      <c r="N216" s="58">
        <f t="shared" si="21"/>
        <v>40.699999999999996</v>
      </c>
      <c r="O216" s="58">
        <f t="shared" si="22"/>
        <v>1382.1943937654696</v>
      </c>
      <c r="P216" s="39">
        <v>8</v>
      </c>
      <c r="Q216" s="39">
        <v>10</v>
      </c>
      <c r="R216" s="39">
        <v>9</v>
      </c>
      <c r="S216" s="39">
        <v>9</v>
      </c>
      <c r="T216" s="39">
        <v>9</v>
      </c>
      <c r="U216" s="39">
        <v>9</v>
      </c>
      <c r="V216" s="39">
        <v>9</v>
      </c>
      <c r="W216" s="40" t="str">
        <f t="shared" si="24"/>
        <v>N</v>
      </c>
      <c r="X216" s="84">
        <f t="shared" si="25"/>
        <v>0</v>
      </c>
      <c r="Y216" s="84" t="str">
        <f t="shared" si="23"/>
        <v>0-4.9%</v>
      </c>
      <c r="Z216" s="85" t="s">
        <v>812</v>
      </c>
      <c r="AA216" s="59"/>
      <c r="AB216" s="59"/>
      <c r="AC216" s="59"/>
      <c r="AD216" s="59"/>
    </row>
    <row r="217" spans="1:30" x14ac:dyDescent="0.25">
      <c r="A217" s="54" t="s">
        <v>246</v>
      </c>
      <c r="B217" s="55"/>
      <c r="C217" s="56" t="s">
        <v>392</v>
      </c>
      <c r="D217" s="57">
        <f t="shared" si="20"/>
        <v>10</v>
      </c>
      <c r="E217" s="56"/>
      <c r="F217" s="56" t="str">
        <f>F216</f>
        <v>S2.T8.T12</v>
      </c>
      <c r="G217" s="56">
        <v>5.85</v>
      </c>
      <c r="H217" s="56">
        <v>7.5</v>
      </c>
      <c r="I217" s="56">
        <v>7.15</v>
      </c>
      <c r="J217" s="56">
        <v>7.2</v>
      </c>
      <c r="K217" s="56">
        <v>7.75</v>
      </c>
      <c r="L217" s="56">
        <v>10.4</v>
      </c>
      <c r="M217" s="56"/>
      <c r="N217" s="58">
        <f t="shared" si="21"/>
        <v>45.85</v>
      </c>
      <c r="O217" s="58">
        <f t="shared" si="22"/>
        <v>2362.769279867965</v>
      </c>
      <c r="P217" s="39">
        <v>8</v>
      </c>
      <c r="Q217" s="39">
        <v>10</v>
      </c>
      <c r="R217" s="39">
        <v>9</v>
      </c>
      <c r="S217" s="39">
        <v>9</v>
      </c>
      <c r="T217" s="39">
        <v>9</v>
      </c>
      <c r="U217" s="39">
        <v>9</v>
      </c>
      <c r="V217" s="39">
        <v>9</v>
      </c>
      <c r="W217" s="40" t="str">
        <f t="shared" si="24"/>
        <v>Y</v>
      </c>
      <c r="X217" s="84">
        <f t="shared" si="25"/>
        <v>0.14000000000000004</v>
      </c>
      <c r="Y217" s="84" t="str">
        <f t="shared" si="23"/>
        <v>5-25%</v>
      </c>
      <c r="Z217" s="85" t="s">
        <v>812</v>
      </c>
      <c r="AA217" s="59"/>
      <c r="AB217" s="59"/>
      <c r="AC217" s="59"/>
      <c r="AD217" s="59"/>
    </row>
    <row r="218" spans="1:30" s="33" customFormat="1" x14ac:dyDescent="0.25">
      <c r="A218" s="54" t="s">
        <v>250</v>
      </c>
      <c r="B218" s="55"/>
      <c r="C218" s="56" t="s">
        <v>394</v>
      </c>
      <c r="D218" s="57">
        <f t="shared" si="20"/>
        <v>10</v>
      </c>
      <c r="E218" s="56"/>
      <c r="F218" s="56" t="s">
        <v>193</v>
      </c>
      <c r="G218" s="56">
        <v>4</v>
      </c>
      <c r="H218" s="56">
        <v>10.25</v>
      </c>
      <c r="I218" s="56">
        <v>4.5</v>
      </c>
      <c r="J218" s="56">
        <v>10.050000000000001</v>
      </c>
      <c r="K218" s="56">
        <v>8.4499999999999993</v>
      </c>
      <c r="L218" s="56">
        <v>9.15</v>
      </c>
      <c r="M218" s="56"/>
      <c r="N218" s="58">
        <f t="shared" si="21"/>
        <v>46.4</v>
      </c>
      <c r="O218" s="58">
        <f t="shared" si="22"/>
        <v>2493.0167595712146</v>
      </c>
      <c r="P218" s="39">
        <v>8</v>
      </c>
      <c r="Q218" s="39">
        <v>10</v>
      </c>
      <c r="R218" s="39">
        <v>9</v>
      </c>
      <c r="S218" s="39">
        <v>9</v>
      </c>
      <c r="T218" s="39">
        <v>9</v>
      </c>
      <c r="U218" s="39">
        <v>9</v>
      </c>
      <c r="V218" s="39">
        <v>9</v>
      </c>
      <c r="W218" s="40" t="str">
        <f t="shared" si="24"/>
        <v>Y</v>
      </c>
      <c r="X218" s="84">
        <f t="shared" si="25"/>
        <v>0.10500000000000007</v>
      </c>
      <c r="Y218" s="84" t="str">
        <f t="shared" si="23"/>
        <v>5-25%</v>
      </c>
      <c r="Z218" s="85" t="s">
        <v>786</v>
      </c>
      <c r="AA218" s="64"/>
      <c r="AB218" s="64"/>
      <c r="AC218" s="64"/>
      <c r="AD218" s="64"/>
    </row>
    <row r="219" spans="1:30" x14ac:dyDescent="0.25">
      <c r="A219" s="54" t="s">
        <v>251</v>
      </c>
      <c r="B219" s="55"/>
      <c r="C219" s="56" t="s">
        <v>395</v>
      </c>
      <c r="D219" s="57">
        <f t="shared" si="20"/>
        <v>10</v>
      </c>
      <c r="E219" s="56"/>
      <c r="F219" s="56" t="s">
        <v>190</v>
      </c>
      <c r="G219" s="56">
        <v>6.85</v>
      </c>
      <c r="H219" s="56">
        <v>7.55</v>
      </c>
      <c r="I219" s="56">
        <v>6.15</v>
      </c>
      <c r="J219" s="56">
        <v>6.2</v>
      </c>
      <c r="K219" s="56">
        <v>8.8000000000000007</v>
      </c>
      <c r="L219" s="56">
        <v>12.35</v>
      </c>
      <c r="M219" s="56"/>
      <c r="N219" s="58">
        <f t="shared" si="21"/>
        <v>47.9</v>
      </c>
      <c r="O219" s="58">
        <f t="shared" si="22"/>
        <v>2876.7630771031286</v>
      </c>
      <c r="P219" s="39">
        <v>8</v>
      </c>
      <c r="Q219" s="39">
        <v>10</v>
      </c>
      <c r="R219" s="39">
        <v>9</v>
      </c>
      <c r="S219" s="39">
        <v>9</v>
      </c>
      <c r="T219" s="39">
        <v>9</v>
      </c>
      <c r="U219" s="39">
        <v>9</v>
      </c>
      <c r="V219" s="39">
        <v>9</v>
      </c>
      <c r="W219" s="40" t="str">
        <f t="shared" si="24"/>
        <v>Y</v>
      </c>
      <c r="X219" s="84">
        <f t="shared" si="25"/>
        <v>0.33499999999999996</v>
      </c>
      <c r="Y219" s="84" t="str">
        <f t="shared" si="23"/>
        <v>25-50%</v>
      </c>
      <c r="Z219" s="85" t="s">
        <v>812</v>
      </c>
      <c r="AA219" s="59"/>
      <c r="AB219" s="59"/>
      <c r="AC219" s="59"/>
      <c r="AD219" s="59"/>
    </row>
    <row r="220" spans="1:30" x14ac:dyDescent="0.25">
      <c r="A220" s="54" t="s">
        <v>255</v>
      </c>
      <c r="B220" s="55"/>
      <c r="C220" s="56" t="s">
        <v>398</v>
      </c>
      <c r="D220" s="57">
        <f t="shared" si="20"/>
        <v>10</v>
      </c>
      <c r="E220" s="56"/>
      <c r="F220" s="56" t="s">
        <v>193</v>
      </c>
      <c r="G220" s="56">
        <v>5.3</v>
      </c>
      <c r="H220" s="56">
        <v>8.6</v>
      </c>
      <c r="I220" s="56">
        <v>6.95</v>
      </c>
      <c r="J220" s="56">
        <v>8.5</v>
      </c>
      <c r="K220" s="56">
        <v>8.85</v>
      </c>
      <c r="L220" s="56">
        <v>10.75</v>
      </c>
      <c r="M220" s="56"/>
      <c r="N220" s="58">
        <f t="shared" si="21"/>
        <v>48.949999999999996</v>
      </c>
      <c r="O220" s="58">
        <f t="shared" si="22"/>
        <v>3171.621974836647</v>
      </c>
      <c r="P220" s="39">
        <v>8</v>
      </c>
      <c r="Q220" s="39">
        <v>10</v>
      </c>
      <c r="R220" s="39">
        <v>9</v>
      </c>
      <c r="S220" s="39">
        <v>9</v>
      </c>
      <c r="T220" s="39">
        <v>9</v>
      </c>
      <c r="U220" s="39">
        <v>9</v>
      </c>
      <c r="V220" s="39">
        <v>9</v>
      </c>
      <c r="W220" s="40" t="str">
        <f t="shared" si="24"/>
        <v>Y</v>
      </c>
      <c r="X220" s="84">
        <f t="shared" si="25"/>
        <v>0.17499999999999999</v>
      </c>
      <c r="Y220" s="84" t="str">
        <f t="shared" si="23"/>
        <v>5-25%</v>
      </c>
      <c r="Z220" s="85" t="s">
        <v>812</v>
      </c>
      <c r="AA220" s="59"/>
      <c r="AB220" s="59"/>
      <c r="AC220" s="59"/>
      <c r="AD220" s="59"/>
    </row>
    <row r="221" spans="1:30" x14ac:dyDescent="0.25">
      <c r="A221" s="54" t="s">
        <v>256</v>
      </c>
      <c r="B221" s="55"/>
      <c r="C221" s="56" t="s">
        <v>399</v>
      </c>
      <c r="D221" s="57">
        <f t="shared" si="20"/>
        <v>10</v>
      </c>
      <c r="E221" s="56"/>
      <c r="F221" s="56" t="str">
        <f>F220</f>
        <v>S2.T8.T12</v>
      </c>
      <c r="G221" s="56">
        <v>7.2</v>
      </c>
      <c r="H221" s="56">
        <v>8.5500000000000007</v>
      </c>
      <c r="I221" s="56">
        <v>6.55</v>
      </c>
      <c r="J221" s="56">
        <v>9.9499999999999993</v>
      </c>
      <c r="K221" s="56">
        <v>8.4499999999999993</v>
      </c>
      <c r="L221" s="56">
        <v>9.9</v>
      </c>
      <c r="M221" s="56"/>
      <c r="N221" s="58">
        <f t="shared" si="21"/>
        <v>50.6</v>
      </c>
      <c r="O221" s="58">
        <f t="shared" si="22"/>
        <v>3681.8967991664699</v>
      </c>
      <c r="P221" s="39">
        <v>8</v>
      </c>
      <c r="Q221" s="39">
        <v>10</v>
      </c>
      <c r="R221" s="39">
        <v>9</v>
      </c>
      <c r="S221" s="39">
        <v>9</v>
      </c>
      <c r="T221" s="39">
        <v>9</v>
      </c>
      <c r="U221" s="39">
        <v>9</v>
      </c>
      <c r="V221" s="39">
        <v>9</v>
      </c>
      <c r="W221" s="40" t="str">
        <f t="shared" si="24"/>
        <v>Y</v>
      </c>
      <c r="X221" s="84">
        <f t="shared" si="25"/>
        <v>9.4999999999999932E-2</v>
      </c>
      <c r="Y221" s="84" t="str">
        <f t="shared" si="23"/>
        <v>5-25%</v>
      </c>
      <c r="Z221" s="85" t="s">
        <v>812</v>
      </c>
      <c r="AA221" s="59"/>
      <c r="AB221" s="59"/>
      <c r="AC221" s="59"/>
      <c r="AD221" s="59"/>
    </row>
    <row r="222" spans="1:30" x14ac:dyDescent="0.25">
      <c r="A222" s="54" t="s">
        <v>257</v>
      </c>
      <c r="B222" s="55"/>
      <c r="C222" s="56" t="s">
        <v>400</v>
      </c>
      <c r="D222" s="57">
        <f t="shared" si="20"/>
        <v>10</v>
      </c>
      <c r="E222" s="56"/>
      <c r="F222" s="56" t="str">
        <f>F221</f>
        <v>S2.T8.T12</v>
      </c>
      <c r="G222" s="56">
        <v>5.9</v>
      </c>
      <c r="H222" s="56">
        <v>6.5</v>
      </c>
      <c r="I222" s="56">
        <v>8.15</v>
      </c>
      <c r="J222" s="56">
        <v>7.6</v>
      </c>
      <c r="K222" s="56">
        <v>8.9</v>
      </c>
      <c r="L222" s="56">
        <v>8.5500000000000007</v>
      </c>
      <c r="M222" s="56"/>
      <c r="N222" s="58">
        <f t="shared" si="21"/>
        <v>45.599999999999994</v>
      </c>
      <c r="O222" s="58">
        <f t="shared" si="22"/>
        <v>2305.3457955711228</v>
      </c>
      <c r="P222" s="39">
        <v>8</v>
      </c>
      <c r="Q222" s="39">
        <v>10</v>
      </c>
      <c r="R222" s="39">
        <v>9</v>
      </c>
      <c r="S222" s="39">
        <v>9</v>
      </c>
      <c r="T222" s="39">
        <v>9</v>
      </c>
      <c r="U222" s="39">
        <v>9</v>
      </c>
      <c r="V222" s="39">
        <v>9</v>
      </c>
      <c r="W222" s="40" t="str">
        <f t="shared" si="24"/>
        <v>N</v>
      </c>
      <c r="X222" s="84">
        <f t="shared" si="25"/>
        <v>0</v>
      </c>
      <c r="Y222" s="84" t="str">
        <f t="shared" si="23"/>
        <v>0-4.9%</v>
      </c>
      <c r="Z222" s="85" t="s">
        <v>794</v>
      </c>
      <c r="AA222" s="59"/>
      <c r="AB222" s="59"/>
      <c r="AC222" s="59"/>
      <c r="AD222" s="59"/>
    </row>
    <row r="223" spans="1:30" x14ac:dyDescent="0.25">
      <c r="A223" s="54" t="s">
        <v>258</v>
      </c>
      <c r="B223" s="55"/>
      <c r="C223" s="56" t="s">
        <v>401</v>
      </c>
      <c r="D223" s="57">
        <f t="shared" si="20"/>
        <v>10</v>
      </c>
      <c r="E223" s="56"/>
      <c r="F223" s="56" t="s">
        <v>227</v>
      </c>
      <c r="G223" s="56">
        <v>5.75</v>
      </c>
      <c r="H223" s="56">
        <v>2.9</v>
      </c>
      <c r="I223" s="56">
        <v>4.8</v>
      </c>
      <c r="J223" s="56">
        <v>3.2</v>
      </c>
      <c r="K223" s="56">
        <v>3.25</v>
      </c>
      <c r="L223" s="56">
        <v>3.4</v>
      </c>
      <c r="M223" s="56"/>
      <c r="N223" s="58">
        <f t="shared" si="21"/>
        <v>23.299999999999997</v>
      </c>
      <c r="O223" s="58">
        <f t="shared" si="22"/>
        <v>112.3300443172153</v>
      </c>
      <c r="P223" s="39">
        <v>8</v>
      </c>
      <c r="Q223" s="39">
        <v>10</v>
      </c>
      <c r="R223" s="39">
        <v>9</v>
      </c>
      <c r="S223" s="39">
        <v>9</v>
      </c>
      <c r="T223" s="39">
        <v>9</v>
      </c>
      <c r="U223" s="39">
        <v>9</v>
      </c>
      <c r="V223" s="39">
        <v>9</v>
      </c>
      <c r="W223" s="40" t="str">
        <f t="shared" si="24"/>
        <v>N</v>
      </c>
      <c r="X223" s="84">
        <f t="shared" si="25"/>
        <v>0</v>
      </c>
      <c r="Y223" s="84" t="str">
        <f t="shared" si="23"/>
        <v>0-4.9%</v>
      </c>
      <c r="Z223" s="85" t="s">
        <v>789</v>
      </c>
      <c r="AA223" s="59"/>
      <c r="AB223" s="59"/>
      <c r="AC223" s="59"/>
      <c r="AD223" s="59"/>
    </row>
    <row r="224" spans="1:30" x14ac:dyDescent="0.25">
      <c r="A224" s="74" t="s">
        <v>259</v>
      </c>
      <c r="B224" s="75"/>
      <c r="C224" s="76" t="s">
        <v>287</v>
      </c>
      <c r="D224" s="57">
        <f t="shared" si="20"/>
        <v>10</v>
      </c>
      <c r="E224" s="76"/>
      <c r="F224" s="76" t="s">
        <v>227</v>
      </c>
      <c r="G224" s="76">
        <v>4.9000000000000004</v>
      </c>
      <c r="H224" s="76">
        <v>7</v>
      </c>
      <c r="I224" s="76">
        <v>3.7</v>
      </c>
      <c r="J224" s="76">
        <v>2.85</v>
      </c>
      <c r="K224" s="76">
        <v>8.5500000000000007</v>
      </c>
      <c r="L224" s="76"/>
      <c r="M224" s="76"/>
      <c r="N224" s="58">
        <f t="shared" si="21"/>
        <v>27.000000000000004</v>
      </c>
      <c r="O224" s="58">
        <f t="shared" si="22"/>
        <v>218.03751532436456</v>
      </c>
      <c r="P224" s="39">
        <v>8</v>
      </c>
      <c r="Q224" s="39">
        <v>10</v>
      </c>
      <c r="R224" s="39">
        <v>9</v>
      </c>
      <c r="S224" s="39">
        <v>9</v>
      </c>
      <c r="T224" s="39">
        <v>9</v>
      </c>
      <c r="U224" s="39">
        <v>9</v>
      </c>
      <c r="V224" s="39">
        <v>9</v>
      </c>
      <c r="W224" s="40" t="str">
        <f t="shared" si="24"/>
        <v>N</v>
      </c>
      <c r="X224" s="84">
        <f t="shared" si="25"/>
        <v>0</v>
      </c>
      <c r="Y224" s="84" t="str">
        <f t="shared" si="23"/>
        <v>0-4.9%</v>
      </c>
      <c r="Z224" s="91" t="s">
        <v>786</v>
      </c>
      <c r="AA224" s="59"/>
      <c r="AB224" s="59"/>
      <c r="AC224" s="59"/>
      <c r="AD224" s="59"/>
    </row>
    <row r="225" spans="1:30" x14ac:dyDescent="0.25">
      <c r="A225" s="54" t="s">
        <v>260</v>
      </c>
      <c r="B225" s="55"/>
      <c r="C225" s="56" t="s">
        <v>402</v>
      </c>
      <c r="D225" s="57">
        <f t="shared" si="20"/>
        <v>10</v>
      </c>
      <c r="E225" s="56"/>
      <c r="F225" s="56" t="str">
        <f>F224</f>
        <v>S2.S4.T12</v>
      </c>
      <c r="G225" s="56">
        <v>5.55</v>
      </c>
      <c r="H225" s="56">
        <v>7.05</v>
      </c>
      <c r="I225" s="56">
        <v>6.15</v>
      </c>
      <c r="J225" s="56">
        <v>5.05</v>
      </c>
      <c r="K225" s="56">
        <v>7.2</v>
      </c>
      <c r="L225" s="56">
        <v>11.65</v>
      </c>
      <c r="M225" s="56"/>
      <c r="N225" s="58">
        <f t="shared" si="21"/>
        <v>42.65</v>
      </c>
      <c r="O225" s="58">
        <f t="shared" si="22"/>
        <v>1706.200030460672</v>
      </c>
      <c r="P225" s="39">
        <v>8</v>
      </c>
      <c r="Q225" s="39">
        <v>10</v>
      </c>
      <c r="R225" s="39">
        <v>9</v>
      </c>
      <c r="S225" s="39">
        <v>9</v>
      </c>
      <c r="T225" s="39">
        <v>9</v>
      </c>
      <c r="U225" s="39">
        <v>9</v>
      </c>
      <c r="V225" s="39">
        <v>9</v>
      </c>
      <c r="W225" s="40" t="str">
        <f t="shared" si="24"/>
        <v>Y</v>
      </c>
      <c r="X225" s="84">
        <f t="shared" si="25"/>
        <v>0.26500000000000001</v>
      </c>
      <c r="Y225" s="84" t="str">
        <f t="shared" si="23"/>
        <v>25-50%</v>
      </c>
      <c r="Z225" s="85" t="s">
        <v>786</v>
      </c>
      <c r="AA225" s="59"/>
      <c r="AB225" s="59"/>
      <c r="AC225" s="59"/>
      <c r="AD225" s="59"/>
    </row>
    <row r="226" spans="1:30" x14ac:dyDescent="0.25">
      <c r="A226" s="54" t="s">
        <v>263</v>
      </c>
      <c r="B226" s="55"/>
      <c r="C226" s="56" t="s">
        <v>405</v>
      </c>
      <c r="D226" s="57">
        <f t="shared" si="20"/>
        <v>10</v>
      </c>
      <c r="E226" s="56"/>
      <c r="F226" s="56" t="s">
        <v>227</v>
      </c>
      <c r="G226" s="56">
        <v>4.8</v>
      </c>
      <c r="H226" s="56">
        <v>11.4</v>
      </c>
      <c r="I226" s="56">
        <v>6.2</v>
      </c>
      <c r="J226" s="56">
        <v>6.35</v>
      </c>
      <c r="K226" s="56">
        <v>9.25</v>
      </c>
      <c r="L226" s="56"/>
      <c r="M226" s="56"/>
      <c r="N226" s="58">
        <f t="shared" si="21"/>
        <v>38</v>
      </c>
      <c r="O226" s="58">
        <f t="shared" si="22"/>
        <v>1014.8934984921538</v>
      </c>
      <c r="P226" s="39">
        <v>8</v>
      </c>
      <c r="Q226" s="39">
        <v>10</v>
      </c>
      <c r="R226" s="39">
        <v>9</v>
      </c>
      <c r="S226" s="39">
        <v>9</v>
      </c>
      <c r="T226" s="39">
        <v>9</v>
      </c>
      <c r="U226" s="39">
        <v>9</v>
      </c>
      <c r="V226" s="39">
        <v>9</v>
      </c>
      <c r="W226" s="40" t="str">
        <f t="shared" si="24"/>
        <v>Y</v>
      </c>
      <c r="X226" s="84">
        <f t="shared" si="25"/>
        <v>0.14000000000000004</v>
      </c>
      <c r="Y226" s="84" t="str">
        <f t="shared" si="23"/>
        <v>5-25%</v>
      </c>
      <c r="Z226" s="85" t="s">
        <v>782</v>
      </c>
      <c r="AA226" s="59"/>
      <c r="AB226" s="59"/>
      <c r="AC226" s="59"/>
      <c r="AD226" s="59"/>
    </row>
    <row r="227" spans="1:30" x14ac:dyDescent="0.25">
      <c r="A227" s="54" t="s">
        <v>265</v>
      </c>
      <c r="B227" s="55"/>
      <c r="C227" s="56" t="s">
        <v>406</v>
      </c>
      <c r="D227" s="57">
        <f t="shared" si="20"/>
        <v>10</v>
      </c>
      <c r="E227" s="56"/>
      <c r="F227" s="56" t="s">
        <v>193</v>
      </c>
      <c r="G227" s="56">
        <v>5.6</v>
      </c>
      <c r="H227" s="56">
        <v>7.85</v>
      </c>
      <c r="I227" s="56">
        <v>9</v>
      </c>
      <c r="J227" s="56">
        <v>7.45</v>
      </c>
      <c r="K227" s="56">
        <v>8.0500000000000007</v>
      </c>
      <c r="L227" s="56">
        <v>9.3000000000000007</v>
      </c>
      <c r="M227" s="56"/>
      <c r="N227" s="58">
        <f t="shared" si="21"/>
        <v>47.25</v>
      </c>
      <c r="O227" s="58">
        <f t="shared" si="22"/>
        <v>2705.2190896791353</v>
      </c>
      <c r="P227" s="39">
        <v>8</v>
      </c>
      <c r="Q227" s="39">
        <v>10</v>
      </c>
      <c r="R227" s="39">
        <v>9</v>
      </c>
      <c r="S227" s="39">
        <v>9</v>
      </c>
      <c r="T227" s="39">
        <v>9</v>
      </c>
      <c r="U227" s="39">
        <v>9</v>
      </c>
      <c r="V227" s="39">
        <v>9</v>
      </c>
      <c r="W227" s="40" t="str">
        <f t="shared" si="24"/>
        <v>Y</v>
      </c>
      <c r="X227" s="84">
        <f t="shared" si="25"/>
        <v>3.0000000000000072E-2</v>
      </c>
      <c r="Y227" s="84" t="str">
        <f t="shared" si="23"/>
        <v>0-4.9%</v>
      </c>
      <c r="Z227" s="85" t="s">
        <v>786</v>
      </c>
      <c r="AA227" s="59"/>
      <c r="AB227" s="59"/>
      <c r="AC227" s="59"/>
      <c r="AD227" s="59"/>
    </row>
    <row r="228" spans="1:30" x14ac:dyDescent="0.25">
      <c r="A228" s="54" t="s">
        <v>266</v>
      </c>
      <c r="B228" s="55"/>
      <c r="C228" s="56" t="s">
        <v>407</v>
      </c>
      <c r="D228" s="57">
        <f t="shared" si="20"/>
        <v>10</v>
      </c>
      <c r="E228" s="56"/>
      <c r="F228" s="56" t="s">
        <v>193</v>
      </c>
      <c r="G228" s="56">
        <v>6.05</v>
      </c>
      <c r="H228" s="56">
        <v>7.25</v>
      </c>
      <c r="I228" s="56">
        <v>7.3</v>
      </c>
      <c r="J228" s="56">
        <v>8.1</v>
      </c>
      <c r="K228" s="56">
        <v>8.1</v>
      </c>
      <c r="L228" s="56">
        <v>11.7</v>
      </c>
      <c r="M228" s="56"/>
      <c r="N228" s="58">
        <f t="shared" si="21"/>
        <v>48.5</v>
      </c>
      <c r="O228" s="58">
        <f t="shared" si="22"/>
        <v>3042.5106654772403</v>
      </c>
      <c r="P228" s="39">
        <v>8</v>
      </c>
      <c r="Q228" s="39">
        <v>10</v>
      </c>
      <c r="R228" s="39">
        <v>9</v>
      </c>
      <c r="S228" s="39">
        <v>9</v>
      </c>
      <c r="T228" s="39">
        <v>9</v>
      </c>
      <c r="U228" s="39">
        <v>9</v>
      </c>
      <c r="V228" s="39">
        <v>9</v>
      </c>
      <c r="W228" s="40" t="str">
        <f t="shared" si="24"/>
        <v>Y</v>
      </c>
      <c r="X228" s="84">
        <f t="shared" si="25"/>
        <v>0.26999999999999991</v>
      </c>
      <c r="Y228" s="84" t="str">
        <f t="shared" si="23"/>
        <v>25-50%</v>
      </c>
      <c r="Z228" s="85" t="s">
        <v>790</v>
      </c>
      <c r="AA228" s="59"/>
      <c r="AB228" s="59"/>
      <c r="AC228" s="59"/>
      <c r="AD228" s="59"/>
    </row>
    <row r="229" spans="1:30" x14ac:dyDescent="0.25">
      <c r="A229" s="54" t="s">
        <v>341</v>
      </c>
      <c r="B229" s="55"/>
      <c r="C229" s="56" t="s">
        <v>417</v>
      </c>
      <c r="D229" s="57">
        <f t="shared" si="20"/>
        <v>10</v>
      </c>
      <c r="E229" s="56"/>
      <c r="F229" s="56" t="s">
        <v>193</v>
      </c>
      <c r="G229" s="56">
        <v>3.9</v>
      </c>
      <c r="H229" s="56">
        <v>9.1</v>
      </c>
      <c r="I229" s="56">
        <v>4.5999999999999996</v>
      </c>
      <c r="J229" s="56">
        <v>8.85</v>
      </c>
      <c r="K229" s="56">
        <v>6.3</v>
      </c>
      <c r="L229" s="56">
        <v>8.15</v>
      </c>
      <c r="M229" s="56"/>
      <c r="N229" s="58">
        <f t="shared" si="21"/>
        <v>40.9</v>
      </c>
      <c r="O229" s="58">
        <f t="shared" si="22"/>
        <v>1413.0228069123405</v>
      </c>
      <c r="P229" s="39">
        <v>8</v>
      </c>
      <c r="Q229" s="39">
        <v>10</v>
      </c>
      <c r="R229" s="39">
        <v>9</v>
      </c>
      <c r="S229" s="39">
        <v>9</v>
      </c>
      <c r="T229" s="39">
        <v>9</v>
      </c>
      <c r="U229" s="39">
        <v>9</v>
      </c>
      <c r="V229" s="39">
        <v>9</v>
      </c>
      <c r="W229" s="40" t="str">
        <f t="shared" si="24"/>
        <v>N</v>
      </c>
      <c r="X229" s="84">
        <f t="shared" si="25"/>
        <v>0</v>
      </c>
      <c r="Y229" s="84" t="str">
        <f t="shared" si="23"/>
        <v>0-4.9%</v>
      </c>
      <c r="Z229" s="85" t="s">
        <v>794</v>
      </c>
      <c r="AA229" s="59"/>
      <c r="AB229" s="59"/>
      <c r="AC229" s="59"/>
      <c r="AD229" s="59"/>
    </row>
    <row r="230" spans="1:30" x14ac:dyDescent="0.25">
      <c r="A230" s="54" t="s">
        <v>342</v>
      </c>
      <c r="B230" s="55"/>
      <c r="C230" s="56" t="s">
        <v>418</v>
      </c>
      <c r="D230" s="57">
        <f t="shared" si="20"/>
        <v>10</v>
      </c>
      <c r="E230" s="56"/>
      <c r="F230" s="56" t="s">
        <v>193</v>
      </c>
      <c r="G230" s="56">
        <v>5.65</v>
      </c>
      <c r="H230" s="56">
        <v>3.35</v>
      </c>
      <c r="I230" s="56">
        <v>7.9</v>
      </c>
      <c r="J230" s="56">
        <v>7.05</v>
      </c>
      <c r="K230" s="56">
        <v>8.0500000000000007</v>
      </c>
      <c r="L230" s="56">
        <v>9.5500000000000007</v>
      </c>
      <c r="M230" s="56"/>
      <c r="N230" s="58">
        <f t="shared" si="21"/>
        <v>41.55</v>
      </c>
      <c r="O230" s="58">
        <f t="shared" si="22"/>
        <v>1516.9243128660817</v>
      </c>
      <c r="P230" s="39">
        <v>8</v>
      </c>
      <c r="Q230" s="39">
        <v>10</v>
      </c>
      <c r="R230" s="39">
        <v>9</v>
      </c>
      <c r="S230" s="39">
        <v>9</v>
      </c>
      <c r="T230" s="39">
        <v>9</v>
      </c>
      <c r="U230" s="39">
        <v>9</v>
      </c>
      <c r="V230" s="39">
        <v>9</v>
      </c>
      <c r="W230" s="40" t="str">
        <f t="shared" si="24"/>
        <v>Y</v>
      </c>
      <c r="X230" s="84">
        <f t="shared" si="25"/>
        <v>5.500000000000007E-2</v>
      </c>
      <c r="Y230" s="84" t="str">
        <f t="shared" si="23"/>
        <v>5-25%</v>
      </c>
      <c r="Z230" s="85" t="s">
        <v>794</v>
      </c>
      <c r="AA230" s="59"/>
      <c r="AB230" s="59"/>
      <c r="AC230" s="59"/>
      <c r="AD230" s="59"/>
    </row>
    <row r="231" spans="1:30" x14ac:dyDescent="0.25">
      <c r="A231" s="54" t="s">
        <v>343</v>
      </c>
      <c r="B231" s="55"/>
      <c r="C231" s="56" t="s">
        <v>419</v>
      </c>
      <c r="D231" s="57">
        <f t="shared" si="20"/>
        <v>10</v>
      </c>
      <c r="E231" s="56"/>
      <c r="F231" s="56" t="s">
        <v>193</v>
      </c>
      <c r="G231" s="56">
        <v>6.05</v>
      </c>
      <c r="H231" s="56">
        <v>9.5</v>
      </c>
      <c r="I231" s="56">
        <v>9.6999999999999993</v>
      </c>
      <c r="J231" s="56">
        <v>8.15</v>
      </c>
      <c r="K231" s="56">
        <v>7.75</v>
      </c>
      <c r="L231" s="56">
        <v>8.8000000000000007</v>
      </c>
      <c r="M231" s="56"/>
      <c r="N231" s="58">
        <f t="shared" si="21"/>
        <v>49.95</v>
      </c>
      <c r="O231" s="58">
        <f t="shared" si="22"/>
        <v>3473.7935314901106</v>
      </c>
      <c r="P231" s="39">
        <v>8</v>
      </c>
      <c r="Q231" s="39">
        <v>10</v>
      </c>
      <c r="R231" s="39">
        <v>9</v>
      </c>
      <c r="S231" s="39">
        <v>9</v>
      </c>
      <c r="T231" s="39">
        <v>9</v>
      </c>
      <c r="U231" s="39">
        <v>9</v>
      </c>
      <c r="V231" s="39">
        <v>9</v>
      </c>
      <c r="W231" s="40" t="str">
        <f t="shared" si="24"/>
        <v>Y</v>
      </c>
      <c r="X231" s="84">
        <f t="shared" si="25"/>
        <v>6.9999999999999923E-2</v>
      </c>
      <c r="Y231" s="84" t="str">
        <f t="shared" si="23"/>
        <v>5-25%</v>
      </c>
      <c r="Z231" s="85" t="s">
        <v>794</v>
      </c>
      <c r="AA231" s="59"/>
      <c r="AB231" s="59"/>
      <c r="AC231" s="59"/>
      <c r="AD231" s="59"/>
    </row>
    <row r="232" spans="1:30" x14ac:dyDescent="0.25">
      <c r="A232" s="54" t="s">
        <v>344</v>
      </c>
      <c r="B232" s="55"/>
      <c r="C232" s="56" t="s">
        <v>420</v>
      </c>
      <c r="D232" s="57">
        <f t="shared" si="20"/>
        <v>10</v>
      </c>
      <c r="E232" s="56"/>
      <c r="F232" s="56" t="s">
        <v>193</v>
      </c>
      <c r="G232" s="56">
        <v>5.3</v>
      </c>
      <c r="H232" s="56">
        <v>8.0500000000000007</v>
      </c>
      <c r="I232" s="56">
        <v>7.6</v>
      </c>
      <c r="J232" s="56">
        <v>5.95</v>
      </c>
      <c r="K232" s="56">
        <v>8.9</v>
      </c>
      <c r="L232" s="56">
        <v>13.5</v>
      </c>
      <c r="M232" s="56"/>
      <c r="N232" s="58">
        <f t="shared" si="21"/>
        <v>49.300000000000004</v>
      </c>
      <c r="O232" s="58">
        <f t="shared" si="22"/>
        <v>3274.9556445436097</v>
      </c>
      <c r="P232" s="39">
        <v>8</v>
      </c>
      <c r="Q232" s="39">
        <v>10</v>
      </c>
      <c r="R232" s="39">
        <v>9</v>
      </c>
      <c r="S232" s="39">
        <v>9</v>
      </c>
      <c r="T232" s="39">
        <v>9</v>
      </c>
      <c r="U232" s="39">
        <v>9</v>
      </c>
      <c r="V232" s="39">
        <v>9</v>
      </c>
      <c r="W232" s="40" t="str">
        <f t="shared" si="24"/>
        <v>Y</v>
      </c>
      <c r="X232" s="84">
        <f t="shared" si="25"/>
        <v>0.45</v>
      </c>
      <c r="Y232" s="84" t="str">
        <f t="shared" si="23"/>
        <v>25-50%</v>
      </c>
      <c r="Z232" s="85" t="s">
        <v>794</v>
      </c>
      <c r="AA232" s="59"/>
      <c r="AB232" s="59"/>
      <c r="AC232" s="59"/>
      <c r="AD232" s="59"/>
    </row>
    <row r="233" spans="1:30" x14ac:dyDescent="0.25">
      <c r="A233" s="54" t="s">
        <v>347</v>
      </c>
      <c r="B233" s="55"/>
      <c r="C233" s="56" t="s">
        <v>423</v>
      </c>
      <c r="D233" s="57">
        <f t="shared" si="20"/>
        <v>10</v>
      </c>
      <c r="E233" s="56"/>
      <c r="F233" s="56" t="s">
        <v>193</v>
      </c>
      <c r="G233" s="56">
        <v>5.55</v>
      </c>
      <c r="H233" s="56">
        <v>4.5</v>
      </c>
      <c r="I233" s="56">
        <v>8.6</v>
      </c>
      <c r="J233" s="56">
        <v>6.9</v>
      </c>
      <c r="K233" s="56">
        <v>7.85</v>
      </c>
      <c r="L233" s="56">
        <v>7.68</v>
      </c>
      <c r="M233" s="56"/>
      <c r="N233" s="58">
        <f t="shared" si="21"/>
        <v>41.08</v>
      </c>
      <c r="O233" s="58">
        <f t="shared" si="22"/>
        <v>1441.2231941469072</v>
      </c>
      <c r="P233" s="39">
        <v>8</v>
      </c>
      <c r="Q233" s="39">
        <v>10</v>
      </c>
      <c r="R233" s="39">
        <v>9</v>
      </c>
      <c r="S233" s="39">
        <v>9</v>
      </c>
      <c r="T233" s="39">
        <v>9</v>
      </c>
      <c r="U233" s="39">
        <v>9</v>
      </c>
      <c r="V233" s="39">
        <v>9</v>
      </c>
      <c r="W233" s="40" t="str">
        <f t="shared" si="24"/>
        <v>N</v>
      </c>
      <c r="X233" s="84">
        <f t="shared" si="25"/>
        <v>0</v>
      </c>
      <c r="Y233" s="84" t="str">
        <f t="shared" si="23"/>
        <v>0-4.9%</v>
      </c>
      <c r="Z233" s="85" t="s">
        <v>790</v>
      </c>
      <c r="AA233" s="59"/>
      <c r="AB233" s="59"/>
      <c r="AC233" s="59"/>
      <c r="AD233" s="59"/>
    </row>
    <row r="234" spans="1:30" x14ac:dyDescent="0.25">
      <c r="A234" s="54" t="s">
        <v>352</v>
      </c>
      <c r="B234" s="55"/>
      <c r="C234" s="56" t="s">
        <v>428</v>
      </c>
      <c r="D234" s="57">
        <f t="shared" si="20"/>
        <v>10</v>
      </c>
      <c r="E234" s="56"/>
      <c r="F234" s="56" t="s">
        <v>193</v>
      </c>
      <c r="G234" s="56">
        <v>5.6</v>
      </c>
      <c r="H234" s="56">
        <v>5.3</v>
      </c>
      <c r="I234" s="56">
        <v>8.4</v>
      </c>
      <c r="J234" s="56">
        <v>7.25</v>
      </c>
      <c r="K234" s="56">
        <v>7.9</v>
      </c>
      <c r="L234" s="56">
        <v>8.4</v>
      </c>
      <c r="M234" s="56"/>
      <c r="N234" s="58">
        <f t="shared" si="21"/>
        <v>42.849999999999994</v>
      </c>
      <c r="O234" s="58">
        <f t="shared" si="22"/>
        <v>1742.5008706757139</v>
      </c>
      <c r="P234" s="39">
        <v>8</v>
      </c>
      <c r="Q234" s="39">
        <v>10</v>
      </c>
      <c r="R234" s="39">
        <v>9</v>
      </c>
      <c r="S234" s="39">
        <v>9</v>
      </c>
      <c r="T234" s="39">
        <v>9</v>
      </c>
      <c r="U234" s="39">
        <v>9</v>
      </c>
      <c r="V234" s="39">
        <v>9</v>
      </c>
      <c r="W234" s="40" t="str">
        <f t="shared" si="24"/>
        <v>N</v>
      </c>
      <c r="X234" s="84">
        <f t="shared" si="25"/>
        <v>0</v>
      </c>
      <c r="Y234" s="84" t="str">
        <f t="shared" si="23"/>
        <v>0-4.9%</v>
      </c>
      <c r="Z234" s="85" t="s">
        <v>794</v>
      </c>
      <c r="AA234" s="59"/>
      <c r="AB234" s="59"/>
      <c r="AC234" s="59"/>
      <c r="AD234" s="59"/>
    </row>
    <row r="235" spans="1:30" x14ac:dyDescent="0.25">
      <c r="A235" s="54" t="s">
        <v>353</v>
      </c>
      <c r="B235" s="55"/>
      <c r="C235" s="56" t="s">
        <v>429</v>
      </c>
      <c r="D235" s="57">
        <f t="shared" si="20"/>
        <v>10</v>
      </c>
      <c r="E235" s="56"/>
      <c r="F235" s="56" t="s">
        <v>193</v>
      </c>
      <c r="G235" s="56">
        <v>6.2</v>
      </c>
      <c r="H235" s="56">
        <v>7.25</v>
      </c>
      <c r="I235" s="56">
        <v>8.6</v>
      </c>
      <c r="J235" s="56">
        <v>7.55</v>
      </c>
      <c r="K235" s="56">
        <v>8.1</v>
      </c>
      <c r="L235" s="56">
        <v>10.45</v>
      </c>
      <c r="M235" s="56"/>
      <c r="N235" s="58">
        <f t="shared" si="21"/>
        <v>48.149999999999991</v>
      </c>
      <c r="O235" s="58">
        <f t="shared" si="22"/>
        <v>2944.9477727165058</v>
      </c>
      <c r="P235" s="39">
        <v>8</v>
      </c>
      <c r="Q235" s="39">
        <v>10</v>
      </c>
      <c r="R235" s="39">
        <v>9</v>
      </c>
      <c r="S235" s="39">
        <v>9</v>
      </c>
      <c r="T235" s="39">
        <v>9</v>
      </c>
      <c r="U235" s="39">
        <v>9</v>
      </c>
      <c r="V235" s="39">
        <v>9</v>
      </c>
      <c r="W235" s="40" t="str">
        <f t="shared" si="24"/>
        <v>Y</v>
      </c>
      <c r="X235" s="84">
        <f t="shared" si="25"/>
        <v>0.14499999999999993</v>
      </c>
      <c r="Y235" s="84" t="str">
        <f t="shared" si="23"/>
        <v>5-25%</v>
      </c>
      <c r="Z235" s="85" t="s">
        <v>786</v>
      </c>
      <c r="AA235" s="59"/>
      <c r="AB235" s="59"/>
      <c r="AC235" s="59"/>
      <c r="AD235" s="59"/>
    </row>
    <row r="236" spans="1:30" x14ac:dyDescent="0.25">
      <c r="A236" s="54" t="s">
        <v>354</v>
      </c>
      <c r="B236" s="55"/>
      <c r="C236" s="56" t="s">
        <v>430</v>
      </c>
      <c r="D236" s="57">
        <f t="shared" si="20"/>
        <v>10</v>
      </c>
      <c r="E236" s="56"/>
      <c r="F236" s="56" t="s">
        <v>193</v>
      </c>
      <c r="G236" s="56">
        <v>6.3</v>
      </c>
      <c r="H236" s="56">
        <v>7.5</v>
      </c>
      <c r="I236" s="56">
        <v>7.3</v>
      </c>
      <c r="J236" s="56">
        <v>8</v>
      </c>
      <c r="K236" s="56">
        <v>8.8000000000000007</v>
      </c>
      <c r="L236" s="56">
        <v>9.85</v>
      </c>
      <c r="M236" s="56"/>
      <c r="N236" s="58">
        <f t="shared" si="21"/>
        <v>47.750000000000007</v>
      </c>
      <c r="O236" s="58">
        <f t="shared" si="22"/>
        <v>2836.4457212883426</v>
      </c>
      <c r="P236" s="39">
        <v>8</v>
      </c>
      <c r="Q236" s="39">
        <v>10</v>
      </c>
      <c r="R236" s="39">
        <v>9</v>
      </c>
      <c r="S236" s="39">
        <v>9</v>
      </c>
      <c r="T236" s="39">
        <v>9</v>
      </c>
      <c r="U236" s="39">
        <v>9</v>
      </c>
      <c r="V236" s="39">
        <v>9</v>
      </c>
      <c r="W236" s="40" t="str">
        <f t="shared" si="24"/>
        <v>Y</v>
      </c>
      <c r="X236" s="84">
        <f t="shared" si="25"/>
        <v>8.4999999999999964E-2</v>
      </c>
      <c r="Y236" s="84" t="str">
        <f t="shared" si="23"/>
        <v>5-25%</v>
      </c>
      <c r="Z236" s="85" t="s">
        <v>786</v>
      </c>
      <c r="AA236" s="59"/>
      <c r="AB236" s="59"/>
      <c r="AC236" s="59"/>
      <c r="AD236" s="59"/>
    </row>
    <row r="237" spans="1:30" x14ac:dyDescent="0.25">
      <c r="A237" s="54" t="s">
        <v>355</v>
      </c>
      <c r="B237" s="55"/>
      <c r="C237" s="56" t="s">
        <v>431</v>
      </c>
      <c r="D237" s="57">
        <f t="shared" si="20"/>
        <v>10</v>
      </c>
      <c r="E237" s="56"/>
      <c r="F237" s="56" t="s">
        <v>193</v>
      </c>
      <c r="G237" s="56">
        <v>6.05</v>
      </c>
      <c r="H237" s="56">
        <v>9.1999999999999993</v>
      </c>
      <c r="I237" s="56">
        <v>6.55</v>
      </c>
      <c r="J237" s="56">
        <v>7.15</v>
      </c>
      <c r="K237" s="56">
        <v>7.9</v>
      </c>
      <c r="L237" s="56">
        <v>10.15</v>
      </c>
      <c r="M237" s="56"/>
      <c r="N237" s="58">
        <f t="shared" si="21"/>
        <v>47</v>
      </c>
      <c r="O237" s="58">
        <f t="shared" si="22"/>
        <v>2641.4028756765483</v>
      </c>
      <c r="P237" s="39">
        <v>8</v>
      </c>
      <c r="Q237" s="39">
        <v>10</v>
      </c>
      <c r="R237" s="39">
        <v>9</v>
      </c>
      <c r="S237" s="39">
        <v>9</v>
      </c>
      <c r="T237" s="39">
        <v>9</v>
      </c>
      <c r="U237" s="39">
        <v>9</v>
      </c>
      <c r="V237" s="39">
        <v>9</v>
      </c>
      <c r="W237" s="40" t="str">
        <f t="shared" si="24"/>
        <v>Y</v>
      </c>
      <c r="X237" s="84">
        <f t="shared" si="25"/>
        <v>0.11500000000000003</v>
      </c>
      <c r="Y237" s="84" t="str">
        <f t="shared" si="23"/>
        <v>5-25%</v>
      </c>
      <c r="Z237" s="85" t="s">
        <v>812</v>
      </c>
      <c r="AA237" s="59"/>
      <c r="AB237" s="59"/>
      <c r="AC237" s="59"/>
      <c r="AD237" s="59"/>
    </row>
    <row r="238" spans="1:30" x14ac:dyDescent="0.25">
      <c r="A238" s="54" t="s">
        <v>357</v>
      </c>
      <c r="B238" s="55"/>
      <c r="C238" s="56" t="s">
        <v>432</v>
      </c>
      <c r="D238" s="57">
        <f t="shared" si="20"/>
        <v>10</v>
      </c>
      <c r="E238" s="56"/>
      <c r="F238" s="56" t="s">
        <v>433</v>
      </c>
      <c r="G238" s="56">
        <v>6.7</v>
      </c>
      <c r="H238" s="56">
        <v>7.85</v>
      </c>
      <c r="I238" s="56">
        <v>3.25</v>
      </c>
      <c r="J238" s="56">
        <v>4.4000000000000004</v>
      </c>
      <c r="K238" s="56">
        <v>6.7</v>
      </c>
      <c r="L238" s="56"/>
      <c r="M238" s="56"/>
      <c r="N238" s="58">
        <f t="shared" si="21"/>
        <v>28.900000000000002</v>
      </c>
      <c r="O238" s="58">
        <f t="shared" si="22"/>
        <v>296.09738915956848</v>
      </c>
      <c r="P238" s="39">
        <v>8</v>
      </c>
      <c r="Q238" s="39">
        <v>10</v>
      </c>
      <c r="R238" s="39">
        <v>9</v>
      </c>
      <c r="S238" s="39">
        <v>9</v>
      </c>
      <c r="T238" s="39">
        <v>9</v>
      </c>
      <c r="U238" s="39">
        <v>9</v>
      </c>
      <c r="V238" s="39">
        <v>9</v>
      </c>
      <c r="W238" s="40" t="str">
        <f t="shared" si="24"/>
        <v>N</v>
      </c>
      <c r="X238" s="84">
        <f t="shared" si="25"/>
        <v>0</v>
      </c>
      <c r="Y238" s="84" t="str">
        <f t="shared" si="23"/>
        <v>0-4.9%</v>
      </c>
      <c r="Z238" s="85" t="s">
        <v>794</v>
      </c>
      <c r="AA238" s="59"/>
      <c r="AB238" s="59"/>
      <c r="AC238" s="59"/>
      <c r="AD238" s="59"/>
    </row>
    <row r="239" spans="1:30" x14ac:dyDescent="0.25">
      <c r="A239" s="54" t="s">
        <v>358</v>
      </c>
      <c r="B239" s="55"/>
      <c r="C239" s="56" t="s">
        <v>434</v>
      </c>
      <c r="D239" s="57">
        <f t="shared" si="20"/>
        <v>10</v>
      </c>
      <c r="E239" s="56"/>
      <c r="F239" s="56" t="s">
        <v>193</v>
      </c>
      <c r="G239" s="56">
        <v>5.7</v>
      </c>
      <c r="H239" s="56">
        <v>8.15</v>
      </c>
      <c r="I239" s="56">
        <v>6.5</v>
      </c>
      <c r="J239" s="56">
        <v>6.35</v>
      </c>
      <c r="K239" s="56">
        <v>7.25</v>
      </c>
      <c r="L239" s="56">
        <v>12.05</v>
      </c>
      <c r="M239" s="56"/>
      <c r="N239" s="58">
        <f t="shared" si="21"/>
        <v>46</v>
      </c>
      <c r="O239" s="58">
        <f t="shared" si="22"/>
        <v>2397.7534700282204</v>
      </c>
      <c r="P239" s="39">
        <v>8</v>
      </c>
      <c r="Q239" s="39">
        <v>10</v>
      </c>
      <c r="R239" s="39">
        <v>9</v>
      </c>
      <c r="S239" s="39">
        <v>9</v>
      </c>
      <c r="T239" s="39">
        <v>9</v>
      </c>
      <c r="U239" s="39">
        <v>9</v>
      </c>
      <c r="V239" s="39">
        <v>9</v>
      </c>
      <c r="W239" s="40" t="str">
        <f t="shared" si="24"/>
        <v>Y</v>
      </c>
      <c r="X239" s="84">
        <f t="shared" si="25"/>
        <v>0.30500000000000005</v>
      </c>
      <c r="Y239" s="84" t="str">
        <f t="shared" si="23"/>
        <v>25-50%</v>
      </c>
      <c r="Z239" s="85" t="s">
        <v>794</v>
      </c>
      <c r="AA239" s="59"/>
      <c r="AB239" s="59"/>
      <c r="AC239" s="59"/>
      <c r="AD239" s="59"/>
    </row>
    <row r="240" spans="1:30" x14ac:dyDescent="0.25">
      <c r="A240" s="54" t="s">
        <v>359</v>
      </c>
      <c r="B240" s="55"/>
      <c r="C240" s="56" t="s">
        <v>435</v>
      </c>
      <c r="D240" s="57">
        <f t="shared" si="20"/>
        <v>10</v>
      </c>
      <c r="E240" s="56"/>
      <c r="F240" s="56" t="s">
        <v>193</v>
      </c>
      <c r="G240" s="56">
        <v>5.85</v>
      </c>
      <c r="H240" s="56">
        <v>5.0999999999999996</v>
      </c>
      <c r="I240" s="56">
        <v>8.9</v>
      </c>
      <c r="J240" s="56">
        <v>7.85</v>
      </c>
      <c r="K240" s="56">
        <v>8.75</v>
      </c>
      <c r="L240" s="56">
        <v>9.9499999999999993</v>
      </c>
      <c r="M240" s="56"/>
      <c r="N240" s="58">
        <f t="shared" si="21"/>
        <v>46.400000000000006</v>
      </c>
      <c r="O240" s="58">
        <f t="shared" si="22"/>
        <v>2493.0167595712146</v>
      </c>
      <c r="P240" s="39">
        <v>8</v>
      </c>
      <c r="Q240" s="39">
        <v>10</v>
      </c>
      <c r="R240" s="39">
        <v>9</v>
      </c>
      <c r="S240" s="39">
        <v>9</v>
      </c>
      <c r="T240" s="39">
        <v>9</v>
      </c>
      <c r="U240" s="39">
        <v>9</v>
      </c>
      <c r="V240" s="39">
        <v>9</v>
      </c>
      <c r="W240" s="40" t="str">
        <f t="shared" si="24"/>
        <v>Y</v>
      </c>
      <c r="X240" s="84">
        <f t="shared" si="25"/>
        <v>9.4999999999999932E-2</v>
      </c>
      <c r="Y240" s="84" t="str">
        <f t="shared" si="23"/>
        <v>5-25%</v>
      </c>
      <c r="Z240" s="85" t="s">
        <v>794</v>
      </c>
      <c r="AA240" s="59"/>
      <c r="AB240" s="59"/>
      <c r="AC240" s="59"/>
      <c r="AD240" s="59"/>
    </row>
    <row r="241" spans="1:30" x14ac:dyDescent="0.25">
      <c r="A241" s="54" t="s">
        <v>361</v>
      </c>
      <c r="B241" s="55"/>
      <c r="C241" s="56" t="s">
        <v>437</v>
      </c>
      <c r="D241" s="57">
        <f t="shared" si="20"/>
        <v>10</v>
      </c>
      <c r="E241" s="56"/>
      <c r="F241" s="56" t="s">
        <v>193</v>
      </c>
      <c r="G241" s="56">
        <v>5.75</v>
      </c>
      <c r="H241" s="56">
        <v>6.25</v>
      </c>
      <c r="I241" s="56">
        <v>9.0500000000000007</v>
      </c>
      <c r="J241" s="56">
        <v>6.7</v>
      </c>
      <c r="K241" s="56">
        <v>8.5</v>
      </c>
      <c r="L241" s="56">
        <v>8.85</v>
      </c>
      <c r="M241" s="56"/>
      <c r="N241" s="58">
        <f t="shared" si="21"/>
        <v>45.1</v>
      </c>
      <c r="O241" s="58">
        <f t="shared" si="22"/>
        <v>2193.7580328309114</v>
      </c>
      <c r="P241" s="39">
        <v>8</v>
      </c>
      <c r="Q241" s="39">
        <v>10</v>
      </c>
      <c r="R241" s="39">
        <v>9</v>
      </c>
      <c r="S241" s="39">
        <v>9</v>
      </c>
      <c r="T241" s="39">
        <v>9</v>
      </c>
      <c r="U241" s="39">
        <v>9</v>
      </c>
      <c r="V241" s="39">
        <v>9</v>
      </c>
      <c r="W241" s="40" t="str">
        <f t="shared" si="24"/>
        <v>Y</v>
      </c>
      <c r="X241" s="84">
        <f t="shared" si="25"/>
        <v>5.0000000000000712E-3</v>
      </c>
      <c r="Y241" s="84" t="str">
        <f t="shared" si="23"/>
        <v>0-4.9%</v>
      </c>
      <c r="Z241" s="85" t="s">
        <v>794</v>
      </c>
      <c r="AA241" s="59"/>
      <c r="AB241" s="59"/>
      <c r="AC241" s="59"/>
      <c r="AD241" s="59"/>
    </row>
    <row r="242" spans="1:30" x14ac:dyDescent="0.25">
      <c r="A242" s="54" t="s">
        <v>362</v>
      </c>
      <c r="B242" s="55"/>
      <c r="C242" s="56" t="s">
        <v>438</v>
      </c>
      <c r="D242" s="57">
        <f t="shared" si="20"/>
        <v>10</v>
      </c>
      <c r="E242" s="56"/>
      <c r="F242" s="56" t="s">
        <v>193</v>
      </c>
      <c r="G242" s="56">
        <v>5.35</v>
      </c>
      <c r="H242" s="56">
        <v>4.4000000000000004</v>
      </c>
      <c r="I242" s="56">
        <v>4.3</v>
      </c>
      <c r="J242" s="56">
        <v>6.85</v>
      </c>
      <c r="K242" s="56">
        <v>7.7</v>
      </c>
      <c r="L242" s="56">
        <v>10.25</v>
      </c>
      <c r="M242" s="56"/>
      <c r="N242" s="58">
        <f t="shared" si="21"/>
        <v>38.849999999999994</v>
      </c>
      <c r="O242" s="58">
        <f t="shared" si="22"/>
        <v>1121.1246197494604</v>
      </c>
      <c r="P242" s="39">
        <v>8</v>
      </c>
      <c r="Q242" s="39">
        <v>10</v>
      </c>
      <c r="R242" s="39">
        <v>9</v>
      </c>
      <c r="S242" s="39">
        <v>9</v>
      </c>
      <c r="T242" s="39">
        <v>9</v>
      </c>
      <c r="U242" s="39">
        <v>9</v>
      </c>
      <c r="V242" s="39">
        <v>9</v>
      </c>
      <c r="W242" s="40" t="str">
        <f t="shared" si="24"/>
        <v>Y</v>
      </c>
      <c r="X242" s="84">
        <f t="shared" si="25"/>
        <v>0.125</v>
      </c>
      <c r="Y242" s="84" t="str">
        <f t="shared" si="23"/>
        <v>5-25%</v>
      </c>
      <c r="Z242" s="85" t="s">
        <v>786</v>
      </c>
      <c r="AA242" s="59"/>
      <c r="AB242" s="59"/>
      <c r="AC242" s="59"/>
      <c r="AD242" s="59"/>
    </row>
    <row r="243" spans="1:30" x14ac:dyDescent="0.25">
      <c r="A243" s="54" t="s">
        <v>365</v>
      </c>
      <c r="B243" s="55"/>
      <c r="C243" s="56" t="s">
        <v>440</v>
      </c>
      <c r="D243" s="57">
        <f t="shared" si="20"/>
        <v>10</v>
      </c>
      <c r="E243" s="56"/>
      <c r="F243" s="56" t="s">
        <v>193</v>
      </c>
      <c r="G243" s="56">
        <v>6.25</v>
      </c>
      <c r="H243" s="56">
        <v>4.5</v>
      </c>
      <c r="I243" s="56">
        <v>9.25</v>
      </c>
      <c r="J243" s="56">
        <v>8.4</v>
      </c>
      <c r="K243" s="56">
        <v>8.35</v>
      </c>
      <c r="L243" s="56">
        <v>13.55</v>
      </c>
      <c r="M243" s="56"/>
      <c r="N243" s="58">
        <f t="shared" si="21"/>
        <v>50.3</v>
      </c>
      <c r="O243" s="58">
        <f t="shared" si="22"/>
        <v>3584.6785601875399</v>
      </c>
      <c r="P243" s="39">
        <v>8</v>
      </c>
      <c r="Q243" s="39">
        <v>10</v>
      </c>
      <c r="R243" s="39">
        <v>9</v>
      </c>
      <c r="S243" s="39">
        <v>9</v>
      </c>
      <c r="T243" s="39">
        <v>9</v>
      </c>
      <c r="U243" s="39">
        <v>9</v>
      </c>
      <c r="V243" s="39">
        <v>9</v>
      </c>
      <c r="W243" s="40" t="str">
        <f t="shared" si="24"/>
        <v>Y</v>
      </c>
      <c r="X243" s="84">
        <f t="shared" si="25"/>
        <v>0.45500000000000007</v>
      </c>
      <c r="Y243" s="84" t="str">
        <f t="shared" si="23"/>
        <v>25-50%</v>
      </c>
      <c r="Z243" s="85" t="s">
        <v>790</v>
      </c>
      <c r="AA243" s="59"/>
      <c r="AB243" s="59"/>
      <c r="AC243" s="59"/>
      <c r="AD243" s="59"/>
    </row>
    <row r="244" spans="1:30" x14ac:dyDescent="0.25">
      <c r="A244" s="54" t="s">
        <v>189</v>
      </c>
      <c r="B244" s="55"/>
      <c r="C244" s="56" t="s">
        <v>441</v>
      </c>
      <c r="D244" s="57">
        <f t="shared" si="20"/>
        <v>10</v>
      </c>
      <c r="E244" s="56"/>
      <c r="F244" s="56" t="s">
        <v>442</v>
      </c>
      <c r="G244" s="56">
        <v>7.25</v>
      </c>
      <c r="H244" s="56">
        <v>8.5500000000000007</v>
      </c>
      <c r="I244" s="56">
        <v>8.1</v>
      </c>
      <c r="J244" s="56">
        <v>8.15</v>
      </c>
      <c r="K244" s="56">
        <v>5.4</v>
      </c>
      <c r="L244" s="56"/>
      <c r="M244" s="56"/>
      <c r="N244" s="58">
        <f t="shared" si="21"/>
        <v>37.449999999999996</v>
      </c>
      <c r="O244" s="58">
        <f t="shared" si="22"/>
        <v>950.44608205386032</v>
      </c>
      <c r="P244" s="39">
        <v>8</v>
      </c>
      <c r="Q244" s="39">
        <v>10</v>
      </c>
      <c r="R244" s="39">
        <v>9</v>
      </c>
      <c r="S244" s="39">
        <v>9</v>
      </c>
      <c r="T244" s="39">
        <v>9</v>
      </c>
      <c r="U244" s="39">
        <v>9</v>
      </c>
      <c r="V244" s="39">
        <v>9</v>
      </c>
      <c r="W244" s="40" t="str">
        <f t="shared" si="24"/>
        <v>N</v>
      </c>
      <c r="X244" s="84">
        <f t="shared" si="25"/>
        <v>0</v>
      </c>
      <c r="Y244" s="84" t="str">
        <f t="shared" si="23"/>
        <v>0-4.9%</v>
      </c>
      <c r="Z244" s="85" t="s">
        <v>812</v>
      </c>
      <c r="AA244" s="59"/>
      <c r="AB244" s="59"/>
      <c r="AC244" s="59"/>
      <c r="AD244" s="59"/>
    </row>
    <row r="245" spans="1:30" x14ac:dyDescent="0.25">
      <c r="A245" s="54" t="s">
        <v>191</v>
      </c>
      <c r="B245" s="55"/>
      <c r="C245" s="56" t="s">
        <v>443</v>
      </c>
      <c r="D245" s="57">
        <f t="shared" si="20"/>
        <v>10</v>
      </c>
      <c r="E245" s="56"/>
      <c r="F245" s="56" t="s">
        <v>193</v>
      </c>
      <c r="G245" s="56">
        <v>5.7</v>
      </c>
      <c r="H245" s="56">
        <v>0.7</v>
      </c>
      <c r="I245" s="56">
        <v>5.7</v>
      </c>
      <c r="J245" s="56">
        <v>4.2</v>
      </c>
      <c r="K245" s="56">
        <v>3.1</v>
      </c>
      <c r="L245" s="56">
        <v>2.5</v>
      </c>
      <c r="M245" s="56"/>
      <c r="N245" s="58">
        <f t="shared" si="21"/>
        <v>21.900000000000002</v>
      </c>
      <c r="O245" s="58">
        <f t="shared" si="22"/>
        <v>84.994887303355114</v>
      </c>
      <c r="P245" s="39">
        <v>8</v>
      </c>
      <c r="Q245" s="39">
        <v>10</v>
      </c>
      <c r="R245" s="39">
        <v>9</v>
      </c>
      <c r="S245" s="39">
        <v>9</v>
      </c>
      <c r="T245" s="39">
        <v>9</v>
      </c>
      <c r="U245" s="39">
        <v>9</v>
      </c>
      <c r="V245" s="39">
        <v>9</v>
      </c>
      <c r="W245" s="40" t="str">
        <f t="shared" si="24"/>
        <v>N</v>
      </c>
      <c r="X245" s="84">
        <f t="shared" si="25"/>
        <v>0</v>
      </c>
      <c r="Y245" s="84" t="str">
        <f t="shared" si="23"/>
        <v>0-4.9%</v>
      </c>
      <c r="Z245" s="85" t="s">
        <v>794</v>
      </c>
      <c r="AA245" s="59"/>
      <c r="AB245" s="59"/>
      <c r="AC245" s="59"/>
      <c r="AD245" s="59"/>
    </row>
    <row r="246" spans="1:30" x14ac:dyDescent="0.25">
      <c r="A246" s="54" t="s">
        <v>192</v>
      </c>
      <c r="B246" s="55"/>
      <c r="C246" s="56" t="s">
        <v>444</v>
      </c>
      <c r="D246" s="57">
        <f t="shared" si="20"/>
        <v>10</v>
      </c>
      <c r="E246" s="56"/>
      <c r="F246" s="56" t="s">
        <v>193</v>
      </c>
      <c r="G246" s="56">
        <v>5.15</v>
      </c>
      <c r="H246" s="56">
        <v>4.5</v>
      </c>
      <c r="I246" s="56">
        <v>3.1</v>
      </c>
      <c r="J246" s="56">
        <v>3.35</v>
      </c>
      <c r="K246" s="56">
        <v>3.3</v>
      </c>
      <c r="L246" s="56">
        <v>3.25</v>
      </c>
      <c r="M246" s="56"/>
      <c r="N246" s="58">
        <f t="shared" si="21"/>
        <v>22.650000000000002</v>
      </c>
      <c r="O246" s="58">
        <f t="shared" si="22"/>
        <v>98.901121004222887</v>
      </c>
      <c r="P246" s="39">
        <v>8</v>
      </c>
      <c r="Q246" s="39">
        <v>10</v>
      </c>
      <c r="R246" s="39">
        <v>9</v>
      </c>
      <c r="S246" s="39">
        <v>9</v>
      </c>
      <c r="T246" s="39">
        <v>9</v>
      </c>
      <c r="U246" s="39">
        <v>9</v>
      </c>
      <c r="V246" s="39">
        <v>9</v>
      </c>
      <c r="W246" s="40" t="str">
        <f t="shared" si="24"/>
        <v>N</v>
      </c>
      <c r="X246" s="84">
        <f t="shared" si="25"/>
        <v>0</v>
      </c>
      <c r="Y246" s="84" t="str">
        <f t="shared" si="23"/>
        <v>0-4.9%</v>
      </c>
      <c r="Z246" s="85" t="s">
        <v>794</v>
      </c>
      <c r="AA246" s="59"/>
      <c r="AB246" s="59"/>
      <c r="AC246" s="59"/>
      <c r="AD246" s="59"/>
    </row>
    <row r="247" spans="1:30" x14ac:dyDescent="0.25">
      <c r="A247" s="71" t="s">
        <v>194</v>
      </c>
      <c r="B247" s="72"/>
      <c r="C247" s="73" t="s">
        <v>445</v>
      </c>
      <c r="D247" s="57">
        <f t="shared" si="20"/>
        <v>10</v>
      </c>
      <c r="E247" s="73"/>
      <c r="F247" s="73" t="s">
        <v>236</v>
      </c>
      <c r="G247" s="73">
        <v>3.5</v>
      </c>
      <c r="H247" s="73">
        <v>3.25</v>
      </c>
      <c r="I247" s="73">
        <v>3.65</v>
      </c>
      <c r="J247" s="73">
        <v>2.5499999999999998</v>
      </c>
      <c r="K247" s="73"/>
      <c r="L247" s="73"/>
      <c r="M247" s="73"/>
      <c r="N247" s="58">
        <f t="shared" si="21"/>
        <v>12.95</v>
      </c>
      <c r="O247" s="58">
        <f t="shared" si="22"/>
        <v>7.9911308766354159</v>
      </c>
      <c r="P247" s="39">
        <v>8</v>
      </c>
      <c r="Q247" s="39">
        <v>10</v>
      </c>
      <c r="R247" s="39">
        <v>9</v>
      </c>
      <c r="S247" s="39">
        <v>9</v>
      </c>
      <c r="T247" s="39">
        <v>9</v>
      </c>
      <c r="U247" s="39">
        <v>9</v>
      </c>
      <c r="V247" s="39">
        <v>9</v>
      </c>
      <c r="W247" s="40" t="str">
        <f t="shared" si="24"/>
        <v>N</v>
      </c>
      <c r="X247" s="84">
        <f t="shared" si="25"/>
        <v>0</v>
      </c>
      <c r="Y247" s="84" t="str">
        <f t="shared" si="23"/>
        <v>0-4.9%</v>
      </c>
      <c r="Z247" s="92" t="s">
        <v>788</v>
      </c>
      <c r="AA247" s="59"/>
      <c r="AB247" s="59"/>
      <c r="AC247" s="59"/>
      <c r="AD247" s="59"/>
    </row>
    <row r="248" spans="1:30" x14ac:dyDescent="0.25">
      <c r="A248" s="54" t="s">
        <v>195</v>
      </c>
      <c r="B248" s="55"/>
      <c r="C248" s="56" t="s">
        <v>446</v>
      </c>
      <c r="D248" s="57">
        <f t="shared" si="20"/>
        <v>10</v>
      </c>
      <c r="E248" s="56"/>
      <c r="F248" s="56" t="s">
        <v>193</v>
      </c>
      <c r="G248" s="56">
        <v>5.55</v>
      </c>
      <c r="H248" s="56">
        <v>4.0999999999999996</v>
      </c>
      <c r="I248" s="56">
        <v>4.0999999999999996</v>
      </c>
      <c r="J248" s="56">
        <v>3.2</v>
      </c>
      <c r="K248" s="56">
        <v>2.9</v>
      </c>
      <c r="L248" s="56">
        <v>3.45</v>
      </c>
      <c r="M248" s="56"/>
      <c r="N248" s="58">
        <f t="shared" si="21"/>
        <v>23.299999999999997</v>
      </c>
      <c r="O248" s="58">
        <f t="shared" si="22"/>
        <v>112.3300443172153</v>
      </c>
      <c r="P248" s="39">
        <v>8</v>
      </c>
      <c r="Q248" s="39">
        <v>10</v>
      </c>
      <c r="R248" s="39">
        <v>9</v>
      </c>
      <c r="S248" s="39">
        <v>9</v>
      </c>
      <c r="T248" s="39">
        <v>9</v>
      </c>
      <c r="U248" s="39">
        <v>9</v>
      </c>
      <c r="V248" s="39">
        <v>9</v>
      </c>
      <c r="W248" s="40" t="str">
        <f t="shared" si="24"/>
        <v>N</v>
      </c>
      <c r="X248" s="84">
        <f t="shared" si="25"/>
        <v>0</v>
      </c>
      <c r="Y248" s="84" t="str">
        <f t="shared" si="23"/>
        <v>0-4.9%</v>
      </c>
      <c r="Z248" s="85" t="s">
        <v>790</v>
      </c>
      <c r="AA248" s="59"/>
      <c r="AB248" s="59"/>
      <c r="AC248" s="59"/>
      <c r="AD248" s="59"/>
    </row>
    <row r="249" spans="1:30" x14ac:dyDescent="0.25">
      <c r="A249" s="54" t="s">
        <v>203</v>
      </c>
      <c r="B249" s="55"/>
      <c r="C249" s="56" t="s">
        <v>451</v>
      </c>
      <c r="D249" s="57">
        <f t="shared" si="20"/>
        <v>10</v>
      </c>
      <c r="E249" s="56"/>
      <c r="F249" s="56" t="s">
        <v>193</v>
      </c>
      <c r="G249" s="56">
        <v>5.15</v>
      </c>
      <c r="H249" s="56">
        <v>3.3</v>
      </c>
      <c r="I249" s="56">
        <v>3.25</v>
      </c>
      <c r="J249" s="56">
        <v>2.2000000000000002</v>
      </c>
      <c r="K249" s="56">
        <v>2.35</v>
      </c>
      <c r="L249" s="56">
        <v>2.5</v>
      </c>
      <c r="M249" s="56"/>
      <c r="N249" s="58">
        <f t="shared" si="21"/>
        <v>18.75</v>
      </c>
      <c r="O249" s="58">
        <f t="shared" si="22"/>
        <v>42.257131205178176</v>
      </c>
      <c r="P249" s="39">
        <v>8</v>
      </c>
      <c r="Q249" s="39">
        <v>10</v>
      </c>
      <c r="R249" s="39">
        <v>9</v>
      </c>
      <c r="S249" s="39">
        <v>9</v>
      </c>
      <c r="T249" s="39">
        <v>9</v>
      </c>
      <c r="U249" s="39">
        <v>9</v>
      </c>
      <c r="V249" s="39">
        <v>9</v>
      </c>
      <c r="W249" s="40" t="str">
        <f t="shared" si="24"/>
        <v>N</v>
      </c>
      <c r="X249" s="84">
        <f t="shared" si="25"/>
        <v>0</v>
      </c>
      <c r="Y249" s="84" t="str">
        <f t="shared" si="23"/>
        <v>0-4.9%</v>
      </c>
      <c r="Z249" s="85" t="s">
        <v>224</v>
      </c>
      <c r="AA249" s="59"/>
      <c r="AB249" s="59"/>
      <c r="AC249" s="59"/>
      <c r="AD249" s="59"/>
    </row>
    <row r="250" spans="1:30" x14ac:dyDescent="0.25">
      <c r="A250" s="54" t="s">
        <v>210</v>
      </c>
      <c r="B250" s="55"/>
      <c r="C250" s="56" t="s">
        <v>456</v>
      </c>
      <c r="D250" s="57">
        <f t="shared" si="20"/>
        <v>10</v>
      </c>
      <c r="E250" s="56"/>
      <c r="F250" s="56" t="s">
        <v>193</v>
      </c>
      <c r="G250" s="56">
        <v>4.8</v>
      </c>
      <c r="H250" s="56">
        <v>3.9</v>
      </c>
      <c r="I250" s="56">
        <v>3.65</v>
      </c>
      <c r="J250" s="56">
        <v>2.2000000000000002</v>
      </c>
      <c r="K250" s="56">
        <v>2.35</v>
      </c>
      <c r="L250" s="56">
        <v>3.3</v>
      </c>
      <c r="M250" s="56"/>
      <c r="N250" s="58">
        <f t="shared" si="21"/>
        <v>20.200000000000003</v>
      </c>
      <c r="O250" s="58">
        <f t="shared" si="22"/>
        <v>59.084756236423345</v>
      </c>
      <c r="P250" s="39">
        <v>8</v>
      </c>
      <c r="Q250" s="39">
        <v>10</v>
      </c>
      <c r="R250" s="39">
        <v>9</v>
      </c>
      <c r="S250" s="39">
        <v>9</v>
      </c>
      <c r="T250" s="39">
        <v>9</v>
      </c>
      <c r="U250" s="39">
        <v>9</v>
      </c>
      <c r="V250" s="39">
        <v>9</v>
      </c>
      <c r="W250" s="40" t="str">
        <f t="shared" si="24"/>
        <v>N</v>
      </c>
      <c r="X250" s="84">
        <f t="shared" si="25"/>
        <v>0</v>
      </c>
      <c r="Y250" s="84" t="str">
        <f t="shared" si="23"/>
        <v>0-4.9%</v>
      </c>
      <c r="Z250" s="85" t="s">
        <v>786</v>
      </c>
      <c r="AA250" s="59"/>
      <c r="AB250" s="59"/>
      <c r="AC250" s="59"/>
      <c r="AD250" s="59"/>
    </row>
    <row r="251" spans="1:30" x14ac:dyDescent="0.25">
      <c r="A251" s="54" t="s">
        <v>214</v>
      </c>
      <c r="B251" s="55"/>
      <c r="C251" s="56" t="s">
        <v>460</v>
      </c>
      <c r="D251" s="57">
        <f t="shared" si="20"/>
        <v>10</v>
      </c>
      <c r="E251" s="56"/>
      <c r="F251" s="56" t="s">
        <v>190</v>
      </c>
      <c r="G251" s="56">
        <v>3.4</v>
      </c>
      <c r="H251" s="56">
        <v>3.55</v>
      </c>
      <c r="I251" s="56">
        <v>3.6</v>
      </c>
      <c r="J251" s="56">
        <v>2.5</v>
      </c>
      <c r="K251" s="56">
        <v>2.5499999999999998</v>
      </c>
      <c r="L251" s="56">
        <v>2.65</v>
      </c>
      <c r="M251" s="56"/>
      <c r="N251" s="58">
        <f t="shared" si="21"/>
        <v>18.249999999999996</v>
      </c>
      <c r="O251" s="58">
        <f t="shared" si="22"/>
        <v>37.417709176196773</v>
      </c>
      <c r="P251" s="39">
        <v>8</v>
      </c>
      <c r="Q251" s="39">
        <v>10</v>
      </c>
      <c r="R251" s="39">
        <v>9</v>
      </c>
      <c r="S251" s="39">
        <v>9</v>
      </c>
      <c r="T251" s="39">
        <v>9</v>
      </c>
      <c r="U251" s="39">
        <v>9</v>
      </c>
      <c r="V251" s="39">
        <v>9</v>
      </c>
      <c r="W251" s="40" t="str">
        <f t="shared" si="24"/>
        <v>N</v>
      </c>
      <c r="X251" s="84">
        <f t="shared" si="25"/>
        <v>0</v>
      </c>
      <c r="Y251" s="84" t="str">
        <f t="shared" si="23"/>
        <v>0-4.9%</v>
      </c>
      <c r="Z251" s="85" t="s">
        <v>224</v>
      </c>
      <c r="AA251" s="59"/>
      <c r="AB251" s="59"/>
      <c r="AC251" s="59"/>
      <c r="AD251" s="59"/>
    </row>
    <row r="252" spans="1:30" x14ac:dyDescent="0.25">
      <c r="A252" s="54" t="s">
        <v>216</v>
      </c>
      <c r="B252" s="55"/>
      <c r="C252" s="56" t="s">
        <v>462</v>
      </c>
      <c r="D252" s="57">
        <f t="shared" si="20"/>
        <v>10</v>
      </c>
      <c r="E252" s="56"/>
      <c r="F252" s="56" t="s">
        <v>193</v>
      </c>
      <c r="G252" s="56">
        <v>7.35</v>
      </c>
      <c r="H252" s="56">
        <v>8.9</v>
      </c>
      <c r="I252" s="56">
        <v>8.5500000000000007</v>
      </c>
      <c r="J252" s="56">
        <v>7.75</v>
      </c>
      <c r="K252" s="56">
        <v>6.2</v>
      </c>
      <c r="L252" s="56">
        <v>5.65</v>
      </c>
      <c r="M252" s="56"/>
      <c r="N252" s="58">
        <f t="shared" si="21"/>
        <v>44.4</v>
      </c>
      <c r="O252" s="58">
        <f t="shared" si="22"/>
        <v>2044.6437585002486</v>
      </c>
      <c r="P252" s="39">
        <v>8</v>
      </c>
      <c r="Q252" s="39">
        <v>10</v>
      </c>
      <c r="R252" s="39">
        <v>9</v>
      </c>
      <c r="S252" s="39">
        <v>9</v>
      </c>
      <c r="T252" s="39">
        <v>9</v>
      </c>
      <c r="U252" s="39">
        <v>9</v>
      </c>
      <c r="V252" s="39">
        <v>9</v>
      </c>
      <c r="W252" s="40" t="str">
        <f t="shared" si="24"/>
        <v>N</v>
      </c>
      <c r="X252" s="84">
        <f t="shared" si="25"/>
        <v>0</v>
      </c>
      <c r="Y252" s="84" t="str">
        <f t="shared" si="23"/>
        <v>0-4.9%</v>
      </c>
      <c r="Z252" s="85" t="s">
        <v>812</v>
      </c>
      <c r="AA252" s="59"/>
      <c r="AB252" s="59"/>
      <c r="AC252" s="59"/>
      <c r="AD252" s="59"/>
    </row>
    <row r="253" spans="1:30" x14ac:dyDescent="0.25">
      <c r="A253" s="54" t="s">
        <v>217</v>
      </c>
      <c r="B253" s="55"/>
      <c r="C253" s="56" t="s">
        <v>370</v>
      </c>
      <c r="D253" s="57">
        <f t="shared" si="20"/>
        <v>10</v>
      </c>
      <c r="E253" s="56"/>
      <c r="F253" s="56" t="s">
        <v>378</v>
      </c>
      <c r="G253" s="56">
        <v>7.4</v>
      </c>
      <c r="H253" s="56">
        <v>6.05</v>
      </c>
      <c r="I253" s="56">
        <v>6.2</v>
      </c>
      <c r="J253" s="56">
        <v>7.35</v>
      </c>
      <c r="K253" s="56">
        <v>8.15</v>
      </c>
      <c r="L253" s="56"/>
      <c r="M253" s="56"/>
      <c r="N253" s="58">
        <f t="shared" si="21"/>
        <v>35.15</v>
      </c>
      <c r="O253" s="58">
        <f t="shared" si="22"/>
        <v>714.59219387632845</v>
      </c>
      <c r="P253" s="39">
        <v>8</v>
      </c>
      <c r="Q253" s="39">
        <v>10</v>
      </c>
      <c r="R253" s="39">
        <v>9</v>
      </c>
      <c r="S253" s="39">
        <v>9</v>
      </c>
      <c r="T253" s="39">
        <v>9</v>
      </c>
      <c r="U253" s="39">
        <v>9</v>
      </c>
      <c r="V253" s="39">
        <v>9</v>
      </c>
      <c r="W253" s="40" t="str">
        <f t="shared" si="24"/>
        <v>N</v>
      </c>
      <c r="X253" s="84">
        <f t="shared" si="25"/>
        <v>0</v>
      </c>
      <c r="Y253" s="84" t="str">
        <f t="shared" si="23"/>
        <v>0-4.9%</v>
      </c>
      <c r="Z253" s="85" t="s">
        <v>794</v>
      </c>
      <c r="AA253" s="59"/>
      <c r="AB253" s="59"/>
      <c r="AC253" s="59"/>
      <c r="AD253" s="59"/>
    </row>
    <row r="254" spans="1:30" x14ac:dyDescent="0.25">
      <c r="A254" s="54" t="s">
        <v>221</v>
      </c>
      <c r="B254" s="55"/>
      <c r="C254" s="56" t="s">
        <v>466</v>
      </c>
      <c r="D254" s="57">
        <f t="shared" si="20"/>
        <v>10</v>
      </c>
      <c r="E254" s="56"/>
      <c r="F254" s="56" t="s">
        <v>378</v>
      </c>
      <c r="G254" s="56">
        <v>6.7</v>
      </c>
      <c r="H254" s="56">
        <v>10.45</v>
      </c>
      <c r="I254" s="56">
        <v>4.2</v>
      </c>
      <c r="J254" s="56">
        <v>6.75</v>
      </c>
      <c r="K254" s="56">
        <v>6.5</v>
      </c>
      <c r="L254" s="56"/>
      <c r="M254" s="56"/>
      <c r="N254" s="58">
        <f t="shared" si="21"/>
        <v>34.599999999999994</v>
      </c>
      <c r="O254" s="58">
        <f t="shared" si="22"/>
        <v>665.63588971187619</v>
      </c>
      <c r="P254" s="39">
        <v>8</v>
      </c>
      <c r="Q254" s="39">
        <v>10</v>
      </c>
      <c r="R254" s="39">
        <v>9</v>
      </c>
      <c r="S254" s="39">
        <v>9</v>
      </c>
      <c r="T254" s="39">
        <v>9</v>
      </c>
      <c r="U254" s="39">
        <v>9</v>
      </c>
      <c r="V254" s="39">
        <v>9</v>
      </c>
      <c r="W254" s="40" t="str">
        <f t="shared" si="24"/>
        <v>Y</v>
      </c>
      <c r="X254" s="84">
        <f t="shared" si="25"/>
        <v>4.4999999999999929E-2</v>
      </c>
      <c r="Y254" s="84" t="str">
        <f t="shared" si="23"/>
        <v>0-4.9%</v>
      </c>
      <c r="Z254" s="85" t="s">
        <v>786</v>
      </c>
      <c r="AA254" s="59"/>
      <c r="AB254" s="59"/>
      <c r="AC254" s="59"/>
      <c r="AD254" s="59"/>
    </row>
    <row r="255" spans="1:30" s="33" customFormat="1" x14ac:dyDescent="0.25">
      <c r="A255" s="54" t="s">
        <v>222</v>
      </c>
      <c r="B255" s="55"/>
      <c r="C255" s="56" t="s">
        <v>467</v>
      </c>
      <c r="D255" s="57">
        <f t="shared" si="20"/>
        <v>10</v>
      </c>
      <c r="E255" s="56"/>
      <c r="F255" s="56" t="s">
        <v>193</v>
      </c>
      <c r="G255" s="56">
        <v>5.25</v>
      </c>
      <c r="H255" s="56">
        <v>4.0999999999999996</v>
      </c>
      <c r="I255" s="56">
        <v>4.0999999999999996</v>
      </c>
      <c r="J255" s="56">
        <v>3.5</v>
      </c>
      <c r="K255" s="56">
        <v>3.3</v>
      </c>
      <c r="L255" s="56">
        <v>3.05</v>
      </c>
      <c r="M255" s="56"/>
      <c r="N255" s="58">
        <f t="shared" si="21"/>
        <v>23.3</v>
      </c>
      <c r="O255" s="58">
        <f t="shared" si="22"/>
        <v>112.3300443172153</v>
      </c>
      <c r="P255" s="39">
        <v>8</v>
      </c>
      <c r="Q255" s="39">
        <v>10</v>
      </c>
      <c r="R255" s="39">
        <v>9</v>
      </c>
      <c r="S255" s="39">
        <v>9</v>
      </c>
      <c r="T255" s="39">
        <v>9</v>
      </c>
      <c r="U255" s="39">
        <v>9</v>
      </c>
      <c r="V255" s="39">
        <v>9</v>
      </c>
      <c r="W255" s="40" t="str">
        <f t="shared" si="24"/>
        <v>N</v>
      </c>
      <c r="X255" s="84">
        <f t="shared" si="25"/>
        <v>0</v>
      </c>
      <c r="Y255" s="84" t="str">
        <f t="shared" si="23"/>
        <v>0-4.9%</v>
      </c>
      <c r="Z255" s="85" t="s">
        <v>790</v>
      </c>
      <c r="AA255" s="64"/>
      <c r="AB255" s="64"/>
      <c r="AC255" s="64"/>
      <c r="AD255" s="64"/>
    </row>
    <row r="256" spans="1:30" x14ac:dyDescent="0.25">
      <c r="A256" s="54" t="s">
        <v>225</v>
      </c>
      <c r="B256" s="55"/>
      <c r="C256" s="56" t="s">
        <v>469</v>
      </c>
      <c r="D256" s="57">
        <f t="shared" si="20"/>
        <v>10</v>
      </c>
      <c r="E256" s="56"/>
      <c r="F256" s="56" t="s">
        <v>227</v>
      </c>
      <c r="G256" s="56">
        <v>4.3499999999999996</v>
      </c>
      <c r="H256" s="56">
        <v>6.55</v>
      </c>
      <c r="I256" s="56">
        <v>3</v>
      </c>
      <c r="J256" s="56">
        <v>2.5</v>
      </c>
      <c r="K256" s="56">
        <v>2.6</v>
      </c>
      <c r="L256" s="56"/>
      <c r="M256" s="56"/>
      <c r="N256" s="58">
        <f t="shared" si="21"/>
        <v>19</v>
      </c>
      <c r="O256" s="58">
        <f t="shared" si="22"/>
        <v>44.852379685371339</v>
      </c>
      <c r="P256" s="39">
        <v>8</v>
      </c>
      <c r="Q256" s="39">
        <v>10</v>
      </c>
      <c r="R256" s="39">
        <v>9</v>
      </c>
      <c r="S256" s="39">
        <v>9</v>
      </c>
      <c r="T256" s="39">
        <v>9</v>
      </c>
      <c r="U256" s="39">
        <v>9</v>
      </c>
      <c r="V256" s="39">
        <v>9</v>
      </c>
      <c r="W256" s="40" t="str">
        <f t="shared" si="24"/>
        <v>N</v>
      </c>
      <c r="X256" s="84">
        <f t="shared" si="25"/>
        <v>0</v>
      </c>
      <c r="Y256" s="84" t="str">
        <f t="shared" si="23"/>
        <v>0-4.9%</v>
      </c>
      <c r="Z256" s="85" t="s">
        <v>224</v>
      </c>
      <c r="AA256" s="59"/>
      <c r="AB256" s="59"/>
      <c r="AC256" s="59"/>
      <c r="AD256" s="59"/>
    </row>
    <row r="257" spans="1:30" x14ac:dyDescent="0.25">
      <c r="A257" s="54" t="s">
        <v>226</v>
      </c>
      <c r="B257" s="55"/>
      <c r="C257" s="56" t="s">
        <v>470</v>
      </c>
      <c r="D257" s="57">
        <f t="shared" si="20"/>
        <v>10</v>
      </c>
      <c r="E257" s="56"/>
      <c r="F257" s="56" t="s">
        <v>236</v>
      </c>
      <c r="G257" s="56">
        <v>3.8</v>
      </c>
      <c r="H257" s="56">
        <v>9.9499999999999993</v>
      </c>
      <c r="I257" s="56">
        <v>8.65</v>
      </c>
      <c r="J257" s="56">
        <v>8.6999999999999993</v>
      </c>
      <c r="K257" s="56"/>
      <c r="L257" s="56"/>
      <c r="M257" s="56"/>
      <c r="N257" s="58">
        <f t="shared" si="21"/>
        <v>31.099999999999998</v>
      </c>
      <c r="O257" s="58">
        <f t="shared" si="22"/>
        <v>411.92299475306709</v>
      </c>
      <c r="P257" s="39">
        <v>8</v>
      </c>
      <c r="Q257" s="39">
        <v>10</v>
      </c>
      <c r="R257" s="39">
        <v>9</v>
      </c>
      <c r="S257" s="39">
        <v>9</v>
      </c>
      <c r="T257" s="39">
        <v>9</v>
      </c>
      <c r="U257" s="39">
        <v>9</v>
      </c>
      <c r="V257" s="39">
        <v>9</v>
      </c>
      <c r="W257" s="40" t="str">
        <f t="shared" si="24"/>
        <v>N</v>
      </c>
      <c r="X257" s="84">
        <f t="shared" si="25"/>
        <v>0</v>
      </c>
      <c r="Y257" s="84" t="str">
        <f t="shared" si="23"/>
        <v>0-4.9%</v>
      </c>
      <c r="Z257" s="85" t="s">
        <v>812</v>
      </c>
      <c r="AA257" s="59"/>
      <c r="AB257" s="59"/>
      <c r="AC257" s="59"/>
      <c r="AD257" s="59"/>
    </row>
    <row r="258" spans="1:30" x14ac:dyDescent="0.25">
      <c r="A258" s="54" t="s">
        <v>230</v>
      </c>
      <c r="B258" s="55"/>
      <c r="C258" s="56" t="s">
        <v>473</v>
      </c>
      <c r="D258" s="57">
        <f t="shared" si="20"/>
        <v>10</v>
      </c>
      <c r="E258" s="56"/>
      <c r="F258" s="56" t="s">
        <v>193</v>
      </c>
      <c r="G258" s="56">
        <v>5.7</v>
      </c>
      <c r="H258" s="56">
        <v>4.2</v>
      </c>
      <c r="I258" s="56">
        <v>4.0999999999999996</v>
      </c>
      <c r="J258" s="56">
        <v>3.4</v>
      </c>
      <c r="K258" s="56">
        <v>3.45</v>
      </c>
      <c r="L258" s="56">
        <v>3.75</v>
      </c>
      <c r="M258" s="56"/>
      <c r="N258" s="58">
        <f t="shared" si="21"/>
        <v>24.599999999999998</v>
      </c>
      <c r="O258" s="58">
        <f t="shared" si="22"/>
        <v>143.41753956150063</v>
      </c>
      <c r="P258" s="39">
        <v>8</v>
      </c>
      <c r="Q258" s="39">
        <v>10</v>
      </c>
      <c r="R258" s="39">
        <v>9</v>
      </c>
      <c r="S258" s="39">
        <v>9</v>
      </c>
      <c r="T258" s="39">
        <v>9</v>
      </c>
      <c r="U258" s="39">
        <v>9</v>
      </c>
      <c r="V258" s="39">
        <v>9</v>
      </c>
      <c r="W258" s="40" t="str">
        <f t="shared" si="24"/>
        <v>N</v>
      </c>
      <c r="X258" s="84">
        <f t="shared" si="25"/>
        <v>0</v>
      </c>
      <c r="Y258" s="84" t="str">
        <f t="shared" si="23"/>
        <v>0-4.9%</v>
      </c>
      <c r="Z258" s="85" t="s">
        <v>790</v>
      </c>
      <c r="AA258" s="59"/>
      <c r="AB258" s="59"/>
      <c r="AC258" s="59"/>
      <c r="AD258" s="59"/>
    </row>
    <row r="259" spans="1:30" x14ac:dyDescent="0.25">
      <c r="A259" s="54" t="s">
        <v>232</v>
      </c>
      <c r="B259" s="55"/>
      <c r="C259" s="56" t="s">
        <v>475</v>
      </c>
      <c r="D259" s="57">
        <f t="shared" si="20"/>
        <v>10</v>
      </c>
      <c r="E259" s="56"/>
      <c r="F259" s="56" t="s">
        <v>190</v>
      </c>
      <c r="G259" s="56">
        <v>4.95</v>
      </c>
      <c r="H259" s="56">
        <v>1.6</v>
      </c>
      <c r="I259" s="56">
        <v>2.2999999999999998</v>
      </c>
      <c r="J259" s="56">
        <v>3.2</v>
      </c>
      <c r="K259" s="56">
        <v>2.65</v>
      </c>
      <c r="L259" s="56">
        <v>3.05</v>
      </c>
      <c r="M259" s="56"/>
      <c r="N259" s="58">
        <f t="shared" si="21"/>
        <v>17.75</v>
      </c>
      <c r="O259" s="58">
        <f t="shared" si="22"/>
        <v>33.020747012062813</v>
      </c>
      <c r="P259" s="39">
        <v>8</v>
      </c>
      <c r="Q259" s="39">
        <v>10</v>
      </c>
      <c r="R259" s="39">
        <v>9</v>
      </c>
      <c r="S259" s="39">
        <v>9</v>
      </c>
      <c r="T259" s="39">
        <v>9</v>
      </c>
      <c r="U259" s="39">
        <v>9</v>
      </c>
      <c r="V259" s="39">
        <v>9</v>
      </c>
      <c r="W259" s="40" t="str">
        <f t="shared" si="24"/>
        <v>N</v>
      </c>
      <c r="X259" s="84">
        <f t="shared" si="25"/>
        <v>0</v>
      </c>
      <c r="Y259" s="84" t="str">
        <f t="shared" si="23"/>
        <v>0-4.9%</v>
      </c>
      <c r="Z259" s="85" t="s">
        <v>790</v>
      </c>
      <c r="AA259" s="59"/>
      <c r="AB259" s="59"/>
      <c r="AC259" s="59"/>
      <c r="AD259" s="59"/>
    </row>
    <row r="260" spans="1:30" x14ac:dyDescent="0.25">
      <c r="A260" s="54" t="s">
        <v>235</v>
      </c>
      <c r="B260" s="55"/>
      <c r="C260" s="56" t="s">
        <v>477</v>
      </c>
      <c r="D260" s="57">
        <f t="shared" si="20"/>
        <v>10</v>
      </c>
      <c r="E260" s="56"/>
      <c r="F260" s="56" t="s">
        <v>193</v>
      </c>
      <c r="G260" s="56">
        <v>4.8499999999999996</v>
      </c>
      <c r="H260" s="56">
        <v>4.3499999999999996</v>
      </c>
      <c r="I260" s="56">
        <v>2.15</v>
      </c>
      <c r="J260" s="56">
        <v>2.5499999999999998</v>
      </c>
      <c r="K260" s="56">
        <v>2.75</v>
      </c>
      <c r="L260" s="56">
        <v>3.05</v>
      </c>
      <c r="M260" s="56"/>
      <c r="N260" s="58">
        <f t="shared" si="21"/>
        <v>19.7</v>
      </c>
      <c r="O260" s="58">
        <f t="shared" si="22"/>
        <v>52.78278524138954</v>
      </c>
      <c r="P260" s="39">
        <v>8</v>
      </c>
      <c r="Q260" s="39">
        <v>10</v>
      </c>
      <c r="R260" s="39">
        <v>9</v>
      </c>
      <c r="S260" s="39">
        <v>9</v>
      </c>
      <c r="T260" s="39">
        <v>9</v>
      </c>
      <c r="U260" s="39">
        <v>9</v>
      </c>
      <c r="V260" s="39">
        <v>9</v>
      </c>
      <c r="W260" s="40" t="str">
        <f t="shared" si="24"/>
        <v>N</v>
      </c>
      <c r="X260" s="84">
        <f t="shared" si="25"/>
        <v>0</v>
      </c>
      <c r="Y260" s="84" t="str">
        <f t="shared" si="23"/>
        <v>0-4.9%</v>
      </c>
      <c r="Z260" s="85" t="s">
        <v>790</v>
      </c>
      <c r="AA260" s="59"/>
      <c r="AB260" s="59"/>
      <c r="AC260" s="59"/>
      <c r="AD260" s="59"/>
    </row>
    <row r="261" spans="1:30" ht="15.75" thickBot="1" x14ac:dyDescent="0.3">
      <c r="A261" s="65" t="s">
        <v>238</v>
      </c>
      <c r="B261" s="66"/>
      <c r="C261" s="67" t="s">
        <v>479</v>
      </c>
      <c r="D261" s="57">
        <f t="shared" si="20"/>
        <v>10</v>
      </c>
      <c r="E261" s="67"/>
      <c r="F261" s="67" t="s">
        <v>193</v>
      </c>
      <c r="G261" s="67">
        <v>4.4000000000000004</v>
      </c>
      <c r="H261" s="67">
        <v>3.35</v>
      </c>
      <c r="I261" s="67">
        <v>3.1</v>
      </c>
      <c r="J261" s="67">
        <v>3.2</v>
      </c>
      <c r="K261" s="67">
        <v>2.95</v>
      </c>
      <c r="L261" s="67">
        <v>3.1</v>
      </c>
      <c r="M261" s="67"/>
      <c r="N261" s="58">
        <f t="shared" si="21"/>
        <v>20.100000000000001</v>
      </c>
      <c r="O261" s="58">
        <f t="shared" si="22"/>
        <v>57.779867820455024</v>
      </c>
      <c r="P261" s="39">
        <v>8</v>
      </c>
      <c r="Q261" s="39">
        <v>10</v>
      </c>
      <c r="R261" s="39">
        <v>9</v>
      </c>
      <c r="S261" s="39">
        <v>9</v>
      </c>
      <c r="T261" s="39">
        <v>9</v>
      </c>
      <c r="U261" s="39">
        <v>9</v>
      </c>
      <c r="V261" s="39">
        <v>9</v>
      </c>
      <c r="W261" s="40" t="str">
        <f t="shared" si="24"/>
        <v>N</v>
      </c>
      <c r="X261" s="84">
        <f t="shared" si="25"/>
        <v>0</v>
      </c>
      <c r="Y261" s="84" t="str">
        <f t="shared" si="23"/>
        <v>0-4.9%</v>
      </c>
      <c r="Z261" s="85" t="s">
        <v>786</v>
      </c>
      <c r="AA261" s="59"/>
      <c r="AB261" s="59"/>
      <c r="AC261" s="59"/>
      <c r="AD261" s="59"/>
    </row>
    <row r="262" spans="1:30" x14ac:dyDescent="0.25">
      <c r="A262" s="54" t="s">
        <v>239</v>
      </c>
      <c r="B262" s="55"/>
      <c r="C262" s="56" t="s">
        <v>480</v>
      </c>
      <c r="D262" s="57">
        <f t="shared" si="20"/>
        <v>10</v>
      </c>
      <c r="E262" s="56"/>
      <c r="F262" s="56" t="s">
        <v>190</v>
      </c>
      <c r="G262" s="56">
        <v>6.15</v>
      </c>
      <c r="H262" s="56">
        <v>4.75</v>
      </c>
      <c r="I262" s="56">
        <v>8.3000000000000007</v>
      </c>
      <c r="J262" s="56">
        <v>7.7</v>
      </c>
      <c r="K262" s="56">
        <v>7.7</v>
      </c>
      <c r="L262" s="56">
        <v>7.15</v>
      </c>
      <c r="M262" s="56"/>
      <c r="N262" s="58">
        <f t="shared" si="21"/>
        <v>41.75</v>
      </c>
      <c r="O262" s="58">
        <f t="shared" si="22"/>
        <v>1550.0597699746922</v>
      </c>
      <c r="P262" s="39">
        <v>8</v>
      </c>
      <c r="Q262" s="39">
        <v>10</v>
      </c>
      <c r="R262" s="39">
        <v>9</v>
      </c>
      <c r="S262" s="39">
        <v>9</v>
      </c>
      <c r="T262" s="39">
        <v>9</v>
      </c>
      <c r="U262" s="39">
        <v>9</v>
      </c>
      <c r="V262" s="39">
        <v>9</v>
      </c>
      <c r="W262" s="40" t="str">
        <f t="shared" si="24"/>
        <v>N</v>
      </c>
      <c r="X262" s="84">
        <f t="shared" si="25"/>
        <v>0</v>
      </c>
      <c r="Y262" s="84" t="str">
        <f t="shared" si="23"/>
        <v>0-4.9%</v>
      </c>
      <c r="Z262" s="85" t="s">
        <v>794</v>
      </c>
      <c r="AA262" s="59"/>
      <c r="AB262" s="59"/>
      <c r="AC262" s="59"/>
      <c r="AD262" s="59"/>
    </row>
    <row r="263" spans="1:30" x14ac:dyDescent="0.25">
      <c r="A263" s="54" t="s">
        <v>240</v>
      </c>
      <c r="B263" s="55"/>
      <c r="C263" s="56" t="s">
        <v>481</v>
      </c>
      <c r="D263" s="57">
        <f t="shared" si="20"/>
        <v>10</v>
      </c>
      <c r="E263" s="56"/>
      <c r="F263" s="56" t="s">
        <v>482</v>
      </c>
      <c r="G263" s="56">
        <v>4.95</v>
      </c>
      <c r="H263" s="56">
        <v>3.25</v>
      </c>
      <c r="I263" s="56">
        <v>3.05</v>
      </c>
      <c r="J263" s="56">
        <v>2.95</v>
      </c>
      <c r="K263" s="56">
        <v>3.05</v>
      </c>
      <c r="L263" s="56">
        <v>3.15</v>
      </c>
      <c r="M263" s="56"/>
      <c r="N263" s="58">
        <f t="shared" si="21"/>
        <v>20.399999999999999</v>
      </c>
      <c r="O263" s="58">
        <f t="shared" si="22"/>
        <v>61.763235550163699</v>
      </c>
      <c r="P263" s="39">
        <v>8</v>
      </c>
      <c r="Q263" s="39">
        <v>10</v>
      </c>
      <c r="R263" s="39">
        <v>9</v>
      </c>
      <c r="S263" s="39">
        <v>9</v>
      </c>
      <c r="T263" s="39">
        <v>9</v>
      </c>
      <c r="U263" s="39">
        <v>9</v>
      </c>
      <c r="V263" s="39">
        <v>9</v>
      </c>
      <c r="W263" s="40" t="str">
        <f t="shared" si="24"/>
        <v>N</v>
      </c>
      <c r="X263" s="84">
        <f t="shared" si="25"/>
        <v>0</v>
      </c>
      <c r="Y263" s="84" t="str">
        <f t="shared" si="23"/>
        <v>0-4.9%</v>
      </c>
      <c r="Z263" s="85" t="s">
        <v>786</v>
      </c>
      <c r="AA263" s="59"/>
      <c r="AB263" s="59"/>
      <c r="AC263" s="59"/>
      <c r="AD263" s="59"/>
    </row>
    <row r="264" spans="1:30" x14ac:dyDescent="0.25">
      <c r="A264" s="54" t="s">
        <v>241</v>
      </c>
      <c r="B264" s="55"/>
      <c r="C264" s="56" t="s">
        <v>483</v>
      </c>
      <c r="D264" s="57">
        <f t="shared" ref="D264:D327" si="26">IF(COUNT(G264:M264)&gt;3,10,IF(COUNT(G264:M264)&gt;2,9,7))</f>
        <v>10</v>
      </c>
      <c r="E264" s="56"/>
      <c r="F264" s="56" t="s">
        <v>190</v>
      </c>
      <c r="G264" s="56">
        <v>4.9000000000000004</v>
      </c>
      <c r="H264" s="56">
        <v>3.65</v>
      </c>
      <c r="I264" s="56">
        <v>2.5</v>
      </c>
      <c r="J264" s="56">
        <v>2.65</v>
      </c>
      <c r="K264" s="56">
        <v>2.5</v>
      </c>
      <c r="L264" s="56">
        <v>2.6</v>
      </c>
      <c r="M264" s="56"/>
      <c r="N264" s="58">
        <f t="shared" ref="N264:N327" si="27">SUM(G264:M264)</f>
        <v>18.800000000000004</v>
      </c>
      <c r="O264" s="58">
        <f t="shared" ref="O264:O327" si="28">(N264/8.16)^4.5</f>
        <v>42.76658844291314</v>
      </c>
      <c r="P264" s="39">
        <v>8</v>
      </c>
      <c r="Q264" s="39">
        <v>10</v>
      </c>
      <c r="R264" s="39">
        <v>9</v>
      </c>
      <c r="S264" s="39">
        <v>9</v>
      </c>
      <c r="T264" s="39">
        <v>9</v>
      </c>
      <c r="U264" s="39">
        <v>9</v>
      </c>
      <c r="V264" s="39">
        <v>9</v>
      </c>
      <c r="W264" s="40" t="str">
        <f t="shared" si="24"/>
        <v>N</v>
      </c>
      <c r="X264" s="84">
        <f t="shared" si="25"/>
        <v>0</v>
      </c>
      <c r="Y264" s="84" t="str">
        <f t="shared" ref="Y264:Y327" si="29">IF(X264&lt;5%,"0-4.9%",IF(X264&lt;25%,"5-25%",IF(X264&lt;50%,"25-50%","Over 50%")))</f>
        <v>0-4.9%</v>
      </c>
      <c r="Z264" s="85" t="s">
        <v>224</v>
      </c>
      <c r="AA264" s="59"/>
      <c r="AB264" s="59"/>
      <c r="AC264" s="59"/>
      <c r="AD264" s="59"/>
    </row>
    <row r="265" spans="1:30" x14ac:dyDescent="0.25">
      <c r="A265" s="54" t="s">
        <v>243</v>
      </c>
      <c r="B265" s="55"/>
      <c r="C265" s="56" t="s">
        <v>484</v>
      </c>
      <c r="D265" s="57">
        <f t="shared" si="26"/>
        <v>10</v>
      </c>
      <c r="E265" s="56"/>
      <c r="F265" s="56" t="s">
        <v>193</v>
      </c>
      <c r="G265" s="56">
        <v>5.75</v>
      </c>
      <c r="H265" s="56">
        <v>6.1</v>
      </c>
      <c r="I265" s="56">
        <v>10.8</v>
      </c>
      <c r="J265" s="56">
        <v>6.9</v>
      </c>
      <c r="K265" s="56">
        <v>8.1</v>
      </c>
      <c r="L265" s="56">
        <v>8.75</v>
      </c>
      <c r="M265" s="56"/>
      <c r="N265" s="58">
        <f t="shared" si="27"/>
        <v>46.4</v>
      </c>
      <c r="O265" s="58">
        <f t="shared" si="28"/>
        <v>2493.0167595712146</v>
      </c>
      <c r="P265" s="39">
        <v>8</v>
      </c>
      <c r="Q265" s="39">
        <v>10</v>
      </c>
      <c r="R265" s="39">
        <v>9</v>
      </c>
      <c r="S265" s="39">
        <v>9</v>
      </c>
      <c r="T265" s="39">
        <v>9</v>
      </c>
      <c r="U265" s="39">
        <v>9</v>
      </c>
      <c r="V265" s="39">
        <v>9</v>
      </c>
      <c r="W265" s="40" t="str">
        <f t="shared" ref="W265:W328" si="30">IF(G265&gt;P265,"Y",IF(H265&gt;Q265,"Y",IF(I265&gt;R265,"Y",IF(J265&gt;S265,"Y",IF(K265&gt;T265,"Y",IF(L265&gt;U265,"Y",IF(M265&gt;V265,"Y","N")))))))</f>
        <v>Y</v>
      </c>
      <c r="X265" s="84">
        <f t="shared" ref="X265:X328" si="31">IF(W265="Y",MAX((G265-P265),(H265-Q265),(I265-R265),(J265-S265),(K265-T265),(L265-U265),(M265-V265))/10,0)</f>
        <v>0.18000000000000008</v>
      </c>
      <c r="Y265" s="84" t="str">
        <f t="shared" si="29"/>
        <v>5-25%</v>
      </c>
      <c r="Z265" s="85" t="s">
        <v>794</v>
      </c>
      <c r="AA265" s="59"/>
      <c r="AB265" s="59"/>
      <c r="AC265" s="59"/>
      <c r="AD265" s="59"/>
    </row>
    <row r="266" spans="1:30" x14ac:dyDescent="0.25">
      <c r="A266" s="54" t="s">
        <v>244</v>
      </c>
      <c r="B266" s="55"/>
      <c r="C266" s="56" t="s">
        <v>485</v>
      </c>
      <c r="D266" s="57">
        <f t="shared" si="26"/>
        <v>10</v>
      </c>
      <c r="E266" s="56"/>
      <c r="F266" s="56" t="s">
        <v>190</v>
      </c>
      <c r="G266" s="56">
        <v>5.4</v>
      </c>
      <c r="H266" s="56">
        <v>1.95</v>
      </c>
      <c r="I266" s="56">
        <v>4.1500000000000004</v>
      </c>
      <c r="J266" s="56">
        <v>2.5499999999999998</v>
      </c>
      <c r="K266" s="56">
        <v>2.85</v>
      </c>
      <c r="L266" s="56">
        <v>3</v>
      </c>
      <c r="M266" s="56"/>
      <c r="N266" s="58">
        <f t="shared" si="27"/>
        <v>19.900000000000002</v>
      </c>
      <c r="O266" s="58">
        <f t="shared" si="28"/>
        <v>55.237387422669499</v>
      </c>
      <c r="P266" s="39">
        <v>8</v>
      </c>
      <c r="Q266" s="39">
        <v>10</v>
      </c>
      <c r="R266" s="39">
        <v>9</v>
      </c>
      <c r="S266" s="39">
        <v>9</v>
      </c>
      <c r="T266" s="39">
        <v>9</v>
      </c>
      <c r="U266" s="39">
        <v>9</v>
      </c>
      <c r="V266" s="39">
        <v>9</v>
      </c>
      <c r="W266" s="40" t="str">
        <f t="shared" si="30"/>
        <v>N</v>
      </c>
      <c r="X266" s="84">
        <f t="shared" si="31"/>
        <v>0</v>
      </c>
      <c r="Y266" s="84" t="str">
        <f t="shared" si="29"/>
        <v>0-4.9%</v>
      </c>
      <c r="Z266" s="85" t="s">
        <v>794</v>
      </c>
      <c r="AA266" s="59"/>
      <c r="AB266" s="59"/>
      <c r="AC266" s="59"/>
      <c r="AD266" s="59"/>
    </row>
    <row r="267" spans="1:30" x14ac:dyDescent="0.25">
      <c r="A267" s="54" t="s">
        <v>245</v>
      </c>
      <c r="B267" s="55"/>
      <c r="C267" s="56" t="s">
        <v>486</v>
      </c>
      <c r="D267" s="57">
        <f t="shared" si="26"/>
        <v>10</v>
      </c>
      <c r="E267" s="56"/>
      <c r="F267" s="56" t="s">
        <v>190</v>
      </c>
      <c r="G267" s="56">
        <v>5.15</v>
      </c>
      <c r="H267" s="56">
        <v>2.35</v>
      </c>
      <c r="I267" s="56">
        <v>4.2</v>
      </c>
      <c r="J267" s="56">
        <v>2.65</v>
      </c>
      <c r="K267" s="56">
        <v>2.85</v>
      </c>
      <c r="L267" s="56">
        <v>3.1</v>
      </c>
      <c r="M267" s="56"/>
      <c r="N267" s="58">
        <f t="shared" si="27"/>
        <v>20.3</v>
      </c>
      <c r="O267" s="58">
        <f t="shared" si="28"/>
        <v>60.412451044845</v>
      </c>
      <c r="P267" s="39">
        <v>8</v>
      </c>
      <c r="Q267" s="39">
        <v>10</v>
      </c>
      <c r="R267" s="39">
        <v>9</v>
      </c>
      <c r="S267" s="39">
        <v>9</v>
      </c>
      <c r="T267" s="39">
        <v>9</v>
      </c>
      <c r="U267" s="39">
        <v>9</v>
      </c>
      <c r="V267" s="39">
        <v>9</v>
      </c>
      <c r="W267" s="40" t="str">
        <f t="shared" si="30"/>
        <v>N</v>
      </c>
      <c r="X267" s="84">
        <f t="shared" si="31"/>
        <v>0</v>
      </c>
      <c r="Y267" s="84" t="str">
        <f t="shared" si="29"/>
        <v>0-4.9%</v>
      </c>
      <c r="Z267" s="85" t="s">
        <v>794</v>
      </c>
      <c r="AA267" s="59"/>
      <c r="AB267" s="59"/>
      <c r="AC267" s="59"/>
      <c r="AD267" s="59"/>
    </row>
    <row r="268" spans="1:30" x14ac:dyDescent="0.25">
      <c r="A268" s="54" t="s">
        <v>246</v>
      </c>
      <c r="B268" s="55"/>
      <c r="C268" s="56" t="s">
        <v>431</v>
      </c>
      <c r="D268" s="57">
        <f t="shared" si="26"/>
        <v>10</v>
      </c>
      <c r="E268" s="56"/>
      <c r="F268" s="56" t="s">
        <v>193</v>
      </c>
      <c r="G268" s="56">
        <v>4.55</v>
      </c>
      <c r="H268" s="56">
        <v>4.75</v>
      </c>
      <c r="I268" s="56">
        <v>1.05</v>
      </c>
      <c r="J268" s="56">
        <v>2.2000000000000002</v>
      </c>
      <c r="K268" s="56">
        <v>2.8</v>
      </c>
      <c r="L268" s="56">
        <v>3.45</v>
      </c>
      <c r="M268" s="56"/>
      <c r="N268" s="58">
        <f t="shared" si="27"/>
        <v>18.8</v>
      </c>
      <c r="O268" s="58">
        <f t="shared" si="28"/>
        <v>42.766588442913125</v>
      </c>
      <c r="P268" s="39">
        <v>8</v>
      </c>
      <c r="Q268" s="39">
        <v>10</v>
      </c>
      <c r="R268" s="39">
        <v>9</v>
      </c>
      <c r="S268" s="39">
        <v>9</v>
      </c>
      <c r="T268" s="39">
        <v>9</v>
      </c>
      <c r="U268" s="39">
        <v>9</v>
      </c>
      <c r="V268" s="39">
        <v>9</v>
      </c>
      <c r="W268" s="40" t="str">
        <f t="shared" si="30"/>
        <v>N</v>
      </c>
      <c r="X268" s="84">
        <f t="shared" si="31"/>
        <v>0</v>
      </c>
      <c r="Y268" s="84" t="str">
        <f t="shared" si="29"/>
        <v>0-4.9%</v>
      </c>
      <c r="Z268" s="85" t="s">
        <v>224</v>
      </c>
      <c r="AA268" s="59"/>
      <c r="AB268" s="59"/>
      <c r="AC268" s="59"/>
      <c r="AD268" s="59"/>
    </row>
    <row r="269" spans="1:30" x14ac:dyDescent="0.25">
      <c r="A269" s="54" t="s">
        <v>247</v>
      </c>
      <c r="B269" s="55"/>
      <c r="C269" s="56" t="s">
        <v>410</v>
      </c>
      <c r="D269" s="57">
        <f t="shared" si="26"/>
        <v>10</v>
      </c>
      <c r="E269" s="56"/>
      <c r="F269" s="56" t="s">
        <v>227</v>
      </c>
      <c r="G269" s="56">
        <v>4.9000000000000004</v>
      </c>
      <c r="H269" s="56">
        <v>1.4</v>
      </c>
      <c r="I269" s="56">
        <v>2</v>
      </c>
      <c r="J269" s="56">
        <v>2.4500000000000002</v>
      </c>
      <c r="K269" s="56">
        <v>2.4</v>
      </c>
      <c r="L269" s="56"/>
      <c r="M269" s="56"/>
      <c r="N269" s="58">
        <f t="shared" si="27"/>
        <v>13.15</v>
      </c>
      <c r="O269" s="58">
        <f t="shared" si="28"/>
        <v>8.5617032949573275</v>
      </c>
      <c r="P269" s="39">
        <v>8</v>
      </c>
      <c r="Q269" s="39">
        <v>10</v>
      </c>
      <c r="R269" s="39">
        <v>9</v>
      </c>
      <c r="S269" s="39">
        <v>9</v>
      </c>
      <c r="T269" s="39">
        <v>9</v>
      </c>
      <c r="U269" s="39">
        <v>9</v>
      </c>
      <c r="V269" s="39">
        <v>9</v>
      </c>
      <c r="W269" s="40" t="str">
        <f t="shared" si="30"/>
        <v>N</v>
      </c>
      <c r="X269" s="84">
        <f t="shared" si="31"/>
        <v>0</v>
      </c>
      <c r="Y269" s="84" t="str">
        <f t="shared" si="29"/>
        <v>0-4.9%</v>
      </c>
      <c r="Z269" s="85" t="s">
        <v>224</v>
      </c>
      <c r="AA269" s="59"/>
      <c r="AB269" s="59"/>
      <c r="AC269" s="59"/>
      <c r="AD269" s="59"/>
    </row>
    <row r="270" spans="1:30" x14ac:dyDescent="0.25">
      <c r="A270" s="54" t="s">
        <v>250</v>
      </c>
      <c r="B270" s="55"/>
      <c r="C270" s="56" t="s">
        <v>488</v>
      </c>
      <c r="D270" s="57">
        <f t="shared" si="26"/>
        <v>10</v>
      </c>
      <c r="E270" s="56"/>
      <c r="F270" s="56" t="s">
        <v>193</v>
      </c>
      <c r="G270" s="56">
        <v>4.8499999999999996</v>
      </c>
      <c r="H270" s="56">
        <v>3.65</v>
      </c>
      <c r="I270" s="56">
        <v>3.45</v>
      </c>
      <c r="J270" s="56">
        <v>2.7</v>
      </c>
      <c r="K270" s="56">
        <v>2.75</v>
      </c>
      <c r="L270" s="56">
        <v>3.2</v>
      </c>
      <c r="M270" s="56"/>
      <c r="N270" s="58">
        <f t="shared" si="27"/>
        <v>20.599999999999998</v>
      </c>
      <c r="O270" s="58">
        <f t="shared" si="28"/>
        <v>64.535217380104484</v>
      </c>
      <c r="P270" s="39">
        <v>8</v>
      </c>
      <c r="Q270" s="39">
        <v>10</v>
      </c>
      <c r="R270" s="39">
        <v>9</v>
      </c>
      <c r="S270" s="39">
        <v>9</v>
      </c>
      <c r="T270" s="39">
        <v>9</v>
      </c>
      <c r="U270" s="39">
        <v>9</v>
      </c>
      <c r="V270" s="39">
        <v>9</v>
      </c>
      <c r="W270" s="40" t="str">
        <f t="shared" si="30"/>
        <v>N</v>
      </c>
      <c r="X270" s="84">
        <f t="shared" si="31"/>
        <v>0</v>
      </c>
      <c r="Y270" s="84" t="str">
        <f t="shared" si="29"/>
        <v>0-4.9%</v>
      </c>
      <c r="Z270" s="85" t="s">
        <v>794</v>
      </c>
      <c r="AA270" s="59"/>
      <c r="AB270" s="59"/>
      <c r="AC270" s="59"/>
      <c r="AD270" s="59"/>
    </row>
    <row r="271" spans="1:30" x14ac:dyDescent="0.25">
      <c r="A271" s="54" t="s">
        <v>251</v>
      </c>
      <c r="B271" s="55"/>
      <c r="C271" s="56" t="s">
        <v>489</v>
      </c>
      <c r="D271" s="57">
        <f t="shared" si="26"/>
        <v>10</v>
      </c>
      <c r="E271" s="56"/>
      <c r="F271" s="56" t="s">
        <v>193</v>
      </c>
      <c r="G271" s="56">
        <v>5.25</v>
      </c>
      <c r="H271" s="56">
        <v>3.7</v>
      </c>
      <c r="I271" s="56">
        <v>2.35</v>
      </c>
      <c r="J271" s="56">
        <v>3.25</v>
      </c>
      <c r="K271" s="56">
        <v>2.2999999999999998</v>
      </c>
      <c r="L271" s="56">
        <v>1.9</v>
      </c>
      <c r="M271" s="56"/>
      <c r="N271" s="58">
        <f t="shared" si="27"/>
        <v>18.749999999999996</v>
      </c>
      <c r="O271" s="58">
        <f t="shared" si="28"/>
        <v>42.257131205178155</v>
      </c>
      <c r="P271" s="39">
        <v>8</v>
      </c>
      <c r="Q271" s="39">
        <v>10</v>
      </c>
      <c r="R271" s="39">
        <v>9</v>
      </c>
      <c r="S271" s="39">
        <v>9</v>
      </c>
      <c r="T271" s="39">
        <v>9</v>
      </c>
      <c r="U271" s="39">
        <v>9</v>
      </c>
      <c r="V271" s="39">
        <v>9</v>
      </c>
      <c r="W271" s="40" t="str">
        <f t="shared" si="30"/>
        <v>N</v>
      </c>
      <c r="X271" s="84">
        <f t="shared" si="31"/>
        <v>0</v>
      </c>
      <c r="Y271" s="84" t="str">
        <f t="shared" si="29"/>
        <v>0-4.9%</v>
      </c>
      <c r="Z271" s="85" t="s">
        <v>786</v>
      </c>
      <c r="AA271" s="59"/>
      <c r="AB271" s="59"/>
      <c r="AC271" s="59"/>
      <c r="AD271" s="59"/>
    </row>
    <row r="272" spans="1:30" x14ac:dyDescent="0.25">
      <c r="A272" s="54" t="s">
        <v>252</v>
      </c>
      <c r="B272" s="55"/>
      <c r="C272" s="56" t="s">
        <v>490</v>
      </c>
      <c r="D272" s="57">
        <f t="shared" si="26"/>
        <v>10</v>
      </c>
      <c r="E272" s="56"/>
      <c r="F272" s="56" t="s">
        <v>227</v>
      </c>
      <c r="G272" s="56">
        <v>5.6</v>
      </c>
      <c r="H272" s="56">
        <v>5</v>
      </c>
      <c r="I272" s="56">
        <v>2.2999999999999998</v>
      </c>
      <c r="J272" s="56">
        <v>2.5</v>
      </c>
      <c r="K272" s="56">
        <v>2.85</v>
      </c>
      <c r="L272" s="56"/>
      <c r="M272" s="56"/>
      <c r="N272" s="58">
        <f t="shared" si="27"/>
        <v>18.25</v>
      </c>
      <c r="O272" s="58">
        <f t="shared" si="28"/>
        <v>37.417709176196809</v>
      </c>
      <c r="P272" s="39">
        <v>8</v>
      </c>
      <c r="Q272" s="39">
        <v>10</v>
      </c>
      <c r="R272" s="39">
        <v>9</v>
      </c>
      <c r="S272" s="39">
        <v>9</v>
      </c>
      <c r="T272" s="39">
        <v>9</v>
      </c>
      <c r="U272" s="39">
        <v>9</v>
      </c>
      <c r="V272" s="39">
        <v>9</v>
      </c>
      <c r="W272" s="40" t="str">
        <f t="shared" si="30"/>
        <v>N</v>
      </c>
      <c r="X272" s="84">
        <f t="shared" si="31"/>
        <v>0</v>
      </c>
      <c r="Y272" s="84" t="str">
        <f t="shared" si="29"/>
        <v>0-4.9%</v>
      </c>
      <c r="Z272" s="85" t="s">
        <v>794</v>
      </c>
      <c r="AA272" s="59"/>
      <c r="AB272" s="59"/>
      <c r="AC272" s="59"/>
      <c r="AD272" s="59"/>
    </row>
    <row r="273" spans="1:30" x14ac:dyDescent="0.25">
      <c r="A273" s="54" t="s">
        <v>253</v>
      </c>
      <c r="B273" s="55"/>
      <c r="C273" s="56" t="s">
        <v>491</v>
      </c>
      <c r="D273" s="57">
        <f t="shared" si="26"/>
        <v>10</v>
      </c>
      <c r="E273" s="56"/>
      <c r="F273" s="56" t="s">
        <v>193</v>
      </c>
      <c r="G273" s="56">
        <v>5.6</v>
      </c>
      <c r="H273" s="56">
        <v>3.55</v>
      </c>
      <c r="I273" s="56">
        <v>3.25</v>
      </c>
      <c r="J273" s="56">
        <v>2.9</v>
      </c>
      <c r="K273" s="56">
        <v>3</v>
      </c>
      <c r="L273" s="56">
        <v>2.6</v>
      </c>
      <c r="M273" s="56"/>
      <c r="N273" s="58">
        <f t="shared" si="27"/>
        <v>20.9</v>
      </c>
      <c r="O273" s="58">
        <f t="shared" si="28"/>
        <v>68.873566554206249</v>
      </c>
      <c r="P273" s="39">
        <v>8</v>
      </c>
      <c r="Q273" s="39">
        <v>10</v>
      </c>
      <c r="R273" s="39">
        <v>9</v>
      </c>
      <c r="S273" s="39">
        <v>9</v>
      </c>
      <c r="T273" s="39">
        <v>9</v>
      </c>
      <c r="U273" s="39">
        <v>9</v>
      </c>
      <c r="V273" s="39">
        <v>9</v>
      </c>
      <c r="W273" s="40" t="str">
        <f t="shared" si="30"/>
        <v>N</v>
      </c>
      <c r="X273" s="84">
        <f t="shared" si="31"/>
        <v>0</v>
      </c>
      <c r="Y273" s="84" t="str">
        <f t="shared" si="29"/>
        <v>0-4.9%</v>
      </c>
      <c r="Z273" s="85" t="s">
        <v>790</v>
      </c>
      <c r="AA273" s="59"/>
      <c r="AB273" s="59"/>
      <c r="AC273" s="59"/>
      <c r="AD273" s="59"/>
    </row>
    <row r="274" spans="1:30" x14ac:dyDescent="0.25">
      <c r="A274" s="54" t="s">
        <v>260</v>
      </c>
      <c r="B274" s="55"/>
      <c r="C274" s="56" t="s">
        <v>498</v>
      </c>
      <c r="D274" s="57">
        <f t="shared" si="26"/>
        <v>10</v>
      </c>
      <c r="E274" s="56"/>
      <c r="F274" s="56" t="s">
        <v>193</v>
      </c>
      <c r="G274" s="56">
        <v>4.7</v>
      </c>
      <c r="H274" s="56">
        <v>3.85</v>
      </c>
      <c r="I274" s="56">
        <v>3.7</v>
      </c>
      <c r="J274" s="56">
        <v>3.35</v>
      </c>
      <c r="K274" s="56">
        <v>3.55</v>
      </c>
      <c r="L274" s="56">
        <v>3.8</v>
      </c>
      <c r="M274" s="56"/>
      <c r="N274" s="58">
        <f t="shared" si="27"/>
        <v>22.95</v>
      </c>
      <c r="O274" s="58">
        <f t="shared" si="28"/>
        <v>104.93403911859595</v>
      </c>
      <c r="P274" s="39">
        <v>8</v>
      </c>
      <c r="Q274" s="39">
        <v>10</v>
      </c>
      <c r="R274" s="39">
        <v>9</v>
      </c>
      <c r="S274" s="39">
        <v>9</v>
      </c>
      <c r="T274" s="39">
        <v>9</v>
      </c>
      <c r="U274" s="39">
        <v>9</v>
      </c>
      <c r="V274" s="39">
        <v>9</v>
      </c>
      <c r="W274" s="40" t="str">
        <f t="shared" si="30"/>
        <v>N</v>
      </c>
      <c r="X274" s="84">
        <f t="shared" si="31"/>
        <v>0</v>
      </c>
      <c r="Y274" s="84" t="str">
        <f t="shared" si="29"/>
        <v>0-4.9%</v>
      </c>
      <c r="Z274" s="85" t="s">
        <v>790</v>
      </c>
      <c r="AA274" s="59"/>
      <c r="AB274" s="59"/>
      <c r="AC274" s="59"/>
      <c r="AD274" s="59"/>
    </row>
    <row r="275" spans="1:30" x14ac:dyDescent="0.25">
      <c r="A275" s="54" t="s">
        <v>261</v>
      </c>
      <c r="B275" s="55"/>
      <c r="C275" s="56" t="s">
        <v>499</v>
      </c>
      <c r="D275" s="57">
        <f t="shared" si="26"/>
        <v>10</v>
      </c>
      <c r="E275" s="56"/>
      <c r="F275" s="56" t="s">
        <v>190</v>
      </c>
      <c r="G275" s="56">
        <v>5.75</v>
      </c>
      <c r="H275" s="56">
        <v>0.75</v>
      </c>
      <c r="I275" s="56">
        <v>3.75</v>
      </c>
      <c r="J275" s="56">
        <v>2.5499999999999998</v>
      </c>
      <c r="K275" s="56">
        <v>2.4500000000000002</v>
      </c>
      <c r="L275" s="56">
        <v>2.4</v>
      </c>
      <c r="M275" s="56"/>
      <c r="N275" s="58">
        <f t="shared" si="27"/>
        <v>17.649999999999999</v>
      </c>
      <c r="O275" s="58">
        <f t="shared" si="28"/>
        <v>32.19181619507053</v>
      </c>
      <c r="P275" s="39">
        <v>8</v>
      </c>
      <c r="Q275" s="39">
        <v>10</v>
      </c>
      <c r="R275" s="39">
        <v>9</v>
      </c>
      <c r="S275" s="39">
        <v>9</v>
      </c>
      <c r="T275" s="39">
        <v>9</v>
      </c>
      <c r="U275" s="39">
        <v>9</v>
      </c>
      <c r="V275" s="39">
        <v>9</v>
      </c>
      <c r="W275" s="40" t="str">
        <f t="shared" si="30"/>
        <v>N</v>
      </c>
      <c r="X275" s="84">
        <f t="shared" si="31"/>
        <v>0</v>
      </c>
      <c r="Y275" s="84" t="str">
        <f t="shared" si="29"/>
        <v>0-4.9%</v>
      </c>
      <c r="Z275" s="85" t="s">
        <v>786</v>
      </c>
      <c r="AA275" s="59"/>
      <c r="AB275" s="59"/>
      <c r="AC275" s="59"/>
      <c r="AD275" s="59"/>
    </row>
    <row r="276" spans="1:30" x14ac:dyDescent="0.25">
      <c r="A276" s="54" t="s">
        <v>262</v>
      </c>
      <c r="B276" s="55"/>
      <c r="C276" s="56" t="s">
        <v>500</v>
      </c>
      <c r="D276" s="57">
        <f t="shared" si="26"/>
        <v>10</v>
      </c>
      <c r="E276" s="56"/>
      <c r="F276" s="56" t="s">
        <v>190</v>
      </c>
      <c r="G276" s="56">
        <v>6.1</v>
      </c>
      <c r="H276" s="56">
        <v>4.55</v>
      </c>
      <c r="I276" s="56">
        <v>8.65</v>
      </c>
      <c r="J276" s="56">
        <v>4.55</v>
      </c>
      <c r="K276" s="56">
        <v>5.65</v>
      </c>
      <c r="L276" s="56">
        <v>4.9000000000000004</v>
      </c>
      <c r="M276" s="56"/>
      <c r="N276" s="58">
        <f t="shared" si="27"/>
        <v>34.4</v>
      </c>
      <c r="O276" s="58">
        <f t="shared" si="28"/>
        <v>648.49596346226201</v>
      </c>
      <c r="P276" s="39">
        <v>8</v>
      </c>
      <c r="Q276" s="39">
        <v>10</v>
      </c>
      <c r="R276" s="39">
        <v>9</v>
      </c>
      <c r="S276" s="39">
        <v>9</v>
      </c>
      <c r="T276" s="39">
        <v>9</v>
      </c>
      <c r="U276" s="39">
        <v>9</v>
      </c>
      <c r="V276" s="39">
        <v>9</v>
      </c>
      <c r="W276" s="40" t="str">
        <f t="shared" si="30"/>
        <v>N</v>
      </c>
      <c r="X276" s="84">
        <f t="shared" si="31"/>
        <v>0</v>
      </c>
      <c r="Y276" s="84" t="str">
        <f t="shared" si="29"/>
        <v>0-4.9%</v>
      </c>
      <c r="Z276" s="85" t="s">
        <v>794</v>
      </c>
      <c r="AA276" s="59"/>
      <c r="AB276" s="59"/>
      <c r="AC276" s="59"/>
      <c r="AD276" s="59"/>
    </row>
    <row r="277" spans="1:30" x14ac:dyDescent="0.25">
      <c r="A277" s="54" t="s">
        <v>263</v>
      </c>
      <c r="B277" s="55"/>
      <c r="C277" s="56" t="s">
        <v>501</v>
      </c>
      <c r="D277" s="57">
        <f t="shared" si="26"/>
        <v>10</v>
      </c>
      <c r="E277" s="56"/>
      <c r="F277" s="56" t="s">
        <v>193</v>
      </c>
      <c r="G277" s="56">
        <v>4.75</v>
      </c>
      <c r="H277" s="56">
        <v>4</v>
      </c>
      <c r="I277" s="56">
        <v>3.9</v>
      </c>
      <c r="J277" s="56">
        <v>2.75</v>
      </c>
      <c r="K277" s="56">
        <v>3.05</v>
      </c>
      <c r="L277" s="56">
        <v>3.55</v>
      </c>
      <c r="M277" s="56"/>
      <c r="N277" s="58">
        <f t="shared" si="27"/>
        <v>22</v>
      </c>
      <c r="O277" s="58">
        <f t="shared" si="28"/>
        <v>86.755366598490454</v>
      </c>
      <c r="P277" s="39">
        <v>8</v>
      </c>
      <c r="Q277" s="39">
        <v>10</v>
      </c>
      <c r="R277" s="39">
        <v>9</v>
      </c>
      <c r="S277" s="39">
        <v>9</v>
      </c>
      <c r="T277" s="39">
        <v>9</v>
      </c>
      <c r="U277" s="39">
        <v>9</v>
      </c>
      <c r="V277" s="39">
        <v>9</v>
      </c>
      <c r="W277" s="40" t="str">
        <f t="shared" si="30"/>
        <v>N</v>
      </c>
      <c r="X277" s="84">
        <f t="shared" si="31"/>
        <v>0</v>
      </c>
      <c r="Y277" s="84" t="str">
        <f t="shared" si="29"/>
        <v>0-4.9%</v>
      </c>
      <c r="Z277" s="85" t="s">
        <v>790</v>
      </c>
      <c r="AA277" s="59"/>
      <c r="AB277" s="59"/>
      <c r="AC277" s="59"/>
      <c r="AD277" s="59"/>
    </row>
    <row r="278" spans="1:30" x14ac:dyDescent="0.25">
      <c r="A278" s="54" t="s">
        <v>265</v>
      </c>
      <c r="B278" s="55"/>
      <c r="C278" s="56" t="s">
        <v>503</v>
      </c>
      <c r="D278" s="57">
        <f t="shared" si="26"/>
        <v>10</v>
      </c>
      <c r="E278" s="56"/>
      <c r="F278" s="56" t="s">
        <v>504</v>
      </c>
      <c r="G278" s="56">
        <v>5.8</v>
      </c>
      <c r="H278" s="56">
        <v>2.2000000000000002</v>
      </c>
      <c r="I278" s="56">
        <v>3.85</v>
      </c>
      <c r="J278" s="56">
        <v>2.65</v>
      </c>
      <c r="K278" s="56">
        <v>2.6</v>
      </c>
      <c r="L278" s="56"/>
      <c r="M278" s="56"/>
      <c r="N278" s="58">
        <f t="shared" si="27"/>
        <v>17.100000000000001</v>
      </c>
      <c r="O278" s="58">
        <f t="shared" si="28"/>
        <v>27.91751655672628</v>
      </c>
      <c r="P278" s="39">
        <v>8</v>
      </c>
      <c r="Q278" s="39">
        <v>10</v>
      </c>
      <c r="R278" s="39">
        <v>9</v>
      </c>
      <c r="S278" s="39">
        <v>9</v>
      </c>
      <c r="T278" s="39">
        <v>9</v>
      </c>
      <c r="U278" s="39">
        <v>9</v>
      </c>
      <c r="V278" s="39">
        <v>9</v>
      </c>
      <c r="W278" s="40" t="str">
        <f t="shared" si="30"/>
        <v>N</v>
      </c>
      <c r="X278" s="84">
        <f t="shared" si="31"/>
        <v>0</v>
      </c>
      <c r="Y278" s="84" t="str">
        <f t="shared" si="29"/>
        <v>0-4.9%</v>
      </c>
      <c r="Z278" s="85" t="s">
        <v>794</v>
      </c>
      <c r="AA278" s="59"/>
      <c r="AB278" s="59"/>
      <c r="AC278" s="59"/>
      <c r="AD278" s="59"/>
    </row>
    <row r="279" spans="1:30" x14ac:dyDescent="0.25">
      <c r="A279" s="54" t="s">
        <v>267</v>
      </c>
      <c r="B279" s="55"/>
      <c r="C279" s="56" t="s">
        <v>505</v>
      </c>
      <c r="D279" s="57">
        <f t="shared" si="26"/>
        <v>10</v>
      </c>
      <c r="E279" s="56"/>
      <c r="F279" s="56" t="s">
        <v>193</v>
      </c>
      <c r="G279" s="56">
        <v>4.7</v>
      </c>
      <c r="H279" s="56">
        <v>4.25</v>
      </c>
      <c r="I279" s="56">
        <v>4.3</v>
      </c>
      <c r="J279" s="56">
        <v>3.25</v>
      </c>
      <c r="K279" s="56">
        <v>3.55</v>
      </c>
      <c r="L279" s="56">
        <v>3.6</v>
      </c>
      <c r="M279" s="56"/>
      <c r="N279" s="58">
        <f t="shared" si="27"/>
        <v>23.650000000000002</v>
      </c>
      <c r="O279" s="58">
        <f t="shared" si="28"/>
        <v>120.12528704362072</v>
      </c>
      <c r="P279" s="39">
        <v>8</v>
      </c>
      <c r="Q279" s="39">
        <v>10</v>
      </c>
      <c r="R279" s="39">
        <v>9</v>
      </c>
      <c r="S279" s="39">
        <v>9</v>
      </c>
      <c r="T279" s="39">
        <v>9</v>
      </c>
      <c r="U279" s="39">
        <v>9</v>
      </c>
      <c r="V279" s="39">
        <v>9</v>
      </c>
      <c r="W279" s="40" t="str">
        <f t="shared" si="30"/>
        <v>N</v>
      </c>
      <c r="X279" s="84">
        <f t="shared" si="31"/>
        <v>0</v>
      </c>
      <c r="Y279" s="84" t="str">
        <f t="shared" si="29"/>
        <v>0-4.9%</v>
      </c>
      <c r="Z279" s="85" t="s">
        <v>786</v>
      </c>
      <c r="AA279" s="59"/>
      <c r="AB279" s="59"/>
      <c r="AC279" s="59"/>
      <c r="AD279" s="59"/>
    </row>
    <row r="280" spans="1:30" x14ac:dyDescent="0.25">
      <c r="A280" s="54" t="s">
        <v>268</v>
      </c>
      <c r="B280" s="55"/>
      <c r="C280" s="56" t="s">
        <v>384</v>
      </c>
      <c r="D280" s="57">
        <f t="shared" si="26"/>
        <v>10</v>
      </c>
      <c r="E280" s="56"/>
      <c r="F280" s="56" t="s">
        <v>193</v>
      </c>
      <c r="G280" s="56">
        <v>5.15</v>
      </c>
      <c r="H280" s="56">
        <v>4</v>
      </c>
      <c r="I280" s="56">
        <v>3.85</v>
      </c>
      <c r="J280" s="56">
        <v>2.95</v>
      </c>
      <c r="K280" s="56">
        <v>3.05</v>
      </c>
      <c r="L280" s="56">
        <v>3.4</v>
      </c>
      <c r="M280" s="56"/>
      <c r="N280" s="58">
        <f t="shared" si="27"/>
        <v>22.4</v>
      </c>
      <c r="O280" s="58">
        <f t="shared" si="28"/>
        <v>94.082829059377772</v>
      </c>
      <c r="P280" s="39">
        <v>8</v>
      </c>
      <c r="Q280" s="39">
        <v>10</v>
      </c>
      <c r="R280" s="39">
        <v>9</v>
      </c>
      <c r="S280" s="39">
        <v>9</v>
      </c>
      <c r="T280" s="39">
        <v>9</v>
      </c>
      <c r="U280" s="39">
        <v>9</v>
      </c>
      <c r="V280" s="39">
        <v>9</v>
      </c>
      <c r="W280" s="40" t="str">
        <f t="shared" si="30"/>
        <v>N</v>
      </c>
      <c r="X280" s="84">
        <f t="shared" si="31"/>
        <v>0</v>
      </c>
      <c r="Y280" s="84" t="str">
        <f t="shared" si="29"/>
        <v>0-4.9%</v>
      </c>
      <c r="Z280" s="85" t="s">
        <v>794</v>
      </c>
      <c r="AA280" s="59"/>
      <c r="AB280" s="59"/>
      <c r="AC280" s="59"/>
      <c r="AD280" s="59"/>
    </row>
    <row r="281" spans="1:30" x14ac:dyDescent="0.25">
      <c r="A281" s="54" t="s">
        <v>269</v>
      </c>
      <c r="B281" s="55"/>
      <c r="C281" s="56" t="s">
        <v>506</v>
      </c>
      <c r="D281" s="57">
        <f t="shared" si="26"/>
        <v>10</v>
      </c>
      <c r="E281" s="56"/>
      <c r="F281" s="56" t="s">
        <v>193</v>
      </c>
      <c r="G281" s="56">
        <v>4.7</v>
      </c>
      <c r="H281" s="56">
        <v>4.3</v>
      </c>
      <c r="I281" s="56">
        <v>4.3</v>
      </c>
      <c r="J281" s="56">
        <v>2.5</v>
      </c>
      <c r="K281" s="56">
        <v>3.1</v>
      </c>
      <c r="L281" s="56">
        <v>3.55</v>
      </c>
      <c r="M281" s="56"/>
      <c r="N281" s="58">
        <f t="shared" si="27"/>
        <v>22.450000000000003</v>
      </c>
      <c r="O281" s="58">
        <f t="shared" si="28"/>
        <v>95.031555865933043</v>
      </c>
      <c r="P281" s="39">
        <v>8</v>
      </c>
      <c r="Q281" s="39">
        <v>10</v>
      </c>
      <c r="R281" s="39">
        <v>9</v>
      </c>
      <c r="S281" s="39">
        <v>9</v>
      </c>
      <c r="T281" s="39">
        <v>9</v>
      </c>
      <c r="U281" s="39">
        <v>9</v>
      </c>
      <c r="V281" s="39">
        <v>9</v>
      </c>
      <c r="W281" s="40" t="str">
        <f t="shared" si="30"/>
        <v>N</v>
      </c>
      <c r="X281" s="84">
        <f t="shared" si="31"/>
        <v>0</v>
      </c>
      <c r="Y281" s="84" t="str">
        <f t="shared" si="29"/>
        <v>0-4.9%</v>
      </c>
      <c r="Z281" s="85" t="s">
        <v>794</v>
      </c>
      <c r="AA281" s="59"/>
      <c r="AB281" s="59"/>
      <c r="AC281" s="59"/>
      <c r="AD281" s="59"/>
    </row>
    <row r="282" spans="1:30" x14ac:dyDescent="0.25">
      <c r="A282" s="54" t="s">
        <v>270</v>
      </c>
      <c r="B282" s="55"/>
      <c r="C282" s="56" t="s">
        <v>507</v>
      </c>
      <c r="D282" s="57">
        <f t="shared" si="26"/>
        <v>10</v>
      </c>
      <c r="E282" s="56"/>
      <c r="F282" s="56" t="s">
        <v>227</v>
      </c>
      <c r="G282" s="56">
        <v>5.4</v>
      </c>
      <c r="H282" s="56">
        <v>5.15</v>
      </c>
      <c r="I282" s="56">
        <v>3.35</v>
      </c>
      <c r="J282" s="56">
        <v>3.05</v>
      </c>
      <c r="K282" s="56">
        <v>2.5499999999999998</v>
      </c>
      <c r="L282" s="56"/>
      <c r="M282" s="56"/>
      <c r="N282" s="58">
        <f t="shared" si="27"/>
        <v>19.5</v>
      </c>
      <c r="O282" s="58">
        <f t="shared" si="28"/>
        <v>50.413869951688433</v>
      </c>
      <c r="P282" s="39">
        <v>8</v>
      </c>
      <c r="Q282" s="39">
        <v>10</v>
      </c>
      <c r="R282" s="39">
        <v>9</v>
      </c>
      <c r="S282" s="39">
        <v>9</v>
      </c>
      <c r="T282" s="39">
        <v>9</v>
      </c>
      <c r="U282" s="39">
        <v>9</v>
      </c>
      <c r="V282" s="39">
        <v>9</v>
      </c>
      <c r="W282" s="40" t="str">
        <f t="shared" si="30"/>
        <v>N</v>
      </c>
      <c r="X282" s="84">
        <f t="shared" si="31"/>
        <v>0</v>
      </c>
      <c r="Y282" s="84" t="str">
        <f t="shared" si="29"/>
        <v>0-4.9%</v>
      </c>
      <c r="Z282" s="85" t="s">
        <v>786</v>
      </c>
      <c r="AA282" s="59"/>
      <c r="AB282" s="59"/>
      <c r="AC282" s="59"/>
      <c r="AD282" s="59"/>
    </row>
    <row r="283" spans="1:30" x14ac:dyDescent="0.25">
      <c r="A283" s="54" t="s">
        <v>271</v>
      </c>
      <c r="B283" s="55"/>
      <c r="C283" s="56" t="s">
        <v>508</v>
      </c>
      <c r="D283" s="57">
        <f t="shared" si="26"/>
        <v>10</v>
      </c>
      <c r="E283" s="56"/>
      <c r="F283" s="56" t="s">
        <v>193</v>
      </c>
      <c r="G283" s="56">
        <v>5.0999999999999996</v>
      </c>
      <c r="H283" s="56">
        <v>3.5</v>
      </c>
      <c r="I283" s="56">
        <v>3.35</v>
      </c>
      <c r="J283" s="56">
        <v>2.8</v>
      </c>
      <c r="K283" s="56">
        <v>2.7</v>
      </c>
      <c r="L283" s="56">
        <v>3.35</v>
      </c>
      <c r="M283" s="56"/>
      <c r="N283" s="58">
        <f t="shared" si="27"/>
        <v>20.8</v>
      </c>
      <c r="O283" s="58">
        <f t="shared" si="28"/>
        <v>67.403010277421103</v>
      </c>
      <c r="P283" s="39">
        <v>8</v>
      </c>
      <c r="Q283" s="39">
        <v>10</v>
      </c>
      <c r="R283" s="39">
        <v>9</v>
      </c>
      <c r="S283" s="39">
        <v>9</v>
      </c>
      <c r="T283" s="39">
        <v>9</v>
      </c>
      <c r="U283" s="39">
        <v>9</v>
      </c>
      <c r="V283" s="39">
        <v>9</v>
      </c>
      <c r="W283" s="40" t="str">
        <f t="shared" si="30"/>
        <v>N</v>
      </c>
      <c r="X283" s="84">
        <f t="shared" si="31"/>
        <v>0</v>
      </c>
      <c r="Y283" s="84" t="str">
        <f t="shared" si="29"/>
        <v>0-4.9%</v>
      </c>
      <c r="Z283" s="85" t="s">
        <v>812</v>
      </c>
      <c r="AA283" s="59"/>
      <c r="AB283" s="59"/>
      <c r="AC283" s="59"/>
      <c r="AD283" s="59"/>
    </row>
    <row r="284" spans="1:30" x14ac:dyDescent="0.25">
      <c r="A284" s="54" t="s">
        <v>272</v>
      </c>
      <c r="B284" s="55"/>
      <c r="C284" s="56" t="s">
        <v>509</v>
      </c>
      <c r="D284" s="57">
        <f t="shared" si="26"/>
        <v>10</v>
      </c>
      <c r="E284" s="56"/>
      <c r="F284" s="56" t="s">
        <v>227</v>
      </c>
      <c r="G284" s="56">
        <v>5.6</v>
      </c>
      <c r="H284" s="56">
        <v>6.05</v>
      </c>
      <c r="I284" s="56">
        <v>2.85</v>
      </c>
      <c r="J284" s="56">
        <v>3.45</v>
      </c>
      <c r="K284" s="56">
        <v>3.95</v>
      </c>
      <c r="L284" s="56"/>
      <c r="M284" s="56"/>
      <c r="N284" s="58">
        <f t="shared" si="27"/>
        <v>21.9</v>
      </c>
      <c r="O284" s="58">
        <f t="shared" si="28"/>
        <v>84.994887303355114</v>
      </c>
      <c r="P284" s="39">
        <v>8</v>
      </c>
      <c r="Q284" s="39">
        <v>10</v>
      </c>
      <c r="R284" s="39">
        <v>9</v>
      </c>
      <c r="S284" s="39">
        <v>9</v>
      </c>
      <c r="T284" s="39">
        <v>9</v>
      </c>
      <c r="U284" s="39">
        <v>9</v>
      </c>
      <c r="V284" s="39">
        <v>9</v>
      </c>
      <c r="W284" s="40" t="str">
        <f t="shared" si="30"/>
        <v>N</v>
      </c>
      <c r="X284" s="84">
        <f t="shared" si="31"/>
        <v>0</v>
      </c>
      <c r="Y284" s="84" t="str">
        <f t="shared" si="29"/>
        <v>0-4.9%</v>
      </c>
      <c r="Z284" s="85" t="s">
        <v>794</v>
      </c>
      <c r="AA284" s="59"/>
      <c r="AB284" s="59"/>
      <c r="AC284" s="59"/>
      <c r="AD284" s="59"/>
    </row>
    <row r="285" spans="1:30" x14ac:dyDescent="0.25">
      <c r="A285" s="54" t="s">
        <v>273</v>
      </c>
      <c r="B285" s="55"/>
      <c r="C285" s="56" t="s">
        <v>510</v>
      </c>
      <c r="D285" s="57">
        <f t="shared" si="26"/>
        <v>10</v>
      </c>
      <c r="E285" s="56"/>
      <c r="F285" s="56" t="s">
        <v>190</v>
      </c>
      <c r="G285" s="56">
        <v>5.2</v>
      </c>
      <c r="H285" s="56">
        <v>2.0499999999999998</v>
      </c>
      <c r="I285" s="56">
        <v>5.2</v>
      </c>
      <c r="J285" s="56">
        <v>18.5</v>
      </c>
      <c r="K285" s="56">
        <v>2.6</v>
      </c>
      <c r="L285" s="56">
        <v>4</v>
      </c>
      <c r="M285" s="56"/>
      <c r="N285" s="58">
        <f t="shared" si="27"/>
        <v>37.549999999999997</v>
      </c>
      <c r="O285" s="58">
        <f t="shared" si="28"/>
        <v>961.92014854837521</v>
      </c>
      <c r="P285" s="39">
        <v>8</v>
      </c>
      <c r="Q285" s="39">
        <v>10</v>
      </c>
      <c r="R285" s="39">
        <v>9</v>
      </c>
      <c r="S285" s="39">
        <v>9</v>
      </c>
      <c r="T285" s="39">
        <v>9</v>
      </c>
      <c r="U285" s="39">
        <v>9</v>
      </c>
      <c r="V285" s="39">
        <v>9</v>
      </c>
      <c r="W285" s="40" t="str">
        <f t="shared" si="30"/>
        <v>Y</v>
      </c>
      <c r="X285" s="84">
        <f t="shared" si="31"/>
        <v>0.95</v>
      </c>
      <c r="Y285" s="84" t="str">
        <f t="shared" si="29"/>
        <v>Over 50%</v>
      </c>
      <c r="Z285" s="85" t="s">
        <v>790</v>
      </c>
      <c r="AA285" s="59"/>
      <c r="AB285" s="59"/>
      <c r="AC285" s="59"/>
      <c r="AD285" s="59"/>
    </row>
    <row r="286" spans="1:30" x14ac:dyDescent="0.25">
      <c r="A286" s="54" t="s">
        <v>275</v>
      </c>
      <c r="B286" s="55"/>
      <c r="C286" s="56" t="s">
        <v>512</v>
      </c>
      <c r="D286" s="57">
        <f t="shared" si="26"/>
        <v>10</v>
      </c>
      <c r="E286" s="56"/>
      <c r="F286" s="56" t="s">
        <v>193</v>
      </c>
      <c r="G286" s="56">
        <v>5.75</v>
      </c>
      <c r="H286" s="56">
        <v>8</v>
      </c>
      <c r="I286" s="56">
        <v>7.95</v>
      </c>
      <c r="J286" s="56">
        <v>7.8</v>
      </c>
      <c r="K286" s="56">
        <v>6.9</v>
      </c>
      <c r="L286" s="56">
        <v>7.2</v>
      </c>
      <c r="M286" s="56"/>
      <c r="N286" s="58">
        <f t="shared" si="27"/>
        <v>43.6</v>
      </c>
      <c r="O286" s="58">
        <f t="shared" si="28"/>
        <v>1884.0112306876006</v>
      </c>
      <c r="P286" s="39">
        <v>8</v>
      </c>
      <c r="Q286" s="39">
        <v>10</v>
      </c>
      <c r="R286" s="39">
        <v>9</v>
      </c>
      <c r="S286" s="39">
        <v>9</v>
      </c>
      <c r="T286" s="39">
        <v>9</v>
      </c>
      <c r="U286" s="39">
        <v>9</v>
      </c>
      <c r="V286" s="39">
        <v>9</v>
      </c>
      <c r="W286" s="40" t="str">
        <f t="shared" si="30"/>
        <v>N</v>
      </c>
      <c r="X286" s="84">
        <f t="shared" si="31"/>
        <v>0</v>
      </c>
      <c r="Y286" s="84" t="str">
        <f t="shared" si="29"/>
        <v>0-4.9%</v>
      </c>
      <c r="Z286" s="85" t="s">
        <v>794</v>
      </c>
      <c r="AA286" s="59"/>
      <c r="AB286" s="59"/>
      <c r="AC286" s="59"/>
      <c r="AD286" s="59"/>
    </row>
    <row r="287" spans="1:30" x14ac:dyDescent="0.25">
      <c r="A287" s="54" t="s">
        <v>276</v>
      </c>
      <c r="B287" s="55"/>
      <c r="C287" s="56" t="s">
        <v>513</v>
      </c>
      <c r="D287" s="57">
        <f t="shared" si="26"/>
        <v>10</v>
      </c>
      <c r="E287" s="56"/>
      <c r="F287" s="56" t="s">
        <v>190</v>
      </c>
      <c r="G287" s="56">
        <v>5.35</v>
      </c>
      <c r="H287" s="56">
        <v>2.1</v>
      </c>
      <c r="I287" s="56">
        <v>9.25</v>
      </c>
      <c r="J287" s="56">
        <v>6</v>
      </c>
      <c r="K287" s="56">
        <v>6.1</v>
      </c>
      <c r="L287" s="56">
        <v>6.05</v>
      </c>
      <c r="M287" s="56"/>
      <c r="N287" s="58">
        <f t="shared" si="27"/>
        <v>34.849999999999994</v>
      </c>
      <c r="O287" s="58">
        <f t="shared" si="28"/>
        <v>687.55398977372624</v>
      </c>
      <c r="P287" s="39">
        <v>8</v>
      </c>
      <c r="Q287" s="39">
        <v>10</v>
      </c>
      <c r="R287" s="39">
        <v>9</v>
      </c>
      <c r="S287" s="39">
        <v>9</v>
      </c>
      <c r="T287" s="39">
        <v>9</v>
      </c>
      <c r="U287" s="39">
        <v>9</v>
      </c>
      <c r="V287" s="39">
        <v>9</v>
      </c>
      <c r="W287" s="40" t="str">
        <f t="shared" si="30"/>
        <v>Y</v>
      </c>
      <c r="X287" s="84">
        <f t="shared" si="31"/>
        <v>2.5000000000000001E-2</v>
      </c>
      <c r="Y287" s="84" t="str">
        <f t="shared" si="29"/>
        <v>0-4.9%</v>
      </c>
      <c r="Z287" s="85" t="s">
        <v>794</v>
      </c>
      <c r="AA287" s="59"/>
      <c r="AB287" s="59"/>
      <c r="AC287" s="59"/>
      <c r="AD287" s="59"/>
    </row>
    <row r="288" spans="1:30" x14ac:dyDescent="0.25">
      <c r="A288" s="54" t="s">
        <v>278</v>
      </c>
      <c r="B288" s="55"/>
      <c r="C288" s="56" t="s">
        <v>515</v>
      </c>
      <c r="D288" s="57">
        <f t="shared" si="26"/>
        <v>10</v>
      </c>
      <c r="E288" s="56"/>
      <c r="F288" s="56" t="s">
        <v>193</v>
      </c>
      <c r="G288" s="56">
        <v>4.05</v>
      </c>
      <c r="H288" s="56">
        <v>8.5</v>
      </c>
      <c r="I288" s="56">
        <v>2.4500000000000002</v>
      </c>
      <c r="J288" s="56">
        <v>3.05</v>
      </c>
      <c r="K288" s="56">
        <v>2.95</v>
      </c>
      <c r="L288" s="56">
        <v>3.6</v>
      </c>
      <c r="M288" s="56"/>
      <c r="N288" s="58">
        <f t="shared" si="27"/>
        <v>24.6</v>
      </c>
      <c r="O288" s="58">
        <f t="shared" si="28"/>
        <v>143.41753956150089</v>
      </c>
      <c r="P288" s="39">
        <v>8</v>
      </c>
      <c r="Q288" s="39">
        <v>10</v>
      </c>
      <c r="R288" s="39">
        <v>9</v>
      </c>
      <c r="S288" s="39">
        <v>9</v>
      </c>
      <c r="T288" s="39">
        <v>9</v>
      </c>
      <c r="U288" s="39">
        <v>9</v>
      </c>
      <c r="V288" s="39">
        <v>9</v>
      </c>
      <c r="W288" s="40" t="str">
        <f t="shared" si="30"/>
        <v>N</v>
      </c>
      <c r="X288" s="84">
        <f t="shared" si="31"/>
        <v>0</v>
      </c>
      <c r="Y288" s="84" t="str">
        <f t="shared" si="29"/>
        <v>0-4.9%</v>
      </c>
      <c r="Z288" s="85" t="s">
        <v>794</v>
      </c>
      <c r="AA288" s="59"/>
      <c r="AB288" s="59"/>
      <c r="AC288" s="59"/>
      <c r="AD288" s="59"/>
    </row>
    <row r="289" spans="1:30" x14ac:dyDescent="0.25">
      <c r="A289" s="54" t="s">
        <v>279</v>
      </c>
      <c r="B289" s="55"/>
      <c r="C289" s="56" t="s">
        <v>516</v>
      </c>
      <c r="D289" s="57">
        <f t="shared" si="26"/>
        <v>10</v>
      </c>
      <c r="E289" s="56"/>
      <c r="F289" s="56" t="s">
        <v>190</v>
      </c>
      <c r="G289" s="56">
        <v>5.25</v>
      </c>
      <c r="H289" s="56">
        <v>4.4000000000000004</v>
      </c>
      <c r="I289" s="56">
        <v>2.65</v>
      </c>
      <c r="J289" s="56">
        <v>5.8</v>
      </c>
      <c r="K289" s="56">
        <v>5.2</v>
      </c>
      <c r="L289" s="56">
        <v>3.95</v>
      </c>
      <c r="M289" s="56"/>
      <c r="N289" s="58">
        <f t="shared" si="27"/>
        <v>27.25</v>
      </c>
      <c r="O289" s="58">
        <f t="shared" si="28"/>
        <v>227.2707605861562</v>
      </c>
      <c r="P289" s="39">
        <v>8</v>
      </c>
      <c r="Q289" s="39">
        <v>10</v>
      </c>
      <c r="R289" s="39">
        <v>9</v>
      </c>
      <c r="S289" s="39">
        <v>9</v>
      </c>
      <c r="T289" s="39">
        <v>9</v>
      </c>
      <c r="U289" s="39">
        <v>9</v>
      </c>
      <c r="V289" s="39">
        <v>9</v>
      </c>
      <c r="W289" s="40" t="str">
        <f t="shared" si="30"/>
        <v>N</v>
      </c>
      <c r="X289" s="84">
        <f t="shared" si="31"/>
        <v>0</v>
      </c>
      <c r="Y289" s="84" t="str">
        <f t="shared" si="29"/>
        <v>0-4.9%</v>
      </c>
      <c r="Z289" s="85" t="s">
        <v>786</v>
      </c>
      <c r="AA289" s="59"/>
      <c r="AB289" s="59"/>
      <c r="AC289" s="59"/>
      <c r="AD289" s="59"/>
    </row>
    <row r="290" spans="1:30" x14ac:dyDescent="0.25">
      <c r="A290" s="54" t="s">
        <v>280</v>
      </c>
      <c r="B290" s="55"/>
      <c r="C290" s="56" t="s">
        <v>517</v>
      </c>
      <c r="D290" s="57">
        <f t="shared" si="26"/>
        <v>10</v>
      </c>
      <c r="E290" s="56"/>
      <c r="F290" s="56" t="s">
        <v>193</v>
      </c>
      <c r="G290" s="56">
        <v>5.2</v>
      </c>
      <c r="H290" s="56">
        <v>3.8</v>
      </c>
      <c r="I290" s="56">
        <v>3.6</v>
      </c>
      <c r="J290" s="56">
        <v>2.6</v>
      </c>
      <c r="K290" s="56">
        <v>2.85</v>
      </c>
      <c r="L290" s="56">
        <v>3.3</v>
      </c>
      <c r="M290" s="56"/>
      <c r="N290" s="58">
        <f t="shared" si="27"/>
        <v>21.35</v>
      </c>
      <c r="O290" s="58">
        <f t="shared" si="28"/>
        <v>75.802711831063732</v>
      </c>
      <c r="P290" s="39">
        <v>8</v>
      </c>
      <c r="Q290" s="39">
        <v>10</v>
      </c>
      <c r="R290" s="39">
        <v>9</v>
      </c>
      <c r="S290" s="39">
        <v>9</v>
      </c>
      <c r="T290" s="39">
        <v>9</v>
      </c>
      <c r="U290" s="39">
        <v>9</v>
      </c>
      <c r="V290" s="39">
        <v>9</v>
      </c>
      <c r="W290" s="40" t="str">
        <f t="shared" si="30"/>
        <v>N</v>
      </c>
      <c r="X290" s="84">
        <f t="shared" si="31"/>
        <v>0</v>
      </c>
      <c r="Y290" s="84" t="str">
        <f t="shared" si="29"/>
        <v>0-4.9%</v>
      </c>
      <c r="Z290" s="85" t="s">
        <v>790</v>
      </c>
      <c r="AA290" s="59"/>
      <c r="AB290" s="59"/>
      <c r="AC290" s="59"/>
      <c r="AD290" s="59"/>
    </row>
    <row r="291" spans="1:30" x14ac:dyDescent="0.25">
      <c r="A291" s="54" t="s">
        <v>281</v>
      </c>
      <c r="B291" s="55"/>
      <c r="C291" s="56" t="s">
        <v>518</v>
      </c>
      <c r="D291" s="57">
        <f t="shared" si="26"/>
        <v>10</v>
      </c>
      <c r="E291" s="56"/>
      <c r="F291" s="56" t="s">
        <v>193</v>
      </c>
      <c r="G291" s="56">
        <v>6.4</v>
      </c>
      <c r="H291" s="56">
        <v>8.5500000000000007</v>
      </c>
      <c r="I291" s="56">
        <v>8.5500000000000007</v>
      </c>
      <c r="J291" s="56">
        <v>7.75</v>
      </c>
      <c r="K291" s="56">
        <v>8.1</v>
      </c>
      <c r="L291" s="56">
        <v>7.15</v>
      </c>
      <c r="M291" s="56"/>
      <c r="N291" s="58">
        <f t="shared" si="27"/>
        <v>46.5</v>
      </c>
      <c r="O291" s="58">
        <f t="shared" si="28"/>
        <v>2517.2860761818356</v>
      </c>
      <c r="P291" s="39">
        <v>8</v>
      </c>
      <c r="Q291" s="39">
        <v>10</v>
      </c>
      <c r="R291" s="39">
        <v>9</v>
      </c>
      <c r="S291" s="39">
        <v>9</v>
      </c>
      <c r="T291" s="39">
        <v>9</v>
      </c>
      <c r="U291" s="39">
        <v>9</v>
      </c>
      <c r="V291" s="39">
        <v>9</v>
      </c>
      <c r="W291" s="40" t="str">
        <f t="shared" si="30"/>
        <v>N</v>
      </c>
      <c r="X291" s="84">
        <f t="shared" si="31"/>
        <v>0</v>
      </c>
      <c r="Y291" s="84" t="str">
        <f t="shared" si="29"/>
        <v>0-4.9%</v>
      </c>
      <c r="Z291" s="85" t="s">
        <v>812</v>
      </c>
      <c r="AA291" s="59"/>
      <c r="AB291" s="59"/>
      <c r="AC291" s="59"/>
      <c r="AD291" s="59"/>
    </row>
    <row r="292" spans="1:30" x14ac:dyDescent="0.25">
      <c r="A292" s="54" t="s">
        <v>282</v>
      </c>
      <c r="B292" s="55"/>
      <c r="C292" s="56" t="s">
        <v>519</v>
      </c>
      <c r="D292" s="57">
        <f t="shared" si="26"/>
        <v>10</v>
      </c>
      <c r="E292" s="56"/>
      <c r="F292" s="56" t="s">
        <v>190</v>
      </c>
      <c r="G292" s="56">
        <v>5.3</v>
      </c>
      <c r="H292" s="56">
        <v>1.4</v>
      </c>
      <c r="I292" s="56">
        <v>2.7</v>
      </c>
      <c r="J292" s="56">
        <v>7.4</v>
      </c>
      <c r="K292" s="56">
        <v>1.4</v>
      </c>
      <c r="L292" s="56">
        <v>1.7</v>
      </c>
      <c r="M292" s="56"/>
      <c r="N292" s="58">
        <f t="shared" si="27"/>
        <v>19.899999999999995</v>
      </c>
      <c r="O292" s="58">
        <f t="shared" si="28"/>
        <v>55.23738742266945</v>
      </c>
      <c r="P292" s="39">
        <v>8</v>
      </c>
      <c r="Q292" s="39">
        <v>10</v>
      </c>
      <c r="R292" s="39">
        <v>9</v>
      </c>
      <c r="S292" s="39">
        <v>9</v>
      </c>
      <c r="T292" s="39">
        <v>9</v>
      </c>
      <c r="U292" s="39">
        <v>9</v>
      </c>
      <c r="V292" s="39">
        <v>9</v>
      </c>
      <c r="W292" s="40" t="str">
        <f t="shared" si="30"/>
        <v>N</v>
      </c>
      <c r="X292" s="84">
        <f t="shared" si="31"/>
        <v>0</v>
      </c>
      <c r="Y292" s="84" t="str">
        <f t="shared" si="29"/>
        <v>0-4.9%</v>
      </c>
      <c r="Z292" s="85" t="s">
        <v>224</v>
      </c>
      <c r="AA292" s="59"/>
      <c r="AB292" s="59"/>
      <c r="AC292" s="59"/>
      <c r="AD292" s="59"/>
    </row>
    <row r="293" spans="1:30" x14ac:dyDescent="0.25">
      <c r="A293" s="54" t="s">
        <v>283</v>
      </c>
      <c r="B293" s="55"/>
      <c r="C293" s="56" t="s">
        <v>520</v>
      </c>
      <c r="D293" s="57">
        <f t="shared" si="26"/>
        <v>10</v>
      </c>
      <c r="E293" s="56"/>
      <c r="F293" s="56" t="s">
        <v>190</v>
      </c>
      <c r="G293" s="56">
        <v>6.3</v>
      </c>
      <c r="H293" s="56">
        <v>11</v>
      </c>
      <c r="I293" s="56">
        <v>5.95</v>
      </c>
      <c r="J293" s="56">
        <v>2.9</v>
      </c>
      <c r="K293" s="56">
        <v>3.3</v>
      </c>
      <c r="L293" s="56">
        <v>3.95</v>
      </c>
      <c r="M293" s="56"/>
      <c r="N293" s="58">
        <f t="shared" si="27"/>
        <v>33.4</v>
      </c>
      <c r="O293" s="58">
        <f t="shared" si="28"/>
        <v>567.87583219320345</v>
      </c>
      <c r="P293" s="39">
        <v>8</v>
      </c>
      <c r="Q293" s="39">
        <v>10</v>
      </c>
      <c r="R293" s="39">
        <v>9</v>
      </c>
      <c r="S293" s="39">
        <v>9</v>
      </c>
      <c r="T293" s="39">
        <v>9</v>
      </c>
      <c r="U293" s="39">
        <v>9</v>
      </c>
      <c r="V293" s="39">
        <v>9</v>
      </c>
      <c r="W293" s="40" t="str">
        <f t="shared" si="30"/>
        <v>Y</v>
      </c>
      <c r="X293" s="84">
        <f t="shared" si="31"/>
        <v>0.1</v>
      </c>
      <c r="Y293" s="84" t="str">
        <f t="shared" si="29"/>
        <v>5-25%</v>
      </c>
      <c r="Z293" s="85" t="s">
        <v>790</v>
      </c>
      <c r="AA293" s="59"/>
      <c r="AB293" s="59"/>
      <c r="AC293" s="59"/>
      <c r="AD293" s="59"/>
    </row>
    <row r="294" spans="1:30" x14ac:dyDescent="0.25">
      <c r="A294" s="54" t="s">
        <v>285</v>
      </c>
      <c r="B294" s="55"/>
      <c r="C294" s="56" t="s">
        <v>521</v>
      </c>
      <c r="D294" s="57">
        <f t="shared" si="26"/>
        <v>10</v>
      </c>
      <c r="E294" s="56"/>
      <c r="F294" s="56" t="s">
        <v>193</v>
      </c>
      <c r="G294" s="56">
        <v>5.0999999999999996</v>
      </c>
      <c r="H294" s="56">
        <v>3.55</v>
      </c>
      <c r="I294" s="56">
        <v>3.6</v>
      </c>
      <c r="J294" s="56">
        <v>2.5</v>
      </c>
      <c r="K294" s="56">
        <v>2.35</v>
      </c>
      <c r="L294" s="56">
        <v>2.95</v>
      </c>
      <c r="M294" s="56"/>
      <c r="N294" s="58">
        <f t="shared" si="27"/>
        <v>20.049999999999997</v>
      </c>
      <c r="O294" s="58">
        <f t="shared" si="28"/>
        <v>57.135888050256014</v>
      </c>
      <c r="P294" s="39">
        <v>8</v>
      </c>
      <c r="Q294" s="39">
        <v>10</v>
      </c>
      <c r="R294" s="39">
        <v>9</v>
      </c>
      <c r="S294" s="39">
        <v>9</v>
      </c>
      <c r="T294" s="39">
        <v>9</v>
      </c>
      <c r="U294" s="39">
        <v>9</v>
      </c>
      <c r="V294" s="39">
        <v>9</v>
      </c>
      <c r="W294" s="40" t="str">
        <f t="shared" si="30"/>
        <v>N</v>
      </c>
      <c r="X294" s="84">
        <f t="shared" si="31"/>
        <v>0</v>
      </c>
      <c r="Y294" s="84" t="str">
        <f t="shared" si="29"/>
        <v>0-4.9%</v>
      </c>
      <c r="Z294" s="85" t="s">
        <v>224</v>
      </c>
      <c r="AA294" s="59"/>
      <c r="AB294" s="59"/>
      <c r="AC294" s="59"/>
      <c r="AD294" s="59"/>
    </row>
    <row r="295" spans="1:30" x14ac:dyDescent="0.25">
      <c r="A295" s="54" t="s">
        <v>286</v>
      </c>
      <c r="B295" s="55"/>
      <c r="C295" s="56" t="s">
        <v>522</v>
      </c>
      <c r="D295" s="57">
        <f t="shared" si="26"/>
        <v>10</v>
      </c>
      <c r="E295" s="56"/>
      <c r="F295" s="56" t="s">
        <v>190</v>
      </c>
      <c r="G295" s="56">
        <v>5.8</v>
      </c>
      <c r="H295" s="56">
        <v>10.5</v>
      </c>
      <c r="I295" s="56">
        <v>4.2</v>
      </c>
      <c r="J295" s="56">
        <v>2.75</v>
      </c>
      <c r="K295" s="56">
        <v>2.5</v>
      </c>
      <c r="L295" s="56">
        <v>2.15</v>
      </c>
      <c r="M295" s="56"/>
      <c r="N295" s="58">
        <f t="shared" si="27"/>
        <v>27.9</v>
      </c>
      <c r="O295" s="58">
        <f t="shared" si="28"/>
        <v>252.70463075393826</v>
      </c>
      <c r="P295" s="39">
        <v>8</v>
      </c>
      <c r="Q295" s="39">
        <v>10</v>
      </c>
      <c r="R295" s="39">
        <v>9</v>
      </c>
      <c r="S295" s="39">
        <v>9</v>
      </c>
      <c r="T295" s="39">
        <v>9</v>
      </c>
      <c r="U295" s="39">
        <v>9</v>
      </c>
      <c r="V295" s="39">
        <v>9</v>
      </c>
      <c r="W295" s="40" t="str">
        <f t="shared" si="30"/>
        <v>Y</v>
      </c>
      <c r="X295" s="84">
        <f t="shared" si="31"/>
        <v>0.05</v>
      </c>
      <c r="Y295" s="84" t="str">
        <f t="shared" si="29"/>
        <v>5-25%</v>
      </c>
      <c r="Z295" s="85" t="s">
        <v>224</v>
      </c>
      <c r="AA295" s="59"/>
      <c r="AB295" s="59"/>
      <c r="AC295" s="59"/>
      <c r="AD295" s="59"/>
    </row>
    <row r="296" spans="1:30" x14ac:dyDescent="0.25">
      <c r="A296" s="54" t="s">
        <v>288</v>
      </c>
      <c r="B296" s="55"/>
      <c r="C296" s="56" t="s">
        <v>416</v>
      </c>
      <c r="D296" s="57">
        <f t="shared" si="26"/>
        <v>10</v>
      </c>
      <c r="E296" s="56"/>
      <c r="F296" s="56" t="s">
        <v>193</v>
      </c>
      <c r="G296" s="56">
        <v>5.05</v>
      </c>
      <c r="H296" s="56">
        <v>3.3</v>
      </c>
      <c r="I296" s="56">
        <v>3.85</v>
      </c>
      <c r="J296" s="56">
        <v>3.1</v>
      </c>
      <c r="K296" s="56">
        <v>2.9</v>
      </c>
      <c r="L296" s="56">
        <v>3.3</v>
      </c>
      <c r="M296" s="56"/>
      <c r="N296" s="58">
        <f t="shared" si="27"/>
        <v>21.5</v>
      </c>
      <c r="O296" s="58">
        <f t="shared" si="28"/>
        <v>78.228923720019466</v>
      </c>
      <c r="P296" s="39">
        <v>8</v>
      </c>
      <c r="Q296" s="39">
        <v>10</v>
      </c>
      <c r="R296" s="39">
        <v>9</v>
      </c>
      <c r="S296" s="39">
        <v>9</v>
      </c>
      <c r="T296" s="39">
        <v>9</v>
      </c>
      <c r="U296" s="39">
        <v>9</v>
      </c>
      <c r="V296" s="39">
        <v>9</v>
      </c>
      <c r="W296" s="40" t="str">
        <f t="shared" si="30"/>
        <v>N</v>
      </c>
      <c r="X296" s="84">
        <f t="shared" si="31"/>
        <v>0</v>
      </c>
      <c r="Y296" s="84" t="str">
        <f t="shared" si="29"/>
        <v>0-4.9%</v>
      </c>
      <c r="Z296" s="85" t="s">
        <v>786</v>
      </c>
      <c r="AA296" s="59"/>
      <c r="AB296" s="59"/>
      <c r="AC296" s="59"/>
      <c r="AD296" s="59"/>
    </row>
    <row r="297" spans="1:30" x14ac:dyDescent="0.25">
      <c r="A297" s="54" t="s">
        <v>195</v>
      </c>
      <c r="B297" s="55"/>
      <c r="C297" s="56" t="s">
        <v>526</v>
      </c>
      <c r="D297" s="57">
        <f t="shared" si="26"/>
        <v>10</v>
      </c>
      <c r="E297" s="56"/>
      <c r="F297" s="56" t="s">
        <v>527</v>
      </c>
      <c r="G297" s="56">
        <v>6.6</v>
      </c>
      <c r="H297" s="56">
        <v>9.35</v>
      </c>
      <c r="I297" s="56">
        <v>9.1</v>
      </c>
      <c r="J297" s="56">
        <v>7</v>
      </c>
      <c r="K297" s="56"/>
      <c r="L297" s="56"/>
      <c r="M297" s="56"/>
      <c r="N297" s="58">
        <f t="shared" si="27"/>
        <v>32.049999999999997</v>
      </c>
      <c r="O297" s="58">
        <f t="shared" si="28"/>
        <v>471.65065071808885</v>
      </c>
      <c r="P297" s="39">
        <v>8</v>
      </c>
      <c r="Q297" s="39">
        <v>10</v>
      </c>
      <c r="R297" s="39">
        <v>9</v>
      </c>
      <c r="S297" s="39">
        <v>9</v>
      </c>
      <c r="T297" s="39">
        <v>9</v>
      </c>
      <c r="U297" s="39">
        <v>9</v>
      </c>
      <c r="V297" s="39">
        <v>9</v>
      </c>
      <c r="W297" s="40" t="str">
        <f t="shared" si="30"/>
        <v>Y</v>
      </c>
      <c r="X297" s="84">
        <f t="shared" si="31"/>
        <v>9.9999999999999638E-3</v>
      </c>
      <c r="Y297" s="84" t="str">
        <f t="shared" si="29"/>
        <v>0-4.9%</v>
      </c>
      <c r="Z297" s="85" t="s">
        <v>794</v>
      </c>
      <c r="AA297" s="59"/>
      <c r="AB297" s="59"/>
      <c r="AC297" s="59"/>
      <c r="AD297" s="59"/>
    </row>
    <row r="298" spans="1:30" x14ac:dyDescent="0.25">
      <c r="A298" s="54" t="s">
        <v>197</v>
      </c>
      <c r="B298" s="55"/>
      <c r="C298" s="56" t="s">
        <v>411</v>
      </c>
      <c r="D298" s="57">
        <f t="shared" si="26"/>
        <v>10</v>
      </c>
      <c r="E298" s="56"/>
      <c r="F298" s="56" t="s">
        <v>193</v>
      </c>
      <c r="G298" s="56">
        <v>4.25</v>
      </c>
      <c r="H298" s="56">
        <v>3.7</v>
      </c>
      <c r="I298" s="56">
        <v>3.5</v>
      </c>
      <c r="J298" s="56">
        <v>3.5</v>
      </c>
      <c r="K298" s="56">
        <v>2.95</v>
      </c>
      <c r="L298" s="56">
        <v>2.7</v>
      </c>
      <c r="M298" s="56"/>
      <c r="N298" s="58">
        <f t="shared" si="27"/>
        <v>20.599999999999998</v>
      </c>
      <c r="O298" s="58">
        <f t="shared" si="28"/>
        <v>64.535217380104484</v>
      </c>
      <c r="P298" s="39">
        <v>8</v>
      </c>
      <c r="Q298" s="39">
        <v>10</v>
      </c>
      <c r="R298" s="39">
        <v>9</v>
      </c>
      <c r="S298" s="39">
        <v>9</v>
      </c>
      <c r="T298" s="39">
        <v>9</v>
      </c>
      <c r="U298" s="39">
        <v>9</v>
      </c>
      <c r="V298" s="39">
        <v>9</v>
      </c>
      <c r="W298" s="40" t="str">
        <f t="shared" si="30"/>
        <v>N</v>
      </c>
      <c r="X298" s="84">
        <f t="shared" si="31"/>
        <v>0</v>
      </c>
      <c r="Y298" s="84" t="str">
        <f t="shared" si="29"/>
        <v>0-4.9%</v>
      </c>
      <c r="Z298" s="85" t="s">
        <v>786</v>
      </c>
      <c r="AA298" s="59"/>
      <c r="AB298" s="59"/>
      <c r="AC298" s="59"/>
      <c r="AD298" s="59"/>
    </row>
    <row r="299" spans="1:30" x14ac:dyDescent="0.25">
      <c r="A299" s="54" t="s">
        <v>203</v>
      </c>
      <c r="B299" s="55"/>
      <c r="C299" s="56" t="s">
        <v>531</v>
      </c>
      <c r="D299" s="57">
        <f t="shared" si="26"/>
        <v>10</v>
      </c>
      <c r="E299" s="56"/>
      <c r="F299" s="56" t="s">
        <v>227</v>
      </c>
      <c r="G299" s="56">
        <v>5.95</v>
      </c>
      <c r="H299" s="56">
        <v>4.25</v>
      </c>
      <c r="I299" s="56">
        <v>2.25</v>
      </c>
      <c r="J299" s="56">
        <v>2.1</v>
      </c>
      <c r="K299" s="56">
        <v>2.8</v>
      </c>
      <c r="L299" s="56"/>
      <c r="M299" s="56"/>
      <c r="N299" s="58">
        <f t="shared" si="27"/>
        <v>17.349999999999998</v>
      </c>
      <c r="O299" s="58">
        <f t="shared" si="28"/>
        <v>29.801761973049114</v>
      </c>
      <c r="P299" s="39">
        <v>8</v>
      </c>
      <c r="Q299" s="39">
        <v>10</v>
      </c>
      <c r="R299" s="39">
        <v>9</v>
      </c>
      <c r="S299" s="39">
        <v>9</v>
      </c>
      <c r="T299" s="39">
        <v>9</v>
      </c>
      <c r="U299" s="39">
        <v>9</v>
      </c>
      <c r="V299" s="39">
        <v>9</v>
      </c>
      <c r="W299" s="40" t="str">
        <f t="shared" si="30"/>
        <v>N</v>
      </c>
      <c r="X299" s="84">
        <f t="shared" si="31"/>
        <v>0</v>
      </c>
      <c r="Y299" s="84" t="str">
        <f t="shared" si="29"/>
        <v>0-4.9%</v>
      </c>
      <c r="Z299" s="85" t="s">
        <v>790</v>
      </c>
      <c r="AA299" s="59"/>
      <c r="AB299" s="59"/>
      <c r="AC299" s="59"/>
      <c r="AD299" s="59"/>
    </row>
    <row r="300" spans="1:30" x14ac:dyDescent="0.25">
      <c r="A300" s="54" t="s">
        <v>204</v>
      </c>
      <c r="B300" s="55"/>
      <c r="C300" s="56" t="s">
        <v>532</v>
      </c>
      <c r="D300" s="57">
        <f t="shared" si="26"/>
        <v>10</v>
      </c>
      <c r="E300" s="56"/>
      <c r="F300" s="56" t="s">
        <v>227</v>
      </c>
      <c r="G300" s="56">
        <v>5.4</v>
      </c>
      <c r="H300" s="56">
        <v>4.1500000000000004</v>
      </c>
      <c r="I300" s="56">
        <v>2.5</v>
      </c>
      <c r="J300" s="56">
        <v>2.7</v>
      </c>
      <c r="K300" s="56">
        <v>1.7</v>
      </c>
      <c r="L300" s="56"/>
      <c r="M300" s="56"/>
      <c r="N300" s="58">
        <f t="shared" si="27"/>
        <v>16.45</v>
      </c>
      <c r="O300" s="58">
        <f t="shared" si="28"/>
        <v>23.449891946561678</v>
      </c>
      <c r="P300" s="39">
        <v>8</v>
      </c>
      <c r="Q300" s="39">
        <v>10</v>
      </c>
      <c r="R300" s="39">
        <v>9</v>
      </c>
      <c r="S300" s="39">
        <v>9</v>
      </c>
      <c r="T300" s="39">
        <v>9</v>
      </c>
      <c r="U300" s="39">
        <v>9</v>
      </c>
      <c r="V300" s="39">
        <v>9</v>
      </c>
      <c r="W300" s="40" t="str">
        <f t="shared" si="30"/>
        <v>N</v>
      </c>
      <c r="X300" s="84">
        <f t="shared" si="31"/>
        <v>0</v>
      </c>
      <c r="Y300" s="84" t="str">
        <f t="shared" si="29"/>
        <v>0-4.9%</v>
      </c>
      <c r="Z300" s="85" t="s">
        <v>224</v>
      </c>
      <c r="AA300" s="59"/>
      <c r="AB300" s="59"/>
      <c r="AC300" s="59"/>
      <c r="AD300" s="59"/>
    </row>
    <row r="301" spans="1:30" x14ac:dyDescent="0.25">
      <c r="A301" s="54" t="s">
        <v>206</v>
      </c>
      <c r="B301" s="55"/>
      <c r="C301" s="56" t="s">
        <v>533</v>
      </c>
      <c r="D301" s="57">
        <f t="shared" si="26"/>
        <v>10</v>
      </c>
      <c r="E301" s="56"/>
      <c r="F301" s="56" t="s">
        <v>227</v>
      </c>
      <c r="G301" s="56">
        <v>5.15</v>
      </c>
      <c r="H301" s="56">
        <v>4.4000000000000004</v>
      </c>
      <c r="I301" s="56">
        <v>2.35</v>
      </c>
      <c r="J301" s="56">
        <v>2.6</v>
      </c>
      <c r="K301" s="56">
        <v>2.75</v>
      </c>
      <c r="L301" s="56"/>
      <c r="M301" s="56"/>
      <c r="N301" s="58">
        <f t="shared" si="27"/>
        <v>17.25</v>
      </c>
      <c r="O301" s="58">
        <f t="shared" si="28"/>
        <v>29.036564634711223</v>
      </c>
      <c r="P301" s="39">
        <v>8</v>
      </c>
      <c r="Q301" s="39">
        <v>10</v>
      </c>
      <c r="R301" s="39">
        <v>9</v>
      </c>
      <c r="S301" s="39">
        <v>9</v>
      </c>
      <c r="T301" s="39">
        <v>9</v>
      </c>
      <c r="U301" s="39">
        <v>9</v>
      </c>
      <c r="V301" s="39">
        <v>9</v>
      </c>
      <c r="W301" s="40" t="str">
        <f t="shared" si="30"/>
        <v>N</v>
      </c>
      <c r="X301" s="84">
        <f t="shared" si="31"/>
        <v>0</v>
      </c>
      <c r="Y301" s="84" t="str">
        <f t="shared" si="29"/>
        <v>0-4.9%</v>
      </c>
      <c r="Z301" s="85" t="s">
        <v>224</v>
      </c>
      <c r="AA301" s="59"/>
      <c r="AB301" s="59"/>
      <c r="AC301" s="59"/>
      <c r="AD301" s="59"/>
    </row>
    <row r="302" spans="1:30" x14ac:dyDescent="0.25">
      <c r="A302" s="54" t="s">
        <v>208</v>
      </c>
      <c r="B302" s="55"/>
      <c r="C302" s="56" t="s">
        <v>534</v>
      </c>
      <c r="D302" s="57">
        <f t="shared" si="26"/>
        <v>10</v>
      </c>
      <c r="E302" s="56"/>
      <c r="F302" s="56" t="s">
        <v>227</v>
      </c>
      <c r="G302" s="56">
        <v>6.55</v>
      </c>
      <c r="H302" s="56">
        <v>12.25</v>
      </c>
      <c r="I302" s="56">
        <v>7.3</v>
      </c>
      <c r="J302" s="56">
        <v>5.7</v>
      </c>
      <c r="K302" s="56">
        <v>7.65</v>
      </c>
      <c r="L302" s="56"/>
      <c r="M302" s="56"/>
      <c r="N302" s="58">
        <f t="shared" si="27"/>
        <v>39.450000000000003</v>
      </c>
      <c r="O302" s="58">
        <f t="shared" si="28"/>
        <v>1201.173713601873</v>
      </c>
      <c r="P302" s="39">
        <v>8</v>
      </c>
      <c r="Q302" s="39">
        <v>10</v>
      </c>
      <c r="R302" s="39">
        <v>9</v>
      </c>
      <c r="S302" s="39">
        <v>9</v>
      </c>
      <c r="T302" s="39">
        <v>9</v>
      </c>
      <c r="U302" s="39">
        <v>9</v>
      </c>
      <c r="V302" s="39">
        <v>9</v>
      </c>
      <c r="W302" s="40" t="str">
        <f t="shared" si="30"/>
        <v>Y</v>
      </c>
      <c r="X302" s="84">
        <f t="shared" si="31"/>
        <v>0.22500000000000001</v>
      </c>
      <c r="Y302" s="84" t="str">
        <f t="shared" si="29"/>
        <v>5-25%</v>
      </c>
      <c r="Z302" s="85" t="s">
        <v>782</v>
      </c>
      <c r="AA302" s="59"/>
      <c r="AB302" s="59"/>
      <c r="AC302" s="59"/>
      <c r="AD302" s="59"/>
    </row>
    <row r="303" spans="1:30" x14ac:dyDescent="0.25">
      <c r="A303" s="54" t="s">
        <v>209</v>
      </c>
      <c r="B303" s="55"/>
      <c r="C303" s="56" t="s">
        <v>535</v>
      </c>
      <c r="D303" s="57">
        <f t="shared" si="26"/>
        <v>10</v>
      </c>
      <c r="E303" s="56"/>
      <c r="F303" s="56" t="s">
        <v>536</v>
      </c>
      <c r="G303" s="56">
        <v>6.55</v>
      </c>
      <c r="H303" s="56">
        <v>9.6</v>
      </c>
      <c r="I303" s="56">
        <v>7.35</v>
      </c>
      <c r="J303" s="56">
        <v>8.15</v>
      </c>
      <c r="K303" s="56">
        <v>7.2</v>
      </c>
      <c r="L303" s="56"/>
      <c r="M303" s="56"/>
      <c r="N303" s="58">
        <f t="shared" si="27"/>
        <v>38.85</v>
      </c>
      <c r="O303" s="58">
        <f t="shared" si="28"/>
        <v>1121.1246197494615</v>
      </c>
      <c r="P303" s="39">
        <v>8</v>
      </c>
      <c r="Q303" s="39">
        <v>10</v>
      </c>
      <c r="R303" s="39">
        <v>9</v>
      </c>
      <c r="S303" s="39">
        <v>9</v>
      </c>
      <c r="T303" s="39">
        <v>9</v>
      </c>
      <c r="U303" s="39">
        <v>9</v>
      </c>
      <c r="V303" s="39">
        <v>9</v>
      </c>
      <c r="W303" s="40" t="str">
        <f t="shared" si="30"/>
        <v>N</v>
      </c>
      <c r="X303" s="84">
        <f t="shared" si="31"/>
        <v>0</v>
      </c>
      <c r="Y303" s="84" t="str">
        <f t="shared" si="29"/>
        <v>0-4.9%</v>
      </c>
      <c r="Z303" s="85" t="s">
        <v>794</v>
      </c>
      <c r="AA303" s="59"/>
      <c r="AB303" s="59"/>
      <c r="AC303" s="59"/>
      <c r="AD303" s="59"/>
    </row>
    <row r="304" spans="1:30" x14ac:dyDescent="0.25">
      <c r="A304" s="54" t="s">
        <v>212</v>
      </c>
      <c r="B304" s="55"/>
      <c r="C304" s="56" t="s">
        <v>538</v>
      </c>
      <c r="D304" s="57">
        <f t="shared" si="26"/>
        <v>10</v>
      </c>
      <c r="E304" s="56"/>
      <c r="F304" s="56" t="s">
        <v>539</v>
      </c>
      <c r="G304" s="56">
        <v>4.5</v>
      </c>
      <c r="H304" s="56">
        <v>4.0999999999999996</v>
      </c>
      <c r="I304" s="56">
        <v>4.05</v>
      </c>
      <c r="J304" s="56">
        <v>3.8</v>
      </c>
      <c r="K304" s="56">
        <v>3.35</v>
      </c>
      <c r="L304" s="56">
        <v>3.2</v>
      </c>
      <c r="M304" s="56"/>
      <c r="N304" s="58">
        <f t="shared" si="27"/>
        <v>23</v>
      </c>
      <c r="O304" s="58">
        <f t="shared" si="28"/>
        <v>105.96673364190808</v>
      </c>
      <c r="P304" s="39">
        <v>8</v>
      </c>
      <c r="Q304" s="39">
        <v>10</v>
      </c>
      <c r="R304" s="39">
        <v>9</v>
      </c>
      <c r="S304" s="39">
        <v>9</v>
      </c>
      <c r="T304" s="39">
        <v>9</v>
      </c>
      <c r="U304" s="39">
        <v>9</v>
      </c>
      <c r="V304" s="39">
        <v>9</v>
      </c>
      <c r="W304" s="40" t="str">
        <f t="shared" si="30"/>
        <v>N</v>
      </c>
      <c r="X304" s="84">
        <f t="shared" si="31"/>
        <v>0</v>
      </c>
      <c r="Y304" s="84" t="str">
        <f t="shared" si="29"/>
        <v>0-4.9%</v>
      </c>
      <c r="Z304" s="85" t="s">
        <v>790</v>
      </c>
      <c r="AA304" s="59"/>
      <c r="AB304" s="59"/>
      <c r="AC304" s="59"/>
      <c r="AD304" s="59"/>
    </row>
    <row r="305" spans="1:30" x14ac:dyDescent="0.25">
      <c r="A305" s="54" t="s">
        <v>213</v>
      </c>
      <c r="B305" s="55"/>
      <c r="C305" s="56" t="s">
        <v>540</v>
      </c>
      <c r="D305" s="57">
        <f t="shared" si="26"/>
        <v>10</v>
      </c>
      <c r="E305" s="56"/>
      <c r="F305" s="56" t="s">
        <v>539</v>
      </c>
      <c r="G305" s="56">
        <v>7.8</v>
      </c>
      <c r="H305" s="56">
        <v>8.15</v>
      </c>
      <c r="I305" s="56">
        <v>8.25</v>
      </c>
      <c r="J305" s="56">
        <v>8.5</v>
      </c>
      <c r="K305" s="56">
        <v>8.4</v>
      </c>
      <c r="L305" s="56">
        <v>7.65</v>
      </c>
      <c r="M305" s="56"/>
      <c r="N305" s="58">
        <f t="shared" si="27"/>
        <v>48.75</v>
      </c>
      <c r="O305" s="58">
        <f t="shared" si="28"/>
        <v>3113.723724821451</v>
      </c>
      <c r="P305" s="39">
        <v>8</v>
      </c>
      <c r="Q305" s="39">
        <v>10</v>
      </c>
      <c r="R305" s="39">
        <v>9</v>
      </c>
      <c r="S305" s="39">
        <v>9</v>
      </c>
      <c r="T305" s="39">
        <v>9</v>
      </c>
      <c r="U305" s="39">
        <v>9</v>
      </c>
      <c r="V305" s="39">
        <v>9</v>
      </c>
      <c r="W305" s="40" t="str">
        <f t="shared" si="30"/>
        <v>N</v>
      </c>
      <c r="X305" s="84">
        <f t="shared" si="31"/>
        <v>0</v>
      </c>
      <c r="Y305" s="84" t="str">
        <f t="shared" si="29"/>
        <v>0-4.9%</v>
      </c>
      <c r="Z305" s="85" t="s">
        <v>794</v>
      </c>
      <c r="AA305" s="59"/>
      <c r="AB305" s="59"/>
      <c r="AC305" s="59"/>
      <c r="AD305" s="59"/>
    </row>
    <row r="306" spans="1:30" x14ac:dyDescent="0.25">
      <c r="A306" s="54" t="s">
        <v>215</v>
      </c>
      <c r="B306" s="55"/>
      <c r="C306" s="56" t="s">
        <v>541</v>
      </c>
      <c r="D306" s="57">
        <f t="shared" si="26"/>
        <v>10</v>
      </c>
      <c r="E306" s="56"/>
      <c r="F306" s="56" t="s">
        <v>190</v>
      </c>
      <c r="G306" s="56">
        <v>5.95</v>
      </c>
      <c r="H306" s="56">
        <v>3.7</v>
      </c>
      <c r="I306" s="56">
        <v>9.9499999999999993</v>
      </c>
      <c r="J306" s="56">
        <v>7.25</v>
      </c>
      <c r="K306" s="56">
        <v>7.1</v>
      </c>
      <c r="L306" s="56">
        <v>4</v>
      </c>
      <c r="M306" s="56"/>
      <c r="N306" s="58">
        <f t="shared" si="27"/>
        <v>37.950000000000003</v>
      </c>
      <c r="O306" s="58">
        <f t="shared" si="28"/>
        <v>1008.8980825681739</v>
      </c>
      <c r="P306" s="39">
        <v>8</v>
      </c>
      <c r="Q306" s="39">
        <v>10</v>
      </c>
      <c r="R306" s="39">
        <v>9</v>
      </c>
      <c r="S306" s="39">
        <v>9</v>
      </c>
      <c r="T306" s="39">
        <v>9</v>
      </c>
      <c r="U306" s="39">
        <v>9</v>
      </c>
      <c r="V306" s="39">
        <v>9</v>
      </c>
      <c r="W306" s="40" t="str">
        <f t="shared" si="30"/>
        <v>Y</v>
      </c>
      <c r="X306" s="84">
        <f t="shared" si="31"/>
        <v>9.4999999999999932E-2</v>
      </c>
      <c r="Y306" s="84" t="str">
        <f t="shared" si="29"/>
        <v>5-25%</v>
      </c>
      <c r="Z306" s="85" t="s">
        <v>794</v>
      </c>
      <c r="AA306" s="59"/>
      <c r="AB306" s="59"/>
      <c r="AC306" s="59"/>
      <c r="AD306" s="59"/>
    </row>
    <row r="307" spans="1:30" x14ac:dyDescent="0.25">
      <c r="A307" s="54" t="s">
        <v>218</v>
      </c>
      <c r="B307" s="55"/>
      <c r="C307" s="56" t="s">
        <v>374</v>
      </c>
      <c r="D307" s="57">
        <f t="shared" si="26"/>
        <v>10</v>
      </c>
      <c r="E307" s="56"/>
      <c r="F307" s="56" t="s">
        <v>193</v>
      </c>
      <c r="G307" s="56">
        <v>4.95</v>
      </c>
      <c r="H307" s="56">
        <v>3.55</v>
      </c>
      <c r="I307" s="56">
        <v>3.45</v>
      </c>
      <c r="J307" s="56">
        <v>3.15</v>
      </c>
      <c r="K307" s="56">
        <v>3.2</v>
      </c>
      <c r="L307" s="56">
        <v>2.5</v>
      </c>
      <c r="M307" s="56"/>
      <c r="N307" s="58">
        <f t="shared" si="27"/>
        <v>20.8</v>
      </c>
      <c r="O307" s="58">
        <f t="shared" si="28"/>
        <v>67.403010277421103</v>
      </c>
      <c r="P307" s="39">
        <v>8</v>
      </c>
      <c r="Q307" s="39">
        <v>10</v>
      </c>
      <c r="R307" s="39">
        <v>9</v>
      </c>
      <c r="S307" s="39">
        <v>9</v>
      </c>
      <c r="T307" s="39">
        <v>9</v>
      </c>
      <c r="U307" s="39">
        <v>9</v>
      </c>
      <c r="V307" s="39">
        <v>9</v>
      </c>
      <c r="W307" s="40" t="str">
        <f t="shared" si="30"/>
        <v>N</v>
      </c>
      <c r="X307" s="84">
        <f t="shared" si="31"/>
        <v>0</v>
      </c>
      <c r="Y307" s="84" t="str">
        <f t="shared" si="29"/>
        <v>0-4.9%</v>
      </c>
      <c r="Z307" s="85" t="s">
        <v>790</v>
      </c>
      <c r="AA307" s="59"/>
      <c r="AB307" s="59"/>
      <c r="AC307" s="59"/>
      <c r="AD307" s="59"/>
    </row>
    <row r="308" spans="1:30" x14ac:dyDescent="0.25">
      <c r="A308" s="54" t="s">
        <v>219</v>
      </c>
      <c r="B308" s="55"/>
      <c r="C308" s="56" t="s">
        <v>544</v>
      </c>
      <c r="D308" s="57">
        <f t="shared" si="26"/>
        <v>10</v>
      </c>
      <c r="E308" s="56"/>
      <c r="F308" s="56" t="s">
        <v>190</v>
      </c>
      <c r="G308" s="56">
        <v>5</v>
      </c>
      <c r="H308" s="56">
        <v>2.2000000000000002</v>
      </c>
      <c r="I308" s="56">
        <v>4.0999999999999996</v>
      </c>
      <c r="J308" s="56">
        <v>2.35</v>
      </c>
      <c r="K308" s="56">
        <v>2.4500000000000002</v>
      </c>
      <c r="L308" s="56">
        <v>2.2000000000000002</v>
      </c>
      <c r="M308" s="56"/>
      <c r="N308" s="58">
        <f t="shared" si="27"/>
        <v>18.3</v>
      </c>
      <c r="O308" s="58">
        <f t="shared" si="28"/>
        <v>37.881240234353655</v>
      </c>
      <c r="P308" s="39">
        <v>8</v>
      </c>
      <c r="Q308" s="39">
        <v>10</v>
      </c>
      <c r="R308" s="39">
        <v>9</v>
      </c>
      <c r="S308" s="39">
        <v>9</v>
      </c>
      <c r="T308" s="39">
        <v>9</v>
      </c>
      <c r="U308" s="39">
        <v>9</v>
      </c>
      <c r="V308" s="39">
        <v>9</v>
      </c>
      <c r="W308" s="40" t="str">
        <f t="shared" si="30"/>
        <v>N</v>
      </c>
      <c r="X308" s="84">
        <f t="shared" si="31"/>
        <v>0</v>
      </c>
      <c r="Y308" s="84" t="str">
        <f t="shared" si="29"/>
        <v>0-4.9%</v>
      </c>
      <c r="Z308" s="85" t="s">
        <v>790</v>
      </c>
      <c r="AA308" s="59"/>
      <c r="AB308" s="59"/>
      <c r="AC308" s="59"/>
      <c r="AD308" s="59"/>
    </row>
    <row r="309" spans="1:30" x14ac:dyDescent="0.25">
      <c r="A309" s="54" t="s">
        <v>220</v>
      </c>
      <c r="B309" s="55"/>
      <c r="C309" s="56" t="s">
        <v>545</v>
      </c>
      <c r="D309" s="57">
        <f t="shared" si="26"/>
        <v>10</v>
      </c>
      <c r="E309" s="56"/>
      <c r="F309" s="56" t="s">
        <v>193</v>
      </c>
      <c r="G309" s="56">
        <v>5.45</v>
      </c>
      <c r="H309" s="56">
        <v>3.75</v>
      </c>
      <c r="I309" s="56">
        <v>3.4</v>
      </c>
      <c r="J309" s="56">
        <v>2.25</v>
      </c>
      <c r="K309" s="56">
        <v>2.85</v>
      </c>
      <c r="L309" s="56">
        <v>3.05</v>
      </c>
      <c r="M309" s="56"/>
      <c r="N309" s="58">
        <f t="shared" si="27"/>
        <v>20.75</v>
      </c>
      <c r="O309" s="58">
        <f t="shared" si="28"/>
        <v>66.676952244912513</v>
      </c>
      <c r="P309" s="39">
        <v>8</v>
      </c>
      <c r="Q309" s="39">
        <v>10</v>
      </c>
      <c r="R309" s="39">
        <v>9</v>
      </c>
      <c r="S309" s="39">
        <v>9</v>
      </c>
      <c r="T309" s="39">
        <v>9</v>
      </c>
      <c r="U309" s="39">
        <v>9</v>
      </c>
      <c r="V309" s="39">
        <v>9</v>
      </c>
      <c r="W309" s="40" t="str">
        <f t="shared" si="30"/>
        <v>N</v>
      </c>
      <c r="X309" s="84">
        <f t="shared" si="31"/>
        <v>0</v>
      </c>
      <c r="Y309" s="84" t="str">
        <f t="shared" si="29"/>
        <v>0-4.9%</v>
      </c>
      <c r="Z309" s="85" t="s">
        <v>790</v>
      </c>
      <c r="AA309" s="59"/>
      <c r="AB309" s="59"/>
      <c r="AC309" s="59"/>
      <c r="AD309" s="59"/>
    </row>
    <row r="310" spans="1:30" x14ac:dyDescent="0.25">
      <c r="A310" s="54" t="s">
        <v>221</v>
      </c>
      <c r="B310" s="55"/>
      <c r="C310" s="56" t="s">
        <v>546</v>
      </c>
      <c r="D310" s="57">
        <f t="shared" si="26"/>
        <v>10</v>
      </c>
      <c r="E310" s="56"/>
      <c r="F310" s="56" t="s">
        <v>227</v>
      </c>
      <c r="G310" s="56">
        <v>5.95</v>
      </c>
      <c r="H310" s="56">
        <v>8.1999999999999993</v>
      </c>
      <c r="I310" s="56">
        <v>7.25</v>
      </c>
      <c r="J310" s="56">
        <v>7.3</v>
      </c>
      <c r="K310" s="56">
        <v>7.1</v>
      </c>
      <c r="L310" s="56"/>
      <c r="M310" s="56"/>
      <c r="N310" s="58">
        <f t="shared" si="27"/>
        <v>35.799999999999997</v>
      </c>
      <c r="O310" s="58">
        <f t="shared" si="28"/>
        <v>776.01105012828884</v>
      </c>
      <c r="P310" s="39">
        <v>8</v>
      </c>
      <c r="Q310" s="39">
        <v>10</v>
      </c>
      <c r="R310" s="39">
        <v>9</v>
      </c>
      <c r="S310" s="39">
        <v>9</v>
      </c>
      <c r="T310" s="39">
        <v>9</v>
      </c>
      <c r="U310" s="39">
        <v>9</v>
      </c>
      <c r="V310" s="39">
        <v>9</v>
      </c>
      <c r="W310" s="40" t="str">
        <f t="shared" si="30"/>
        <v>N</v>
      </c>
      <c r="X310" s="84">
        <f t="shared" si="31"/>
        <v>0</v>
      </c>
      <c r="Y310" s="84" t="str">
        <f t="shared" si="29"/>
        <v>0-4.9%</v>
      </c>
      <c r="Z310" s="85" t="s">
        <v>782</v>
      </c>
      <c r="AA310" s="59"/>
      <c r="AB310" s="59"/>
      <c r="AC310" s="59"/>
      <c r="AD310" s="59"/>
    </row>
    <row r="311" spans="1:30" x14ac:dyDescent="0.25">
      <c r="A311" s="54" t="s">
        <v>222</v>
      </c>
      <c r="B311" s="55"/>
      <c r="C311" s="56" t="s">
        <v>379</v>
      </c>
      <c r="D311" s="57">
        <f t="shared" si="26"/>
        <v>10</v>
      </c>
      <c r="E311" s="56"/>
      <c r="F311" s="56" t="s">
        <v>193</v>
      </c>
      <c r="G311" s="56">
        <v>6</v>
      </c>
      <c r="H311" s="56">
        <v>3.8</v>
      </c>
      <c r="I311" s="56">
        <v>3.5</v>
      </c>
      <c r="J311" s="56">
        <v>2.5</v>
      </c>
      <c r="K311" s="56">
        <v>2.75</v>
      </c>
      <c r="L311" s="56">
        <v>3</v>
      </c>
      <c r="M311" s="56"/>
      <c r="N311" s="58">
        <f t="shared" si="27"/>
        <v>21.55</v>
      </c>
      <c r="O311" s="58">
        <f t="shared" si="28"/>
        <v>79.05093678175399</v>
      </c>
      <c r="P311" s="39">
        <v>8</v>
      </c>
      <c r="Q311" s="39">
        <v>10</v>
      </c>
      <c r="R311" s="39">
        <v>9</v>
      </c>
      <c r="S311" s="39">
        <v>9</v>
      </c>
      <c r="T311" s="39">
        <v>9</v>
      </c>
      <c r="U311" s="39">
        <v>9</v>
      </c>
      <c r="V311" s="39">
        <v>9</v>
      </c>
      <c r="W311" s="40" t="str">
        <f t="shared" si="30"/>
        <v>N</v>
      </c>
      <c r="X311" s="84">
        <f t="shared" si="31"/>
        <v>0</v>
      </c>
      <c r="Y311" s="84" t="str">
        <f t="shared" si="29"/>
        <v>0-4.9%</v>
      </c>
      <c r="Z311" s="85" t="s">
        <v>790</v>
      </c>
      <c r="AA311" s="59"/>
      <c r="AB311" s="59"/>
      <c r="AC311" s="59"/>
      <c r="AD311" s="59"/>
    </row>
    <row r="312" spans="1:30" x14ac:dyDescent="0.25">
      <c r="A312" s="54" t="s">
        <v>225</v>
      </c>
      <c r="B312" s="55"/>
      <c r="C312" s="56" t="s">
        <v>547</v>
      </c>
      <c r="D312" s="57">
        <f t="shared" si="26"/>
        <v>10</v>
      </c>
      <c r="E312" s="56"/>
      <c r="F312" s="56" t="s">
        <v>193</v>
      </c>
      <c r="G312" s="56">
        <v>4.8</v>
      </c>
      <c r="H312" s="56">
        <v>4.7</v>
      </c>
      <c r="I312" s="56">
        <v>4.5</v>
      </c>
      <c r="J312" s="56">
        <v>3.05</v>
      </c>
      <c r="K312" s="56">
        <v>3.55</v>
      </c>
      <c r="L312" s="56">
        <v>5</v>
      </c>
      <c r="M312" s="56"/>
      <c r="N312" s="58">
        <f t="shared" si="27"/>
        <v>25.6</v>
      </c>
      <c r="O312" s="58">
        <f t="shared" si="28"/>
        <v>171.5829496825169</v>
      </c>
      <c r="P312" s="39">
        <v>8</v>
      </c>
      <c r="Q312" s="39">
        <v>10</v>
      </c>
      <c r="R312" s="39">
        <v>9</v>
      </c>
      <c r="S312" s="39">
        <v>9</v>
      </c>
      <c r="T312" s="39">
        <v>9</v>
      </c>
      <c r="U312" s="39">
        <v>9</v>
      </c>
      <c r="V312" s="39">
        <v>9</v>
      </c>
      <c r="W312" s="40" t="str">
        <f t="shared" si="30"/>
        <v>N</v>
      </c>
      <c r="X312" s="84">
        <f t="shared" si="31"/>
        <v>0</v>
      </c>
      <c r="Y312" s="84" t="str">
        <f t="shared" si="29"/>
        <v>0-4.9%</v>
      </c>
      <c r="Z312" s="85" t="s">
        <v>790</v>
      </c>
      <c r="AA312" s="59"/>
      <c r="AB312" s="59"/>
      <c r="AC312" s="59"/>
      <c r="AD312" s="59"/>
    </row>
    <row r="313" spans="1:30" x14ac:dyDescent="0.25">
      <c r="A313" s="54" t="s">
        <v>226</v>
      </c>
      <c r="B313" s="55"/>
      <c r="C313" s="56" t="s">
        <v>548</v>
      </c>
      <c r="D313" s="57">
        <f t="shared" si="26"/>
        <v>10</v>
      </c>
      <c r="E313" s="56"/>
      <c r="F313" s="56" t="s">
        <v>193</v>
      </c>
      <c r="G313" s="56">
        <v>5.4</v>
      </c>
      <c r="H313" s="56">
        <v>4.3</v>
      </c>
      <c r="I313" s="56">
        <v>3.85</v>
      </c>
      <c r="J313" s="56">
        <v>1.85</v>
      </c>
      <c r="K313" s="56">
        <v>2.65</v>
      </c>
      <c r="L313" s="56">
        <v>3.45</v>
      </c>
      <c r="M313" s="56"/>
      <c r="N313" s="58">
        <f t="shared" si="27"/>
        <v>21.499999999999996</v>
      </c>
      <c r="O313" s="58">
        <f t="shared" si="28"/>
        <v>78.228923720019395</v>
      </c>
      <c r="P313" s="39">
        <v>8</v>
      </c>
      <c r="Q313" s="39">
        <v>10</v>
      </c>
      <c r="R313" s="39">
        <v>9</v>
      </c>
      <c r="S313" s="39">
        <v>9</v>
      </c>
      <c r="T313" s="39">
        <v>9</v>
      </c>
      <c r="U313" s="39">
        <v>9</v>
      </c>
      <c r="V313" s="39">
        <v>9</v>
      </c>
      <c r="W313" s="40" t="str">
        <f t="shared" si="30"/>
        <v>N</v>
      </c>
      <c r="X313" s="84">
        <f t="shared" si="31"/>
        <v>0</v>
      </c>
      <c r="Y313" s="84" t="str">
        <f t="shared" si="29"/>
        <v>0-4.9%</v>
      </c>
      <c r="Z313" s="85" t="s">
        <v>786</v>
      </c>
      <c r="AA313" s="59"/>
      <c r="AB313" s="59"/>
      <c r="AC313" s="59"/>
      <c r="AD313" s="59"/>
    </row>
    <row r="314" spans="1:30" x14ac:dyDescent="0.25">
      <c r="A314" s="54" t="s">
        <v>228</v>
      </c>
      <c r="B314" s="55"/>
      <c r="C314" s="56" t="s">
        <v>549</v>
      </c>
      <c r="D314" s="57">
        <f t="shared" si="26"/>
        <v>10</v>
      </c>
      <c r="E314" s="56"/>
      <c r="F314" s="56" t="s">
        <v>536</v>
      </c>
      <c r="G314" s="56">
        <v>5.75</v>
      </c>
      <c r="H314" s="56">
        <v>4.4000000000000004</v>
      </c>
      <c r="I314" s="56">
        <v>4.0999999999999996</v>
      </c>
      <c r="J314" s="56">
        <v>2.0499999999999998</v>
      </c>
      <c r="K314" s="56">
        <v>4.5999999999999996</v>
      </c>
      <c r="L314" s="56"/>
      <c r="M314" s="56"/>
      <c r="N314" s="58">
        <f t="shared" si="27"/>
        <v>20.9</v>
      </c>
      <c r="O314" s="58">
        <f t="shared" si="28"/>
        <v>68.873566554206249</v>
      </c>
      <c r="P314" s="39">
        <v>8</v>
      </c>
      <c r="Q314" s="39">
        <v>10</v>
      </c>
      <c r="R314" s="39">
        <v>9</v>
      </c>
      <c r="S314" s="39">
        <v>9</v>
      </c>
      <c r="T314" s="39">
        <v>9</v>
      </c>
      <c r="U314" s="39">
        <v>9</v>
      </c>
      <c r="V314" s="39">
        <v>9</v>
      </c>
      <c r="W314" s="40" t="str">
        <f t="shared" si="30"/>
        <v>N</v>
      </c>
      <c r="X314" s="84">
        <f t="shared" si="31"/>
        <v>0</v>
      </c>
      <c r="Y314" s="84" t="str">
        <f t="shared" si="29"/>
        <v>0-4.9%</v>
      </c>
      <c r="Z314" s="93" t="s">
        <v>790</v>
      </c>
      <c r="AA314" s="59"/>
      <c r="AB314" s="59"/>
      <c r="AC314" s="59"/>
      <c r="AD314" s="59"/>
    </row>
    <row r="315" spans="1:30" x14ac:dyDescent="0.25">
      <c r="A315" s="54" t="s">
        <v>229</v>
      </c>
      <c r="B315" s="55"/>
      <c r="C315" s="56" t="s">
        <v>550</v>
      </c>
      <c r="D315" s="57">
        <f t="shared" si="26"/>
        <v>10</v>
      </c>
      <c r="E315" s="56"/>
      <c r="F315" s="56" t="s">
        <v>193</v>
      </c>
      <c r="G315" s="56">
        <v>5</v>
      </c>
      <c r="H315" s="56">
        <v>3.85</v>
      </c>
      <c r="I315" s="56">
        <v>3.65</v>
      </c>
      <c r="J315" s="56">
        <v>4.3</v>
      </c>
      <c r="K315" s="56">
        <v>4.5</v>
      </c>
      <c r="L315" s="56">
        <v>3.6</v>
      </c>
      <c r="M315" s="56"/>
      <c r="N315" s="58">
        <f t="shared" si="27"/>
        <v>24.900000000000002</v>
      </c>
      <c r="O315" s="58">
        <f t="shared" si="28"/>
        <v>151.45769654419962</v>
      </c>
      <c r="P315" s="39">
        <v>8</v>
      </c>
      <c r="Q315" s="39">
        <v>10</v>
      </c>
      <c r="R315" s="39">
        <v>9</v>
      </c>
      <c r="S315" s="39">
        <v>9</v>
      </c>
      <c r="T315" s="39">
        <v>9</v>
      </c>
      <c r="U315" s="39">
        <v>9</v>
      </c>
      <c r="V315" s="39">
        <v>9</v>
      </c>
      <c r="W315" s="40" t="str">
        <f t="shared" si="30"/>
        <v>N</v>
      </c>
      <c r="X315" s="84">
        <f t="shared" si="31"/>
        <v>0</v>
      </c>
      <c r="Y315" s="84" t="str">
        <f t="shared" si="29"/>
        <v>0-4.9%</v>
      </c>
      <c r="Z315" s="85" t="s">
        <v>790</v>
      </c>
      <c r="AA315" s="59"/>
      <c r="AB315" s="59"/>
      <c r="AC315" s="59"/>
      <c r="AD315" s="59"/>
    </row>
    <row r="316" spans="1:30" x14ac:dyDescent="0.25">
      <c r="A316" s="54" t="s">
        <v>230</v>
      </c>
      <c r="B316" s="55"/>
      <c r="C316" s="56" t="s">
        <v>311</v>
      </c>
      <c r="D316" s="57">
        <f t="shared" si="26"/>
        <v>10</v>
      </c>
      <c r="E316" s="56"/>
      <c r="F316" s="56" t="s">
        <v>193</v>
      </c>
      <c r="G316" s="56">
        <v>5.75</v>
      </c>
      <c r="H316" s="56">
        <v>4.55</v>
      </c>
      <c r="I316" s="56">
        <v>4.45</v>
      </c>
      <c r="J316" s="56">
        <v>3.5</v>
      </c>
      <c r="K316" s="56">
        <v>3.35</v>
      </c>
      <c r="L316" s="56">
        <v>5</v>
      </c>
      <c r="M316" s="56"/>
      <c r="N316" s="58">
        <f t="shared" si="27"/>
        <v>26.6</v>
      </c>
      <c r="O316" s="58">
        <f t="shared" si="28"/>
        <v>203.87390921278728</v>
      </c>
      <c r="P316" s="39">
        <v>8</v>
      </c>
      <c r="Q316" s="39">
        <v>10</v>
      </c>
      <c r="R316" s="39">
        <v>9</v>
      </c>
      <c r="S316" s="39">
        <v>9</v>
      </c>
      <c r="T316" s="39">
        <v>9</v>
      </c>
      <c r="U316" s="39">
        <v>9</v>
      </c>
      <c r="V316" s="39">
        <v>9</v>
      </c>
      <c r="W316" s="40" t="str">
        <f t="shared" si="30"/>
        <v>N</v>
      </c>
      <c r="X316" s="84">
        <f t="shared" si="31"/>
        <v>0</v>
      </c>
      <c r="Y316" s="84" t="str">
        <f t="shared" si="29"/>
        <v>0-4.9%</v>
      </c>
      <c r="Z316" s="85" t="s">
        <v>790</v>
      </c>
      <c r="AA316" s="59"/>
      <c r="AB316" s="59"/>
      <c r="AC316" s="59"/>
      <c r="AD316" s="59"/>
    </row>
    <row r="317" spans="1:30" x14ac:dyDescent="0.25">
      <c r="A317" s="54" t="s">
        <v>233</v>
      </c>
      <c r="B317" s="55"/>
      <c r="C317" s="56" t="s">
        <v>553</v>
      </c>
      <c r="D317" s="57">
        <f t="shared" si="26"/>
        <v>10</v>
      </c>
      <c r="E317" s="56"/>
      <c r="F317" s="56" t="s">
        <v>193</v>
      </c>
      <c r="G317" s="56">
        <v>5.35</v>
      </c>
      <c r="H317" s="56">
        <v>4.55</v>
      </c>
      <c r="I317" s="56">
        <v>4.1500000000000004</v>
      </c>
      <c r="J317" s="56">
        <v>3.6</v>
      </c>
      <c r="K317" s="56">
        <v>3.5</v>
      </c>
      <c r="L317" s="56">
        <v>3.15</v>
      </c>
      <c r="M317" s="56"/>
      <c r="N317" s="58">
        <f t="shared" si="27"/>
        <v>24.299999999999997</v>
      </c>
      <c r="O317" s="58">
        <f t="shared" si="28"/>
        <v>135.71333308856089</v>
      </c>
      <c r="P317" s="39">
        <v>8</v>
      </c>
      <c r="Q317" s="39">
        <v>10</v>
      </c>
      <c r="R317" s="39">
        <v>9</v>
      </c>
      <c r="S317" s="39">
        <v>9</v>
      </c>
      <c r="T317" s="39">
        <v>9</v>
      </c>
      <c r="U317" s="39">
        <v>9</v>
      </c>
      <c r="V317" s="39">
        <v>9</v>
      </c>
      <c r="W317" s="40" t="str">
        <f t="shared" si="30"/>
        <v>N</v>
      </c>
      <c r="X317" s="84">
        <f t="shared" si="31"/>
        <v>0</v>
      </c>
      <c r="Y317" s="84" t="str">
        <f t="shared" si="29"/>
        <v>0-4.9%</v>
      </c>
      <c r="Z317" s="85" t="s">
        <v>790</v>
      </c>
      <c r="AA317" s="59"/>
      <c r="AB317" s="59"/>
      <c r="AC317" s="59"/>
      <c r="AD317" s="59"/>
    </row>
    <row r="318" spans="1:30" x14ac:dyDescent="0.25">
      <c r="A318" s="54" t="s">
        <v>234</v>
      </c>
      <c r="B318" s="55"/>
      <c r="C318" s="56" t="s">
        <v>554</v>
      </c>
      <c r="D318" s="57">
        <f t="shared" si="26"/>
        <v>10</v>
      </c>
      <c r="E318" s="56"/>
      <c r="F318" s="56" t="s">
        <v>193</v>
      </c>
      <c r="G318" s="56">
        <v>5</v>
      </c>
      <c r="H318" s="56">
        <v>3.25</v>
      </c>
      <c r="I318" s="56">
        <v>0.7</v>
      </c>
      <c r="J318" s="56">
        <v>3.75</v>
      </c>
      <c r="K318" s="56">
        <v>2.9</v>
      </c>
      <c r="L318" s="56">
        <v>2.65</v>
      </c>
      <c r="M318" s="56"/>
      <c r="N318" s="58">
        <f t="shared" si="27"/>
        <v>18.25</v>
      </c>
      <c r="O318" s="58">
        <f t="shared" si="28"/>
        <v>37.417709176196809</v>
      </c>
      <c r="P318" s="39">
        <v>8</v>
      </c>
      <c r="Q318" s="39">
        <v>10</v>
      </c>
      <c r="R318" s="39">
        <v>9</v>
      </c>
      <c r="S318" s="39">
        <v>9</v>
      </c>
      <c r="T318" s="39">
        <v>9</v>
      </c>
      <c r="U318" s="39">
        <v>9</v>
      </c>
      <c r="V318" s="39">
        <v>9</v>
      </c>
      <c r="W318" s="40" t="str">
        <f t="shared" si="30"/>
        <v>N</v>
      </c>
      <c r="X318" s="84">
        <f t="shared" si="31"/>
        <v>0</v>
      </c>
      <c r="Y318" s="84" t="str">
        <f t="shared" si="29"/>
        <v>0-4.9%</v>
      </c>
      <c r="Z318" s="85" t="s">
        <v>224</v>
      </c>
      <c r="AA318" s="59"/>
      <c r="AB318" s="59"/>
      <c r="AC318" s="59"/>
      <c r="AD318" s="59"/>
    </row>
    <row r="319" spans="1:30" x14ac:dyDescent="0.25">
      <c r="A319" s="54" t="s">
        <v>235</v>
      </c>
      <c r="B319" s="55"/>
      <c r="C319" s="56" t="s">
        <v>555</v>
      </c>
      <c r="D319" s="57">
        <f t="shared" si="26"/>
        <v>10</v>
      </c>
      <c r="E319" s="56"/>
      <c r="F319" s="56" t="s">
        <v>193</v>
      </c>
      <c r="G319" s="56">
        <v>5.55</v>
      </c>
      <c r="H319" s="56">
        <v>3.65</v>
      </c>
      <c r="I319" s="56">
        <v>3.35</v>
      </c>
      <c r="J319" s="56">
        <v>2.7</v>
      </c>
      <c r="K319" s="56">
        <v>2.6</v>
      </c>
      <c r="L319" s="56">
        <v>2.7</v>
      </c>
      <c r="M319" s="56"/>
      <c r="N319" s="58">
        <f t="shared" si="27"/>
        <v>20.55</v>
      </c>
      <c r="O319" s="58">
        <f t="shared" si="28"/>
        <v>63.833330390325372</v>
      </c>
      <c r="P319" s="39">
        <v>8</v>
      </c>
      <c r="Q319" s="39">
        <v>10</v>
      </c>
      <c r="R319" s="39">
        <v>9</v>
      </c>
      <c r="S319" s="39">
        <v>9</v>
      </c>
      <c r="T319" s="39">
        <v>9</v>
      </c>
      <c r="U319" s="39">
        <v>9</v>
      </c>
      <c r="V319" s="39">
        <v>9</v>
      </c>
      <c r="W319" s="40" t="str">
        <f t="shared" si="30"/>
        <v>N</v>
      </c>
      <c r="X319" s="84">
        <f t="shared" si="31"/>
        <v>0</v>
      </c>
      <c r="Y319" s="84" t="str">
        <f t="shared" si="29"/>
        <v>0-4.9%</v>
      </c>
      <c r="Z319" s="85" t="s">
        <v>790</v>
      </c>
      <c r="AA319" s="59"/>
      <c r="AB319" s="59"/>
      <c r="AC319" s="59"/>
      <c r="AD319" s="59"/>
    </row>
    <row r="320" spans="1:30" x14ac:dyDescent="0.25">
      <c r="A320" s="54" t="s">
        <v>237</v>
      </c>
      <c r="B320" s="55"/>
      <c r="C320" s="56" t="s">
        <v>556</v>
      </c>
      <c r="D320" s="57">
        <f t="shared" si="26"/>
        <v>10</v>
      </c>
      <c r="E320" s="56"/>
      <c r="F320" s="56" t="s">
        <v>193</v>
      </c>
      <c r="G320" s="56">
        <v>5.2</v>
      </c>
      <c r="H320" s="56">
        <v>3.75</v>
      </c>
      <c r="I320" s="56">
        <v>3.5</v>
      </c>
      <c r="J320" s="56">
        <v>2.5</v>
      </c>
      <c r="K320" s="56">
        <v>2.65</v>
      </c>
      <c r="L320" s="56">
        <v>3.15</v>
      </c>
      <c r="M320" s="56"/>
      <c r="N320" s="58">
        <f t="shared" si="27"/>
        <v>20.749999999999996</v>
      </c>
      <c r="O320" s="58">
        <f t="shared" si="28"/>
        <v>66.676952244912457</v>
      </c>
      <c r="P320" s="39">
        <v>8</v>
      </c>
      <c r="Q320" s="39">
        <v>10</v>
      </c>
      <c r="R320" s="39">
        <v>9</v>
      </c>
      <c r="S320" s="39">
        <v>9</v>
      </c>
      <c r="T320" s="39">
        <v>9</v>
      </c>
      <c r="U320" s="39">
        <v>9</v>
      </c>
      <c r="V320" s="39">
        <v>9</v>
      </c>
      <c r="W320" s="40" t="str">
        <f t="shared" si="30"/>
        <v>N</v>
      </c>
      <c r="X320" s="84">
        <f t="shared" si="31"/>
        <v>0</v>
      </c>
      <c r="Y320" s="84" t="str">
        <f t="shared" si="29"/>
        <v>0-4.9%</v>
      </c>
      <c r="Z320" s="85" t="s">
        <v>790</v>
      </c>
      <c r="AA320" s="59"/>
      <c r="AB320" s="59"/>
      <c r="AC320" s="59"/>
      <c r="AD320" s="59"/>
    </row>
    <row r="321" spans="1:30" x14ac:dyDescent="0.25">
      <c r="A321" s="54" t="s">
        <v>238</v>
      </c>
      <c r="B321" s="55"/>
      <c r="C321" s="56" t="s">
        <v>554</v>
      </c>
      <c r="D321" s="57">
        <f t="shared" si="26"/>
        <v>10</v>
      </c>
      <c r="E321" s="56"/>
      <c r="F321" s="56" t="s">
        <v>193</v>
      </c>
      <c r="G321" s="56">
        <v>5</v>
      </c>
      <c r="H321" s="56">
        <v>3.25</v>
      </c>
      <c r="I321" s="56">
        <v>0.7</v>
      </c>
      <c r="J321" s="56">
        <v>3.75</v>
      </c>
      <c r="K321" s="56">
        <v>2.9</v>
      </c>
      <c r="L321" s="56">
        <v>2.65</v>
      </c>
      <c r="M321" s="56"/>
      <c r="N321" s="58">
        <f t="shared" si="27"/>
        <v>18.25</v>
      </c>
      <c r="O321" s="58">
        <f t="shared" si="28"/>
        <v>37.417709176196809</v>
      </c>
      <c r="P321" s="39">
        <v>8</v>
      </c>
      <c r="Q321" s="39">
        <v>10</v>
      </c>
      <c r="R321" s="39">
        <v>9</v>
      </c>
      <c r="S321" s="39">
        <v>9</v>
      </c>
      <c r="T321" s="39">
        <v>9</v>
      </c>
      <c r="U321" s="39">
        <v>9</v>
      </c>
      <c r="V321" s="39">
        <v>9</v>
      </c>
      <c r="W321" s="40" t="str">
        <f t="shared" si="30"/>
        <v>N</v>
      </c>
      <c r="X321" s="84">
        <f t="shared" si="31"/>
        <v>0</v>
      </c>
      <c r="Y321" s="84" t="str">
        <f t="shared" si="29"/>
        <v>0-4.9%</v>
      </c>
      <c r="Z321" s="85" t="s">
        <v>224</v>
      </c>
      <c r="AA321" s="59"/>
      <c r="AB321" s="59"/>
      <c r="AC321" s="59"/>
      <c r="AD321" s="59"/>
    </row>
    <row r="322" spans="1:30" x14ac:dyDescent="0.25">
      <c r="A322" s="54" t="s">
        <v>239</v>
      </c>
      <c r="B322" s="55"/>
      <c r="C322" s="56" t="s">
        <v>557</v>
      </c>
      <c r="D322" s="57">
        <f t="shared" si="26"/>
        <v>10</v>
      </c>
      <c r="E322" s="56"/>
      <c r="F322" s="56" t="s">
        <v>190</v>
      </c>
      <c r="G322" s="56">
        <v>5.05</v>
      </c>
      <c r="H322" s="56">
        <v>2.2000000000000002</v>
      </c>
      <c r="I322" s="56">
        <v>3.3</v>
      </c>
      <c r="J322" s="56">
        <v>2.7</v>
      </c>
      <c r="K322" s="56">
        <v>2.35</v>
      </c>
      <c r="L322" s="56">
        <v>2.25</v>
      </c>
      <c r="M322" s="56"/>
      <c r="N322" s="58">
        <f t="shared" si="27"/>
        <v>17.850000000000001</v>
      </c>
      <c r="O322" s="58">
        <f t="shared" si="28"/>
        <v>33.866185091071557</v>
      </c>
      <c r="P322" s="39">
        <v>8</v>
      </c>
      <c r="Q322" s="39">
        <v>10</v>
      </c>
      <c r="R322" s="39">
        <v>9</v>
      </c>
      <c r="S322" s="39">
        <v>9</v>
      </c>
      <c r="T322" s="39">
        <v>9</v>
      </c>
      <c r="U322" s="39">
        <v>9</v>
      </c>
      <c r="V322" s="39">
        <v>9</v>
      </c>
      <c r="W322" s="40" t="str">
        <f t="shared" si="30"/>
        <v>N</v>
      </c>
      <c r="X322" s="84">
        <f t="shared" si="31"/>
        <v>0</v>
      </c>
      <c r="Y322" s="84" t="str">
        <f t="shared" si="29"/>
        <v>0-4.9%</v>
      </c>
      <c r="Z322" s="85" t="s">
        <v>224</v>
      </c>
      <c r="AA322" s="59"/>
      <c r="AB322" s="59"/>
      <c r="AC322" s="59"/>
      <c r="AD322" s="59"/>
    </row>
    <row r="323" spans="1:30" x14ac:dyDescent="0.25">
      <c r="A323" s="54" t="s">
        <v>241</v>
      </c>
      <c r="B323" s="55"/>
      <c r="C323" s="56" t="s">
        <v>387</v>
      </c>
      <c r="D323" s="57">
        <f t="shared" si="26"/>
        <v>10</v>
      </c>
      <c r="E323" s="56"/>
      <c r="F323" s="56" t="s">
        <v>227</v>
      </c>
      <c r="G323" s="56">
        <v>5.45</v>
      </c>
      <c r="H323" s="56">
        <v>2.2999999999999998</v>
      </c>
      <c r="I323" s="56">
        <v>3.8</v>
      </c>
      <c r="J323" s="56">
        <v>2.85</v>
      </c>
      <c r="K323" s="56">
        <v>2.75</v>
      </c>
      <c r="L323" s="56">
        <v>2.75</v>
      </c>
      <c r="M323" s="56"/>
      <c r="N323" s="58">
        <f t="shared" si="27"/>
        <v>19.899999999999999</v>
      </c>
      <c r="O323" s="58">
        <f t="shared" si="28"/>
        <v>55.23738742266945</v>
      </c>
      <c r="P323" s="39">
        <v>8</v>
      </c>
      <c r="Q323" s="39">
        <v>10</v>
      </c>
      <c r="R323" s="39">
        <v>9</v>
      </c>
      <c r="S323" s="39">
        <v>9</v>
      </c>
      <c r="T323" s="39">
        <v>9</v>
      </c>
      <c r="U323" s="39">
        <v>9</v>
      </c>
      <c r="V323" s="39">
        <v>9</v>
      </c>
      <c r="W323" s="40" t="str">
        <f t="shared" si="30"/>
        <v>N</v>
      </c>
      <c r="X323" s="84">
        <f t="shared" si="31"/>
        <v>0</v>
      </c>
      <c r="Y323" s="84" t="str">
        <f t="shared" si="29"/>
        <v>0-4.9%</v>
      </c>
      <c r="Z323" s="85" t="s">
        <v>794</v>
      </c>
      <c r="AA323" s="59"/>
      <c r="AB323" s="59"/>
      <c r="AC323" s="59"/>
      <c r="AD323" s="59"/>
    </row>
    <row r="324" spans="1:30" x14ac:dyDescent="0.25">
      <c r="A324" s="54" t="s">
        <v>243</v>
      </c>
      <c r="B324" s="55"/>
      <c r="C324" s="56" t="s">
        <v>559</v>
      </c>
      <c r="D324" s="57">
        <f t="shared" si="26"/>
        <v>10</v>
      </c>
      <c r="E324" s="56"/>
      <c r="F324" s="56" t="s">
        <v>193</v>
      </c>
      <c r="G324" s="56">
        <v>4.5999999999999996</v>
      </c>
      <c r="H324" s="56">
        <v>3.7</v>
      </c>
      <c r="I324" s="56">
        <v>3.7</v>
      </c>
      <c r="J324" s="56">
        <v>2.65</v>
      </c>
      <c r="K324" s="56">
        <v>2.8</v>
      </c>
      <c r="L324" s="56">
        <v>3.2</v>
      </c>
      <c r="M324" s="56"/>
      <c r="N324" s="58">
        <f t="shared" si="27"/>
        <v>20.65</v>
      </c>
      <c r="O324" s="58">
        <f t="shared" si="28"/>
        <v>65.24309239623507</v>
      </c>
      <c r="P324" s="39">
        <v>8</v>
      </c>
      <c r="Q324" s="39">
        <v>10</v>
      </c>
      <c r="R324" s="39">
        <v>9</v>
      </c>
      <c r="S324" s="39">
        <v>9</v>
      </c>
      <c r="T324" s="39">
        <v>9</v>
      </c>
      <c r="U324" s="39">
        <v>9</v>
      </c>
      <c r="V324" s="39">
        <v>9</v>
      </c>
      <c r="W324" s="40" t="str">
        <f t="shared" si="30"/>
        <v>N</v>
      </c>
      <c r="X324" s="84">
        <f t="shared" si="31"/>
        <v>0</v>
      </c>
      <c r="Y324" s="84" t="str">
        <f t="shared" si="29"/>
        <v>0-4.9%</v>
      </c>
      <c r="Z324" s="85" t="s">
        <v>790</v>
      </c>
      <c r="AA324" s="59"/>
      <c r="AB324" s="59"/>
      <c r="AC324" s="59"/>
      <c r="AD324" s="59"/>
    </row>
    <row r="325" spans="1:30" x14ac:dyDescent="0.25">
      <c r="A325" s="54" t="s">
        <v>244</v>
      </c>
      <c r="B325" s="55"/>
      <c r="C325" s="56" t="s">
        <v>560</v>
      </c>
      <c r="D325" s="57">
        <f t="shared" si="26"/>
        <v>10</v>
      </c>
      <c r="E325" s="56"/>
      <c r="F325" s="56" t="s">
        <v>524</v>
      </c>
      <c r="G325" s="56">
        <v>6</v>
      </c>
      <c r="H325" s="56">
        <v>6.15</v>
      </c>
      <c r="I325" s="56">
        <v>5.75</v>
      </c>
      <c r="J325" s="56">
        <v>3.2</v>
      </c>
      <c r="K325" s="56">
        <v>3.6</v>
      </c>
      <c r="L325" s="56">
        <v>2.6</v>
      </c>
      <c r="M325" s="56">
        <v>2.4500000000000002</v>
      </c>
      <c r="N325" s="58">
        <f t="shared" si="27"/>
        <v>29.75</v>
      </c>
      <c r="O325" s="58">
        <f t="shared" si="28"/>
        <v>337.3538345095115</v>
      </c>
      <c r="P325" s="39">
        <v>8</v>
      </c>
      <c r="Q325" s="39">
        <v>10</v>
      </c>
      <c r="R325" s="39">
        <v>9</v>
      </c>
      <c r="S325" s="39">
        <v>9</v>
      </c>
      <c r="T325" s="39">
        <v>9</v>
      </c>
      <c r="U325" s="39">
        <v>9</v>
      </c>
      <c r="V325" s="39">
        <v>9</v>
      </c>
      <c r="W325" s="40" t="str">
        <f t="shared" si="30"/>
        <v>N</v>
      </c>
      <c r="X325" s="84">
        <f t="shared" si="31"/>
        <v>0</v>
      </c>
      <c r="Y325" s="84" t="str">
        <f t="shared" si="29"/>
        <v>0-4.9%</v>
      </c>
      <c r="Z325" s="85" t="s">
        <v>812</v>
      </c>
      <c r="AA325" s="59"/>
      <c r="AB325" s="59"/>
      <c r="AC325" s="59"/>
      <c r="AD325" s="59"/>
    </row>
    <row r="326" spans="1:30" x14ac:dyDescent="0.25">
      <c r="A326" s="54" t="s">
        <v>245</v>
      </c>
      <c r="B326" s="55"/>
      <c r="C326" s="56" t="s">
        <v>561</v>
      </c>
      <c r="D326" s="57">
        <f t="shared" si="26"/>
        <v>10</v>
      </c>
      <c r="E326" s="56"/>
      <c r="F326" s="56" t="s">
        <v>193</v>
      </c>
      <c r="G326" s="56">
        <v>5.85</v>
      </c>
      <c r="H326" s="56">
        <v>4.45</v>
      </c>
      <c r="I326" s="56">
        <v>4.25</v>
      </c>
      <c r="J326" s="56">
        <v>3.95</v>
      </c>
      <c r="K326" s="56">
        <v>3.1</v>
      </c>
      <c r="L326" s="56">
        <v>3.45</v>
      </c>
      <c r="M326" s="56"/>
      <c r="N326" s="58">
        <f t="shared" si="27"/>
        <v>25.05</v>
      </c>
      <c r="O326" s="58">
        <f t="shared" si="28"/>
        <v>155.60697908921108</v>
      </c>
      <c r="P326" s="39">
        <v>8</v>
      </c>
      <c r="Q326" s="39">
        <v>10</v>
      </c>
      <c r="R326" s="39">
        <v>9</v>
      </c>
      <c r="S326" s="39">
        <v>9</v>
      </c>
      <c r="T326" s="39">
        <v>9</v>
      </c>
      <c r="U326" s="39">
        <v>9</v>
      </c>
      <c r="V326" s="39">
        <v>9</v>
      </c>
      <c r="W326" s="40" t="str">
        <f t="shared" si="30"/>
        <v>N</v>
      </c>
      <c r="X326" s="84">
        <f t="shared" si="31"/>
        <v>0</v>
      </c>
      <c r="Y326" s="84" t="str">
        <f t="shared" si="29"/>
        <v>0-4.9%</v>
      </c>
      <c r="Z326" s="85" t="s">
        <v>790</v>
      </c>
      <c r="AA326" s="59"/>
      <c r="AB326" s="59"/>
      <c r="AC326" s="59"/>
      <c r="AD326" s="59"/>
    </row>
    <row r="327" spans="1:30" x14ac:dyDescent="0.25">
      <c r="A327" s="54" t="s">
        <v>246</v>
      </c>
      <c r="B327" s="55"/>
      <c r="C327" s="56" t="s">
        <v>562</v>
      </c>
      <c r="D327" s="57">
        <f t="shared" si="26"/>
        <v>10</v>
      </c>
      <c r="E327" s="56"/>
      <c r="F327" s="56" t="s">
        <v>193</v>
      </c>
      <c r="G327" s="56">
        <v>5.8</v>
      </c>
      <c r="H327" s="56">
        <v>4.0999999999999996</v>
      </c>
      <c r="I327" s="56">
        <v>4.05</v>
      </c>
      <c r="J327" s="56">
        <v>2.5</v>
      </c>
      <c r="K327" s="56">
        <v>2.5499999999999998</v>
      </c>
      <c r="L327" s="56">
        <v>3.55</v>
      </c>
      <c r="M327" s="56"/>
      <c r="N327" s="58">
        <f t="shared" si="27"/>
        <v>22.55</v>
      </c>
      <c r="O327" s="58">
        <f t="shared" si="28"/>
        <v>96.95132383107493</v>
      </c>
      <c r="P327" s="39">
        <v>8</v>
      </c>
      <c r="Q327" s="39">
        <v>10</v>
      </c>
      <c r="R327" s="39">
        <v>9</v>
      </c>
      <c r="S327" s="39">
        <v>9</v>
      </c>
      <c r="T327" s="39">
        <v>9</v>
      </c>
      <c r="U327" s="39">
        <v>9</v>
      </c>
      <c r="V327" s="39">
        <v>9</v>
      </c>
      <c r="W327" s="40" t="str">
        <f t="shared" si="30"/>
        <v>N</v>
      </c>
      <c r="X327" s="84">
        <f t="shared" si="31"/>
        <v>0</v>
      </c>
      <c r="Y327" s="84" t="str">
        <f t="shared" si="29"/>
        <v>0-4.9%</v>
      </c>
      <c r="Z327" s="85" t="s">
        <v>790</v>
      </c>
      <c r="AA327" s="59"/>
      <c r="AB327" s="59"/>
      <c r="AC327" s="59"/>
      <c r="AD327" s="59"/>
    </row>
    <row r="328" spans="1:30" x14ac:dyDescent="0.25">
      <c r="A328" s="54" t="s">
        <v>247</v>
      </c>
      <c r="B328" s="55"/>
      <c r="C328" s="56" t="s">
        <v>563</v>
      </c>
      <c r="D328" s="57">
        <f t="shared" ref="D328:D391" si="32">IF(COUNT(G328:M328)&gt;3,10,IF(COUNT(G328:M328)&gt;2,9,7))</f>
        <v>10</v>
      </c>
      <c r="E328" s="56"/>
      <c r="F328" s="56" t="s">
        <v>193</v>
      </c>
      <c r="G328" s="56">
        <v>4.95</v>
      </c>
      <c r="H328" s="56">
        <v>3.3</v>
      </c>
      <c r="I328" s="56">
        <v>3.65</v>
      </c>
      <c r="J328" s="56">
        <v>3.45</v>
      </c>
      <c r="K328" s="56">
        <v>3.3</v>
      </c>
      <c r="L328" s="56">
        <v>3</v>
      </c>
      <c r="M328" s="56"/>
      <c r="N328" s="58">
        <f t="shared" ref="N328:N391" si="33">SUM(G328:M328)</f>
        <v>21.650000000000002</v>
      </c>
      <c r="O328" s="58">
        <f t="shared" ref="O328:O391" si="34">(N328/8.16)^4.5</f>
        <v>80.715109208815392</v>
      </c>
      <c r="P328" s="39">
        <v>8</v>
      </c>
      <c r="Q328" s="39">
        <v>10</v>
      </c>
      <c r="R328" s="39">
        <v>9</v>
      </c>
      <c r="S328" s="39">
        <v>9</v>
      </c>
      <c r="T328" s="39">
        <v>9</v>
      </c>
      <c r="U328" s="39">
        <v>9</v>
      </c>
      <c r="V328" s="39">
        <v>9</v>
      </c>
      <c r="W328" s="40" t="str">
        <f t="shared" si="30"/>
        <v>N</v>
      </c>
      <c r="X328" s="84">
        <f t="shared" si="31"/>
        <v>0</v>
      </c>
      <c r="Y328" s="84" t="str">
        <f t="shared" ref="Y328:Y391" si="35">IF(X328&lt;5%,"0-4.9%",IF(X328&lt;25%,"5-25%",IF(X328&lt;50%,"25-50%","Over 50%")))</f>
        <v>0-4.9%</v>
      </c>
      <c r="Z328" s="85" t="s">
        <v>794</v>
      </c>
      <c r="AA328" s="59"/>
      <c r="AB328" s="59"/>
      <c r="AC328" s="59"/>
      <c r="AD328" s="59"/>
    </row>
    <row r="329" spans="1:30" x14ac:dyDescent="0.25">
      <c r="A329" s="54" t="s">
        <v>249</v>
      </c>
      <c r="B329" s="55"/>
      <c r="C329" s="56" t="s">
        <v>564</v>
      </c>
      <c r="D329" s="57">
        <f t="shared" si="32"/>
        <v>10</v>
      </c>
      <c r="E329" s="56"/>
      <c r="F329" s="56" t="s">
        <v>190</v>
      </c>
      <c r="G329" s="56">
        <v>4.45</v>
      </c>
      <c r="H329" s="56">
        <v>5</v>
      </c>
      <c r="I329" s="56">
        <v>2.5499999999999998</v>
      </c>
      <c r="J329" s="56">
        <v>3.3</v>
      </c>
      <c r="K329" s="56">
        <v>2.7</v>
      </c>
      <c r="L329" s="56"/>
      <c r="M329" s="56"/>
      <c r="N329" s="58">
        <f t="shared" si="33"/>
        <v>18</v>
      </c>
      <c r="O329" s="58">
        <f t="shared" si="34"/>
        <v>35.16580459779167</v>
      </c>
      <c r="P329" s="39">
        <v>8</v>
      </c>
      <c r="Q329" s="39">
        <v>10</v>
      </c>
      <c r="R329" s="39">
        <v>9</v>
      </c>
      <c r="S329" s="39">
        <v>9</v>
      </c>
      <c r="T329" s="39">
        <v>9</v>
      </c>
      <c r="U329" s="39">
        <v>9</v>
      </c>
      <c r="V329" s="39">
        <v>9</v>
      </c>
      <c r="W329" s="40" t="str">
        <f t="shared" ref="W329:W392" si="36">IF(G329&gt;P329,"Y",IF(H329&gt;Q329,"Y",IF(I329&gt;R329,"Y",IF(J329&gt;S329,"Y",IF(K329&gt;T329,"Y",IF(L329&gt;U329,"Y",IF(M329&gt;V329,"Y","N")))))))</f>
        <v>N</v>
      </c>
      <c r="X329" s="84">
        <f t="shared" ref="X329:X392" si="37">IF(W329="Y",MAX((G329-P329),(H329-Q329),(I329-R329),(J329-S329),(K329-T329),(L329-U329),(M329-V329))/10,0)</f>
        <v>0</v>
      </c>
      <c r="Y329" s="84" t="str">
        <f t="shared" si="35"/>
        <v>0-4.9%</v>
      </c>
      <c r="Z329" s="85" t="s">
        <v>790</v>
      </c>
      <c r="AA329" s="59"/>
      <c r="AB329" s="59"/>
      <c r="AC329" s="59"/>
      <c r="AD329" s="59"/>
    </row>
    <row r="330" spans="1:30" x14ac:dyDescent="0.25">
      <c r="A330" s="54" t="s">
        <v>253</v>
      </c>
      <c r="B330" s="55"/>
      <c r="C330" s="56" t="s">
        <v>567</v>
      </c>
      <c r="D330" s="57">
        <f t="shared" si="32"/>
        <v>10</v>
      </c>
      <c r="E330" s="56"/>
      <c r="F330" s="56" t="s">
        <v>227</v>
      </c>
      <c r="G330" s="56">
        <v>6.35</v>
      </c>
      <c r="H330" s="56">
        <v>7.7</v>
      </c>
      <c r="I330" s="56">
        <v>8.25</v>
      </c>
      <c r="J330" s="56">
        <v>7.3</v>
      </c>
      <c r="K330" s="56">
        <v>7.35</v>
      </c>
      <c r="L330" s="56"/>
      <c r="M330" s="56"/>
      <c r="N330" s="58">
        <f t="shared" si="33"/>
        <v>36.950000000000003</v>
      </c>
      <c r="O330" s="58">
        <f t="shared" si="34"/>
        <v>894.66259009008297</v>
      </c>
      <c r="P330" s="39">
        <v>8</v>
      </c>
      <c r="Q330" s="39">
        <v>10</v>
      </c>
      <c r="R330" s="39">
        <v>9</v>
      </c>
      <c r="S330" s="39">
        <v>9</v>
      </c>
      <c r="T330" s="39">
        <v>9</v>
      </c>
      <c r="U330" s="39">
        <v>9</v>
      </c>
      <c r="V330" s="39">
        <v>9</v>
      </c>
      <c r="W330" s="40" t="str">
        <f t="shared" si="36"/>
        <v>N</v>
      </c>
      <c r="X330" s="84">
        <f t="shared" si="37"/>
        <v>0</v>
      </c>
      <c r="Y330" s="84" t="str">
        <f t="shared" si="35"/>
        <v>0-4.9%</v>
      </c>
      <c r="Z330" s="85" t="s">
        <v>786</v>
      </c>
      <c r="AA330" s="59"/>
      <c r="AB330" s="59"/>
      <c r="AC330" s="59"/>
      <c r="AD330" s="59"/>
    </row>
    <row r="331" spans="1:30" x14ac:dyDescent="0.25">
      <c r="A331" s="54" t="s">
        <v>259</v>
      </c>
      <c r="B331" s="55"/>
      <c r="C331" s="56" t="s">
        <v>381</v>
      </c>
      <c r="D331" s="57">
        <f t="shared" si="32"/>
        <v>10</v>
      </c>
      <c r="E331" s="56"/>
      <c r="F331" s="56" t="s">
        <v>193</v>
      </c>
      <c r="G331" s="56">
        <v>5.0999999999999996</v>
      </c>
      <c r="H331" s="56">
        <v>4</v>
      </c>
      <c r="I331" s="56">
        <v>3.6</v>
      </c>
      <c r="J331" s="56">
        <v>2.75</v>
      </c>
      <c r="K331" s="56">
        <v>3.05</v>
      </c>
      <c r="L331" s="56">
        <v>2.95</v>
      </c>
      <c r="M331" s="56"/>
      <c r="N331" s="58">
        <f t="shared" si="33"/>
        <v>21.45</v>
      </c>
      <c r="O331" s="58">
        <f t="shared" si="34"/>
        <v>77.413574301502905</v>
      </c>
      <c r="P331" s="39">
        <v>8</v>
      </c>
      <c r="Q331" s="39">
        <v>10</v>
      </c>
      <c r="R331" s="39">
        <v>9</v>
      </c>
      <c r="S331" s="39">
        <v>9</v>
      </c>
      <c r="T331" s="39">
        <v>9</v>
      </c>
      <c r="U331" s="39">
        <v>9</v>
      </c>
      <c r="V331" s="39">
        <v>9</v>
      </c>
      <c r="W331" s="40" t="str">
        <f t="shared" si="36"/>
        <v>N</v>
      </c>
      <c r="X331" s="84">
        <f t="shared" si="37"/>
        <v>0</v>
      </c>
      <c r="Y331" s="84" t="str">
        <f t="shared" si="35"/>
        <v>0-4.9%</v>
      </c>
      <c r="Z331" s="85" t="s">
        <v>790</v>
      </c>
      <c r="AA331" s="59"/>
      <c r="AB331" s="59"/>
      <c r="AC331" s="59"/>
      <c r="AD331" s="59"/>
    </row>
    <row r="332" spans="1:30" x14ac:dyDescent="0.25">
      <c r="A332" s="54" t="s">
        <v>260</v>
      </c>
      <c r="B332" s="55"/>
      <c r="C332" s="56" t="s">
        <v>572</v>
      </c>
      <c r="D332" s="57">
        <f t="shared" si="32"/>
        <v>10</v>
      </c>
      <c r="E332" s="56"/>
      <c r="F332" s="56" t="s">
        <v>193</v>
      </c>
      <c r="G332" s="56">
        <v>5.75</v>
      </c>
      <c r="H332" s="56">
        <v>3.65</v>
      </c>
      <c r="I332" s="56">
        <v>4</v>
      </c>
      <c r="J332" s="56">
        <v>3.85</v>
      </c>
      <c r="K332" s="56">
        <v>3</v>
      </c>
      <c r="L332" s="56">
        <v>2.35</v>
      </c>
      <c r="M332" s="56"/>
      <c r="N332" s="58">
        <f t="shared" si="33"/>
        <v>22.6</v>
      </c>
      <c r="O332" s="58">
        <f t="shared" si="34"/>
        <v>97.922447942077866</v>
      </c>
      <c r="P332" s="39">
        <v>8</v>
      </c>
      <c r="Q332" s="39">
        <v>10</v>
      </c>
      <c r="R332" s="39">
        <v>9</v>
      </c>
      <c r="S332" s="39">
        <v>9</v>
      </c>
      <c r="T332" s="39">
        <v>9</v>
      </c>
      <c r="U332" s="39">
        <v>9</v>
      </c>
      <c r="V332" s="39">
        <v>9</v>
      </c>
      <c r="W332" s="40" t="str">
        <f t="shared" si="36"/>
        <v>N</v>
      </c>
      <c r="X332" s="84">
        <f t="shared" si="37"/>
        <v>0</v>
      </c>
      <c r="Y332" s="84" t="str">
        <f t="shared" si="35"/>
        <v>0-4.9%</v>
      </c>
      <c r="Z332" s="85" t="s">
        <v>790</v>
      </c>
      <c r="AA332" s="59"/>
      <c r="AB332" s="59"/>
      <c r="AC332" s="59"/>
      <c r="AD332" s="59"/>
    </row>
    <row r="333" spans="1:30" x14ac:dyDescent="0.25">
      <c r="A333" s="54" t="s">
        <v>262</v>
      </c>
      <c r="B333" s="55"/>
      <c r="C333" s="56" t="s">
        <v>574</v>
      </c>
      <c r="D333" s="57">
        <f t="shared" si="32"/>
        <v>10</v>
      </c>
      <c r="E333" s="56"/>
      <c r="F333" s="56" t="s">
        <v>193</v>
      </c>
      <c r="G333" s="56">
        <v>4.6500000000000004</v>
      </c>
      <c r="H333" s="56">
        <v>3.65</v>
      </c>
      <c r="I333" s="56">
        <v>3.4</v>
      </c>
      <c r="J333" s="56">
        <v>2.7</v>
      </c>
      <c r="K333" s="56">
        <v>2.5</v>
      </c>
      <c r="L333" s="56">
        <v>2.4500000000000002</v>
      </c>
      <c r="M333" s="56"/>
      <c r="N333" s="58">
        <f t="shared" si="33"/>
        <v>19.350000000000001</v>
      </c>
      <c r="O333" s="58">
        <f t="shared" si="34"/>
        <v>48.692115969954301</v>
      </c>
      <c r="P333" s="39">
        <v>8</v>
      </c>
      <c r="Q333" s="39">
        <v>10</v>
      </c>
      <c r="R333" s="39">
        <v>9</v>
      </c>
      <c r="S333" s="39">
        <v>9</v>
      </c>
      <c r="T333" s="39">
        <v>9</v>
      </c>
      <c r="U333" s="39">
        <v>9</v>
      </c>
      <c r="V333" s="39">
        <v>9</v>
      </c>
      <c r="W333" s="40" t="str">
        <f t="shared" si="36"/>
        <v>N</v>
      </c>
      <c r="X333" s="84">
        <f t="shared" si="37"/>
        <v>0</v>
      </c>
      <c r="Y333" s="84" t="str">
        <f t="shared" si="35"/>
        <v>0-4.9%</v>
      </c>
      <c r="Z333" s="85" t="s">
        <v>786</v>
      </c>
      <c r="AA333" s="59"/>
      <c r="AB333" s="59"/>
      <c r="AC333" s="59"/>
      <c r="AD333" s="59"/>
    </row>
    <row r="334" spans="1:30" x14ac:dyDescent="0.25">
      <c r="A334" s="54" t="s">
        <v>265</v>
      </c>
      <c r="B334" s="55"/>
      <c r="C334" s="56" t="s">
        <v>577</v>
      </c>
      <c r="D334" s="57">
        <f t="shared" si="32"/>
        <v>10</v>
      </c>
      <c r="E334" s="56"/>
      <c r="F334" s="56" t="s">
        <v>193</v>
      </c>
      <c r="G334" s="56">
        <v>4.9000000000000004</v>
      </c>
      <c r="H334" s="56">
        <v>4</v>
      </c>
      <c r="I334" s="56">
        <v>0.7</v>
      </c>
      <c r="J334" s="56">
        <v>3.35</v>
      </c>
      <c r="K334" s="56">
        <v>2.8</v>
      </c>
      <c r="L334" s="56">
        <v>2.95</v>
      </c>
      <c r="M334" s="56"/>
      <c r="N334" s="58">
        <f t="shared" si="33"/>
        <v>18.7</v>
      </c>
      <c r="O334" s="58">
        <f t="shared" si="34"/>
        <v>41.752406776655548</v>
      </c>
      <c r="P334" s="39">
        <v>8</v>
      </c>
      <c r="Q334" s="39">
        <v>10</v>
      </c>
      <c r="R334" s="39">
        <v>9</v>
      </c>
      <c r="S334" s="39">
        <v>9</v>
      </c>
      <c r="T334" s="39">
        <v>9</v>
      </c>
      <c r="U334" s="39">
        <v>9</v>
      </c>
      <c r="V334" s="39">
        <v>9</v>
      </c>
      <c r="W334" s="40" t="str">
        <f t="shared" si="36"/>
        <v>N</v>
      </c>
      <c r="X334" s="84">
        <f t="shared" si="37"/>
        <v>0</v>
      </c>
      <c r="Y334" s="84" t="str">
        <f t="shared" si="35"/>
        <v>0-4.9%</v>
      </c>
      <c r="Z334" s="85" t="s">
        <v>224</v>
      </c>
      <c r="AA334" s="59"/>
      <c r="AB334" s="59"/>
      <c r="AC334" s="59"/>
      <c r="AD334" s="59"/>
    </row>
    <row r="335" spans="1:30" x14ac:dyDescent="0.25">
      <c r="A335" s="77" t="s">
        <v>272</v>
      </c>
      <c r="B335" s="78"/>
      <c r="C335" s="79" t="s">
        <v>584</v>
      </c>
      <c r="D335" s="57">
        <f t="shared" si="32"/>
        <v>10</v>
      </c>
      <c r="E335" s="79"/>
      <c r="F335" s="79" t="s">
        <v>193</v>
      </c>
      <c r="G335" s="79">
        <v>5.15</v>
      </c>
      <c r="H335" s="79">
        <v>4.2</v>
      </c>
      <c r="I335" s="79">
        <v>4.2</v>
      </c>
      <c r="J335" s="79">
        <v>2.85</v>
      </c>
      <c r="K335" s="79">
        <v>2.95</v>
      </c>
      <c r="L335" s="79">
        <v>5.0999999999999996</v>
      </c>
      <c r="M335" s="79"/>
      <c r="N335" s="58">
        <f t="shared" si="33"/>
        <v>24.450000000000003</v>
      </c>
      <c r="O335" s="58">
        <f t="shared" si="34"/>
        <v>139.52408117193687</v>
      </c>
      <c r="P335" s="39">
        <v>8</v>
      </c>
      <c r="Q335" s="39">
        <v>10</v>
      </c>
      <c r="R335" s="39">
        <v>9</v>
      </c>
      <c r="S335" s="39">
        <v>9</v>
      </c>
      <c r="T335" s="39">
        <v>9</v>
      </c>
      <c r="U335" s="39">
        <v>9</v>
      </c>
      <c r="V335" s="39">
        <v>9</v>
      </c>
      <c r="W335" s="40" t="str">
        <f t="shared" si="36"/>
        <v>N</v>
      </c>
      <c r="X335" s="84">
        <f t="shared" si="37"/>
        <v>0</v>
      </c>
      <c r="Y335" s="84" t="str">
        <f t="shared" si="35"/>
        <v>0-4.9%</v>
      </c>
      <c r="Z335" s="94" t="s">
        <v>224</v>
      </c>
      <c r="AA335" s="59"/>
      <c r="AB335" s="59"/>
      <c r="AC335" s="59"/>
      <c r="AD335" s="59"/>
    </row>
    <row r="336" spans="1:30" x14ac:dyDescent="0.25">
      <c r="A336" s="54" t="s">
        <v>276</v>
      </c>
      <c r="B336" s="55"/>
      <c r="C336" s="56" t="s">
        <v>587</v>
      </c>
      <c r="D336" s="57">
        <f t="shared" si="32"/>
        <v>10</v>
      </c>
      <c r="E336" s="56"/>
      <c r="F336" s="56" t="s">
        <v>193</v>
      </c>
      <c r="G336" s="56">
        <v>4.5</v>
      </c>
      <c r="H336" s="56">
        <v>4</v>
      </c>
      <c r="I336" s="56">
        <v>4.05</v>
      </c>
      <c r="J336" s="56">
        <v>3.1</v>
      </c>
      <c r="K336" s="56">
        <v>3.25</v>
      </c>
      <c r="L336" s="56">
        <v>3</v>
      </c>
      <c r="M336" s="56"/>
      <c r="N336" s="58">
        <f t="shared" si="33"/>
        <v>21.9</v>
      </c>
      <c r="O336" s="58">
        <f t="shared" si="34"/>
        <v>84.994887303355114</v>
      </c>
      <c r="P336" s="39">
        <v>8</v>
      </c>
      <c r="Q336" s="39">
        <v>10</v>
      </c>
      <c r="R336" s="39">
        <v>9</v>
      </c>
      <c r="S336" s="39">
        <v>9</v>
      </c>
      <c r="T336" s="39">
        <v>9</v>
      </c>
      <c r="U336" s="39">
        <v>9</v>
      </c>
      <c r="V336" s="39">
        <v>9</v>
      </c>
      <c r="W336" s="40" t="str">
        <f t="shared" si="36"/>
        <v>N</v>
      </c>
      <c r="X336" s="84">
        <f t="shared" si="37"/>
        <v>0</v>
      </c>
      <c r="Y336" s="84" t="str">
        <f t="shared" si="35"/>
        <v>0-4.9%</v>
      </c>
      <c r="Z336" s="85" t="s">
        <v>790</v>
      </c>
      <c r="AA336" s="59"/>
      <c r="AB336" s="59"/>
      <c r="AC336" s="59"/>
      <c r="AD336" s="59"/>
    </row>
    <row r="337" spans="1:30" x14ac:dyDescent="0.25">
      <c r="A337" s="54" t="s">
        <v>288</v>
      </c>
      <c r="B337" s="55"/>
      <c r="C337" s="56" t="s">
        <v>596</v>
      </c>
      <c r="D337" s="57">
        <f t="shared" si="32"/>
        <v>10</v>
      </c>
      <c r="E337" s="56"/>
      <c r="F337" s="56" t="s">
        <v>193</v>
      </c>
      <c r="G337" s="56">
        <v>5.2</v>
      </c>
      <c r="H337" s="56">
        <v>3.65</v>
      </c>
      <c r="I337" s="56">
        <v>0.95</v>
      </c>
      <c r="J337" s="56">
        <v>2.65</v>
      </c>
      <c r="K337" s="56">
        <v>2.2999999999999998</v>
      </c>
      <c r="L337" s="56">
        <v>2.2000000000000002</v>
      </c>
      <c r="M337" s="56"/>
      <c r="N337" s="58">
        <f t="shared" si="33"/>
        <v>16.95</v>
      </c>
      <c r="O337" s="58">
        <f t="shared" si="34"/>
        <v>26.832302847681589</v>
      </c>
      <c r="P337" s="39">
        <v>8</v>
      </c>
      <c r="Q337" s="39">
        <v>10</v>
      </c>
      <c r="R337" s="39">
        <v>9</v>
      </c>
      <c r="S337" s="39">
        <v>9</v>
      </c>
      <c r="T337" s="39">
        <v>9</v>
      </c>
      <c r="U337" s="39">
        <v>9</v>
      </c>
      <c r="V337" s="39">
        <v>9</v>
      </c>
      <c r="W337" s="40" t="str">
        <f t="shared" si="36"/>
        <v>N</v>
      </c>
      <c r="X337" s="84">
        <f t="shared" si="37"/>
        <v>0</v>
      </c>
      <c r="Y337" s="84" t="str">
        <f t="shared" si="35"/>
        <v>0-4.9%</v>
      </c>
      <c r="Z337" s="85" t="s">
        <v>224</v>
      </c>
      <c r="AA337" s="59"/>
      <c r="AB337" s="59"/>
      <c r="AC337" s="59"/>
      <c r="AD337" s="59"/>
    </row>
    <row r="338" spans="1:30" x14ac:dyDescent="0.25">
      <c r="A338" s="54" t="s">
        <v>290</v>
      </c>
      <c r="B338" s="55"/>
      <c r="C338" s="56" t="s">
        <v>598</v>
      </c>
      <c r="D338" s="57">
        <f t="shared" si="32"/>
        <v>10</v>
      </c>
      <c r="E338" s="56"/>
      <c r="F338" s="56" t="s">
        <v>190</v>
      </c>
      <c r="G338" s="56">
        <v>5.2</v>
      </c>
      <c r="H338" s="56">
        <v>2</v>
      </c>
      <c r="I338" s="56">
        <v>2.95</v>
      </c>
      <c r="J338" s="56">
        <v>2.9</v>
      </c>
      <c r="K338" s="56">
        <v>2.9</v>
      </c>
      <c r="L338" s="56">
        <v>2.85</v>
      </c>
      <c r="M338" s="56"/>
      <c r="N338" s="58">
        <f t="shared" si="33"/>
        <v>18.8</v>
      </c>
      <c r="O338" s="58">
        <f t="shared" si="34"/>
        <v>42.766588442913125</v>
      </c>
      <c r="P338" s="39">
        <v>8</v>
      </c>
      <c r="Q338" s="39">
        <v>10</v>
      </c>
      <c r="R338" s="39">
        <v>9</v>
      </c>
      <c r="S338" s="39">
        <v>9</v>
      </c>
      <c r="T338" s="39">
        <v>9</v>
      </c>
      <c r="U338" s="39">
        <v>9</v>
      </c>
      <c r="V338" s="39">
        <v>9</v>
      </c>
      <c r="W338" s="40" t="str">
        <f t="shared" si="36"/>
        <v>N</v>
      </c>
      <c r="X338" s="84">
        <f t="shared" si="37"/>
        <v>0</v>
      </c>
      <c r="Y338" s="84" t="str">
        <f t="shared" si="35"/>
        <v>0-4.9%</v>
      </c>
      <c r="Z338" s="85" t="s">
        <v>794</v>
      </c>
      <c r="AA338" s="59"/>
      <c r="AB338" s="59"/>
      <c r="AC338" s="59"/>
      <c r="AD338" s="59"/>
    </row>
    <row r="339" spans="1:30" x14ac:dyDescent="0.25">
      <c r="A339" s="54" t="s">
        <v>291</v>
      </c>
      <c r="B339" s="55"/>
      <c r="C339" s="56" t="s">
        <v>599</v>
      </c>
      <c r="D339" s="57">
        <f t="shared" si="32"/>
        <v>10</v>
      </c>
      <c r="E339" s="56"/>
      <c r="F339" s="56" t="s">
        <v>193</v>
      </c>
      <c r="G339" s="56">
        <v>4.9000000000000004</v>
      </c>
      <c r="H339" s="56">
        <v>3.7</v>
      </c>
      <c r="I339" s="56">
        <v>3.55</v>
      </c>
      <c r="J339" s="56">
        <v>2.25</v>
      </c>
      <c r="K339" s="56">
        <v>2.2000000000000002</v>
      </c>
      <c r="L339" s="56">
        <v>2.65</v>
      </c>
      <c r="M339" s="56"/>
      <c r="N339" s="58">
        <f t="shared" si="33"/>
        <v>19.25</v>
      </c>
      <c r="O339" s="58">
        <f t="shared" si="34"/>
        <v>47.569938276338554</v>
      </c>
      <c r="P339" s="39">
        <v>8</v>
      </c>
      <c r="Q339" s="39">
        <v>10</v>
      </c>
      <c r="R339" s="39">
        <v>9</v>
      </c>
      <c r="S339" s="39">
        <v>9</v>
      </c>
      <c r="T339" s="39">
        <v>9</v>
      </c>
      <c r="U339" s="39">
        <v>9</v>
      </c>
      <c r="V339" s="39">
        <v>9</v>
      </c>
      <c r="W339" s="40" t="str">
        <f t="shared" si="36"/>
        <v>N</v>
      </c>
      <c r="X339" s="84">
        <f t="shared" si="37"/>
        <v>0</v>
      </c>
      <c r="Y339" s="84" t="str">
        <f t="shared" si="35"/>
        <v>0-4.9%</v>
      </c>
      <c r="Z339" s="85" t="s">
        <v>224</v>
      </c>
      <c r="AA339" s="59"/>
      <c r="AB339" s="59"/>
      <c r="AC339" s="59"/>
      <c r="AD339" s="59"/>
    </row>
    <row r="340" spans="1:30" x14ac:dyDescent="0.25">
      <c r="A340" s="54" t="s">
        <v>301</v>
      </c>
      <c r="B340" s="55"/>
      <c r="C340" s="56" t="s">
        <v>607</v>
      </c>
      <c r="D340" s="57">
        <f t="shared" si="32"/>
        <v>10</v>
      </c>
      <c r="E340" s="56"/>
      <c r="F340" s="56" t="s">
        <v>504</v>
      </c>
      <c r="G340" s="56">
        <v>6.65</v>
      </c>
      <c r="H340" s="56">
        <v>5.85</v>
      </c>
      <c r="I340" s="56">
        <v>8.3000000000000007</v>
      </c>
      <c r="J340" s="56">
        <v>8.9</v>
      </c>
      <c r="K340" s="56">
        <v>8.85</v>
      </c>
      <c r="L340" s="56"/>
      <c r="M340" s="56"/>
      <c r="N340" s="58">
        <f t="shared" si="33"/>
        <v>38.550000000000004</v>
      </c>
      <c r="O340" s="58">
        <f t="shared" si="34"/>
        <v>1082.6897028499136</v>
      </c>
      <c r="P340" s="39">
        <v>8</v>
      </c>
      <c r="Q340" s="39">
        <v>10</v>
      </c>
      <c r="R340" s="39">
        <v>9</v>
      </c>
      <c r="S340" s="39">
        <v>9</v>
      </c>
      <c r="T340" s="39">
        <v>9</v>
      </c>
      <c r="U340" s="39">
        <v>9</v>
      </c>
      <c r="V340" s="39">
        <v>9</v>
      </c>
      <c r="W340" s="40" t="str">
        <f t="shared" si="36"/>
        <v>N</v>
      </c>
      <c r="X340" s="84">
        <f t="shared" si="37"/>
        <v>0</v>
      </c>
      <c r="Y340" s="84" t="str">
        <f t="shared" si="35"/>
        <v>0-4.9%</v>
      </c>
      <c r="Z340" s="85" t="s">
        <v>812</v>
      </c>
      <c r="AA340" s="59"/>
      <c r="AB340" s="59"/>
      <c r="AC340" s="59"/>
      <c r="AD340" s="59"/>
    </row>
    <row r="341" spans="1:30" x14ac:dyDescent="0.25">
      <c r="A341" s="54" t="s">
        <v>305</v>
      </c>
      <c r="B341" s="55"/>
      <c r="C341" s="56" t="s">
        <v>611</v>
      </c>
      <c r="D341" s="57">
        <f t="shared" si="32"/>
        <v>10</v>
      </c>
      <c r="E341" s="56"/>
      <c r="F341" s="56" t="s">
        <v>193</v>
      </c>
      <c r="G341" s="56">
        <v>5</v>
      </c>
      <c r="H341" s="56">
        <v>3.4</v>
      </c>
      <c r="I341" s="56">
        <v>2.5</v>
      </c>
      <c r="J341" s="56">
        <v>3.1</v>
      </c>
      <c r="K341" s="56">
        <v>2.75</v>
      </c>
      <c r="L341" s="56">
        <v>2.5499999999999998</v>
      </c>
      <c r="M341" s="56"/>
      <c r="N341" s="58">
        <f t="shared" si="33"/>
        <v>19.3</v>
      </c>
      <c r="O341" s="58">
        <f t="shared" si="34"/>
        <v>48.128483346123694</v>
      </c>
      <c r="P341" s="39">
        <v>8</v>
      </c>
      <c r="Q341" s="39">
        <v>10</v>
      </c>
      <c r="R341" s="39">
        <v>9</v>
      </c>
      <c r="S341" s="39">
        <v>9</v>
      </c>
      <c r="T341" s="39">
        <v>9</v>
      </c>
      <c r="U341" s="39">
        <v>9</v>
      </c>
      <c r="V341" s="39">
        <v>9</v>
      </c>
      <c r="W341" s="40" t="str">
        <f t="shared" si="36"/>
        <v>N</v>
      </c>
      <c r="X341" s="84">
        <f t="shared" si="37"/>
        <v>0</v>
      </c>
      <c r="Y341" s="84" t="str">
        <f t="shared" si="35"/>
        <v>0-4.9%</v>
      </c>
      <c r="Z341" s="85" t="s">
        <v>790</v>
      </c>
      <c r="AA341" s="59"/>
      <c r="AB341" s="59"/>
      <c r="AC341" s="59"/>
      <c r="AD341" s="59"/>
    </row>
    <row r="342" spans="1:30" x14ac:dyDescent="0.25">
      <c r="A342" s="54" t="s">
        <v>306</v>
      </c>
      <c r="B342" s="55"/>
      <c r="C342" s="56" t="s">
        <v>612</v>
      </c>
      <c r="D342" s="57">
        <f t="shared" si="32"/>
        <v>10</v>
      </c>
      <c r="E342" s="56"/>
      <c r="F342" s="56" t="s">
        <v>193</v>
      </c>
      <c r="G342" s="56">
        <v>5.15</v>
      </c>
      <c r="H342" s="56">
        <v>4.0999999999999996</v>
      </c>
      <c r="I342" s="56">
        <v>3.85</v>
      </c>
      <c r="J342" s="56">
        <v>1.65</v>
      </c>
      <c r="K342" s="56">
        <v>2.8</v>
      </c>
      <c r="L342" s="56">
        <v>4.7</v>
      </c>
      <c r="M342" s="56"/>
      <c r="N342" s="58">
        <f t="shared" si="33"/>
        <v>22.25</v>
      </c>
      <c r="O342" s="58">
        <f t="shared" si="34"/>
        <v>91.280782529380787</v>
      </c>
      <c r="P342" s="39">
        <v>8</v>
      </c>
      <c r="Q342" s="39">
        <v>10</v>
      </c>
      <c r="R342" s="39">
        <v>9</v>
      </c>
      <c r="S342" s="39">
        <v>9</v>
      </c>
      <c r="T342" s="39">
        <v>9</v>
      </c>
      <c r="U342" s="39">
        <v>9</v>
      </c>
      <c r="V342" s="39">
        <v>9</v>
      </c>
      <c r="W342" s="40" t="str">
        <f t="shared" si="36"/>
        <v>N</v>
      </c>
      <c r="X342" s="84">
        <f t="shared" si="37"/>
        <v>0</v>
      </c>
      <c r="Y342" s="84" t="str">
        <f t="shared" si="35"/>
        <v>0-4.9%</v>
      </c>
      <c r="Z342" s="85" t="s">
        <v>790</v>
      </c>
      <c r="AA342" s="59"/>
      <c r="AB342" s="59"/>
      <c r="AC342" s="59"/>
      <c r="AD342" s="59"/>
    </row>
    <row r="343" spans="1:30" x14ac:dyDescent="0.25">
      <c r="A343" s="54" t="s">
        <v>309</v>
      </c>
      <c r="B343" s="55"/>
      <c r="C343" s="56" t="s">
        <v>412</v>
      </c>
      <c r="D343" s="57">
        <f t="shared" si="32"/>
        <v>10</v>
      </c>
      <c r="E343" s="56"/>
      <c r="F343" s="56" t="s">
        <v>190</v>
      </c>
      <c r="G343" s="56">
        <v>5.35</v>
      </c>
      <c r="H343" s="56">
        <v>1.7</v>
      </c>
      <c r="I343" s="56">
        <v>3.85</v>
      </c>
      <c r="J343" s="56">
        <v>2.6</v>
      </c>
      <c r="K343" s="56">
        <v>2.35</v>
      </c>
      <c r="L343" s="56">
        <v>2.4</v>
      </c>
      <c r="M343" s="56"/>
      <c r="N343" s="58">
        <f t="shared" si="33"/>
        <v>18.25</v>
      </c>
      <c r="O343" s="58">
        <f t="shared" si="34"/>
        <v>37.417709176196809</v>
      </c>
      <c r="P343" s="39">
        <v>8</v>
      </c>
      <c r="Q343" s="39">
        <v>10</v>
      </c>
      <c r="R343" s="39">
        <v>9</v>
      </c>
      <c r="S343" s="39">
        <v>9</v>
      </c>
      <c r="T343" s="39">
        <v>9</v>
      </c>
      <c r="U343" s="39">
        <v>9</v>
      </c>
      <c r="V343" s="39">
        <v>9</v>
      </c>
      <c r="W343" s="40" t="str">
        <f t="shared" si="36"/>
        <v>N</v>
      </c>
      <c r="X343" s="84">
        <f t="shared" si="37"/>
        <v>0</v>
      </c>
      <c r="Y343" s="84" t="str">
        <f t="shared" si="35"/>
        <v>0-4.9%</v>
      </c>
      <c r="Z343" s="85" t="s">
        <v>224</v>
      </c>
      <c r="AA343" s="59"/>
      <c r="AB343" s="59"/>
      <c r="AC343" s="59"/>
      <c r="AD343" s="59"/>
    </row>
    <row r="344" spans="1:30" x14ac:dyDescent="0.25">
      <c r="A344" s="71" t="s">
        <v>313</v>
      </c>
      <c r="B344" s="72"/>
      <c r="C344" s="73" t="s">
        <v>284</v>
      </c>
      <c r="D344" s="57">
        <f t="shared" si="32"/>
        <v>10</v>
      </c>
      <c r="E344" s="73"/>
      <c r="F344" s="73" t="s">
        <v>193</v>
      </c>
      <c r="G344" s="73">
        <v>5.85</v>
      </c>
      <c r="H344" s="73">
        <v>4.75</v>
      </c>
      <c r="I344" s="73">
        <v>4.7</v>
      </c>
      <c r="J344" s="73">
        <v>3</v>
      </c>
      <c r="K344" s="73">
        <v>3.55</v>
      </c>
      <c r="L344" s="73">
        <v>5.35</v>
      </c>
      <c r="M344" s="73"/>
      <c r="N344" s="58">
        <f t="shared" si="33"/>
        <v>27.200000000000003</v>
      </c>
      <c r="O344" s="58">
        <f t="shared" si="34"/>
        <v>225.40022942599438</v>
      </c>
      <c r="P344" s="39">
        <v>8</v>
      </c>
      <c r="Q344" s="39">
        <v>10</v>
      </c>
      <c r="R344" s="39">
        <v>9</v>
      </c>
      <c r="S344" s="39">
        <v>9</v>
      </c>
      <c r="T344" s="39">
        <v>9</v>
      </c>
      <c r="U344" s="39">
        <v>9</v>
      </c>
      <c r="V344" s="39">
        <v>9</v>
      </c>
      <c r="W344" s="40" t="str">
        <f t="shared" si="36"/>
        <v>N</v>
      </c>
      <c r="X344" s="84">
        <f t="shared" si="37"/>
        <v>0</v>
      </c>
      <c r="Y344" s="84" t="str">
        <f t="shared" si="35"/>
        <v>0-4.9%</v>
      </c>
      <c r="Z344" s="92" t="s">
        <v>790</v>
      </c>
      <c r="AA344" s="59"/>
      <c r="AB344" s="59"/>
      <c r="AC344" s="59"/>
      <c r="AD344" s="59"/>
    </row>
    <row r="345" spans="1:30" x14ac:dyDescent="0.25">
      <c r="A345" s="54" t="s">
        <v>320</v>
      </c>
      <c r="B345" s="55"/>
      <c r="C345" s="56" t="s">
        <v>621</v>
      </c>
      <c r="D345" s="57">
        <f t="shared" si="32"/>
        <v>10</v>
      </c>
      <c r="E345" s="56"/>
      <c r="F345" s="56" t="s">
        <v>193</v>
      </c>
      <c r="G345" s="56">
        <v>5.7</v>
      </c>
      <c r="H345" s="56">
        <v>5.85</v>
      </c>
      <c r="I345" s="56">
        <v>9.5500000000000007</v>
      </c>
      <c r="J345" s="56">
        <v>6.55</v>
      </c>
      <c r="K345" s="56">
        <v>7.35</v>
      </c>
      <c r="L345" s="56">
        <v>8.9499999999999993</v>
      </c>
      <c r="M345" s="56"/>
      <c r="N345" s="58">
        <f t="shared" si="33"/>
        <v>43.95</v>
      </c>
      <c r="O345" s="58">
        <f t="shared" si="34"/>
        <v>1953.0314773827251</v>
      </c>
      <c r="P345" s="39">
        <v>8</v>
      </c>
      <c r="Q345" s="39">
        <v>10</v>
      </c>
      <c r="R345" s="39">
        <v>9</v>
      </c>
      <c r="S345" s="39">
        <v>9</v>
      </c>
      <c r="T345" s="39">
        <v>9</v>
      </c>
      <c r="U345" s="39">
        <v>9</v>
      </c>
      <c r="V345" s="39">
        <v>9</v>
      </c>
      <c r="W345" s="40" t="str">
        <f t="shared" si="36"/>
        <v>Y</v>
      </c>
      <c r="X345" s="84">
        <f t="shared" si="37"/>
        <v>5.500000000000007E-2</v>
      </c>
      <c r="Y345" s="84" t="str">
        <f t="shared" si="35"/>
        <v>5-25%</v>
      </c>
      <c r="Z345" s="85" t="s">
        <v>812</v>
      </c>
      <c r="AA345" s="59"/>
      <c r="AB345" s="59"/>
      <c r="AC345" s="59"/>
      <c r="AD345" s="59"/>
    </row>
    <row r="346" spans="1:30" x14ac:dyDescent="0.25">
      <c r="A346" s="54" t="s">
        <v>191</v>
      </c>
      <c r="B346" s="55"/>
      <c r="C346" s="56" t="s">
        <v>623</v>
      </c>
      <c r="D346" s="57">
        <f t="shared" si="32"/>
        <v>10</v>
      </c>
      <c r="E346" s="56"/>
      <c r="F346" s="56" t="s">
        <v>190</v>
      </c>
      <c r="G346" s="56">
        <v>5.5</v>
      </c>
      <c r="H346" s="56">
        <v>6.5</v>
      </c>
      <c r="I346" s="56">
        <v>6</v>
      </c>
      <c r="J346" s="56">
        <v>2.6</v>
      </c>
      <c r="K346" s="56">
        <v>3</v>
      </c>
      <c r="L346" s="56">
        <v>3.1</v>
      </c>
      <c r="M346" s="56"/>
      <c r="N346" s="58">
        <f t="shared" si="33"/>
        <v>26.700000000000003</v>
      </c>
      <c r="O346" s="58">
        <f t="shared" si="34"/>
        <v>207.34566585872861</v>
      </c>
      <c r="P346" s="39">
        <v>8</v>
      </c>
      <c r="Q346" s="39">
        <v>10</v>
      </c>
      <c r="R346" s="39">
        <v>9</v>
      </c>
      <c r="S346" s="39">
        <v>9</v>
      </c>
      <c r="T346" s="39">
        <v>9</v>
      </c>
      <c r="U346" s="39">
        <v>9</v>
      </c>
      <c r="V346" s="39">
        <v>9</v>
      </c>
      <c r="W346" s="40" t="str">
        <f t="shared" si="36"/>
        <v>N</v>
      </c>
      <c r="X346" s="84">
        <f t="shared" si="37"/>
        <v>0</v>
      </c>
      <c r="Y346" s="84" t="str">
        <f t="shared" si="35"/>
        <v>0-4.9%</v>
      </c>
      <c r="Z346" s="85" t="s">
        <v>790</v>
      </c>
      <c r="AA346" s="59"/>
      <c r="AB346" s="59"/>
      <c r="AC346" s="59"/>
      <c r="AD346" s="59"/>
    </row>
    <row r="347" spans="1:30" x14ac:dyDescent="0.25">
      <c r="A347" s="54" t="s">
        <v>192</v>
      </c>
      <c r="B347" s="55"/>
      <c r="C347" s="56" t="s">
        <v>624</v>
      </c>
      <c r="D347" s="57">
        <f t="shared" si="32"/>
        <v>10</v>
      </c>
      <c r="E347" s="56"/>
      <c r="F347" s="56" t="s">
        <v>193</v>
      </c>
      <c r="G347" s="56">
        <v>5.45</v>
      </c>
      <c r="H347" s="56">
        <v>4.3</v>
      </c>
      <c r="I347" s="56">
        <v>4</v>
      </c>
      <c r="J347" s="56">
        <v>2.9</v>
      </c>
      <c r="K347" s="56">
        <v>3</v>
      </c>
      <c r="L347" s="56">
        <v>3.1</v>
      </c>
      <c r="M347" s="56"/>
      <c r="N347" s="58">
        <f t="shared" si="33"/>
        <v>22.75</v>
      </c>
      <c r="O347" s="58">
        <f t="shared" si="34"/>
        <v>100.88128140986574</v>
      </c>
      <c r="P347" s="39">
        <v>8</v>
      </c>
      <c r="Q347" s="39">
        <v>10</v>
      </c>
      <c r="R347" s="39">
        <v>9</v>
      </c>
      <c r="S347" s="39">
        <v>9</v>
      </c>
      <c r="T347" s="39">
        <v>9</v>
      </c>
      <c r="U347" s="39">
        <v>9</v>
      </c>
      <c r="V347" s="39">
        <v>9</v>
      </c>
      <c r="W347" s="40" t="str">
        <f t="shared" si="36"/>
        <v>N</v>
      </c>
      <c r="X347" s="84">
        <f t="shared" si="37"/>
        <v>0</v>
      </c>
      <c r="Y347" s="84" t="str">
        <f t="shared" si="35"/>
        <v>0-4.9%</v>
      </c>
      <c r="Z347" s="85" t="s">
        <v>790</v>
      </c>
      <c r="AA347" s="59"/>
      <c r="AB347" s="59"/>
      <c r="AC347" s="59"/>
      <c r="AD347" s="59"/>
    </row>
    <row r="348" spans="1:30" x14ac:dyDescent="0.25">
      <c r="A348" s="54" t="s">
        <v>202</v>
      </c>
      <c r="B348" s="55"/>
      <c r="C348" s="56" t="s">
        <v>628</v>
      </c>
      <c r="D348" s="57">
        <f t="shared" si="32"/>
        <v>10</v>
      </c>
      <c r="E348" s="56"/>
      <c r="F348" s="56" t="s">
        <v>227</v>
      </c>
      <c r="G348" s="56">
        <v>5.65</v>
      </c>
      <c r="H348" s="56">
        <v>4.5</v>
      </c>
      <c r="I348" s="56">
        <v>3.05</v>
      </c>
      <c r="J348" s="56">
        <v>3.1</v>
      </c>
      <c r="K348" s="56">
        <v>2.7</v>
      </c>
      <c r="L348" s="56"/>
      <c r="M348" s="56"/>
      <c r="N348" s="58">
        <f t="shared" si="33"/>
        <v>19</v>
      </c>
      <c r="O348" s="58">
        <f t="shared" si="34"/>
        <v>44.852379685371339</v>
      </c>
      <c r="P348" s="39">
        <v>8</v>
      </c>
      <c r="Q348" s="39">
        <v>10</v>
      </c>
      <c r="R348" s="39">
        <v>9</v>
      </c>
      <c r="S348" s="39">
        <v>9</v>
      </c>
      <c r="T348" s="39">
        <v>9</v>
      </c>
      <c r="U348" s="39">
        <v>9</v>
      </c>
      <c r="V348" s="39">
        <v>9</v>
      </c>
      <c r="W348" s="40" t="str">
        <f t="shared" si="36"/>
        <v>N</v>
      </c>
      <c r="X348" s="84">
        <f t="shared" si="37"/>
        <v>0</v>
      </c>
      <c r="Y348" s="84" t="str">
        <f t="shared" si="35"/>
        <v>0-4.9%</v>
      </c>
      <c r="Z348" s="85" t="s">
        <v>794</v>
      </c>
      <c r="AA348" s="59"/>
      <c r="AB348" s="59"/>
      <c r="AC348" s="59"/>
      <c r="AD348" s="59"/>
    </row>
    <row r="349" spans="1:30" x14ac:dyDescent="0.25">
      <c r="A349" s="54" t="s">
        <v>203</v>
      </c>
      <c r="B349" s="55"/>
      <c r="C349" s="56" t="s">
        <v>629</v>
      </c>
      <c r="D349" s="57">
        <f t="shared" si="32"/>
        <v>10</v>
      </c>
      <c r="E349" s="56"/>
      <c r="F349" s="56" t="s">
        <v>193</v>
      </c>
      <c r="G349" s="56">
        <v>5.7</v>
      </c>
      <c r="H349" s="56">
        <v>8.4</v>
      </c>
      <c r="I349" s="56">
        <v>8.35</v>
      </c>
      <c r="J349" s="56">
        <v>8.4</v>
      </c>
      <c r="K349" s="56">
        <v>8.35</v>
      </c>
      <c r="L349" s="56">
        <v>9.4</v>
      </c>
      <c r="M349" s="56"/>
      <c r="N349" s="58">
        <f t="shared" si="33"/>
        <v>48.6</v>
      </c>
      <c r="O349" s="58">
        <f t="shared" si="34"/>
        <v>3070.8421799792031</v>
      </c>
      <c r="P349" s="39">
        <v>8</v>
      </c>
      <c r="Q349" s="39">
        <v>10</v>
      </c>
      <c r="R349" s="39">
        <v>9</v>
      </c>
      <c r="S349" s="39">
        <v>9</v>
      </c>
      <c r="T349" s="39">
        <v>9</v>
      </c>
      <c r="U349" s="39">
        <v>9</v>
      </c>
      <c r="V349" s="39">
        <v>9</v>
      </c>
      <c r="W349" s="40" t="str">
        <f t="shared" si="36"/>
        <v>Y</v>
      </c>
      <c r="X349" s="84">
        <f t="shared" si="37"/>
        <v>4.0000000000000036E-2</v>
      </c>
      <c r="Y349" s="84" t="str">
        <f t="shared" si="35"/>
        <v>0-4.9%</v>
      </c>
      <c r="Z349" s="85" t="s">
        <v>788</v>
      </c>
      <c r="AA349" s="59"/>
      <c r="AB349" s="59"/>
      <c r="AC349" s="59"/>
      <c r="AD349" s="59"/>
    </row>
    <row r="350" spans="1:30" x14ac:dyDescent="0.25">
      <c r="A350" s="54" t="s">
        <v>207</v>
      </c>
      <c r="B350" s="55"/>
      <c r="C350" s="56" t="s">
        <v>629</v>
      </c>
      <c r="D350" s="57">
        <f t="shared" si="32"/>
        <v>10</v>
      </c>
      <c r="E350" s="56"/>
      <c r="F350" s="56" t="s">
        <v>193</v>
      </c>
      <c r="G350" s="56">
        <v>5.7</v>
      </c>
      <c r="H350" s="56">
        <v>8.4</v>
      </c>
      <c r="I350" s="56">
        <v>8.35</v>
      </c>
      <c r="J350" s="56">
        <v>8.4</v>
      </c>
      <c r="K350" s="56">
        <v>8.35</v>
      </c>
      <c r="L350" s="56">
        <v>9.4</v>
      </c>
      <c r="M350" s="56"/>
      <c r="N350" s="58">
        <f t="shared" si="33"/>
        <v>48.6</v>
      </c>
      <c r="O350" s="58">
        <f t="shared" si="34"/>
        <v>3070.8421799792031</v>
      </c>
      <c r="P350" s="39">
        <v>8</v>
      </c>
      <c r="Q350" s="39">
        <v>10</v>
      </c>
      <c r="R350" s="39">
        <v>9</v>
      </c>
      <c r="S350" s="39">
        <v>9</v>
      </c>
      <c r="T350" s="39">
        <v>9</v>
      </c>
      <c r="U350" s="39">
        <v>9</v>
      </c>
      <c r="V350" s="39">
        <v>9</v>
      </c>
      <c r="W350" s="40" t="str">
        <f t="shared" si="36"/>
        <v>Y</v>
      </c>
      <c r="X350" s="84">
        <f t="shared" si="37"/>
        <v>4.0000000000000036E-2</v>
      </c>
      <c r="Y350" s="84" t="str">
        <f t="shared" si="35"/>
        <v>0-4.9%</v>
      </c>
      <c r="Z350" s="85" t="s">
        <v>788</v>
      </c>
      <c r="AA350" s="59"/>
      <c r="AB350" s="59"/>
      <c r="AC350" s="59"/>
      <c r="AD350" s="59"/>
    </row>
    <row r="351" spans="1:30" x14ac:dyDescent="0.25">
      <c r="A351" s="54" t="s">
        <v>212</v>
      </c>
      <c r="B351" s="55"/>
      <c r="C351" s="56" t="s">
        <v>636</v>
      </c>
      <c r="D351" s="57">
        <f t="shared" si="32"/>
        <v>10</v>
      </c>
      <c r="E351" s="56"/>
      <c r="F351" s="56" t="s">
        <v>193</v>
      </c>
      <c r="G351" s="56">
        <v>5.7</v>
      </c>
      <c r="H351" s="56">
        <v>4.1500000000000004</v>
      </c>
      <c r="I351" s="56">
        <v>4.0999999999999996</v>
      </c>
      <c r="J351" s="56">
        <v>2.7</v>
      </c>
      <c r="K351" s="56">
        <v>3.35</v>
      </c>
      <c r="L351" s="56">
        <v>3.6</v>
      </c>
      <c r="M351" s="56"/>
      <c r="N351" s="58">
        <f t="shared" si="33"/>
        <v>23.600000000000005</v>
      </c>
      <c r="O351" s="58">
        <f t="shared" si="34"/>
        <v>118.98666687297255</v>
      </c>
      <c r="P351" s="39">
        <v>8</v>
      </c>
      <c r="Q351" s="39">
        <v>10</v>
      </c>
      <c r="R351" s="39">
        <v>9</v>
      </c>
      <c r="S351" s="39">
        <v>9</v>
      </c>
      <c r="T351" s="39">
        <v>9</v>
      </c>
      <c r="U351" s="39">
        <v>9</v>
      </c>
      <c r="V351" s="39">
        <v>9</v>
      </c>
      <c r="W351" s="40" t="str">
        <f t="shared" si="36"/>
        <v>N</v>
      </c>
      <c r="X351" s="84">
        <f t="shared" si="37"/>
        <v>0</v>
      </c>
      <c r="Y351" s="84" t="str">
        <f t="shared" si="35"/>
        <v>0-4.9%</v>
      </c>
      <c r="Z351" s="85" t="s">
        <v>224</v>
      </c>
      <c r="AA351" s="59"/>
      <c r="AB351" s="59"/>
      <c r="AC351" s="59"/>
      <c r="AD351" s="59"/>
    </row>
    <row r="352" spans="1:30" x14ac:dyDescent="0.25">
      <c r="A352" s="54" t="s">
        <v>216</v>
      </c>
      <c r="B352" s="55"/>
      <c r="C352" s="56" t="s">
        <v>640</v>
      </c>
      <c r="D352" s="57">
        <f t="shared" si="32"/>
        <v>10</v>
      </c>
      <c r="E352" s="56"/>
      <c r="F352" s="56" t="s">
        <v>193</v>
      </c>
      <c r="G352" s="56">
        <v>5.25</v>
      </c>
      <c r="H352" s="56">
        <v>7.3</v>
      </c>
      <c r="I352" s="56">
        <v>7.7</v>
      </c>
      <c r="J352" s="56">
        <v>7.35</v>
      </c>
      <c r="K352" s="56">
        <v>7.6</v>
      </c>
      <c r="L352" s="56">
        <v>8.4499999999999993</v>
      </c>
      <c r="M352" s="56"/>
      <c r="N352" s="58">
        <f t="shared" si="33"/>
        <v>43.650000000000006</v>
      </c>
      <c r="O352" s="58">
        <f t="shared" si="34"/>
        <v>1893.7532963313492</v>
      </c>
      <c r="P352" s="39">
        <v>8</v>
      </c>
      <c r="Q352" s="39">
        <v>10</v>
      </c>
      <c r="R352" s="39">
        <v>9</v>
      </c>
      <c r="S352" s="39">
        <v>9</v>
      </c>
      <c r="T352" s="39">
        <v>9</v>
      </c>
      <c r="U352" s="39">
        <v>9</v>
      </c>
      <c r="V352" s="39">
        <v>9</v>
      </c>
      <c r="W352" s="40" t="str">
        <f t="shared" si="36"/>
        <v>N</v>
      </c>
      <c r="X352" s="84">
        <f t="shared" si="37"/>
        <v>0</v>
      </c>
      <c r="Y352" s="84" t="str">
        <f t="shared" si="35"/>
        <v>0-4.9%</v>
      </c>
      <c r="Z352" s="85" t="s">
        <v>812</v>
      </c>
      <c r="AA352" s="59"/>
      <c r="AB352" s="59"/>
      <c r="AC352" s="59"/>
      <c r="AD352" s="59"/>
    </row>
    <row r="353" spans="1:30" x14ac:dyDescent="0.25">
      <c r="A353" s="54" t="s">
        <v>217</v>
      </c>
      <c r="B353" s="55"/>
      <c r="C353" s="56" t="s">
        <v>641</v>
      </c>
      <c r="D353" s="57">
        <f t="shared" si="32"/>
        <v>10</v>
      </c>
      <c r="E353" s="56"/>
      <c r="F353" s="56" t="s">
        <v>193</v>
      </c>
      <c r="G353" s="56">
        <v>6.2</v>
      </c>
      <c r="H353" s="56">
        <v>8.1</v>
      </c>
      <c r="I353" s="56">
        <v>2.8</v>
      </c>
      <c r="J353" s="56">
        <v>9.75</v>
      </c>
      <c r="K353" s="56">
        <v>7.85</v>
      </c>
      <c r="L353" s="56">
        <v>10.9</v>
      </c>
      <c r="M353" s="56"/>
      <c r="N353" s="58">
        <f t="shared" si="33"/>
        <v>45.6</v>
      </c>
      <c r="O353" s="58">
        <f t="shared" si="34"/>
        <v>2305.3457955711228</v>
      </c>
      <c r="P353" s="39">
        <v>8</v>
      </c>
      <c r="Q353" s="39">
        <v>10</v>
      </c>
      <c r="R353" s="39">
        <v>9</v>
      </c>
      <c r="S353" s="39">
        <v>9</v>
      </c>
      <c r="T353" s="39">
        <v>9</v>
      </c>
      <c r="U353" s="39">
        <v>9</v>
      </c>
      <c r="V353" s="39">
        <v>9</v>
      </c>
      <c r="W353" s="40" t="str">
        <f t="shared" si="36"/>
        <v>Y</v>
      </c>
      <c r="X353" s="84">
        <f t="shared" si="37"/>
        <v>0.19000000000000003</v>
      </c>
      <c r="Y353" s="84" t="str">
        <f t="shared" si="35"/>
        <v>5-25%</v>
      </c>
      <c r="Z353" s="85" t="s">
        <v>224</v>
      </c>
      <c r="AA353" s="59"/>
      <c r="AB353" s="59"/>
      <c r="AC353" s="59"/>
      <c r="AD353" s="59"/>
    </row>
    <row r="354" spans="1:30" x14ac:dyDescent="0.25">
      <c r="A354" s="54" t="s">
        <v>218</v>
      </c>
      <c r="B354" s="55"/>
      <c r="C354" s="56" t="s">
        <v>642</v>
      </c>
      <c r="D354" s="57">
        <f t="shared" si="32"/>
        <v>10</v>
      </c>
      <c r="E354" s="56"/>
      <c r="F354" s="56" t="s">
        <v>193</v>
      </c>
      <c r="G354" s="56">
        <v>5.5</v>
      </c>
      <c r="H354" s="56">
        <v>6.9</v>
      </c>
      <c r="I354" s="56">
        <v>6.4</v>
      </c>
      <c r="J354" s="56">
        <v>8.6</v>
      </c>
      <c r="K354" s="56">
        <v>9.4</v>
      </c>
      <c r="L354" s="56">
        <v>7.45</v>
      </c>
      <c r="M354" s="56"/>
      <c r="N354" s="58">
        <f t="shared" si="33"/>
        <v>44.25</v>
      </c>
      <c r="O354" s="58">
        <f t="shared" si="34"/>
        <v>2013.7429048855054</v>
      </c>
      <c r="P354" s="39">
        <v>8</v>
      </c>
      <c r="Q354" s="39">
        <v>10</v>
      </c>
      <c r="R354" s="39">
        <v>9</v>
      </c>
      <c r="S354" s="39">
        <v>9</v>
      </c>
      <c r="T354" s="39">
        <v>9</v>
      </c>
      <c r="U354" s="39">
        <v>9</v>
      </c>
      <c r="V354" s="39">
        <v>9</v>
      </c>
      <c r="W354" s="40" t="str">
        <f t="shared" si="36"/>
        <v>Y</v>
      </c>
      <c r="X354" s="84">
        <f t="shared" si="37"/>
        <v>4.0000000000000036E-2</v>
      </c>
      <c r="Y354" s="84" t="str">
        <f t="shared" si="35"/>
        <v>0-4.9%</v>
      </c>
      <c r="Z354" s="85" t="s">
        <v>812</v>
      </c>
      <c r="AA354" s="59"/>
      <c r="AB354" s="59"/>
      <c r="AC354" s="59"/>
      <c r="AD354" s="59"/>
    </row>
    <row r="355" spans="1:30" x14ac:dyDescent="0.25">
      <c r="A355" s="54" t="s">
        <v>220</v>
      </c>
      <c r="B355" s="55"/>
      <c r="C355" s="56" t="s">
        <v>644</v>
      </c>
      <c r="D355" s="57">
        <f t="shared" si="32"/>
        <v>10</v>
      </c>
      <c r="E355" s="56"/>
      <c r="F355" s="56" t="s">
        <v>198</v>
      </c>
      <c r="G355" s="56">
        <v>4.6500000000000004</v>
      </c>
      <c r="H355" s="56">
        <v>3.6</v>
      </c>
      <c r="I355" s="56">
        <v>3.5</v>
      </c>
      <c r="J355" s="56">
        <v>2.4500000000000002</v>
      </c>
      <c r="K355" s="56">
        <v>2.75</v>
      </c>
      <c r="L355" s="56">
        <v>2.65</v>
      </c>
      <c r="M355" s="56">
        <v>2.95</v>
      </c>
      <c r="N355" s="58">
        <f t="shared" si="33"/>
        <v>22.549999999999997</v>
      </c>
      <c r="O355" s="58">
        <f t="shared" si="34"/>
        <v>96.951323831074845</v>
      </c>
      <c r="P355" s="39">
        <v>8</v>
      </c>
      <c r="Q355" s="39">
        <v>10</v>
      </c>
      <c r="R355" s="39">
        <v>9</v>
      </c>
      <c r="S355" s="39">
        <v>9</v>
      </c>
      <c r="T355" s="39">
        <v>9</v>
      </c>
      <c r="U355" s="39">
        <v>9</v>
      </c>
      <c r="V355" s="39">
        <v>9</v>
      </c>
      <c r="W355" s="40" t="str">
        <f t="shared" si="36"/>
        <v>N</v>
      </c>
      <c r="X355" s="84">
        <f t="shared" si="37"/>
        <v>0</v>
      </c>
      <c r="Y355" s="84" t="str">
        <f t="shared" si="35"/>
        <v>0-4.9%</v>
      </c>
      <c r="Z355" s="85" t="s">
        <v>812</v>
      </c>
      <c r="AA355" s="59"/>
      <c r="AB355" s="59"/>
      <c r="AC355" s="59"/>
      <c r="AD355" s="59"/>
    </row>
    <row r="356" spans="1:30" x14ac:dyDescent="0.25">
      <c r="A356" s="54" t="s">
        <v>223</v>
      </c>
      <c r="B356" s="55"/>
      <c r="C356" s="56" t="s">
        <v>647</v>
      </c>
      <c r="D356" s="57">
        <f t="shared" si="32"/>
        <v>10</v>
      </c>
      <c r="E356" s="56"/>
      <c r="F356" s="56" t="s">
        <v>190</v>
      </c>
      <c r="G356" s="56">
        <v>5.2</v>
      </c>
      <c r="H356" s="56">
        <v>4</v>
      </c>
      <c r="I356" s="56">
        <v>6.25</v>
      </c>
      <c r="J356" s="56">
        <v>7.55</v>
      </c>
      <c r="K356" s="56">
        <v>8</v>
      </c>
      <c r="L356" s="56">
        <v>7.25</v>
      </c>
      <c r="M356" s="56"/>
      <c r="N356" s="58">
        <f t="shared" si="33"/>
        <v>38.25</v>
      </c>
      <c r="O356" s="58">
        <f t="shared" si="34"/>
        <v>1045.2875153204725</v>
      </c>
      <c r="P356" s="39">
        <v>8</v>
      </c>
      <c r="Q356" s="39">
        <v>10</v>
      </c>
      <c r="R356" s="39">
        <v>9</v>
      </c>
      <c r="S356" s="39">
        <v>9</v>
      </c>
      <c r="T356" s="39">
        <v>9</v>
      </c>
      <c r="U356" s="39">
        <v>9</v>
      </c>
      <c r="V356" s="39">
        <v>9</v>
      </c>
      <c r="W356" s="40" t="str">
        <f t="shared" si="36"/>
        <v>N</v>
      </c>
      <c r="X356" s="84">
        <f t="shared" si="37"/>
        <v>0</v>
      </c>
      <c r="Y356" s="84" t="str">
        <f t="shared" si="35"/>
        <v>0-4.9%</v>
      </c>
      <c r="Z356" s="85" t="s">
        <v>794</v>
      </c>
      <c r="AA356" s="59"/>
      <c r="AB356" s="59"/>
      <c r="AC356" s="59"/>
      <c r="AD356" s="59"/>
    </row>
    <row r="357" spans="1:30" x14ac:dyDescent="0.25">
      <c r="A357" s="54" t="s">
        <v>225</v>
      </c>
      <c r="B357" s="55"/>
      <c r="C357" s="56" t="s">
        <v>647</v>
      </c>
      <c r="D357" s="57">
        <f t="shared" si="32"/>
        <v>10</v>
      </c>
      <c r="E357" s="56"/>
      <c r="F357" s="56" t="s">
        <v>190</v>
      </c>
      <c r="G357" s="56">
        <v>5.2</v>
      </c>
      <c r="H357" s="56">
        <v>4</v>
      </c>
      <c r="I357" s="56">
        <v>6.25</v>
      </c>
      <c r="J357" s="56">
        <v>7.55</v>
      </c>
      <c r="K357" s="56">
        <v>8</v>
      </c>
      <c r="L357" s="56">
        <v>7.25</v>
      </c>
      <c r="M357" s="56"/>
      <c r="N357" s="58">
        <f t="shared" si="33"/>
        <v>38.25</v>
      </c>
      <c r="O357" s="58">
        <f t="shared" si="34"/>
        <v>1045.2875153204725</v>
      </c>
      <c r="P357" s="39">
        <v>8</v>
      </c>
      <c r="Q357" s="39">
        <v>10</v>
      </c>
      <c r="R357" s="39">
        <v>9</v>
      </c>
      <c r="S357" s="39">
        <v>9</v>
      </c>
      <c r="T357" s="39">
        <v>9</v>
      </c>
      <c r="U357" s="39">
        <v>9</v>
      </c>
      <c r="V357" s="39">
        <v>9</v>
      </c>
      <c r="W357" s="40" t="str">
        <f t="shared" si="36"/>
        <v>N</v>
      </c>
      <c r="X357" s="84">
        <f t="shared" si="37"/>
        <v>0</v>
      </c>
      <c r="Y357" s="84" t="str">
        <f t="shared" si="35"/>
        <v>0-4.9%</v>
      </c>
      <c r="Z357" s="85" t="s">
        <v>794</v>
      </c>
      <c r="AA357" s="59"/>
      <c r="AB357" s="59"/>
      <c r="AC357" s="59"/>
      <c r="AD357" s="59"/>
    </row>
    <row r="358" spans="1:30" x14ac:dyDescent="0.25">
      <c r="A358" s="54" t="s">
        <v>226</v>
      </c>
      <c r="B358" s="55"/>
      <c r="C358" s="56" t="s">
        <v>648</v>
      </c>
      <c r="D358" s="57">
        <f t="shared" si="32"/>
        <v>10</v>
      </c>
      <c r="E358" s="56"/>
      <c r="F358" s="56" t="s">
        <v>190</v>
      </c>
      <c r="G358" s="56">
        <v>5.8</v>
      </c>
      <c r="H358" s="56">
        <v>0.75</v>
      </c>
      <c r="I358" s="56">
        <v>3.85</v>
      </c>
      <c r="J358" s="56">
        <v>3.75</v>
      </c>
      <c r="K358" s="56">
        <v>2.95</v>
      </c>
      <c r="L358" s="56">
        <v>3</v>
      </c>
      <c r="M358" s="56"/>
      <c r="N358" s="58">
        <f t="shared" si="33"/>
        <v>20.100000000000001</v>
      </c>
      <c r="O358" s="58">
        <f t="shared" si="34"/>
        <v>57.779867820455024</v>
      </c>
      <c r="P358" s="39">
        <v>8</v>
      </c>
      <c r="Q358" s="39">
        <v>10</v>
      </c>
      <c r="R358" s="39">
        <v>9</v>
      </c>
      <c r="S358" s="39">
        <v>9</v>
      </c>
      <c r="T358" s="39">
        <v>9</v>
      </c>
      <c r="U358" s="39">
        <v>9</v>
      </c>
      <c r="V358" s="39">
        <v>9</v>
      </c>
      <c r="W358" s="40" t="str">
        <f t="shared" si="36"/>
        <v>N</v>
      </c>
      <c r="X358" s="84">
        <f t="shared" si="37"/>
        <v>0</v>
      </c>
      <c r="Y358" s="84" t="str">
        <f t="shared" si="35"/>
        <v>0-4.9%</v>
      </c>
      <c r="Z358" s="85" t="s">
        <v>786</v>
      </c>
      <c r="AA358" s="59"/>
      <c r="AB358" s="59"/>
      <c r="AC358" s="59"/>
      <c r="AD358" s="59"/>
    </row>
    <row r="359" spans="1:30" x14ac:dyDescent="0.25">
      <c r="A359" s="54" t="s">
        <v>228</v>
      </c>
      <c r="B359" s="55"/>
      <c r="C359" s="56" t="s">
        <v>456</v>
      </c>
      <c r="D359" s="57">
        <f t="shared" si="32"/>
        <v>10</v>
      </c>
      <c r="E359" s="56"/>
      <c r="F359" s="56" t="s">
        <v>193</v>
      </c>
      <c r="G359" s="56">
        <v>4.55</v>
      </c>
      <c r="H359" s="56">
        <v>3.65</v>
      </c>
      <c r="I359" s="56">
        <v>3.45</v>
      </c>
      <c r="J359" s="56">
        <v>1.85</v>
      </c>
      <c r="K359" s="56">
        <v>2.25</v>
      </c>
      <c r="L359" s="56">
        <v>3</v>
      </c>
      <c r="M359" s="56"/>
      <c r="N359" s="58">
        <f t="shared" si="33"/>
        <v>18.75</v>
      </c>
      <c r="O359" s="58">
        <f t="shared" si="34"/>
        <v>42.257131205178176</v>
      </c>
      <c r="P359" s="39">
        <v>8</v>
      </c>
      <c r="Q359" s="39">
        <v>10</v>
      </c>
      <c r="R359" s="39">
        <v>9</v>
      </c>
      <c r="S359" s="39">
        <v>9</v>
      </c>
      <c r="T359" s="39">
        <v>9</v>
      </c>
      <c r="U359" s="39">
        <v>9</v>
      </c>
      <c r="V359" s="39">
        <v>9</v>
      </c>
      <c r="W359" s="40" t="str">
        <f t="shared" si="36"/>
        <v>N</v>
      </c>
      <c r="X359" s="84">
        <f t="shared" si="37"/>
        <v>0</v>
      </c>
      <c r="Y359" s="84" t="str">
        <f t="shared" si="35"/>
        <v>0-4.9%</v>
      </c>
      <c r="Z359" s="85" t="s">
        <v>224</v>
      </c>
      <c r="AA359" s="59"/>
      <c r="AB359" s="59"/>
      <c r="AC359" s="59"/>
      <c r="AD359" s="59"/>
    </row>
    <row r="360" spans="1:30" x14ac:dyDescent="0.25">
      <c r="A360" s="54" t="s">
        <v>229</v>
      </c>
      <c r="B360" s="55"/>
      <c r="C360" s="56" t="s">
        <v>649</v>
      </c>
      <c r="D360" s="57">
        <f t="shared" si="32"/>
        <v>10</v>
      </c>
      <c r="E360" s="56"/>
      <c r="F360" s="56" t="s">
        <v>193</v>
      </c>
      <c r="G360" s="56">
        <v>5.45</v>
      </c>
      <c r="H360" s="56">
        <v>0.2</v>
      </c>
      <c r="I360" s="56">
        <v>2.35</v>
      </c>
      <c r="J360" s="56">
        <v>2.9</v>
      </c>
      <c r="K360" s="56">
        <v>2.75</v>
      </c>
      <c r="L360" s="56"/>
      <c r="M360" s="56"/>
      <c r="N360" s="58">
        <f t="shared" si="33"/>
        <v>13.65</v>
      </c>
      <c r="O360" s="58">
        <f t="shared" si="34"/>
        <v>10.127242672128766</v>
      </c>
      <c r="P360" s="39">
        <v>8</v>
      </c>
      <c r="Q360" s="39">
        <v>10</v>
      </c>
      <c r="R360" s="39">
        <v>9</v>
      </c>
      <c r="S360" s="39">
        <v>9</v>
      </c>
      <c r="T360" s="39">
        <v>9</v>
      </c>
      <c r="U360" s="39">
        <v>9</v>
      </c>
      <c r="V360" s="39">
        <v>9</v>
      </c>
      <c r="W360" s="40" t="str">
        <f t="shared" si="36"/>
        <v>N</v>
      </c>
      <c r="X360" s="84">
        <f t="shared" si="37"/>
        <v>0</v>
      </c>
      <c r="Y360" s="84" t="str">
        <f t="shared" si="35"/>
        <v>0-4.9%</v>
      </c>
      <c r="Z360" s="85" t="s">
        <v>224</v>
      </c>
      <c r="AA360" s="59"/>
      <c r="AB360" s="59"/>
      <c r="AC360" s="59"/>
      <c r="AD360" s="59"/>
    </row>
    <row r="361" spans="1:30" x14ac:dyDescent="0.25">
      <c r="A361" s="54" t="s">
        <v>230</v>
      </c>
      <c r="B361" s="55"/>
      <c r="C361" s="56" t="s">
        <v>650</v>
      </c>
      <c r="D361" s="57">
        <f t="shared" si="32"/>
        <v>10</v>
      </c>
      <c r="E361" s="56"/>
      <c r="F361" s="56" t="s">
        <v>193</v>
      </c>
      <c r="G361" s="56">
        <v>5.6</v>
      </c>
      <c r="H361" s="56">
        <v>8.1999999999999993</v>
      </c>
      <c r="I361" s="56">
        <v>8</v>
      </c>
      <c r="J361" s="56">
        <v>8.75</v>
      </c>
      <c r="K361" s="56">
        <v>7.5</v>
      </c>
      <c r="L361" s="56">
        <v>6.75</v>
      </c>
      <c r="M361" s="56"/>
      <c r="N361" s="58">
        <f t="shared" si="33"/>
        <v>44.8</v>
      </c>
      <c r="O361" s="58">
        <f t="shared" si="34"/>
        <v>2128.8514054752263</v>
      </c>
      <c r="P361" s="39">
        <v>8</v>
      </c>
      <c r="Q361" s="39">
        <v>10</v>
      </c>
      <c r="R361" s="39">
        <v>9</v>
      </c>
      <c r="S361" s="39">
        <v>9</v>
      </c>
      <c r="T361" s="39">
        <v>9</v>
      </c>
      <c r="U361" s="39">
        <v>9</v>
      </c>
      <c r="V361" s="39">
        <v>9</v>
      </c>
      <c r="W361" s="40" t="str">
        <f t="shared" si="36"/>
        <v>N</v>
      </c>
      <c r="X361" s="84">
        <f t="shared" si="37"/>
        <v>0</v>
      </c>
      <c r="Y361" s="84" t="str">
        <f t="shared" si="35"/>
        <v>0-4.9%</v>
      </c>
      <c r="Z361" s="85" t="s">
        <v>224</v>
      </c>
      <c r="AA361" s="59"/>
      <c r="AB361" s="59"/>
      <c r="AC361" s="59"/>
      <c r="AD361" s="59"/>
    </row>
    <row r="362" spans="1:30" x14ac:dyDescent="0.25">
      <c r="A362" s="54" t="s">
        <v>231</v>
      </c>
      <c r="B362" s="55"/>
      <c r="C362" s="56" t="s">
        <v>651</v>
      </c>
      <c r="D362" s="57">
        <f t="shared" si="32"/>
        <v>10</v>
      </c>
      <c r="E362" s="56"/>
      <c r="F362" s="56" t="s">
        <v>378</v>
      </c>
      <c r="G362" s="56">
        <v>5.65</v>
      </c>
      <c r="H362" s="56">
        <v>3.6</v>
      </c>
      <c r="I362" s="56">
        <v>3.4</v>
      </c>
      <c r="J362" s="56">
        <v>4</v>
      </c>
      <c r="K362" s="56">
        <v>2.7</v>
      </c>
      <c r="L362" s="56"/>
      <c r="M362" s="56"/>
      <c r="N362" s="58">
        <f t="shared" si="33"/>
        <v>19.349999999999998</v>
      </c>
      <c r="O362" s="58">
        <f t="shared" si="34"/>
        <v>48.69211596995428</v>
      </c>
      <c r="P362" s="39">
        <v>8</v>
      </c>
      <c r="Q362" s="39">
        <v>10</v>
      </c>
      <c r="R362" s="39">
        <v>9</v>
      </c>
      <c r="S362" s="39">
        <v>9</v>
      </c>
      <c r="T362" s="39">
        <v>9</v>
      </c>
      <c r="U362" s="39">
        <v>9</v>
      </c>
      <c r="V362" s="39">
        <v>9</v>
      </c>
      <c r="W362" s="40" t="str">
        <f t="shared" si="36"/>
        <v>N</v>
      </c>
      <c r="X362" s="84">
        <f t="shared" si="37"/>
        <v>0</v>
      </c>
      <c r="Y362" s="84" t="str">
        <f t="shared" si="35"/>
        <v>0-4.9%</v>
      </c>
      <c r="Z362" s="85" t="s">
        <v>782</v>
      </c>
      <c r="AA362" s="59"/>
      <c r="AB362" s="59"/>
      <c r="AC362" s="59"/>
      <c r="AD362" s="59"/>
    </row>
    <row r="363" spans="1:30" x14ac:dyDescent="0.25">
      <c r="A363" s="54" t="s">
        <v>232</v>
      </c>
      <c r="B363" s="55"/>
      <c r="C363" s="56" t="s">
        <v>652</v>
      </c>
      <c r="D363" s="57">
        <f t="shared" si="32"/>
        <v>10</v>
      </c>
      <c r="E363" s="56"/>
      <c r="F363" s="56" t="s">
        <v>190</v>
      </c>
      <c r="G363" s="56">
        <v>5.5</v>
      </c>
      <c r="H363" s="56">
        <v>2.35</v>
      </c>
      <c r="I363" s="56">
        <v>2.75</v>
      </c>
      <c r="J363" s="56">
        <v>3.3</v>
      </c>
      <c r="K363" s="56"/>
      <c r="L363" s="56"/>
      <c r="M363" s="56"/>
      <c r="N363" s="58">
        <f t="shared" si="33"/>
        <v>13.899999999999999</v>
      </c>
      <c r="O363" s="58">
        <f t="shared" si="34"/>
        <v>10.989068656827682</v>
      </c>
      <c r="P363" s="39">
        <v>8</v>
      </c>
      <c r="Q363" s="39">
        <v>10</v>
      </c>
      <c r="R363" s="39">
        <v>9</v>
      </c>
      <c r="S363" s="39">
        <v>9</v>
      </c>
      <c r="T363" s="39">
        <v>9</v>
      </c>
      <c r="U363" s="39">
        <v>9</v>
      </c>
      <c r="V363" s="39">
        <v>9</v>
      </c>
      <c r="W363" s="40" t="str">
        <f t="shared" si="36"/>
        <v>N</v>
      </c>
      <c r="X363" s="84">
        <f t="shared" si="37"/>
        <v>0</v>
      </c>
      <c r="Y363" s="84" t="str">
        <f t="shared" si="35"/>
        <v>0-4.9%</v>
      </c>
      <c r="Z363" s="85" t="s">
        <v>224</v>
      </c>
      <c r="AA363" s="59"/>
      <c r="AB363" s="59"/>
      <c r="AC363" s="59"/>
      <c r="AD363" s="59"/>
    </row>
    <row r="364" spans="1:30" s="37" customFormat="1" x14ac:dyDescent="0.25">
      <c r="A364" s="54" t="s">
        <v>241</v>
      </c>
      <c r="B364" s="55"/>
      <c r="C364" s="56" t="s">
        <v>658</v>
      </c>
      <c r="D364" s="57">
        <f t="shared" si="32"/>
        <v>10</v>
      </c>
      <c r="E364" s="56"/>
      <c r="F364" s="56" t="s">
        <v>193</v>
      </c>
      <c r="G364" s="56">
        <v>4.2</v>
      </c>
      <c r="H364" s="56">
        <v>3.6</v>
      </c>
      <c r="I364" s="56">
        <v>3.4</v>
      </c>
      <c r="J364" s="56">
        <v>1.4</v>
      </c>
      <c r="K364" s="56">
        <v>2.15</v>
      </c>
      <c r="L364" s="56">
        <v>3.75</v>
      </c>
      <c r="M364" s="56"/>
      <c r="N364" s="58">
        <f t="shared" si="33"/>
        <v>18.5</v>
      </c>
      <c r="O364" s="58">
        <f t="shared" si="34"/>
        <v>39.7802092656813</v>
      </c>
      <c r="P364" s="39">
        <v>8</v>
      </c>
      <c r="Q364" s="39">
        <v>10</v>
      </c>
      <c r="R364" s="39">
        <v>9</v>
      </c>
      <c r="S364" s="39">
        <v>9</v>
      </c>
      <c r="T364" s="39">
        <v>9</v>
      </c>
      <c r="U364" s="39">
        <v>9</v>
      </c>
      <c r="V364" s="39">
        <v>9</v>
      </c>
      <c r="W364" s="40" t="str">
        <f t="shared" si="36"/>
        <v>N</v>
      </c>
      <c r="X364" s="84">
        <f t="shared" si="37"/>
        <v>0</v>
      </c>
      <c r="Y364" s="84" t="str">
        <f t="shared" si="35"/>
        <v>0-4.9%</v>
      </c>
      <c r="Z364" s="85" t="s">
        <v>794</v>
      </c>
      <c r="AA364" s="63"/>
      <c r="AB364" s="63"/>
      <c r="AC364" s="63"/>
      <c r="AD364" s="63"/>
    </row>
    <row r="365" spans="1:30" x14ac:dyDescent="0.25">
      <c r="A365" s="54" t="s">
        <v>244</v>
      </c>
      <c r="B365" s="55"/>
      <c r="C365" s="56" t="s">
        <v>660</v>
      </c>
      <c r="D365" s="57">
        <f t="shared" si="32"/>
        <v>10</v>
      </c>
      <c r="E365" s="56"/>
      <c r="F365" s="56" t="s">
        <v>193</v>
      </c>
      <c r="G365" s="56">
        <v>4.6500000000000004</v>
      </c>
      <c r="H365" s="56">
        <v>4.55</v>
      </c>
      <c r="I365" s="56">
        <v>4.5</v>
      </c>
      <c r="J365" s="56">
        <v>3</v>
      </c>
      <c r="K365" s="56">
        <v>2.8</v>
      </c>
      <c r="L365" s="56">
        <v>4.5</v>
      </c>
      <c r="M365" s="56"/>
      <c r="N365" s="58">
        <f t="shared" si="33"/>
        <v>24</v>
      </c>
      <c r="O365" s="58">
        <f t="shared" si="34"/>
        <v>128.33492859767952</v>
      </c>
      <c r="P365" s="39">
        <v>8</v>
      </c>
      <c r="Q365" s="39">
        <v>10</v>
      </c>
      <c r="R365" s="39">
        <v>9</v>
      </c>
      <c r="S365" s="39">
        <v>9</v>
      </c>
      <c r="T365" s="39">
        <v>9</v>
      </c>
      <c r="U365" s="39">
        <v>9</v>
      </c>
      <c r="V365" s="39">
        <v>9</v>
      </c>
      <c r="W365" s="40" t="str">
        <f t="shared" si="36"/>
        <v>N</v>
      </c>
      <c r="X365" s="84">
        <f t="shared" si="37"/>
        <v>0</v>
      </c>
      <c r="Y365" s="84" t="str">
        <f t="shared" si="35"/>
        <v>0-4.9%</v>
      </c>
      <c r="Z365" s="85" t="s">
        <v>224</v>
      </c>
      <c r="AA365" s="59"/>
      <c r="AB365" s="59"/>
      <c r="AC365" s="59"/>
      <c r="AD365" s="59"/>
    </row>
    <row r="366" spans="1:30" x14ac:dyDescent="0.25">
      <c r="A366" s="54" t="s">
        <v>245</v>
      </c>
      <c r="B366" s="55"/>
      <c r="C366" s="56" t="s">
        <v>661</v>
      </c>
      <c r="D366" s="57">
        <f t="shared" si="32"/>
        <v>10</v>
      </c>
      <c r="E366" s="56"/>
      <c r="F366" s="56" t="s">
        <v>193</v>
      </c>
      <c r="G366" s="56">
        <v>6.1</v>
      </c>
      <c r="H366" s="56">
        <v>3.8</v>
      </c>
      <c r="I366" s="56">
        <v>3.7</v>
      </c>
      <c r="J366" s="56">
        <v>3.05</v>
      </c>
      <c r="K366" s="56">
        <v>2.65</v>
      </c>
      <c r="L366" s="56">
        <v>2.75</v>
      </c>
      <c r="M366" s="56"/>
      <c r="N366" s="58">
        <f t="shared" si="33"/>
        <v>22.049999999999997</v>
      </c>
      <c r="O366" s="58">
        <f t="shared" si="34"/>
        <v>87.64617300043561</v>
      </c>
      <c r="P366" s="39">
        <v>8</v>
      </c>
      <c r="Q366" s="39">
        <v>10</v>
      </c>
      <c r="R366" s="39">
        <v>9</v>
      </c>
      <c r="S366" s="39">
        <v>9</v>
      </c>
      <c r="T366" s="39">
        <v>9</v>
      </c>
      <c r="U366" s="39">
        <v>9</v>
      </c>
      <c r="V366" s="39">
        <v>9</v>
      </c>
      <c r="W366" s="40" t="str">
        <f t="shared" si="36"/>
        <v>N</v>
      </c>
      <c r="X366" s="84">
        <f t="shared" si="37"/>
        <v>0</v>
      </c>
      <c r="Y366" s="84" t="str">
        <f t="shared" si="35"/>
        <v>0-4.9%</v>
      </c>
      <c r="Z366" s="85" t="s">
        <v>790</v>
      </c>
      <c r="AA366" s="59"/>
      <c r="AB366" s="59"/>
      <c r="AC366" s="59"/>
      <c r="AD366" s="59"/>
    </row>
    <row r="367" spans="1:30" x14ac:dyDescent="0.25">
      <c r="A367" s="54" t="s">
        <v>246</v>
      </c>
      <c r="B367" s="55"/>
      <c r="C367" s="56" t="s">
        <v>662</v>
      </c>
      <c r="D367" s="57">
        <f t="shared" si="32"/>
        <v>10</v>
      </c>
      <c r="E367" s="56"/>
      <c r="F367" s="56" t="s">
        <v>193</v>
      </c>
      <c r="G367" s="56">
        <v>5.2</v>
      </c>
      <c r="H367" s="56">
        <v>3.6</v>
      </c>
      <c r="I367" s="56">
        <v>3.4</v>
      </c>
      <c r="J367" s="56">
        <v>2.65</v>
      </c>
      <c r="K367" s="56">
        <v>2.5499999999999998</v>
      </c>
      <c r="L367" s="56">
        <v>2.6</v>
      </c>
      <c r="M367" s="56"/>
      <c r="N367" s="58">
        <f t="shared" si="33"/>
        <v>20.000000000000004</v>
      </c>
      <c r="O367" s="58">
        <f t="shared" si="34"/>
        <v>56.497504588448436</v>
      </c>
      <c r="P367" s="39">
        <v>8</v>
      </c>
      <c r="Q367" s="39">
        <v>10</v>
      </c>
      <c r="R367" s="39">
        <v>9</v>
      </c>
      <c r="S367" s="39">
        <v>9</v>
      </c>
      <c r="T367" s="39">
        <v>9</v>
      </c>
      <c r="U367" s="39">
        <v>9</v>
      </c>
      <c r="V367" s="39">
        <v>9</v>
      </c>
      <c r="W367" s="40" t="str">
        <f t="shared" si="36"/>
        <v>N</v>
      </c>
      <c r="X367" s="84">
        <f t="shared" si="37"/>
        <v>0</v>
      </c>
      <c r="Y367" s="84" t="str">
        <f t="shared" si="35"/>
        <v>0-4.9%</v>
      </c>
      <c r="Z367" s="85" t="s">
        <v>790</v>
      </c>
      <c r="AA367" s="59"/>
      <c r="AB367" s="59"/>
      <c r="AC367" s="59"/>
      <c r="AD367" s="59"/>
    </row>
    <row r="368" spans="1:30" x14ac:dyDescent="0.25">
      <c r="A368" s="54" t="s">
        <v>247</v>
      </c>
      <c r="B368" s="55"/>
      <c r="C368" s="56" t="s">
        <v>663</v>
      </c>
      <c r="D368" s="57">
        <f t="shared" si="32"/>
        <v>10</v>
      </c>
      <c r="E368" s="56"/>
      <c r="F368" s="56" t="s">
        <v>193</v>
      </c>
      <c r="G368" s="56">
        <v>6</v>
      </c>
      <c r="H368" s="56">
        <v>2.15</v>
      </c>
      <c r="I368" s="56">
        <v>3.85</v>
      </c>
      <c r="J368" s="56">
        <v>3.1</v>
      </c>
      <c r="K368" s="56">
        <v>2.65</v>
      </c>
      <c r="L368" s="56">
        <v>2.75</v>
      </c>
      <c r="M368" s="56"/>
      <c r="N368" s="58">
        <f t="shared" si="33"/>
        <v>20.5</v>
      </c>
      <c r="O368" s="58">
        <f t="shared" si="34"/>
        <v>63.137395157956838</v>
      </c>
      <c r="P368" s="39">
        <v>8</v>
      </c>
      <c r="Q368" s="39">
        <v>10</v>
      </c>
      <c r="R368" s="39">
        <v>9</v>
      </c>
      <c r="S368" s="39">
        <v>9</v>
      </c>
      <c r="T368" s="39">
        <v>9</v>
      </c>
      <c r="U368" s="39">
        <v>9</v>
      </c>
      <c r="V368" s="39">
        <v>9</v>
      </c>
      <c r="W368" s="40" t="str">
        <f t="shared" si="36"/>
        <v>N</v>
      </c>
      <c r="X368" s="84">
        <f t="shared" si="37"/>
        <v>0</v>
      </c>
      <c r="Y368" s="84" t="str">
        <f t="shared" si="35"/>
        <v>0-4.9%</v>
      </c>
      <c r="Z368" s="85" t="s">
        <v>790</v>
      </c>
      <c r="AA368" s="59"/>
      <c r="AB368" s="59"/>
      <c r="AC368" s="59"/>
      <c r="AD368" s="59"/>
    </row>
    <row r="369" spans="1:30" x14ac:dyDescent="0.25">
      <c r="A369" s="54" t="s">
        <v>249</v>
      </c>
      <c r="B369" s="55"/>
      <c r="C369" s="56" t="s">
        <v>664</v>
      </c>
      <c r="D369" s="57">
        <f t="shared" si="32"/>
        <v>10</v>
      </c>
      <c r="E369" s="56"/>
      <c r="F369" s="56" t="s">
        <v>227</v>
      </c>
      <c r="G369" s="56">
        <v>5.6</v>
      </c>
      <c r="H369" s="56">
        <v>4.25</v>
      </c>
      <c r="I369" s="56">
        <v>3.95</v>
      </c>
      <c r="J369" s="56">
        <v>2.1</v>
      </c>
      <c r="K369" s="56">
        <v>3.25</v>
      </c>
      <c r="L369" s="56"/>
      <c r="M369" s="56"/>
      <c r="N369" s="58">
        <f t="shared" si="33"/>
        <v>19.149999999999999</v>
      </c>
      <c r="O369" s="58">
        <f t="shared" si="34"/>
        <v>46.467979381067877</v>
      </c>
      <c r="P369" s="39">
        <v>8</v>
      </c>
      <c r="Q369" s="39">
        <v>10</v>
      </c>
      <c r="R369" s="39">
        <v>9</v>
      </c>
      <c r="S369" s="39">
        <v>9</v>
      </c>
      <c r="T369" s="39">
        <v>9</v>
      </c>
      <c r="U369" s="39">
        <v>9</v>
      </c>
      <c r="V369" s="39">
        <v>9</v>
      </c>
      <c r="W369" s="40" t="str">
        <f t="shared" si="36"/>
        <v>N</v>
      </c>
      <c r="X369" s="84">
        <f t="shared" si="37"/>
        <v>0</v>
      </c>
      <c r="Y369" s="84" t="str">
        <f t="shared" si="35"/>
        <v>0-4.9%</v>
      </c>
      <c r="Z369" s="85" t="s">
        <v>794</v>
      </c>
      <c r="AA369" s="59"/>
      <c r="AB369" s="59"/>
      <c r="AC369" s="59"/>
      <c r="AD369" s="59"/>
    </row>
    <row r="370" spans="1:30" x14ac:dyDescent="0.25">
      <c r="A370" s="54" t="s">
        <v>250</v>
      </c>
      <c r="B370" s="55"/>
      <c r="C370" s="56" t="s">
        <v>665</v>
      </c>
      <c r="D370" s="57">
        <f t="shared" si="32"/>
        <v>10</v>
      </c>
      <c r="E370" s="56"/>
      <c r="F370" s="56" t="s">
        <v>193</v>
      </c>
      <c r="G370" s="56">
        <v>5.4</v>
      </c>
      <c r="H370" s="56">
        <v>3.35</v>
      </c>
      <c r="I370" s="56">
        <v>2.9</v>
      </c>
      <c r="J370" s="56">
        <v>2.5</v>
      </c>
      <c r="K370" s="56">
        <v>3.7</v>
      </c>
      <c r="L370" s="56">
        <v>1.55</v>
      </c>
      <c r="M370" s="56"/>
      <c r="N370" s="58">
        <f t="shared" si="33"/>
        <v>19.400000000000002</v>
      </c>
      <c r="O370" s="58">
        <f t="shared" si="34"/>
        <v>49.260869162305113</v>
      </c>
      <c r="P370" s="39">
        <v>8</v>
      </c>
      <c r="Q370" s="39">
        <v>10</v>
      </c>
      <c r="R370" s="39">
        <v>9</v>
      </c>
      <c r="S370" s="39">
        <v>9</v>
      </c>
      <c r="T370" s="39">
        <v>9</v>
      </c>
      <c r="U370" s="39">
        <v>9</v>
      </c>
      <c r="V370" s="39">
        <v>9</v>
      </c>
      <c r="W370" s="40" t="str">
        <f t="shared" si="36"/>
        <v>N</v>
      </c>
      <c r="X370" s="84">
        <f t="shared" si="37"/>
        <v>0</v>
      </c>
      <c r="Y370" s="84" t="str">
        <f t="shared" si="35"/>
        <v>0-4.9%</v>
      </c>
      <c r="Z370" s="85" t="s">
        <v>794</v>
      </c>
      <c r="AA370" s="59"/>
      <c r="AB370" s="59"/>
      <c r="AC370" s="59"/>
      <c r="AD370" s="59"/>
    </row>
    <row r="371" spans="1:30" x14ac:dyDescent="0.25">
      <c r="A371" s="54" t="s">
        <v>253</v>
      </c>
      <c r="B371" s="55"/>
      <c r="C371" s="56" t="s">
        <v>415</v>
      </c>
      <c r="D371" s="57">
        <f t="shared" si="32"/>
        <v>10</v>
      </c>
      <c r="E371" s="56"/>
      <c r="F371" s="56" t="s">
        <v>193</v>
      </c>
      <c r="G371" s="56">
        <v>5.55</v>
      </c>
      <c r="H371" s="56">
        <v>3.85</v>
      </c>
      <c r="I371" s="56">
        <v>4.05</v>
      </c>
      <c r="J371" s="56">
        <v>2.15</v>
      </c>
      <c r="K371" s="56">
        <v>2.5</v>
      </c>
      <c r="L371" s="56">
        <v>2.7</v>
      </c>
      <c r="M371" s="56"/>
      <c r="N371" s="58">
        <f t="shared" si="33"/>
        <v>20.8</v>
      </c>
      <c r="O371" s="58">
        <f t="shared" si="34"/>
        <v>67.403010277421103</v>
      </c>
      <c r="P371" s="39">
        <v>8</v>
      </c>
      <c r="Q371" s="39">
        <v>10</v>
      </c>
      <c r="R371" s="39">
        <v>9</v>
      </c>
      <c r="S371" s="39">
        <v>9</v>
      </c>
      <c r="T371" s="39">
        <v>9</v>
      </c>
      <c r="U371" s="39">
        <v>9</v>
      </c>
      <c r="V371" s="39">
        <v>9</v>
      </c>
      <c r="W371" s="40" t="str">
        <f t="shared" si="36"/>
        <v>N</v>
      </c>
      <c r="X371" s="84">
        <f t="shared" si="37"/>
        <v>0</v>
      </c>
      <c r="Y371" s="84" t="str">
        <f t="shared" si="35"/>
        <v>0-4.9%</v>
      </c>
      <c r="Z371" s="85" t="s">
        <v>786</v>
      </c>
      <c r="AA371" s="59"/>
      <c r="AB371" s="59"/>
      <c r="AC371" s="59"/>
      <c r="AD371" s="59"/>
    </row>
    <row r="372" spans="1:30" x14ac:dyDescent="0.25">
      <c r="A372" s="54" t="s">
        <v>255</v>
      </c>
      <c r="B372" s="55"/>
      <c r="C372" s="56" t="s">
        <v>669</v>
      </c>
      <c r="D372" s="57">
        <f t="shared" si="32"/>
        <v>10</v>
      </c>
      <c r="E372" s="56"/>
      <c r="F372" s="56" t="s">
        <v>193</v>
      </c>
      <c r="G372" s="56">
        <v>5</v>
      </c>
      <c r="H372" s="56">
        <v>2</v>
      </c>
      <c r="I372" s="56">
        <v>3.25</v>
      </c>
      <c r="J372" s="56">
        <v>2.8</v>
      </c>
      <c r="K372" s="56">
        <v>2.65</v>
      </c>
      <c r="L372" s="56">
        <v>2.5</v>
      </c>
      <c r="M372" s="56"/>
      <c r="N372" s="58">
        <f t="shared" si="33"/>
        <v>18.200000000000003</v>
      </c>
      <c r="O372" s="58">
        <f t="shared" si="34"/>
        <v>36.958601689455961</v>
      </c>
      <c r="P372" s="39">
        <v>8</v>
      </c>
      <c r="Q372" s="39">
        <v>10</v>
      </c>
      <c r="R372" s="39">
        <v>9</v>
      </c>
      <c r="S372" s="39">
        <v>9</v>
      </c>
      <c r="T372" s="39">
        <v>9</v>
      </c>
      <c r="U372" s="39">
        <v>9</v>
      </c>
      <c r="V372" s="39">
        <v>9</v>
      </c>
      <c r="W372" s="40" t="str">
        <f t="shared" si="36"/>
        <v>N</v>
      </c>
      <c r="X372" s="84">
        <f t="shared" si="37"/>
        <v>0</v>
      </c>
      <c r="Y372" s="84" t="str">
        <f t="shared" si="35"/>
        <v>0-4.9%</v>
      </c>
      <c r="Z372" s="85" t="s">
        <v>224</v>
      </c>
      <c r="AA372" s="59"/>
      <c r="AB372" s="59"/>
      <c r="AC372" s="59"/>
      <c r="AD372" s="59"/>
    </row>
    <row r="373" spans="1:30" x14ac:dyDescent="0.25">
      <c r="A373" s="54" t="s">
        <v>258</v>
      </c>
      <c r="B373" s="55"/>
      <c r="C373" s="56" t="s">
        <v>672</v>
      </c>
      <c r="D373" s="57">
        <f t="shared" si="32"/>
        <v>10</v>
      </c>
      <c r="E373" s="56"/>
      <c r="F373" s="56" t="s">
        <v>193</v>
      </c>
      <c r="G373" s="56">
        <v>6.05</v>
      </c>
      <c r="H373" s="56">
        <v>1.85</v>
      </c>
      <c r="I373" s="56">
        <v>3.65</v>
      </c>
      <c r="J373" s="56">
        <v>3.5</v>
      </c>
      <c r="K373" s="56">
        <v>2.6</v>
      </c>
      <c r="L373" s="56">
        <v>2.0499999999999998</v>
      </c>
      <c r="M373" s="56"/>
      <c r="N373" s="58">
        <f t="shared" si="33"/>
        <v>19.700000000000003</v>
      </c>
      <c r="O373" s="58">
        <f t="shared" si="34"/>
        <v>52.782785241389611</v>
      </c>
      <c r="P373" s="39">
        <v>8</v>
      </c>
      <c r="Q373" s="39">
        <v>10</v>
      </c>
      <c r="R373" s="39">
        <v>9</v>
      </c>
      <c r="S373" s="39">
        <v>9</v>
      </c>
      <c r="T373" s="39">
        <v>9</v>
      </c>
      <c r="U373" s="39">
        <v>9</v>
      </c>
      <c r="V373" s="39">
        <v>9</v>
      </c>
      <c r="W373" s="40" t="str">
        <f t="shared" si="36"/>
        <v>N</v>
      </c>
      <c r="X373" s="84">
        <f t="shared" si="37"/>
        <v>0</v>
      </c>
      <c r="Y373" s="84" t="str">
        <f t="shared" si="35"/>
        <v>0-4.9%</v>
      </c>
      <c r="Z373" s="85" t="s">
        <v>790</v>
      </c>
      <c r="AA373" s="59"/>
      <c r="AB373" s="59"/>
      <c r="AC373" s="59"/>
      <c r="AD373" s="59"/>
    </row>
    <row r="374" spans="1:30" x14ac:dyDescent="0.25">
      <c r="A374" s="54" t="s">
        <v>259</v>
      </c>
      <c r="B374" s="55"/>
      <c r="C374" s="56" t="s">
        <v>524</v>
      </c>
      <c r="D374" s="57">
        <f t="shared" si="32"/>
        <v>10</v>
      </c>
      <c r="E374" s="56"/>
      <c r="F374" s="56" t="s">
        <v>193</v>
      </c>
      <c r="G374" s="56">
        <v>5.9</v>
      </c>
      <c r="H374" s="56">
        <v>4.0999999999999996</v>
      </c>
      <c r="I374" s="56">
        <v>3.8</v>
      </c>
      <c r="J374" s="56">
        <v>2.5</v>
      </c>
      <c r="K374" s="56">
        <v>2.7</v>
      </c>
      <c r="L374" s="56">
        <v>3.25</v>
      </c>
      <c r="M374" s="56">
        <v>2.85</v>
      </c>
      <c r="N374" s="58">
        <f t="shared" si="33"/>
        <v>25.1</v>
      </c>
      <c r="O374" s="58">
        <f t="shared" si="34"/>
        <v>157.00953676471016</v>
      </c>
      <c r="P374" s="39">
        <v>8</v>
      </c>
      <c r="Q374" s="39">
        <v>10</v>
      </c>
      <c r="R374" s="39">
        <v>9</v>
      </c>
      <c r="S374" s="39">
        <v>9</v>
      </c>
      <c r="T374" s="39">
        <v>9</v>
      </c>
      <c r="U374" s="39">
        <v>9</v>
      </c>
      <c r="V374" s="39">
        <v>9</v>
      </c>
      <c r="W374" s="40" t="str">
        <f t="shared" si="36"/>
        <v>N</v>
      </c>
      <c r="X374" s="84">
        <f t="shared" si="37"/>
        <v>0</v>
      </c>
      <c r="Y374" s="84" t="str">
        <f t="shared" si="35"/>
        <v>0-4.9%</v>
      </c>
      <c r="Z374" s="85" t="s">
        <v>224</v>
      </c>
      <c r="AA374" s="59"/>
      <c r="AB374" s="59"/>
      <c r="AC374" s="59"/>
      <c r="AD374" s="59"/>
    </row>
    <row r="375" spans="1:30" x14ac:dyDescent="0.25">
      <c r="A375" s="54" t="s">
        <v>260</v>
      </c>
      <c r="B375" s="55"/>
      <c r="C375" s="56" t="s">
        <v>673</v>
      </c>
      <c r="D375" s="57">
        <f t="shared" si="32"/>
        <v>10</v>
      </c>
      <c r="E375" s="56"/>
      <c r="F375" s="56" t="s">
        <v>190</v>
      </c>
      <c r="G375" s="56">
        <v>5.3</v>
      </c>
      <c r="H375" s="56">
        <v>8.75</v>
      </c>
      <c r="I375" s="56">
        <v>8.8000000000000007</v>
      </c>
      <c r="J375" s="56">
        <v>6.3</v>
      </c>
      <c r="K375" s="56">
        <v>6.1</v>
      </c>
      <c r="L375" s="56">
        <v>10.95</v>
      </c>
      <c r="M375" s="56"/>
      <c r="N375" s="58">
        <f t="shared" si="33"/>
        <v>46.2</v>
      </c>
      <c r="O375" s="58">
        <f t="shared" si="34"/>
        <v>2445.0242767543191</v>
      </c>
      <c r="P375" s="39">
        <v>8</v>
      </c>
      <c r="Q375" s="39">
        <v>10</v>
      </c>
      <c r="R375" s="39">
        <v>9</v>
      </c>
      <c r="S375" s="39">
        <v>9</v>
      </c>
      <c r="T375" s="39">
        <v>9</v>
      </c>
      <c r="U375" s="39">
        <v>9</v>
      </c>
      <c r="V375" s="39">
        <v>9</v>
      </c>
      <c r="W375" s="40" t="str">
        <f t="shared" si="36"/>
        <v>Y</v>
      </c>
      <c r="X375" s="84">
        <f t="shared" si="37"/>
        <v>0.19499999999999992</v>
      </c>
      <c r="Y375" s="84" t="str">
        <f t="shared" si="35"/>
        <v>5-25%</v>
      </c>
      <c r="Z375" s="85" t="s">
        <v>794</v>
      </c>
      <c r="AA375" s="59"/>
      <c r="AB375" s="59"/>
      <c r="AC375" s="59"/>
      <c r="AD375" s="59"/>
    </row>
    <row r="376" spans="1:30" x14ac:dyDescent="0.25">
      <c r="A376" s="54" t="s">
        <v>262</v>
      </c>
      <c r="B376" s="55"/>
      <c r="C376" s="56" t="s">
        <v>675</v>
      </c>
      <c r="D376" s="57">
        <f t="shared" si="32"/>
        <v>10</v>
      </c>
      <c r="E376" s="56"/>
      <c r="F376" s="56" t="s">
        <v>190</v>
      </c>
      <c r="G376" s="56">
        <v>5.7</v>
      </c>
      <c r="H376" s="56">
        <v>3.7</v>
      </c>
      <c r="I376" s="56">
        <v>3.55</v>
      </c>
      <c r="J376" s="56">
        <v>2.7</v>
      </c>
      <c r="K376" s="56">
        <v>2.4</v>
      </c>
      <c r="L376" s="56">
        <v>2.1</v>
      </c>
      <c r="M376" s="56"/>
      <c r="N376" s="58">
        <f t="shared" si="33"/>
        <v>20.149999999999999</v>
      </c>
      <c r="O376" s="58">
        <f t="shared" si="34"/>
        <v>58.429478853976306</v>
      </c>
      <c r="P376" s="39">
        <v>8</v>
      </c>
      <c r="Q376" s="39">
        <v>10</v>
      </c>
      <c r="R376" s="39">
        <v>9</v>
      </c>
      <c r="S376" s="39">
        <v>9</v>
      </c>
      <c r="T376" s="39">
        <v>9</v>
      </c>
      <c r="U376" s="39">
        <v>9</v>
      </c>
      <c r="V376" s="39">
        <v>9</v>
      </c>
      <c r="W376" s="40" t="str">
        <f t="shared" si="36"/>
        <v>N</v>
      </c>
      <c r="X376" s="84">
        <f t="shared" si="37"/>
        <v>0</v>
      </c>
      <c r="Y376" s="84" t="str">
        <f t="shared" si="35"/>
        <v>0-4.9%</v>
      </c>
      <c r="Z376" s="85" t="s">
        <v>224</v>
      </c>
      <c r="AA376" s="59"/>
      <c r="AB376" s="59"/>
      <c r="AC376" s="59"/>
      <c r="AD376" s="59"/>
    </row>
    <row r="377" spans="1:30" x14ac:dyDescent="0.25">
      <c r="A377" s="54" t="s">
        <v>263</v>
      </c>
      <c r="B377" s="55"/>
      <c r="C377" s="56" t="s">
        <v>676</v>
      </c>
      <c r="D377" s="57">
        <f t="shared" si="32"/>
        <v>10</v>
      </c>
      <c r="E377" s="56"/>
      <c r="F377" s="56" t="s">
        <v>193</v>
      </c>
      <c r="G377" s="56">
        <v>5.9</v>
      </c>
      <c r="H377" s="56">
        <v>6.1</v>
      </c>
      <c r="I377" s="56">
        <v>9.8000000000000007</v>
      </c>
      <c r="J377" s="56">
        <v>7.75</v>
      </c>
      <c r="K377" s="56">
        <v>8.35</v>
      </c>
      <c r="L377" s="56">
        <v>8.6</v>
      </c>
      <c r="M377" s="56"/>
      <c r="N377" s="58">
        <f t="shared" si="33"/>
        <v>46.5</v>
      </c>
      <c r="O377" s="58">
        <f t="shared" si="34"/>
        <v>2517.2860761818356</v>
      </c>
      <c r="P377" s="39">
        <v>8</v>
      </c>
      <c r="Q377" s="39">
        <v>10</v>
      </c>
      <c r="R377" s="39">
        <v>9</v>
      </c>
      <c r="S377" s="39">
        <v>9</v>
      </c>
      <c r="T377" s="39">
        <v>9</v>
      </c>
      <c r="U377" s="39">
        <v>9</v>
      </c>
      <c r="V377" s="39">
        <v>9</v>
      </c>
      <c r="W377" s="40" t="str">
        <f t="shared" si="36"/>
        <v>Y</v>
      </c>
      <c r="X377" s="84">
        <f t="shared" si="37"/>
        <v>8.0000000000000071E-2</v>
      </c>
      <c r="Y377" s="84" t="str">
        <f t="shared" si="35"/>
        <v>5-25%</v>
      </c>
      <c r="Z377" s="85" t="s">
        <v>794</v>
      </c>
      <c r="AA377" s="59"/>
      <c r="AB377" s="59"/>
      <c r="AC377" s="59"/>
      <c r="AD377" s="59"/>
    </row>
    <row r="378" spans="1:30" x14ac:dyDescent="0.25">
      <c r="A378" s="54" t="s">
        <v>264</v>
      </c>
      <c r="B378" s="55"/>
      <c r="C378" s="56" t="s">
        <v>677</v>
      </c>
      <c r="D378" s="57">
        <f t="shared" si="32"/>
        <v>10</v>
      </c>
      <c r="E378" s="56"/>
      <c r="F378" s="56" t="s">
        <v>227</v>
      </c>
      <c r="G378" s="56">
        <v>5.9</v>
      </c>
      <c r="H378" s="56">
        <v>4.3499999999999996</v>
      </c>
      <c r="I378" s="56">
        <v>2.65</v>
      </c>
      <c r="J378" s="56">
        <v>2.25</v>
      </c>
      <c r="K378" s="56">
        <v>1.85</v>
      </c>
      <c r="L378" s="56"/>
      <c r="M378" s="56"/>
      <c r="N378" s="58">
        <f t="shared" si="33"/>
        <v>17</v>
      </c>
      <c r="O378" s="58">
        <f t="shared" si="34"/>
        <v>27.19032707636449</v>
      </c>
      <c r="P378" s="39">
        <v>8</v>
      </c>
      <c r="Q378" s="39">
        <v>10</v>
      </c>
      <c r="R378" s="39">
        <v>9</v>
      </c>
      <c r="S378" s="39">
        <v>9</v>
      </c>
      <c r="T378" s="39">
        <v>9</v>
      </c>
      <c r="U378" s="39">
        <v>9</v>
      </c>
      <c r="V378" s="39">
        <v>9</v>
      </c>
      <c r="W378" s="40" t="str">
        <f t="shared" si="36"/>
        <v>N</v>
      </c>
      <c r="X378" s="84">
        <f t="shared" si="37"/>
        <v>0</v>
      </c>
      <c r="Y378" s="84" t="str">
        <f t="shared" si="35"/>
        <v>0-4.9%</v>
      </c>
      <c r="Z378" s="85" t="s">
        <v>224</v>
      </c>
      <c r="AA378" s="59"/>
      <c r="AB378" s="59"/>
      <c r="AC378" s="59"/>
      <c r="AD378" s="59"/>
    </row>
    <row r="379" spans="1:30" x14ac:dyDescent="0.25">
      <c r="A379" s="54" t="s">
        <v>265</v>
      </c>
      <c r="B379" s="55"/>
      <c r="C379" s="56" t="s">
        <v>386</v>
      </c>
      <c r="D379" s="57">
        <f t="shared" si="32"/>
        <v>10</v>
      </c>
      <c r="E379" s="56"/>
      <c r="F379" s="56" t="s">
        <v>190</v>
      </c>
      <c r="G379" s="56">
        <v>5.55</v>
      </c>
      <c r="H379" s="56">
        <v>1.75</v>
      </c>
      <c r="I379" s="56">
        <v>3.95</v>
      </c>
      <c r="J379" s="56">
        <v>3.15</v>
      </c>
      <c r="K379" s="56">
        <v>3.2</v>
      </c>
      <c r="L379" s="56">
        <v>2.5499999999999998</v>
      </c>
      <c r="M379" s="56"/>
      <c r="N379" s="58">
        <f t="shared" si="33"/>
        <v>20.150000000000002</v>
      </c>
      <c r="O379" s="58">
        <f t="shared" si="34"/>
        <v>58.429478853976363</v>
      </c>
      <c r="P379" s="39">
        <v>8</v>
      </c>
      <c r="Q379" s="39">
        <v>10</v>
      </c>
      <c r="R379" s="39">
        <v>9</v>
      </c>
      <c r="S379" s="39">
        <v>9</v>
      </c>
      <c r="T379" s="39">
        <v>9</v>
      </c>
      <c r="U379" s="39">
        <v>9</v>
      </c>
      <c r="V379" s="39">
        <v>9</v>
      </c>
      <c r="W379" s="40" t="str">
        <f t="shared" si="36"/>
        <v>N</v>
      </c>
      <c r="X379" s="84">
        <f t="shared" si="37"/>
        <v>0</v>
      </c>
      <c r="Y379" s="84" t="str">
        <f t="shared" si="35"/>
        <v>0-4.9%</v>
      </c>
      <c r="Z379" s="85" t="s">
        <v>790</v>
      </c>
      <c r="AA379" s="59"/>
      <c r="AB379" s="59"/>
      <c r="AC379" s="59"/>
      <c r="AD379" s="59"/>
    </row>
    <row r="380" spans="1:30" x14ac:dyDescent="0.25">
      <c r="A380" s="54" t="s">
        <v>266</v>
      </c>
      <c r="B380" s="55"/>
      <c r="C380" s="56" t="s">
        <v>678</v>
      </c>
      <c r="D380" s="57">
        <f t="shared" si="32"/>
        <v>10</v>
      </c>
      <c r="E380" s="56"/>
      <c r="F380" s="56" t="s">
        <v>190</v>
      </c>
      <c r="G380" s="56">
        <v>7.7</v>
      </c>
      <c r="H380" s="56">
        <v>8.6999999999999993</v>
      </c>
      <c r="I380" s="56">
        <v>14.1</v>
      </c>
      <c r="J380" s="56">
        <v>11.15</v>
      </c>
      <c r="K380" s="56">
        <v>11.2</v>
      </c>
      <c r="L380" s="56">
        <v>10.85</v>
      </c>
      <c r="M380" s="56"/>
      <c r="N380" s="58">
        <f t="shared" si="33"/>
        <v>63.699999999999996</v>
      </c>
      <c r="O380" s="58">
        <f t="shared" si="34"/>
        <v>10375.803326995892</v>
      </c>
      <c r="P380" s="39">
        <v>8</v>
      </c>
      <c r="Q380" s="39">
        <v>10</v>
      </c>
      <c r="R380" s="39">
        <v>9</v>
      </c>
      <c r="S380" s="39">
        <v>9</v>
      </c>
      <c r="T380" s="39">
        <v>9</v>
      </c>
      <c r="U380" s="39">
        <v>9</v>
      </c>
      <c r="V380" s="39">
        <v>9</v>
      </c>
      <c r="W380" s="40" t="str">
        <f t="shared" si="36"/>
        <v>Y</v>
      </c>
      <c r="X380" s="84">
        <f t="shared" si="37"/>
        <v>0.51</v>
      </c>
      <c r="Y380" s="84" t="str">
        <f t="shared" si="35"/>
        <v>Over 50%</v>
      </c>
      <c r="Z380" s="85" t="s">
        <v>788</v>
      </c>
      <c r="AA380" s="59"/>
      <c r="AB380" s="59"/>
      <c r="AC380" s="59"/>
      <c r="AD380" s="59"/>
    </row>
    <row r="381" spans="1:30" x14ac:dyDescent="0.25">
      <c r="A381" s="54" t="s">
        <v>267</v>
      </c>
      <c r="B381" s="55"/>
      <c r="C381" s="56" t="s">
        <v>679</v>
      </c>
      <c r="D381" s="57">
        <f t="shared" si="32"/>
        <v>10</v>
      </c>
      <c r="E381" s="56"/>
      <c r="F381" s="56" t="s">
        <v>193</v>
      </c>
      <c r="G381" s="56">
        <v>3.7</v>
      </c>
      <c r="H381" s="56">
        <v>4.95</v>
      </c>
      <c r="I381" s="56">
        <v>2.5499999999999998</v>
      </c>
      <c r="J381" s="56">
        <v>3.3</v>
      </c>
      <c r="K381" s="56">
        <v>3.55</v>
      </c>
      <c r="L381" s="56">
        <v>3.45</v>
      </c>
      <c r="M381" s="56"/>
      <c r="N381" s="58">
        <f t="shared" si="33"/>
        <v>21.5</v>
      </c>
      <c r="O381" s="58">
        <f t="shared" si="34"/>
        <v>78.228923720019466</v>
      </c>
      <c r="P381" s="39">
        <v>8</v>
      </c>
      <c r="Q381" s="39">
        <v>10</v>
      </c>
      <c r="R381" s="39">
        <v>9</v>
      </c>
      <c r="S381" s="39">
        <v>9</v>
      </c>
      <c r="T381" s="39">
        <v>9</v>
      </c>
      <c r="U381" s="39">
        <v>9</v>
      </c>
      <c r="V381" s="39">
        <v>9</v>
      </c>
      <c r="W381" s="40" t="str">
        <f t="shared" si="36"/>
        <v>N</v>
      </c>
      <c r="X381" s="84">
        <f t="shared" si="37"/>
        <v>0</v>
      </c>
      <c r="Y381" s="84" t="str">
        <f t="shared" si="35"/>
        <v>0-4.9%</v>
      </c>
      <c r="Z381" s="85" t="s">
        <v>794</v>
      </c>
      <c r="AA381" s="59"/>
      <c r="AB381" s="59"/>
      <c r="AC381" s="59"/>
      <c r="AD381" s="59"/>
    </row>
    <row r="382" spans="1:30" x14ac:dyDescent="0.25">
      <c r="A382" s="54" t="s">
        <v>271</v>
      </c>
      <c r="B382" s="55"/>
      <c r="C382" s="56" t="s">
        <v>683</v>
      </c>
      <c r="D382" s="57">
        <f t="shared" si="32"/>
        <v>10</v>
      </c>
      <c r="E382" s="56"/>
      <c r="F382" s="56" t="s">
        <v>227</v>
      </c>
      <c r="G382" s="56">
        <v>5.45</v>
      </c>
      <c r="H382" s="56">
        <v>4.7</v>
      </c>
      <c r="I382" s="56">
        <v>2.15</v>
      </c>
      <c r="J382" s="56">
        <v>2.2999999999999998</v>
      </c>
      <c r="K382" s="56">
        <v>3.1</v>
      </c>
      <c r="L382" s="56"/>
      <c r="M382" s="56"/>
      <c r="N382" s="58">
        <f t="shared" si="33"/>
        <v>17.700000000000003</v>
      </c>
      <c r="O382" s="58">
        <f t="shared" si="34"/>
        <v>32.604232711383105</v>
      </c>
      <c r="P382" s="39">
        <v>8</v>
      </c>
      <c r="Q382" s="39">
        <v>10</v>
      </c>
      <c r="R382" s="39">
        <v>9</v>
      </c>
      <c r="S382" s="39">
        <v>9</v>
      </c>
      <c r="T382" s="39">
        <v>9</v>
      </c>
      <c r="U382" s="39">
        <v>9</v>
      </c>
      <c r="V382" s="39">
        <v>9</v>
      </c>
      <c r="W382" s="40" t="str">
        <f t="shared" si="36"/>
        <v>N</v>
      </c>
      <c r="X382" s="84">
        <f t="shared" si="37"/>
        <v>0</v>
      </c>
      <c r="Y382" s="84" t="str">
        <f t="shared" si="35"/>
        <v>0-4.9%</v>
      </c>
      <c r="Z382" s="85" t="s">
        <v>224</v>
      </c>
      <c r="AA382" s="59"/>
      <c r="AB382" s="59"/>
      <c r="AC382" s="59"/>
      <c r="AD382" s="59"/>
    </row>
    <row r="383" spans="1:30" x14ac:dyDescent="0.25">
      <c r="A383" s="54" t="s">
        <v>273</v>
      </c>
      <c r="B383" s="55"/>
      <c r="C383" s="56" t="s">
        <v>685</v>
      </c>
      <c r="D383" s="57">
        <f t="shared" si="32"/>
        <v>10</v>
      </c>
      <c r="E383" s="56"/>
      <c r="F383" s="56" t="s">
        <v>190</v>
      </c>
      <c r="G383" s="56">
        <v>5.25</v>
      </c>
      <c r="H383" s="56">
        <v>6.4</v>
      </c>
      <c r="I383" s="56">
        <v>10.199999999999999</v>
      </c>
      <c r="J383" s="56">
        <v>6.2</v>
      </c>
      <c r="K383" s="56">
        <v>7.6</v>
      </c>
      <c r="L383" s="56">
        <v>10.1</v>
      </c>
      <c r="M383" s="56"/>
      <c r="N383" s="58">
        <f t="shared" si="33"/>
        <v>45.75</v>
      </c>
      <c r="O383" s="58">
        <f t="shared" si="34"/>
        <v>2339.667963526721</v>
      </c>
      <c r="P383" s="39">
        <v>8</v>
      </c>
      <c r="Q383" s="39">
        <v>10</v>
      </c>
      <c r="R383" s="39">
        <v>9</v>
      </c>
      <c r="S383" s="39">
        <v>9</v>
      </c>
      <c r="T383" s="39">
        <v>9</v>
      </c>
      <c r="U383" s="39">
        <v>9</v>
      </c>
      <c r="V383" s="39">
        <v>9</v>
      </c>
      <c r="W383" s="40" t="str">
        <f t="shared" si="36"/>
        <v>Y</v>
      </c>
      <c r="X383" s="84">
        <f t="shared" si="37"/>
        <v>0.11999999999999993</v>
      </c>
      <c r="Y383" s="84" t="str">
        <f t="shared" si="35"/>
        <v>5-25%</v>
      </c>
      <c r="Z383" s="85" t="s">
        <v>794</v>
      </c>
      <c r="AA383" s="59"/>
      <c r="AB383" s="59"/>
      <c r="AC383" s="59"/>
      <c r="AD383" s="59"/>
    </row>
    <row r="384" spans="1:30" x14ac:dyDescent="0.25">
      <c r="A384" s="54" t="s">
        <v>275</v>
      </c>
      <c r="B384" s="55"/>
      <c r="C384" s="56" t="s">
        <v>687</v>
      </c>
      <c r="D384" s="57">
        <f t="shared" si="32"/>
        <v>10</v>
      </c>
      <c r="E384" s="56"/>
      <c r="F384" s="56" t="s">
        <v>193</v>
      </c>
      <c r="G384" s="56">
        <v>5.6</v>
      </c>
      <c r="H384" s="56">
        <v>4.05</v>
      </c>
      <c r="I384" s="56">
        <v>3.95</v>
      </c>
      <c r="J384" s="56">
        <v>3.35</v>
      </c>
      <c r="K384" s="56">
        <v>2.4</v>
      </c>
      <c r="L384" s="56">
        <v>5.45</v>
      </c>
      <c r="M384" s="56"/>
      <c r="N384" s="58">
        <f t="shared" si="33"/>
        <v>24.799999999999997</v>
      </c>
      <c r="O384" s="58">
        <f t="shared" si="34"/>
        <v>148.73968223249923</v>
      </c>
      <c r="P384" s="39">
        <v>8</v>
      </c>
      <c r="Q384" s="39">
        <v>10</v>
      </c>
      <c r="R384" s="39">
        <v>9</v>
      </c>
      <c r="S384" s="39">
        <v>9</v>
      </c>
      <c r="T384" s="39">
        <v>9</v>
      </c>
      <c r="U384" s="39">
        <v>9</v>
      </c>
      <c r="V384" s="39">
        <v>9</v>
      </c>
      <c r="W384" s="40" t="str">
        <f t="shared" si="36"/>
        <v>N</v>
      </c>
      <c r="X384" s="84">
        <f t="shared" si="37"/>
        <v>0</v>
      </c>
      <c r="Y384" s="84" t="str">
        <f t="shared" si="35"/>
        <v>0-4.9%</v>
      </c>
      <c r="Z384" s="85" t="s">
        <v>790</v>
      </c>
      <c r="AA384" s="59"/>
      <c r="AB384" s="59"/>
      <c r="AC384" s="59"/>
      <c r="AD384" s="59"/>
    </row>
    <row r="385" spans="1:30" x14ac:dyDescent="0.25">
      <c r="A385" s="54" t="s">
        <v>285</v>
      </c>
      <c r="B385" s="55"/>
      <c r="C385" s="56" t="s">
        <v>696</v>
      </c>
      <c r="D385" s="57">
        <f t="shared" si="32"/>
        <v>10</v>
      </c>
      <c r="E385" s="56"/>
      <c r="F385" s="56" t="s">
        <v>193</v>
      </c>
      <c r="G385" s="56">
        <v>4.8</v>
      </c>
      <c r="H385" s="56">
        <v>3.7</v>
      </c>
      <c r="I385" s="56">
        <v>3.45</v>
      </c>
      <c r="J385" s="56">
        <v>2.7</v>
      </c>
      <c r="K385" s="56">
        <v>2.8</v>
      </c>
      <c r="L385" s="56">
        <v>2.8</v>
      </c>
      <c r="M385" s="56"/>
      <c r="N385" s="58">
        <f t="shared" si="33"/>
        <v>20.25</v>
      </c>
      <c r="O385" s="58">
        <f t="shared" si="34"/>
        <v>59.74573518423442</v>
      </c>
      <c r="P385" s="39">
        <v>8</v>
      </c>
      <c r="Q385" s="39">
        <v>10</v>
      </c>
      <c r="R385" s="39">
        <v>9</v>
      </c>
      <c r="S385" s="39">
        <v>9</v>
      </c>
      <c r="T385" s="39">
        <v>9</v>
      </c>
      <c r="U385" s="39">
        <v>9</v>
      </c>
      <c r="V385" s="39">
        <v>9</v>
      </c>
      <c r="W385" s="40" t="str">
        <f t="shared" si="36"/>
        <v>N</v>
      </c>
      <c r="X385" s="84">
        <f t="shared" si="37"/>
        <v>0</v>
      </c>
      <c r="Y385" s="84" t="str">
        <f t="shared" si="35"/>
        <v>0-4.9%</v>
      </c>
      <c r="Z385" s="85" t="s">
        <v>794</v>
      </c>
      <c r="AA385" s="59"/>
      <c r="AB385" s="59"/>
      <c r="AC385" s="59"/>
      <c r="AD385" s="59"/>
    </row>
    <row r="386" spans="1:30" x14ac:dyDescent="0.25">
      <c r="A386" s="54" t="s">
        <v>286</v>
      </c>
      <c r="B386" s="55"/>
      <c r="C386" s="56" t="s">
        <v>697</v>
      </c>
      <c r="D386" s="57">
        <f t="shared" si="32"/>
        <v>10</v>
      </c>
      <c r="E386" s="56"/>
      <c r="F386" s="56" t="s">
        <v>193</v>
      </c>
      <c r="G386" s="56">
        <v>5.5</v>
      </c>
      <c r="H386" s="56">
        <v>4.3</v>
      </c>
      <c r="I386" s="56">
        <v>3.95</v>
      </c>
      <c r="J386" s="56">
        <v>3.2</v>
      </c>
      <c r="K386" s="56">
        <v>2.8</v>
      </c>
      <c r="L386" s="56">
        <v>3.3</v>
      </c>
      <c r="M386" s="56"/>
      <c r="N386" s="58">
        <f t="shared" si="33"/>
        <v>23.05</v>
      </c>
      <c r="O386" s="58">
        <f t="shared" si="34"/>
        <v>107.0073155873359</v>
      </c>
      <c r="P386" s="39">
        <v>8</v>
      </c>
      <c r="Q386" s="39">
        <v>10</v>
      </c>
      <c r="R386" s="39">
        <v>9</v>
      </c>
      <c r="S386" s="39">
        <v>9</v>
      </c>
      <c r="T386" s="39">
        <v>9</v>
      </c>
      <c r="U386" s="39">
        <v>9</v>
      </c>
      <c r="V386" s="39">
        <v>9</v>
      </c>
      <c r="W386" s="40" t="str">
        <f t="shared" si="36"/>
        <v>N</v>
      </c>
      <c r="X386" s="84">
        <f t="shared" si="37"/>
        <v>0</v>
      </c>
      <c r="Y386" s="84" t="str">
        <f t="shared" si="35"/>
        <v>0-4.9%</v>
      </c>
      <c r="Z386" s="85" t="s">
        <v>224</v>
      </c>
      <c r="AA386" s="59"/>
      <c r="AB386" s="59"/>
      <c r="AC386" s="59"/>
      <c r="AD386" s="59"/>
    </row>
    <row r="387" spans="1:30" x14ac:dyDescent="0.25">
      <c r="A387" s="54" t="s">
        <v>288</v>
      </c>
      <c r="B387" s="55"/>
      <c r="C387" s="56" t="s">
        <v>698</v>
      </c>
      <c r="D387" s="57">
        <f t="shared" si="32"/>
        <v>10</v>
      </c>
      <c r="E387" s="56"/>
      <c r="F387" s="56" t="s">
        <v>193</v>
      </c>
      <c r="G387" s="56">
        <v>6.15</v>
      </c>
      <c r="H387" s="56">
        <v>1.3</v>
      </c>
      <c r="I387" s="56">
        <v>3.65</v>
      </c>
      <c r="J387" s="56">
        <v>3.3</v>
      </c>
      <c r="K387" s="56">
        <v>2.65</v>
      </c>
      <c r="L387" s="56">
        <v>2.15</v>
      </c>
      <c r="M387" s="56"/>
      <c r="N387" s="58">
        <f t="shared" si="33"/>
        <v>19.199999999999996</v>
      </c>
      <c r="O387" s="58">
        <f t="shared" si="34"/>
        <v>47.016447874169792</v>
      </c>
      <c r="P387" s="39">
        <v>8</v>
      </c>
      <c r="Q387" s="39">
        <v>10</v>
      </c>
      <c r="R387" s="39">
        <v>9</v>
      </c>
      <c r="S387" s="39">
        <v>9</v>
      </c>
      <c r="T387" s="39">
        <v>9</v>
      </c>
      <c r="U387" s="39">
        <v>9</v>
      </c>
      <c r="V387" s="39">
        <v>9</v>
      </c>
      <c r="W387" s="40" t="str">
        <f t="shared" si="36"/>
        <v>N</v>
      </c>
      <c r="X387" s="84">
        <f t="shared" si="37"/>
        <v>0</v>
      </c>
      <c r="Y387" s="84" t="str">
        <f t="shared" si="35"/>
        <v>0-4.9%</v>
      </c>
      <c r="Z387" s="85" t="s">
        <v>224</v>
      </c>
      <c r="AA387" s="59"/>
      <c r="AB387" s="59"/>
      <c r="AC387" s="59"/>
      <c r="AD387" s="59"/>
    </row>
    <row r="388" spans="1:30" x14ac:dyDescent="0.25">
      <c r="A388" s="54" t="s">
        <v>290</v>
      </c>
      <c r="B388" s="55"/>
      <c r="C388" s="56" t="s">
        <v>699</v>
      </c>
      <c r="D388" s="57">
        <f t="shared" si="32"/>
        <v>10</v>
      </c>
      <c r="E388" s="56"/>
      <c r="F388" s="56" t="s">
        <v>193</v>
      </c>
      <c r="G388" s="56">
        <v>4.4000000000000004</v>
      </c>
      <c r="H388" s="56">
        <v>3.5</v>
      </c>
      <c r="I388" s="56">
        <v>3.3</v>
      </c>
      <c r="J388" s="56">
        <v>2.6</v>
      </c>
      <c r="K388" s="56">
        <v>3.1</v>
      </c>
      <c r="L388" s="56">
        <v>2.9</v>
      </c>
      <c r="M388" s="56"/>
      <c r="N388" s="58">
        <f t="shared" si="33"/>
        <v>19.799999999999997</v>
      </c>
      <c r="O388" s="58">
        <f t="shared" si="34"/>
        <v>53.999239290934526</v>
      </c>
      <c r="P388" s="39">
        <v>8</v>
      </c>
      <c r="Q388" s="39">
        <v>10</v>
      </c>
      <c r="R388" s="39">
        <v>9</v>
      </c>
      <c r="S388" s="39">
        <v>9</v>
      </c>
      <c r="T388" s="39">
        <v>9</v>
      </c>
      <c r="U388" s="39">
        <v>9</v>
      </c>
      <c r="V388" s="39">
        <v>9</v>
      </c>
      <c r="W388" s="40" t="str">
        <f t="shared" si="36"/>
        <v>N</v>
      </c>
      <c r="X388" s="84">
        <f t="shared" si="37"/>
        <v>0</v>
      </c>
      <c r="Y388" s="84" t="str">
        <f t="shared" si="35"/>
        <v>0-4.9%</v>
      </c>
      <c r="Z388" s="85" t="s">
        <v>224</v>
      </c>
      <c r="AA388" s="59"/>
      <c r="AB388" s="59"/>
      <c r="AC388" s="59"/>
      <c r="AD388" s="59"/>
    </row>
    <row r="389" spans="1:30" x14ac:dyDescent="0.25">
      <c r="A389" s="54" t="s">
        <v>293</v>
      </c>
      <c r="B389" s="55"/>
      <c r="C389" s="56" t="s">
        <v>702</v>
      </c>
      <c r="D389" s="57">
        <f t="shared" si="32"/>
        <v>10</v>
      </c>
      <c r="E389" s="56"/>
      <c r="F389" s="56" t="s">
        <v>193</v>
      </c>
      <c r="G389" s="56">
        <v>5.0999999999999996</v>
      </c>
      <c r="H389" s="56">
        <v>5.5</v>
      </c>
      <c r="I389" s="56">
        <v>1.65</v>
      </c>
      <c r="J389" s="56">
        <v>3.1</v>
      </c>
      <c r="K389" s="56">
        <v>2.75</v>
      </c>
      <c r="L389" s="56">
        <v>3</v>
      </c>
      <c r="M389" s="56"/>
      <c r="N389" s="58">
        <f t="shared" si="33"/>
        <v>21.1</v>
      </c>
      <c r="O389" s="58">
        <f t="shared" si="34"/>
        <v>71.889478711773563</v>
      </c>
      <c r="P389" s="39">
        <v>8</v>
      </c>
      <c r="Q389" s="39">
        <v>10</v>
      </c>
      <c r="R389" s="39">
        <v>9</v>
      </c>
      <c r="S389" s="39">
        <v>9</v>
      </c>
      <c r="T389" s="39">
        <v>9</v>
      </c>
      <c r="U389" s="39">
        <v>9</v>
      </c>
      <c r="V389" s="39">
        <v>9</v>
      </c>
      <c r="W389" s="40" t="str">
        <f t="shared" si="36"/>
        <v>N</v>
      </c>
      <c r="X389" s="84">
        <f t="shared" si="37"/>
        <v>0</v>
      </c>
      <c r="Y389" s="84" t="str">
        <f t="shared" si="35"/>
        <v>0-4.9%</v>
      </c>
      <c r="Z389" s="85" t="s">
        <v>224</v>
      </c>
      <c r="AA389" s="59"/>
      <c r="AB389" s="59"/>
      <c r="AC389" s="59"/>
      <c r="AD389" s="59"/>
    </row>
    <row r="390" spans="1:30" x14ac:dyDescent="0.25">
      <c r="A390" s="54" t="s">
        <v>294</v>
      </c>
      <c r="B390" s="55"/>
      <c r="C390" s="56" t="s">
        <v>703</v>
      </c>
      <c r="D390" s="57">
        <f t="shared" si="32"/>
        <v>10</v>
      </c>
      <c r="E390" s="56"/>
      <c r="F390" s="56" t="s">
        <v>193</v>
      </c>
      <c r="G390" s="56">
        <v>5.15</v>
      </c>
      <c r="H390" s="56">
        <v>3.85</v>
      </c>
      <c r="I390" s="56">
        <v>3.7</v>
      </c>
      <c r="J390" s="56">
        <v>2.6</v>
      </c>
      <c r="K390" s="56">
        <v>2.4500000000000002</v>
      </c>
      <c r="L390" s="56">
        <v>3.2</v>
      </c>
      <c r="M390" s="56"/>
      <c r="N390" s="58">
        <f t="shared" si="33"/>
        <v>20.95</v>
      </c>
      <c r="O390" s="58">
        <f t="shared" si="34"/>
        <v>69.618138795534804</v>
      </c>
      <c r="P390" s="39">
        <v>8</v>
      </c>
      <c r="Q390" s="39">
        <v>10</v>
      </c>
      <c r="R390" s="39">
        <v>9</v>
      </c>
      <c r="S390" s="39">
        <v>9</v>
      </c>
      <c r="T390" s="39">
        <v>9</v>
      </c>
      <c r="U390" s="39">
        <v>9</v>
      </c>
      <c r="V390" s="39">
        <v>9</v>
      </c>
      <c r="W390" s="40" t="str">
        <f t="shared" si="36"/>
        <v>N</v>
      </c>
      <c r="X390" s="84">
        <f t="shared" si="37"/>
        <v>0</v>
      </c>
      <c r="Y390" s="84" t="str">
        <f t="shared" si="35"/>
        <v>0-4.9%</v>
      </c>
      <c r="Z390" s="85" t="s">
        <v>224</v>
      </c>
      <c r="AA390" s="59"/>
      <c r="AB390" s="59"/>
      <c r="AC390" s="59"/>
      <c r="AD390" s="59"/>
    </row>
    <row r="391" spans="1:30" x14ac:dyDescent="0.25">
      <c r="A391" s="54" t="s">
        <v>296</v>
      </c>
      <c r="B391" s="55"/>
      <c r="C391" s="56" t="s">
        <v>705</v>
      </c>
      <c r="D391" s="57">
        <f t="shared" si="32"/>
        <v>10</v>
      </c>
      <c r="E391" s="56"/>
      <c r="F391" s="56" t="s">
        <v>193</v>
      </c>
      <c r="G391" s="56">
        <v>5.8</v>
      </c>
      <c r="H391" s="56">
        <v>3.75</v>
      </c>
      <c r="I391" s="56">
        <v>3.45</v>
      </c>
      <c r="J391" s="56">
        <v>2.75</v>
      </c>
      <c r="K391" s="56">
        <v>2.8</v>
      </c>
      <c r="L391" s="56">
        <v>2.35</v>
      </c>
      <c r="M391" s="56"/>
      <c r="N391" s="58">
        <f t="shared" si="33"/>
        <v>20.900000000000002</v>
      </c>
      <c r="O391" s="58">
        <f t="shared" si="34"/>
        <v>68.87356655420632</v>
      </c>
      <c r="P391" s="39">
        <v>8</v>
      </c>
      <c r="Q391" s="39">
        <v>10</v>
      </c>
      <c r="R391" s="39">
        <v>9</v>
      </c>
      <c r="S391" s="39">
        <v>9</v>
      </c>
      <c r="T391" s="39">
        <v>9</v>
      </c>
      <c r="U391" s="39">
        <v>9</v>
      </c>
      <c r="V391" s="39">
        <v>9</v>
      </c>
      <c r="W391" s="40" t="str">
        <f t="shared" si="36"/>
        <v>N</v>
      </c>
      <c r="X391" s="84">
        <f t="shared" si="37"/>
        <v>0</v>
      </c>
      <c r="Y391" s="84" t="str">
        <f t="shared" si="35"/>
        <v>0-4.9%</v>
      </c>
      <c r="Z391" s="85" t="s">
        <v>224</v>
      </c>
      <c r="AA391" s="59"/>
      <c r="AB391" s="59"/>
      <c r="AC391" s="59"/>
      <c r="AD391" s="59"/>
    </row>
    <row r="392" spans="1:30" x14ac:dyDescent="0.25">
      <c r="A392" s="54" t="s">
        <v>297</v>
      </c>
      <c r="B392" s="55"/>
      <c r="C392" s="56" t="s">
        <v>706</v>
      </c>
      <c r="D392" s="57">
        <f t="shared" ref="D392:D430" si="38">IF(COUNT(G392:M392)&gt;3,10,IF(COUNT(G392:M392)&gt;2,9,7))</f>
        <v>10</v>
      </c>
      <c r="E392" s="56"/>
      <c r="F392" s="56" t="s">
        <v>193</v>
      </c>
      <c r="G392" s="56">
        <v>5</v>
      </c>
      <c r="H392" s="56">
        <v>3.65</v>
      </c>
      <c r="I392" s="56">
        <v>3.85</v>
      </c>
      <c r="J392" s="56">
        <v>3.05</v>
      </c>
      <c r="K392" s="56">
        <v>2.6</v>
      </c>
      <c r="L392" s="56">
        <v>3.05</v>
      </c>
      <c r="M392" s="56"/>
      <c r="N392" s="58">
        <f t="shared" ref="N392:N430" si="39">SUM(G392:M392)</f>
        <v>21.200000000000003</v>
      </c>
      <c r="O392" s="58">
        <f t="shared" ref="O392:O430" si="40">(N392/8.16)^4.5</f>
        <v>73.435432970581559</v>
      </c>
      <c r="P392" s="39">
        <v>8</v>
      </c>
      <c r="Q392" s="39">
        <v>10</v>
      </c>
      <c r="R392" s="39">
        <v>9</v>
      </c>
      <c r="S392" s="39">
        <v>9</v>
      </c>
      <c r="T392" s="39">
        <v>9</v>
      </c>
      <c r="U392" s="39">
        <v>9</v>
      </c>
      <c r="V392" s="39">
        <v>9</v>
      </c>
      <c r="W392" s="40" t="str">
        <f t="shared" si="36"/>
        <v>N</v>
      </c>
      <c r="X392" s="84">
        <f t="shared" si="37"/>
        <v>0</v>
      </c>
      <c r="Y392" s="84" t="str">
        <f t="shared" ref="Y392:Y430" si="41">IF(X392&lt;5%,"0-4.9%",IF(X392&lt;25%,"5-25%",IF(X392&lt;50%,"25-50%","Over 50%")))</f>
        <v>0-4.9%</v>
      </c>
      <c r="Z392" s="85" t="s">
        <v>224</v>
      </c>
      <c r="AA392" s="59"/>
      <c r="AB392" s="59"/>
      <c r="AC392" s="59"/>
      <c r="AD392" s="59"/>
    </row>
    <row r="393" spans="1:30" x14ac:dyDescent="0.25">
      <c r="A393" s="54" t="s">
        <v>298</v>
      </c>
      <c r="B393" s="55"/>
      <c r="C393" s="56" t="s">
        <v>707</v>
      </c>
      <c r="D393" s="57">
        <f t="shared" si="38"/>
        <v>10</v>
      </c>
      <c r="E393" s="56"/>
      <c r="F393" s="56" t="s">
        <v>190</v>
      </c>
      <c r="G393" s="56">
        <v>5.95</v>
      </c>
      <c r="H393" s="56">
        <v>0.45</v>
      </c>
      <c r="I393" s="56">
        <v>4.75</v>
      </c>
      <c r="J393" s="56">
        <v>2.6</v>
      </c>
      <c r="K393" s="56">
        <v>2.65</v>
      </c>
      <c r="L393" s="56">
        <v>3</v>
      </c>
      <c r="M393" s="56"/>
      <c r="N393" s="58">
        <f t="shared" si="39"/>
        <v>19.399999999999999</v>
      </c>
      <c r="O393" s="58">
        <f t="shared" si="40"/>
        <v>49.260869162305063</v>
      </c>
      <c r="P393" s="39">
        <v>8</v>
      </c>
      <c r="Q393" s="39">
        <v>10</v>
      </c>
      <c r="R393" s="39">
        <v>9</v>
      </c>
      <c r="S393" s="39">
        <v>9</v>
      </c>
      <c r="T393" s="39">
        <v>9</v>
      </c>
      <c r="U393" s="39">
        <v>9</v>
      </c>
      <c r="V393" s="39">
        <v>9</v>
      </c>
      <c r="W393" s="40" t="str">
        <f t="shared" ref="W393:W430" si="42">IF(G393&gt;P393,"Y",IF(H393&gt;Q393,"Y",IF(I393&gt;R393,"Y",IF(J393&gt;S393,"Y",IF(K393&gt;T393,"Y",IF(L393&gt;U393,"Y",IF(M393&gt;V393,"Y","N")))))))</f>
        <v>N</v>
      </c>
      <c r="X393" s="84">
        <f t="shared" ref="X393:X430" si="43">IF(W393="Y",MAX((G393-P393),(H393-Q393),(I393-R393),(J393-S393),(K393-T393),(L393-U393),(M393-V393))/10,0)</f>
        <v>0</v>
      </c>
      <c r="Y393" s="84" t="str">
        <f t="shared" si="41"/>
        <v>0-4.9%</v>
      </c>
      <c r="Z393" s="85" t="s">
        <v>224</v>
      </c>
      <c r="AA393" s="59"/>
      <c r="AB393" s="59"/>
      <c r="AC393" s="59"/>
      <c r="AD393" s="59"/>
    </row>
    <row r="394" spans="1:30" x14ac:dyDescent="0.25">
      <c r="A394" s="71" t="s">
        <v>299</v>
      </c>
      <c r="B394" s="72"/>
      <c r="C394" s="73" t="s">
        <v>708</v>
      </c>
      <c r="D394" s="57">
        <f t="shared" si="38"/>
        <v>10</v>
      </c>
      <c r="E394" s="73"/>
      <c r="F394" s="73" t="s">
        <v>193</v>
      </c>
      <c r="G394" s="73">
        <v>4.8</v>
      </c>
      <c r="H394" s="73">
        <v>3.4</v>
      </c>
      <c r="I394" s="73">
        <v>2.95</v>
      </c>
      <c r="J394" s="73">
        <v>2.7</v>
      </c>
      <c r="K394" s="73">
        <v>3.15</v>
      </c>
      <c r="L394" s="73">
        <v>2.9</v>
      </c>
      <c r="M394" s="73"/>
      <c r="N394" s="58">
        <f t="shared" si="39"/>
        <v>19.899999999999995</v>
      </c>
      <c r="O394" s="58">
        <f t="shared" si="40"/>
        <v>55.23738742266945</v>
      </c>
      <c r="P394" s="39">
        <v>8</v>
      </c>
      <c r="Q394" s="39">
        <v>10</v>
      </c>
      <c r="R394" s="39">
        <v>9</v>
      </c>
      <c r="S394" s="39">
        <v>9</v>
      </c>
      <c r="T394" s="39">
        <v>9</v>
      </c>
      <c r="U394" s="39">
        <v>9</v>
      </c>
      <c r="V394" s="39">
        <v>9</v>
      </c>
      <c r="W394" s="40" t="str">
        <f t="shared" si="42"/>
        <v>N</v>
      </c>
      <c r="X394" s="84">
        <f t="shared" si="43"/>
        <v>0</v>
      </c>
      <c r="Y394" s="84" t="str">
        <f t="shared" si="41"/>
        <v>0-4.9%</v>
      </c>
      <c r="Z394" s="92" t="s">
        <v>224</v>
      </c>
      <c r="AA394" s="59"/>
      <c r="AB394" s="59"/>
      <c r="AC394" s="59"/>
      <c r="AD394" s="59"/>
    </row>
    <row r="395" spans="1:30" x14ac:dyDescent="0.25">
      <c r="A395" s="54" t="s">
        <v>300</v>
      </c>
      <c r="B395" s="55"/>
      <c r="C395" s="56" t="s">
        <v>709</v>
      </c>
      <c r="D395" s="57">
        <f t="shared" si="38"/>
        <v>10</v>
      </c>
      <c r="E395" s="56"/>
      <c r="F395" s="56" t="s">
        <v>236</v>
      </c>
      <c r="G395" s="56">
        <v>5.05</v>
      </c>
      <c r="H395" s="56">
        <v>5.25</v>
      </c>
      <c r="I395" s="56">
        <v>3.45</v>
      </c>
      <c r="J395" s="56">
        <v>3.75</v>
      </c>
      <c r="K395" s="56"/>
      <c r="L395" s="56"/>
      <c r="M395" s="56"/>
      <c r="N395" s="58">
        <f t="shared" si="39"/>
        <v>17.5</v>
      </c>
      <c r="O395" s="58">
        <f t="shared" si="40"/>
        <v>30.978865186265136</v>
      </c>
      <c r="P395" s="39">
        <v>8</v>
      </c>
      <c r="Q395" s="39">
        <v>10</v>
      </c>
      <c r="R395" s="39">
        <v>9</v>
      </c>
      <c r="S395" s="39">
        <v>9</v>
      </c>
      <c r="T395" s="39">
        <v>9</v>
      </c>
      <c r="U395" s="39">
        <v>9</v>
      </c>
      <c r="V395" s="39">
        <v>9</v>
      </c>
      <c r="W395" s="40" t="str">
        <f t="shared" si="42"/>
        <v>N</v>
      </c>
      <c r="X395" s="84">
        <f t="shared" si="43"/>
        <v>0</v>
      </c>
      <c r="Y395" s="84" t="str">
        <f t="shared" si="41"/>
        <v>0-4.9%</v>
      </c>
      <c r="Z395" s="85" t="s">
        <v>224</v>
      </c>
      <c r="AA395" s="59"/>
      <c r="AB395" s="59"/>
      <c r="AC395" s="59"/>
      <c r="AD395" s="59"/>
    </row>
    <row r="396" spans="1:30" x14ac:dyDescent="0.25">
      <c r="A396" s="54" t="s">
        <v>301</v>
      </c>
      <c r="B396" s="55"/>
      <c r="C396" s="56" t="s">
        <v>710</v>
      </c>
      <c r="D396" s="57">
        <f t="shared" si="38"/>
        <v>10</v>
      </c>
      <c r="E396" s="56"/>
      <c r="F396" s="56" t="s">
        <v>193</v>
      </c>
      <c r="G396" s="56">
        <v>5.9</v>
      </c>
      <c r="H396" s="56">
        <v>3.95</v>
      </c>
      <c r="I396" s="56">
        <v>3.6</v>
      </c>
      <c r="J396" s="56">
        <v>1.9</v>
      </c>
      <c r="K396" s="56">
        <v>2.7</v>
      </c>
      <c r="L396" s="56">
        <v>3.95</v>
      </c>
      <c r="M396" s="56"/>
      <c r="N396" s="58">
        <f t="shared" si="39"/>
        <v>22</v>
      </c>
      <c r="O396" s="58">
        <f t="shared" si="40"/>
        <v>86.755366598490454</v>
      </c>
      <c r="P396" s="39">
        <v>8</v>
      </c>
      <c r="Q396" s="39">
        <v>10</v>
      </c>
      <c r="R396" s="39">
        <v>9</v>
      </c>
      <c r="S396" s="39">
        <v>9</v>
      </c>
      <c r="T396" s="39">
        <v>9</v>
      </c>
      <c r="U396" s="39">
        <v>9</v>
      </c>
      <c r="V396" s="39">
        <v>9</v>
      </c>
      <c r="W396" s="40" t="str">
        <f t="shared" si="42"/>
        <v>N</v>
      </c>
      <c r="X396" s="84">
        <f t="shared" si="43"/>
        <v>0</v>
      </c>
      <c r="Y396" s="84" t="str">
        <f t="shared" si="41"/>
        <v>0-4.9%</v>
      </c>
      <c r="Z396" s="85" t="s">
        <v>224</v>
      </c>
      <c r="AA396" s="59"/>
      <c r="AB396" s="59"/>
      <c r="AC396" s="59"/>
      <c r="AD396" s="59"/>
    </row>
    <row r="397" spans="1:30" x14ac:dyDescent="0.25">
      <c r="A397" s="80" t="s">
        <v>302</v>
      </c>
      <c r="B397" s="81"/>
      <c r="C397" s="82" t="s">
        <v>711</v>
      </c>
      <c r="D397" s="57">
        <f t="shared" si="38"/>
        <v>10</v>
      </c>
      <c r="E397" s="82"/>
      <c r="F397" s="82" t="s">
        <v>236</v>
      </c>
      <c r="G397" s="82">
        <v>6.8</v>
      </c>
      <c r="H397" s="82">
        <v>8.3000000000000007</v>
      </c>
      <c r="I397" s="82">
        <v>6.6</v>
      </c>
      <c r="J397" s="82">
        <v>4.0999999999999996</v>
      </c>
      <c r="K397" s="82"/>
      <c r="L397" s="82"/>
      <c r="M397" s="82"/>
      <c r="N397" s="58">
        <f t="shared" si="39"/>
        <v>25.800000000000004</v>
      </c>
      <c r="O397" s="58">
        <f t="shared" si="40"/>
        <v>177.69817291956511</v>
      </c>
      <c r="P397" s="39">
        <v>8</v>
      </c>
      <c r="Q397" s="39">
        <v>10</v>
      </c>
      <c r="R397" s="39">
        <v>9</v>
      </c>
      <c r="S397" s="39">
        <v>9</v>
      </c>
      <c r="T397" s="39">
        <v>9</v>
      </c>
      <c r="U397" s="39">
        <v>9</v>
      </c>
      <c r="V397" s="39">
        <v>9</v>
      </c>
      <c r="W397" s="40" t="str">
        <f t="shared" si="42"/>
        <v>N</v>
      </c>
      <c r="X397" s="84">
        <f t="shared" si="43"/>
        <v>0</v>
      </c>
      <c r="Y397" s="84" t="str">
        <f t="shared" si="41"/>
        <v>0-4.9%</v>
      </c>
      <c r="Z397" s="95" t="s">
        <v>224</v>
      </c>
      <c r="AA397" s="59"/>
      <c r="AB397" s="59"/>
      <c r="AC397" s="59"/>
      <c r="AD397" s="59"/>
    </row>
    <row r="398" spans="1:30" x14ac:dyDescent="0.25">
      <c r="A398" s="54" t="s">
        <v>305</v>
      </c>
      <c r="B398" s="55"/>
      <c r="C398" s="56" t="s">
        <v>714</v>
      </c>
      <c r="D398" s="57">
        <f t="shared" si="38"/>
        <v>10</v>
      </c>
      <c r="E398" s="56"/>
      <c r="F398" s="56" t="s">
        <v>227</v>
      </c>
      <c r="G398" s="56">
        <v>4.3</v>
      </c>
      <c r="H398" s="56">
        <v>4.5</v>
      </c>
      <c r="I398" s="56">
        <v>1.6</v>
      </c>
      <c r="J398" s="56">
        <v>2.7</v>
      </c>
      <c r="K398" s="56">
        <v>2.85</v>
      </c>
      <c r="L398" s="56"/>
      <c r="M398" s="56"/>
      <c r="N398" s="58">
        <f t="shared" si="39"/>
        <v>15.950000000000001</v>
      </c>
      <c r="O398" s="58">
        <f t="shared" si="40"/>
        <v>20.40879572970335</v>
      </c>
      <c r="P398" s="39">
        <v>8</v>
      </c>
      <c r="Q398" s="39">
        <v>10</v>
      </c>
      <c r="R398" s="39">
        <v>9</v>
      </c>
      <c r="S398" s="39">
        <v>9</v>
      </c>
      <c r="T398" s="39">
        <v>9</v>
      </c>
      <c r="U398" s="39">
        <v>9</v>
      </c>
      <c r="V398" s="39">
        <v>9</v>
      </c>
      <c r="W398" s="40" t="str">
        <f t="shared" si="42"/>
        <v>N</v>
      </c>
      <c r="X398" s="84">
        <f t="shared" si="43"/>
        <v>0</v>
      </c>
      <c r="Y398" s="84" t="str">
        <f t="shared" si="41"/>
        <v>0-4.9%</v>
      </c>
      <c r="Z398" s="85" t="s">
        <v>224</v>
      </c>
      <c r="AA398" s="59"/>
      <c r="AB398" s="59"/>
      <c r="AC398" s="59"/>
      <c r="AD398" s="59"/>
    </row>
    <row r="399" spans="1:30" x14ac:dyDescent="0.25">
      <c r="A399" s="54" t="s">
        <v>307</v>
      </c>
      <c r="B399" s="55"/>
      <c r="C399" s="56" t="s">
        <v>716</v>
      </c>
      <c r="D399" s="57">
        <f t="shared" si="38"/>
        <v>10</v>
      </c>
      <c r="E399" s="56"/>
      <c r="F399" s="56" t="s">
        <v>190</v>
      </c>
      <c r="G399" s="56">
        <v>5.3</v>
      </c>
      <c r="H399" s="56">
        <v>1.7</v>
      </c>
      <c r="I399" s="56">
        <v>3.05</v>
      </c>
      <c r="J399" s="56">
        <v>2.65</v>
      </c>
      <c r="K399" s="56">
        <v>2.75</v>
      </c>
      <c r="L399" s="56">
        <v>2.8</v>
      </c>
      <c r="M399" s="56"/>
      <c r="N399" s="58">
        <f t="shared" si="39"/>
        <v>18.25</v>
      </c>
      <c r="O399" s="58">
        <f t="shared" si="40"/>
        <v>37.417709176196809</v>
      </c>
      <c r="P399" s="39">
        <v>8</v>
      </c>
      <c r="Q399" s="39">
        <v>10</v>
      </c>
      <c r="R399" s="39">
        <v>9</v>
      </c>
      <c r="S399" s="39">
        <v>9</v>
      </c>
      <c r="T399" s="39">
        <v>9</v>
      </c>
      <c r="U399" s="39">
        <v>9</v>
      </c>
      <c r="V399" s="39">
        <v>9</v>
      </c>
      <c r="W399" s="40" t="str">
        <f t="shared" si="42"/>
        <v>N</v>
      </c>
      <c r="X399" s="84">
        <f t="shared" si="43"/>
        <v>0</v>
      </c>
      <c r="Y399" s="84" t="str">
        <f t="shared" si="41"/>
        <v>0-4.9%</v>
      </c>
      <c r="Z399" s="85" t="s">
        <v>224</v>
      </c>
      <c r="AA399" s="59"/>
      <c r="AB399" s="59"/>
      <c r="AC399" s="59"/>
      <c r="AD399" s="59"/>
    </row>
    <row r="400" spans="1:30" x14ac:dyDescent="0.25">
      <c r="A400" s="54" t="s">
        <v>309</v>
      </c>
      <c r="B400" s="55"/>
      <c r="C400" s="56" t="s">
        <v>717</v>
      </c>
      <c r="D400" s="57">
        <f t="shared" si="38"/>
        <v>10</v>
      </c>
      <c r="E400" s="56"/>
      <c r="F400" s="56" t="s">
        <v>193</v>
      </c>
      <c r="G400" s="56">
        <v>5.3</v>
      </c>
      <c r="H400" s="56">
        <v>3.45</v>
      </c>
      <c r="I400" s="56">
        <v>3.25</v>
      </c>
      <c r="J400" s="56">
        <v>2.5499999999999998</v>
      </c>
      <c r="K400" s="56">
        <v>2.2000000000000002</v>
      </c>
      <c r="L400" s="56">
        <v>2.65</v>
      </c>
      <c r="M400" s="56"/>
      <c r="N400" s="58">
        <f t="shared" si="39"/>
        <v>19.399999999999999</v>
      </c>
      <c r="O400" s="58">
        <f t="shared" si="40"/>
        <v>49.260869162305063</v>
      </c>
      <c r="P400" s="39">
        <v>8</v>
      </c>
      <c r="Q400" s="39">
        <v>10</v>
      </c>
      <c r="R400" s="39">
        <v>9</v>
      </c>
      <c r="S400" s="39">
        <v>9</v>
      </c>
      <c r="T400" s="39">
        <v>9</v>
      </c>
      <c r="U400" s="39">
        <v>9</v>
      </c>
      <c r="V400" s="39">
        <v>9</v>
      </c>
      <c r="W400" s="40" t="str">
        <f t="shared" si="42"/>
        <v>N</v>
      </c>
      <c r="X400" s="84">
        <f t="shared" si="43"/>
        <v>0</v>
      </c>
      <c r="Y400" s="84" t="str">
        <f t="shared" si="41"/>
        <v>0-4.9%</v>
      </c>
      <c r="Z400" s="85" t="s">
        <v>224</v>
      </c>
      <c r="AA400" s="59"/>
      <c r="AB400" s="59"/>
      <c r="AC400" s="59"/>
      <c r="AD400" s="59"/>
    </row>
    <row r="401" spans="1:30" x14ac:dyDescent="0.25">
      <c r="A401" s="54" t="s">
        <v>310</v>
      </c>
      <c r="B401" s="55"/>
      <c r="C401" s="56" t="s">
        <v>718</v>
      </c>
      <c r="D401" s="57">
        <f t="shared" si="38"/>
        <v>10</v>
      </c>
      <c r="E401" s="56"/>
      <c r="F401" s="56" t="s">
        <v>190</v>
      </c>
      <c r="G401" s="56">
        <v>5.3</v>
      </c>
      <c r="H401" s="56">
        <v>1.85</v>
      </c>
      <c r="I401" s="56">
        <v>3.85</v>
      </c>
      <c r="J401" s="56">
        <v>2.8</v>
      </c>
      <c r="K401" s="56">
        <v>2.6</v>
      </c>
      <c r="L401" s="56">
        <v>2.7</v>
      </c>
      <c r="M401" s="56"/>
      <c r="N401" s="58">
        <f t="shared" si="39"/>
        <v>19.100000000000001</v>
      </c>
      <c r="O401" s="58">
        <f t="shared" si="40"/>
        <v>45.924500166196779</v>
      </c>
      <c r="P401" s="39">
        <v>8</v>
      </c>
      <c r="Q401" s="39">
        <v>10</v>
      </c>
      <c r="R401" s="39">
        <v>9</v>
      </c>
      <c r="S401" s="39">
        <v>9</v>
      </c>
      <c r="T401" s="39">
        <v>9</v>
      </c>
      <c r="U401" s="39">
        <v>9</v>
      </c>
      <c r="V401" s="39">
        <v>9</v>
      </c>
      <c r="W401" s="40" t="str">
        <f t="shared" si="42"/>
        <v>N</v>
      </c>
      <c r="X401" s="84">
        <f t="shared" si="43"/>
        <v>0</v>
      </c>
      <c r="Y401" s="84" t="str">
        <f t="shared" si="41"/>
        <v>0-4.9%</v>
      </c>
      <c r="Z401" s="85" t="s">
        <v>794</v>
      </c>
      <c r="AA401" s="59"/>
      <c r="AB401" s="59"/>
      <c r="AC401" s="59"/>
      <c r="AD401" s="59"/>
    </row>
    <row r="402" spans="1:30" x14ac:dyDescent="0.25">
      <c r="A402" s="54" t="s">
        <v>313</v>
      </c>
      <c r="B402" s="55"/>
      <c r="C402" s="56" t="s">
        <v>720</v>
      </c>
      <c r="D402" s="57">
        <f t="shared" si="38"/>
        <v>10</v>
      </c>
      <c r="E402" s="56"/>
      <c r="F402" s="56" t="s">
        <v>193</v>
      </c>
      <c r="G402" s="56">
        <v>5</v>
      </c>
      <c r="H402" s="56">
        <v>3.15</v>
      </c>
      <c r="I402" s="56">
        <v>3.2</v>
      </c>
      <c r="J402" s="56">
        <v>2.85</v>
      </c>
      <c r="K402" s="56">
        <v>2.6</v>
      </c>
      <c r="L402" s="56">
        <v>2.95</v>
      </c>
      <c r="M402" s="56"/>
      <c r="N402" s="58">
        <f t="shared" si="39"/>
        <v>19.75</v>
      </c>
      <c r="O402" s="58">
        <f t="shared" si="40"/>
        <v>53.388317609259325</v>
      </c>
      <c r="P402" s="39">
        <v>8</v>
      </c>
      <c r="Q402" s="39">
        <v>10</v>
      </c>
      <c r="R402" s="39">
        <v>9</v>
      </c>
      <c r="S402" s="39">
        <v>9</v>
      </c>
      <c r="T402" s="39">
        <v>9</v>
      </c>
      <c r="U402" s="39">
        <v>9</v>
      </c>
      <c r="V402" s="39">
        <v>9</v>
      </c>
      <c r="W402" s="40" t="str">
        <f t="shared" si="42"/>
        <v>N</v>
      </c>
      <c r="X402" s="84">
        <f t="shared" si="43"/>
        <v>0</v>
      </c>
      <c r="Y402" s="84" t="str">
        <f t="shared" si="41"/>
        <v>0-4.9%</v>
      </c>
      <c r="Z402" s="85" t="s">
        <v>794</v>
      </c>
      <c r="AA402" s="59"/>
      <c r="AB402" s="59"/>
      <c r="AC402" s="59"/>
      <c r="AD402" s="59"/>
    </row>
    <row r="403" spans="1:30" x14ac:dyDescent="0.25">
      <c r="A403" s="54" t="s">
        <v>319</v>
      </c>
      <c r="B403" s="55"/>
      <c r="C403" s="56" t="s">
        <v>723</v>
      </c>
      <c r="D403" s="57">
        <f t="shared" si="38"/>
        <v>10</v>
      </c>
      <c r="E403" s="56"/>
      <c r="F403" s="56" t="s">
        <v>193</v>
      </c>
      <c r="G403" s="56">
        <v>5.6</v>
      </c>
      <c r="H403" s="56">
        <v>4.25</v>
      </c>
      <c r="I403" s="56">
        <v>3.95</v>
      </c>
      <c r="J403" s="56">
        <v>2.2000000000000002</v>
      </c>
      <c r="K403" s="56">
        <v>2.6</v>
      </c>
      <c r="L403" s="56">
        <v>3.1</v>
      </c>
      <c r="M403" s="56"/>
      <c r="N403" s="58">
        <f t="shared" si="39"/>
        <v>21.700000000000003</v>
      </c>
      <c r="O403" s="58">
        <f t="shared" si="40"/>
        <v>81.557346599528074</v>
      </c>
      <c r="P403" s="39">
        <v>8</v>
      </c>
      <c r="Q403" s="39">
        <v>10</v>
      </c>
      <c r="R403" s="39">
        <v>9</v>
      </c>
      <c r="S403" s="39">
        <v>9</v>
      </c>
      <c r="T403" s="39">
        <v>9</v>
      </c>
      <c r="U403" s="39">
        <v>9</v>
      </c>
      <c r="V403" s="39">
        <v>9</v>
      </c>
      <c r="W403" s="40" t="str">
        <f t="shared" si="42"/>
        <v>N</v>
      </c>
      <c r="X403" s="84">
        <f t="shared" si="43"/>
        <v>0</v>
      </c>
      <c r="Y403" s="84" t="str">
        <f t="shared" si="41"/>
        <v>0-4.9%</v>
      </c>
      <c r="Z403" s="85" t="s">
        <v>786</v>
      </c>
      <c r="AA403" s="59"/>
      <c r="AB403" s="59"/>
      <c r="AC403" s="59"/>
      <c r="AD403" s="59"/>
    </row>
    <row r="404" spans="1:30" x14ac:dyDescent="0.25">
      <c r="A404" s="54" t="s">
        <v>320</v>
      </c>
      <c r="B404" s="55"/>
      <c r="C404" s="56" t="s">
        <v>724</v>
      </c>
      <c r="D404" s="57">
        <f t="shared" si="38"/>
        <v>10</v>
      </c>
      <c r="E404" s="56"/>
      <c r="F404" s="56" t="s">
        <v>193</v>
      </c>
      <c r="G404" s="56">
        <v>5.4</v>
      </c>
      <c r="H404" s="56">
        <v>8.1</v>
      </c>
      <c r="I404" s="56">
        <v>7.15</v>
      </c>
      <c r="J404" s="56">
        <v>9.4499999999999993</v>
      </c>
      <c r="K404" s="56">
        <v>9.5</v>
      </c>
      <c r="L404" s="56">
        <v>9.35</v>
      </c>
      <c r="M404" s="56"/>
      <c r="N404" s="58">
        <f t="shared" si="39"/>
        <v>48.949999999999996</v>
      </c>
      <c r="O404" s="58">
        <f t="shared" si="40"/>
        <v>3171.621974836647</v>
      </c>
      <c r="P404" s="39">
        <v>8</v>
      </c>
      <c r="Q404" s="39">
        <v>10</v>
      </c>
      <c r="R404" s="39">
        <v>9</v>
      </c>
      <c r="S404" s="39">
        <v>9</v>
      </c>
      <c r="T404" s="39">
        <v>9</v>
      </c>
      <c r="U404" s="39">
        <v>9</v>
      </c>
      <c r="V404" s="39">
        <v>9</v>
      </c>
      <c r="W404" s="40" t="str">
        <f t="shared" si="42"/>
        <v>Y</v>
      </c>
      <c r="X404" s="84">
        <f t="shared" si="43"/>
        <v>0.05</v>
      </c>
      <c r="Y404" s="84" t="str">
        <f t="shared" si="41"/>
        <v>5-25%</v>
      </c>
      <c r="Z404" s="85" t="s">
        <v>786</v>
      </c>
      <c r="AA404" s="59"/>
      <c r="AB404" s="59"/>
      <c r="AC404" s="59"/>
      <c r="AD404" s="59"/>
    </row>
    <row r="405" spans="1:30" x14ac:dyDescent="0.25">
      <c r="A405" s="54" t="s">
        <v>321</v>
      </c>
      <c r="B405" s="55"/>
      <c r="C405" s="56" t="s">
        <v>725</v>
      </c>
      <c r="D405" s="57">
        <f t="shared" si="38"/>
        <v>10</v>
      </c>
      <c r="E405" s="56"/>
      <c r="F405" s="56" t="s">
        <v>193</v>
      </c>
      <c r="G405" s="56">
        <v>5.15</v>
      </c>
      <c r="H405" s="56">
        <v>3.75</v>
      </c>
      <c r="I405" s="56">
        <v>3.45</v>
      </c>
      <c r="J405" s="56">
        <v>2.15</v>
      </c>
      <c r="K405" s="56">
        <v>2.4500000000000002</v>
      </c>
      <c r="L405" s="56">
        <v>3.85</v>
      </c>
      <c r="M405" s="56"/>
      <c r="N405" s="58">
        <f t="shared" si="39"/>
        <v>20.800000000000004</v>
      </c>
      <c r="O405" s="58">
        <f t="shared" si="40"/>
        <v>67.40301027742116</v>
      </c>
      <c r="P405" s="39">
        <v>8</v>
      </c>
      <c r="Q405" s="39">
        <v>10</v>
      </c>
      <c r="R405" s="39">
        <v>9</v>
      </c>
      <c r="S405" s="39">
        <v>9</v>
      </c>
      <c r="T405" s="39">
        <v>9</v>
      </c>
      <c r="U405" s="39">
        <v>9</v>
      </c>
      <c r="V405" s="39">
        <v>9</v>
      </c>
      <c r="W405" s="40" t="str">
        <f t="shared" si="42"/>
        <v>N</v>
      </c>
      <c r="X405" s="84">
        <f t="shared" si="43"/>
        <v>0</v>
      </c>
      <c r="Y405" s="84" t="str">
        <f t="shared" si="41"/>
        <v>0-4.9%</v>
      </c>
      <c r="Z405" s="85" t="s">
        <v>790</v>
      </c>
      <c r="AA405" s="59"/>
      <c r="AB405" s="59"/>
      <c r="AC405" s="59"/>
      <c r="AD405" s="59"/>
    </row>
    <row r="406" spans="1:30" x14ac:dyDescent="0.25">
      <c r="A406" s="54" t="s">
        <v>323</v>
      </c>
      <c r="B406" s="55"/>
      <c r="C406" s="56" t="s">
        <v>479</v>
      </c>
      <c r="D406" s="57">
        <f t="shared" si="38"/>
        <v>10</v>
      </c>
      <c r="E406" s="56"/>
      <c r="F406" s="56" t="s">
        <v>193</v>
      </c>
      <c r="G406" s="56">
        <v>4.55</v>
      </c>
      <c r="H406" s="56">
        <v>3.25</v>
      </c>
      <c r="I406" s="56">
        <v>3.15</v>
      </c>
      <c r="J406" s="56">
        <v>3.1</v>
      </c>
      <c r="K406" s="56">
        <v>2.9</v>
      </c>
      <c r="L406" s="56">
        <v>2.7</v>
      </c>
      <c r="M406" s="56"/>
      <c r="N406" s="58">
        <f t="shared" si="39"/>
        <v>19.649999999999999</v>
      </c>
      <c r="O406" s="58">
        <f t="shared" si="40"/>
        <v>52.182608142536488</v>
      </c>
      <c r="P406" s="39">
        <v>8</v>
      </c>
      <c r="Q406" s="39">
        <v>10</v>
      </c>
      <c r="R406" s="39">
        <v>9</v>
      </c>
      <c r="S406" s="39">
        <v>9</v>
      </c>
      <c r="T406" s="39">
        <v>9</v>
      </c>
      <c r="U406" s="39">
        <v>9</v>
      </c>
      <c r="V406" s="39">
        <v>9</v>
      </c>
      <c r="W406" s="40" t="str">
        <f t="shared" si="42"/>
        <v>N</v>
      </c>
      <c r="X406" s="84">
        <f t="shared" si="43"/>
        <v>0</v>
      </c>
      <c r="Y406" s="84" t="str">
        <f t="shared" si="41"/>
        <v>0-4.9%</v>
      </c>
      <c r="Z406" s="85" t="s">
        <v>786</v>
      </c>
      <c r="AA406" s="59"/>
      <c r="AB406" s="59"/>
      <c r="AC406" s="59"/>
      <c r="AD406" s="59"/>
    </row>
    <row r="407" spans="1:30" x14ac:dyDescent="0.25">
      <c r="A407" s="54" t="s">
        <v>324</v>
      </c>
      <c r="B407" s="55"/>
      <c r="C407" s="56" t="s">
        <v>727</v>
      </c>
      <c r="D407" s="57">
        <f t="shared" si="38"/>
        <v>10</v>
      </c>
      <c r="E407" s="56"/>
      <c r="F407" s="56" t="s">
        <v>193</v>
      </c>
      <c r="G407" s="56">
        <v>5.2</v>
      </c>
      <c r="H407" s="56">
        <v>7.45</v>
      </c>
      <c r="I407" s="56">
        <v>6.95</v>
      </c>
      <c r="J407" s="56">
        <v>7.2</v>
      </c>
      <c r="K407" s="56">
        <v>7.35</v>
      </c>
      <c r="L407" s="56">
        <v>8.0500000000000007</v>
      </c>
      <c r="M407" s="56"/>
      <c r="N407" s="58">
        <f t="shared" si="39"/>
        <v>42.2</v>
      </c>
      <c r="O407" s="58">
        <f t="shared" si="40"/>
        <v>1626.6732125779538</v>
      </c>
      <c r="P407" s="39">
        <v>8</v>
      </c>
      <c r="Q407" s="39">
        <v>10</v>
      </c>
      <c r="R407" s="39">
        <v>9</v>
      </c>
      <c r="S407" s="39">
        <v>9</v>
      </c>
      <c r="T407" s="39">
        <v>9</v>
      </c>
      <c r="U407" s="39">
        <v>9</v>
      </c>
      <c r="V407" s="39">
        <v>9</v>
      </c>
      <c r="W407" s="40" t="str">
        <f t="shared" si="42"/>
        <v>N</v>
      </c>
      <c r="X407" s="84">
        <f t="shared" si="43"/>
        <v>0</v>
      </c>
      <c r="Y407" s="84" t="str">
        <f t="shared" si="41"/>
        <v>0-4.9%</v>
      </c>
      <c r="Z407" s="85" t="s">
        <v>812</v>
      </c>
      <c r="AA407" s="59"/>
      <c r="AB407" s="59"/>
      <c r="AC407" s="59"/>
      <c r="AD407" s="59"/>
    </row>
    <row r="408" spans="1:30" x14ac:dyDescent="0.25">
      <c r="A408" s="54" t="s">
        <v>325</v>
      </c>
      <c r="B408" s="55"/>
      <c r="C408" s="56" t="s">
        <v>728</v>
      </c>
      <c r="D408" s="57">
        <f t="shared" si="38"/>
        <v>10</v>
      </c>
      <c r="E408" s="56"/>
      <c r="F408" s="56" t="s">
        <v>193</v>
      </c>
      <c r="G408" s="56">
        <v>6.2</v>
      </c>
      <c r="H408" s="56">
        <v>9.35</v>
      </c>
      <c r="I408" s="56">
        <v>5.05</v>
      </c>
      <c r="J408" s="56">
        <v>6.05</v>
      </c>
      <c r="K408" s="56">
        <v>7.2</v>
      </c>
      <c r="L408" s="56">
        <v>7.65</v>
      </c>
      <c r="M408" s="56"/>
      <c r="N408" s="58">
        <f t="shared" si="39"/>
        <v>41.5</v>
      </c>
      <c r="O408" s="58">
        <f t="shared" si="40"/>
        <v>1508.7272025993345</v>
      </c>
      <c r="P408" s="39">
        <v>8</v>
      </c>
      <c r="Q408" s="39">
        <v>10</v>
      </c>
      <c r="R408" s="39">
        <v>9</v>
      </c>
      <c r="S408" s="39">
        <v>9</v>
      </c>
      <c r="T408" s="39">
        <v>9</v>
      </c>
      <c r="U408" s="39">
        <v>9</v>
      </c>
      <c r="V408" s="39">
        <v>9</v>
      </c>
      <c r="W408" s="40" t="str">
        <f t="shared" si="42"/>
        <v>N</v>
      </c>
      <c r="X408" s="84">
        <f t="shared" si="43"/>
        <v>0</v>
      </c>
      <c r="Y408" s="84" t="str">
        <f t="shared" si="41"/>
        <v>0-4.9%</v>
      </c>
      <c r="Z408" s="85" t="s">
        <v>794</v>
      </c>
      <c r="AA408" s="59"/>
      <c r="AB408" s="59"/>
      <c r="AC408" s="59"/>
      <c r="AD408" s="59"/>
    </row>
    <row r="409" spans="1:30" x14ac:dyDescent="0.25">
      <c r="A409" s="54" t="s">
        <v>327</v>
      </c>
      <c r="B409" s="55"/>
      <c r="C409" s="56" t="s">
        <v>729</v>
      </c>
      <c r="D409" s="57">
        <f t="shared" si="38"/>
        <v>10</v>
      </c>
      <c r="E409" s="56"/>
      <c r="F409" s="56" t="s">
        <v>190</v>
      </c>
      <c r="G409" s="56">
        <v>5.05</v>
      </c>
      <c r="H409" s="56">
        <v>2.0499999999999998</v>
      </c>
      <c r="I409" s="56">
        <v>4.3499999999999996</v>
      </c>
      <c r="J409" s="56">
        <v>2.9</v>
      </c>
      <c r="K409" s="56">
        <v>2.7</v>
      </c>
      <c r="L409" s="56">
        <v>3.2</v>
      </c>
      <c r="M409" s="56"/>
      <c r="N409" s="58">
        <f t="shared" si="39"/>
        <v>20.25</v>
      </c>
      <c r="O409" s="58">
        <f t="shared" si="40"/>
        <v>59.74573518423442</v>
      </c>
      <c r="P409" s="39">
        <v>8</v>
      </c>
      <c r="Q409" s="39">
        <v>10</v>
      </c>
      <c r="R409" s="39">
        <v>9</v>
      </c>
      <c r="S409" s="39">
        <v>9</v>
      </c>
      <c r="T409" s="39">
        <v>9</v>
      </c>
      <c r="U409" s="39">
        <v>9</v>
      </c>
      <c r="V409" s="39">
        <v>9</v>
      </c>
      <c r="W409" s="40" t="str">
        <f t="shared" si="42"/>
        <v>N</v>
      </c>
      <c r="X409" s="84">
        <f t="shared" si="43"/>
        <v>0</v>
      </c>
      <c r="Y409" s="84" t="str">
        <f t="shared" si="41"/>
        <v>0-4.9%</v>
      </c>
      <c r="Z409" s="85" t="s">
        <v>794</v>
      </c>
      <c r="AA409" s="59"/>
      <c r="AB409" s="59"/>
      <c r="AC409" s="59"/>
      <c r="AD409" s="59"/>
    </row>
    <row r="410" spans="1:30" x14ac:dyDescent="0.25">
      <c r="A410" s="54" t="s">
        <v>334</v>
      </c>
      <c r="B410" s="55"/>
      <c r="C410" s="56" t="s">
        <v>376</v>
      </c>
      <c r="D410" s="57">
        <f t="shared" si="38"/>
        <v>10</v>
      </c>
      <c r="E410" s="56"/>
      <c r="F410" s="56" t="s">
        <v>193</v>
      </c>
      <c r="G410" s="56">
        <v>6.1</v>
      </c>
      <c r="H410" s="56">
        <v>8.6999999999999993</v>
      </c>
      <c r="I410" s="56">
        <v>8.4499999999999993</v>
      </c>
      <c r="J410" s="56">
        <v>7.3</v>
      </c>
      <c r="K410" s="56">
        <v>7.2</v>
      </c>
      <c r="L410" s="56">
        <v>7.65</v>
      </c>
      <c r="M410" s="56"/>
      <c r="N410" s="58">
        <f t="shared" si="39"/>
        <v>45.4</v>
      </c>
      <c r="O410" s="58">
        <f t="shared" si="40"/>
        <v>2260.1935096071093</v>
      </c>
      <c r="P410" s="39">
        <v>8</v>
      </c>
      <c r="Q410" s="39">
        <v>10</v>
      </c>
      <c r="R410" s="39">
        <v>9</v>
      </c>
      <c r="S410" s="39">
        <v>9</v>
      </c>
      <c r="T410" s="39">
        <v>9</v>
      </c>
      <c r="U410" s="39">
        <v>9</v>
      </c>
      <c r="V410" s="39">
        <v>9</v>
      </c>
      <c r="W410" s="40" t="str">
        <f t="shared" si="42"/>
        <v>N</v>
      </c>
      <c r="X410" s="84">
        <f t="shared" si="43"/>
        <v>0</v>
      </c>
      <c r="Y410" s="84" t="str">
        <f t="shared" si="41"/>
        <v>0-4.9%</v>
      </c>
      <c r="Z410" s="85" t="s">
        <v>786</v>
      </c>
      <c r="AA410" s="59"/>
      <c r="AB410" s="59"/>
      <c r="AC410" s="59"/>
      <c r="AD410" s="59"/>
    </row>
    <row r="411" spans="1:30" x14ac:dyDescent="0.25">
      <c r="A411" s="54" t="s">
        <v>336</v>
      </c>
      <c r="B411" s="55"/>
      <c r="C411" s="56" t="s">
        <v>734</v>
      </c>
      <c r="D411" s="57">
        <f t="shared" si="38"/>
        <v>10</v>
      </c>
      <c r="E411" s="56"/>
      <c r="F411" s="56" t="s">
        <v>193</v>
      </c>
      <c r="G411" s="56">
        <v>5.4</v>
      </c>
      <c r="H411" s="56">
        <v>3.75</v>
      </c>
      <c r="I411" s="56">
        <v>3.4</v>
      </c>
      <c r="J411" s="56">
        <v>3.15</v>
      </c>
      <c r="K411" s="56">
        <v>2.4500000000000002</v>
      </c>
      <c r="L411" s="56">
        <v>1.85</v>
      </c>
      <c r="M411" s="56"/>
      <c r="N411" s="58">
        <f t="shared" si="39"/>
        <v>20.000000000000004</v>
      </c>
      <c r="O411" s="58">
        <f t="shared" si="40"/>
        <v>56.497504588448436</v>
      </c>
      <c r="P411" s="39">
        <v>8</v>
      </c>
      <c r="Q411" s="39">
        <v>10</v>
      </c>
      <c r="R411" s="39">
        <v>9</v>
      </c>
      <c r="S411" s="39">
        <v>9</v>
      </c>
      <c r="T411" s="39">
        <v>9</v>
      </c>
      <c r="U411" s="39">
        <v>9</v>
      </c>
      <c r="V411" s="39">
        <v>9</v>
      </c>
      <c r="W411" s="40" t="str">
        <f t="shared" si="42"/>
        <v>N</v>
      </c>
      <c r="X411" s="84">
        <f t="shared" si="43"/>
        <v>0</v>
      </c>
      <c r="Y411" s="84" t="str">
        <f t="shared" si="41"/>
        <v>0-4.9%</v>
      </c>
      <c r="Z411" s="85" t="s">
        <v>794</v>
      </c>
      <c r="AA411" s="59"/>
      <c r="AB411" s="59"/>
      <c r="AC411" s="59"/>
      <c r="AD411" s="59"/>
    </row>
    <row r="412" spans="1:30" x14ac:dyDescent="0.25">
      <c r="A412" s="54" t="s">
        <v>338</v>
      </c>
      <c r="B412" s="55"/>
      <c r="C412" s="56" t="s">
        <v>735</v>
      </c>
      <c r="D412" s="57">
        <f t="shared" si="38"/>
        <v>10</v>
      </c>
      <c r="E412" s="56"/>
      <c r="F412" s="56" t="s">
        <v>295</v>
      </c>
      <c r="G412" s="56">
        <v>4.2</v>
      </c>
      <c r="H412" s="56">
        <v>3.35</v>
      </c>
      <c r="I412" s="56">
        <v>4.2</v>
      </c>
      <c r="J412" s="56">
        <v>3.4</v>
      </c>
      <c r="K412" s="56">
        <v>3.1</v>
      </c>
      <c r="L412" s="56">
        <v>2.65</v>
      </c>
      <c r="M412" s="56"/>
      <c r="N412" s="58">
        <f t="shared" si="39"/>
        <v>20.9</v>
      </c>
      <c r="O412" s="58">
        <f t="shared" si="40"/>
        <v>68.873566554206249</v>
      </c>
      <c r="P412" s="39">
        <v>8</v>
      </c>
      <c r="Q412" s="39">
        <v>10</v>
      </c>
      <c r="R412" s="39">
        <v>9</v>
      </c>
      <c r="S412" s="39">
        <v>9</v>
      </c>
      <c r="T412" s="39">
        <v>9</v>
      </c>
      <c r="U412" s="39">
        <v>9</v>
      </c>
      <c r="V412" s="39">
        <v>9</v>
      </c>
      <c r="W412" s="40" t="str">
        <f t="shared" si="42"/>
        <v>N</v>
      </c>
      <c r="X412" s="84">
        <f t="shared" si="43"/>
        <v>0</v>
      </c>
      <c r="Y412" s="84" t="str">
        <f t="shared" si="41"/>
        <v>0-4.9%</v>
      </c>
      <c r="Z412" s="85" t="s">
        <v>790</v>
      </c>
      <c r="AA412" s="59"/>
      <c r="AB412" s="59"/>
      <c r="AC412" s="59"/>
      <c r="AD412" s="59"/>
    </row>
    <row r="413" spans="1:30" x14ac:dyDescent="0.25">
      <c r="A413" s="54" t="s">
        <v>339</v>
      </c>
      <c r="B413" s="55"/>
      <c r="C413" s="56" t="s">
        <v>736</v>
      </c>
      <c r="D413" s="57">
        <f t="shared" si="38"/>
        <v>10</v>
      </c>
      <c r="E413" s="56"/>
      <c r="F413" s="56" t="s">
        <v>236</v>
      </c>
      <c r="G413" s="56">
        <v>5.5</v>
      </c>
      <c r="H413" s="56">
        <v>5.65</v>
      </c>
      <c r="I413" s="56">
        <v>10.15</v>
      </c>
      <c r="J413" s="56">
        <v>10.25</v>
      </c>
      <c r="K413" s="56"/>
      <c r="L413" s="56"/>
      <c r="M413" s="56"/>
      <c r="N413" s="58">
        <f t="shared" si="39"/>
        <v>31.55</v>
      </c>
      <c r="O413" s="58">
        <f t="shared" si="40"/>
        <v>439.4317390521478</v>
      </c>
      <c r="P413" s="39">
        <v>8</v>
      </c>
      <c r="Q413" s="39">
        <v>10</v>
      </c>
      <c r="R413" s="39">
        <v>9</v>
      </c>
      <c r="S413" s="39">
        <v>9</v>
      </c>
      <c r="T413" s="39">
        <v>9</v>
      </c>
      <c r="U413" s="39">
        <v>9</v>
      </c>
      <c r="V413" s="39">
        <v>9</v>
      </c>
      <c r="W413" s="40" t="str">
        <f t="shared" si="42"/>
        <v>Y</v>
      </c>
      <c r="X413" s="84">
        <f t="shared" si="43"/>
        <v>0.125</v>
      </c>
      <c r="Y413" s="84" t="str">
        <f t="shared" si="41"/>
        <v>5-25%</v>
      </c>
      <c r="Z413" s="85" t="s">
        <v>786</v>
      </c>
      <c r="AA413" s="59"/>
      <c r="AB413" s="59"/>
      <c r="AC413" s="59"/>
      <c r="AD413" s="59"/>
    </row>
    <row r="414" spans="1:30" x14ac:dyDescent="0.25">
      <c r="A414" s="54" t="s">
        <v>340</v>
      </c>
      <c r="B414" s="55"/>
      <c r="C414" s="56" t="s">
        <v>737</v>
      </c>
      <c r="D414" s="57">
        <f t="shared" si="38"/>
        <v>10</v>
      </c>
      <c r="E414" s="56"/>
      <c r="F414" s="56" t="s">
        <v>193</v>
      </c>
      <c r="G414" s="56">
        <v>4.4000000000000004</v>
      </c>
      <c r="H414" s="56">
        <v>6.25</v>
      </c>
      <c r="I414" s="56">
        <v>0.6</v>
      </c>
      <c r="J414" s="56">
        <v>2.2000000000000002</v>
      </c>
      <c r="K414" s="56">
        <v>2.6</v>
      </c>
      <c r="L414" s="56">
        <v>2.9</v>
      </c>
      <c r="M414" s="56"/>
      <c r="N414" s="58">
        <f t="shared" si="39"/>
        <v>18.95</v>
      </c>
      <c r="O414" s="58">
        <f t="shared" si="40"/>
        <v>44.323673794813423</v>
      </c>
      <c r="P414" s="39">
        <v>8</v>
      </c>
      <c r="Q414" s="39">
        <v>10</v>
      </c>
      <c r="R414" s="39">
        <v>9</v>
      </c>
      <c r="S414" s="39">
        <v>9</v>
      </c>
      <c r="T414" s="39">
        <v>9</v>
      </c>
      <c r="U414" s="39">
        <v>9</v>
      </c>
      <c r="V414" s="39">
        <v>9</v>
      </c>
      <c r="W414" s="40" t="str">
        <f t="shared" si="42"/>
        <v>N</v>
      </c>
      <c r="X414" s="84">
        <f t="shared" si="43"/>
        <v>0</v>
      </c>
      <c r="Y414" s="84" t="str">
        <f t="shared" si="41"/>
        <v>0-4.9%</v>
      </c>
      <c r="Z414" s="85" t="s">
        <v>224</v>
      </c>
      <c r="AA414" s="59"/>
      <c r="AB414" s="59"/>
      <c r="AC414" s="59"/>
      <c r="AD414" s="59"/>
    </row>
    <row r="415" spans="1:30" x14ac:dyDescent="0.25">
      <c r="A415" s="54" t="s">
        <v>345</v>
      </c>
      <c r="B415" s="55"/>
      <c r="C415" s="56" t="s">
        <v>742</v>
      </c>
      <c r="D415" s="57">
        <f t="shared" si="38"/>
        <v>10</v>
      </c>
      <c r="E415" s="56"/>
      <c r="F415" s="56" t="s">
        <v>227</v>
      </c>
      <c r="G415" s="56">
        <v>5.5</v>
      </c>
      <c r="H415" s="56">
        <v>2.35</v>
      </c>
      <c r="I415" s="56">
        <v>4.4000000000000004</v>
      </c>
      <c r="J415" s="56">
        <v>3</v>
      </c>
      <c r="K415" s="56">
        <v>2.6</v>
      </c>
      <c r="L415" s="56">
        <v>2.75</v>
      </c>
      <c r="M415" s="56"/>
      <c r="N415" s="58">
        <f t="shared" si="39"/>
        <v>20.6</v>
      </c>
      <c r="O415" s="58">
        <f t="shared" si="40"/>
        <v>64.535217380104484</v>
      </c>
      <c r="P415" s="39">
        <v>8</v>
      </c>
      <c r="Q415" s="39">
        <v>10</v>
      </c>
      <c r="R415" s="39">
        <v>9</v>
      </c>
      <c r="S415" s="39">
        <v>9</v>
      </c>
      <c r="T415" s="39">
        <v>9</v>
      </c>
      <c r="U415" s="39">
        <v>9</v>
      </c>
      <c r="V415" s="39">
        <v>9</v>
      </c>
      <c r="W415" s="40" t="str">
        <f t="shared" si="42"/>
        <v>N</v>
      </c>
      <c r="X415" s="84">
        <f t="shared" si="43"/>
        <v>0</v>
      </c>
      <c r="Y415" s="84" t="str">
        <f t="shared" si="41"/>
        <v>0-4.9%</v>
      </c>
      <c r="Z415" s="85" t="s">
        <v>794</v>
      </c>
      <c r="AA415" s="59"/>
      <c r="AB415" s="59"/>
      <c r="AC415" s="59"/>
      <c r="AD415" s="59"/>
    </row>
    <row r="416" spans="1:30" x14ac:dyDescent="0.25">
      <c r="A416" s="54" t="s">
        <v>347</v>
      </c>
      <c r="B416" s="55"/>
      <c r="C416" s="56" t="s">
        <v>744</v>
      </c>
      <c r="D416" s="57">
        <f t="shared" si="38"/>
        <v>10</v>
      </c>
      <c r="E416" s="56"/>
      <c r="F416" s="56" t="s">
        <v>190</v>
      </c>
      <c r="G416" s="56">
        <v>4.55</v>
      </c>
      <c r="H416" s="56">
        <v>5.95</v>
      </c>
      <c r="I416" s="56">
        <v>0.75</v>
      </c>
      <c r="J416" s="56">
        <v>2.5499999999999998</v>
      </c>
      <c r="K416" s="56">
        <v>2.65</v>
      </c>
      <c r="L416" s="56">
        <v>2.95</v>
      </c>
      <c r="M416" s="56"/>
      <c r="N416" s="58">
        <f t="shared" si="39"/>
        <v>19.399999999999999</v>
      </c>
      <c r="O416" s="58">
        <f t="shared" si="40"/>
        <v>49.260869162305063</v>
      </c>
      <c r="P416" s="39">
        <v>8</v>
      </c>
      <c r="Q416" s="39">
        <v>10</v>
      </c>
      <c r="R416" s="39">
        <v>9</v>
      </c>
      <c r="S416" s="39">
        <v>9</v>
      </c>
      <c r="T416" s="39">
        <v>9</v>
      </c>
      <c r="U416" s="39">
        <v>9</v>
      </c>
      <c r="V416" s="39">
        <v>9</v>
      </c>
      <c r="W416" s="40" t="str">
        <f t="shared" si="42"/>
        <v>N</v>
      </c>
      <c r="X416" s="84">
        <f t="shared" si="43"/>
        <v>0</v>
      </c>
      <c r="Y416" s="84" t="str">
        <f t="shared" si="41"/>
        <v>0-4.9%</v>
      </c>
      <c r="Z416" s="85" t="s">
        <v>790</v>
      </c>
      <c r="AA416" s="59"/>
      <c r="AB416" s="59"/>
      <c r="AC416" s="59"/>
      <c r="AD416" s="59"/>
    </row>
    <row r="417" spans="1:30" x14ac:dyDescent="0.25">
      <c r="A417" s="54" t="s">
        <v>348</v>
      </c>
      <c r="B417" s="55"/>
      <c r="C417" s="56" t="s">
        <v>745</v>
      </c>
      <c r="D417" s="57">
        <f t="shared" si="38"/>
        <v>10</v>
      </c>
      <c r="E417" s="56"/>
      <c r="F417" s="56" t="s">
        <v>190</v>
      </c>
      <c r="G417" s="56">
        <v>5.15</v>
      </c>
      <c r="H417" s="56">
        <v>2</v>
      </c>
      <c r="I417" s="56">
        <v>3.4</v>
      </c>
      <c r="J417" s="56">
        <v>2.9</v>
      </c>
      <c r="K417" s="56">
        <v>2.5499999999999998</v>
      </c>
      <c r="L417" s="56">
        <v>2.6</v>
      </c>
      <c r="M417" s="56"/>
      <c r="N417" s="58">
        <f t="shared" si="39"/>
        <v>18.600000000000001</v>
      </c>
      <c r="O417" s="58">
        <f t="shared" si="40"/>
        <v>40.757030517569234</v>
      </c>
      <c r="P417" s="39">
        <v>8</v>
      </c>
      <c r="Q417" s="39">
        <v>10</v>
      </c>
      <c r="R417" s="39">
        <v>9</v>
      </c>
      <c r="S417" s="39">
        <v>9</v>
      </c>
      <c r="T417" s="39">
        <v>9</v>
      </c>
      <c r="U417" s="39">
        <v>9</v>
      </c>
      <c r="V417" s="39">
        <v>9</v>
      </c>
      <c r="W417" s="40" t="str">
        <f t="shared" si="42"/>
        <v>N</v>
      </c>
      <c r="X417" s="84">
        <f t="shared" si="43"/>
        <v>0</v>
      </c>
      <c r="Y417" s="84" t="str">
        <f t="shared" si="41"/>
        <v>0-4.9%</v>
      </c>
      <c r="Z417" s="85" t="s">
        <v>224</v>
      </c>
      <c r="AA417" s="59"/>
      <c r="AB417" s="59"/>
      <c r="AC417" s="59"/>
      <c r="AD417" s="59"/>
    </row>
    <row r="418" spans="1:30" s="33" customFormat="1" x14ac:dyDescent="0.25">
      <c r="A418" s="54" t="s">
        <v>349</v>
      </c>
      <c r="B418" s="55"/>
      <c r="C418" s="56" t="s">
        <v>746</v>
      </c>
      <c r="D418" s="57">
        <f t="shared" si="38"/>
        <v>10</v>
      </c>
      <c r="E418" s="56"/>
      <c r="F418" s="56" t="s">
        <v>190</v>
      </c>
      <c r="G418" s="56">
        <v>5.0999999999999996</v>
      </c>
      <c r="H418" s="56">
        <v>1.85</v>
      </c>
      <c r="I418" s="56">
        <v>4.1500000000000004</v>
      </c>
      <c r="J418" s="56">
        <v>2.4500000000000002</v>
      </c>
      <c r="K418" s="56">
        <v>2.95</v>
      </c>
      <c r="L418" s="56">
        <v>2.85</v>
      </c>
      <c r="M418" s="56"/>
      <c r="N418" s="58">
        <f t="shared" si="39"/>
        <v>19.350000000000001</v>
      </c>
      <c r="O418" s="58">
        <f t="shared" si="40"/>
        <v>48.692115969954301</v>
      </c>
      <c r="P418" s="39">
        <v>8</v>
      </c>
      <c r="Q418" s="39">
        <v>10</v>
      </c>
      <c r="R418" s="39">
        <v>9</v>
      </c>
      <c r="S418" s="39">
        <v>9</v>
      </c>
      <c r="T418" s="39">
        <v>9</v>
      </c>
      <c r="U418" s="39">
        <v>9</v>
      </c>
      <c r="V418" s="39">
        <v>9</v>
      </c>
      <c r="W418" s="40" t="str">
        <f t="shared" si="42"/>
        <v>N</v>
      </c>
      <c r="X418" s="84">
        <f t="shared" si="43"/>
        <v>0</v>
      </c>
      <c r="Y418" s="84" t="str">
        <f t="shared" si="41"/>
        <v>0-4.9%</v>
      </c>
      <c r="Z418" s="85" t="s">
        <v>224</v>
      </c>
      <c r="AA418" s="64"/>
      <c r="AB418" s="64"/>
      <c r="AC418" s="64"/>
      <c r="AD418" s="64"/>
    </row>
    <row r="419" spans="1:30" x14ac:dyDescent="0.25">
      <c r="A419" s="54" t="s">
        <v>350</v>
      </c>
      <c r="B419" s="55"/>
      <c r="C419" s="56" t="s">
        <v>747</v>
      </c>
      <c r="D419" s="57">
        <f t="shared" si="38"/>
        <v>10</v>
      </c>
      <c r="E419" s="56"/>
      <c r="F419" s="56" t="s">
        <v>190</v>
      </c>
      <c r="G419" s="56">
        <v>4.9000000000000004</v>
      </c>
      <c r="H419" s="56">
        <v>2.65</v>
      </c>
      <c r="I419" s="56">
        <v>4.45</v>
      </c>
      <c r="J419" s="56">
        <v>3.7</v>
      </c>
      <c r="K419" s="56">
        <v>2.9</v>
      </c>
      <c r="L419" s="56">
        <v>3</v>
      </c>
      <c r="M419" s="56"/>
      <c r="N419" s="58">
        <f t="shared" si="39"/>
        <v>21.599999999999998</v>
      </c>
      <c r="O419" s="58">
        <f t="shared" si="40"/>
        <v>79.879652296364895</v>
      </c>
      <c r="P419" s="39">
        <v>8</v>
      </c>
      <c r="Q419" s="39">
        <v>10</v>
      </c>
      <c r="R419" s="39">
        <v>9</v>
      </c>
      <c r="S419" s="39">
        <v>9</v>
      </c>
      <c r="T419" s="39">
        <v>9</v>
      </c>
      <c r="U419" s="39">
        <v>9</v>
      </c>
      <c r="V419" s="39">
        <v>9</v>
      </c>
      <c r="W419" s="40" t="str">
        <f t="shared" si="42"/>
        <v>N</v>
      </c>
      <c r="X419" s="84">
        <f t="shared" si="43"/>
        <v>0</v>
      </c>
      <c r="Y419" s="84" t="str">
        <f t="shared" si="41"/>
        <v>0-4.9%</v>
      </c>
      <c r="Z419" s="85" t="s">
        <v>224</v>
      </c>
      <c r="AA419" s="59"/>
      <c r="AB419" s="59"/>
      <c r="AC419" s="59"/>
      <c r="AD419" s="59"/>
    </row>
    <row r="420" spans="1:30" x14ac:dyDescent="0.25">
      <c r="A420" s="54" t="s">
        <v>351</v>
      </c>
      <c r="B420" s="55"/>
      <c r="C420" s="56" t="s">
        <v>748</v>
      </c>
      <c r="D420" s="57">
        <f t="shared" si="38"/>
        <v>10</v>
      </c>
      <c r="E420" s="56"/>
      <c r="F420" s="56" t="s">
        <v>190</v>
      </c>
      <c r="G420" s="56">
        <v>5.3</v>
      </c>
      <c r="H420" s="56">
        <v>4</v>
      </c>
      <c r="I420" s="56">
        <v>2.85</v>
      </c>
      <c r="J420" s="56">
        <v>3</v>
      </c>
      <c r="K420" s="56">
        <v>3.2</v>
      </c>
      <c r="L420" s="56">
        <v>2.85</v>
      </c>
      <c r="M420" s="56"/>
      <c r="N420" s="58">
        <f t="shared" si="39"/>
        <v>21.200000000000003</v>
      </c>
      <c r="O420" s="58">
        <f t="shared" si="40"/>
        <v>73.435432970581559</v>
      </c>
      <c r="P420" s="39">
        <v>8</v>
      </c>
      <c r="Q420" s="39">
        <v>10</v>
      </c>
      <c r="R420" s="39">
        <v>9</v>
      </c>
      <c r="S420" s="39">
        <v>9</v>
      </c>
      <c r="T420" s="39">
        <v>9</v>
      </c>
      <c r="U420" s="39">
        <v>9</v>
      </c>
      <c r="V420" s="39">
        <v>9</v>
      </c>
      <c r="W420" s="40" t="str">
        <f t="shared" si="42"/>
        <v>N</v>
      </c>
      <c r="X420" s="84">
        <f t="shared" si="43"/>
        <v>0</v>
      </c>
      <c r="Y420" s="84" t="str">
        <f t="shared" si="41"/>
        <v>0-4.9%</v>
      </c>
      <c r="Z420" s="85" t="s">
        <v>224</v>
      </c>
      <c r="AA420" s="59"/>
      <c r="AB420" s="59"/>
      <c r="AC420" s="59"/>
      <c r="AD420" s="59"/>
    </row>
    <row r="421" spans="1:30" x14ac:dyDescent="0.25">
      <c r="A421" s="54" t="s">
        <v>352</v>
      </c>
      <c r="B421" s="55"/>
      <c r="C421" s="56" t="s">
        <v>749</v>
      </c>
      <c r="D421" s="57">
        <f t="shared" si="38"/>
        <v>10</v>
      </c>
      <c r="E421" s="56"/>
      <c r="F421" s="56" t="s">
        <v>190</v>
      </c>
      <c r="G421" s="56">
        <v>5.25</v>
      </c>
      <c r="H421" s="56">
        <v>1.9</v>
      </c>
      <c r="I421" s="56">
        <v>3.6</v>
      </c>
      <c r="J421" s="56">
        <v>2.9</v>
      </c>
      <c r="K421" s="56">
        <v>2.65</v>
      </c>
      <c r="L421" s="56">
        <v>2.5</v>
      </c>
      <c r="M421" s="56"/>
      <c r="N421" s="58">
        <f t="shared" si="39"/>
        <v>18.8</v>
      </c>
      <c r="O421" s="58">
        <f t="shared" si="40"/>
        <v>42.766588442913125</v>
      </c>
      <c r="P421" s="39">
        <v>8</v>
      </c>
      <c r="Q421" s="39">
        <v>10</v>
      </c>
      <c r="R421" s="39">
        <v>9</v>
      </c>
      <c r="S421" s="39">
        <v>9</v>
      </c>
      <c r="T421" s="39">
        <v>9</v>
      </c>
      <c r="U421" s="39">
        <v>9</v>
      </c>
      <c r="V421" s="39">
        <v>9</v>
      </c>
      <c r="W421" s="40" t="str">
        <f t="shared" si="42"/>
        <v>N</v>
      </c>
      <c r="X421" s="84">
        <f t="shared" si="43"/>
        <v>0</v>
      </c>
      <c r="Y421" s="84" t="str">
        <f t="shared" si="41"/>
        <v>0-4.9%</v>
      </c>
      <c r="Z421" s="85" t="s">
        <v>812</v>
      </c>
      <c r="AA421" s="59"/>
      <c r="AB421" s="59"/>
      <c r="AC421" s="59"/>
      <c r="AD421" s="59"/>
    </row>
    <row r="422" spans="1:30" x14ac:dyDescent="0.25">
      <c r="A422" s="54" t="s">
        <v>358</v>
      </c>
      <c r="B422" s="55"/>
      <c r="C422" s="56" t="s">
        <v>754</v>
      </c>
      <c r="D422" s="57">
        <f t="shared" si="38"/>
        <v>10</v>
      </c>
      <c r="E422" s="56"/>
      <c r="F422" s="56" t="s">
        <v>190</v>
      </c>
      <c r="G422" s="56">
        <v>6.4</v>
      </c>
      <c r="H422" s="56">
        <v>10.5</v>
      </c>
      <c r="I422" s="56">
        <v>10.4</v>
      </c>
      <c r="J422" s="56">
        <v>6.45</v>
      </c>
      <c r="K422" s="56">
        <v>4.0999999999999996</v>
      </c>
      <c r="L422" s="56">
        <v>6</v>
      </c>
      <c r="M422" s="56"/>
      <c r="N422" s="58">
        <f t="shared" si="39"/>
        <v>43.85</v>
      </c>
      <c r="O422" s="58">
        <f t="shared" si="40"/>
        <v>1933.114040856359</v>
      </c>
      <c r="P422" s="39">
        <v>8</v>
      </c>
      <c r="Q422" s="39">
        <v>10</v>
      </c>
      <c r="R422" s="39">
        <v>9</v>
      </c>
      <c r="S422" s="39">
        <v>9</v>
      </c>
      <c r="T422" s="39">
        <v>9</v>
      </c>
      <c r="U422" s="39">
        <v>9</v>
      </c>
      <c r="V422" s="39">
        <v>9</v>
      </c>
      <c r="W422" s="40" t="str">
        <f t="shared" si="42"/>
        <v>Y</v>
      </c>
      <c r="X422" s="84">
        <f t="shared" si="43"/>
        <v>0.14000000000000004</v>
      </c>
      <c r="Y422" s="84" t="str">
        <f t="shared" si="41"/>
        <v>5-25%</v>
      </c>
      <c r="Z422" s="85" t="s">
        <v>794</v>
      </c>
      <c r="AA422" s="59"/>
      <c r="AB422" s="59"/>
      <c r="AC422" s="59"/>
      <c r="AD422" s="59"/>
    </row>
    <row r="423" spans="1:30" x14ac:dyDescent="0.25">
      <c r="A423" s="54" t="s">
        <v>359</v>
      </c>
      <c r="B423" s="55"/>
      <c r="C423" s="56" t="s">
        <v>755</v>
      </c>
      <c r="D423" s="57">
        <f t="shared" si="38"/>
        <v>10</v>
      </c>
      <c r="E423" s="56"/>
      <c r="F423" s="56" t="s">
        <v>193</v>
      </c>
      <c r="G423" s="56">
        <v>5.45</v>
      </c>
      <c r="H423" s="56">
        <v>3.05</v>
      </c>
      <c r="I423" s="56">
        <v>2.0499999999999998</v>
      </c>
      <c r="J423" s="56">
        <v>2.9</v>
      </c>
      <c r="K423" s="56">
        <v>2.2999999999999998</v>
      </c>
      <c r="L423" s="56">
        <v>2.9</v>
      </c>
      <c r="M423" s="56"/>
      <c r="N423" s="58">
        <f t="shared" si="39"/>
        <v>18.649999999999999</v>
      </c>
      <c r="O423" s="58">
        <f t="shared" si="40"/>
        <v>41.252383668415852</v>
      </c>
      <c r="P423" s="39">
        <v>8</v>
      </c>
      <c r="Q423" s="39">
        <v>10</v>
      </c>
      <c r="R423" s="39">
        <v>9</v>
      </c>
      <c r="S423" s="39">
        <v>9</v>
      </c>
      <c r="T423" s="39">
        <v>9</v>
      </c>
      <c r="U423" s="39">
        <v>9</v>
      </c>
      <c r="V423" s="39">
        <v>9</v>
      </c>
      <c r="W423" s="40" t="str">
        <f t="shared" si="42"/>
        <v>N</v>
      </c>
      <c r="X423" s="84">
        <f t="shared" si="43"/>
        <v>0</v>
      </c>
      <c r="Y423" s="84" t="str">
        <f t="shared" si="41"/>
        <v>0-4.9%</v>
      </c>
      <c r="Z423" s="85" t="s">
        <v>224</v>
      </c>
      <c r="AA423" s="59"/>
      <c r="AB423" s="59"/>
      <c r="AC423" s="59"/>
      <c r="AD423" s="59"/>
    </row>
    <row r="424" spans="1:30" x14ac:dyDescent="0.25">
      <c r="A424" s="54" t="s">
        <v>361</v>
      </c>
      <c r="B424" s="55"/>
      <c r="C424" s="56" t="s">
        <v>756</v>
      </c>
      <c r="D424" s="57">
        <f t="shared" si="38"/>
        <v>10</v>
      </c>
      <c r="E424" s="56"/>
      <c r="F424" s="56" t="s">
        <v>193</v>
      </c>
      <c r="G424" s="56">
        <v>5</v>
      </c>
      <c r="H424" s="56">
        <v>3.9</v>
      </c>
      <c r="I424" s="56">
        <v>3.65</v>
      </c>
      <c r="J424" s="56">
        <v>3.95</v>
      </c>
      <c r="K424" s="56">
        <v>3.65</v>
      </c>
      <c r="L424" s="56">
        <v>4.5</v>
      </c>
      <c r="M424" s="56"/>
      <c r="N424" s="58">
        <f t="shared" si="39"/>
        <v>24.65</v>
      </c>
      <c r="O424" s="58">
        <f t="shared" si="40"/>
        <v>144.7339590213715</v>
      </c>
      <c r="P424" s="39">
        <v>8</v>
      </c>
      <c r="Q424" s="39">
        <v>10</v>
      </c>
      <c r="R424" s="39">
        <v>9</v>
      </c>
      <c r="S424" s="39">
        <v>9</v>
      </c>
      <c r="T424" s="39">
        <v>9</v>
      </c>
      <c r="U424" s="39">
        <v>9</v>
      </c>
      <c r="V424" s="39">
        <v>9</v>
      </c>
      <c r="W424" s="40" t="str">
        <f t="shared" si="42"/>
        <v>N</v>
      </c>
      <c r="X424" s="84">
        <f t="shared" si="43"/>
        <v>0</v>
      </c>
      <c r="Y424" s="84" t="str">
        <f t="shared" si="41"/>
        <v>0-4.9%</v>
      </c>
      <c r="Z424" s="85" t="s">
        <v>224</v>
      </c>
      <c r="AA424" s="59"/>
      <c r="AB424" s="59"/>
      <c r="AC424" s="59"/>
      <c r="AD424" s="59"/>
    </row>
    <row r="425" spans="1:30" x14ac:dyDescent="0.25">
      <c r="A425" s="71" t="s">
        <v>362</v>
      </c>
      <c r="B425" s="72"/>
      <c r="C425" s="73" t="s">
        <v>757</v>
      </c>
      <c r="D425" s="57">
        <f t="shared" si="38"/>
        <v>10</v>
      </c>
      <c r="E425" s="73"/>
      <c r="F425" s="73" t="s">
        <v>227</v>
      </c>
      <c r="G425" s="73">
        <v>5.6</v>
      </c>
      <c r="H425" s="73">
        <v>4.6500000000000004</v>
      </c>
      <c r="I425" s="73">
        <v>3.45</v>
      </c>
      <c r="J425" s="73">
        <v>3.1</v>
      </c>
      <c r="K425" s="73">
        <v>2.9</v>
      </c>
      <c r="L425" s="73"/>
      <c r="M425" s="73"/>
      <c r="N425" s="58">
        <f t="shared" si="39"/>
        <v>19.7</v>
      </c>
      <c r="O425" s="58">
        <f t="shared" si="40"/>
        <v>52.78278524138954</v>
      </c>
      <c r="P425" s="39">
        <v>8</v>
      </c>
      <c r="Q425" s="39">
        <v>10</v>
      </c>
      <c r="R425" s="39">
        <v>9</v>
      </c>
      <c r="S425" s="39">
        <v>9</v>
      </c>
      <c r="T425" s="39">
        <v>9</v>
      </c>
      <c r="U425" s="39">
        <v>9</v>
      </c>
      <c r="V425" s="39">
        <v>9</v>
      </c>
      <c r="W425" s="40" t="str">
        <f t="shared" si="42"/>
        <v>N</v>
      </c>
      <c r="X425" s="84">
        <f t="shared" si="43"/>
        <v>0</v>
      </c>
      <c r="Y425" s="84" t="str">
        <f t="shared" si="41"/>
        <v>0-4.9%</v>
      </c>
      <c r="Z425" s="92" t="s">
        <v>224</v>
      </c>
      <c r="AA425" s="59"/>
      <c r="AB425" s="59"/>
      <c r="AC425" s="59"/>
      <c r="AD425" s="59"/>
    </row>
    <row r="426" spans="1:30" x14ac:dyDescent="0.25">
      <c r="A426" s="54" t="s">
        <v>764</v>
      </c>
      <c r="B426" s="55"/>
      <c r="C426" s="56" t="s">
        <v>765</v>
      </c>
      <c r="D426" s="57">
        <f t="shared" si="38"/>
        <v>10</v>
      </c>
      <c r="E426" s="56"/>
      <c r="F426" s="56" t="s">
        <v>193</v>
      </c>
      <c r="G426" s="56">
        <v>5.6</v>
      </c>
      <c r="H426" s="56">
        <v>1.1499999999999999</v>
      </c>
      <c r="I426" s="56">
        <v>3.5</v>
      </c>
      <c r="J426" s="56">
        <v>2.15</v>
      </c>
      <c r="K426" s="56">
        <v>2.6</v>
      </c>
      <c r="L426" s="56">
        <v>3.7</v>
      </c>
      <c r="M426" s="56"/>
      <c r="N426" s="58">
        <f t="shared" si="39"/>
        <v>18.7</v>
      </c>
      <c r="O426" s="58">
        <f t="shared" si="40"/>
        <v>41.752406776655548</v>
      </c>
      <c r="P426" s="39">
        <v>8</v>
      </c>
      <c r="Q426" s="39">
        <v>10</v>
      </c>
      <c r="R426" s="39">
        <v>9</v>
      </c>
      <c r="S426" s="39">
        <v>9</v>
      </c>
      <c r="T426" s="39">
        <v>9</v>
      </c>
      <c r="U426" s="39">
        <v>9</v>
      </c>
      <c r="V426" s="39">
        <v>9</v>
      </c>
      <c r="W426" s="40" t="str">
        <f t="shared" si="42"/>
        <v>N</v>
      </c>
      <c r="X426" s="84">
        <f t="shared" si="43"/>
        <v>0</v>
      </c>
      <c r="Y426" s="84" t="str">
        <f t="shared" si="41"/>
        <v>0-4.9%</v>
      </c>
      <c r="Z426" s="85" t="s">
        <v>224</v>
      </c>
      <c r="AA426" s="59"/>
      <c r="AB426" s="59"/>
      <c r="AC426" s="59"/>
      <c r="AD426" s="59"/>
    </row>
    <row r="427" spans="1:30" x14ac:dyDescent="0.25">
      <c r="A427" s="54" t="s">
        <v>766</v>
      </c>
      <c r="B427" s="55"/>
      <c r="C427" s="56" t="s">
        <v>767</v>
      </c>
      <c r="D427" s="57">
        <f t="shared" si="38"/>
        <v>10</v>
      </c>
      <c r="E427" s="56"/>
      <c r="F427" s="56" t="s">
        <v>768</v>
      </c>
      <c r="G427" s="56">
        <v>5.35</v>
      </c>
      <c r="H427" s="56">
        <v>1.9</v>
      </c>
      <c r="I427" s="56">
        <v>3.9</v>
      </c>
      <c r="J427" s="56">
        <v>2.4</v>
      </c>
      <c r="K427" s="56">
        <v>2.7</v>
      </c>
      <c r="L427" s="56">
        <v>2.7</v>
      </c>
      <c r="M427" s="56"/>
      <c r="N427" s="58">
        <f t="shared" si="39"/>
        <v>18.95</v>
      </c>
      <c r="O427" s="58">
        <f t="shared" si="40"/>
        <v>44.323673794813423</v>
      </c>
      <c r="P427" s="39">
        <v>8</v>
      </c>
      <c r="Q427" s="39">
        <v>10</v>
      </c>
      <c r="R427" s="39">
        <v>9</v>
      </c>
      <c r="S427" s="39">
        <v>9</v>
      </c>
      <c r="T427" s="39">
        <v>9</v>
      </c>
      <c r="U427" s="39">
        <v>9</v>
      </c>
      <c r="V427" s="39">
        <v>9</v>
      </c>
      <c r="W427" s="40" t="str">
        <f t="shared" si="42"/>
        <v>N</v>
      </c>
      <c r="X427" s="84">
        <f t="shared" si="43"/>
        <v>0</v>
      </c>
      <c r="Y427" s="84" t="str">
        <f t="shared" si="41"/>
        <v>0-4.9%</v>
      </c>
      <c r="Z427" s="85" t="s">
        <v>224</v>
      </c>
      <c r="AA427" s="59"/>
      <c r="AB427" s="59"/>
      <c r="AC427" s="59"/>
      <c r="AD427" s="59"/>
    </row>
    <row r="428" spans="1:30" x14ac:dyDescent="0.25">
      <c r="A428" s="54">
        <v>167</v>
      </c>
      <c r="B428" s="55"/>
      <c r="C428" s="56" t="s">
        <v>372</v>
      </c>
      <c r="D428" s="57">
        <f t="shared" si="38"/>
        <v>10</v>
      </c>
      <c r="E428" s="56"/>
      <c r="F428" s="56" t="s">
        <v>198</v>
      </c>
      <c r="G428" s="56">
        <v>7.95</v>
      </c>
      <c r="H428" s="56">
        <v>7.55</v>
      </c>
      <c r="I428" s="56">
        <v>7.3</v>
      </c>
      <c r="J428" s="56">
        <v>6.85</v>
      </c>
      <c r="K428" s="56">
        <v>6.85</v>
      </c>
      <c r="L428" s="56">
        <v>9.15</v>
      </c>
      <c r="M428" s="56">
        <v>7</v>
      </c>
      <c r="N428" s="58">
        <f t="shared" si="39"/>
        <v>52.65</v>
      </c>
      <c r="O428" s="58">
        <f t="shared" si="40"/>
        <v>4402.3744110024718</v>
      </c>
      <c r="P428" s="39">
        <v>8</v>
      </c>
      <c r="Q428" s="39">
        <v>10</v>
      </c>
      <c r="R428" s="39">
        <v>9</v>
      </c>
      <c r="S428" s="39">
        <v>9</v>
      </c>
      <c r="T428" s="39">
        <v>9</v>
      </c>
      <c r="U428" s="39">
        <v>9</v>
      </c>
      <c r="V428" s="39">
        <v>9</v>
      </c>
      <c r="W428" s="40" t="str">
        <f t="shared" si="42"/>
        <v>Y</v>
      </c>
      <c r="X428" s="84">
        <f t="shared" si="43"/>
        <v>1.5000000000000036E-2</v>
      </c>
      <c r="Y428" s="84" t="str">
        <f t="shared" si="41"/>
        <v>0-4.9%</v>
      </c>
      <c r="Z428" s="85" t="s">
        <v>782</v>
      </c>
      <c r="AA428" s="59"/>
      <c r="AB428" s="59"/>
      <c r="AC428" s="59"/>
      <c r="AD428" s="59"/>
    </row>
    <row r="429" spans="1:30" x14ac:dyDescent="0.25">
      <c r="A429" s="54">
        <v>168</v>
      </c>
      <c r="B429" s="55"/>
      <c r="C429" s="56" t="s">
        <v>772</v>
      </c>
      <c r="D429" s="57">
        <f t="shared" si="38"/>
        <v>10</v>
      </c>
      <c r="E429" s="56"/>
      <c r="F429" s="56" t="s">
        <v>227</v>
      </c>
      <c r="G429" s="56">
        <v>5.0999999999999996</v>
      </c>
      <c r="H429" s="56">
        <v>4.8</v>
      </c>
      <c r="I429" s="56">
        <v>3.1</v>
      </c>
      <c r="J429" s="56">
        <v>3</v>
      </c>
      <c r="K429" s="56">
        <v>3.1</v>
      </c>
      <c r="L429" s="56"/>
      <c r="M429" s="56"/>
      <c r="N429" s="58">
        <f t="shared" si="39"/>
        <v>19.099999999999998</v>
      </c>
      <c r="O429" s="58">
        <f t="shared" si="40"/>
        <v>45.924500166196722</v>
      </c>
      <c r="P429" s="39">
        <v>8</v>
      </c>
      <c r="Q429" s="39">
        <v>10</v>
      </c>
      <c r="R429" s="39">
        <v>9</v>
      </c>
      <c r="S429" s="39">
        <v>9</v>
      </c>
      <c r="T429" s="39">
        <v>9</v>
      </c>
      <c r="U429" s="39">
        <v>9</v>
      </c>
      <c r="V429" s="39">
        <v>9</v>
      </c>
      <c r="W429" s="40" t="str">
        <f t="shared" si="42"/>
        <v>N</v>
      </c>
      <c r="X429" s="84">
        <f t="shared" si="43"/>
        <v>0</v>
      </c>
      <c r="Y429" s="84" t="str">
        <f t="shared" si="41"/>
        <v>0-4.9%</v>
      </c>
      <c r="Z429" s="85" t="s">
        <v>224</v>
      </c>
      <c r="AA429" s="59"/>
      <c r="AB429" s="59"/>
      <c r="AC429" s="59"/>
      <c r="AD429" s="59"/>
    </row>
    <row r="430" spans="1:30" ht="15.75" thickBot="1" x14ac:dyDescent="0.3">
      <c r="A430" s="65">
        <v>169</v>
      </c>
      <c r="B430" s="66"/>
      <c r="C430" s="67" t="s">
        <v>773</v>
      </c>
      <c r="D430" s="57">
        <f t="shared" si="38"/>
        <v>10</v>
      </c>
      <c r="E430" s="67"/>
      <c r="F430" s="67" t="s">
        <v>190</v>
      </c>
      <c r="G430" s="67">
        <v>4.75</v>
      </c>
      <c r="H430" s="67">
        <v>4.5</v>
      </c>
      <c r="I430" s="67">
        <v>7.15</v>
      </c>
      <c r="J430" s="67">
        <v>6.55</v>
      </c>
      <c r="K430" s="67">
        <v>5.8</v>
      </c>
      <c r="L430" s="67">
        <v>6.35</v>
      </c>
      <c r="M430" s="67"/>
      <c r="N430" s="58">
        <f t="shared" si="39"/>
        <v>35.1</v>
      </c>
      <c r="O430" s="58">
        <f t="shared" si="40"/>
        <v>710.02936386118074</v>
      </c>
      <c r="P430" s="39">
        <v>8</v>
      </c>
      <c r="Q430" s="39">
        <v>10</v>
      </c>
      <c r="R430" s="39">
        <v>9</v>
      </c>
      <c r="S430" s="39">
        <v>9</v>
      </c>
      <c r="T430" s="39">
        <v>9</v>
      </c>
      <c r="U430" s="39">
        <v>9</v>
      </c>
      <c r="V430" s="39">
        <v>9</v>
      </c>
      <c r="W430" s="40" t="str">
        <f t="shared" si="42"/>
        <v>N</v>
      </c>
      <c r="X430" s="84">
        <f t="shared" si="43"/>
        <v>0</v>
      </c>
      <c r="Y430" s="84" t="str">
        <f t="shared" si="41"/>
        <v>0-4.9%</v>
      </c>
      <c r="Z430" s="88" t="s">
        <v>794</v>
      </c>
      <c r="AA430" s="59"/>
      <c r="AB430" s="59"/>
      <c r="AC430" s="59"/>
      <c r="AD430" s="59"/>
    </row>
  </sheetData>
  <sortState xmlns:xlrd2="http://schemas.microsoft.com/office/spreadsheetml/2017/richdata2" ref="A8:Z430">
    <sortCondition ref="D8:D430"/>
  </sortState>
  <mergeCells count="21">
    <mergeCell ref="A1:Z1"/>
    <mergeCell ref="A2:Z2"/>
    <mergeCell ref="A3:Z3"/>
    <mergeCell ref="A4:F4"/>
    <mergeCell ref="G4:I4"/>
    <mergeCell ref="J4:L4"/>
    <mergeCell ref="N4:Z4"/>
    <mergeCell ref="A5:Z5"/>
    <mergeCell ref="A6:A7"/>
    <mergeCell ref="C6:C7"/>
    <mergeCell ref="F6:F7"/>
    <mergeCell ref="G6:M6"/>
    <mergeCell ref="N6:N7"/>
    <mergeCell ref="Z6:Z7"/>
    <mergeCell ref="D6:D7"/>
    <mergeCell ref="E6:E7"/>
    <mergeCell ref="O6:O7"/>
    <mergeCell ref="W6:W7"/>
    <mergeCell ref="X6:X7"/>
    <mergeCell ref="Y6:Y7"/>
    <mergeCell ref="P6:V6"/>
  </mergeCells>
  <pageMargins left="0.7" right="0.7" top="0.75" bottom="0.75" header="0.3" footer="0.3"/>
  <pageSetup scale="2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81"/>
  <sheetViews>
    <sheetView view="pageBreakPreview" zoomScale="55" zoomScaleNormal="100" zoomScaleSheetLayoutView="5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4" sqref="P4:Y6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12" width="9.5703125" bestFit="1" customWidth="1"/>
    <col min="13" max="13" width="8.85546875" customWidth="1"/>
    <col min="14" max="14" width="13.140625" customWidth="1"/>
    <col min="15" max="25" width="13.28515625" customWidth="1"/>
    <col min="26" max="26" width="24.7109375" customWidth="1"/>
  </cols>
  <sheetData>
    <row r="1" spans="1:26" x14ac:dyDescent="0.2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52"/>
      <c r="Q1" s="52"/>
      <c r="R1" s="52"/>
      <c r="S1" s="52"/>
      <c r="T1" s="52"/>
      <c r="U1" s="52"/>
      <c r="V1" s="52"/>
      <c r="W1" s="24"/>
      <c r="X1" s="24"/>
      <c r="Y1" s="24"/>
    </row>
    <row r="2" spans="1:26" x14ac:dyDescent="0.25">
      <c r="A2" s="2" t="s">
        <v>1</v>
      </c>
      <c r="B2" s="2"/>
      <c r="C2" s="2"/>
      <c r="D2" s="2" t="s">
        <v>2</v>
      </c>
      <c r="E2" s="18" t="s">
        <v>29</v>
      </c>
      <c r="F2" s="14"/>
      <c r="G2" s="2"/>
      <c r="H2" s="3"/>
      <c r="I2" s="2"/>
      <c r="J2" s="2"/>
      <c r="K2" s="2"/>
      <c r="L2" s="2"/>
      <c r="M2" s="3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5.75" thickBot="1" x14ac:dyDescent="0.3">
      <c r="A3" s="119">
        <v>43772</v>
      </c>
      <c r="B3" s="119"/>
      <c r="C3" s="2"/>
      <c r="D3" s="6"/>
      <c r="E3" s="18"/>
      <c r="F3" s="14"/>
      <c r="G3" s="2"/>
      <c r="H3" s="22" t="s">
        <v>28</v>
      </c>
      <c r="I3" s="2"/>
      <c r="J3" s="2"/>
      <c r="K3" s="2"/>
      <c r="L3" s="2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s="1" customFormat="1" ht="14.45" customHeight="1" x14ac:dyDescent="0.25">
      <c r="A4" s="112" t="s">
        <v>3</v>
      </c>
      <c r="B4" s="114" t="s">
        <v>4</v>
      </c>
      <c r="C4" s="111" t="s">
        <v>5</v>
      </c>
      <c r="D4" s="111" t="s">
        <v>16</v>
      </c>
      <c r="E4" s="117" t="s">
        <v>6</v>
      </c>
      <c r="F4" s="117" t="s">
        <v>7</v>
      </c>
      <c r="G4" s="7" t="s">
        <v>17</v>
      </c>
      <c r="H4" s="111"/>
      <c r="I4" s="111"/>
      <c r="J4" s="111"/>
      <c r="K4" s="111"/>
      <c r="L4" s="111"/>
      <c r="M4" s="111"/>
      <c r="N4" s="111" t="s">
        <v>15</v>
      </c>
      <c r="O4" s="111" t="s">
        <v>18</v>
      </c>
      <c r="P4" s="136" t="s">
        <v>813</v>
      </c>
      <c r="Q4" s="137"/>
      <c r="R4" s="137"/>
      <c r="S4" s="137"/>
      <c r="T4" s="137"/>
      <c r="U4" s="137"/>
      <c r="V4" s="138"/>
      <c r="W4" s="134" t="s">
        <v>774</v>
      </c>
      <c r="X4" s="134" t="s">
        <v>775</v>
      </c>
      <c r="Y4" s="134" t="s">
        <v>814</v>
      </c>
      <c r="Z4" s="108" t="s">
        <v>19</v>
      </c>
    </row>
    <row r="5" spans="1:26" ht="13.9" customHeight="1" thickBot="1" x14ac:dyDescent="0.3">
      <c r="A5" s="113"/>
      <c r="B5" s="115"/>
      <c r="C5" s="116"/>
      <c r="D5" s="116"/>
      <c r="E5" s="118"/>
      <c r="F5" s="118"/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  <c r="L5" s="20" t="s">
        <v>13</v>
      </c>
      <c r="M5" s="20" t="s">
        <v>14</v>
      </c>
      <c r="N5" s="116"/>
      <c r="O5" s="116"/>
      <c r="P5" s="83" t="s">
        <v>8</v>
      </c>
      <c r="Q5" s="53" t="s">
        <v>9</v>
      </c>
      <c r="R5" s="83" t="s">
        <v>10</v>
      </c>
      <c r="S5" s="53" t="s">
        <v>11</v>
      </c>
      <c r="T5" s="83" t="s">
        <v>12</v>
      </c>
      <c r="U5" s="53" t="s">
        <v>13</v>
      </c>
      <c r="V5" s="83" t="s">
        <v>14</v>
      </c>
      <c r="W5" s="135"/>
      <c r="X5" s="135"/>
      <c r="Y5" s="135"/>
      <c r="Z5" s="109"/>
    </row>
    <row r="6" spans="1:26" ht="24" customHeight="1" x14ac:dyDescent="0.25">
      <c r="A6" s="10">
        <v>5</v>
      </c>
      <c r="B6" s="9">
        <v>0.44097222222222227</v>
      </c>
      <c r="C6" s="5" t="s">
        <v>35</v>
      </c>
      <c r="D6" s="5">
        <f t="shared" ref="D6:D37" si="0">IF(COUNT(G6:M6)&gt;3,10,IF(COUNT(G6:M6)&gt;2,9,7))</f>
        <v>7</v>
      </c>
      <c r="E6" s="15" t="s">
        <v>56</v>
      </c>
      <c r="F6" s="15" t="s">
        <v>21</v>
      </c>
      <c r="G6" s="13">
        <v>3.4</v>
      </c>
      <c r="H6" s="13">
        <v>8.5500000000000007</v>
      </c>
      <c r="I6" s="13"/>
      <c r="J6" s="13"/>
      <c r="K6" s="13"/>
      <c r="L6" s="13"/>
      <c r="M6" s="13"/>
      <c r="N6" s="17">
        <f t="shared" ref="N6:N37" si="1">SUM(G6:M6)</f>
        <v>11.950000000000001</v>
      </c>
      <c r="O6" s="38">
        <f t="shared" ref="O6:O37" si="2">(N6/8.16)^4.5</f>
        <v>5.5660853229982497</v>
      </c>
      <c r="P6" s="39">
        <v>8</v>
      </c>
      <c r="Q6" s="39">
        <v>10</v>
      </c>
      <c r="R6" s="39">
        <v>9</v>
      </c>
      <c r="S6" s="39">
        <v>9</v>
      </c>
      <c r="T6" s="39">
        <v>9</v>
      </c>
      <c r="U6" s="39">
        <v>9</v>
      </c>
      <c r="V6" s="39">
        <v>9</v>
      </c>
      <c r="W6" s="40" t="str">
        <f t="shared" ref="W6" si="3">IF(G6&gt;P6,"Y",IF(H6&gt;Q6,"Y",IF(I6&gt;R6,"Y",IF(J6&gt;S6,"Y",IF(K6&gt;T6,"Y",IF(L6&gt;U6,"Y",IF(M6&gt;V6,"Y","N")))))))</f>
        <v>N</v>
      </c>
      <c r="X6" s="84">
        <f t="shared" ref="X6" si="4">IF(W6="Y",MAX((G6-P6),(H6-Q6),(I6-R6),(J6-S6),(K6-T6),(L6-U6),(M6-V6))/10,0)</f>
        <v>0</v>
      </c>
      <c r="Y6" s="84" t="str">
        <f t="shared" ref="Y6:Y69" si="5">IF(X6&lt;5%,"0-4.9%",IF(X6&lt;25%,"5-25%",IF(X6&lt;50%,"25-50%","Over 50%")))</f>
        <v>0-4.9%</v>
      </c>
      <c r="Z6" s="8" t="s">
        <v>794</v>
      </c>
    </row>
    <row r="7" spans="1:26" ht="24" customHeight="1" x14ac:dyDescent="0.25">
      <c r="A7" s="10">
        <v>10</v>
      </c>
      <c r="B7" s="9">
        <v>0.52083333333333337</v>
      </c>
      <c r="C7" s="5" t="s">
        <v>40</v>
      </c>
      <c r="D7" s="5">
        <f t="shared" si="0"/>
        <v>7</v>
      </c>
      <c r="E7" s="15" t="s">
        <v>56</v>
      </c>
      <c r="F7" s="15" t="s">
        <v>21</v>
      </c>
      <c r="G7" s="13">
        <v>3.9</v>
      </c>
      <c r="H7" s="13">
        <v>9.1999999999999993</v>
      </c>
      <c r="I7" s="13"/>
      <c r="J7" s="13"/>
      <c r="K7" s="13"/>
      <c r="L7" s="13"/>
      <c r="M7" s="13"/>
      <c r="N7" s="17">
        <f t="shared" si="1"/>
        <v>13.1</v>
      </c>
      <c r="O7" s="38">
        <f t="shared" si="2"/>
        <v>8.4161819520537975</v>
      </c>
      <c r="P7" s="39">
        <v>8</v>
      </c>
      <c r="Q7" s="39">
        <v>10</v>
      </c>
      <c r="R7" s="39">
        <v>9</v>
      </c>
      <c r="S7" s="39">
        <v>9</v>
      </c>
      <c r="T7" s="39">
        <v>9</v>
      </c>
      <c r="U7" s="39">
        <v>9</v>
      </c>
      <c r="V7" s="39">
        <v>9</v>
      </c>
      <c r="W7" s="40" t="str">
        <f t="shared" ref="W7:W70" si="6">IF(G7&gt;P7,"Y",IF(H7&gt;Q7,"Y",IF(I7&gt;R7,"Y",IF(J7&gt;S7,"Y",IF(K7&gt;T7,"Y",IF(L7&gt;U7,"Y",IF(M7&gt;V7,"Y","N")))))))</f>
        <v>N</v>
      </c>
      <c r="X7" s="84">
        <f t="shared" ref="X7:X70" si="7">IF(W7="Y",MAX((G7-P7),(H7-Q7),(I7-R7),(J7-S7),(K7-T7),(L7-U7),(M7-V7))/10,0)</f>
        <v>0</v>
      </c>
      <c r="Y7" s="84" t="str">
        <f t="shared" si="5"/>
        <v>0-4.9%</v>
      </c>
      <c r="Z7" s="8" t="s">
        <v>791</v>
      </c>
    </row>
    <row r="8" spans="1:26" ht="24" customHeight="1" x14ac:dyDescent="0.25">
      <c r="A8" s="10">
        <v>13</v>
      </c>
      <c r="B8" s="9">
        <v>0.54652777777777783</v>
      </c>
      <c r="C8" s="5" t="s">
        <v>43</v>
      </c>
      <c r="D8" s="5">
        <f t="shared" si="0"/>
        <v>7</v>
      </c>
      <c r="E8" s="15" t="s">
        <v>56</v>
      </c>
      <c r="F8" s="15" t="s">
        <v>21</v>
      </c>
      <c r="G8" s="13">
        <v>3.25</v>
      </c>
      <c r="H8" s="13">
        <v>12.85</v>
      </c>
      <c r="I8" s="13"/>
      <c r="J8" s="13"/>
      <c r="K8" s="13"/>
      <c r="L8" s="13"/>
      <c r="M8" s="13"/>
      <c r="N8" s="17">
        <f t="shared" si="1"/>
        <v>16.100000000000001</v>
      </c>
      <c r="O8" s="38">
        <f t="shared" si="2"/>
        <v>21.28681705635443</v>
      </c>
      <c r="P8" s="39">
        <v>8</v>
      </c>
      <c r="Q8" s="39">
        <v>10</v>
      </c>
      <c r="R8" s="39">
        <v>9</v>
      </c>
      <c r="S8" s="39">
        <v>9</v>
      </c>
      <c r="T8" s="39">
        <v>9</v>
      </c>
      <c r="U8" s="39">
        <v>9</v>
      </c>
      <c r="V8" s="39">
        <v>9</v>
      </c>
      <c r="W8" s="40" t="str">
        <f t="shared" si="6"/>
        <v>Y</v>
      </c>
      <c r="X8" s="84">
        <f t="shared" si="7"/>
        <v>0.28499999999999998</v>
      </c>
      <c r="Y8" s="84" t="str">
        <f t="shared" si="5"/>
        <v>25-50%</v>
      </c>
      <c r="Z8" s="8" t="s">
        <v>782</v>
      </c>
    </row>
    <row r="9" spans="1:26" ht="24" customHeight="1" x14ac:dyDescent="0.25">
      <c r="A9" s="10">
        <v>15</v>
      </c>
      <c r="B9" s="9">
        <v>0.55555555555555558</v>
      </c>
      <c r="C9" s="5" t="s">
        <v>45</v>
      </c>
      <c r="D9" s="5">
        <f t="shared" si="0"/>
        <v>7</v>
      </c>
      <c r="E9" s="15" t="s">
        <v>56</v>
      </c>
      <c r="F9" s="15" t="s">
        <v>21</v>
      </c>
      <c r="G9" s="13">
        <v>3.85</v>
      </c>
      <c r="H9" s="13">
        <v>9.1</v>
      </c>
      <c r="I9" s="13"/>
      <c r="J9" s="13"/>
      <c r="K9" s="13"/>
      <c r="L9" s="13"/>
      <c r="M9" s="13"/>
      <c r="N9" s="17">
        <f t="shared" si="1"/>
        <v>12.95</v>
      </c>
      <c r="O9" s="38">
        <f t="shared" si="2"/>
        <v>7.9911308766354159</v>
      </c>
      <c r="P9" s="39">
        <v>8</v>
      </c>
      <c r="Q9" s="39">
        <v>10</v>
      </c>
      <c r="R9" s="39">
        <v>9</v>
      </c>
      <c r="S9" s="39">
        <v>9</v>
      </c>
      <c r="T9" s="39">
        <v>9</v>
      </c>
      <c r="U9" s="39">
        <v>9</v>
      </c>
      <c r="V9" s="39">
        <v>9</v>
      </c>
      <c r="W9" s="40" t="str">
        <f t="shared" si="6"/>
        <v>N</v>
      </c>
      <c r="X9" s="84">
        <f t="shared" si="7"/>
        <v>0</v>
      </c>
      <c r="Y9" s="84" t="str">
        <f t="shared" si="5"/>
        <v>0-4.9%</v>
      </c>
      <c r="Z9" s="8" t="s">
        <v>812</v>
      </c>
    </row>
    <row r="10" spans="1:26" ht="24" customHeight="1" x14ac:dyDescent="0.25">
      <c r="A10" s="10">
        <v>19</v>
      </c>
      <c r="B10" s="9">
        <v>0.63888888888888895</v>
      </c>
      <c r="C10" s="5" t="s">
        <v>49</v>
      </c>
      <c r="D10" s="5">
        <f t="shared" si="0"/>
        <v>7</v>
      </c>
      <c r="E10" s="15" t="s">
        <v>56</v>
      </c>
      <c r="F10" s="15" t="s">
        <v>21</v>
      </c>
      <c r="G10" s="13">
        <v>3.7</v>
      </c>
      <c r="H10" s="13">
        <v>9.75</v>
      </c>
      <c r="I10" s="13"/>
      <c r="J10" s="13"/>
      <c r="K10" s="13"/>
      <c r="L10" s="13"/>
      <c r="M10" s="13"/>
      <c r="N10" s="17">
        <f t="shared" si="1"/>
        <v>13.45</v>
      </c>
      <c r="O10" s="38">
        <f t="shared" si="2"/>
        <v>9.4764257712360642</v>
      </c>
      <c r="P10" s="39">
        <v>8</v>
      </c>
      <c r="Q10" s="39">
        <v>10</v>
      </c>
      <c r="R10" s="39">
        <v>9</v>
      </c>
      <c r="S10" s="39">
        <v>9</v>
      </c>
      <c r="T10" s="39">
        <v>9</v>
      </c>
      <c r="U10" s="39">
        <v>9</v>
      </c>
      <c r="V10" s="39">
        <v>9</v>
      </c>
      <c r="W10" s="40" t="str">
        <f t="shared" si="6"/>
        <v>N</v>
      </c>
      <c r="X10" s="84">
        <f t="shared" si="7"/>
        <v>0</v>
      </c>
      <c r="Y10" s="84" t="str">
        <f t="shared" si="5"/>
        <v>0-4.9%</v>
      </c>
      <c r="Z10" s="8" t="s">
        <v>782</v>
      </c>
    </row>
    <row r="11" spans="1:26" ht="24" customHeight="1" x14ac:dyDescent="0.25">
      <c r="A11" s="10">
        <v>5</v>
      </c>
      <c r="B11" s="9">
        <v>0.38611111111111113</v>
      </c>
      <c r="C11" s="5" t="s">
        <v>86</v>
      </c>
      <c r="D11" s="5">
        <f t="shared" si="0"/>
        <v>7</v>
      </c>
      <c r="E11" s="15" t="s">
        <v>56</v>
      </c>
      <c r="F11" s="15" t="s">
        <v>21</v>
      </c>
      <c r="G11" s="13">
        <v>3.3</v>
      </c>
      <c r="H11" s="13">
        <v>12.65</v>
      </c>
      <c r="I11" s="13"/>
      <c r="J11" s="13"/>
      <c r="K11" s="13"/>
      <c r="L11" s="13"/>
      <c r="M11" s="13"/>
      <c r="N11" s="17">
        <f t="shared" si="1"/>
        <v>15.95</v>
      </c>
      <c r="O11" s="38">
        <f t="shared" si="2"/>
        <v>20.408795729703339</v>
      </c>
      <c r="P11" s="39">
        <v>8</v>
      </c>
      <c r="Q11" s="39">
        <v>10</v>
      </c>
      <c r="R11" s="39">
        <v>9</v>
      </c>
      <c r="S11" s="39">
        <v>9</v>
      </c>
      <c r="T11" s="39">
        <v>9</v>
      </c>
      <c r="U11" s="39">
        <v>9</v>
      </c>
      <c r="V11" s="39">
        <v>9</v>
      </c>
      <c r="W11" s="40" t="str">
        <f t="shared" si="6"/>
        <v>Y</v>
      </c>
      <c r="X11" s="84">
        <f t="shared" si="7"/>
        <v>0.26500000000000001</v>
      </c>
      <c r="Y11" s="84" t="str">
        <f t="shared" si="5"/>
        <v>25-50%</v>
      </c>
      <c r="Z11" s="8" t="s">
        <v>782</v>
      </c>
    </row>
    <row r="12" spans="1:26" ht="24" customHeight="1" x14ac:dyDescent="0.25">
      <c r="A12" s="10">
        <v>13</v>
      </c>
      <c r="B12" s="9">
        <v>0.55694444444444446</v>
      </c>
      <c r="C12" s="5" t="s">
        <v>78</v>
      </c>
      <c r="D12" s="5">
        <f t="shared" si="0"/>
        <v>7</v>
      </c>
      <c r="E12" s="15" t="s">
        <v>56</v>
      </c>
      <c r="F12" s="15" t="s">
        <v>21</v>
      </c>
      <c r="G12" s="13">
        <v>3.6</v>
      </c>
      <c r="H12" s="13">
        <v>12.1</v>
      </c>
      <c r="I12" s="13"/>
      <c r="J12" s="13"/>
      <c r="K12" s="13"/>
      <c r="L12" s="13"/>
      <c r="M12" s="13"/>
      <c r="N12" s="17">
        <f t="shared" si="1"/>
        <v>15.7</v>
      </c>
      <c r="O12" s="38">
        <f t="shared" si="2"/>
        <v>19.008275656430591</v>
      </c>
      <c r="P12" s="39">
        <v>8</v>
      </c>
      <c r="Q12" s="39">
        <v>10</v>
      </c>
      <c r="R12" s="39">
        <v>9</v>
      </c>
      <c r="S12" s="39">
        <v>9</v>
      </c>
      <c r="T12" s="39">
        <v>9</v>
      </c>
      <c r="U12" s="39">
        <v>9</v>
      </c>
      <c r="V12" s="39">
        <v>9</v>
      </c>
      <c r="W12" s="40" t="str">
        <f t="shared" si="6"/>
        <v>Y</v>
      </c>
      <c r="X12" s="84">
        <f t="shared" si="7"/>
        <v>0.20999999999999996</v>
      </c>
      <c r="Y12" s="84" t="str">
        <f t="shared" si="5"/>
        <v>5-25%</v>
      </c>
      <c r="Z12" s="8" t="s">
        <v>782</v>
      </c>
    </row>
    <row r="13" spans="1:26" ht="24" customHeight="1" x14ac:dyDescent="0.25">
      <c r="A13" s="10">
        <v>14</v>
      </c>
      <c r="B13" s="9">
        <v>0.56944444444444442</v>
      </c>
      <c r="C13" s="5" t="s">
        <v>77</v>
      </c>
      <c r="D13" s="5">
        <f t="shared" si="0"/>
        <v>7</v>
      </c>
      <c r="E13" s="15" t="s">
        <v>56</v>
      </c>
      <c r="F13" s="15" t="s">
        <v>21</v>
      </c>
      <c r="G13" s="13">
        <v>4.1500000000000004</v>
      </c>
      <c r="H13" s="13">
        <v>9.4499999999999993</v>
      </c>
      <c r="I13" s="13"/>
      <c r="J13" s="13"/>
      <c r="K13" s="13"/>
      <c r="L13" s="13"/>
      <c r="M13" s="13"/>
      <c r="N13" s="17">
        <f t="shared" si="1"/>
        <v>13.6</v>
      </c>
      <c r="O13" s="38">
        <f t="shared" si="2"/>
        <v>9.9613769192577557</v>
      </c>
      <c r="P13" s="39">
        <v>8</v>
      </c>
      <c r="Q13" s="39">
        <v>10</v>
      </c>
      <c r="R13" s="39">
        <v>9</v>
      </c>
      <c r="S13" s="39">
        <v>9</v>
      </c>
      <c r="T13" s="39">
        <v>9</v>
      </c>
      <c r="U13" s="39">
        <v>9</v>
      </c>
      <c r="V13" s="39">
        <v>9</v>
      </c>
      <c r="W13" s="40" t="str">
        <f t="shared" si="6"/>
        <v>N</v>
      </c>
      <c r="X13" s="84">
        <f t="shared" si="7"/>
        <v>0</v>
      </c>
      <c r="Y13" s="84" t="str">
        <f t="shared" si="5"/>
        <v>0-4.9%</v>
      </c>
      <c r="Z13" s="8" t="s">
        <v>782</v>
      </c>
    </row>
    <row r="14" spans="1:26" ht="24" customHeight="1" x14ac:dyDescent="0.25">
      <c r="A14" s="10">
        <v>15</v>
      </c>
      <c r="B14" s="9">
        <v>0.57986111111111105</v>
      </c>
      <c r="C14" s="5" t="s">
        <v>76</v>
      </c>
      <c r="D14" s="5">
        <f t="shared" si="0"/>
        <v>7</v>
      </c>
      <c r="E14" s="15" t="s">
        <v>56</v>
      </c>
      <c r="F14" s="15" t="s">
        <v>21</v>
      </c>
      <c r="G14" s="13">
        <v>3.5</v>
      </c>
      <c r="H14" s="13">
        <v>7.15</v>
      </c>
      <c r="I14" s="13"/>
      <c r="J14" s="13"/>
      <c r="K14" s="13"/>
      <c r="L14" s="13"/>
      <c r="M14" s="13"/>
      <c r="N14" s="17">
        <f t="shared" si="1"/>
        <v>10.65</v>
      </c>
      <c r="O14" s="38">
        <f t="shared" si="2"/>
        <v>3.3148777804226737</v>
      </c>
      <c r="P14" s="39">
        <v>8</v>
      </c>
      <c r="Q14" s="39">
        <v>10</v>
      </c>
      <c r="R14" s="39">
        <v>9</v>
      </c>
      <c r="S14" s="39">
        <v>9</v>
      </c>
      <c r="T14" s="39">
        <v>9</v>
      </c>
      <c r="U14" s="39">
        <v>9</v>
      </c>
      <c r="V14" s="39">
        <v>9</v>
      </c>
      <c r="W14" s="40" t="str">
        <f t="shared" si="6"/>
        <v>N</v>
      </c>
      <c r="X14" s="84">
        <f t="shared" si="7"/>
        <v>0</v>
      </c>
      <c r="Y14" s="84" t="str">
        <f t="shared" si="5"/>
        <v>0-4.9%</v>
      </c>
      <c r="Z14" s="8" t="s">
        <v>794</v>
      </c>
    </row>
    <row r="15" spans="1:26" ht="24" customHeight="1" x14ac:dyDescent="0.25">
      <c r="A15" s="10">
        <v>16</v>
      </c>
      <c r="B15" s="9">
        <v>0.58402777777777781</v>
      </c>
      <c r="C15" s="5" t="s">
        <v>75</v>
      </c>
      <c r="D15" s="5">
        <f t="shared" si="0"/>
        <v>7</v>
      </c>
      <c r="E15" s="15" t="s">
        <v>56</v>
      </c>
      <c r="F15" s="15" t="s">
        <v>21</v>
      </c>
      <c r="G15" s="13">
        <v>5.6</v>
      </c>
      <c r="H15" s="13">
        <v>10.7</v>
      </c>
      <c r="I15" s="13"/>
      <c r="J15" s="13"/>
      <c r="K15" s="13"/>
      <c r="L15" s="13"/>
      <c r="M15" s="13"/>
      <c r="N15" s="17">
        <f t="shared" si="1"/>
        <v>16.299999999999997</v>
      </c>
      <c r="O15" s="38">
        <f t="shared" si="2"/>
        <v>22.50290078695679</v>
      </c>
      <c r="P15" s="39">
        <v>8</v>
      </c>
      <c r="Q15" s="39">
        <v>10</v>
      </c>
      <c r="R15" s="39">
        <v>9</v>
      </c>
      <c r="S15" s="39">
        <v>9</v>
      </c>
      <c r="T15" s="39">
        <v>9</v>
      </c>
      <c r="U15" s="39">
        <v>9</v>
      </c>
      <c r="V15" s="39">
        <v>9</v>
      </c>
      <c r="W15" s="40" t="str">
        <f t="shared" si="6"/>
        <v>Y</v>
      </c>
      <c r="X15" s="84">
        <f t="shared" si="7"/>
        <v>6.9999999999999923E-2</v>
      </c>
      <c r="Y15" s="84" t="str">
        <f t="shared" si="5"/>
        <v>5-25%</v>
      </c>
      <c r="Z15" s="8" t="s">
        <v>812</v>
      </c>
    </row>
    <row r="16" spans="1:26" ht="24" customHeight="1" x14ac:dyDescent="0.25">
      <c r="A16" s="10">
        <v>17</v>
      </c>
      <c r="B16" s="9">
        <v>0.58888888888888891</v>
      </c>
      <c r="C16" s="5" t="s">
        <v>74</v>
      </c>
      <c r="D16" s="5">
        <f t="shared" si="0"/>
        <v>7</v>
      </c>
      <c r="E16" s="15" t="s">
        <v>56</v>
      </c>
      <c r="F16" s="15" t="s">
        <v>21</v>
      </c>
      <c r="G16" s="13">
        <v>3.55</v>
      </c>
      <c r="H16" s="13">
        <v>10.1</v>
      </c>
      <c r="I16" s="13"/>
      <c r="J16" s="13"/>
      <c r="K16" s="13"/>
      <c r="L16" s="13"/>
      <c r="M16" s="13"/>
      <c r="N16" s="17">
        <f t="shared" si="1"/>
        <v>13.649999999999999</v>
      </c>
      <c r="O16" s="38">
        <f t="shared" si="2"/>
        <v>10.127242672128753</v>
      </c>
      <c r="P16" s="39">
        <v>8</v>
      </c>
      <c r="Q16" s="39">
        <v>10</v>
      </c>
      <c r="R16" s="39">
        <v>9</v>
      </c>
      <c r="S16" s="39">
        <v>9</v>
      </c>
      <c r="T16" s="39">
        <v>9</v>
      </c>
      <c r="U16" s="39">
        <v>9</v>
      </c>
      <c r="V16" s="39">
        <v>9</v>
      </c>
      <c r="W16" s="40" t="str">
        <f t="shared" si="6"/>
        <v>Y</v>
      </c>
      <c r="X16" s="84">
        <f t="shared" si="7"/>
        <v>9.9999999999999638E-3</v>
      </c>
      <c r="Y16" s="84" t="str">
        <f t="shared" si="5"/>
        <v>0-4.9%</v>
      </c>
      <c r="Z16" s="8" t="s">
        <v>782</v>
      </c>
    </row>
    <row r="17" spans="1:26" ht="24" customHeight="1" x14ac:dyDescent="0.25">
      <c r="A17" s="10">
        <v>18</v>
      </c>
      <c r="B17" s="9">
        <v>0.59236111111111112</v>
      </c>
      <c r="C17" s="5" t="s">
        <v>73</v>
      </c>
      <c r="D17" s="5">
        <f t="shared" si="0"/>
        <v>7</v>
      </c>
      <c r="E17" s="15" t="s">
        <v>56</v>
      </c>
      <c r="F17" s="23" t="s">
        <v>21</v>
      </c>
      <c r="G17" s="13">
        <v>3.2</v>
      </c>
      <c r="H17" s="13">
        <v>11</v>
      </c>
      <c r="I17" s="13"/>
      <c r="J17" s="13"/>
      <c r="K17" s="13"/>
      <c r="L17" s="13"/>
      <c r="M17" s="13"/>
      <c r="N17" s="17">
        <f t="shared" si="1"/>
        <v>14.2</v>
      </c>
      <c r="O17" s="38">
        <f t="shared" si="2"/>
        <v>12.097394276236571</v>
      </c>
      <c r="P17" s="39">
        <v>8</v>
      </c>
      <c r="Q17" s="39">
        <v>10</v>
      </c>
      <c r="R17" s="39">
        <v>9</v>
      </c>
      <c r="S17" s="39">
        <v>9</v>
      </c>
      <c r="T17" s="39">
        <v>9</v>
      </c>
      <c r="U17" s="39">
        <v>9</v>
      </c>
      <c r="V17" s="39">
        <v>9</v>
      </c>
      <c r="W17" s="40" t="str">
        <f t="shared" si="6"/>
        <v>Y</v>
      </c>
      <c r="X17" s="84">
        <f t="shared" si="7"/>
        <v>0.1</v>
      </c>
      <c r="Y17" s="84" t="str">
        <f t="shared" si="5"/>
        <v>5-25%</v>
      </c>
      <c r="Z17" s="8" t="s">
        <v>782</v>
      </c>
    </row>
    <row r="18" spans="1:26" ht="24" customHeight="1" x14ac:dyDescent="0.25">
      <c r="A18" s="10">
        <v>5</v>
      </c>
      <c r="B18" s="9">
        <v>0.41944444444444445</v>
      </c>
      <c r="C18" s="5" t="s">
        <v>121</v>
      </c>
      <c r="D18" s="5">
        <f t="shared" si="0"/>
        <v>7</v>
      </c>
      <c r="E18" s="15" t="s">
        <v>56</v>
      </c>
      <c r="F18" s="15" t="s">
        <v>21</v>
      </c>
      <c r="G18" s="13">
        <v>3.4</v>
      </c>
      <c r="H18" s="13">
        <v>10.4</v>
      </c>
      <c r="I18" s="13"/>
      <c r="J18" s="13"/>
      <c r="K18" s="13"/>
      <c r="L18" s="13"/>
      <c r="M18" s="13"/>
      <c r="N18" s="17">
        <f t="shared" si="1"/>
        <v>13.8</v>
      </c>
      <c r="O18" s="38">
        <f t="shared" si="2"/>
        <v>10.637759669253024</v>
      </c>
      <c r="P18" s="39">
        <v>8</v>
      </c>
      <c r="Q18" s="39">
        <v>10</v>
      </c>
      <c r="R18" s="39">
        <v>9</v>
      </c>
      <c r="S18" s="39">
        <v>9</v>
      </c>
      <c r="T18" s="39">
        <v>9</v>
      </c>
      <c r="U18" s="39">
        <v>9</v>
      </c>
      <c r="V18" s="39">
        <v>9</v>
      </c>
      <c r="W18" s="40" t="str">
        <f t="shared" si="6"/>
        <v>Y</v>
      </c>
      <c r="X18" s="84">
        <f t="shared" si="7"/>
        <v>4.0000000000000036E-2</v>
      </c>
      <c r="Y18" s="84" t="str">
        <f t="shared" si="5"/>
        <v>0-4.9%</v>
      </c>
      <c r="Z18" s="8" t="s">
        <v>812</v>
      </c>
    </row>
    <row r="19" spans="1:26" ht="24" customHeight="1" x14ac:dyDescent="0.25">
      <c r="A19" s="10">
        <v>7</v>
      </c>
      <c r="B19" s="9">
        <v>0.44097222222222227</v>
      </c>
      <c r="C19" s="5" t="s">
        <v>119</v>
      </c>
      <c r="D19" s="5">
        <f t="shared" si="0"/>
        <v>7</v>
      </c>
      <c r="E19" s="15" t="s">
        <v>56</v>
      </c>
      <c r="F19" s="15" t="s">
        <v>21</v>
      </c>
      <c r="G19" s="13">
        <v>3.6</v>
      </c>
      <c r="H19" s="13">
        <v>8.3000000000000007</v>
      </c>
      <c r="I19" s="13"/>
      <c r="J19" s="13"/>
      <c r="K19" s="13"/>
      <c r="L19" s="13"/>
      <c r="M19" s="13"/>
      <c r="N19" s="17">
        <f t="shared" si="1"/>
        <v>11.9</v>
      </c>
      <c r="O19" s="38">
        <f t="shared" si="2"/>
        <v>5.4620492515408277</v>
      </c>
      <c r="P19" s="39">
        <v>8</v>
      </c>
      <c r="Q19" s="39">
        <v>10</v>
      </c>
      <c r="R19" s="39">
        <v>9</v>
      </c>
      <c r="S19" s="39">
        <v>9</v>
      </c>
      <c r="T19" s="39">
        <v>9</v>
      </c>
      <c r="U19" s="39">
        <v>9</v>
      </c>
      <c r="V19" s="39">
        <v>9</v>
      </c>
      <c r="W19" s="40" t="str">
        <f t="shared" si="6"/>
        <v>N</v>
      </c>
      <c r="X19" s="84">
        <f t="shared" si="7"/>
        <v>0</v>
      </c>
      <c r="Y19" s="84" t="str">
        <f t="shared" si="5"/>
        <v>0-4.9%</v>
      </c>
      <c r="Z19" s="8" t="s">
        <v>812</v>
      </c>
    </row>
    <row r="20" spans="1:26" ht="24" customHeight="1" x14ac:dyDescent="0.25">
      <c r="A20" s="10">
        <v>11</v>
      </c>
      <c r="B20" s="9">
        <v>0.4777777777777778</v>
      </c>
      <c r="C20" s="5" t="s">
        <v>115</v>
      </c>
      <c r="D20" s="5">
        <f t="shared" si="0"/>
        <v>7</v>
      </c>
      <c r="E20" s="15" t="s">
        <v>56</v>
      </c>
      <c r="F20" s="15" t="s">
        <v>21</v>
      </c>
      <c r="G20" s="13">
        <v>3.6</v>
      </c>
      <c r="H20" s="13">
        <v>8.25</v>
      </c>
      <c r="I20" s="13"/>
      <c r="J20" s="13"/>
      <c r="K20" s="13"/>
      <c r="L20" s="13"/>
      <c r="M20" s="13"/>
      <c r="N20" s="17">
        <f t="shared" si="1"/>
        <v>11.85</v>
      </c>
      <c r="O20" s="38">
        <f t="shared" si="2"/>
        <v>5.3595319243514137</v>
      </c>
      <c r="P20" s="39">
        <v>8</v>
      </c>
      <c r="Q20" s="39">
        <v>10</v>
      </c>
      <c r="R20" s="39">
        <v>9</v>
      </c>
      <c r="S20" s="39">
        <v>9</v>
      </c>
      <c r="T20" s="39">
        <v>9</v>
      </c>
      <c r="U20" s="39">
        <v>9</v>
      </c>
      <c r="V20" s="39">
        <v>9</v>
      </c>
      <c r="W20" s="40" t="str">
        <f t="shared" si="6"/>
        <v>N</v>
      </c>
      <c r="X20" s="84">
        <f t="shared" si="7"/>
        <v>0</v>
      </c>
      <c r="Y20" s="84" t="str">
        <f t="shared" si="5"/>
        <v>0-4.9%</v>
      </c>
      <c r="Z20" s="8" t="s">
        <v>794</v>
      </c>
    </row>
    <row r="21" spans="1:26" ht="24" customHeight="1" x14ac:dyDescent="0.25">
      <c r="A21" s="10">
        <v>14</v>
      </c>
      <c r="B21" s="9">
        <v>0.50763888888888886</v>
      </c>
      <c r="C21" s="5" t="s">
        <v>112</v>
      </c>
      <c r="D21" s="5">
        <f t="shared" si="0"/>
        <v>7</v>
      </c>
      <c r="E21" s="15" t="s">
        <v>56</v>
      </c>
      <c r="F21" s="15" t="s">
        <v>21</v>
      </c>
      <c r="G21" s="13">
        <v>3.4</v>
      </c>
      <c r="H21" s="13">
        <v>12.6</v>
      </c>
      <c r="I21" s="13"/>
      <c r="J21" s="13"/>
      <c r="K21" s="13"/>
      <c r="L21" s="13"/>
      <c r="M21" s="13"/>
      <c r="N21" s="17">
        <f t="shared" si="1"/>
        <v>16</v>
      </c>
      <c r="O21" s="38">
        <f t="shared" si="2"/>
        <v>20.698277612564791</v>
      </c>
      <c r="P21" s="39">
        <v>8</v>
      </c>
      <c r="Q21" s="39">
        <v>10</v>
      </c>
      <c r="R21" s="39">
        <v>9</v>
      </c>
      <c r="S21" s="39">
        <v>9</v>
      </c>
      <c r="T21" s="39">
        <v>9</v>
      </c>
      <c r="U21" s="39">
        <v>9</v>
      </c>
      <c r="V21" s="39">
        <v>9</v>
      </c>
      <c r="W21" s="40" t="str">
        <f t="shared" si="6"/>
        <v>Y</v>
      </c>
      <c r="X21" s="84">
        <f t="shared" si="7"/>
        <v>0.25999999999999995</v>
      </c>
      <c r="Y21" s="84" t="str">
        <f t="shared" si="5"/>
        <v>25-50%</v>
      </c>
      <c r="Z21" s="8" t="s">
        <v>782</v>
      </c>
    </row>
    <row r="22" spans="1:26" ht="24" customHeight="1" x14ac:dyDescent="0.25">
      <c r="A22" s="10">
        <v>24</v>
      </c>
      <c r="B22" s="9">
        <v>0.62708333333333333</v>
      </c>
      <c r="C22" s="5" t="s">
        <v>102</v>
      </c>
      <c r="D22" s="5">
        <f t="shared" si="0"/>
        <v>7</v>
      </c>
      <c r="E22" s="15" t="s">
        <v>56</v>
      </c>
      <c r="F22" s="15" t="s">
        <v>21</v>
      </c>
      <c r="G22" s="13">
        <v>4.3</v>
      </c>
      <c r="H22" s="13">
        <v>11.25</v>
      </c>
      <c r="I22" s="13"/>
      <c r="J22" s="13"/>
      <c r="K22" s="13"/>
      <c r="L22" s="13"/>
      <c r="M22" s="13"/>
      <c r="N22" s="17">
        <f t="shared" si="1"/>
        <v>15.55</v>
      </c>
      <c r="O22" s="38">
        <f t="shared" si="2"/>
        <v>18.204596432285289</v>
      </c>
      <c r="P22" s="39">
        <v>8</v>
      </c>
      <c r="Q22" s="39">
        <v>10</v>
      </c>
      <c r="R22" s="39">
        <v>9</v>
      </c>
      <c r="S22" s="39">
        <v>9</v>
      </c>
      <c r="T22" s="39">
        <v>9</v>
      </c>
      <c r="U22" s="39">
        <v>9</v>
      </c>
      <c r="V22" s="39">
        <v>9</v>
      </c>
      <c r="W22" s="40" t="str">
        <f t="shared" si="6"/>
        <v>Y</v>
      </c>
      <c r="X22" s="84">
        <f t="shared" si="7"/>
        <v>0.125</v>
      </c>
      <c r="Y22" s="84" t="str">
        <f t="shared" si="5"/>
        <v>5-25%</v>
      </c>
      <c r="Z22" s="8" t="s">
        <v>812</v>
      </c>
    </row>
    <row r="23" spans="1:26" ht="24" customHeight="1" x14ac:dyDescent="0.25">
      <c r="A23" s="10">
        <v>25</v>
      </c>
      <c r="B23" s="9">
        <v>0.63194444444444442</v>
      </c>
      <c r="C23" s="5" t="s">
        <v>101</v>
      </c>
      <c r="D23" s="5">
        <f t="shared" si="0"/>
        <v>7</v>
      </c>
      <c r="E23" s="15" t="s">
        <v>56</v>
      </c>
      <c r="F23" s="15" t="s">
        <v>21</v>
      </c>
      <c r="G23" s="13">
        <v>4.95</v>
      </c>
      <c r="H23" s="13">
        <v>9.9</v>
      </c>
      <c r="I23" s="13"/>
      <c r="J23" s="13"/>
      <c r="K23" s="13"/>
      <c r="L23" s="13"/>
      <c r="M23" s="13"/>
      <c r="N23" s="17">
        <f t="shared" si="1"/>
        <v>14.850000000000001</v>
      </c>
      <c r="O23" s="38">
        <f t="shared" si="2"/>
        <v>14.796647476131698</v>
      </c>
      <c r="P23" s="39">
        <v>8</v>
      </c>
      <c r="Q23" s="39">
        <v>10</v>
      </c>
      <c r="R23" s="39">
        <v>9</v>
      </c>
      <c r="S23" s="39">
        <v>9</v>
      </c>
      <c r="T23" s="39">
        <v>9</v>
      </c>
      <c r="U23" s="39">
        <v>9</v>
      </c>
      <c r="V23" s="39">
        <v>9</v>
      </c>
      <c r="W23" s="40" t="str">
        <f t="shared" si="6"/>
        <v>N</v>
      </c>
      <c r="X23" s="84">
        <f t="shared" si="7"/>
        <v>0</v>
      </c>
      <c r="Y23" s="84" t="str">
        <f t="shared" si="5"/>
        <v>0-4.9%</v>
      </c>
      <c r="Z23" s="8" t="s">
        <v>812</v>
      </c>
    </row>
    <row r="24" spans="1:26" ht="24" customHeight="1" x14ac:dyDescent="0.25">
      <c r="A24" s="10">
        <v>7</v>
      </c>
      <c r="B24" s="9">
        <v>0.47152777777777777</v>
      </c>
      <c r="C24" s="5" t="s">
        <v>37</v>
      </c>
      <c r="D24" s="5">
        <f t="shared" si="0"/>
        <v>9</v>
      </c>
      <c r="E24" s="15" t="s">
        <v>60</v>
      </c>
      <c r="F24" s="15" t="s">
        <v>61</v>
      </c>
      <c r="G24" s="13">
        <v>7.1</v>
      </c>
      <c r="H24" s="13">
        <v>9.1999999999999993</v>
      </c>
      <c r="I24" s="13">
        <v>5.8</v>
      </c>
      <c r="J24" s="13"/>
      <c r="K24" s="13"/>
      <c r="L24" s="13"/>
      <c r="M24" s="13"/>
      <c r="N24" s="17">
        <f t="shared" si="1"/>
        <v>22.099999999999998</v>
      </c>
      <c r="O24" s="38">
        <f t="shared" si="2"/>
        <v>88.544077419374176</v>
      </c>
      <c r="P24" s="39">
        <v>8</v>
      </c>
      <c r="Q24" s="39">
        <v>10</v>
      </c>
      <c r="R24" s="39">
        <v>9</v>
      </c>
      <c r="S24" s="39">
        <v>9</v>
      </c>
      <c r="T24" s="39">
        <v>9</v>
      </c>
      <c r="U24" s="39">
        <v>9</v>
      </c>
      <c r="V24" s="39">
        <v>9</v>
      </c>
      <c r="W24" s="40" t="str">
        <f t="shared" si="6"/>
        <v>N</v>
      </c>
      <c r="X24" s="84">
        <f t="shared" si="7"/>
        <v>0</v>
      </c>
      <c r="Y24" s="84" t="str">
        <f t="shared" si="5"/>
        <v>0-4.9%</v>
      </c>
      <c r="Z24" s="8" t="s">
        <v>812</v>
      </c>
    </row>
    <row r="25" spans="1:26" ht="24" customHeight="1" x14ac:dyDescent="0.25">
      <c r="A25" s="10">
        <v>9</v>
      </c>
      <c r="B25" s="9">
        <v>0.5083333333333333</v>
      </c>
      <c r="C25" s="5" t="s">
        <v>39</v>
      </c>
      <c r="D25" s="5">
        <f t="shared" si="0"/>
        <v>9</v>
      </c>
      <c r="E25" s="15" t="s">
        <v>60</v>
      </c>
      <c r="F25" s="15" t="s">
        <v>26</v>
      </c>
      <c r="G25" s="13">
        <v>7.45</v>
      </c>
      <c r="H25" s="13">
        <v>7.3</v>
      </c>
      <c r="I25" s="13">
        <v>7.75</v>
      </c>
      <c r="J25" s="13"/>
      <c r="K25" s="13"/>
      <c r="L25" s="13"/>
      <c r="M25" s="13"/>
      <c r="N25" s="17">
        <f t="shared" si="1"/>
        <v>22.5</v>
      </c>
      <c r="O25" s="38">
        <f t="shared" si="2"/>
        <v>95.987706987471597</v>
      </c>
      <c r="P25" s="39">
        <v>8</v>
      </c>
      <c r="Q25" s="39">
        <v>10</v>
      </c>
      <c r="R25" s="39">
        <v>9</v>
      </c>
      <c r="S25" s="39">
        <v>9</v>
      </c>
      <c r="T25" s="39">
        <v>9</v>
      </c>
      <c r="U25" s="39">
        <v>9</v>
      </c>
      <c r="V25" s="39">
        <v>9</v>
      </c>
      <c r="W25" s="40" t="str">
        <f t="shared" si="6"/>
        <v>N</v>
      </c>
      <c r="X25" s="84">
        <f t="shared" si="7"/>
        <v>0</v>
      </c>
      <c r="Y25" s="84" t="str">
        <f t="shared" si="5"/>
        <v>0-4.9%</v>
      </c>
      <c r="Z25" s="8" t="s">
        <v>790</v>
      </c>
    </row>
    <row r="26" spans="1:26" ht="24" customHeight="1" x14ac:dyDescent="0.25">
      <c r="A26" s="10">
        <v>18</v>
      </c>
      <c r="B26" s="9">
        <v>0.61944444444444446</v>
      </c>
      <c r="C26" s="5" t="s">
        <v>48</v>
      </c>
      <c r="D26" s="5">
        <f t="shared" si="0"/>
        <v>9</v>
      </c>
      <c r="E26" s="15" t="s">
        <v>60</v>
      </c>
      <c r="F26" s="15" t="s">
        <v>26</v>
      </c>
      <c r="G26" s="13">
        <v>5.3</v>
      </c>
      <c r="H26" s="13">
        <v>9.6</v>
      </c>
      <c r="I26" s="13">
        <v>9.3000000000000007</v>
      </c>
      <c r="J26" s="13"/>
      <c r="K26" s="13"/>
      <c r="L26" s="13"/>
      <c r="M26" s="13"/>
      <c r="N26" s="17">
        <f t="shared" si="1"/>
        <v>24.2</v>
      </c>
      <c r="O26" s="38">
        <f t="shared" si="2"/>
        <v>133.21816049159366</v>
      </c>
      <c r="P26" s="39">
        <v>8</v>
      </c>
      <c r="Q26" s="39">
        <v>10</v>
      </c>
      <c r="R26" s="39">
        <v>9</v>
      </c>
      <c r="S26" s="39">
        <v>9</v>
      </c>
      <c r="T26" s="39">
        <v>9</v>
      </c>
      <c r="U26" s="39">
        <v>9</v>
      </c>
      <c r="V26" s="39">
        <v>9</v>
      </c>
      <c r="W26" s="40" t="str">
        <f t="shared" si="6"/>
        <v>Y</v>
      </c>
      <c r="X26" s="84">
        <f t="shared" si="7"/>
        <v>3.0000000000000072E-2</v>
      </c>
      <c r="Y26" s="84" t="str">
        <f t="shared" si="5"/>
        <v>0-4.9%</v>
      </c>
      <c r="Z26" s="8" t="s">
        <v>812</v>
      </c>
    </row>
    <row r="27" spans="1:26" ht="24" customHeight="1" x14ac:dyDescent="0.25">
      <c r="A27" s="10">
        <v>3</v>
      </c>
      <c r="B27" s="9">
        <v>0.37152777777777773</v>
      </c>
      <c r="C27" s="5" t="s">
        <v>88</v>
      </c>
      <c r="D27" s="5">
        <f t="shared" si="0"/>
        <v>9</v>
      </c>
      <c r="E27" s="15" t="s">
        <v>60</v>
      </c>
      <c r="F27" s="15" t="s">
        <v>26</v>
      </c>
      <c r="G27" s="19">
        <v>4.6500000000000004</v>
      </c>
      <c r="H27" s="19">
        <v>8.6</v>
      </c>
      <c r="I27" s="19">
        <v>10.25</v>
      </c>
      <c r="J27" s="19"/>
      <c r="K27" s="19"/>
      <c r="L27" s="19"/>
      <c r="M27" s="19"/>
      <c r="N27" s="17">
        <f t="shared" si="1"/>
        <v>23.5</v>
      </c>
      <c r="O27" s="38">
        <f t="shared" si="2"/>
        <v>116.73461782728336</v>
      </c>
      <c r="P27" s="39">
        <v>8</v>
      </c>
      <c r="Q27" s="39">
        <v>10</v>
      </c>
      <c r="R27" s="39">
        <v>9</v>
      </c>
      <c r="S27" s="39">
        <v>9</v>
      </c>
      <c r="T27" s="39">
        <v>9</v>
      </c>
      <c r="U27" s="39">
        <v>9</v>
      </c>
      <c r="V27" s="39">
        <v>9</v>
      </c>
      <c r="W27" s="40" t="str">
        <f t="shared" si="6"/>
        <v>Y</v>
      </c>
      <c r="X27" s="84">
        <f t="shared" si="7"/>
        <v>0.125</v>
      </c>
      <c r="Y27" s="84" t="str">
        <f t="shared" si="5"/>
        <v>5-25%</v>
      </c>
      <c r="Z27" s="8" t="s">
        <v>782</v>
      </c>
    </row>
    <row r="28" spans="1:26" ht="24" customHeight="1" x14ac:dyDescent="0.25">
      <c r="A28" s="10">
        <v>8</v>
      </c>
      <c r="B28" s="9">
        <v>0.43263888888888885</v>
      </c>
      <c r="C28" s="5" t="s">
        <v>83</v>
      </c>
      <c r="D28" s="5">
        <f t="shared" si="0"/>
        <v>9</v>
      </c>
      <c r="E28" s="15" t="s">
        <v>60</v>
      </c>
      <c r="F28" s="15" t="s">
        <v>26</v>
      </c>
      <c r="G28" s="13">
        <v>6.2</v>
      </c>
      <c r="H28" s="13">
        <v>14.7</v>
      </c>
      <c r="I28" s="13">
        <v>4.6500000000000004</v>
      </c>
      <c r="J28" s="13"/>
      <c r="K28" s="13"/>
      <c r="L28" s="13"/>
      <c r="M28" s="13"/>
      <c r="N28" s="17">
        <f t="shared" si="1"/>
        <v>25.549999999999997</v>
      </c>
      <c r="O28" s="38">
        <f t="shared" si="2"/>
        <v>170.08004250946078</v>
      </c>
      <c r="P28" s="39">
        <v>8</v>
      </c>
      <c r="Q28" s="39">
        <v>10</v>
      </c>
      <c r="R28" s="39">
        <v>9</v>
      </c>
      <c r="S28" s="39">
        <v>9</v>
      </c>
      <c r="T28" s="39">
        <v>9</v>
      </c>
      <c r="U28" s="39">
        <v>9</v>
      </c>
      <c r="V28" s="39">
        <v>9</v>
      </c>
      <c r="W28" s="40" t="str">
        <f t="shared" si="6"/>
        <v>Y</v>
      </c>
      <c r="X28" s="84">
        <f t="shared" si="7"/>
        <v>0.46999999999999992</v>
      </c>
      <c r="Y28" s="84" t="str">
        <f t="shared" si="5"/>
        <v>25-50%</v>
      </c>
      <c r="Z28" s="8" t="s">
        <v>812</v>
      </c>
    </row>
    <row r="29" spans="1:26" ht="24" customHeight="1" x14ac:dyDescent="0.25">
      <c r="A29" s="10">
        <v>10</v>
      </c>
      <c r="B29" s="9">
        <v>0.46180555555555558</v>
      </c>
      <c r="C29" s="5" t="s">
        <v>81</v>
      </c>
      <c r="D29" s="5">
        <f t="shared" si="0"/>
        <v>9</v>
      </c>
      <c r="E29" s="15" t="s">
        <v>60</v>
      </c>
      <c r="F29" s="15" t="s">
        <v>26</v>
      </c>
      <c r="G29" s="13">
        <v>7</v>
      </c>
      <c r="H29" s="13">
        <v>12.8</v>
      </c>
      <c r="I29" s="13">
        <v>4.75</v>
      </c>
      <c r="J29" s="13"/>
      <c r="K29" s="13"/>
      <c r="L29" s="13"/>
      <c r="M29" s="13"/>
      <c r="N29" s="17">
        <f t="shared" si="1"/>
        <v>24.55</v>
      </c>
      <c r="O29" s="38">
        <f t="shared" si="2"/>
        <v>142.11045163859623</v>
      </c>
      <c r="P29" s="39">
        <v>8</v>
      </c>
      <c r="Q29" s="39">
        <v>10</v>
      </c>
      <c r="R29" s="39">
        <v>9</v>
      </c>
      <c r="S29" s="39">
        <v>9</v>
      </c>
      <c r="T29" s="39">
        <v>9</v>
      </c>
      <c r="U29" s="39">
        <v>9</v>
      </c>
      <c r="V29" s="39">
        <v>9</v>
      </c>
      <c r="W29" s="40" t="str">
        <f t="shared" si="6"/>
        <v>Y</v>
      </c>
      <c r="X29" s="84">
        <f t="shared" si="7"/>
        <v>0.28000000000000008</v>
      </c>
      <c r="Y29" s="84" t="str">
        <f t="shared" si="5"/>
        <v>25-50%</v>
      </c>
      <c r="Z29" s="8" t="s">
        <v>812</v>
      </c>
    </row>
    <row r="30" spans="1:26" ht="24" customHeight="1" x14ac:dyDescent="0.25">
      <c r="A30" s="10">
        <v>20</v>
      </c>
      <c r="B30" s="9">
        <v>0.63263888888888886</v>
      </c>
      <c r="C30" s="5" t="s">
        <v>71</v>
      </c>
      <c r="D30" s="5">
        <f t="shared" si="0"/>
        <v>9</v>
      </c>
      <c r="E30" s="15" t="s">
        <v>60</v>
      </c>
      <c r="F30" s="15" t="s">
        <v>26</v>
      </c>
      <c r="G30" s="13">
        <v>4.3499999999999996</v>
      </c>
      <c r="H30" s="13">
        <v>10.199999999999999</v>
      </c>
      <c r="I30" s="13">
        <v>10.85</v>
      </c>
      <c r="J30" s="13"/>
      <c r="K30" s="13"/>
      <c r="L30" s="13"/>
      <c r="M30" s="13"/>
      <c r="N30" s="17">
        <f t="shared" si="1"/>
        <v>25.4</v>
      </c>
      <c r="O30" s="38">
        <f t="shared" si="2"/>
        <v>165.63267291777493</v>
      </c>
      <c r="P30" s="39">
        <v>8</v>
      </c>
      <c r="Q30" s="39">
        <v>10</v>
      </c>
      <c r="R30" s="39">
        <v>9</v>
      </c>
      <c r="S30" s="39">
        <v>9</v>
      </c>
      <c r="T30" s="39">
        <v>9</v>
      </c>
      <c r="U30" s="39">
        <v>9</v>
      </c>
      <c r="V30" s="39">
        <v>9</v>
      </c>
      <c r="W30" s="40" t="str">
        <f t="shared" si="6"/>
        <v>Y</v>
      </c>
      <c r="X30" s="84">
        <f t="shared" si="7"/>
        <v>0.18499999999999997</v>
      </c>
      <c r="Y30" s="84" t="str">
        <f t="shared" si="5"/>
        <v>5-25%</v>
      </c>
      <c r="Z30" s="8" t="s">
        <v>790</v>
      </c>
    </row>
    <row r="31" spans="1:26" ht="24" customHeight="1" x14ac:dyDescent="0.25">
      <c r="A31" s="10">
        <v>24</v>
      </c>
      <c r="B31" s="9">
        <v>0.6791666666666667</v>
      </c>
      <c r="C31" s="5" t="s">
        <v>67</v>
      </c>
      <c r="D31" s="5">
        <f t="shared" si="0"/>
        <v>9</v>
      </c>
      <c r="E31" s="15" t="s">
        <v>60</v>
      </c>
      <c r="F31" s="15" t="s">
        <v>26</v>
      </c>
      <c r="G31" s="13">
        <v>4.95</v>
      </c>
      <c r="H31" s="13">
        <v>9.0500000000000007</v>
      </c>
      <c r="I31" s="13">
        <v>9.4499999999999993</v>
      </c>
      <c r="J31" s="13"/>
      <c r="K31" s="13"/>
      <c r="L31" s="13"/>
      <c r="M31" s="13"/>
      <c r="N31" s="17">
        <f t="shared" si="1"/>
        <v>23.45</v>
      </c>
      <c r="O31" s="38">
        <f t="shared" si="2"/>
        <v>115.62110012593762</v>
      </c>
      <c r="P31" s="39">
        <v>8</v>
      </c>
      <c r="Q31" s="39">
        <v>10</v>
      </c>
      <c r="R31" s="39">
        <v>9</v>
      </c>
      <c r="S31" s="39">
        <v>9</v>
      </c>
      <c r="T31" s="39">
        <v>9</v>
      </c>
      <c r="U31" s="39">
        <v>9</v>
      </c>
      <c r="V31" s="39">
        <v>9</v>
      </c>
      <c r="W31" s="40" t="str">
        <f t="shared" si="6"/>
        <v>Y</v>
      </c>
      <c r="X31" s="84">
        <f t="shared" si="7"/>
        <v>4.4999999999999929E-2</v>
      </c>
      <c r="Y31" s="84" t="str">
        <f t="shared" si="5"/>
        <v>0-4.9%</v>
      </c>
      <c r="Z31" s="8" t="s">
        <v>782</v>
      </c>
    </row>
    <row r="32" spans="1:26" ht="24" customHeight="1" x14ac:dyDescent="0.25">
      <c r="A32" s="10">
        <v>3</v>
      </c>
      <c r="B32" s="9">
        <v>0.3888888888888889</v>
      </c>
      <c r="C32" s="5" t="s">
        <v>123</v>
      </c>
      <c r="D32" s="5">
        <f t="shared" si="0"/>
        <v>9</v>
      </c>
      <c r="E32" s="15" t="s">
        <v>60</v>
      </c>
      <c r="F32" s="15" t="s">
        <v>26</v>
      </c>
      <c r="G32" s="19">
        <v>3.75</v>
      </c>
      <c r="H32" s="19">
        <v>11</v>
      </c>
      <c r="I32" s="19">
        <v>11.75</v>
      </c>
      <c r="J32" s="19"/>
      <c r="K32" s="19"/>
      <c r="L32" s="19"/>
      <c r="M32" s="19"/>
      <c r="N32" s="17">
        <f t="shared" si="1"/>
        <v>26.5</v>
      </c>
      <c r="O32" s="38">
        <f t="shared" si="2"/>
        <v>200.44753427654996</v>
      </c>
      <c r="P32" s="39">
        <v>8</v>
      </c>
      <c r="Q32" s="39">
        <v>10</v>
      </c>
      <c r="R32" s="39">
        <v>9</v>
      </c>
      <c r="S32" s="39">
        <v>9</v>
      </c>
      <c r="T32" s="39">
        <v>9</v>
      </c>
      <c r="U32" s="39">
        <v>9</v>
      </c>
      <c r="V32" s="39">
        <v>9</v>
      </c>
      <c r="W32" s="40" t="str">
        <f t="shared" si="6"/>
        <v>Y</v>
      </c>
      <c r="X32" s="84">
        <f t="shared" si="7"/>
        <v>0.27500000000000002</v>
      </c>
      <c r="Y32" s="84" t="str">
        <f t="shared" si="5"/>
        <v>25-50%</v>
      </c>
      <c r="Z32" s="8" t="s">
        <v>782</v>
      </c>
    </row>
    <row r="33" spans="1:26" ht="24" customHeight="1" x14ac:dyDescent="0.25">
      <c r="A33" s="10">
        <v>4</v>
      </c>
      <c r="B33" s="9">
        <v>0.40902777777777777</v>
      </c>
      <c r="C33" s="5" t="s">
        <v>122</v>
      </c>
      <c r="D33" s="5">
        <f t="shared" si="0"/>
        <v>9</v>
      </c>
      <c r="E33" s="15" t="s">
        <v>60</v>
      </c>
      <c r="F33" s="15" t="s">
        <v>26</v>
      </c>
      <c r="G33" s="13">
        <v>4.2</v>
      </c>
      <c r="H33" s="13">
        <v>9.8000000000000007</v>
      </c>
      <c r="I33" s="13">
        <v>9.35</v>
      </c>
      <c r="J33" s="13"/>
      <c r="K33" s="13"/>
      <c r="L33" s="13"/>
      <c r="M33" s="13"/>
      <c r="N33" s="17">
        <f t="shared" si="1"/>
        <v>23.35</v>
      </c>
      <c r="O33" s="38">
        <f t="shared" si="2"/>
        <v>113.41885736040345</v>
      </c>
      <c r="P33" s="39">
        <v>8</v>
      </c>
      <c r="Q33" s="39">
        <v>10</v>
      </c>
      <c r="R33" s="39">
        <v>9</v>
      </c>
      <c r="S33" s="39">
        <v>9</v>
      </c>
      <c r="T33" s="39">
        <v>9</v>
      </c>
      <c r="U33" s="39">
        <v>9</v>
      </c>
      <c r="V33" s="39">
        <v>9</v>
      </c>
      <c r="W33" s="40" t="str">
        <f t="shared" si="6"/>
        <v>Y</v>
      </c>
      <c r="X33" s="84">
        <f t="shared" si="7"/>
        <v>3.4999999999999962E-2</v>
      </c>
      <c r="Y33" s="84" t="str">
        <f t="shared" si="5"/>
        <v>0-4.9%</v>
      </c>
      <c r="Z33" s="8" t="s">
        <v>782</v>
      </c>
    </row>
    <row r="34" spans="1:26" ht="24" customHeight="1" x14ac:dyDescent="0.25">
      <c r="A34" s="10">
        <v>26</v>
      </c>
      <c r="B34" s="9">
        <v>0.63750000000000007</v>
      </c>
      <c r="C34" s="5" t="s">
        <v>100</v>
      </c>
      <c r="D34" s="5">
        <f t="shared" si="0"/>
        <v>9</v>
      </c>
      <c r="E34" s="15" t="s">
        <v>60</v>
      </c>
      <c r="F34" s="15" t="s">
        <v>26</v>
      </c>
      <c r="G34" s="13">
        <v>4.6500000000000004</v>
      </c>
      <c r="H34" s="13">
        <v>11.35</v>
      </c>
      <c r="I34" s="13">
        <v>10.7</v>
      </c>
      <c r="J34" s="13"/>
      <c r="K34" s="13"/>
      <c r="L34" s="13"/>
      <c r="M34" s="13"/>
      <c r="N34" s="17">
        <f t="shared" si="1"/>
        <v>26.7</v>
      </c>
      <c r="O34" s="38">
        <f t="shared" si="2"/>
        <v>207.34566585872861</v>
      </c>
      <c r="P34" s="39">
        <v>8</v>
      </c>
      <c r="Q34" s="39">
        <v>10</v>
      </c>
      <c r="R34" s="39">
        <v>9</v>
      </c>
      <c r="S34" s="39">
        <v>9</v>
      </c>
      <c r="T34" s="39">
        <v>9</v>
      </c>
      <c r="U34" s="39">
        <v>9</v>
      </c>
      <c r="V34" s="39">
        <v>9</v>
      </c>
      <c r="W34" s="40" t="str">
        <f t="shared" si="6"/>
        <v>Y</v>
      </c>
      <c r="X34" s="84">
        <f t="shared" si="7"/>
        <v>0.16999999999999993</v>
      </c>
      <c r="Y34" s="84" t="str">
        <f t="shared" si="5"/>
        <v>5-25%</v>
      </c>
      <c r="Z34" s="8" t="s">
        <v>782</v>
      </c>
    </row>
    <row r="35" spans="1:26" ht="24" customHeight="1" x14ac:dyDescent="0.25">
      <c r="A35" s="10">
        <v>27</v>
      </c>
      <c r="B35" s="9">
        <v>0.65972222222222221</v>
      </c>
      <c r="C35" s="5" t="s">
        <v>99</v>
      </c>
      <c r="D35" s="5">
        <f t="shared" si="0"/>
        <v>9</v>
      </c>
      <c r="E35" s="15" t="s">
        <v>60</v>
      </c>
      <c r="F35" s="15" t="s">
        <v>26</v>
      </c>
      <c r="G35" s="13">
        <v>5.7</v>
      </c>
      <c r="H35" s="13">
        <v>8.6999999999999993</v>
      </c>
      <c r="I35" s="13">
        <v>8.15</v>
      </c>
      <c r="J35" s="13"/>
      <c r="K35" s="13"/>
      <c r="L35" s="13"/>
      <c r="M35" s="13"/>
      <c r="N35" s="17">
        <f t="shared" si="1"/>
        <v>22.549999999999997</v>
      </c>
      <c r="O35" s="38">
        <f t="shared" si="2"/>
        <v>96.951323831074845</v>
      </c>
      <c r="P35" s="39">
        <v>8</v>
      </c>
      <c r="Q35" s="39">
        <v>10</v>
      </c>
      <c r="R35" s="39">
        <v>9</v>
      </c>
      <c r="S35" s="39">
        <v>9</v>
      </c>
      <c r="T35" s="39">
        <v>9</v>
      </c>
      <c r="U35" s="39">
        <v>9</v>
      </c>
      <c r="V35" s="39">
        <v>9</v>
      </c>
      <c r="W35" s="40" t="str">
        <f t="shared" si="6"/>
        <v>N</v>
      </c>
      <c r="X35" s="84">
        <f t="shared" si="7"/>
        <v>0</v>
      </c>
      <c r="Y35" s="84" t="str">
        <f t="shared" si="5"/>
        <v>0-4.9%</v>
      </c>
      <c r="Z35" s="8" t="s">
        <v>794</v>
      </c>
    </row>
    <row r="36" spans="1:26" ht="24" customHeight="1" x14ac:dyDescent="0.25">
      <c r="A36" s="10">
        <v>28</v>
      </c>
      <c r="B36" s="9">
        <v>0.72222222222222221</v>
      </c>
      <c r="C36" s="5" t="s">
        <v>98</v>
      </c>
      <c r="D36" s="5">
        <f t="shared" si="0"/>
        <v>9</v>
      </c>
      <c r="E36" s="15" t="s">
        <v>60</v>
      </c>
      <c r="F36" s="15" t="s">
        <v>26</v>
      </c>
      <c r="G36" s="13">
        <v>3.9</v>
      </c>
      <c r="H36" s="13">
        <v>9.9499999999999993</v>
      </c>
      <c r="I36" s="13">
        <v>9.6</v>
      </c>
      <c r="J36" s="13"/>
      <c r="K36" s="13"/>
      <c r="L36" s="13"/>
      <c r="M36" s="13"/>
      <c r="N36" s="17">
        <f t="shared" si="1"/>
        <v>23.45</v>
      </c>
      <c r="O36" s="38">
        <f t="shared" si="2"/>
        <v>115.62110012593762</v>
      </c>
      <c r="P36" s="39">
        <v>8</v>
      </c>
      <c r="Q36" s="39">
        <v>10</v>
      </c>
      <c r="R36" s="39">
        <v>9</v>
      </c>
      <c r="S36" s="39">
        <v>9</v>
      </c>
      <c r="T36" s="39">
        <v>9</v>
      </c>
      <c r="U36" s="39">
        <v>9</v>
      </c>
      <c r="V36" s="39">
        <v>9</v>
      </c>
      <c r="W36" s="40" t="str">
        <f t="shared" si="6"/>
        <v>Y</v>
      </c>
      <c r="X36" s="84">
        <f t="shared" si="7"/>
        <v>5.9999999999999963E-2</v>
      </c>
      <c r="Y36" s="84" t="str">
        <f t="shared" si="5"/>
        <v>5-25%</v>
      </c>
      <c r="Z36" s="8" t="s">
        <v>782</v>
      </c>
    </row>
    <row r="37" spans="1:26" ht="24" customHeight="1" x14ac:dyDescent="0.25">
      <c r="A37" s="10">
        <v>1</v>
      </c>
      <c r="B37" s="9">
        <v>0.40625</v>
      </c>
      <c r="C37" s="5" t="s">
        <v>31</v>
      </c>
      <c r="D37" s="5">
        <f t="shared" si="0"/>
        <v>10</v>
      </c>
      <c r="E37" s="15" t="s">
        <v>55</v>
      </c>
      <c r="F37" s="15" t="s">
        <v>20</v>
      </c>
      <c r="G37" s="19">
        <v>6.8</v>
      </c>
      <c r="H37" s="19">
        <v>7.8</v>
      </c>
      <c r="I37" s="19">
        <v>7.4</v>
      </c>
      <c r="J37" s="19">
        <v>7.3</v>
      </c>
      <c r="K37" s="19">
        <v>6.1</v>
      </c>
      <c r="L37" s="19">
        <v>6.3</v>
      </c>
      <c r="M37" s="19"/>
      <c r="N37" s="38">
        <f t="shared" si="1"/>
        <v>41.699999999999996</v>
      </c>
      <c r="O37" s="38">
        <f t="shared" si="2"/>
        <v>1541.7236445605447</v>
      </c>
      <c r="P37" s="39">
        <v>8</v>
      </c>
      <c r="Q37" s="39">
        <v>10</v>
      </c>
      <c r="R37" s="39">
        <v>9</v>
      </c>
      <c r="S37" s="39">
        <v>9</v>
      </c>
      <c r="T37" s="39">
        <v>9</v>
      </c>
      <c r="U37" s="39">
        <v>9</v>
      </c>
      <c r="V37" s="39">
        <v>9</v>
      </c>
      <c r="W37" s="40" t="str">
        <f t="shared" si="6"/>
        <v>N</v>
      </c>
      <c r="X37" s="84">
        <f t="shared" si="7"/>
        <v>0</v>
      </c>
      <c r="Y37" s="84" t="str">
        <f t="shared" si="5"/>
        <v>0-4.9%</v>
      </c>
      <c r="Z37" s="8" t="s">
        <v>782</v>
      </c>
    </row>
    <row r="38" spans="1:26" ht="24" customHeight="1" x14ac:dyDescent="0.25">
      <c r="A38" s="10">
        <v>2</v>
      </c>
      <c r="B38" s="9">
        <v>0.41875000000000001</v>
      </c>
      <c r="C38" s="5" t="s">
        <v>32</v>
      </c>
      <c r="D38" s="5">
        <f t="shared" ref="D38:D69" si="8">IF(COUNT(G38:M38)&gt;3,10,IF(COUNT(G38:M38)&gt;2,9,7))</f>
        <v>10</v>
      </c>
      <c r="E38" s="15" t="s">
        <v>55</v>
      </c>
      <c r="F38" s="15" t="s">
        <v>20</v>
      </c>
      <c r="G38" s="19">
        <v>5.55</v>
      </c>
      <c r="H38" s="19">
        <v>3.8</v>
      </c>
      <c r="I38" s="19">
        <v>7.6</v>
      </c>
      <c r="J38" s="19">
        <v>5.45</v>
      </c>
      <c r="K38" s="19">
        <v>5.0999999999999996</v>
      </c>
      <c r="L38" s="19">
        <v>4.75</v>
      </c>
      <c r="M38" s="19"/>
      <c r="N38" s="17">
        <f t="shared" ref="N38:N69" si="9">SUM(G38:M38)</f>
        <v>32.25</v>
      </c>
      <c r="O38" s="38">
        <f t="shared" ref="O38:O69" si="10">(N38/8.16)^4.5</f>
        <v>485.04052017292474</v>
      </c>
      <c r="P38" s="39">
        <v>8</v>
      </c>
      <c r="Q38" s="39">
        <v>10</v>
      </c>
      <c r="R38" s="39">
        <v>9</v>
      </c>
      <c r="S38" s="39">
        <v>9</v>
      </c>
      <c r="T38" s="39">
        <v>9</v>
      </c>
      <c r="U38" s="39">
        <v>9</v>
      </c>
      <c r="V38" s="39">
        <v>9</v>
      </c>
      <c r="W38" s="40" t="str">
        <f t="shared" si="6"/>
        <v>N</v>
      </c>
      <c r="X38" s="84">
        <f t="shared" si="7"/>
        <v>0</v>
      </c>
      <c r="Y38" s="84" t="str">
        <f t="shared" si="5"/>
        <v>0-4.9%</v>
      </c>
      <c r="Z38" s="8" t="s">
        <v>782</v>
      </c>
    </row>
    <row r="39" spans="1:26" ht="24" customHeight="1" x14ac:dyDescent="0.25">
      <c r="A39" s="10">
        <v>3</v>
      </c>
      <c r="B39" s="9">
        <v>0.4236111111111111</v>
      </c>
      <c r="C39" s="5" t="s">
        <v>33</v>
      </c>
      <c r="D39" s="5">
        <f t="shared" si="8"/>
        <v>10</v>
      </c>
      <c r="E39" s="15" t="s">
        <v>55</v>
      </c>
      <c r="F39" s="15" t="s">
        <v>20</v>
      </c>
      <c r="G39" s="19">
        <v>5.0999999999999996</v>
      </c>
      <c r="H39" s="19">
        <v>3.35</v>
      </c>
      <c r="I39" s="19">
        <v>10.199999999999999</v>
      </c>
      <c r="J39" s="19">
        <v>8.1</v>
      </c>
      <c r="K39" s="19">
        <v>7.9</v>
      </c>
      <c r="L39" s="19">
        <v>7.3</v>
      </c>
      <c r="M39" s="19"/>
      <c r="N39" s="17">
        <f t="shared" si="9"/>
        <v>41.949999999999996</v>
      </c>
      <c r="O39" s="38">
        <f t="shared" si="10"/>
        <v>1583.7554735794029</v>
      </c>
      <c r="P39" s="39">
        <v>8</v>
      </c>
      <c r="Q39" s="39">
        <v>10</v>
      </c>
      <c r="R39" s="39">
        <v>9</v>
      </c>
      <c r="S39" s="39">
        <v>9</v>
      </c>
      <c r="T39" s="39">
        <v>9</v>
      </c>
      <c r="U39" s="39">
        <v>9</v>
      </c>
      <c r="V39" s="39">
        <v>9</v>
      </c>
      <c r="W39" s="40" t="str">
        <f t="shared" si="6"/>
        <v>Y</v>
      </c>
      <c r="X39" s="84">
        <f t="shared" si="7"/>
        <v>0.11999999999999993</v>
      </c>
      <c r="Y39" s="84" t="str">
        <f t="shared" si="5"/>
        <v>5-25%</v>
      </c>
      <c r="Z39" s="8" t="s">
        <v>794</v>
      </c>
    </row>
    <row r="40" spans="1:26" ht="24" customHeight="1" x14ac:dyDescent="0.25">
      <c r="A40" s="10">
        <v>4</v>
      </c>
      <c r="B40" s="9">
        <v>0.4375</v>
      </c>
      <c r="C40" s="5" t="s">
        <v>34</v>
      </c>
      <c r="D40" s="5">
        <f t="shared" si="8"/>
        <v>10</v>
      </c>
      <c r="E40" s="15" t="s">
        <v>55</v>
      </c>
      <c r="F40" s="15" t="s">
        <v>20</v>
      </c>
      <c r="G40" s="13">
        <v>5.7</v>
      </c>
      <c r="H40" s="13">
        <v>5.95</v>
      </c>
      <c r="I40" s="13">
        <v>8.9</v>
      </c>
      <c r="J40" s="13">
        <v>8.1999999999999993</v>
      </c>
      <c r="K40" s="13">
        <v>6.6</v>
      </c>
      <c r="L40" s="13">
        <v>7.45</v>
      </c>
      <c r="M40" s="13"/>
      <c r="N40" s="17">
        <f t="shared" si="9"/>
        <v>42.800000000000004</v>
      </c>
      <c r="O40" s="38">
        <f t="shared" si="10"/>
        <v>1733.3698816610756</v>
      </c>
      <c r="P40" s="39">
        <v>8</v>
      </c>
      <c r="Q40" s="39">
        <v>10</v>
      </c>
      <c r="R40" s="39">
        <v>9</v>
      </c>
      <c r="S40" s="39">
        <v>9</v>
      </c>
      <c r="T40" s="39">
        <v>9</v>
      </c>
      <c r="U40" s="39">
        <v>9</v>
      </c>
      <c r="V40" s="39">
        <v>9</v>
      </c>
      <c r="W40" s="40" t="str">
        <f t="shared" si="6"/>
        <v>N</v>
      </c>
      <c r="X40" s="84">
        <f t="shared" si="7"/>
        <v>0</v>
      </c>
      <c r="Y40" s="84" t="str">
        <f t="shared" si="5"/>
        <v>0-4.9%</v>
      </c>
      <c r="Z40" s="8" t="s">
        <v>790</v>
      </c>
    </row>
    <row r="41" spans="1:26" ht="24" customHeight="1" x14ac:dyDescent="0.25">
      <c r="A41" s="10">
        <v>6</v>
      </c>
      <c r="B41" s="9">
        <v>0.46249999999999997</v>
      </c>
      <c r="C41" s="5" t="s">
        <v>36</v>
      </c>
      <c r="D41" s="5">
        <f t="shared" si="8"/>
        <v>10</v>
      </c>
      <c r="E41" s="15" t="s">
        <v>59</v>
      </c>
      <c r="F41" s="15" t="s">
        <v>129</v>
      </c>
      <c r="G41" s="13">
        <v>5.75</v>
      </c>
      <c r="H41" s="13">
        <v>5.0999999999999996</v>
      </c>
      <c r="I41" s="13">
        <v>3.85</v>
      </c>
      <c r="J41" s="13">
        <v>5.45</v>
      </c>
      <c r="K41" s="13">
        <v>4.5</v>
      </c>
      <c r="L41" s="13">
        <v>5.75</v>
      </c>
      <c r="M41" s="13">
        <v>5.25</v>
      </c>
      <c r="N41" s="17">
        <f t="shared" si="9"/>
        <v>35.65</v>
      </c>
      <c r="O41" s="38">
        <f t="shared" si="10"/>
        <v>761.48646685197525</v>
      </c>
      <c r="P41" s="39">
        <v>8</v>
      </c>
      <c r="Q41" s="39">
        <v>10</v>
      </c>
      <c r="R41" s="39">
        <v>9</v>
      </c>
      <c r="S41" s="39">
        <v>9</v>
      </c>
      <c r="T41" s="39">
        <v>9</v>
      </c>
      <c r="U41" s="39">
        <v>9</v>
      </c>
      <c r="V41" s="39">
        <v>9</v>
      </c>
      <c r="W41" s="40" t="str">
        <f t="shared" si="6"/>
        <v>N</v>
      </c>
      <c r="X41" s="84">
        <f t="shared" si="7"/>
        <v>0</v>
      </c>
      <c r="Y41" s="84" t="str">
        <f t="shared" si="5"/>
        <v>0-4.9%</v>
      </c>
      <c r="Z41" s="8" t="s">
        <v>786</v>
      </c>
    </row>
    <row r="42" spans="1:26" ht="24" customHeight="1" x14ac:dyDescent="0.25">
      <c r="A42" s="10">
        <v>8</v>
      </c>
      <c r="B42" s="9">
        <v>0.49305555555555558</v>
      </c>
      <c r="C42" s="5" t="s">
        <v>38</v>
      </c>
      <c r="D42" s="5">
        <f t="shared" si="8"/>
        <v>10</v>
      </c>
      <c r="E42" s="15" t="s">
        <v>55</v>
      </c>
      <c r="F42" s="15" t="s">
        <v>20</v>
      </c>
      <c r="G42" s="13">
        <v>4.9000000000000004</v>
      </c>
      <c r="H42" s="13">
        <v>6.6</v>
      </c>
      <c r="I42" s="13">
        <v>6.75</v>
      </c>
      <c r="J42" s="13">
        <v>8.3000000000000007</v>
      </c>
      <c r="K42" s="13">
        <v>8.25</v>
      </c>
      <c r="L42" s="13">
        <v>8.0500000000000007</v>
      </c>
      <c r="M42" s="13"/>
      <c r="N42" s="17">
        <f t="shared" si="9"/>
        <v>42.849999999999994</v>
      </c>
      <c r="O42" s="38">
        <f t="shared" si="10"/>
        <v>1742.5008706757139</v>
      </c>
      <c r="P42" s="39">
        <v>8</v>
      </c>
      <c r="Q42" s="39">
        <v>10</v>
      </c>
      <c r="R42" s="39">
        <v>9</v>
      </c>
      <c r="S42" s="39">
        <v>9</v>
      </c>
      <c r="T42" s="39">
        <v>9</v>
      </c>
      <c r="U42" s="39">
        <v>9</v>
      </c>
      <c r="V42" s="39">
        <v>9</v>
      </c>
      <c r="W42" s="40" t="str">
        <f t="shared" si="6"/>
        <v>N</v>
      </c>
      <c r="X42" s="84">
        <f t="shared" si="7"/>
        <v>0</v>
      </c>
      <c r="Y42" s="84" t="str">
        <f t="shared" si="5"/>
        <v>0-4.9%</v>
      </c>
      <c r="Z42" s="8" t="s">
        <v>788</v>
      </c>
    </row>
    <row r="43" spans="1:26" ht="24" customHeight="1" x14ac:dyDescent="0.25">
      <c r="A43" s="10">
        <v>11</v>
      </c>
      <c r="B43" s="9">
        <v>0.52430555555555558</v>
      </c>
      <c r="C43" s="5" t="s">
        <v>41</v>
      </c>
      <c r="D43" s="5">
        <f t="shared" si="8"/>
        <v>10</v>
      </c>
      <c r="E43" s="15" t="s">
        <v>57</v>
      </c>
      <c r="F43" s="15" t="s">
        <v>62</v>
      </c>
      <c r="G43" s="13">
        <v>6.9</v>
      </c>
      <c r="H43" s="13">
        <v>10.1</v>
      </c>
      <c r="I43" s="13">
        <v>7.25</v>
      </c>
      <c r="J43" s="13">
        <v>2.6</v>
      </c>
      <c r="K43" s="13"/>
      <c r="L43" s="13"/>
      <c r="M43" s="13"/>
      <c r="N43" s="12">
        <f t="shared" si="9"/>
        <v>26.85</v>
      </c>
      <c r="O43" s="38">
        <f t="shared" si="10"/>
        <v>212.63932783324827</v>
      </c>
      <c r="P43" s="39">
        <v>8</v>
      </c>
      <c r="Q43" s="39">
        <v>10</v>
      </c>
      <c r="R43" s="39">
        <v>9</v>
      </c>
      <c r="S43" s="39">
        <v>9</v>
      </c>
      <c r="T43" s="39">
        <v>9</v>
      </c>
      <c r="U43" s="39">
        <v>9</v>
      </c>
      <c r="V43" s="39">
        <v>9</v>
      </c>
      <c r="W43" s="40" t="str">
        <f t="shared" si="6"/>
        <v>Y</v>
      </c>
      <c r="X43" s="84">
        <f t="shared" si="7"/>
        <v>9.9999999999999638E-3</v>
      </c>
      <c r="Y43" s="84" t="str">
        <f t="shared" si="5"/>
        <v>0-4.9%</v>
      </c>
      <c r="Z43" s="8" t="s">
        <v>812</v>
      </c>
    </row>
    <row r="44" spans="1:26" ht="24" customHeight="1" x14ac:dyDescent="0.25">
      <c r="A44" s="10">
        <v>12</v>
      </c>
      <c r="B44" s="9">
        <v>0.52777777777777779</v>
      </c>
      <c r="C44" s="5" t="s">
        <v>42</v>
      </c>
      <c r="D44" s="5">
        <f t="shared" si="8"/>
        <v>10</v>
      </c>
      <c r="E44" s="15" t="s">
        <v>55</v>
      </c>
      <c r="F44" s="15" t="s">
        <v>20</v>
      </c>
      <c r="G44" s="13">
        <v>6.6</v>
      </c>
      <c r="H44" s="13">
        <v>5.25</v>
      </c>
      <c r="I44" s="13">
        <v>8.1999999999999993</v>
      </c>
      <c r="J44" s="13">
        <v>7.05</v>
      </c>
      <c r="K44" s="13">
        <v>5.75</v>
      </c>
      <c r="L44" s="13">
        <v>6.85</v>
      </c>
      <c r="M44" s="13"/>
      <c r="N44" s="12">
        <f t="shared" si="9"/>
        <v>39.699999999999996</v>
      </c>
      <c r="O44" s="38">
        <f t="shared" si="10"/>
        <v>1235.8096041808476</v>
      </c>
      <c r="P44" s="39">
        <v>8</v>
      </c>
      <c r="Q44" s="39">
        <v>10</v>
      </c>
      <c r="R44" s="39">
        <v>9</v>
      </c>
      <c r="S44" s="39">
        <v>9</v>
      </c>
      <c r="T44" s="39">
        <v>9</v>
      </c>
      <c r="U44" s="39">
        <v>9</v>
      </c>
      <c r="V44" s="39">
        <v>9</v>
      </c>
      <c r="W44" s="40" t="str">
        <f t="shared" si="6"/>
        <v>N</v>
      </c>
      <c r="X44" s="84">
        <f t="shared" si="7"/>
        <v>0</v>
      </c>
      <c r="Y44" s="84" t="str">
        <f t="shared" si="5"/>
        <v>0-4.9%</v>
      </c>
      <c r="Z44" s="8" t="s">
        <v>786</v>
      </c>
    </row>
    <row r="45" spans="1:26" ht="24" customHeight="1" x14ac:dyDescent="0.25">
      <c r="A45" s="10">
        <v>14</v>
      </c>
      <c r="B45" s="9">
        <v>0.54722222222222217</v>
      </c>
      <c r="C45" s="5" t="s">
        <v>44</v>
      </c>
      <c r="D45" s="5">
        <f t="shared" si="8"/>
        <v>10</v>
      </c>
      <c r="E45" s="15" t="s">
        <v>55</v>
      </c>
      <c r="F45" s="15" t="s">
        <v>20</v>
      </c>
      <c r="G45" s="13">
        <v>5.75</v>
      </c>
      <c r="H45" s="13">
        <v>5.4</v>
      </c>
      <c r="I45" s="13">
        <v>5.5</v>
      </c>
      <c r="J45" s="13">
        <v>6.3</v>
      </c>
      <c r="K45" s="13">
        <v>7.2</v>
      </c>
      <c r="L45" s="13">
        <v>5.3</v>
      </c>
      <c r="M45" s="13"/>
      <c r="N45" s="17">
        <f t="shared" si="9"/>
        <v>35.449999999999996</v>
      </c>
      <c r="O45" s="38">
        <f t="shared" si="10"/>
        <v>742.45025961066005</v>
      </c>
      <c r="P45" s="39">
        <v>8</v>
      </c>
      <c r="Q45" s="39">
        <v>10</v>
      </c>
      <c r="R45" s="39">
        <v>9</v>
      </c>
      <c r="S45" s="39">
        <v>9</v>
      </c>
      <c r="T45" s="39">
        <v>9</v>
      </c>
      <c r="U45" s="39">
        <v>9</v>
      </c>
      <c r="V45" s="39">
        <v>9</v>
      </c>
      <c r="W45" s="40" t="str">
        <f t="shared" si="6"/>
        <v>N</v>
      </c>
      <c r="X45" s="84">
        <f t="shared" si="7"/>
        <v>0</v>
      </c>
      <c r="Y45" s="84" t="str">
        <f t="shared" si="5"/>
        <v>0-4.9%</v>
      </c>
      <c r="Z45" s="8" t="s">
        <v>794</v>
      </c>
    </row>
    <row r="46" spans="1:26" ht="24" customHeight="1" x14ac:dyDescent="0.25">
      <c r="A46" s="10">
        <v>16</v>
      </c>
      <c r="B46" s="9">
        <v>0.60416666666666663</v>
      </c>
      <c r="C46" s="5" t="s">
        <v>46</v>
      </c>
      <c r="D46" s="5">
        <f t="shared" si="8"/>
        <v>10</v>
      </c>
      <c r="E46" s="15" t="s">
        <v>57</v>
      </c>
      <c r="F46" s="15" t="s">
        <v>62</v>
      </c>
      <c r="G46" s="13">
        <v>6.85</v>
      </c>
      <c r="H46" s="13">
        <v>8.6</v>
      </c>
      <c r="I46" s="13">
        <v>9.6</v>
      </c>
      <c r="J46" s="13">
        <v>2.75</v>
      </c>
      <c r="K46" s="13"/>
      <c r="L46" s="13"/>
      <c r="M46" s="13"/>
      <c r="N46" s="17">
        <f t="shared" si="9"/>
        <v>27.799999999999997</v>
      </c>
      <c r="O46" s="38">
        <f t="shared" si="10"/>
        <v>248.65423891735662</v>
      </c>
      <c r="P46" s="39">
        <v>8</v>
      </c>
      <c r="Q46" s="39">
        <v>10</v>
      </c>
      <c r="R46" s="39">
        <v>9</v>
      </c>
      <c r="S46" s="39">
        <v>9</v>
      </c>
      <c r="T46" s="39">
        <v>9</v>
      </c>
      <c r="U46" s="39">
        <v>9</v>
      </c>
      <c r="V46" s="39">
        <v>9</v>
      </c>
      <c r="W46" s="40" t="str">
        <f t="shared" si="6"/>
        <v>Y</v>
      </c>
      <c r="X46" s="84">
        <f t="shared" si="7"/>
        <v>5.9999999999999963E-2</v>
      </c>
      <c r="Y46" s="84" t="str">
        <f t="shared" si="5"/>
        <v>5-25%</v>
      </c>
      <c r="Z46" s="8" t="s">
        <v>812</v>
      </c>
    </row>
    <row r="47" spans="1:26" ht="24" customHeight="1" x14ac:dyDescent="0.25">
      <c r="A47" s="10">
        <v>17</v>
      </c>
      <c r="B47" s="9">
        <v>0.60625000000000007</v>
      </c>
      <c r="C47" s="5" t="s">
        <v>47</v>
      </c>
      <c r="D47" s="5">
        <f t="shared" si="8"/>
        <v>10</v>
      </c>
      <c r="E47" s="15" t="s">
        <v>57</v>
      </c>
      <c r="F47" s="15" t="s">
        <v>63</v>
      </c>
      <c r="G47" s="13">
        <v>6.55</v>
      </c>
      <c r="H47" s="13">
        <v>8</v>
      </c>
      <c r="I47" s="13">
        <v>9</v>
      </c>
      <c r="J47" s="13">
        <v>7.8</v>
      </c>
      <c r="K47" s="13"/>
      <c r="L47" s="13"/>
      <c r="M47" s="13"/>
      <c r="N47" s="17">
        <f t="shared" si="9"/>
        <v>31.35</v>
      </c>
      <c r="O47" s="38">
        <f t="shared" si="10"/>
        <v>427.03477127178911</v>
      </c>
      <c r="P47" s="39">
        <v>8</v>
      </c>
      <c r="Q47" s="39">
        <v>10</v>
      </c>
      <c r="R47" s="39">
        <v>9</v>
      </c>
      <c r="S47" s="39">
        <v>9</v>
      </c>
      <c r="T47" s="39">
        <v>9</v>
      </c>
      <c r="U47" s="39">
        <v>9</v>
      </c>
      <c r="V47" s="39">
        <v>9</v>
      </c>
      <c r="W47" s="40" t="str">
        <f t="shared" si="6"/>
        <v>N</v>
      </c>
      <c r="X47" s="84">
        <f t="shared" si="7"/>
        <v>0</v>
      </c>
      <c r="Y47" s="84" t="str">
        <f t="shared" si="5"/>
        <v>0-4.9%</v>
      </c>
      <c r="Z47" s="8" t="s">
        <v>786</v>
      </c>
    </row>
    <row r="48" spans="1:26" ht="24" customHeight="1" x14ac:dyDescent="0.25">
      <c r="A48" s="10">
        <v>20</v>
      </c>
      <c r="B48" s="9">
        <v>0.64236111111111105</v>
      </c>
      <c r="C48" s="5" t="s">
        <v>50</v>
      </c>
      <c r="D48" s="5">
        <f t="shared" si="8"/>
        <v>10</v>
      </c>
      <c r="E48" s="15" t="s">
        <v>55</v>
      </c>
      <c r="F48" s="15" t="s">
        <v>20</v>
      </c>
      <c r="G48" s="13">
        <v>6.6</v>
      </c>
      <c r="H48" s="13">
        <v>8.6999999999999993</v>
      </c>
      <c r="I48" s="13">
        <v>7.4</v>
      </c>
      <c r="J48" s="13">
        <v>7.5</v>
      </c>
      <c r="K48" s="13">
        <v>7.6</v>
      </c>
      <c r="L48" s="13">
        <v>8.4</v>
      </c>
      <c r="M48" s="13"/>
      <c r="N48" s="17">
        <f t="shared" si="9"/>
        <v>46.199999999999996</v>
      </c>
      <c r="O48" s="38">
        <f t="shared" si="10"/>
        <v>2445.0242767543168</v>
      </c>
      <c r="P48" s="39">
        <v>8</v>
      </c>
      <c r="Q48" s="39">
        <v>10</v>
      </c>
      <c r="R48" s="39">
        <v>9</v>
      </c>
      <c r="S48" s="39">
        <v>9</v>
      </c>
      <c r="T48" s="39">
        <v>9</v>
      </c>
      <c r="U48" s="39">
        <v>9</v>
      </c>
      <c r="V48" s="39">
        <v>9</v>
      </c>
      <c r="W48" s="40" t="str">
        <f t="shared" si="6"/>
        <v>N</v>
      </c>
      <c r="X48" s="84">
        <f t="shared" si="7"/>
        <v>0</v>
      </c>
      <c r="Y48" s="84" t="str">
        <f t="shared" si="5"/>
        <v>0-4.9%</v>
      </c>
      <c r="Z48" s="8" t="s">
        <v>786</v>
      </c>
    </row>
    <row r="49" spans="1:26" ht="24" customHeight="1" x14ac:dyDescent="0.25">
      <c r="A49" s="10">
        <v>21</v>
      </c>
      <c r="B49" s="9">
        <v>0.66875000000000007</v>
      </c>
      <c r="C49" s="5" t="s">
        <v>51</v>
      </c>
      <c r="D49" s="5">
        <f t="shared" si="8"/>
        <v>10</v>
      </c>
      <c r="E49" s="15" t="s">
        <v>59</v>
      </c>
      <c r="F49" s="15" t="s">
        <v>129</v>
      </c>
      <c r="G49" s="13">
        <v>7.1</v>
      </c>
      <c r="H49" s="13">
        <v>7.65</v>
      </c>
      <c r="I49" s="13">
        <v>6.4</v>
      </c>
      <c r="J49" s="13">
        <v>6.25</v>
      </c>
      <c r="K49" s="13">
        <v>8.3000000000000007</v>
      </c>
      <c r="L49" s="13">
        <v>5.9</v>
      </c>
      <c r="M49" s="13">
        <v>5.65</v>
      </c>
      <c r="N49" s="17">
        <f t="shared" si="9"/>
        <v>47.25</v>
      </c>
      <c r="O49" s="38">
        <f t="shared" si="10"/>
        <v>2705.2190896791353</v>
      </c>
      <c r="P49" s="39">
        <v>8</v>
      </c>
      <c r="Q49" s="39">
        <v>10</v>
      </c>
      <c r="R49" s="39">
        <v>9</v>
      </c>
      <c r="S49" s="39">
        <v>9</v>
      </c>
      <c r="T49" s="39">
        <v>9</v>
      </c>
      <c r="U49" s="39">
        <v>9</v>
      </c>
      <c r="V49" s="39">
        <v>9</v>
      </c>
      <c r="W49" s="40" t="str">
        <f t="shared" si="6"/>
        <v>N</v>
      </c>
      <c r="X49" s="84">
        <f t="shared" si="7"/>
        <v>0</v>
      </c>
      <c r="Y49" s="84" t="str">
        <f t="shared" si="5"/>
        <v>0-4.9%</v>
      </c>
      <c r="Z49" s="8" t="s">
        <v>790</v>
      </c>
    </row>
    <row r="50" spans="1:26" ht="24" customHeight="1" x14ac:dyDescent="0.25">
      <c r="A50" s="10">
        <v>22</v>
      </c>
      <c r="B50" s="9">
        <v>0.67361111111111116</v>
      </c>
      <c r="C50" s="5" t="s">
        <v>52</v>
      </c>
      <c r="D50" s="5">
        <f t="shared" si="8"/>
        <v>10</v>
      </c>
      <c r="E50" s="15" t="s">
        <v>55</v>
      </c>
      <c r="F50" s="15" t="s">
        <v>20</v>
      </c>
      <c r="G50" s="13">
        <v>6.1</v>
      </c>
      <c r="H50" s="13">
        <v>7.35</v>
      </c>
      <c r="I50" s="13">
        <v>6.9</v>
      </c>
      <c r="J50" s="13">
        <v>6.55</v>
      </c>
      <c r="K50" s="13">
        <v>7.15</v>
      </c>
      <c r="L50" s="13">
        <v>9.1</v>
      </c>
      <c r="M50" s="13"/>
      <c r="N50" s="17">
        <f t="shared" si="9"/>
        <v>43.150000000000006</v>
      </c>
      <c r="O50" s="38">
        <f t="shared" si="10"/>
        <v>1798.0753439975551</v>
      </c>
      <c r="P50" s="39">
        <v>8</v>
      </c>
      <c r="Q50" s="39">
        <v>10</v>
      </c>
      <c r="R50" s="39">
        <v>9</v>
      </c>
      <c r="S50" s="39">
        <v>9</v>
      </c>
      <c r="T50" s="39">
        <v>9</v>
      </c>
      <c r="U50" s="39">
        <v>9</v>
      </c>
      <c r="V50" s="39">
        <v>9</v>
      </c>
      <c r="W50" s="40" t="str">
        <f t="shared" si="6"/>
        <v>Y</v>
      </c>
      <c r="X50" s="84">
        <f t="shared" si="7"/>
        <v>9.9999999999999638E-3</v>
      </c>
      <c r="Y50" s="84" t="str">
        <f t="shared" si="5"/>
        <v>0-4.9%</v>
      </c>
      <c r="Z50" s="8" t="s">
        <v>782</v>
      </c>
    </row>
    <row r="51" spans="1:26" ht="24" customHeight="1" x14ac:dyDescent="0.25">
      <c r="A51" s="10">
        <v>23</v>
      </c>
      <c r="B51" s="9">
        <v>0.72916666666666663</v>
      </c>
      <c r="C51" s="5" t="s">
        <v>53</v>
      </c>
      <c r="D51" s="5">
        <f t="shared" si="8"/>
        <v>10</v>
      </c>
      <c r="E51" s="15" t="s">
        <v>55</v>
      </c>
      <c r="F51" s="15" t="s">
        <v>20</v>
      </c>
      <c r="G51" s="13">
        <v>5.2</v>
      </c>
      <c r="H51" s="13">
        <v>4.95</v>
      </c>
      <c r="I51" s="13">
        <v>3.45</v>
      </c>
      <c r="J51" s="13">
        <v>4.05</v>
      </c>
      <c r="K51" s="13">
        <v>4</v>
      </c>
      <c r="L51" s="13">
        <v>4.9000000000000004</v>
      </c>
      <c r="M51" s="13"/>
      <c r="N51" s="17">
        <f t="shared" si="9"/>
        <v>26.550000000000004</v>
      </c>
      <c r="O51" s="38">
        <f t="shared" si="10"/>
        <v>202.15507566955461</v>
      </c>
      <c r="P51" s="39">
        <v>8</v>
      </c>
      <c r="Q51" s="39">
        <v>10</v>
      </c>
      <c r="R51" s="39">
        <v>9</v>
      </c>
      <c r="S51" s="39">
        <v>9</v>
      </c>
      <c r="T51" s="39">
        <v>9</v>
      </c>
      <c r="U51" s="39">
        <v>9</v>
      </c>
      <c r="V51" s="39">
        <v>9</v>
      </c>
      <c r="W51" s="40" t="str">
        <f t="shared" si="6"/>
        <v>N</v>
      </c>
      <c r="X51" s="84">
        <f t="shared" si="7"/>
        <v>0</v>
      </c>
      <c r="Y51" s="84" t="str">
        <f t="shared" si="5"/>
        <v>0-4.9%</v>
      </c>
      <c r="Z51" s="8" t="s">
        <v>794</v>
      </c>
    </row>
    <row r="52" spans="1:26" ht="24" customHeight="1" x14ac:dyDescent="0.25">
      <c r="A52" s="10">
        <v>24</v>
      </c>
      <c r="B52" s="9">
        <v>0.75</v>
      </c>
      <c r="C52" s="5" t="s">
        <v>54</v>
      </c>
      <c r="D52" s="5">
        <f t="shared" si="8"/>
        <v>10</v>
      </c>
      <c r="E52" s="15" t="s">
        <v>55</v>
      </c>
      <c r="F52" s="15" t="s">
        <v>20</v>
      </c>
      <c r="G52" s="13">
        <v>6.1</v>
      </c>
      <c r="H52" s="13">
        <v>4.9000000000000004</v>
      </c>
      <c r="I52" s="13">
        <v>7.4</v>
      </c>
      <c r="J52" s="13">
        <v>5.3</v>
      </c>
      <c r="K52" s="13">
        <v>7</v>
      </c>
      <c r="L52" s="13">
        <v>7.5</v>
      </c>
      <c r="M52" s="13"/>
      <c r="N52" s="17">
        <f t="shared" si="9"/>
        <v>38.200000000000003</v>
      </c>
      <c r="O52" s="38">
        <f t="shared" si="10"/>
        <v>1039.1528156838551</v>
      </c>
      <c r="P52" s="39">
        <v>8</v>
      </c>
      <c r="Q52" s="39">
        <v>10</v>
      </c>
      <c r="R52" s="39">
        <v>9</v>
      </c>
      <c r="S52" s="39">
        <v>9</v>
      </c>
      <c r="T52" s="39">
        <v>9</v>
      </c>
      <c r="U52" s="39">
        <v>9</v>
      </c>
      <c r="V52" s="39">
        <v>9</v>
      </c>
      <c r="W52" s="40" t="str">
        <f t="shared" si="6"/>
        <v>N</v>
      </c>
      <c r="X52" s="84">
        <f t="shared" si="7"/>
        <v>0</v>
      </c>
      <c r="Y52" s="84" t="str">
        <f t="shared" si="5"/>
        <v>0-4.9%</v>
      </c>
      <c r="Z52" s="8" t="s">
        <v>786</v>
      </c>
    </row>
    <row r="53" spans="1:26" ht="24" customHeight="1" x14ac:dyDescent="0.25">
      <c r="A53" s="10">
        <v>1</v>
      </c>
      <c r="B53" s="9">
        <v>0.34027777777777773</v>
      </c>
      <c r="C53" s="5" t="s">
        <v>90</v>
      </c>
      <c r="D53" s="5">
        <f t="shared" si="8"/>
        <v>10</v>
      </c>
      <c r="E53" s="15" t="s">
        <v>59</v>
      </c>
      <c r="F53" s="15" t="s">
        <v>129</v>
      </c>
      <c r="G53" s="19">
        <v>5.95</v>
      </c>
      <c r="H53" s="19">
        <v>12.25</v>
      </c>
      <c r="I53" s="19">
        <v>5</v>
      </c>
      <c r="J53" s="19">
        <v>8.35</v>
      </c>
      <c r="K53" s="19">
        <v>6.15</v>
      </c>
      <c r="L53" s="19">
        <v>8.5</v>
      </c>
      <c r="M53" s="19">
        <v>7.35</v>
      </c>
      <c r="N53" s="17">
        <f t="shared" si="9"/>
        <v>53.55</v>
      </c>
      <c r="O53" s="38">
        <f t="shared" si="10"/>
        <v>4751.2942121376645</v>
      </c>
      <c r="P53" s="39">
        <v>8</v>
      </c>
      <c r="Q53" s="39">
        <v>10</v>
      </c>
      <c r="R53" s="39">
        <v>9</v>
      </c>
      <c r="S53" s="39">
        <v>9</v>
      </c>
      <c r="T53" s="39">
        <v>9</v>
      </c>
      <c r="U53" s="39">
        <v>9</v>
      </c>
      <c r="V53" s="39">
        <v>9</v>
      </c>
      <c r="W53" s="40" t="str">
        <f t="shared" si="6"/>
        <v>Y</v>
      </c>
      <c r="X53" s="84">
        <f t="shared" si="7"/>
        <v>0.22500000000000001</v>
      </c>
      <c r="Y53" s="84" t="str">
        <f t="shared" si="5"/>
        <v>5-25%</v>
      </c>
      <c r="Z53" s="8" t="s">
        <v>790</v>
      </c>
    </row>
    <row r="54" spans="1:26" ht="24" customHeight="1" x14ac:dyDescent="0.25">
      <c r="A54" s="10">
        <v>2</v>
      </c>
      <c r="B54" s="9">
        <v>0.34583333333333338</v>
      </c>
      <c r="C54" s="5" t="s">
        <v>89</v>
      </c>
      <c r="D54" s="5">
        <f t="shared" si="8"/>
        <v>10</v>
      </c>
      <c r="E54" s="15" t="s">
        <v>55</v>
      </c>
      <c r="F54" s="15" t="s">
        <v>20</v>
      </c>
      <c r="G54" s="19">
        <v>6.8</v>
      </c>
      <c r="H54" s="19">
        <v>8.8000000000000007</v>
      </c>
      <c r="I54" s="19">
        <v>7.5</v>
      </c>
      <c r="J54" s="19">
        <v>8.4</v>
      </c>
      <c r="K54" s="19">
        <v>8.1999999999999993</v>
      </c>
      <c r="L54" s="19">
        <v>6.8</v>
      </c>
      <c r="M54" s="19"/>
      <c r="N54" s="17">
        <f t="shared" si="9"/>
        <v>46.5</v>
      </c>
      <c r="O54" s="38">
        <f t="shared" si="10"/>
        <v>2517.2860761818356</v>
      </c>
      <c r="P54" s="39">
        <v>8</v>
      </c>
      <c r="Q54" s="39">
        <v>10</v>
      </c>
      <c r="R54" s="39">
        <v>9</v>
      </c>
      <c r="S54" s="39">
        <v>9</v>
      </c>
      <c r="T54" s="39">
        <v>9</v>
      </c>
      <c r="U54" s="39">
        <v>9</v>
      </c>
      <c r="V54" s="39">
        <v>9</v>
      </c>
      <c r="W54" s="40" t="str">
        <f t="shared" si="6"/>
        <v>N</v>
      </c>
      <c r="X54" s="84">
        <f t="shared" si="7"/>
        <v>0</v>
      </c>
      <c r="Y54" s="84" t="str">
        <f t="shared" si="5"/>
        <v>0-4.9%</v>
      </c>
      <c r="Z54" s="8" t="s">
        <v>786</v>
      </c>
    </row>
    <row r="55" spans="1:26" ht="24" customHeight="1" x14ac:dyDescent="0.25">
      <c r="A55" s="10">
        <v>4</v>
      </c>
      <c r="B55" s="9">
        <v>0.3756944444444445</v>
      </c>
      <c r="C55" s="5" t="s">
        <v>87</v>
      </c>
      <c r="D55" s="5">
        <f t="shared" si="8"/>
        <v>10</v>
      </c>
      <c r="E55" s="15" t="s">
        <v>55</v>
      </c>
      <c r="F55" s="15" t="s">
        <v>20</v>
      </c>
      <c r="G55" s="13">
        <v>6.6</v>
      </c>
      <c r="H55" s="13">
        <v>6.7</v>
      </c>
      <c r="I55" s="13">
        <v>6.1</v>
      </c>
      <c r="J55" s="13">
        <v>7</v>
      </c>
      <c r="K55" s="13">
        <v>6.8</v>
      </c>
      <c r="L55" s="13">
        <v>8</v>
      </c>
      <c r="M55" s="13"/>
      <c r="N55" s="17">
        <f t="shared" si="9"/>
        <v>41.199999999999996</v>
      </c>
      <c r="O55" s="38">
        <f t="shared" si="10"/>
        <v>1460.2652747142349</v>
      </c>
      <c r="P55" s="39">
        <v>8</v>
      </c>
      <c r="Q55" s="39">
        <v>10</v>
      </c>
      <c r="R55" s="39">
        <v>9</v>
      </c>
      <c r="S55" s="39">
        <v>9</v>
      </c>
      <c r="T55" s="39">
        <v>9</v>
      </c>
      <c r="U55" s="39">
        <v>9</v>
      </c>
      <c r="V55" s="39">
        <v>9</v>
      </c>
      <c r="W55" s="40" t="str">
        <f t="shared" si="6"/>
        <v>N</v>
      </c>
      <c r="X55" s="84">
        <f t="shared" si="7"/>
        <v>0</v>
      </c>
      <c r="Y55" s="84" t="str">
        <f t="shared" si="5"/>
        <v>0-4.9%</v>
      </c>
      <c r="Z55" s="8" t="s">
        <v>786</v>
      </c>
    </row>
    <row r="56" spans="1:26" ht="24" customHeight="1" x14ac:dyDescent="0.25">
      <c r="A56" s="10">
        <v>6</v>
      </c>
      <c r="B56" s="9">
        <v>0.39583333333333331</v>
      </c>
      <c r="C56" s="5" t="s">
        <v>85</v>
      </c>
      <c r="D56" s="5">
        <f t="shared" si="8"/>
        <v>10</v>
      </c>
      <c r="E56" s="15" t="s">
        <v>55</v>
      </c>
      <c r="F56" s="15" t="s">
        <v>20</v>
      </c>
      <c r="G56" s="13">
        <v>5.2</v>
      </c>
      <c r="H56" s="13">
        <v>2.9</v>
      </c>
      <c r="I56" s="13">
        <v>4.8</v>
      </c>
      <c r="J56" s="13">
        <v>5</v>
      </c>
      <c r="K56" s="13">
        <v>4.5</v>
      </c>
      <c r="L56" s="13">
        <v>4.5</v>
      </c>
      <c r="M56" s="13"/>
      <c r="N56" s="17">
        <f t="shared" si="9"/>
        <v>26.9</v>
      </c>
      <c r="O56" s="38">
        <f t="shared" si="10"/>
        <v>214.42703757606324</v>
      </c>
      <c r="P56" s="39">
        <v>8</v>
      </c>
      <c r="Q56" s="39">
        <v>10</v>
      </c>
      <c r="R56" s="39">
        <v>9</v>
      </c>
      <c r="S56" s="39">
        <v>9</v>
      </c>
      <c r="T56" s="39">
        <v>9</v>
      </c>
      <c r="U56" s="39">
        <v>9</v>
      </c>
      <c r="V56" s="39">
        <v>9</v>
      </c>
      <c r="W56" s="40" t="str">
        <f t="shared" si="6"/>
        <v>N</v>
      </c>
      <c r="X56" s="84">
        <f t="shared" si="7"/>
        <v>0</v>
      </c>
      <c r="Y56" s="84" t="str">
        <f t="shared" si="5"/>
        <v>0-4.9%</v>
      </c>
      <c r="Z56" s="8" t="s">
        <v>788</v>
      </c>
    </row>
    <row r="57" spans="1:26" ht="24" customHeight="1" x14ac:dyDescent="0.25">
      <c r="A57" s="10">
        <v>7</v>
      </c>
      <c r="B57" s="9">
        <v>0.43055555555555558</v>
      </c>
      <c r="C57" s="5" t="s">
        <v>84</v>
      </c>
      <c r="D57" s="5">
        <f t="shared" si="8"/>
        <v>10</v>
      </c>
      <c r="E57" s="15" t="s">
        <v>55</v>
      </c>
      <c r="F57" s="15" t="s">
        <v>20</v>
      </c>
      <c r="G57" s="13">
        <v>5.4</v>
      </c>
      <c r="H57" s="13">
        <v>6.95</v>
      </c>
      <c r="I57" s="13">
        <v>8.4499999999999993</v>
      </c>
      <c r="J57" s="13">
        <v>8.15</v>
      </c>
      <c r="K57" s="13">
        <v>8.1</v>
      </c>
      <c r="L57" s="13">
        <v>8.1</v>
      </c>
      <c r="M57" s="13"/>
      <c r="N57" s="17">
        <f t="shared" si="9"/>
        <v>45.150000000000006</v>
      </c>
      <c r="O57" s="38">
        <f t="shared" si="10"/>
        <v>2204.7237553041205</v>
      </c>
      <c r="P57" s="39">
        <v>8</v>
      </c>
      <c r="Q57" s="39">
        <v>10</v>
      </c>
      <c r="R57" s="39">
        <v>9</v>
      </c>
      <c r="S57" s="39">
        <v>9</v>
      </c>
      <c r="T57" s="39">
        <v>9</v>
      </c>
      <c r="U57" s="39">
        <v>9</v>
      </c>
      <c r="V57" s="39">
        <v>9</v>
      </c>
      <c r="W57" s="40" t="str">
        <f t="shared" si="6"/>
        <v>N</v>
      </c>
      <c r="X57" s="84">
        <f t="shared" si="7"/>
        <v>0</v>
      </c>
      <c r="Y57" s="84" t="str">
        <f t="shared" si="5"/>
        <v>0-4.9%</v>
      </c>
      <c r="Z57" s="8" t="s">
        <v>782</v>
      </c>
    </row>
    <row r="58" spans="1:26" ht="24" customHeight="1" x14ac:dyDescent="0.25">
      <c r="A58" s="10">
        <v>9</v>
      </c>
      <c r="B58" s="9">
        <v>0.44722222222222219</v>
      </c>
      <c r="C58" s="5" t="s">
        <v>82</v>
      </c>
      <c r="D58" s="5">
        <f t="shared" si="8"/>
        <v>10</v>
      </c>
      <c r="E58" s="15" t="s">
        <v>55</v>
      </c>
      <c r="F58" s="15" t="s">
        <v>20</v>
      </c>
      <c r="G58" s="13">
        <v>5.25</v>
      </c>
      <c r="H58" s="13">
        <v>4.05</v>
      </c>
      <c r="I58" s="13">
        <v>6.6</v>
      </c>
      <c r="J58" s="13">
        <v>6.45</v>
      </c>
      <c r="K58" s="13">
        <v>5.65</v>
      </c>
      <c r="L58" s="13">
        <v>6.1</v>
      </c>
      <c r="M58" s="13"/>
      <c r="N58" s="17">
        <f t="shared" si="9"/>
        <v>34.1</v>
      </c>
      <c r="O58" s="38">
        <f t="shared" si="10"/>
        <v>623.43185753727516</v>
      </c>
      <c r="P58" s="39">
        <v>8</v>
      </c>
      <c r="Q58" s="39">
        <v>10</v>
      </c>
      <c r="R58" s="39">
        <v>9</v>
      </c>
      <c r="S58" s="39">
        <v>9</v>
      </c>
      <c r="T58" s="39">
        <v>9</v>
      </c>
      <c r="U58" s="39">
        <v>9</v>
      </c>
      <c r="V58" s="39">
        <v>9</v>
      </c>
      <c r="W58" s="40" t="str">
        <f t="shared" si="6"/>
        <v>N</v>
      </c>
      <c r="X58" s="84">
        <f t="shared" si="7"/>
        <v>0</v>
      </c>
      <c r="Y58" s="84" t="str">
        <f t="shared" si="5"/>
        <v>0-4.9%</v>
      </c>
      <c r="Z58" s="8" t="s">
        <v>812</v>
      </c>
    </row>
    <row r="59" spans="1:26" ht="24" customHeight="1" x14ac:dyDescent="0.25">
      <c r="A59" s="10">
        <v>11</v>
      </c>
      <c r="B59" s="9">
        <v>0.50763888888888886</v>
      </c>
      <c r="C59" s="5" t="s">
        <v>80</v>
      </c>
      <c r="D59" s="5">
        <f t="shared" si="8"/>
        <v>10</v>
      </c>
      <c r="E59" s="15" t="s">
        <v>55</v>
      </c>
      <c r="F59" s="15" t="s">
        <v>20</v>
      </c>
      <c r="G59" s="13">
        <v>5.5</v>
      </c>
      <c r="H59" s="13">
        <v>6.95</v>
      </c>
      <c r="I59" s="13">
        <v>7.15</v>
      </c>
      <c r="J59" s="13">
        <v>7.8</v>
      </c>
      <c r="K59" s="13">
        <v>6.7</v>
      </c>
      <c r="L59" s="13">
        <v>8.3000000000000007</v>
      </c>
      <c r="M59" s="13"/>
      <c r="N59" s="17">
        <f t="shared" si="9"/>
        <v>42.400000000000006</v>
      </c>
      <c r="O59" s="38">
        <f t="shared" si="10"/>
        <v>1661.6541642517893</v>
      </c>
      <c r="P59" s="39">
        <v>8</v>
      </c>
      <c r="Q59" s="39">
        <v>10</v>
      </c>
      <c r="R59" s="39">
        <v>9</v>
      </c>
      <c r="S59" s="39">
        <v>9</v>
      </c>
      <c r="T59" s="39">
        <v>9</v>
      </c>
      <c r="U59" s="39">
        <v>9</v>
      </c>
      <c r="V59" s="39">
        <v>9</v>
      </c>
      <c r="W59" s="40" t="str">
        <f t="shared" si="6"/>
        <v>N</v>
      </c>
      <c r="X59" s="84">
        <f t="shared" si="7"/>
        <v>0</v>
      </c>
      <c r="Y59" s="84" t="str">
        <f t="shared" si="5"/>
        <v>0-4.9%</v>
      </c>
      <c r="Z59" s="8" t="s">
        <v>794</v>
      </c>
    </row>
    <row r="60" spans="1:26" ht="24" customHeight="1" x14ac:dyDescent="0.25">
      <c r="A60" s="10">
        <v>12</v>
      </c>
      <c r="B60" s="9">
        <v>0.51388888888888895</v>
      </c>
      <c r="C60" s="5" t="s">
        <v>79</v>
      </c>
      <c r="D60" s="5">
        <f t="shared" si="8"/>
        <v>10</v>
      </c>
      <c r="E60" s="15" t="s">
        <v>55</v>
      </c>
      <c r="F60" s="15" t="s">
        <v>20</v>
      </c>
      <c r="G60" s="13">
        <v>6.05</v>
      </c>
      <c r="H60" s="13">
        <v>6.25</v>
      </c>
      <c r="I60" s="13">
        <v>6.75</v>
      </c>
      <c r="J60" s="13">
        <v>7.5</v>
      </c>
      <c r="K60" s="13">
        <v>7.85</v>
      </c>
      <c r="L60" s="13">
        <v>7.55</v>
      </c>
      <c r="M60" s="13"/>
      <c r="N60" s="17">
        <f t="shared" si="9"/>
        <v>41.949999999999996</v>
      </c>
      <c r="O60" s="38">
        <f t="shared" si="10"/>
        <v>1583.7554735794029</v>
      </c>
      <c r="P60" s="39">
        <v>8</v>
      </c>
      <c r="Q60" s="39">
        <v>10</v>
      </c>
      <c r="R60" s="39">
        <v>9</v>
      </c>
      <c r="S60" s="39">
        <v>9</v>
      </c>
      <c r="T60" s="39">
        <v>9</v>
      </c>
      <c r="U60" s="39">
        <v>9</v>
      </c>
      <c r="V60" s="39">
        <v>9</v>
      </c>
      <c r="W60" s="40" t="str">
        <f t="shared" si="6"/>
        <v>N</v>
      </c>
      <c r="X60" s="84">
        <f t="shared" si="7"/>
        <v>0</v>
      </c>
      <c r="Y60" s="84" t="str">
        <f t="shared" si="5"/>
        <v>0-4.9%</v>
      </c>
      <c r="Z60" s="8" t="s">
        <v>788</v>
      </c>
    </row>
    <row r="61" spans="1:26" ht="24" customHeight="1" x14ac:dyDescent="0.25">
      <c r="A61" s="10">
        <v>19</v>
      </c>
      <c r="B61" s="9">
        <v>0.61111111111111105</v>
      </c>
      <c r="C61" s="5" t="s">
        <v>72</v>
      </c>
      <c r="D61" s="5">
        <f t="shared" si="8"/>
        <v>10</v>
      </c>
      <c r="E61" s="15" t="s">
        <v>55</v>
      </c>
      <c r="F61" s="15" t="s">
        <v>20</v>
      </c>
      <c r="G61" s="13">
        <v>4.3</v>
      </c>
      <c r="H61" s="13">
        <v>4.95</v>
      </c>
      <c r="I61" s="13">
        <v>6.6</v>
      </c>
      <c r="J61" s="13">
        <v>6</v>
      </c>
      <c r="K61" s="13">
        <v>6.2</v>
      </c>
      <c r="L61" s="13">
        <v>7.2</v>
      </c>
      <c r="M61" s="13"/>
      <c r="N61" s="17">
        <f t="shared" si="9"/>
        <v>35.25</v>
      </c>
      <c r="O61" s="38">
        <f t="shared" si="10"/>
        <v>723.78625527022587</v>
      </c>
      <c r="P61" s="39">
        <v>8</v>
      </c>
      <c r="Q61" s="39">
        <v>10</v>
      </c>
      <c r="R61" s="39">
        <v>9</v>
      </c>
      <c r="S61" s="39">
        <v>9</v>
      </c>
      <c r="T61" s="39">
        <v>9</v>
      </c>
      <c r="U61" s="39">
        <v>9</v>
      </c>
      <c r="V61" s="39">
        <v>9</v>
      </c>
      <c r="W61" s="40" t="str">
        <f t="shared" si="6"/>
        <v>N</v>
      </c>
      <c r="X61" s="84">
        <f t="shared" si="7"/>
        <v>0</v>
      </c>
      <c r="Y61" s="84" t="str">
        <f t="shared" si="5"/>
        <v>0-4.9%</v>
      </c>
      <c r="Z61" s="8" t="s">
        <v>794</v>
      </c>
    </row>
    <row r="62" spans="1:26" ht="24" customHeight="1" x14ac:dyDescent="0.25">
      <c r="A62" s="10">
        <v>21</v>
      </c>
      <c r="B62" s="9">
        <v>0.63750000000000007</v>
      </c>
      <c r="C62" s="5" t="s">
        <v>70</v>
      </c>
      <c r="D62" s="5">
        <f t="shared" si="8"/>
        <v>10</v>
      </c>
      <c r="E62" s="15" t="s">
        <v>55</v>
      </c>
      <c r="F62" s="15" t="s">
        <v>20</v>
      </c>
      <c r="G62" s="13">
        <v>5.3</v>
      </c>
      <c r="H62" s="13">
        <v>6.8</v>
      </c>
      <c r="I62" s="13">
        <v>6.5</v>
      </c>
      <c r="J62" s="13">
        <v>7.4</v>
      </c>
      <c r="K62" s="13">
        <v>7.5</v>
      </c>
      <c r="L62" s="13">
        <v>8.1</v>
      </c>
      <c r="M62" s="13"/>
      <c r="N62" s="17">
        <f t="shared" si="9"/>
        <v>41.6</v>
      </c>
      <c r="O62" s="38">
        <f t="shared" si="10"/>
        <v>1525.1560204656332</v>
      </c>
      <c r="P62" s="39">
        <v>8</v>
      </c>
      <c r="Q62" s="39">
        <v>10</v>
      </c>
      <c r="R62" s="39">
        <v>9</v>
      </c>
      <c r="S62" s="39">
        <v>9</v>
      </c>
      <c r="T62" s="39">
        <v>9</v>
      </c>
      <c r="U62" s="39">
        <v>9</v>
      </c>
      <c r="V62" s="39">
        <v>9</v>
      </c>
      <c r="W62" s="40" t="str">
        <f t="shared" si="6"/>
        <v>N</v>
      </c>
      <c r="X62" s="84">
        <f t="shared" si="7"/>
        <v>0</v>
      </c>
      <c r="Y62" s="84" t="str">
        <f t="shared" si="5"/>
        <v>0-4.9%</v>
      </c>
      <c r="Z62" s="8" t="s">
        <v>790</v>
      </c>
    </row>
    <row r="63" spans="1:26" ht="24" customHeight="1" x14ac:dyDescent="0.25">
      <c r="A63" s="10">
        <v>22</v>
      </c>
      <c r="B63" s="9">
        <v>0.63541666666666663</v>
      </c>
      <c r="C63" s="5" t="s">
        <v>69</v>
      </c>
      <c r="D63" s="5">
        <f t="shared" si="8"/>
        <v>10</v>
      </c>
      <c r="E63" s="15" t="s">
        <v>55</v>
      </c>
      <c r="F63" s="15" t="s">
        <v>20</v>
      </c>
      <c r="G63" s="13">
        <v>5</v>
      </c>
      <c r="H63" s="13">
        <v>5.0999999999999996</v>
      </c>
      <c r="I63" s="13">
        <v>6.3</v>
      </c>
      <c r="J63" s="13">
        <v>7.4</v>
      </c>
      <c r="K63" s="13">
        <v>6.7</v>
      </c>
      <c r="L63" s="13">
        <v>8</v>
      </c>
      <c r="M63" s="13"/>
      <c r="N63" s="17">
        <f t="shared" si="9"/>
        <v>38.5</v>
      </c>
      <c r="O63" s="38">
        <f t="shared" si="10"/>
        <v>1076.3848299463839</v>
      </c>
      <c r="P63" s="39">
        <v>8</v>
      </c>
      <c r="Q63" s="39">
        <v>10</v>
      </c>
      <c r="R63" s="39">
        <v>9</v>
      </c>
      <c r="S63" s="39">
        <v>9</v>
      </c>
      <c r="T63" s="39">
        <v>9</v>
      </c>
      <c r="U63" s="39">
        <v>9</v>
      </c>
      <c r="V63" s="39">
        <v>9</v>
      </c>
      <c r="W63" s="40" t="str">
        <f t="shared" si="6"/>
        <v>N</v>
      </c>
      <c r="X63" s="84">
        <f t="shared" si="7"/>
        <v>0</v>
      </c>
      <c r="Y63" s="84" t="str">
        <f t="shared" si="5"/>
        <v>0-4.9%</v>
      </c>
      <c r="Z63" s="8" t="s">
        <v>782</v>
      </c>
    </row>
    <row r="64" spans="1:26" ht="24" customHeight="1" x14ac:dyDescent="0.25">
      <c r="A64" s="10">
        <v>23</v>
      </c>
      <c r="B64" s="9">
        <v>0.66666666666666663</v>
      </c>
      <c r="C64" s="5" t="s">
        <v>68</v>
      </c>
      <c r="D64" s="5">
        <f t="shared" si="8"/>
        <v>10</v>
      </c>
      <c r="E64" s="15" t="s">
        <v>55</v>
      </c>
      <c r="F64" s="15" t="s">
        <v>20</v>
      </c>
      <c r="G64" s="13">
        <v>6.5</v>
      </c>
      <c r="H64" s="13">
        <v>6.1</v>
      </c>
      <c r="I64" s="13">
        <v>5.6</v>
      </c>
      <c r="J64" s="13">
        <v>5.65</v>
      </c>
      <c r="K64" s="13">
        <v>7.9</v>
      </c>
      <c r="L64" s="13">
        <v>9.5500000000000007</v>
      </c>
      <c r="M64" s="13"/>
      <c r="N64" s="17">
        <f t="shared" si="9"/>
        <v>41.3</v>
      </c>
      <c r="O64" s="38">
        <f t="shared" si="10"/>
        <v>1476.2826578866648</v>
      </c>
      <c r="P64" s="39">
        <v>8</v>
      </c>
      <c r="Q64" s="39">
        <v>10</v>
      </c>
      <c r="R64" s="39">
        <v>9</v>
      </c>
      <c r="S64" s="39">
        <v>9</v>
      </c>
      <c r="T64" s="39">
        <v>9</v>
      </c>
      <c r="U64" s="39">
        <v>9</v>
      </c>
      <c r="V64" s="39">
        <v>9</v>
      </c>
      <c r="W64" s="40" t="str">
        <f t="shared" si="6"/>
        <v>Y</v>
      </c>
      <c r="X64" s="84">
        <f t="shared" si="7"/>
        <v>5.500000000000007E-2</v>
      </c>
      <c r="Y64" s="84" t="str">
        <f t="shared" si="5"/>
        <v>5-25%</v>
      </c>
      <c r="Z64" s="8" t="s">
        <v>812</v>
      </c>
    </row>
    <row r="65" spans="1:26" ht="24" customHeight="1" x14ac:dyDescent="0.25">
      <c r="A65" s="10">
        <v>1</v>
      </c>
      <c r="B65" s="9">
        <v>0.38055555555555554</v>
      </c>
      <c r="C65" s="5" t="s">
        <v>125</v>
      </c>
      <c r="D65" s="5">
        <f t="shared" si="8"/>
        <v>10</v>
      </c>
      <c r="E65" s="15" t="s">
        <v>55</v>
      </c>
      <c r="F65" s="15" t="s">
        <v>127</v>
      </c>
      <c r="G65" s="19">
        <v>5.3</v>
      </c>
      <c r="H65" s="19">
        <v>5.2</v>
      </c>
      <c r="I65" s="19">
        <v>9.1</v>
      </c>
      <c r="J65" s="19">
        <v>6.1</v>
      </c>
      <c r="K65" s="19">
        <v>7.3</v>
      </c>
      <c r="L65" s="19">
        <v>8</v>
      </c>
      <c r="M65" s="19"/>
      <c r="N65" s="17">
        <f t="shared" si="9"/>
        <v>41</v>
      </c>
      <c r="O65" s="38">
        <f t="shared" si="10"/>
        <v>1428.6361684046717</v>
      </c>
      <c r="P65" s="39">
        <v>8</v>
      </c>
      <c r="Q65" s="39">
        <v>10</v>
      </c>
      <c r="R65" s="39">
        <v>9</v>
      </c>
      <c r="S65" s="39">
        <v>9</v>
      </c>
      <c r="T65" s="39">
        <v>9</v>
      </c>
      <c r="U65" s="39">
        <v>9</v>
      </c>
      <c r="V65" s="39">
        <v>9</v>
      </c>
      <c r="W65" s="40" t="str">
        <f t="shared" si="6"/>
        <v>Y</v>
      </c>
      <c r="X65" s="84">
        <f t="shared" si="7"/>
        <v>9.9999999999999638E-3</v>
      </c>
      <c r="Y65" s="84" t="str">
        <f t="shared" si="5"/>
        <v>0-4.9%</v>
      </c>
      <c r="Z65" s="8" t="s">
        <v>790</v>
      </c>
    </row>
    <row r="66" spans="1:26" ht="24" customHeight="1" x14ac:dyDescent="0.25">
      <c r="A66" s="10">
        <v>2</v>
      </c>
      <c r="B66" s="9">
        <v>0.38263888888888892</v>
      </c>
      <c r="C66" s="5" t="s">
        <v>124</v>
      </c>
      <c r="D66" s="5">
        <f t="shared" si="8"/>
        <v>10</v>
      </c>
      <c r="E66" s="15" t="s">
        <v>55</v>
      </c>
      <c r="F66" s="15" t="s">
        <v>20</v>
      </c>
      <c r="G66" s="19">
        <v>6.2</v>
      </c>
      <c r="H66" s="19">
        <v>8.4</v>
      </c>
      <c r="I66" s="19">
        <v>8.8000000000000007</v>
      </c>
      <c r="J66" s="19">
        <v>7.4</v>
      </c>
      <c r="K66" s="19">
        <v>7.4</v>
      </c>
      <c r="L66" s="19">
        <v>8.1999999999999993</v>
      </c>
      <c r="M66" s="19"/>
      <c r="N66" s="17">
        <f t="shared" si="9"/>
        <v>46.400000000000006</v>
      </c>
      <c r="O66" s="38">
        <f t="shared" si="10"/>
        <v>2493.0167595712146</v>
      </c>
      <c r="P66" s="39">
        <v>8</v>
      </c>
      <c r="Q66" s="39">
        <v>10</v>
      </c>
      <c r="R66" s="39">
        <v>9</v>
      </c>
      <c r="S66" s="39">
        <v>9</v>
      </c>
      <c r="T66" s="39">
        <v>9</v>
      </c>
      <c r="U66" s="39">
        <v>9</v>
      </c>
      <c r="V66" s="39">
        <v>9</v>
      </c>
      <c r="W66" s="40" t="str">
        <f t="shared" si="6"/>
        <v>N</v>
      </c>
      <c r="X66" s="84">
        <f t="shared" si="7"/>
        <v>0</v>
      </c>
      <c r="Y66" s="84" t="str">
        <f t="shared" si="5"/>
        <v>0-4.9%</v>
      </c>
      <c r="Z66" s="8" t="s">
        <v>790</v>
      </c>
    </row>
    <row r="67" spans="1:26" ht="24" customHeight="1" x14ac:dyDescent="0.25">
      <c r="A67" s="10">
        <v>6</v>
      </c>
      <c r="B67" s="9">
        <v>0.4236111111111111</v>
      </c>
      <c r="C67" s="5" t="s">
        <v>120</v>
      </c>
      <c r="D67" s="5">
        <f t="shared" si="8"/>
        <v>10</v>
      </c>
      <c r="E67" s="15" t="s">
        <v>55</v>
      </c>
      <c r="F67" s="15" t="s">
        <v>20</v>
      </c>
      <c r="G67" s="13">
        <v>6.3</v>
      </c>
      <c r="H67" s="13">
        <v>3.45</v>
      </c>
      <c r="I67" s="13">
        <v>8.6999999999999993</v>
      </c>
      <c r="J67" s="13">
        <v>6.4</v>
      </c>
      <c r="K67" s="13">
        <v>6.6</v>
      </c>
      <c r="L67" s="13">
        <v>5.2</v>
      </c>
      <c r="M67" s="13"/>
      <c r="N67" s="17">
        <f t="shared" si="9"/>
        <v>36.650000000000006</v>
      </c>
      <c r="O67" s="38">
        <f t="shared" si="10"/>
        <v>862.43662427548122</v>
      </c>
      <c r="P67" s="39">
        <v>8</v>
      </c>
      <c r="Q67" s="39">
        <v>10</v>
      </c>
      <c r="R67" s="39">
        <v>9</v>
      </c>
      <c r="S67" s="39">
        <v>9</v>
      </c>
      <c r="T67" s="39">
        <v>9</v>
      </c>
      <c r="U67" s="39">
        <v>9</v>
      </c>
      <c r="V67" s="39">
        <v>9</v>
      </c>
      <c r="W67" s="40" t="str">
        <f t="shared" si="6"/>
        <v>N</v>
      </c>
      <c r="X67" s="84">
        <f t="shared" si="7"/>
        <v>0</v>
      </c>
      <c r="Y67" s="84" t="str">
        <f t="shared" si="5"/>
        <v>0-4.9%</v>
      </c>
      <c r="Z67" s="8" t="s">
        <v>790</v>
      </c>
    </row>
    <row r="68" spans="1:26" ht="24" customHeight="1" x14ac:dyDescent="0.25">
      <c r="A68" s="10">
        <v>8</v>
      </c>
      <c r="B68" s="9">
        <v>0.45902777777777781</v>
      </c>
      <c r="C68" s="5" t="s">
        <v>118</v>
      </c>
      <c r="D68" s="5">
        <f t="shared" si="8"/>
        <v>10</v>
      </c>
      <c r="E68" s="15" t="s">
        <v>55</v>
      </c>
      <c r="F68" s="15" t="s">
        <v>20</v>
      </c>
      <c r="G68" s="13">
        <v>5.25</v>
      </c>
      <c r="H68" s="13">
        <v>4.95</v>
      </c>
      <c r="I68" s="13">
        <v>9.4</v>
      </c>
      <c r="J68" s="13">
        <v>5.9</v>
      </c>
      <c r="K68" s="13">
        <v>7.7</v>
      </c>
      <c r="L68" s="13">
        <v>7.7</v>
      </c>
      <c r="M68" s="13"/>
      <c r="N68" s="17">
        <f t="shared" si="9"/>
        <v>40.900000000000006</v>
      </c>
      <c r="O68" s="38">
        <f t="shared" si="10"/>
        <v>1413.0228069123418</v>
      </c>
      <c r="P68" s="39">
        <v>8</v>
      </c>
      <c r="Q68" s="39">
        <v>10</v>
      </c>
      <c r="R68" s="39">
        <v>9</v>
      </c>
      <c r="S68" s="39">
        <v>9</v>
      </c>
      <c r="T68" s="39">
        <v>9</v>
      </c>
      <c r="U68" s="39">
        <v>9</v>
      </c>
      <c r="V68" s="39">
        <v>9</v>
      </c>
      <c r="W68" s="40" t="str">
        <f t="shared" si="6"/>
        <v>Y</v>
      </c>
      <c r="X68" s="84">
        <f t="shared" si="7"/>
        <v>4.0000000000000036E-2</v>
      </c>
      <c r="Y68" s="84" t="str">
        <f t="shared" si="5"/>
        <v>0-4.9%</v>
      </c>
      <c r="Z68" s="8" t="s">
        <v>786</v>
      </c>
    </row>
    <row r="69" spans="1:26" ht="24" customHeight="1" x14ac:dyDescent="0.25">
      <c r="A69" s="10">
        <v>9</v>
      </c>
      <c r="B69" s="9">
        <v>0.46319444444444446</v>
      </c>
      <c r="C69" s="5" t="s">
        <v>117</v>
      </c>
      <c r="D69" s="5">
        <f t="shared" si="8"/>
        <v>10</v>
      </c>
      <c r="E69" s="15" t="s">
        <v>55</v>
      </c>
      <c r="F69" s="15" t="s">
        <v>20</v>
      </c>
      <c r="G69" s="13">
        <v>6.4</v>
      </c>
      <c r="H69" s="13">
        <v>7.55</v>
      </c>
      <c r="I69" s="13">
        <v>7.3</v>
      </c>
      <c r="J69" s="13">
        <v>7.6</v>
      </c>
      <c r="K69" s="13">
        <v>6.35</v>
      </c>
      <c r="L69" s="13">
        <v>10.94</v>
      </c>
      <c r="M69" s="13"/>
      <c r="N69" s="17">
        <f t="shared" si="9"/>
        <v>46.14</v>
      </c>
      <c r="O69" s="38">
        <f t="shared" si="10"/>
        <v>2430.7676139428791</v>
      </c>
      <c r="P69" s="39">
        <v>8</v>
      </c>
      <c r="Q69" s="39">
        <v>10</v>
      </c>
      <c r="R69" s="39">
        <v>9</v>
      </c>
      <c r="S69" s="39">
        <v>9</v>
      </c>
      <c r="T69" s="39">
        <v>9</v>
      </c>
      <c r="U69" s="39">
        <v>9</v>
      </c>
      <c r="V69" s="39">
        <v>9</v>
      </c>
      <c r="W69" s="40" t="str">
        <f t="shared" si="6"/>
        <v>Y</v>
      </c>
      <c r="X69" s="84">
        <f t="shared" si="7"/>
        <v>0.19399999999999995</v>
      </c>
      <c r="Y69" s="84" t="str">
        <f t="shared" si="5"/>
        <v>5-25%</v>
      </c>
      <c r="Z69" s="8" t="s">
        <v>812</v>
      </c>
    </row>
    <row r="70" spans="1:26" ht="24" customHeight="1" x14ac:dyDescent="0.25">
      <c r="A70" s="10">
        <v>10</v>
      </c>
      <c r="B70" s="9">
        <v>0.47222222222222227</v>
      </c>
      <c r="C70" s="5" t="s">
        <v>116</v>
      </c>
      <c r="D70" s="5">
        <f t="shared" ref="D70:D81" si="11">IF(COUNT(G70:M70)&gt;3,10,IF(COUNT(G70:M70)&gt;2,9,7))</f>
        <v>10</v>
      </c>
      <c r="E70" s="15" t="s">
        <v>55</v>
      </c>
      <c r="F70" s="15" t="s">
        <v>20</v>
      </c>
      <c r="G70" s="13">
        <v>6.1</v>
      </c>
      <c r="H70" s="13">
        <v>2.9</v>
      </c>
      <c r="I70" s="13">
        <v>12.1</v>
      </c>
      <c r="J70" s="13">
        <v>9.25</v>
      </c>
      <c r="K70" s="13">
        <v>7.7</v>
      </c>
      <c r="L70" s="13">
        <v>7.4</v>
      </c>
      <c r="M70" s="13"/>
      <c r="N70" s="17">
        <f t="shared" ref="N70:N81" si="12">SUM(G70:M70)</f>
        <v>45.45</v>
      </c>
      <c r="O70" s="38">
        <f t="shared" ref="O70:O81" si="13">(N70/8.16)^4.5</f>
        <v>2271.4165175810958</v>
      </c>
      <c r="P70" s="39">
        <v>8</v>
      </c>
      <c r="Q70" s="39">
        <v>10</v>
      </c>
      <c r="R70" s="39">
        <v>9</v>
      </c>
      <c r="S70" s="39">
        <v>9</v>
      </c>
      <c r="T70" s="39">
        <v>9</v>
      </c>
      <c r="U70" s="39">
        <v>9</v>
      </c>
      <c r="V70" s="39">
        <v>9</v>
      </c>
      <c r="W70" s="40" t="str">
        <f t="shared" si="6"/>
        <v>Y</v>
      </c>
      <c r="X70" s="84">
        <f t="shared" si="7"/>
        <v>0.30999999999999994</v>
      </c>
      <c r="Y70" s="84" t="str">
        <f t="shared" ref="Y70:Y81" si="14">IF(X70&lt;5%,"0-4.9%",IF(X70&lt;25%,"5-25%",IF(X70&lt;50%,"25-50%","Over 50%")))</f>
        <v>25-50%</v>
      </c>
      <c r="Z70" s="8" t="s">
        <v>790</v>
      </c>
    </row>
    <row r="71" spans="1:26" ht="24" customHeight="1" x14ac:dyDescent="0.25">
      <c r="A71" s="10">
        <v>12</v>
      </c>
      <c r="B71" s="9">
        <v>0.4861111111111111</v>
      </c>
      <c r="C71" s="5" t="s">
        <v>114</v>
      </c>
      <c r="D71" s="5">
        <f t="shared" si="11"/>
        <v>10</v>
      </c>
      <c r="E71" s="15" t="s">
        <v>55</v>
      </c>
      <c r="F71" s="15" t="s">
        <v>20</v>
      </c>
      <c r="G71" s="13">
        <v>6.3</v>
      </c>
      <c r="H71" s="13">
        <v>8.25</v>
      </c>
      <c r="I71" s="13">
        <v>8.4499999999999993</v>
      </c>
      <c r="J71" s="13">
        <v>8.9499999999999993</v>
      </c>
      <c r="K71" s="13">
        <v>7.9</v>
      </c>
      <c r="L71" s="13">
        <v>7.7</v>
      </c>
      <c r="M71" s="13"/>
      <c r="N71" s="17">
        <f t="shared" si="12"/>
        <v>47.550000000000004</v>
      </c>
      <c r="O71" s="38">
        <f t="shared" si="13"/>
        <v>2783.3744181205006</v>
      </c>
      <c r="P71" s="39">
        <v>8</v>
      </c>
      <c r="Q71" s="39">
        <v>10</v>
      </c>
      <c r="R71" s="39">
        <v>9</v>
      </c>
      <c r="S71" s="39">
        <v>9</v>
      </c>
      <c r="T71" s="39">
        <v>9</v>
      </c>
      <c r="U71" s="39">
        <v>9</v>
      </c>
      <c r="V71" s="39">
        <v>9</v>
      </c>
      <c r="W71" s="40" t="str">
        <f t="shared" ref="W71:W81" si="15">IF(G71&gt;P71,"Y",IF(H71&gt;Q71,"Y",IF(I71&gt;R71,"Y",IF(J71&gt;S71,"Y",IF(K71&gt;T71,"Y",IF(L71&gt;U71,"Y",IF(M71&gt;V71,"Y","N")))))))</f>
        <v>N</v>
      </c>
      <c r="X71" s="84">
        <f t="shared" ref="X71:X81" si="16">IF(W71="Y",MAX((G71-P71),(H71-Q71),(I71-R71),(J71-S71),(K71-T71),(L71-U71),(M71-V71))/10,0)</f>
        <v>0</v>
      </c>
      <c r="Y71" s="84" t="str">
        <f t="shared" si="14"/>
        <v>0-4.9%</v>
      </c>
      <c r="Z71" s="8" t="s">
        <v>782</v>
      </c>
    </row>
    <row r="72" spans="1:26" ht="24" customHeight="1" x14ac:dyDescent="0.25">
      <c r="A72" s="10">
        <v>13</v>
      </c>
      <c r="B72" s="9">
        <v>0.50069444444444444</v>
      </c>
      <c r="C72" s="5" t="s">
        <v>113</v>
      </c>
      <c r="D72" s="5">
        <f t="shared" si="11"/>
        <v>10</v>
      </c>
      <c r="E72" s="15" t="s">
        <v>55</v>
      </c>
      <c r="F72" s="15" t="s">
        <v>20</v>
      </c>
      <c r="G72" s="13">
        <v>6.2</v>
      </c>
      <c r="H72" s="13">
        <v>2.8</v>
      </c>
      <c r="I72" s="13">
        <v>12</v>
      </c>
      <c r="J72" s="13">
        <v>6.6</v>
      </c>
      <c r="K72" s="13">
        <v>9</v>
      </c>
      <c r="L72" s="13">
        <v>9</v>
      </c>
      <c r="M72" s="13"/>
      <c r="N72" s="17">
        <f t="shared" si="12"/>
        <v>45.6</v>
      </c>
      <c r="O72" s="38">
        <f t="shared" si="13"/>
        <v>2305.3457955711228</v>
      </c>
      <c r="P72" s="39">
        <v>8</v>
      </c>
      <c r="Q72" s="39">
        <v>10</v>
      </c>
      <c r="R72" s="39">
        <v>9</v>
      </c>
      <c r="S72" s="39">
        <v>9</v>
      </c>
      <c r="T72" s="39">
        <v>9</v>
      </c>
      <c r="U72" s="39">
        <v>9</v>
      </c>
      <c r="V72" s="39">
        <v>9</v>
      </c>
      <c r="W72" s="40" t="str">
        <f t="shared" si="15"/>
        <v>Y</v>
      </c>
      <c r="X72" s="84">
        <f t="shared" si="16"/>
        <v>0.3</v>
      </c>
      <c r="Y72" s="84" t="str">
        <f t="shared" si="14"/>
        <v>25-50%</v>
      </c>
      <c r="Z72" s="8" t="s">
        <v>812</v>
      </c>
    </row>
    <row r="73" spans="1:26" ht="24" customHeight="1" x14ac:dyDescent="0.25">
      <c r="A73" s="10">
        <v>15</v>
      </c>
      <c r="B73" s="9">
        <v>0.51736111111111105</v>
      </c>
      <c r="C73" s="5" t="s">
        <v>111</v>
      </c>
      <c r="D73" s="5">
        <f t="shared" si="11"/>
        <v>10</v>
      </c>
      <c r="E73" s="15" t="s">
        <v>57</v>
      </c>
      <c r="F73" s="15" t="s">
        <v>63</v>
      </c>
      <c r="G73" s="13">
        <v>6.25</v>
      </c>
      <c r="H73" s="13">
        <v>2.35</v>
      </c>
      <c r="I73" s="13">
        <v>10.199999999999999</v>
      </c>
      <c r="J73" s="13">
        <v>8.3000000000000007</v>
      </c>
      <c r="K73" s="13"/>
      <c r="L73" s="13"/>
      <c r="M73" s="13"/>
      <c r="N73" s="17">
        <f t="shared" si="12"/>
        <v>27.099999999999998</v>
      </c>
      <c r="O73" s="38">
        <f t="shared" si="13"/>
        <v>221.69510014519284</v>
      </c>
      <c r="P73" s="39">
        <v>8</v>
      </c>
      <c r="Q73" s="39">
        <v>10</v>
      </c>
      <c r="R73" s="39">
        <v>9</v>
      </c>
      <c r="S73" s="39">
        <v>9</v>
      </c>
      <c r="T73" s="39">
        <v>9</v>
      </c>
      <c r="U73" s="39">
        <v>9</v>
      </c>
      <c r="V73" s="39">
        <v>9</v>
      </c>
      <c r="W73" s="40" t="str">
        <f t="shared" si="15"/>
        <v>Y</v>
      </c>
      <c r="X73" s="84">
        <f t="shared" si="16"/>
        <v>0.11999999999999993</v>
      </c>
      <c r="Y73" s="84" t="str">
        <f t="shared" si="14"/>
        <v>5-25%</v>
      </c>
      <c r="Z73" s="8" t="s">
        <v>812</v>
      </c>
    </row>
    <row r="74" spans="1:26" ht="24" customHeight="1" x14ac:dyDescent="0.25">
      <c r="A74" s="10">
        <v>16</v>
      </c>
      <c r="B74" s="9">
        <v>0.53749999999999998</v>
      </c>
      <c r="C74" s="5" t="s">
        <v>110</v>
      </c>
      <c r="D74" s="5">
        <f t="shared" si="11"/>
        <v>10</v>
      </c>
      <c r="E74" s="15" t="s">
        <v>58</v>
      </c>
      <c r="F74" s="15" t="s">
        <v>126</v>
      </c>
      <c r="G74" s="13">
        <v>6.6</v>
      </c>
      <c r="H74" s="13">
        <v>10.45</v>
      </c>
      <c r="I74" s="13">
        <v>7.1</v>
      </c>
      <c r="J74" s="13">
        <v>6.95</v>
      </c>
      <c r="K74" s="13">
        <v>7.7</v>
      </c>
      <c r="L74" s="13"/>
      <c r="M74" s="13"/>
      <c r="N74" s="17">
        <f t="shared" si="12"/>
        <v>38.799999999999997</v>
      </c>
      <c r="O74" s="38">
        <f t="shared" si="13"/>
        <v>1114.6462282178948</v>
      </c>
      <c r="P74" s="39">
        <v>8</v>
      </c>
      <c r="Q74" s="39">
        <v>10</v>
      </c>
      <c r="R74" s="39">
        <v>9</v>
      </c>
      <c r="S74" s="39">
        <v>9</v>
      </c>
      <c r="T74" s="39">
        <v>9</v>
      </c>
      <c r="U74" s="39">
        <v>9</v>
      </c>
      <c r="V74" s="39">
        <v>9</v>
      </c>
      <c r="W74" s="40" t="str">
        <f t="shared" si="15"/>
        <v>Y</v>
      </c>
      <c r="X74" s="84">
        <f t="shared" si="16"/>
        <v>4.4999999999999929E-2</v>
      </c>
      <c r="Y74" s="84" t="str">
        <f t="shared" si="14"/>
        <v>0-4.9%</v>
      </c>
      <c r="Z74" s="8" t="s">
        <v>786</v>
      </c>
    </row>
    <row r="75" spans="1:26" ht="24" customHeight="1" x14ac:dyDescent="0.25">
      <c r="A75" s="10">
        <v>17</v>
      </c>
      <c r="B75" s="9">
        <v>0.54305555555555551</v>
      </c>
      <c r="C75" s="5" t="s">
        <v>109</v>
      </c>
      <c r="D75" s="5">
        <f t="shared" si="11"/>
        <v>10</v>
      </c>
      <c r="E75" s="15" t="s">
        <v>55</v>
      </c>
      <c r="F75" s="15" t="s">
        <v>20</v>
      </c>
      <c r="G75" s="13">
        <v>6</v>
      </c>
      <c r="H75" s="13">
        <v>2.5</v>
      </c>
      <c r="I75" s="13">
        <v>8</v>
      </c>
      <c r="J75" s="13">
        <v>8.4</v>
      </c>
      <c r="K75" s="13">
        <v>8</v>
      </c>
      <c r="L75" s="13">
        <v>8.1999999999999993</v>
      </c>
      <c r="M75" s="13"/>
      <c r="N75" s="17">
        <f t="shared" si="12"/>
        <v>41.099999999999994</v>
      </c>
      <c r="O75" s="38">
        <f t="shared" si="13"/>
        <v>1444.3833851110519</v>
      </c>
      <c r="P75" s="39">
        <v>8</v>
      </c>
      <c r="Q75" s="39">
        <v>10</v>
      </c>
      <c r="R75" s="39">
        <v>9</v>
      </c>
      <c r="S75" s="39">
        <v>9</v>
      </c>
      <c r="T75" s="39">
        <v>9</v>
      </c>
      <c r="U75" s="39">
        <v>9</v>
      </c>
      <c r="V75" s="39">
        <v>9</v>
      </c>
      <c r="W75" s="40" t="str">
        <f t="shared" si="15"/>
        <v>N</v>
      </c>
      <c r="X75" s="84">
        <f t="shared" si="16"/>
        <v>0</v>
      </c>
      <c r="Y75" s="84" t="str">
        <f t="shared" si="14"/>
        <v>0-4.9%</v>
      </c>
      <c r="Z75" s="8" t="s">
        <v>786</v>
      </c>
    </row>
    <row r="76" spans="1:26" ht="24" customHeight="1" x14ac:dyDescent="0.25">
      <c r="A76" s="10">
        <v>18</v>
      </c>
      <c r="B76" s="9">
        <v>0.54861111111111105</v>
      </c>
      <c r="C76" s="5" t="s">
        <v>108</v>
      </c>
      <c r="D76" s="5">
        <f t="shared" si="11"/>
        <v>10</v>
      </c>
      <c r="E76" s="15" t="s">
        <v>55</v>
      </c>
      <c r="F76" s="15" t="s">
        <v>20</v>
      </c>
      <c r="G76" s="13">
        <v>6.55</v>
      </c>
      <c r="H76" s="13">
        <v>8.3000000000000007</v>
      </c>
      <c r="I76" s="13">
        <v>9.6</v>
      </c>
      <c r="J76" s="13">
        <v>7.6</v>
      </c>
      <c r="K76" s="13">
        <v>7.4</v>
      </c>
      <c r="L76" s="13">
        <v>6.2</v>
      </c>
      <c r="M76" s="13"/>
      <c r="N76" s="17">
        <f t="shared" si="12"/>
        <v>45.650000000000006</v>
      </c>
      <c r="O76" s="38">
        <f t="shared" si="13"/>
        <v>2316.7427041615301</v>
      </c>
      <c r="P76" s="39">
        <v>8</v>
      </c>
      <c r="Q76" s="39">
        <v>10</v>
      </c>
      <c r="R76" s="39">
        <v>9</v>
      </c>
      <c r="S76" s="39">
        <v>9</v>
      </c>
      <c r="T76" s="39">
        <v>9</v>
      </c>
      <c r="U76" s="39">
        <v>9</v>
      </c>
      <c r="V76" s="39">
        <v>9</v>
      </c>
      <c r="W76" s="40" t="str">
        <f t="shared" si="15"/>
        <v>Y</v>
      </c>
      <c r="X76" s="84">
        <f t="shared" si="16"/>
        <v>5.9999999999999963E-2</v>
      </c>
      <c r="Y76" s="84" t="str">
        <f t="shared" si="14"/>
        <v>5-25%</v>
      </c>
      <c r="Z76" s="8" t="s">
        <v>782</v>
      </c>
    </row>
    <row r="77" spans="1:26" ht="24" customHeight="1" x14ac:dyDescent="0.25">
      <c r="A77" s="10">
        <v>19</v>
      </c>
      <c r="B77" s="9">
        <v>0.56597222222222221</v>
      </c>
      <c r="C77" s="5" t="s">
        <v>107</v>
      </c>
      <c r="D77" s="5">
        <f t="shared" si="11"/>
        <v>10</v>
      </c>
      <c r="E77" s="15" t="s">
        <v>55</v>
      </c>
      <c r="F77" s="15" t="s">
        <v>20</v>
      </c>
      <c r="G77" s="13">
        <v>5.7</v>
      </c>
      <c r="H77" s="13">
        <v>11</v>
      </c>
      <c r="I77" s="13">
        <v>4.5</v>
      </c>
      <c r="J77" s="13">
        <v>7.4</v>
      </c>
      <c r="K77" s="13">
        <v>8.4</v>
      </c>
      <c r="L77" s="13">
        <v>8.1999999999999993</v>
      </c>
      <c r="M77" s="13"/>
      <c r="N77" s="17">
        <f t="shared" si="12"/>
        <v>45.2</v>
      </c>
      <c r="O77" s="38">
        <f t="shared" si="13"/>
        <v>2215.7320630473573</v>
      </c>
      <c r="P77" s="39">
        <v>8</v>
      </c>
      <c r="Q77" s="39">
        <v>10</v>
      </c>
      <c r="R77" s="39">
        <v>9</v>
      </c>
      <c r="S77" s="39">
        <v>9</v>
      </c>
      <c r="T77" s="39">
        <v>9</v>
      </c>
      <c r="U77" s="39">
        <v>9</v>
      </c>
      <c r="V77" s="39">
        <v>9</v>
      </c>
      <c r="W77" s="40" t="str">
        <f t="shared" si="15"/>
        <v>Y</v>
      </c>
      <c r="X77" s="84">
        <f t="shared" si="16"/>
        <v>0.1</v>
      </c>
      <c r="Y77" s="84" t="str">
        <f t="shared" si="14"/>
        <v>5-25%</v>
      </c>
      <c r="Z77" s="8" t="s">
        <v>786</v>
      </c>
    </row>
    <row r="78" spans="1:26" ht="24" customHeight="1" x14ac:dyDescent="0.25">
      <c r="A78" s="10">
        <v>20</v>
      </c>
      <c r="B78" s="9">
        <v>0.59305555555555556</v>
      </c>
      <c r="C78" s="5" t="s">
        <v>106</v>
      </c>
      <c r="D78" s="5">
        <f t="shared" si="11"/>
        <v>10</v>
      </c>
      <c r="E78" s="15" t="s">
        <v>55</v>
      </c>
      <c r="F78" s="15" t="s">
        <v>20</v>
      </c>
      <c r="G78" s="13">
        <v>5.9</v>
      </c>
      <c r="H78" s="13">
        <v>9.3000000000000007</v>
      </c>
      <c r="I78" s="13">
        <v>8.8000000000000007</v>
      </c>
      <c r="J78" s="13">
        <v>3.4</v>
      </c>
      <c r="K78" s="13">
        <v>3.6</v>
      </c>
      <c r="L78" s="13">
        <v>3.6</v>
      </c>
      <c r="M78" s="13"/>
      <c r="N78" s="17">
        <f t="shared" si="12"/>
        <v>34.6</v>
      </c>
      <c r="O78" s="38">
        <f t="shared" si="13"/>
        <v>665.63588971187619</v>
      </c>
      <c r="P78" s="39">
        <v>8</v>
      </c>
      <c r="Q78" s="39">
        <v>10</v>
      </c>
      <c r="R78" s="39">
        <v>9</v>
      </c>
      <c r="S78" s="39">
        <v>9</v>
      </c>
      <c r="T78" s="39">
        <v>9</v>
      </c>
      <c r="U78" s="39">
        <v>9</v>
      </c>
      <c r="V78" s="39">
        <v>9</v>
      </c>
      <c r="W78" s="40" t="str">
        <f t="shared" si="15"/>
        <v>N</v>
      </c>
      <c r="X78" s="84">
        <f t="shared" si="16"/>
        <v>0</v>
      </c>
      <c r="Y78" s="84" t="str">
        <f t="shared" si="14"/>
        <v>0-4.9%</v>
      </c>
      <c r="Z78" s="8" t="s">
        <v>790</v>
      </c>
    </row>
    <row r="79" spans="1:26" ht="24" customHeight="1" x14ac:dyDescent="0.25">
      <c r="A79" s="10">
        <v>21</v>
      </c>
      <c r="B79" s="9">
        <v>0.59583333333333333</v>
      </c>
      <c r="C79" s="5" t="s">
        <v>105</v>
      </c>
      <c r="D79" s="5">
        <f t="shared" si="11"/>
        <v>10</v>
      </c>
      <c r="E79" s="15" t="s">
        <v>55</v>
      </c>
      <c r="F79" s="15" t="s">
        <v>20</v>
      </c>
      <c r="G79" s="13">
        <v>7.4</v>
      </c>
      <c r="H79" s="13">
        <v>2.4</v>
      </c>
      <c r="I79" s="13">
        <v>12.1</v>
      </c>
      <c r="J79" s="13">
        <v>10.1</v>
      </c>
      <c r="K79" s="13">
        <v>8</v>
      </c>
      <c r="L79" s="13">
        <v>7.9</v>
      </c>
      <c r="M79" s="13"/>
      <c r="N79" s="17">
        <f t="shared" si="12"/>
        <v>47.9</v>
      </c>
      <c r="O79" s="38">
        <f t="shared" si="13"/>
        <v>2876.7630771031286</v>
      </c>
      <c r="P79" s="39">
        <v>8</v>
      </c>
      <c r="Q79" s="39">
        <v>10</v>
      </c>
      <c r="R79" s="39">
        <v>9</v>
      </c>
      <c r="S79" s="39">
        <v>9</v>
      </c>
      <c r="T79" s="39">
        <v>9</v>
      </c>
      <c r="U79" s="39">
        <v>9</v>
      </c>
      <c r="V79" s="39">
        <v>9</v>
      </c>
      <c r="W79" s="40" t="str">
        <f t="shared" si="15"/>
        <v>Y</v>
      </c>
      <c r="X79" s="84">
        <f t="shared" si="16"/>
        <v>0.30999999999999994</v>
      </c>
      <c r="Y79" s="84" t="str">
        <f t="shared" si="14"/>
        <v>25-50%</v>
      </c>
      <c r="Z79" s="8" t="s">
        <v>786</v>
      </c>
    </row>
    <row r="80" spans="1:26" ht="24" customHeight="1" x14ac:dyDescent="0.25">
      <c r="A80" s="10">
        <v>22</v>
      </c>
      <c r="B80" s="9">
        <v>0.60555555555555551</v>
      </c>
      <c r="C80" s="5" t="s">
        <v>104</v>
      </c>
      <c r="D80" s="5">
        <f t="shared" si="11"/>
        <v>10</v>
      </c>
      <c r="E80" s="15" t="s">
        <v>55</v>
      </c>
      <c r="F80" s="15" t="s">
        <v>128</v>
      </c>
      <c r="G80" s="13">
        <v>4.6500000000000004</v>
      </c>
      <c r="H80" s="13">
        <v>8.5500000000000007</v>
      </c>
      <c r="I80" s="13">
        <v>6.35</v>
      </c>
      <c r="J80" s="13">
        <v>6.4</v>
      </c>
      <c r="K80" s="13">
        <v>6.7</v>
      </c>
      <c r="L80" s="13">
        <v>9.4</v>
      </c>
      <c r="M80" s="13"/>
      <c r="N80" s="17">
        <f t="shared" si="12"/>
        <v>42.050000000000004</v>
      </c>
      <c r="O80" s="38">
        <f t="shared" si="13"/>
        <v>1600.8155201893551</v>
      </c>
      <c r="P80" s="39">
        <v>8</v>
      </c>
      <c r="Q80" s="39">
        <v>10</v>
      </c>
      <c r="R80" s="39">
        <v>9</v>
      </c>
      <c r="S80" s="39">
        <v>9</v>
      </c>
      <c r="T80" s="39">
        <v>9</v>
      </c>
      <c r="U80" s="39">
        <v>9</v>
      </c>
      <c r="V80" s="39">
        <v>9</v>
      </c>
      <c r="W80" s="40" t="str">
        <f t="shared" si="15"/>
        <v>Y</v>
      </c>
      <c r="X80" s="84">
        <f t="shared" si="16"/>
        <v>4.0000000000000036E-2</v>
      </c>
      <c r="Y80" s="84" t="str">
        <f t="shared" si="14"/>
        <v>0-4.9%</v>
      </c>
      <c r="Z80" s="8" t="s">
        <v>812</v>
      </c>
    </row>
    <row r="81" spans="1:26" ht="24" customHeight="1" x14ac:dyDescent="0.25">
      <c r="A81" s="10">
        <v>23</v>
      </c>
      <c r="B81" s="9">
        <v>0.61805555555555558</v>
      </c>
      <c r="C81" s="5" t="s">
        <v>103</v>
      </c>
      <c r="D81" s="5">
        <f t="shared" si="11"/>
        <v>10</v>
      </c>
      <c r="E81" s="15" t="s">
        <v>55</v>
      </c>
      <c r="F81" s="15" t="s">
        <v>20</v>
      </c>
      <c r="G81" s="13">
        <v>4</v>
      </c>
      <c r="H81" s="13">
        <v>3.4</v>
      </c>
      <c r="I81" s="13">
        <v>7.2</v>
      </c>
      <c r="J81" s="13">
        <v>4.3</v>
      </c>
      <c r="K81" s="13">
        <v>4.2</v>
      </c>
      <c r="L81" s="13">
        <v>3</v>
      </c>
      <c r="M81" s="13"/>
      <c r="N81" s="17">
        <f t="shared" si="12"/>
        <v>26.1</v>
      </c>
      <c r="O81" s="38">
        <f t="shared" si="13"/>
        <v>187.187381281434</v>
      </c>
      <c r="P81" s="39">
        <v>8</v>
      </c>
      <c r="Q81" s="39">
        <v>10</v>
      </c>
      <c r="R81" s="39">
        <v>9</v>
      </c>
      <c r="S81" s="39">
        <v>9</v>
      </c>
      <c r="T81" s="39">
        <v>9</v>
      </c>
      <c r="U81" s="39">
        <v>9</v>
      </c>
      <c r="V81" s="39">
        <v>9</v>
      </c>
      <c r="W81" s="40" t="str">
        <f t="shared" si="15"/>
        <v>N</v>
      </c>
      <c r="X81" s="84">
        <f t="shared" si="16"/>
        <v>0</v>
      </c>
      <c r="Y81" s="84" t="str">
        <f t="shared" si="14"/>
        <v>0-4.9%</v>
      </c>
      <c r="Z81" s="8" t="s">
        <v>790</v>
      </c>
    </row>
  </sheetData>
  <sortState xmlns:xlrd2="http://schemas.microsoft.com/office/spreadsheetml/2017/richdata2" ref="A6:Z81">
    <sortCondition ref="D6:D81"/>
  </sortState>
  <mergeCells count="16">
    <mergeCell ref="Z4:Z5"/>
    <mergeCell ref="W4:W5"/>
    <mergeCell ref="X4:X5"/>
    <mergeCell ref="Y4:Y5"/>
    <mergeCell ref="A1:O1"/>
    <mergeCell ref="A3:B3"/>
    <mergeCell ref="A4:A5"/>
    <mergeCell ref="B4:B5"/>
    <mergeCell ref="C4:C5"/>
    <mergeCell ref="D4:D5"/>
    <mergeCell ref="E4:E5"/>
    <mergeCell ref="F4:F5"/>
    <mergeCell ref="H4:M4"/>
    <mergeCell ref="N4:N5"/>
    <mergeCell ref="O4:O5"/>
    <mergeCell ref="P4:V4"/>
  </mergeCells>
  <printOptions horizontalCentered="1"/>
  <pageMargins left="0.7" right="0.7" top="0.75" bottom="0.75" header="0.3" footer="0.3"/>
  <pageSetup paperSize="9" scale="26" orientation="landscape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A133-8EAE-4D1A-A0C0-4E9D34EB8047}">
  <dimension ref="A1:Y60"/>
  <sheetViews>
    <sheetView tabSelected="1" view="pageBreakPreview" topLeftCell="A19" zoomScale="60" zoomScaleNormal="55" workbookViewId="0">
      <selection activeCell="M21" sqref="M21"/>
    </sheetView>
  </sheetViews>
  <sheetFormatPr defaultRowHeight="15" x14ac:dyDescent="0.25"/>
  <cols>
    <col min="2" max="2" width="20" customWidth="1"/>
    <col min="3" max="3" width="13.7109375" customWidth="1"/>
    <col min="4" max="4" width="13.5703125" customWidth="1"/>
    <col min="5" max="5" width="9.85546875" customWidth="1"/>
    <col min="6" max="6" width="16.7109375" customWidth="1"/>
    <col min="8" max="8" width="20.28515625" bestFit="1" customWidth="1"/>
    <col min="9" max="10" width="16.85546875" bestFit="1" customWidth="1"/>
    <col min="11" max="11" width="6" customWidth="1"/>
    <col min="13" max="14" width="14.5703125" customWidth="1"/>
    <col min="15" max="15" width="10.7109375" customWidth="1"/>
    <col min="16" max="16" width="14.5703125" customWidth="1"/>
    <col min="17" max="22" width="10.7109375" customWidth="1"/>
  </cols>
  <sheetData>
    <row r="1" spans="1:25" ht="21" x14ac:dyDescent="0.35">
      <c r="B1" s="96" t="s">
        <v>823</v>
      </c>
    </row>
    <row r="3" spans="1:25" ht="15.75" x14ac:dyDescent="0.25">
      <c r="A3" s="41" t="s">
        <v>776</v>
      </c>
      <c r="L3" s="41" t="s">
        <v>777</v>
      </c>
    </row>
    <row r="4" spans="1:25" ht="36.75" customHeight="1" x14ac:dyDescent="0.25">
      <c r="B4" s="97" t="s">
        <v>778</v>
      </c>
      <c r="C4" s="98" t="s">
        <v>810</v>
      </c>
      <c r="D4" s="98" t="s">
        <v>811</v>
      </c>
      <c r="E4" s="99" t="s">
        <v>779</v>
      </c>
      <c r="L4" s="42" t="s">
        <v>780</v>
      </c>
      <c r="M4" s="98" t="s">
        <v>810</v>
      </c>
      <c r="N4" s="98" t="s">
        <v>811</v>
      </c>
      <c r="O4" s="45"/>
      <c r="P4" s="49"/>
      <c r="Q4" s="45"/>
      <c r="R4" s="45"/>
      <c r="S4" s="45"/>
      <c r="T4" s="45"/>
      <c r="U4" s="45"/>
      <c r="V4" s="45"/>
      <c r="W4" s="45"/>
      <c r="X4" s="45"/>
      <c r="Y4" s="100"/>
    </row>
    <row r="5" spans="1:25" ht="15.75" x14ac:dyDescent="0.25">
      <c r="A5">
        <v>7</v>
      </c>
      <c r="B5" s="43" t="s">
        <v>781</v>
      </c>
      <c r="C5" s="43">
        <f>COUNTIF('Kla-Jinja'!$D$7:$D$500,A5)</f>
        <v>148</v>
      </c>
      <c r="D5" s="43">
        <f>COUNTIF('Jinja-Kla'!$D$7:$D$500,A5)</f>
        <v>17</v>
      </c>
      <c r="E5" s="43">
        <f>SUM(C5:D5)</f>
        <v>165</v>
      </c>
      <c r="L5" s="101" t="s">
        <v>782</v>
      </c>
      <c r="M5" s="48">
        <f>COUNTIF('Kla-Jinja'!$Z$7:$Z$500,L5)/$M$16</f>
        <v>9.4562647754137114E-2</v>
      </c>
      <c r="N5" s="48">
        <f>COUNTIF('Jinja-Kla'!$Z$7:$Z$187,L5)/$N$16</f>
        <v>0.28000000000000003</v>
      </c>
      <c r="Y5" s="42"/>
    </row>
    <row r="6" spans="1:25" ht="15.75" x14ac:dyDescent="0.25">
      <c r="A6">
        <v>9</v>
      </c>
      <c r="B6" s="43" t="s">
        <v>783</v>
      </c>
      <c r="C6" s="43">
        <f>COUNTIF('Kla-Jinja'!$D$7:$D$500,A6)</f>
        <v>59</v>
      </c>
      <c r="D6" s="43">
        <f>COUNTIF('Jinja-Kla'!$D$7:$D$500,A6)</f>
        <v>13</v>
      </c>
      <c r="E6" s="43">
        <f t="shared" ref="E6:E7" si="0">SUM(C6:D6)</f>
        <v>72</v>
      </c>
      <c r="L6" s="101" t="s">
        <v>784</v>
      </c>
      <c r="M6" s="48">
        <f>COUNTIF('Kla-Jinja'!$Z$7:$Z$500,L6)/$M$16</f>
        <v>4.7281323877068557E-3</v>
      </c>
      <c r="N6" s="48">
        <f>COUNTIF('Jinja-Kla'!$Z$7:$Z$187,L6)/$N$16</f>
        <v>0</v>
      </c>
      <c r="Y6" s="42"/>
    </row>
    <row r="7" spans="1:25" ht="15.75" x14ac:dyDescent="0.25">
      <c r="A7">
        <v>10</v>
      </c>
      <c r="B7" s="43" t="s">
        <v>785</v>
      </c>
      <c r="C7" s="43">
        <f>COUNTIF('Kla-Jinja'!$D$7:$D$500,A7)</f>
        <v>216</v>
      </c>
      <c r="D7" s="43">
        <f>COUNTIF('Jinja-Kla'!$D$7:$D$500,A7)</f>
        <v>45</v>
      </c>
      <c r="E7" s="43">
        <f t="shared" si="0"/>
        <v>261</v>
      </c>
      <c r="L7" s="101" t="s">
        <v>786</v>
      </c>
      <c r="M7" s="48">
        <f>COUNTIF('Kla-Jinja'!$Z$7:$Z$500,L7)/$M$16</f>
        <v>8.9834515366430265E-2</v>
      </c>
      <c r="N7" s="48">
        <f>COUNTIF('Jinja-Kla'!$Z$7:$Z$187,L7)/$N$16</f>
        <v>0.16</v>
      </c>
    </row>
    <row r="8" spans="1:25" ht="15.75" x14ac:dyDescent="0.25">
      <c r="B8" s="47" t="s">
        <v>787</v>
      </c>
      <c r="C8" s="47">
        <f>SUM(C5:C7)</f>
        <v>423</v>
      </c>
      <c r="D8" s="47">
        <f>SUM(D5:D7)</f>
        <v>75</v>
      </c>
      <c r="E8" s="47">
        <f>SUM(E5:E7)</f>
        <v>498</v>
      </c>
      <c r="L8" s="101" t="s">
        <v>788</v>
      </c>
      <c r="M8" s="48">
        <f>COUNTIF('Kla-Jinja'!$Z$7:$Z$500,L8)/$M$16</f>
        <v>3.7825059101654845E-2</v>
      </c>
      <c r="N8" s="48">
        <f>COUNTIF('Jinja-Kla'!$Z$7:$Z$187,L8)/$N$16</f>
        <v>0.04</v>
      </c>
    </row>
    <row r="9" spans="1:25" ht="15.75" x14ac:dyDescent="0.25">
      <c r="L9" s="101" t="s">
        <v>789</v>
      </c>
      <c r="M9" s="48">
        <f>COUNTIF('Kla-Jinja'!$Z$7:$Z$500,L9)/$M$16</f>
        <v>7.0921985815602835E-3</v>
      </c>
      <c r="N9" s="48">
        <f>COUNTIF('Jinja-Kla'!$Z$7:$Z$187,L9)/$N$16</f>
        <v>0</v>
      </c>
    </row>
    <row r="10" spans="1:25" ht="15.75" x14ac:dyDescent="0.25">
      <c r="L10" s="101" t="s">
        <v>790</v>
      </c>
      <c r="M10" s="48">
        <f>COUNTIF('Kla-Jinja'!$Z$7:$Z$500,L10)/$M$16</f>
        <v>0.1276595744680851</v>
      </c>
      <c r="N10" s="48">
        <f>COUNTIF('Jinja-Kla'!$Z$7:$Z$187,L10)/$N$16</f>
        <v>0.16</v>
      </c>
    </row>
    <row r="11" spans="1:25" ht="15.75" x14ac:dyDescent="0.25">
      <c r="L11" s="101" t="s">
        <v>791</v>
      </c>
      <c r="M11" s="48">
        <f>COUNTIF('Kla-Jinja'!$Z$7:$Z$500,L11)/$M$16</f>
        <v>4.7281323877068557E-3</v>
      </c>
      <c r="N11" s="48">
        <f>COUNTIF('Jinja-Kla'!$Z$7:$Z$187,L11)/$N$16</f>
        <v>1.3333333333333334E-2</v>
      </c>
    </row>
    <row r="12" spans="1:25" ht="15.75" x14ac:dyDescent="0.25">
      <c r="L12" s="101" t="s">
        <v>792</v>
      </c>
      <c r="M12" s="48">
        <f>COUNTIF('Kla-Jinja'!$Z$7:$Z$500,L12)/$M$16</f>
        <v>0</v>
      </c>
      <c r="N12" s="48">
        <f>COUNTIF('Jinja-Kla'!$Z$7:$Z$187,L12)/$N$16</f>
        <v>0</v>
      </c>
    </row>
    <row r="13" spans="1:25" ht="15.75" x14ac:dyDescent="0.25">
      <c r="L13" s="101" t="s">
        <v>812</v>
      </c>
      <c r="M13" s="48">
        <f>COUNTIF('Kla-Jinja'!$Z$7:$Z$500,L13)/$M$16</f>
        <v>0.1867612293144208</v>
      </c>
      <c r="N13" s="48">
        <f>COUNTIF('Jinja-Kla'!$Z$7:$Z$187,L13)/$N$16</f>
        <v>0.24</v>
      </c>
    </row>
    <row r="14" spans="1:25" ht="15.75" x14ac:dyDescent="0.25">
      <c r="L14" s="101" t="s">
        <v>224</v>
      </c>
      <c r="M14" s="48">
        <f>COUNTIF('Kla-Jinja'!$Z$7:$Z$500,L14)/$M$16</f>
        <v>0.29550827423167847</v>
      </c>
      <c r="N14" s="48">
        <f>COUNTIF('Jinja-Kla'!$Z$7:$Z$187,L14)/$N$16</f>
        <v>0</v>
      </c>
    </row>
    <row r="15" spans="1:25" ht="15.75" x14ac:dyDescent="0.25">
      <c r="L15" s="101" t="s">
        <v>794</v>
      </c>
      <c r="M15" s="48">
        <f>COUNTIF('Kla-Jinja'!$Z$7:$Z$500,L15)/$M$16</f>
        <v>0.15130023640661938</v>
      </c>
      <c r="N15" s="48">
        <f>COUNTIF('Jinja-Kla'!$Z$7:$Z$187,L15)/$N$16</f>
        <v>0.10666666666666667</v>
      </c>
    </row>
    <row r="16" spans="1:25" ht="15.75" x14ac:dyDescent="0.25">
      <c r="L16" s="102" t="s">
        <v>795</v>
      </c>
      <c r="M16" s="47">
        <f>C8</f>
        <v>423</v>
      </c>
      <c r="N16" s="47">
        <f>D8</f>
        <v>75</v>
      </c>
      <c r="S16" s="42"/>
      <c r="T16" s="42"/>
    </row>
    <row r="27" spans="1:15" ht="15.75" x14ac:dyDescent="0.25">
      <c r="A27" s="41" t="s">
        <v>815</v>
      </c>
    </row>
    <row r="28" spans="1:15" ht="15.75" x14ac:dyDescent="0.25">
      <c r="B28" s="42" t="s">
        <v>778</v>
      </c>
      <c r="C28" s="97" t="s">
        <v>810</v>
      </c>
      <c r="D28" s="97" t="s">
        <v>811</v>
      </c>
      <c r="E28" s="42" t="s">
        <v>779</v>
      </c>
      <c r="F28" s="42" t="s">
        <v>816</v>
      </c>
      <c r="L28" s="41"/>
    </row>
    <row r="29" spans="1:15" x14ac:dyDescent="0.25">
      <c r="A29">
        <v>7</v>
      </c>
      <c r="B29" s="43" t="s">
        <v>781</v>
      </c>
      <c r="C29" s="44">
        <f>AVERAGEIF('Kla-Jinja'!$D$7:$D$500,Graphs!A29,'Kla-Jinja'!$N$7:$N$500)</f>
        <v>9.0525675675675696</v>
      </c>
      <c r="D29" s="44">
        <f>AVERAGEIF('Jinja-Kla'!$D$7:$D$500,Graphs!A29,'Jinja-Kla'!$N$7:$N$500)</f>
        <v>14.094117647058825</v>
      </c>
      <c r="E29" s="44">
        <f>AVERAGE(C29:D29)</f>
        <v>11.573342607313197</v>
      </c>
      <c r="F29" s="43">
        <v>18</v>
      </c>
      <c r="N29" s="97"/>
      <c r="O29" s="97"/>
    </row>
    <row r="30" spans="1:15" x14ac:dyDescent="0.25">
      <c r="A30">
        <v>9</v>
      </c>
      <c r="B30" s="43" t="s">
        <v>783</v>
      </c>
      <c r="C30" s="44">
        <f>AVERAGEIF('Kla-Jinja'!$D$7:$D$500,Graphs!A30,'Kla-Jinja'!$N$7:$N$500)</f>
        <v>17.758474576271183</v>
      </c>
      <c r="D30" s="44">
        <f>AVERAGEIF('Jinja-Kla'!$D$7:$D$500,Graphs!A30,'Jinja-Kla'!$N$7:$N$500)</f>
        <v>24.138461538461538</v>
      </c>
      <c r="E30" s="44">
        <f>AVERAGE(C30:D30)</f>
        <v>20.948468057366362</v>
      </c>
      <c r="F30" s="43">
        <v>27</v>
      </c>
      <c r="N30" s="103"/>
      <c r="O30" s="103"/>
    </row>
    <row r="31" spans="1:15" x14ac:dyDescent="0.25">
      <c r="A31">
        <v>10</v>
      </c>
      <c r="B31" s="43" t="s">
        <v>785</v>
      </c>
      <c r="C31" s="44">
        <f>AVERAGEIF('Kla-Jinja'!$D$7:$D$500,Graphs!A31,'Kla-Jinja'!$N$7:$N$500)</f>
        <v>27.766574074074065</v>
      </c>
      <c r="D31" s="44">
        <f>AVERAGEIF('Jinja-Kla'!$D$7:$D$500,Graphs!A31,'Jinja-Kla'!$N$7:$N$500)</f>
        <v>39.695333333333338</v>
      </c>
      <c r="E31" s="44">
        <f>AVERAGE(C31:D31)</f>
        <v>33.730953703703705</v>
      </c>
      <c r="F31" s="43">
        <v>54</v>
      </c>
      <c r="N31" s="103"/>
      <c r="O31" s="103"/>
    </row>
    <row r="32" spans="1:15" x14ac:dyDescent="0.25">
      <c r="B32" s="47" t="s">
        <v>787</v>
      </c>
      <c r="C32" s="47"/>
      <c r="D32" s="47"/>
      <c r="E32" s="47"/>
      <c r="N32" s="103"/>
      <c r="O32" s="103"/>
    </row>
    <row r="35" spans="12:24" x14ac:dyDescent="0.25">
      <c r="U35" s="104"/>
      <c r="V35" s="104"/>
      <c r="W35" s="104"/>
      <c r="X35" s="104"/>
    </row>
    <row r="36" spans="12:24" x14ac:dyDescent="0.25">
      <c r="V36" s="105"/>
      <c r="W36" s="105"/>
      <c r="X36" s="105"/>
    </row>
    <row r="39" spans="12:24" x14ac:dyDescent="0.25">
      <c r="L39" s="42" t="s">
        <v>817</v>
      </c>
    </row>
    <row r="40" spans="12:24" x14ac:dyDescent="0.25">
      <c r="M40" s="42" t="s">
        <v>778</v>
      </c>
      <c r="N40" s="97" t="s">
        <v>810</v>
      </c>
      <c r="O40" s="97" t="s">
        <v>811</v>
      </c>
      <c r="P40" s="42" t="s">
        <v>779</v>
      </c>
    </row>
    <row r="41" spans="12:24" x14ac:dyDescent="0.25">
      <c r="M41" s="43" t="s">
        <v>818</v>
      </c>
      <c r="N41" s="48">
        <f>COUNTIF('Kla-Jinja'!$Y$7:$Y$500,M41)/$N$45</f>
        <v>0.85815602836879434</v>
      </c>
      <c r="O41" s="48">
        <f>COUNTIF('Jinja-Kla'!$Y$7:$Y$187,M41)/$O$45</f>
        <v>0.66666666666666663</v>
      </c>
      <c r="P41" s="48">
        <f>AVERAGE(N41:O41)</f>
        <v>0.76241134751773054</v>
      </c>
    </row>
    <row r="42" spans="12:24" x14ac:dyDescent="0.25">
      <c r="M42" s="43" t="s">
        <v>819</v>
      </c>
      <c r="N42" s="48">
        <f>COUNTIF('Kla-Jinja'!$Y$7:$Y$500,M42)/$N$45</f>
        <v>0.10401891252955082</v>
      </c>
      <c r="O42" s="48">
        <f>COUNTIF('Jinja-Kla'!$Y$7:$Y$187,M42)/$O$45</f>
        <v>0.21333333333333335</v>
      </c>
      <c r="P42" s="48">
        <f t="shared" ref="P42:P44" si="1">AVERAGE(N42:O42)</f>
        <v>0.15867612293144209</v>
      </c>
    </row>
    <row r="43" spans="12:24" x14ac:dyDescent="0.25">
      <c r="M43" s="43" t="s">
        <v>820</v>
      </c>
      <c r="N43" s="48">
        <f>COUNTIF('Kla-Jinja'!$Y$7:$Y$500,M43)/$N$45</f>
        <v>2.8368794326241134E-2</v>
      </c>
      <c r="O43" s="48">
        <f>COUNTIF('Jinja-Kla'!$Y$7:$Y$187,M43)/$O$45</f>
        <v>0.12</v>
      </c>
      <c r="P43" s="48">
        <f t="shared" si="1"/>
        <v>7.4184397163120558E-2</v>
      </c>
    </row>
    <row r="44" spans="12:24" x14ac:dyDescent="0.25">
      <c r="M44" s="43" t="s">
        <v>821</v>
      </c>
      <c r="N44" s="48">
        <f>COUNTIF('Kla-Jinja'!$Y$7:$Y$500,M44)/$N$45</f>
        <v>9.4562647754137114E-3</v>
      </c>
      <c r="O44" s="48">
        <f>COUNTIF('Jinja-Kla'!$Y$7:$Y$187,M44)/$O$45</f>
        <v>0</v>
      </c>
      <c r="P44" s="48">
        <f t="shared" si="1"/>
        <v>4.7281323877068557E-3</v>
      </c>
    </row>
    <row r="45" spans="12:24" x14ac:dyDescent="0.25">
      <c r="N45">
        <f>C8</f>
        <v>423</v>
      </c>
      <c r="O45">
        <f>D8</f>
        <v>75</v>
      </c>
    </row>
    <row r="55" spans="1:5" x14ac:dyDescent="0.25">
      <c r="A55" s="42" t="s">
        <v>817</v>
      </c>
    </row>
    <row r="56" spans="1:5" x14ac:dyDescent="0.25">
      <c r="B56" s="42" t="s">
        <v>778</v>
      </c>
      <c r="C56" s="97" t="s">
        <v>810</v>
      </c>
      <c r="D56" s="97" t="s">
        <v>811</v>
      </c>
      <c r="E56" s="42" t="s">
        <v>779</v>
      </c>
    </row>
    <row r="57" spans="1:5" x14ac:dyDescent="0.25">
      <c r="A57">
        <v>7</v>
      </c>
      <c r="B57" s="43" t="s">
        <v>781</v>
      </c>
      <c r="C57" s="48">
        <f>COUNTIF('Kla-Jinja'!W7:W155,"Y")/C5</f>
        <v>0.14864864864864866</v>
      </c>
      <c r="D57" s="48">
        <f>COUNTIF('Jinja-Kla'!W7:W23,"Y")/D5</f>
        <v>0.52941176470588236</v>
      </c>
      <c r="E57" s="48">
        <f>AVERAGE(C57:D57)</f>
        <v>0.33903020667726552</v>
      </c>
    </row>
    <row r="58" spans="1:5" x14ac:dyDescent="0.25">
      <c r="A58">
        <v>9</v>
      </c>
      <c r="B58" s="43" t="s">
        <v>783</v>
      </c>
      <c r="C58" s="48">
        <f>COUNTIF('Kla-Jinja'!W156:W214,"Y")/C6</f>
        <v>0.1864406779661017</v>
      </c>
      <c r="D58" s="48">
        <f>COUNTIF('Jinja-Kla'!W24:W36,"y")/D6</f>
        <v>0.76923076923076927</v>
      </c>
      <c r="E58" s="48">
        <f t="shared" ref="E58:E59" si="2">AVERAGE(C58:D58)</f>
        <v>0.47783572359843551</v>
      </c>
    </row>
    <row r="59" spans="1:5" x14ac:dyDescent="0.25">
      <c r="A59">
        <v>10</v>
      </c>
      <c r="B59" s="43" t="s">
        <v>785</v>
      </c>
      <c r="C59" s="48">
        <f>COUNTIF('Kla-Jinja'!W215:W500,"Y")/C7</f>
        <v>0.19907407407407407</v>
      </c>
      <c r="D59" s="48">
        <f>COUNTIF('Jinja-Kla'!W37:W187,"Y")/D7</f>
        <v>0.37777777777777777</v>
      </c>
      <c r="E59" s="48">
        <f t="shared" si="2"/>
        <v>0.28842592592592592</v>
      </c>
    </row>
    <row r="60" spans="1:5" x14ac:dyDescent="0.25">
      <c r="B60" s="47" t="s">
        <v>822</v>
      </c>
      <c r="C60" s="106">
        <f>COUNTIF('Kla-Jinja'!W7:W500,"Y")/C8</f>
        <v>0.17966903073286053</v>
      </c>
      <c r="D60" s="106">
        <f>COUNTIF('Jinja-Kla'!W7:W187,"Y")/D8</f>
        <v>0.48</v>
      </c>
    </row>
  </sheetData>
  <pageMargins left="0.25" right="0.25" top="0.75" bottom="0.75" header="0.3" footer="0.3"/>
  <pageSetup scale="43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topLeftCell="A22" zoomScale="84" zoomScaleNormal="84" workbookViewId="0">
      <selection activeCell="H37" sqref="H37"/>
    </sheetView>
  </sheetViews>
  <sheetFormatPr defaultRowHeight="12.75" x14ac:dyDescent="0.2"/>
  <cols>
    <col min="1" max="2" width="9.140625" style="26"/>
    <col min="3" max="3" width="12.7109375" style="26" customWidth="1"/>
    <col min="4" max="14" width="9.140625" style="26"/>
    <col min="15" max="15" width="11.140625" style="26" customWidth="1"/>
    <col min="16" max="16384" width="9.140625" style="26"/>
  </cols>
  <sheetData>
    <row r="1" spans="1:15" x14ac:dyDescent="0.2">
      <c r="I1" s="155" t="s">
        <v>7</v>
      </c>
      <c r="J1" s="155"/>
      <c r="K1" s="155"/>
      <c r="L1" s="155"/>
      <c r="M1" s="155"/>
      <c r="N1" s="155"/>
    </row>
    <row r="2" spans="1:15" x14ac:dyDescent="0.2">
      <c r="A2" s="26" t="s">
        <v>130</v>
      </c>
      <c r="I2" s="26" t="s">
        <v>131</v>
      </c>
      <c r="J2" s="26" t="s">
        <v>131</v>
      </c>
      <c r="K2" s="26" t="s">
        <v>132</v>
      </c>
      <c r="L2" s="26" t="s">
        <v>133</v>
      </c>
      <c r="M2" s="26" t="s">
        <v>134</v>
      </c>
      <c r="N2" s="26" t="s">
        <v>135</v>
      </c>
      <c r="O2" s="26" t="s">
        <v>136</v>
      </c>
    </row>
    <row r="4" spans="1:15" x14ac:dyDescent="0.2">
      <c r="A4" s="26">
        <v>7</v>
      </c>
      <c r="B4" s="26" t="s">
        <v>137</v>
      </c>
      <c r="I4" s="26">
        <v>1.1000000000000001</v>
      </c>
      <c r="J4" s="26">
        <v>1.2</v>
      </c>
    </row>
    <row r="5" spans="1:15" x14ac:dyDescent="0.2">
      <c r="A5" s="26">
        <v>8</v>
      </c>
      <c r="B5" s="26" t="s">
        <v>138</v>
      </c>
      <c r="K5" s="26">
        <v>1.22</v>
      </c>
    </row>
    <row r="6" spans="1:15" x14ac:dyDescent="0.2">
      <c r="A6" s="26">
        <v>9</v>
      </c>
      <c r="B6" s="26" t="s">
        <v>139</v>
      </c>
      <c r="L6" s="26" t="s">
        <v>140</v>
      </c>
    </row>
    <row r="7" spans="1:15" x14ac:dyDescent="0.2">
      <c r="L7" s="27">
        <v>1.222</v>
      </c>
    </row>
    <row r="10" spans="1:15" x14ac:dyDescent="0.2">
      <c r="A10" s="26">
        <v>10</v>
      </c>
      <c r="B10" s="26" t="s">
        <v>141</v>
      </c>
      <c r="M10" s="26" t="s">
        <v>142</v>
      </c>
    </row>
    <row r="11" spans="1:15" x14ac:dyDescent="0.2">
      <c r="M11" s="26" t="s">
        <v>143</v>
      </c>
    </row>
    <row r="12" spans="1:15" x14ac:dyDescent="0.2">
      <c r="M12" s="26" t="s">
        <v>144</v>
      </c>
    </row>
    <row r="13" spans="1:15" x14ac:dyDescent="0.2">
      <c r="A13" s="26">
        <v>11</v>
      </c>
      <c r="B13" s="26" t="s">
        <v>145</v>
      </c>
      <c r="N13" s="26" t="s">
        <v>146</v>
      </c>
    </row>
    <row r="14" spans="1:15" x14ac:dyDescent="0.2">
      <c r="N14" s="26" t="s">
        <v>147</v>
      </c>
    </row>
    <row r="15" spans="1:15" x14ac:dyDescent="0.2">
      <c r="N15" s="26" t="s">
        <v>148</v>
      </c>
    </row>
    <row r="16" spans="1:15" x14ac:dyDescent="0.2">
      <c r="N16" s="26" t="s">
        <v>149</v>
      </c>
    </row>
    <row r="17" spans="1:15" x14ac:dyDescent="0.2">
      <c r="N17" s="26" t="s">
        <v>150</v>
      </c>
    </row>
    <row r="18" spans="1:15" x14ac:dyDescent="0.2">
      <c r="N18" s="26" t="s">
        <v>151</v>
      </c>
    </row>
    <row r="19" spans="1:15" x14ac:dyDescent="0.2">
      <c r="A19" s="26">
        <v>12</v>
      </c>
      <c r="B19" s="26" t="s">
        <v>152</v>
      </c>
      <c r="O19" s="26" t="s">
        <v>153</v>
      </c>
    </row>
    <row r="20" spans="1:15" x14ac:dyDescent="0.2">
      <c r="O20" s="26" t="s">
        <v>154</v>
      </c>
    </row>
    <row r="21" spans="1:15" x14ac:dyDescent="0.2">
      <c r="O21" s="26" t="s">
        <v>155</v>
      </c>
    </row>
    <row r="29" spans="1:15" ht="15.75" x14ac:dyDescent="0.2">
      <c r="B29" s="28" t="s">
        <v>156</v>
      </c>
    </row>
    <row r="30" spans="1:15" ht="15.75" x14ac:dyDescent="0.2">
      <c r="B30" s="28" t="s">
        <v>157</v>
      </c>
    </row>
    <row r="31" spans="1:15" ht="15.75" x14ac:dyDescent="0.2">
      <c r="B31" s="28" t="s">
        <v>158</v>
      </c>
    </row>
    <row r="32" spans="1:15" ht="15.75" x14ac:dyDescent="0.2">
      <c r="B32" s="28" t="s">
        <v>159</v>
      </c>
    </row>
    <row r="35" spans="2:5" x14ac:dyDescent="0.2">
      <c r="B35" s="26" t="s">
        <v>160</v>
      </c>
      <c r="C35" s="26" t="s">
        <v>161</v>
      </c>
      <c r="D35" s="26">
        <v>7</v>
      </c>
      <c r="E35" s="26">
        <v>18</v>
      </c>
    </row>
    <row r="36" spans="2:5" x14ac:dyDescent="0.2">
      <c r="B36" s="26" t="s">
        <v>21</v>
      </c>
      <c r="C36" s="26" t="s">
        <v>161</v>
      </c>
      <c r="D36" s="26">
        <v>7</v>
      </c>
      <c r="E36" s="26">
        <v>18</v>
      </c>
    </row>
    <row r="37" spans="2:5" x14ac:dyDescent="0.2">
      <c r="B37" s="26" t="s">
        <v>61</v>
      </c>
      <c r="C37" s="26" t="s">
        <v>162</v>
      </c>
      <c r="D37" s="26">
        <v>8</v>
      </c>
      <c r="E37" s="26">
        <v>26</v>
      </c>
    </row>
    <row r="38" spans="2:5" x14ac:dyDescent="0.2">
      <c r="B38" s="26" t="s">
        <v>26</v>
      </c>
      <c r="C38" s="26" t="s">
        <v>163</v>
      </c>
      <c r="D38" s="26">
        <v>9</v>
      </c>
      <c r="E38" s="26">
        <v>26</v>
      </c>
    </row>
    <row r="39" spans="2:5" x14ac:dyDescent="0.2">
      <c r="B39" s="26" t="s">
        <v>164</v>
      </c>
      <c r="C39" s="26" t="s">
        <v>165</v>
      </c>
      <c r="D39" s="26">
        <v>10</v>
      </c>
      <c r="E39" s="26">
        <v>46</v>
      </c>
    </row>
    <row r="40" spans="2:5" x14ac:dyDescent="0.2">
      <c r="B40" s="26" t="s">
        <v>166</v>
      </c>
      <c r="C40" s="26" t="s">
        <v>165</v>
      </c>
      <c r="D40" s="26">
        <v>10</v>
      </c>
      <c r="E40" s="26">
        <v>46</v>
      </c>
    </row>
    <row r="41" spans="2:5" x14ac:dyDescent="0.2">
      <c r="B41" s="26" t="s">
        <v>167</v>
      </c>
      <c r="C41" s="26" t="s">
        <v>165</v>
      </c>
      <c r="D41" s="26">
        <v>10</v>
      </c>
      <c r="E41" s="26">
        <v>46</v>
      </c>
    </row>
    <row r="42" spans="2:5" x14ac:dyDescent="0.2">
      <c r="B42" s="26" t="s">
        <v>168</v>
      </c>
      <c r="C42" s="26" t="s">
        <v>165</v>
      </c>
      <c r="D42" s="26">
        <v>10</v>
      </c>
      <c r="E42" s="26">
        <v>46</v>
      </c>
    </row>
    <row r="43" spans="2:5" x14ac:dyDescent="0.2">
      <c r="B43" s="26" t="s">
        <v>169</v>
      </c>
      <c r="C43" s="26" t="s">
        <v>165</v>
      </c>
      <c r="D43" s="26">
        <v>10</v>
      </c>
      <c r="E43" s="26">
        <v>46</v>
      </c>
    </row>
    <row r="44" spans="2:5" x14ac:dyDescent="0.2">
      <c r="B44" s="26" t="s">
        <v>63</v>
      </c>
      <c r="C44" s="26" t="s">
        <v>163</v>
      </c>
      <c r="D44" s="26">
        <v>9</v>
      </c>
      <c r="E44" s="26">
        <v>34</v>
      </c>
    </row>
  </sheetData>
  <mergeCells count="1">
    <mergeCell ref="I1:N1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B7" sqref="B7"/>
    </sheetView>
  </sheetViews>
  <sheetFormatPr defaultRowHeight="15" x14ac:dyDescent="0.25"/>
  <cols>
    <col min="2" max="2" width="38.5703125" customWidth="1"/>
    <col min="3" max="3" width="36" customWidth="1"/>
  </cols>
  <sheetData>
    <row r="1" spans="1:4" x14ac:dyDescent="0.25">
      <c r="B1" t="s">
        <v>780</v>
      </c>
      <c r="C1" t="s">
        <v>796</v>
      </c>
    </row>
    <row r="2" spans="1:4" ht="15.75" x14ac:dyDescent="0.25">
      <c r="A2">
        <v>1</v>
      </c>
      <c r="B2" s="45" t="s">
        <v>797</v>
      </c>
      <c r="C2" s="45" t="s">
        <v>798</v>
      </c>
      <c r="D2" s="45"/>
    </row>
    <row r="3" spans="1:4" ht="15.75" x14ac:dyDescent="0.25">
      <c r="A3">
        <v>2</v>
      </c>
      <c r="B3" s="45" t="s">
        <v>799</v>
      </c>
      <c r="C3" s="45" t="s">
        <v>800</v>
      </c>
      <c r="D3" s="45"/>
    </row>
    <row r="4" spans="1:4" ht="15.75" x14ac:dyDescent="0.25">
      <c r="A4">
        <v>3</v>
      </c>
      <c r="B4" s="45" t="s">
        <v>784</v>
      </c>
      <c r="C4" s="45" t="s">
        <v>801</v>
      </c>
      <c r="D4" s="45"/>
    </row>
    <row r="5" spans="1:4" ht="21.75" customHeight="1" x14ac:dyDescent="0.25">
      <c r="A5">
        <v>4</v>
      </c>
      <c r="B5" s="46" t="s">
        <v>802</v>
      </c>
      <c r="C5" s="49" t="s">
        <v>803</v>
      </c>
      <c r="D5" s="50"/>
    </row>
    <row r="6" spans="1:4" ht="15.75" x14ac:dyDescent="0.25">
      <c r="A6">
        <v>5</v>
      </c>
      <c r="B6" s="45" t="s">
        <v>788</v>
      </c>
      <c r="C6" s="45"/>
      <c r="D6" s="45"/>
    </row>
    <row r="7" spans="1:4" ht="15.75" x14ac:dyDescent="0.25">
      <c r="A7">
        <v>6</v>
      </c>
      <c r="B7" s="45" t="s">
        <v>789</v>
      </c>
      <c r="C7" s="45" t="s">
        <v>804</v>
      </c>
      <c r="D7" s="45"/>
    </row>
    <row r="8" spans="1:4" ht="15.75" x14ac:dyDescent="0.25">
      <c r="A8">
        <v>7</v>
      </c>
      <c r="B8" s="45" t="s">
        <v>790</v>
      </c>
      <c r="C8" s="51" t="s">
        <v>805</v>
      </c>
      <c r="D8" s="51"/>
    </row>
    <row r="9" spans="1:4" ht="15.75" x14ac:dyDescent="0.25">
      <c r="A9">
        <v>8</v>
      </c>
      <c r="B9" s="45" t="s">
        <v>791</v>
      </c>
      <c r="C9" s="51" t="s">
        <v>806</v>
      </c>
      <c r="D9" s="51"/>
    </row>
    <row r="10" spans="1:4" ht="15.75" x14ac:dyDescent="0.25">
      <c r="A10">
        <v>9</v>
      </c>
      <c r="B10" s="45" t="s">
        <v>792</v>
      </c>
      <c r="C10" s="51" t="s">
        <v>807</v>
      </c>
      <c r="D10" s="51"/>
    </row>
    <row r="11" spans="1:4" ht="15.75" customHeight="1" x14ac:dyDescent="0.25">
      <c r="A11">
        <v>10</v>
      </c>
      <c r="B11" s="46" t="s">
        <v>793</v>
      </c>
      <c r="C11" s="49" t="s">
        <v>808</v>
      </c>
      <c r="D11" s="49"/>
    </row>
    <row r="12" spans="1:4" ht="15.75" x14ac:dyDescent="0.25">
      <c r="A12">
        <v>11</v>
      </c>
      <c r="B12" s="45" t="s">
        <v>224</v>
      </c>
      <c r="C12" s="51"/>
      <c r="D12" s="51"/>
    </row>
    <row r="13" spans="1:4" ht="15.75" x14ac:dyDescent="0.25">
      <c r="A13">
        <v>12</v>
      </c>
      <c r="B13" s="45" t="s">
        <v>809</v>
      </c>
      <c r="C13" s="51"/>
      <c r="D13" s="51"/>
    </row>
    <row r="14" spans="1:4" ht="15.75" x14ac:dyDescent="0.25">
      <c r="A14">
        <v>4</v>
      </c>
      <c r="B14" s="4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DAY1</vt:lpstr>
      <vt:lpstr>DAY 2</vt:lpstr>
      <vt:lpstr>DAY 3</vt:lpstr>
      <vt:lpstr>Kla-Jinja</vt:lpstr>
      <vt:lpstr>Jinja-Kla</vt:lpstr>
      <vt:lpstr>Graphs</vt:lpstr>
      <vt:lpstr>KEY</vt:lpstr>
      <vt:lpstr>Desc</vt:lpstr>
      <vt:lpstr>Graphs!Print_Area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SAIDI</dc:creator>
  <cp:lastModifiedBy>USER</cp:lastModifiedBy>
  <cp:lastPrinted>2019-11-03T12:40:33Z</cp:lastPrinted>
  <dcterms:created xsi:type="dcterms:W3CDTF">2015-05-11T13:42:40Z</dcterms:created>
  <dcterms:modified xsi:type="dcterms:W3CDTF">2020-03-24T06:23:00Z</dcterms:modified>
</cp:coreProperties>
</file>