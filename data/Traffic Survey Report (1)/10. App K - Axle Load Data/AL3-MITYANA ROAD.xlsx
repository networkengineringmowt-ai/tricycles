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JT, FERRY, AXLE Data\Analyed Data\Axle Load Data_ Analysed\"/>
    </mc:Choice>
  </mc:AlternateContent>
  <xr:revisionPtr revIDLastSave="0" documentId="13_ncr:1_{B635FE8A-899E-4367-A014-6981D32AA81A}" xr6:coauthVersionLast="45" xr6:coauthVersionMax="45" xr10:uidLastSave="{00000000-0000-0000-0000-000000000000}"/>
  <bookViews>
    <workbookView xWindow="-120" yWindow="-120" windowWidth="20730" windowHeight="11160" activeTab="5" xr2:uid="{00000000-000D-0000-FFFF-FFFF00000000}"/>
  </bookViews>
  <sheets>
    <sheet name="DAY1" sheetId="1" r:id="rId1"/>
    <sheet name="DAY2" sheetId="5" r:id="rId2"/>
    <sheet name="DAY3" sheetId="6" r:id="rId3"/>
    <sheet name="Kla-Mityana" sheetId="7" r:id="rId4"/>
    <sheet name="Mityana-Kla" sheetId="8" r:id="rId5"/>
    <sheet name="Graphs" sheetId="13" r:id="rId6"/>
    <sheet name="KEY" sheetId="9" r:id="rId7"/>
    <sheet name="Desc" sheetId="10" r:id="rId8"/>
  </sheets>
  <definedNames>
    <definedName name="_xlnm.Print_Area" localSheetId="5">Graphs!$A$1:$X$78</definedName>
    <definedName name="_xlnm.Print_Area" localSheetId="3">'Kla-Mityana'!$A$1:$Z$230</definedName>
    <definedName name="_xlnm.Print_Area" localSheetId="4">'Mityana-Kla'!$A$1:$Z$187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0" i="13" l="1"/>
  <c r="C60" i="13"/>
  <c r="N15" i="13" l="1"/>
  <c r="N14" i="13"/>
  <c r="N12" i="13"/>
  <c r="N11" i="13"/>
  <c r="N10" i="13"/>
  <c r="N9" i="13"/>
  <c r="N8" i="13"/>
  <c r="N13" i="13"/>
  <c r="N6" i="13"/>
  <c r="N5" i="13"/>
  <c r="N7" i="13"/>
  <c r="O42" i="13"/>
  <c r="O43" i="13"/>
  <c r="O44" i="13"/>
  <c r="O41" i="13"/>
  <c r="N42" i="13"/>
  <c r="N43" i="13"/>
  <c r="N44" i="13"/>
  <c r="N41" i="13"/>
  <c r="M6" i="13"/>
  <c r="M7" i="13"/>
  <c r="M8" i="13"/>
  <c r="M9" i="13"/>
  <c r="M10" i="13"/>
  <c r="M11" i="13"/>
  <c r="M12" i="13"/>
  <c r="M13" i="13"/>
  <c r="M14" i="13"/>
  <c r="M15" i="13"/>
  <c r="M5" i="13"/>
  <c r="C30" i="13"/>
  <c r="C31" i="13"/>
  <c r="C29" i="13"/>
  <c r="D59" i="13"/>
  <c r="D58" i="13"/>
  <c r="D57" i="13"/>
  <c r="C59" i="13"/>
  <c r="C58" i="13"/>
  <c r="C57" i="13"/>
  <c r="D30" i="13"/>
  <c r="D31" i="13"/>
  <c r="D29" i="13"/>
  <c r="D7" i="13"/>
  <c r="D6" i="13"/>
  <c r="D5" i="13"/>
  <c r="D8" i="13" s="1"/>
  <c r="C7" i="13"/>
  <c r="C6" i="13"/>
  <c r="C5" i="13"/>
  <c r="K144" i="8"/>
  <c r="W8" i="8"/>
  <c r="X8" i="8" s="1"/>
  <c r="Y8" i="8" s="1"/>
  <c r="W9" i="8"/>
  <c r="X9" i="8"/>
  <c r="Y9" i="8" s="1"/>
  <c r="W10" i="8"/>
  <c r="X10" i="8"/>
  <c r="Y10" i="8" s="1"/>
  <c r="W11" i="8"/>
  <c r="X11" i="8"/>
  <c r="Y11" i="8" s="1"/>
  <c r="W12" i="8"/>
  <c r="X12" i="8" s="1"/>
  <c r="Y12" i="8" s="1"/>
  <c r="W13" i="8"/>
  <c r="X13" i="8" s="1"/>
  <c r="Y13" i="8" s="1"/>
  <c r="W14" i="8"/>
  <c r="X14" i="8" s="1"/>
  <c r="Y14" i="8" s="1"/>
  <c r="W15" i="8"/>
  <c r="X15" i="8"/>
  <c r="Y15" i="8"/>
  <c r="W16" i="8"/>
  <c r="X16" i="8" s="1"/>
  <c r="Y16" i="8" s="1"/>
  <c r="W17" i="8"/>
  <c r="X17" i="8"/>
  <c r="Y17" i="8" s="1"/>
  <c r="W18" i="8"/>
  <c r="X18" i="8"/>
  <c r="Y18" i="8" s="1"/>
  <c r="W19" i="8"/>
  <c r="X19" i="8"/>
  <c r="Y19" i="8" s="1"/>
  <c r="W20" i="8"/>
  <c r="X20" i="8" s="1"/>
  <c r="Y20" i="8" s="1"/>
  <c r="W21" i="8"/>
  <c r="X21" i="8" s="1"/>
  <c r="Y21" i="8" s="1"/>
  <c r="W22" i="8"/>
  <c r="X22" i="8" s="1"/>
  <c r="Y22" i="8" s="1"/>
  <c r="W23" i="8"/>
  <c r="X23" i="8"/>
  <c r="Y23" i="8"/>
  <c r="W24" i="8"/>
  <c r="X24" i="8" s="1"/>
  <c r="Y24" i="8" s="1"/>
  <c r="W25" i="8"/>
  <c r="X25" i="8"/>
  <c r="Y25" i="8" s="1"/>
  <c r="W26" i="8"/>
  <c r="X26" i="8"/>
  <c r="Y26" i="8" s="1"/>
  <c r="W27" i="8"/>
  <c r="X27" i="8"/>
  <c r="Y27" i="8" s="1"/>
  <c r="W28" i="8"/>
  <c r="X28" i="8" s="1"/>
  <c r="Y28" i="8" s="1"/>
  <c r="W29" i="8"/>
  <c r="X29" i="8" s="1"/>
  <c r="Y29" i="8" s="1"/>
  <c r="W30" i="8"/>
  <c r="X30" i="8" s="1"/>
  <c r="Y30" i="8" s="1"/>
  <c r="W31" i="8"/>
  <c r="X31" i="8"/>
  <c r="Y31" i="8"/>
  <c r="W32" i="8"/>
  <c r="X32" i="8" s="1"/>
  <c r="Y32" i="8" s="1"/>
  <c r="W33" i="8"/>
  <c r="X33" i="8"/>
  <c r="Y33" i="8" s="1"/>
  <c r="W34" i="8"/>
  <c r="X34" i="8"/>
  <c r="Y34" i="8" s="1"/>
  <c r="W35" i="8"/>
  <c r="X35" i="8"/>
  <c r="Y35" i="8" s="1"/>
  <c r="W36" i="8"/>
  <c r="X36" i="8" s="1"/>
  <c r="Y36" i="8" s="1"/>
  <c r="W37" i="8"/>
  <c r="X37" i="8" s="1"/>
  <c r="Y37" i="8" s="1"/>
  <c r="W38" i="8"/>
  <c r="X38" i="8" s="1"/>
  <c r="Y38" i="8" s="1"/>
  <c r="W39" i="8"/>
  <c r="X39" i="8"/>
  <c r="Y39" i="8"/>
  <c r="W40" i="8"/>
  <c r="X40" i="8" s="1"/>
  <c r="Y40" i="8" s="1"/>
  <c r="W41" i="8"/>
  <c r="X41" i="8"/>
  <c r="Y41" i="8" s="1"/>
  <c r="W42" i="8"/>
  <c r="X42" i="8"/>
  <c r="Y42" i="8" s="1"/>
  <c r="W43" i="8"/>
  <c r="X43" i="8"/>
  <c r="Y43" i="8" s="1"/>
  <c r="W44" i="8"/>
  <c r="X44" i="8" s="1"/>
  <c r="Y44" i="8" s="1"/>
  <c r="W45" i="8"/>
  <c r="X45" i="8" s="1"/>
  <c r="Y45" i="8" s="1"/>
  <c r="W46" i="8"/>
  <c r="X46" i="8" s="1"/>
  <c r="Y46" i="8" s="1"/>
  <c r="W47" i="8"/>
  <c r="X47" i="8"/>
  <c r="Y47" i="8"/>
  <c r="W48" i="8"/>
  <c r="X48" i="8" s="1"/>
  <c r="Y48" i="8" s="1"/>
  <c r="W49" i="8"/>
  <c r="X49" i="8"/>
  <c r="Y49" i="8" s="1"/>
  <c r="W50" i="8"/>
  <c r="X50" i="8"/>
  <c r="Y50" i="8" s="1"/>
  <c r="W51" i="8"/>
  <c r="X51" i="8"/>
  <c r="Y51" i="8" s="1"/>
  <c r="W52" i="8"/>
  <c r="X52" i="8" s="1"/>
  <c r="Y52" i="8" s="1"/>
  <c r="W53" i="8"/>
  <c r="X53" i="8" s="1"/>
  <c r="Y53" i="8" s="1"/>
  <c r="W54" i="8"/>
  <c r="X54" i="8" s="1"/>
  <c r="Y54" i="8" s="1"/>
  <c r="W55" i="8"/>
  <c r="X55" i="8"/>
  <c r="Y55" i="8"/>
  <c r="W56" i="8"/>
  <c r="X56" i="8" s="1"/>
  <c r="Y56" i="8" s="1"/>
  <c r="W57" i="8"/>
  <c r="X57" i="8"/>
  <c r="Y57" i="8" s="1"/>
  <c r="W58" i="8"/>
  <c r="X58" i="8"/>
  <c r="Y58" i="8" s="1"/>
  <c r="W59" i="8"/>
  <c r="X59" i="8"/>
  <c r="Y59" i="8" s="1"/>
  <c r="W60" i="8"/>
  <c r="X60" i="8" s="1"/>
  <c r="Y60" i="8" s="1"/>
  <c r="W61" i="8"/>
  <c r="X61" i="8" s="1"/>
  <c r="Y61" i="8" s="1"/>
  <c r="W62" i="8"/>
  <c r="X62" i="8" s="1"/>
  <c r="Y62" i="8" s="1"/>
  <c r="W63" i="8"/>
  <c r="X63" i="8"/>
  <c r="Y63" i="8"/>
  <c r="W64" i="8"/>
  <c r="X64" i="8" s="1"/>
  <c r="Y64" i="8" s="1"/>
  <c r="W65" i="8"/>
  <c r="X65" i="8"/>
  <c r="Y65" i="8" s="1"/>
  <c r="W66" i="8"/>
  <c r="X66" i="8"/>
  <c r="Y66" i="8" s="1"/>
  <c r="W67" i="8"/>
  <c r="X67" i="8"/>
  <c r="Y67" i="8" s="1"/>
  <c r="W68" i="8"/>
  <c r="X68" i="8" s="1"/>
  <c r="Y68" i="8" s="1"/>
  <c r="W69" i="8"/>
  <c r="X69" i="8" s="1"/>
  <c r="Y69" i="8" s="1"/>
  <c r="W70" i="8"/>
  <c r="X70" i="8" s="1"/>
  <c r="Y70" i="8" s="1"/>
  <c r="W71" i="8"/>
  <c r="X71" i="8"/>
  <c r="Y71" i="8"/>
  <c r="W72" i="8"/>
  <c r="X72" i="8" s="1"/>
  <c r="Y72" i="8" s="1"/>
  <c r="W73" i="8"/>
  <c r="X73" i="8"/>
  <c r="Y73" i="8" s="1"/>
  <c r="W74" i="8"/>
  <c r="X74" i="8"/>
  <c r="Y74" i="8" s="1"/>
  <c r="W75" i="8"/>
  <c r="X75" i="8"/>
  <c r="Y75" i="8" s="1"/>
  <c r="W76" i="8"/>
  <c r="X76" i="8" s="1"/>
  <c r="Y76" i="8" s="1"/>
  <c r="W77" i="8"/>
  <c r="X77" i="8" s="1"/>
  <c r="Y77" i="8" s="1"/>
  <c r="W78" i="8"/>
  <c r="X78" i="8" s="1"/>
  <c r="Y78" i="8" s="1"/>
  <c r="W79" i="8"/>
  <c r="X79" i="8"/>
  <c r="Y79" i="8"/>
  <c r="W80" i="8"/>
  <c r="X80" i="8" s="1"/>
  <c r="Y80" i="8" s="1"/>
  <c r="W81" i="8"/>
  <c r="X81" i="8"/>
  <c r="Y81" i="8" s="1"/>
  <c r="W82" i="8"/>
  <c r="X82" i="8"/>
  <c r="Y82" i="8" s="1"/>
  <c r="W83" i="8"/>
  <c r="X83" i="8"/>
  <c r="Y83" i="8" s="1"/>
  <c r="W84" i="8"/>
  <c r="X84" i="8" s="1"/>
  <c r="Y84" i="8" s="1"/>
  <c r="W85" i="8"/>
  <c r="X85" i="8" s="1"/>
  <c r="Y85" i="8" s="1"/>
  <c r="W86" i="8"/>
  <c r="X86" i="8" s="1"/>
  <c r="Y86" i="8" s="1"/>
  <c r="W87" i="8"/>
  <c r="X87" i="8"/>
  <c r="Y87" i="8"/>
  <c r="W88" i="8"/>
  <c r="X88" i="8" s="1"/>
  <c r="Y88" i="8" s="1"/>
  <c r="W89" i="8"/>
  <c r="X89" i="8"/>
  <c r="Y89" i="8" s="1"/>
  <c r="W90" i="8"/>
  <c r="X90" i="8"/>
  <c r="Y90" i="8" s="1"/>
  <c r="W91" i="8"/>
  <c r="X91" i="8"/>
  <c r="Y91" i="8" s="1"/>
  <c r="W92" i="8"/>
  <c r="X92" i="8" s="1"/>
  <c r="Y92" i="8" s="1"/>
  <c r="W93" i="8"/>
  <c r="X93" i="8" s="1"/>
  <c r="Y93" i="8" s="1"/>
  <c r="W94" i="8"/>
  <c r="X94" i="8" s="1"/>
  <c r="Y94" i="8" s="1"/>
  <c r="W95" i="8"/>
  <c r="X95" i="8"/>
  <c r="Y95" i="8"/>
  <c r="W96" i="8"/>
  <c r="X96" i="8" s="1"/>
  <c r="Y96" i="8" s="1"/>
  <c r="W97" i="8"/>
  <c r="X97" i="8"/>
  <c r="Y97" i="8" s="1"/>
  <c r="W98" i="8"/>
  <c r="X98" i="8"/>
  <c r="Y98" i="8" s="1"/>
  <c r="W99" i="8"/>
  <c r="X99" i="8"/>
  <c r="Y99" i="8" s="1"/>
  <c r="W100" i="8"/>
  <c r="X100" i="8" s="1"/>
  <c r="Y100" i="8" s="1"/>
  <c r="W101" i="8"/>
  <c r="X101" i="8" s="1"/>
  <c r="Y101" i="8" s="1"/>
  <c r="W102" i="8"/>
  <c r="X102" i="8" s="1"/>
  <c r="Y102" i="8" s="1"/>
  <c r="W103" i="8"/>
  <c r="X103" i="8"/>
  <c r="Y103" i="8"/>
  <c r="W104" i="8"/>
  <c r="X104" i="8" s="1"/>
  <c r="Y104" i="8" s="1"/>
  <c r="W105" i="8"/>
  <c r="X105" i="8"/>
  <c r="Y105" i="8" s="1"/>
  <c r="W106" i="8"/>
  <c r="X106" i="8"/>
  <c r="Y106" i="8" s="1"/>
  <c r="W107" i="8"/>
  <c r="X107" i="8"/>
  <c r="Y107" i="8" s="1"/>
  <c r="W108" i="8"/>
  <c r="X108" i="8" s="1"/>
  <c r="Y108" i="8" s="1"/>
  <c r="W109" i="8"/>
  <c r="X109" i="8" s="1"/>
  <c r="Y109" i="8" s="1"/>
  <c r="W110" i="8"/>
  <c r="X110" i="8" s="1"/>
  <c r="Y110" i="8" s="1"/>
  <c r="W111" i="8"/>
  <c r="X111" i="8"/>
  <c r="Y111" i="8"/>
  <c r="W112" i="8"/>
  <c r="X112" i="8" s="1"/>
  <c r="Y112" i="8" s="1"/>
  <c r="W113" i="8"/>
  <c r="X113" i="8"/>
  <c r="Y113" i="8" s="1"/>
  <c r="W114" i="8"/>
  <c r="X114" i="8"/>
  <c r="Y114" i="8" s="1"/>
  <c r="W115" i="8"/>
  <c r="X115" i="8"/>
  <c r="Y115" i="8" s="1"/>
  <c r="W116" i="8"/>
  <c r="X116" i="8" s="1"/>
  <c r="Y116" i="8" s="1"/>
  <c r="W117" i="8"/>
  <c r="X117" i="8" s="1"/>
  <c r="Y117" i="8" s="1"/>
  <c r="W118" i="8"/>
  <c r="X118" i="8" s="1"/>
  <c r="Y118" i="8" s="1"/>
  <c r="W119" i="8"/>
  <c r="X119" i="8"/>
  <c r="Y119" i="8"/>
  <c r="W120" i="8"/>
  <c r="X120" i="8" s="1"/>
  <c r="Y120" i="8" s="1"/>
  <c r="W121" i="8"/>
  <c r="X121" i="8"/>
  <c r="Y121" i="8" s="1"/>
  <c r="W122" i="8"/>
  <c r="X122" i="8"/>
  <c r="Y122" i="8" s="1"/>
  <c r="W123" i="8"/>
  <c r="X123" i="8"/>
  <c r="Y123" i="8" s="1"/>
  <c r="W124" i="8"/>
  <c r="X124" i="8" s="1"/>
  <c r="Y124" i="8" s="1"/>
  <c r="W125" i="8"/>
  <c r="X125" i="8" s="1"/>
  <c r="Y125" i="8" s="1"/>
  <c r="W126" i="8"/>
  <c r="X126" i="8" s="1"/>
  <c r="Y126" i="8" s="1"/>
  <c r="W127" i="8"/>
  <c r="X127" i="8"/>
  <c r="Y127" i="8"/>
  <c r="W128" i="8"/>
  <c r="X128" i="8" s="1"/>
  <c r="Y128" i="8" s="1"/>
  <c r="W129" i="8"/>
  <c r="X129" i="8"/>
  <c r="Y129" i="8" s="1"/>
  <c r="W130" i="8"/>
  <c r="X130" i="8"/>
  <c r="Y130" i="8" s="1"/>
  <c r="W131" i="8"/>
  <c r="X131" i="8"/>
  <c r="Y131" i="8" s="1"/>
  <c r="W132" i="8"/>
  <c r="X132" i="8" s="1"/>
  <c r="Y132" i="8" s="1"/>
  <c r="W133" i="8"/>
  <c r="X133" i="8" s="1"/>
  <c r="Y133" i="8" s="1"/>
  <c r="W134" i="8"/>
  <c r="X134" i="8" s="1"/>
  <c r="Y134" i="8" s="1"/>
  <c r="W135" i="8"/>
  <c r="X135" i="8"/>
  <c r="Y135" i="8"/>
  <c r="W136" i="8"/>
  <c r="X136" i="8" s="1"/>
  <c r="Y136" i="8" s="1"/>
  <c r="W137" i="8"/>
  <c r="X137" i="8"/>
  <c r="Y137" i="8" s="1"/>
  <c r="W138" i="8"/>
  <c r="X138" i="8"/>
  <c r="Y138" i="8" s="1"/>
  <c r="W139" i="8"/>
  <c r="X139" i="8"/>
  <c r="Y139" i="8" s="1"/>
  <c r="W140" i="8"/>
  <c r="X140" i="8" s="1"/>
  <c r="Y140" i="8" s="1"/>
  <c r="W141" i="8"/>
  <c r="X141" i="8" s="1"/>
  <c r="Y141" i="8" s="1"/>
  <c r="W142" i="8"/>
  <c r="X142" i="8" s="1"/>
  <c r="Y142" i="8" s="1"/>
  <c r="W143" i="8"/>
  <c r="X143" i="8"/>
  <c r="Y143" i="8"/>
  <c r="W144" i="8"/>
  <c r="X144" i="8" s="1"/>
  <c r="Y144" i="8" s="1"/>
  <c r="W145" i="8"/>
  <c r="X145" i="8"/>
  <c r="Y145" i="8" s="1"/>
  <c r="W146" i="8"/>
  <c r="X146" i="8"/>
  <c r="Y146" i="8" s="1"/>
  <c r="W147" i="8"/>
  <c r="X147" i="8"/>
  <c r="Y147" i="8" s="1"/>
  <c r="W148" i="8"/>
  <c r="X148" i="8" s="1"/>
  <c r="Y148" i="8" s="1"/>
  <c r="W149" i="8"/>
  <c r="X149" i="8" s="1"/>
  <c r="Y149" i="8" s="1"/>
  <c r="W150" i="8"/>
  <c r="X150" i="8" s="1"/>
  <c r="Y150" i="8" s="1"/>
  <c r="W151" i="8"/>
  <c r="X151" i="8"/>
  <c r="Y151" i="8"/>
  <c r="W152" i="8"/>
  <c r="X152" i="8" s="1"/>
  <c r="Y152" i="8" s="1"/>
  <c r="W153" i="8"/>
  <c r="X153" i="8"/>
  <c r="Y153" i="8" s="1"/>
  <c r="W154" i="8"/>
  <c r="X154" i="8"/>
  <c r="Y154" i="8" s="1"/>
  <c r="W155" i="8"/>
  <c r="X155" i="8"/>
  <c r="Y155" i="8" s="1"/>
  <c r="W156" i="8"/>
  <c r="X156" i="8" s="1"/>
  <c r="Y156" i="8" s="1"/>
  <c r="W157" i="8"/>
  <c r="X157" i="8" s="1"/>
  <c r="Y157" i="8" s="1"/>
  <c r="W158" i="8"/>
  <c r="X158" i="8" s="1"/>
  <c r="Y158" i="8" s="1"/>
  <c r="W159" i="8"/>
  <c r="X159" i="8"/>
  <c r="Y159" i="8"/>
  <c r="W160" i="8"/>
  <c r="X160" i="8" s="1"/>
  <c r="Y160" i="8" s="1"/>
  <c r="W161" i="8"/>
  <c r="X161" i="8"/>
  <c r="Y161" i="8" s="1"/>
  <c r="W162" i="8"/>
  <c r="X162" i="8"/>
  <c r="Y162" i="8" s="1"/>
  <c r="W163" i="8"/>
  <c r="X163" i="8"/>
  <c r="Y163" i="8" s="1"/>
  <c r="W164" i="8"/>
  <c r="X164" i="8" s="1"/>
  <c r="Y164" i="8" s="1"/>
  <c r="W165" i="8"/>
  <c r="X165" i="8" s="1"/>
  <c r="Y165" i="8" s="1"/>
  <c r="W166" i="8"/>
  <c r="X166" i="8" s="1"/>
  <c r="Y166" i="8" s="1"/>
  <c r="W167" i="8"/>
  <c r="X167" i="8"/>
  <c r="Y167" i="8"/>
  <c r="W168" i="8"/>
  <c r="X168" i="8" s="1"/>
  <c r="Y168" i="8" s="1"/>
  <c r="W169" i="8"/>
  <c r="X169" i="8"/>
  <c r="Y169" i="8" s="1"/>
  <c r="W170" i="8"/>
  <c r="X170" i="8"/>
  <c r="Y170" i="8" s="1"/>
  <c r="W171" i="8"/>
  <c r="X171" i="8"/>
  <c r="Y171" i="8" s="1"/>
  <c r="W172" i="8"/>
  <c r="X172" i="8" s="1"/>
  <c r="Y172" i="8" s="1"/>
  <c r="W173" i="8"/>
  <c r="X173" i="8" s="1"/>
  <c r="Y173" i="8" s="1"/>
  <c r="W174" i="8"/>
  <c r="X174" i="8" s="1"/>
  <c r="Y174" i="8" s="1"/>
  <c r="W175" i="8"/>
  <c r="X175" i="8"/>
  <c r="Y175" i="8"/>
  <c r="W176" i="8"/>
  <c r="X176" i="8" s="1"/>
  <c r="Y176" i="8" s="1"/>
  <c r="W177" i="8"/>
  <c r="X177" i="8"/>
  <c r="Y177" i="8" s="1"/>
  <c r="W178" i="8"/>
  <c r="X178" i="8"/>
  <c r="Y178" i="8" s="1"/>
  <c r="W179" i="8"/>
  <c r="X179" i="8"/>
  <c r="Y179" i="8" s="1"/>
  <c r="W180" i="8"/>
  <c r="X180" i="8" s="1"/>
  <c r="Y180" i="8" s="1"/>
  <c r="W181" i="8"/>
  <c r="X181" i="8" s="1"/>
  <c r="Y181" i="8" s="1"/>
  <c r="W182" i="8"/>
  <c r="X182" i="8" s="1"/>
  <c r="Y182" i="8" s="1"/>
  <c r="W183" i="8"/>
  <c r="X183" i="8"/>
  <c r="Y183" i="8"/>
  <c r="W184" i="8"/>
  <c r="X184" i="8" s="1"/>
  <c r="Y184" i="8" s="1"/>
  <c r="W185" i="8"/>
  <c r="X185" i="8"/>
  <c r="Y185" i="8" s="1"/>
  <c r="W186" i="8"/>
  <c r="X186" i="8"/>
  <c r="Y186" i="8" s="1"/>
  <c r="W187" i="8"/>
  <c r="X187" i="8"/>
  <c r="Y187" i="8" s="1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7" i="8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7" i="7"/>
  <c r="G133" i="8"/>
  <c r="H133" i="8"/>
  <c r="I133" i="8"/>
  <c r="J133" i="8"/>
  <c r="K133" i="8"/>
  <c r="L133" i="8"/>
  <c r="M133" i="8"/>
  <c r="G134" i="8"/>
  <c r="H134" i="8"/>
  <c r="I134" i="8"/>
  <c r="J134" i="8"/>
  <c r="K134" i="8"/>
  <c r="L134" i="8"/>
  <c r="M134" i="8"/>
  <c r="G135" i="8"/>
  <c r="H135" i="8"/>
  <c r="I135" i="8"/>
  <c r="J135" i="8"/>
  <c r="K135" i="8"/>
  <c r="L135" i="8"/>
  <c r="M135" i="8"/>
  <c r="G136" i="8"/>
  <c r="H136" i="8"/>
  <c r="I136" i="8"/>
  <c r="J136" i="8"/>
  <c r="K136" i="8"/>
  <c r="L136" i="8"/>
  <c r="M136" i="8"/>
  <c r="G137" i="8"/>
  <c r="H137" i="8"/>
  <c r="I137" i="8"/>
  <c r="J137" i="8"/>
  <c r="K137" i="8"/>
  <c r="L137" i="8"/>
  <c r="M137" i="8"/>
  <c r="G138" i="8"/>
  <c r="H138" i="8"/>
  <c r="I138" i="8"/>
  <c r="J138" i="8"/>
  <c r="K138" i="8"/>
  <c r="L138" i="8"/>
  <c r="M138" i="8"/>
  <c r="G139" i="8"/>
  <c r="H139" i="8"/>
  <c r="I139" i="8"/>
  <c r="J139" i="8"/>
  <c r="K139" i="8"/>
  <c r="L139" i="8"/>
  <c r="M139" i="8"/>
  <c r="G140" i="8"/>
  <c r="H140" i="8"/>
  <c r="I140" i="8"/>
  <c r="J140" i="8"/>
  <c r="K140" i="8"/>
  <c r="L140" i="8"/>
  <c r="M140" i="8"/>
  <c r="G141" i="8"/>
  <c r="H141" i="8"/>
  <c r="I141" i="8"/>
  <c r="J141" i="8"/>
  <c r="K141" i="8"/>
  <c r="L141" i="8"/>
  <c r="M141" i="8"/>
  <c r="G142" i="8"/>
  <c r="H142" i="8"/>
  <c r="I142" i="8"/>
  <c r="J142" i="8"/>
  <c r="K142" i="8"/>
  <c r="L142" i="8"/>
  <c r="M142" i="8"/>
  <c r="G143" i="8"/>
  <c r="H143" i="8"/>
  <c r="I143" i="8"/>
  <c r="J143" i="8"/>
  <c r="K143" i="8"/>
  <c r="L143" i="8"/>
  <c r="M143" i="8"/>
  <c r="G144" i="8"/>
  <c r="H144" i="8"/>
  <c r="I144" i="8"/>
  <c r="J144" i="8"/>
  <c r="L144" i="8"/>
  <c r="M144" i="8"/>
  <c r="G145" i="8"/>
  <c r="H145" i="8"/>
  <c r="I145" i="8"/>
  <c r="J145" i="8"/>
  <c r="K145" i="8"/>
  <c r="L145" i="8"/>
  <c r="M145" i="8"/>
  <c r="G146" i="8"/>
  <c r="H146" i="8"/>
  <c r="I146" i="8"/>
  <c r="J146" i="8"/>
  <c r="K146" i="8"/>
  <c r="L146" i="8"/>
  <c r="M146" i="8"/>
  <c r="G147" i="8"/>
  <c r="H147" i="8"/>
  <c r="I147" i="8"/>
  <c r="J147" i="8"/>
  <c r="K147" i="8"/>
  <c r="L147" i="8"/>
  <c r="M147" i="8"/>
  <c r="G148" i="8"/>
  <c r="H148" i="8"/>
  <c r="I148" i="8"/>
  <c r="J148" i="8"/>
  <c r="K148" i="8"/>
  <c r="L148" i="8"/>
  <c r="M148" i="8"/>
  <c r="G149" i="8"/>
  <c r="H149" i="8"/>
  <c r="I149" i="8"/>
  <c r="J149" i="8"/>
  <c r="K149" i="8"/>
  <c r="L149" i="8"/>
  <c r="M149" i="8"/>
  <c r="G150" i="8"/>
  <c r="H150" i="8"/>
  <c r="I150" i="8"/>
  <c r="J150" i="8"/>
  <c r="K150" i="8"/>
  <c r="L150" i="8"/>
  <c r="M150" i="8"/>
  <c r="G151" i="8"/>
  <c r="H151" i="8"/>
  <c r="I151" i="8"/>
  <c r="J151" i="8"/>
  <c r="K151" i="8"/>
  <c r="L151" i="8"/>
  <c r="M151" i="8"/>
  <c r="G152" i="8"/>
  <c r="H152" i="8"/>
  <c r="I152" i="8"/>
  <c r="J152" i="8"/>
  <c r="K152" i="8"/>
  <c r="L152" i="8"/>
  <c r="M152" i="8"/>
  <c r="G153" i="8"/>
  <c r="H153" i="8"/>
  <c r="I153" i="8"/>
  <c r="J153" i="8"/>
  <c r="K153" i="8"/>
  <c r="L153" i="8"/>
  <c r="M153" i="8"/>
  <c r="G154" i="8"/>
  <c r="H154" i="8"/>
  <c r="I154" i="8"/>
  <c r="J154" i="8"/>
  <c r="K154" i="8"/>
  <c r="L154" i="8"/>
  <c r="M154" i="8"/>
  <c r="G155" i="8"/>
  <c r="H155" i="8"/>
  <c r="I155" i="8"/>
  <c r="J155" i="8"/>
  <c r="K155" i="8"/>
  <c r="L155" i="8"/>
  <c r="M155" i="8"/>
  <c r="G156" i="8"/>
  <c r="H156" i="8"/>
  <c r="I156" i="8"/>
  <c r="J156" i="8"/>
  <c r="K156" i="8"/>
  <c r="L156" i="8"/>
  <c r="M156" i="8"/>
  <c r="G157" i="8"/>
  <c r="H157" i="8"/>
  <c r="I157" i="8"/>
  <c r="J157" i="8"/>
  <c r="K157" i="8"/>
  <c r="L157" i="8"/>
  <c r="M157" i="8"/>
  <c r="G158" i="8"/>
  <c r="H158" i="8"/>
  <c r="I158" i="8"/>
  <c r="J158" i="8"/>
  <c r="K158" i="8"/>
  <c r="L158" i="8"/>
  <c r="M158" i="8"/>
  <c r="G159" i="8"/>
  <c r="H159" i="8"/>
  <c r="I159" i="8"/>
  <c r="J159" i="8"/>
  <c r="K159" i="8"/>
  <c r="L159" i="8"/>
  <c r="M159" i="8"/>
  <c r="G160" i="8"/>
  <c r="H160" i="8"/>
  <c r="I160" i="8"/>
  <c r="J160" i="8"/>
  <c r="K160" i="8"/>
  <c r="L160" i="8"/>
  <c r="M160" i="8"/>
  <c r="G161" i="8"/>
  <c r="H161" i="8"/>
  <c r="I161" i="8"/>
  <c r="J161" i="8"/>
  <c r="K161" i="8"/>
  <c r="L161" i="8"/>
  <c r="M161" i="8"/>
  <c r="G162" i="8"/>
  <c r="H162" i="8"/>
  <c r="I162" i="8"/>
  <c r="J162" i="8"/>
  <c r="K162" i="8"/>
  <c r="L162" i="8"/>
  <c r="M162" i="8"/>
  <c r="G163" i="8"/>
  <c r="H163" i="8"/>
  <c r="I163" i="8"/>
  <c r="J163" i="8"/>
  <c r="K163" i="8"/>
  <c r="L163" i="8"/>
  <c r="M163" i="8"/>
  <c r="G164" i="8"/>
  <c r="H164" i="8"/>
  <c r="I164" i="8"/>
  <c r="J164" i="8"/>
  <c r="K164" i="8"/>
  <c r="L164" i="8"/>
  <c r="M164" i="8"/>
  <c r="G165" i="8"/>
  <c r="H165" i="8"/>
  <c r="I165" i="8"/>
  <c r="J165" i="8"/>
  <c r="K165" i="8"/>
  <c r="L165" i="8"/>
  <c r="M165" i="8"/>
  <c r="G166" i="8"/>
  <c r="H166" i="8"/>
  <c r="I166" i="8"/>
  <c r="J166" i="8"/>
  <c r="K166" i="8"/>
  <c r="L166" i="8"/>
  <c r="M166" i="8"/>
  <c r="G167" i="8"/>
  <c r="H167" i="8"/>
  <c r="I167" i="8"/>
  <c r="J167" i="8"/>
  <c r="K167" i="8"/>
  <c r="L167" i="8"/>
  <c r="M167" i="8"/>
  <c r="G168" i="8"/>
  <c r="H168" i="8"/>
  <c r="I168" i="8"/>
  <c r="J168" i="8"/>
  <c r="K168" i="8"/>
  <c r="L168" i="8"/>
  <c r="M168" i="8"/>
  <c r="G169" i="8"/>
  <c r="H169" i="8"/>
  <c r="I169" i="8"/>
  <c r="J169" i="8"/>
  <c r="K169" i="8"/>
  <c r="L169" i="8"/>
  <c r="M169" i="8"/>
  <c r="G170" i="8"/>
  <c r="H170" i="8"/>
  <c r="I170" i="8"/>
  <c r="J170" i="8"/>
  <c r="K170" i="8"/>
  <c r="L170" i="8"/>
  <c r="M170" i="8"/>
  <c r="G171" i="8"/>
  <c r="H171" i="8"/>
  <c r="I171" i="8"/>
  <c r="J171" i="8"/>
  <c r="K171" i="8"/>
  <c r="L171" i="8"/>
  <c r="M171" i="8"/>
  <c r="G172" i="8"/>
  <c r="H172" i="8"/>
  <c r="I172" i="8"/>
  <c r="J172" i="8"/>
  <c r="K172" i="8"/>
  <c r="L172" i="8"/>
  <c r="M172" i="8"/>
  <c r="G173" i="8"/>
  <c r="H173" i="8"/>
  <c r="I173" i="8"/>
  <c r="J173" i="8"/>
  <c r="K173" i="8"/>
  <c r="L173" i="8"/>
  <c r="M173" i="8"/>
  <c r="G174" i="8"/>
  <c r="H174" i="8"/>
  <c r="I174" i="8"/>
  <c r="J174" i="8"/>
  <c r="K174" i="8"/>
  <c r="L174" i="8"/>
  <c r="M174" i="8"/>
  <c r="G175" i="8"/>
  <c r="H175" i="8"/>
  <c r="I175" i="8"/>
  <c r="J175" i="8"/>
  <c r="K175" i="8"/>
  <c r="L175" i="8"/>
  <c r="M175" i="8"/>
  <c r="G176" i="8"/>
  <c r="H176" i="8"/>
  <c r="I176" i="8"/>
  <c r="J176" i="8"/>
  <c r="K176" i="8"/>
  <c r="L176" i="8"/>
  <c r="M176" i="8"/>
  <c r="G177" i="8"/>
  <c r="H177" i="8"/>
  <c r="I177" i="8"/>
  <c r="J177" i="8"/>
  <c r="K177" i="8"/>
  <c r="L177" i="8"/>
  <c r="M177" i="8"/>
  <c r="G178" i="8"/>
  <c r="H178" i="8"/>
  <c r="I178" i="8"/>
  <c r="J178" i="8"/>
  <c r="K178" i="8"/>
  <c r="L178" i="8"/>
  <c r="M178" i="8"/>
  <c r="G179" i="8"/>
  <c r="H179" i="8"/>
  <c r="I179" i="8"/>
  <c r="J179" i="8"/>
  <c r="K179" i="8"/>
  <c r="L179" i="8"/>
  <c r="M179" i="8"/>
  <c r="G180" i="8"/>
  <c r="H180" i="8"/>
  <c r="I180" i="8"/>
  <c r="J180" i="8"/>
  <c r="K180" i="8"/>
  <c r="L180" i="8"/>
  <c r="M180" i="8"/>
  <c r="G181" i="8"/>
  <c r="H181" i="8"/>
  <c r="I181" i="8"/>
  <c r="J181" i="8"/>
  <c r="K181" i="8"/>
  <c r="L181" i="8"/>
  <c r="M181" i="8"/>
  <c r="G182" i="8"/>
  <c r="H182" i="8"/>
  <c r="I182" i="8"/>
  <c r="J182" i="8"/>
  <c r="K182" i="8"/>
  <c r="L182" i="8"/>
  <c r="M182" i="8"/>
  <c r="G183" i="8"/>
  <c r="H183" i="8"/>
  <c r="I183" i="8"/>
  <c r="J183" i="8"/>
  <c r="K183" i="8"/>
  <c r="L183" i="8"/>
  <c r="M183" i="8"/>
  <c r="G184" i="8"/>
  <c r="H184" i="8"/>
  <c r="I184" i="8"/>
  <c r="J184" i="8"/>
  <c r="K184" i="8"/>
  <c r="L184" i="8"/>
  <c r="M184" i="8"/>
  <c r="G185" i="8"/>
  <c r="H185" i="8"/>
  <c r="I185" i="8"/>
  <c r="J185" i="8"/>
  <c r="K185" i="8"/>
  <c r="L185" i="8"/>
  <c r="M185" i="8"/>
  <c r="G186" i="8"/>
  <c r="H186" i="8"/>
  <c r="I186" i="8"/>
  <c r="J186" i="8"/>
  <c r="K186" i="8"/>
  <c r="L186" i="8"/>
  <c r="M186" i="8"/>
  <c r="G187" i="8"/>
  <c r="H187" i="8"/>
  <c r="I187" i="8"/>
  <c r="J187" i="8"/>
  <c r="K187" i="8"/>
  <c r="L187" i="8"/>
  <c r="M187" i="8"/>
  <c r="H132" i="8"/>
  <c r="I132" i="8"/>
  <c r="J132" i="8"/>
  <c r="K132" i="8"/>
  <c r="L132" i="8"/>
  <c r="M132" i="8"/>
  <c r="G132" i="8"/>
  <c r="G117" i="8"/>
  <c r="H117" i="8"/>
  <c r="I117" i="8"/>
  <c r="G118" i="8"/>
  <c r="H118" i="8"/>
  <c r="I118" i="8"/>
  <c r="G119" i="8"/>
  <c r="H119" i="8"/>
  <c r="I119" i="8"/>
  <c r="G120" i="8"/>
  <c r="H120" i="8"/>
  <c r="I120" i="8"/>
  <c r="G121" i="8"/>
  <c r="H121" i="8"/>
  <c r="I121" i="8"/>
  <c r="G122" i="8"/>
  <c r="H122" i="8"/>
  <c r="I122" i="8"/>
  <c r="G123" i="8"/>
  <c r="H123" i="8"/>
  <c r="I123" i="8"/>
  <c r="G124" i="8"/>
  <c r="H124" i="8"/>
  <c r="I124" i="8"/>
  <c r="G125" i="8"/>
  <c r="H125" i="8"/>
  <c r="I125" i="8"/>
  <c r="G126" i="8"/>
  <c r="H126" i="8"/>
  <c r="I126" i="8"/>
  <c r="G127" i="8"/>
  <c r="H127" i="8"/>
  <c r="I127" i="8"/>
  <c r="G128" i="8"/>
  <c r="H128" i="8"/>
  <c r="I128" i="8"/>
  <c r="G129" i="8"/>
  <c r="H129" i="8"/>
  <c r="I129" i="8"/>
  <c r="G130" i="8"/>
  <c r="H130" i="8"/>
  <c r="I130" i="8"/>
  <c r="G131" i="8"/>
  <c r="H131" i="8"/>
  <c r="I131" i="8"/>
  <c r="H116" i="8"/>
  <c r="I116" i="8"/>
  <c r="G116" i="8"/>
  <c r="G8" i="8"/>
  <c r="H8" i="8"/>
  <c r="G9" i="8"/>
  <c r="H9" i="8"/>
  <c r="G10" i="8"/>
  <c r="H10" i="8"/>
  <c r="G11" i="8"/>
  <c r="H11" i="8"/>
  <c r="G12" i="8"/>
  <c r="H12" i="8"/>
  <c r="G13" i="8"/>
  <c r="H13" i="8"/>
  <c r="G14" i="8"/>
  <c r="H14" i="8"/>
  <c r="G15" i="8"/>
  <c r="H15" i="8"/>
  <c r="G16" i="8"/>
  <c r="H16" i="8"/>
  <c r="G17" i="8"/>
  <c r="H17" i="8"/>
  <c r="G18" i="8"/>
  <c r="H18" i="8"/>
  <c r="G19" i="8"/>
  <c r="H19" i="8"/>
  <c r="G20" i="8"/>
  <c r="H20" i="8"/>
  <c r="G21" i="8"/>
  <c r="H21" i="8"/>
  <c r="G22" i="8"/>
  <c r="H22" i="8"/>
  <c r="G23" i="8"/>
  <c r="H23" i="8"/>
  <c r="G24" i="8"/>
  <c r="H24" i="8"/>
  <c r="G25" i="8"/>
  <c r="H25" i="8"/>
  <c r="G26" i="8"/>
  <c r="H26" i="8"/>
  <c r="G27" i="8"/>
  <c r="H27" i="8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G35" i="8"/>
  <c r="H35" i="8"/>
  <c r="G36" i="8"/>
  <c r="H36" i="8"/>
  <c r="G37" i="8"/>
  <c r="H37" i="8"/>
  <c r="G38" i="8"/>
  <c r="H38" i="8"/>
  <c r="G39" i="8"/>
  <c r="H39" i="8"/>
  <c r="G40" i="8"/>
  <c r="H40" i="8"/>
  <c r="G41" i="8"/>
  <c r="H41" i="8"/>
  <c r="G42" i="8"/>
  <c r="H42" i="8"/>
  <c r="G43" i="8"/>
  <c r="H43" i="8"/>
  <c r="G44" i="8"/>
  <c r="H44" i="8"/>
  <c r="G45" i="8"/>
  <c r="H45" i="8"/>
  <c r="G46" i="8"/>
  <c r="H46" i="8"/>
  <c r="G47" i="8"/>
  <c r="H47" i="8"/>
  <c r="G48" i="8"/>
  <c r="H48" i="8"/>
  <c r="G49" i="8"/>
  <c r="H49" i="8"/>
  <c r="G50" i="8"/>
  <c r="H50" i="8"/>
  <c r="G51" i="8"/>
  <c r="H51" i="8"/>
  <c r="G52" i="8"/>
  <c r="H52" i="8"/>
  <c r="G53" i="8"/>
  <c r="H53" i="8"/>
  <c r="G54" i="8"/>
  <c r="H54" i="8"/>
  <c r="G55" i="8"/>
  <c r="H55" i="8"/>
  <c r="G56" i="8"/>
  <c r="H56" i="8"/>
  <c r="G57" i="8"/>
  <c r="H57" i="8"/>
  <c r="G58" i="8"/>
  <c r="H58" i="8"/>
  <c r="G59" i="8"/>
  <c r="H59" i="8"/>
  <c r="G60" i="8"/>
  <c r="H60" i="8"/>
  <c r="G61" i="8"/>
  <c r="H61" i="8"/>
  <c r="G62" i="8"/>
  <c r="H62" i="8"/>
  <c r="G63" i="8"/>
  <c r="H63" i="8"/>
  <c r="G64" i="8"/>
  <c r="H64" i="8"/>
  <c r="G65" i="8"/>
  <c r="H65" i="8"/>
  <c r="G66" i="8"/>
  <c r="H66" i="8"/>
  <c r="G67" i="8"/>
  <c r="H67" i="8"/>
  <c r="G68" i="8"/>
  <c r="H68" i="8"/>
  <c r="G69" i="8"/>
  <c r="H69" i="8"/>
  <c r="G70" i="8"/>
  <c r="H70" i="8"/>
  <c r="G71" i="8"/>
  <c r="H71" i="8"/>
  <c r="G72" i="8"/>
  <c r="H72" i="8"/>
  <c r="G73" i="8"/>
  <c r="H73" i="8"/>
  <c r="G74" i="8"/>
  <c r="H74" i="8"/>
  <c r="G75" i="8"/>
  <c r="H75" i="8"/>
  <c r="G76" i="8"/>
  <c r="H76" i="8"/>
  <c r="G77" i="8"/>
  <c r="H77" i="8"/>
  <c r="G78" i="8"/>
  <c r="H78" i="8"/>
  <c r="G79" i="8"/>
  <c r="H79" i="8"/>
  <c r="G80" i="8"/>
  <c r="H80" i="8"/>
  <c r="G81" i="8"/>
  <c r="H81" i="8"/>
  <c r="G82" i="8"/>
  <c r="H82" i="8"/>
  <c r="G83" i="8"/>
  <c r="H83" i="8"/>
  <c r="G84" i="8"/>
  <c r="H84" i="8"/>
  <c r="G85" i="8"/>
  <c r="H85" i="8"/>
  <c r="G86" i="8"/>
  <c r="H86" i="8"/>
  <c r="G87" i="8"/>
  <c r="H87" i="8"/>
  <c r="G88" i="8"/>
  <c r="H88" i="8"/>
  <c r="G89" i="8"/>
  <c r="H89" i="8"/>
  <c r="G90" i="8"/>
  <c r="H90" i="8"/>
  <c r="G91" i="8"/>
  <c r="H91" i="8"/>
  <c r="G92" i="8"/>
  <c r="H92" i="8"/>
  <c r="G93" i="8"/>
  <c r="H93" i="8"/>
  <c r="G94" i="8"/>
  <c r="H94" i="8"/>
  <c r="G95" i="8"/>
  <c r="H95" i="8"/>
  <c r="G96" i="8"/>
  <c r="H96" i="8"/>
  <c r="G97" i="8"/>
  <c r="H97" i="8"/>
  <c r="G98" i="8"/>
  <c r="H98" i="8"/>
  <c r="G99" i="8"/>
  <c r="H99" i="8"/>
  <c r="G100" i="8"/>
  <c r="H100" i="8"/>
  <c r="G101" i="8"/>
  <c r="H101" i="8"/>
  <c r="G102" i="8"/>
  <c r="H102" i="8"/>
  <c r="G103" i="8"/>
  <c r="H103" i="8"/>
  <c r="G104" i="8"/>
  <c r="H104" i="8"/>
  <c r="G105" i="8"/>
  <c r="H105" i="8"/>
  <c r="G106" i="8"/>
  <c r="H106" i="8"/>
  <c r="G107" i="8"/>
  <c r="H107" i="8"/>
  <c r="G108" i="8"/>
  <c r="H108" i="8"/>
  <c r="G109" i="8"/>
  <c r="H109" i="8"/>
  <c r="G110" i="8"/>
  <c r="H110" i="8"/>
  <c r="G111" i="8"/>
  <c r="H111" i="8"/>
  <c r="G112" i="8"/>
  <c r="H112" i="8"/>
  <c r="G113" i="8"/>
  <c r="H113" i="8"/>
  <c r="G114" i="8"/>
  <c r="H114" i="8"/>
  <c r="G115" i="8"/>
  <c r="H115" i="8"/>
  <c r="H7" i="8"/>
  <c r="G7" i="8"/>
  <c r="W7" i="8"/>
  <c r="X7" i="8" s="1"/>
  <c r="Y7" i="8" s="1"/>
  <c r="W12" i="7"/>
  <c r="X12" i="7" s="1"/>
  <c r="Y12" i="7" s="1"/>
  <c r="W28" i="7"/>
  <c r="X28" i="7" s="1"/>
  <c r="Y28" i="7" s="1"/>
  <c r="W48" i="7"/>
  <c r="X48" i="7" s="1"/>
  <c r="Y48" i="7" s="1"/>
  <c r="W53" i="7"/>
  <c r="X53" i="7" s="1"/>
  <c r="Y53" i="7" s="1"/>
  <c r="W58" i="7"/>
  <c r="X58" i="7" s="1"/>
  <c r="Y58" i="7" s="1"/>
  <c r="W73" i="7"/>
  <c r="X73" i="7" s="1"/>
  <c r="Y73" i="7" s="1"/>
  <c r="W82" i="7"/>
  <c r="X82" i="7" s="1"/>
  <c r="Y82" i="7" s="1"/>
  <c r="W100" i="7"/>
  <c r="X100" i="7" s="1"/>
  <c r="Y100" i="7" s="1"/>
  <c r="W105" i="7"/>
  <c r="X105" i="7" s="1"/>
  <c r="Y105" i="7" s="1"/>
  <c r="W114" i="7"/>
  <c r="X114" i="7" s="1"/>
  <c r="Y114" i="7" s="1"/>
  <c r="W132" i="7"/>
  <c r="X132" i="7" s="1"/>
  <c r="Y132" i="7" s="1"/>
  <c r="W137" i="7"/>
  <c r="X137" i="7" s="1"/>
  <c r="Y137" i="7" s="1"/>
  <c r="W146" i="7"/>
  <c r="X146" i="7" s="1"/>
  <c r="Y146" i="7" s="1"/>
  <c r="W159" i="7"/>
  <c r="W164" i="7"/>
  <c r="W169" i="7"/>
  <c r="X169" i="7" s="1"/>
  <c r="Y169" i="7" s="1"/>
  <c r="W178" i="7"/>
  <c r="X178" i="7" s="1"/>
  <c r="Y178" i="7" s="1"/>
  <c r="W196" i="7"/>
  <c r="X196" i="7" s="1"/>
  <c r="Y196" i="7" s="1"/>
  <c r="W201" i="7"/>
  <c r="X201" i="7" s="1"/>
  <c r="Y201" i="7" s="1"/>
  <c r="W210" i="7"/>
  <c r="W223" i="7"/>
  <c r="W228" i="7"/>
  <c r="M209" i="7"/>
  <c r="J172" i="7"/>
  <c r="K172" i="7"/>
  <c r="L172" i="7"/>
  <c r="J173" i="7"/>
  <c r="K173" i="7"/>
  <c r="L173" i="7"/>
  <c r="J174" i="7"/>
  <c r="K174" i="7"/>
  <c r="L174" i="7"/>
  <c r="J175" i="7"/>
  <c r="K175" i="7"/>
  <c r="L175" i="7"/>
  <c r="J176" i="7"/>
  <c r="K176" i="7"/>
  <c r="L176" i="7"/>
  <c r="J177" i="7"/>
  <c r="K177" i="7"/>
  <c r="L177" i="7"/>
  <c r="J178" i="7"/>
  <c r="K178" i="7"/>
  <c r="J179" i="7"/>
  <c r="K179" i="7"/>
  <c r="L179" i="7"/>
  <c r="J180" i="7"/>
  <c r="K180" i="7"/>
  <c r="L180" i="7"/>
  <c r="J181" i="7"/>
  <c r="K181" i="7"/>
  <c r="J182" i="7"/>
  <c r="J183" i="7"/>
  <c r="K183" i="7"/>
  <c r="J184" i="7"/>
  <c r="J185" i="7"/>
  <c r="K185" i="7"/>
  <c r="L185" i="7"/>
  <c r="J186" i="7"/>
  <c r="K186" i="7"/>
  <c r="L186" i="7"/>
  <c r="J187" i="7"/>
  <c r="K187" i="7"/>
  <c r="L187" i="7"/>
  <c r="J188" i="7"/>
  <c r="J189" i="7"/>
  <c r="K189" i="7"/>
  <c r="L189" i="7"/>
  <c r="J190" i="7"/>
  <c r="K190" i="7"/>
  <c r="L190" i="7"/>
  <c r="J191" i="7"/>
  <c r="K191" i="7"/>
  <c r="L191" i="7"/>
  <c r="J192" i="7"/>
  <c r="K192" i="7"/>
  <c r="L192" i="7"/>
  <c r="J193" i="7"/>
  <c r="J194" i="7"/>
  <c r="K194" i="7"/>
  <c r="L194" i="7"/>
  <c r="J195" i="7"/>
  <c r="K195" i="7"/>
  <c r="J196" i="7"/>
  <c r="J197" i="7"/>
  <c r="K197" i="7"/>
  <c r="J198" i="7"/>
  <c r="K198" i="7"/>
  <c r="L198" i="7"/>
  <c r="J199" i="7"/>
  <c r="K199" i="7"/>
  <c r="L199" i="7"/>
  <c r="J200" i="7"/>
  <c r="K200" i="7"/>
  <c r="L200" i="7"/>
  <c r="J201" i="7"/>
  <c r="K201" i="7"/>
  <c r="L201" i="7"/>
  <c r="J202" i="7"/>
  <c r="K202" i="7"/>
  <c r="J203" i="7"/>
  <c r="K203" i="7"/>
  <c r="L203" i="7"/>
  <c r="J204" i="7"/>
  <c r="K204" i="7"/>
  <c r="L204" i="7"/>
  <c r="J205" i="7"/>
  <c r="K205" i="7"/>
  <c r="L205" i="7"/>
  <c r="J206" i="7"/>
  <c r="K206" i="7"/>
  <c r="L206" i="7"/>
  <c r="J207" i="7"/>
  <c r="J208" i="7"/>
  <c r="K208" i="7"/>
  <c r="J209" i="7"/>
  <c r="K209" i="7"/>
  <c r="L209" i="7"/>
  <c r="J210" i="7"/>
  <c r="K210" i="7"/>
  <c r="L210" i="7"/>
  <c r="J211" i="7"/>
  <c r="K211" i="7"/>
  <c r="L211" i="7"/>
  <c r="J212" i="7"/>
  <c r="K212" i="7"/>
  <c r="L212" i="7"/>
  <c r="J213" i="7"/>
  <c r="K213" i="7"/>
  <c r="L213" i="7"/>
  <c r="J214" i="7"/>
  <c r="K214" i="7"/>
  <c r="L214" i="7"/>
  <c r="J215" i="7"/>
  <c r="K215" i="7"/>
  <c r="L215" i="7"/>
  <c r="J216" i="7"/>
  <c r="K216" i="7"/>
  <c r="L216" i="7"/>
  <c r="J217" i="7"/>
  <c r="K217" i="7"/>
  <c r="L217" i="7"/>
  <c r="J218" i="7"/>
  <c r="K218" i="7"/>
  <c r="J219" i="7"/>
  <c r="K219" i="7"/>
  <c r="J220" i="7"/>
  <c r="K220" i="7"/>
  <c r="L220" i="7"/>
  <c r="J221" i="7"/>
  <c r="K221" i="7"/>
  <c r="J222" i="7"/>
  <c r="K222" i="7"/>
  <c r="L222" i="7"/>
  <c r="J223" i="7"/>
  <c r="K223" i="7"/>
  <c r="L223" i="7"/>
  <c r="J224" i="7"/>
  <c r="K224" i="7"/>
  <c r="L224" i="7"/>
  <c r="J225" i="7"/>
  <c r="J226" i="7"/>
  <c r="K226" i="7"/>
  <c r="L226" i="7"/>
  <c r="J227" i="7"/>
  <c r="K227" i="7"/>
  <c r="L227" i="7"/>
  <c r="J228" i="7"/>
  <c r="K228" i="7"/>
  <c r="L228" i="7"/>
  <c r="J229" i="7"/>
  <c r="J230" i="7"/>
  <c r="K230" i="7"/>
  <c r="L230" i="7"/>
  <c r="J164" i="7"/>
  <c r="K164" i="7"/>
  <c r="L164" i="7"/>
  <c r="J165" i="7"/>
  <c r="K165" i="7"/>
  <c r="L165" i="7"/>
  <c r="J166" i="7"/>
  <c r="K166" i="7"/>
  <c r="L166" i="7"/>
  <c r="J167" i="7"/>
  <c r="K167" i="7"/>
  <c r="L167" i="7"/>
  <c r="J168" i="7"/>
  <c r="K168" i="7"/>
  <c r="L168" i="7"/>
  <c r="J169" i="7"/>
  <c r="J170" i="7"/>
  <c r="J171" i="7"/>
  <c r="K171" i="7"/>
  <c r="L171" i="7"/>
  <c r="M152" i="7"/>
  <c r="M159" i="7"/>
  <c r="M161" i="7"/>
  <c r="L147" i="7"/>
  <c r="L148" i="7"/>
  <c r="L149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G8" i="7"/>
  <c r="W8" i="7" s="1"/>
  <c r="X8" i="7" s="1"/>
  <c r="Y8" i="7" s="1"/>
  <c r="H8" i="7"/>
  <c r="G9" i="7"/>
  <c r="W9" i="7" s="1"/>
  <c r="X9" i="7" s="1"/>
  <c r="Y9" i="7" s="1"/>
  <c r="H9" i="7"/>
  <c r="G10" i="7"/>
  <c r="W10" i="7" s="1"/>
  <c r="X10" i="7" s="1"/>
  <c r="Y10" i="7" s="1"/>
  <c r="H10" i="7"/>
  <c r="G11" i="7"/>
  <c r="W11" i="7" s="1"/>
  <c r="X11" i="7" s="1"/>
  <c r="Y11" i="7" s="1"/>
  <c r="H11" i="7"/>
  <c r="G12" i="7"/>
  <c r="H12" i="7"/>
  <c r="G13" i="7"/>
  <c r="W13" i="7" s="1"/>
  <c r="X13" i="7" s="1"/>
  <c r="Y13" i="7" s="1"/>
  <c r="H13" i="7"/>
  <c r="G14" i="7"/>
  <c r="W14" i="7" s="1"/>
  <c r="X14" i="7" s="1"/>
  <c r="Y14" i="7" s="1"/>
  <c r="H14" i="7"/>
  <c r="G15" i="7"/>
  <c r="W15" i="7" s="1"/>
  <c r="X15" i="7" s="1"/>
  <c r="Y15" i="7" s="1"/>
  <c r="H15" i="7"/>
  <c r="G16" i="7"/>
  <c r="W16" i="7" s="1"/>
  <c r="X16" i="7" s="1"/>
  <c r="Y16" i="7" s="1"/>
  <c r="H16" i="7"/>
  <c r="G17" i="7"/>
  <c r="W17" i="7" s="1"/>
  <c r="X17" i="7" s="1"/>
  <c r="Y17" i="7" s="1"/>
  <c r="H17" i="7"/>
  <c r="G18" i="7"/>
  <c r="W18" i="7" s="1"/>
  <c r="X18" i="7" s="1"/>
  <c r="Y18" i="7" s="1"/>
  <c r="H18" i="7"/>
  <c r="G19" i="7"/>
  <c r="W19" i="7" s="1"/>
  <c r="X19" i="7" s="1"/>
  <c r="Y19" i="7" s="1"/>
  <c r="H19" i="7"/>
  <c r="G20" i="7"/>
  <c r="W20" i="7" s="1"/>
  <c r="X20" i="7" s="1"/>
  <c r="Y20" i="7" s="1"/>
  <c r="H20" i="7"/>
  <c r="G21" i="7"/>
  <c r="W21" i="7" s="1"/>
  <c r="X21" i="7" s="1"/>
  <c r="Y21" i="7" s="1"/>
  <c r="H21" i="7"/>
  <c r="G22" i="7"/>
  <c r="W22" i="7" s="1"/>
  <c r="X22" i="7" s="1"/>
  <c r="Y22" i="7" s="1"/>
  <c r="H22" i="7"/>
  <c r="G23" i="7"/>
  <c r="H23" i="7"/>
  <c r="W23" i="7" s="1"/>
  <c r="X23" i="7" s="1"/>
  <c r="Y23" i="7" s="1"/>
  <c r="G24" i="7"/>
  <c r="W24" i="7" s="1"/>
  <c r="X24" i="7" s="1"/>
  <c r="Y24" i="7" s="1"/>
  <c r="H24" i="7"/>
  <c r="G25" i="7"/>
  <c r="W25" i="7" s="1"/>
  <c r="X25" i="7" s="1"/>
  <c r="Y25" i="7" s="1"/>
  <c r="H25" i="7"/>
  <c r="G26" i="7"/>
  <c r="W26" i="7" s="1"/>
  <c r="X26" i="7" s="1"/>
  <c r="Y26" i="7" s="1"/>
  <c r="H26" i="7"/>
  <c r="G27" i="7"/>
  <c r="W27" i="7" s="1"/>
  <c r="X27" i="7" s="1"/>
  <c r="Y27" i="7" s="1"/>
  <c r="H27" i="7"/>
  <c r="G28" i="7"/>
  <c r="H28" i="7"/>
  <c r="G29" i="7"/>
  <c r="W29" i="7" s="1"/>
  <c r="X29" i="7" s="1"/>
  <c r="Y29" i="7" s="1"/>
  <c r="H29" i="7"/>
  <c r="G30" i="7"/>
  <c r="W30" i="7" s="1"/>
  <c r="X30" i="7" s="1"/>
  <c r="Y30" i="7" s="1"/>
  <c r="H30" i="7"/>
  <c r="G31" i="7"/>
  <c r="W31" i="7" s="1"/>
  <c r="X31" i="7" s="1"/>
  <c r="Y31" i="7" s="1"/>
  <c r="H31" i="7"/>
  <c r="G32" i="7"/>
  <c r="W32" i="7" s="1"/>
  <c r="X32" i="7" s="1"/>
  <c r="Y32" i="7" s="1"/>
  <c r="H32" i="7"/>
  <c r="G33" i="7"/>
  <c r="W33" i="7" s="1"/>
  <c r="X33" i="7" s="1"/>
  <c r="Y33" i="7" s="1"/>
  <c r="H33" i="7"/>
  <c r="G34" i="7"/>
  <c r="W34" i="7" s="1"/>
  <c r="X34" i="7" s="1"/>
  <c r="Y34" i="7" s="1"/>
  <c r="H34" i="7"/>
  <c r="G35" i="7"/>
  <c r="W35" i="7" s="1"/>
  <c r="X35" i="7" s="1"/>
  <c r="Y35" i="7" s="1"/>
  <c r="H35" i="7"/>
  <c r="G36" i="7"/>
  <c r="W36" i="7" s="1"/>
  <c r="X36" i="7" s="1"/>
  <c r="Y36" i="7" s="1"/>
  <c r="H36" i="7"/>
  <c r="G37" i="7"/>
  <c r="W37" i="7" s="1"/>
  <c r="X37" i="7" s="1"/>
  <c r="Y37" i="7" s="1"/>
  <c r="H37" i="7"/>
  <c r="G38" i="7"/>
  <c r="W38" i="7" s="1"/>
  <c r="X38" i="7" s="1"/>
  <c r="Y38" i="7" s="1"/>
  <c r="H38" i="7"/>
  <c r="G39" i="7"/>
  <c r="W39" i="7" s="1"/>
  <c r="X39" i="7" s="1"/>
  <c r="Y39" i="7" s="1"/>
  <c r="H39" i="7"/>
  <c r="G40" i="7"/>
  <c r="W40" i="7" s="1"/>
  <c r="X40" i="7" s="1"/>
  <c r="Y40" i="7" s="1"/>
  <c r="H40" i="7"/>
  <c r="G41" i="7"/>
  <c r="W41" i="7" s="1"/>
  <c r="X41" i="7" s="1"/>
  <c r="Y41" i="7" s="1"/>
  <c r="H41" i="7"/>
  <c r="G42" i="7"/>
  <c r="W42" i="7" s="1"/>
  <c r="X42" i="7" s="1"/>
  <c r="Y42" i="7" s="1"/>
  <c r="H42" i="7"/>
  <c r="G43" i="7"/>
  <c r="W43" i="7" s="1"/>
  <c r="X43" i="7" s="1"/>
  <c r="Y43" i="7" s="1"/>
  <c r="H43" i="7"/>
  <c r="G44" i="7"/>
  <c r="W44" i="7" s="1"/>
  <c r="X44" i="7" s="1"/>
  <c r="Y44" i="7" s="1"/>
  <c r="H44" i="7"/>
  <c r="G45" i="7"/>
  <c r="W45" i="7" s="1"/>
  <c r="X45" i="7" s="1"/>
  <c r="Y45" i="7" s="1"/>
  <c r="H45" i="7"/>
  <c r="G46" i="7"/>
  <c r="W46" i="7" s="1"/>
  <c r="X46" i="7" s="1"/>
  <c r="Y46" i="7" s="1"/>
  <c r="H46" i="7"/>
  <c r="G47" i="7"/>
  <c r="W47" i="7" s="1"/>
  <c r="X47" i="7" s="1"/>
  <c r="Y47" i="7" s="1"/>
  <c r="H47" i="7"/>
  <c r="G48" i="7"/>
  <c r="H48" i="7"/>
  <c r="G49" i="7"/>
  <c r="W49" i="7" s="1"/>
  <c r="X49" i="7" s="1"/>
  <c r="Y49" i="7" s="1"/>
  <c r="H49" i="7"/>
  <c r="G50" i="7"/>
  <c r="W50" i="7" s="1"/>
  <c r="X50" i="7" s="1"/>
  <c r="Y50" i="7" s="1"/>
  <c r="H50" i="7"/>
  <c r="G51" i="7"/>
  <c r="W51" i="7" s="1"/>
  <c r="X51" i="7" s="1"/>
  <c r="Y51" i="7" s="1"/>
  <c r="H51" i="7"/>
  <c r="G52" i="7"/>
  <c r="W52" i="7" s="1"/>
  <c r="X52" i="7" s="1"/>
  <c r="Y52" i="7" s="1"/>
  <c r="H52" i="7"/>
  <c r="G53" i="7"/>
  <c r="H53" i="7"/>
  <c r="G54" i="7"/>
  <c r="W54" i="7" s="1"/>
  <c r="X54" i="7" s="1"/>
  <c r="Y54" i="7" s="1"/>
  <c r="H54" i="7"/>
  <c r="G55" i="7"/>
  <c r="W55" i="7" s="1"/>
  <c r="X55" i="7" s="1"/>
  <c r="Y55" i="7" s="1"/>
  <c r="H55" i="7"/>
  <c r="G56" i="7"/>
  <c r="W56" i="7" s="1"/>
  <c r="X56" i="7" s="1"/>
  <c r="Y56" i="7" s="1"/>
  <c r="H56" i="7"/>
  <c r="G57" i="7"/>
  <c r="W57" i="7" s="1"/>
  <c r="X57" i="7" s="1"/>
  <c r="Y57" i="7" s="1"/>
  <c r="H57" i="7"/>
  <c r="G58" i="7"/>
  <c r="H58" i="7"/>
  <c r="G59" i="7"/>
  <c r="W59" i="7" s="1"/>
  <c r="X59" i="7" s="1"/>
  <c r="Y59" i="7" s="1"/>
  <c r="H59" i="7"/>
  <c r="G60" i="7"/>
  <c r="W60" i="7" s="1"/>
  <c r="X60" i="7" s="1"/>
  <c r="Y60" i="7" s="1"/>
  <c r="H60" i="7"/>
  <c r="G61" i="7"/>
  <c r="W61" i="7" s="1"/>
  <c r="X61" i="7" s="1"/>
  <c r="Y61" i="7" s="1"/>
  <c r="H61" i="7"/>
  <c r="G62" i="7"/>
  <c r="W62" i="7" s="1"/>
  <c r="X62" i="7" s="1"/>
  <c r="Y62" i="7" s="1"/>
  <c r="H62" i="7"/>
  <c r="G63" i="7"/>
  <c r="W63" i="7" s="1"/>
  <c r="X63" i="7" s="1"/>
  <c r="Y63" i="7" s="1"/>
  <c r="H63" i="7"/>
  <c r="G64" i="7"/>
  <c r="W64" i="7" s="1"/>
  <c r="X64" i="7" s="1"/>
  <c r="Y64" i="7" s="1"/>
  <c r="H64" i="7"/>
  <c r="G65" i="7"/>
  <c r="W65" i="7" s="1"/>
  <c r="X65" i="7" s="1"/>
  <c r="Y65" i="7" s="1"/>
  <c r="H65" i="7"/>
  <c r="G66" i="7"/>
  <c r="W66" i="7" s="1"/>
  <c r="X66" i="7" s="1"/>
  <c r="Y66" i="7" s="1"/>
  <c r="H66" i="7"/>
  <c r="G67" i="7"/>
  <c r="W67" i="7" s="1"/>
  <c r="X67" i="7" s="1"/>
  <c r="Y67" i="7" s="1"/>
  <c r="H67" i="7"/>
  <c r="G68" i="7"/>
  <c r="W68" i="7" s="1"/>
  <c r="X68" i="7" s="1"/>
  <c r="Y68" i="7" s="1"/>
  <c r="H68" i="7"/>
  <c r="G69" i="7"/>
  <c r="W69" i="7" s="1"/>
  <c r="X69" i="7" s="1"/>
  <c r="Y69" i="7" s="1"/>
  <c r="H69" i="7"/>
  <c r="G70" i="7"/>
  <c r="W70" i="7" s="1"/>
  <c r="X70" i="7" s="1"/>
  <c r="Y70" i="7" s="1"/>
  <c r="H70" i="7"/>
  <c r="G71" i="7"/>
  <c r="W71" i="7" s="1"/>
  <c r="X71" i="7" s="1"/>
  <c r="Y71" i="7" s="1"/>
  <c r="H71" i="7"/>
  <c r="G72" i="7"/>
  <c r="W72" i="7" s="1"/>
  <c r="X72" i="7" s="1"/>
  <c r="Y72" i="7" s="1"/>
  <c r="H72" i="7"/>
  <c r="G73" i="7"/>
  <c r="H73" i="7"/>
  <c r="G74" i="7"/>
  <c r="W74" i="7" s="1"/>
  <c r="X74" i="7" s="1"/>
  <c r="Y74" i="7" s="1"/>
  <c r="H74" i="7"/>
  <c r="G75" i="7"/>
  <c r="W75" i="7" s="1"/>
  <c r="X75" i="7" s="1"/>
  <c r="Y75" i="7" s="1"/>
  <c r="H75" i="7"/>
  <c r="G76" i="7"/>
  <c r="W76" i="7" s="1"/>
  <c r="X76" i="7" s="1"/>
  <c r="Y76" i="7" s="1"/>
  <c r="H76" i="7"/>
  <c r="G77" i="7"/>
  <c r="W77" i="7" s="1"/>
  <c r="X77" i="7" s="1"/>
  <c r="Y77" i="7" s="1"/>
  <c r="H77" i="7"/>
  <c r="G78" i="7"/>
  <c r="W78" i="7" s="1"/>
  <c r="X78" i="7" s="1"/>
  <c r="Y78" i="7" s="1"/>
  <c r="H78" i="7"/>
  <c r="G79" i="7"/>
  <c r="W79" i="7" s="1"/>
  <c r="X79" i="7" s="1"/>
  <c r="Y79" i="7" s="1"/>
  <c r="H79" i="7"/>
  <c r="G80" i="7"/>
  <c r="W80" i="7" s="1"/>
  <c r="X80" i="7" s="1"/>
  <c r="Y80" i="7" s="1"/>
  <c r="H80" i="7"/>
  <c r="G81" i="7"/>
  <c r="W81" i="7" s="1"/>
  <c r="X81" i="7" s="1"/>
  <c r="Y81" i="7" s="1"/>
  <c r="H81" i="7"/>
  <c r="G82" i="7"/>
  <c r="H82" i="7"/>
  <c r="G83" i="7"/>
  <c r="W83" i="7" s="1"/>
  <c r="X83" i="7" s="1"/>
  <c r="Y83" i="7" s="1"/>
  <c r="H83" i="7"/>
  <c r="G84" i="7"/>
  <c r="W84" i="7" s="1"/>
  <c r="X84" i="7" s="1"/>
  <c r="Y84" i="7" s="1"/>
  <c r="H84" i="7"/>
  <c r="G85" i="7"/>
  <c r="W85" i="7" s="1"/>
  <c r="X85" i="7" s="1"/>
  <c r="Y85" i="7" s="1"/>
  <c r="H85" i="7"/>
  <c r="G86" i="7"/>
  <c r="W86" i="7" s="1"/>
  <c r="X86" i="7" s="1"/>
  <c r="Y86" i="7" s="1"/>
  <c r="H86" i="7"/>
  <c r="G87" i="7"/>
  <c r="W87" i="7" s="1"/>
  <c r="X87" i="7" s="1"/>
  <c r="Y87" i="7" s="1"/>
  <c r="H87" i="7"/>
  <c r="G88" i="7"/>
  <c r="W88" i="7" s="1"/>
  <c r="X88" i="7" s="1"/>
  <c r="Y88" i="7" s="1"/>
  <c r="H88" i="7"/>
  <c r="G89" i="7"/>
  <c r="W89" i="7" s="1"/>
  <c r="X89" i="7" s="1"/>
  <c r="Y89" i="7" s="1"/>
  <c r="H89" i="7"/>
  <c r="G90" i="7"/>
  <c r="W90" i="7" s="1"/>
  <c r="X90" i="7" s="1"/>
  <c r="Y90" i="7" s="1"/>
  <c r="H90" i="7"/>
  <c r="G91" i="7"/>
  <c r="W91" i="7" s="1"/>
  <c r="X91" i="7" s="1"/>
  <c r="Y91" i="7" s="1"/>
  <c r="H91" i="7"/>
  <c r="G92" i="7"/>
  <c r="W92" i="7" s="1"/>
  <c r="X92" i="7" s="1"/>
  <c r="Y92" i="7" s="1"/>
  <c r="H92" i="7"/>
  <c r="G93" i="7"/>
  <c r="W93" i="7" s="1"/>
  <c r="X93" i="7" s="1"/>
  <c r="Y93" i="7" s="1"/>
  <c r="H93" i="7"/>
  <c r="G94" i="7"/>
  <c r="W94" i="7" s="1"/>
  <c r="X94" i="7" s="1"/>
  <c r="Y94" i="7" s="1"/>
  <c r="H94" i="7"/>
  <c r="G95" i="7"/>
  <c r="H95" i="7"/>
  <c r="W95" i="7" s="1"/>
  <c r="X95" i="7" s="1"/>
  <c r="Y95" i="7" s="1"/>
  <c r="G96" i="7"/>
  <c r="W96" i="7" s="1"/>
  <c r="X96" i="7" s="1"/>
  <c r="Y96" i="7" s="1"/>
  <c r="H96" i="7"/>
  <c r="G97" i="7"/>
  <c r="W97" i="7" s="1"/>
  <c r="X97" i="7" s="1"/>
  <c r="Y97" i="7" s="1"/>
  <c r="H97" i="7"/>
  <c r="G98" i="7"/>
  <c r="W98" i="7" s="1"/>
  <c r="X98" i="7" s="1"/>
  <c r="Y98" i="7" s="1"/>
  <c r="H98" i="7"/>
  <c r="G99" i="7"/>
  <c r="W99" i="7" s="1"/>
  <c r="X99" i="7" s="1"/>
  <c r="Y99" i="7" s="1"/>
  <c r="H99" i="7"/>
  <c r="G100" i="7"/>
  <c r="H100" i="7"/>
  <c r="G101" i="7"/>
  <c r="W101" i="7" s="1"/>
  <c r="X101" i="7" s="1"/>
  <c r="Y101" i="7" s="1"/>
  <c r="H101" i="7"/>
  <c r="G102" i="7"/>
  <c r="W102" i="7" s="1"/>
  <c r="X102" i="7" s="1"/>
  <c r="Y102" i="7" s="1"/>
  <c r="H102" i="7"/>
  <c r="G103" i="7"/>
  <c r="W103" i="7" s="1"/>
  <c r="X103" i="7" s="1"/>
  <c r="Y103" i="7" s="1"/>
  <c r="H103" i="7"/>
  <c r="G104" i="7"/>
  <c r="W104" i="7" s="1"/>
  <c r="X104" i="7" s="1"/>
  <c r="Y104" i="7" s="1"/>
  <c r="H104" i="7"/>
  <c r="G105" i="7"/>
  <c r="H105" i="7"/>
  <c r="G106" i="7"/>
  <c r="W106" i="7" s="1"/>
  <c r="X106" i="7" s="1"/>
  <c r="Y106" i="7" s="1"/>
  <c r="H106" i="7"/>
  <c r="G107" i="7"/>
  <c r="W107" i="7" s="1"/>
  <c r="X107" i="7" s="1"/>
  <c r="Y107" i="7" s="1"/>
  <c r="H107" i="7"/>
  <c r="G108" i="7"/>
  <c r="W108" i="7" s="1"/>
  <c r="X108" i="7" s="1"/>
  <c r="Y108" i="7" s="1"/>
  <c r="H108" i="7"/>
  <c r="G109" i="7"/>
  <c r="W109" i="7" s="1"/>
  <c r="X109" i="7" s="1"/>
  <c r="Y109" i="7" s="1"/>
  <c r="H109" i="7"/>
  <c r="G110" i="7"/>
  <c r="W110" i="7" s="1"/>
  <c r="X110" i="7" s="1"/>
  <c r="Y110" i="7" s="1"/>
  <c r="H110" i="7"/>
  <c r="G111" i="7"/>
  <c r="W111" i="7" s="1"/>
  <c r="X111" i="7" s="1"/>
  <c r="Y111" i="7" s="1"/>
  <c r="H111" i="7"/>
  <c r="G112" i="7"/>
  <c r="W112" i="7" s="1"/>
  <c r="X112" i="7" s="1"/>
  <c r="Y112" i="7" s="1"/>
  <c r="H112" i="7"/>
  <c r="G113" i="7"/>
  <c r="W113" i="7" s="1"/>
  <c r="X113" i="7" s="1"/>
  <c r="Y113" i="7" s="1"/>
  <c r="H113" i="7"/>
  <c r="G114" i="7"/>
  <c r="H114" i="7"/>
  <c r="G115" i="7"/>
  <c r="W115" i="7" s="1"/>
  <c r="X115" i="7" s="1"/>
  <c r="Y115" i="7" s="1"/>
  <c r="H115" i="7"/>
  <c r="G116" i="7"/>
  <c r="W116" i="7" s="1"/>
  <c r="X116" i="7" s="1"/>
  <c r="Y116" i="7" s="1"/>
  <c r="H116" i="7"/>
  <c r="G117" i="7"/>
  <c r="W117" i="7" s="1"/>
  <c r="X117" i="7" s="1"/>
  <c r="Y117" i="7" s="1"/>
  <c r="H117" i="7"/>
  <c r="G118" i="7"/>
  <c r="W118" i="7" s="1"/>
  <c r="X118" i="7" s="1"/>
  <c r="Y118" i="7" s="1"/>
  <c r="H118" i="7"/>
  <c r="G119" i="7"/>
  <c r="W119" i="7" s="1"/>
  <c r="X119" i="7" s="1"/>
  <c r="Y119" i="7" s="1"/>
  <c r="H119" i="7"/>
  <c r="G120" i="7"/>
  <c r="W120" i="7" s="1"/>
  <c r="X120" i="7" s="1"/>
  <c r="Y120" i="7" s="1"/>
  <c r="H120" i="7"/>
  <c r="G121" i="7"/>
  <c r="W121" i="7" s="1"/>
  <c r="X121" i="7" s="1"/>
  <c r="Y121" i="7" s="1"/>
  <c r="H121" i="7"/>
  <c r="G122" i="7"/>
  <c r="W122" i="7" s="1"/>
  <c r="X122" i="7" s="1"/>
  <c r="Y122" i="7" s="1"/>
  <c r="H122" i="7"/>
  <c r="G123" i="7"/>
  <c r="W123" i="7" s="1"/>
  <c r="X123" i="7" s="1"/>
  <c r="Y123" i="7" s="1"/>
  <c r="H123" i="7"/>
  <c r="G124" i="7"/>
  <c r="W124" i="7" s="1"/>
  <c r="X124" i="7" s="1"/>
  <c r="Y124" i="7" s="1"/>
  <c r="H124" i="7"/>
  <c r="G125" i="7"/>
  <c r="W125" i="7" s="1"/>
  <c r="X125" i="7" s="1"/>
  <c r="Y125" i="7" s="1"/>
  <c r="H125" i="7"/>
  <c r="G126" i="7"/>
  <c r="W126" i="7" s="1"/>
  <c r="X126" i="7" s="1"/>
  <c r="Y126" i="7" s="1"/>
  <c r="H126" i="7"/>
  <c r="G127" i="7"/>
  <c r="H127" i="7"/>
  <c r="W127" i="7" s="1"/>
  <c r="X127" i="7" s="1"/>
  <c r="Y127" i="7" s="1"/>
  <c r="G128" i="7"/>
  <c r="W128" i="7" s="1"/>
  <c r="X128" i="7" s="1"/>
  <c r="Y128" i="7" s="1"/>
  <c r="H128" i="7"/>
  <c r="G129" i="7"/>
  <c r="W129" i="7" s="1"/>
  <c r="X129" i="7" s="1"/>
  <c r="Y129" i="7" s="1"/>
  <c r="H129" i="7"/>
  <c r="G130" i="7"/>
  <c r="W130" i="7" s="1"/>
  <c r="X130" i="7" s="1"/>
  <c r="Y130" i="7" s="1"/>
  <c r="H130" i="7"/>
  <c r="G131" i="7"/>
  <c r="W131" i="7" s="1"/>
  <c r="X131" i="7" s="1"/>
  <c r="Y131" i="7" s="1"/>
  <c r="H131" i="7"/>
  <c r="G132" i="7"/>
  <c r="H132" i="7"/>
  <c r="G133" i="7"/>
  <c r="W133" i="7" s="1"/>
  <c r="X133" i="7" s="1"/>
  <c r="Y133" i="7" s="1"/>
  <c r="H133" i="7"/>
  <c r="G134" i="7"/>
  <c r="W134" i="7" s="1"/>
  <c r="X134" i="7" s="1"/>
  <c r="Y134" i="7" s="1"/>
  <c r="H134" i="7"/>
  <c r="G135" i="7"/>
  <c r="W135" i="7" s="1"/>
  <c r="X135" i="7" s="1"/>
  <c r="Y135" i="7" s="1"/>
  <c r="H135" i="7"/>
  <c r="G136" i="7"/>
  <c r="W136" i="7" s="1"/>
  <c r="X136" i="7" s="1"/>
  <c r="Y136" i="7" s="1"/>
  <c r="H136" i="7"/>
  <c r="G137" i="7"/>
  <c r="H137" i="7"/>
  <c r="G138" i="7"/>
  <c r="W138" i="7" s="1"/>
  <c r="X138" i="7" s="1"/>
  <c r="Y138" i="7" s="1"/>
  <c r="H138" i="7"/>
  <c r="G139" i="7"/>
  <c r="W139" i="7" s="1"/>
  <c r="X139" i="7" s="1"/>
  <c r="Y139" i="7" s="1"/>
  <c r="H139" i="7"/>
  <c r="G140" i="7"/>
  <c r="W140" i="7" s="1"/>
  <c r="X140" i="7" s="1"/>
  <c r="Y140" i="7" s="1"/>
  <c r="H140" i="7"/>
  <c r="G141" i="7"/>
  <c r="W141" i="7" s="1"/>
  <c r="X141" i="7" s="1"/>
  <c r="Y141" i="7" s="1"/>
  <c r="H141" i="7"/>
  <c r="G142" i="7"/>
  <c r="W142" i="7" s="1"/>
  <c r="X142" i="7" s="1"/>
  <c r="Y142" i="7" s="1"/>
  <c r="H142" i="7"/>
  <c r="G143" i="7"/>
  <c r="W143" i="7" s="1"/>
  <c r="X143" i="7" s="1"/>
  <c r="Y143" i="7" s="1"/>
  <c r="H143" i="7"/>
  <c r="G144" i="7"/>
  <c r="W144" i="7" s="1"/>
  <c r="X144" i="7" s="1"/>
  <c r="Y144" i="7" s="1"/>
  <c r="H144" i="7"/>
  <c r="G145" i="7"/>
  <c r="W145" i="7" s="1"/>
  <c r="X145" i="7" s="1"/>
  <c r="Y145" i="7" s="1"/>
  <c r="H145" i="7"/>
  <c r="G146" i="7"/>
  <c r="H146" i="7"/>
  <c r="G147" i="7"/>
  <c r="W147" i="7" s="1"/>
  <c r="X147" i="7" s="1"/>
  <c r="Y147" i="7" s="1"/>
  <c r="H147" i="7"/>
  <c r="G148" i="7"/>
  <c r="W148" i="7" s="1"/>
  <c r="X148" i="7" s="1"/>
  <c r="Y148" i="7" s="1"/>
  <c r="H148" i="7"/>
  <c r="G149" i="7"/>
  <c r="W149" i="7" s="1"/>
  <c r="X149" i="7" s="1"/>
  <c r="Y149" i="7" s="1"/>
  <c r="H149" i="7"/>
  <c r="G150" i="7"/>
  <c r="W150" i="7" s="1"/>
  <c r="X150" i="7" s="1"/>
  <c r="Y150" i="7" s="1"/>
  <c r="H150" i="7"/>
  <c r="G151" i="7"/>
  <c r="W151" i="7" s="1"/>
  <c r="X151" i="7" s="1"/>
  <c r="Y151" i="7" s="1"/>
  <c r="H151" i="7"/>
  <c r="G152" i="7"/>
  <c r="W152" i="7" s="1"/>
  <c r="X152" i="7" s="1"/>
  <c r="Y152" i="7" s="1"/>
  <c r="H152" i="7"/>
  <c r="G153" i="7"/>
  <c r="W153" i="7" s="1"/>
  <c r="X153" i="7" s="1"/>
  <c r="Y153" i="7" s="1"/>
  <c r="H153" i="7"/>
  <c r="G154" i="7"/>
  <c r="W154" i="7" s="1"/>
  <c r="X154" i="7" s="1"/>
  <c r="Y154" i="7" s="1"/>
  <c r="H154" i="7"/>
  <c r="G155" i="7"/>
  <c r="W155" i="7" s="1"/>
  <c r="X155" i="7" s="1"/>
  <c r="Y155" i="7" s="1"/>
  <c r="H155" i="7"/>
  <c r="G156" i="7"/>
  <c r="W156" i="7" s="1"/>
  <c r="X156" i="7" s="1"/>
  <c r="Y156" i="7" s="1"/>
  <c r="H156" i="7"/>
  <c r="G157" i="7"/>
  <c r="W157" i="7" s="1"/>
  <c r="X157" i="7" s="1"/>
  <c r="Y157" i="7" s="1"/>
  <c r="H157" i="7"/>
  <c r="G158" i="7"/>
  <c r="W158" i="7" s="1"/>
  <c r="X158" i="7" s="1"/>
  <c r="Y158" i="7" s="1"/>
  <c r="H158" i="7"/>
  <c r="G159" i="7"/>
  <c r="H159" i="7"/>
  <c r="G160" i="7"/>
  <c r="W160" i="7" s="1"/>
  <c r="X160" i="7" s="1"/>
  <c r="Y160" i="7" s="1"/>
  <c r="H160" i="7"/>
  <c r="G161" i="7"/>
  <c r="W161" i="7" s="1"/>
  <c r="X161" i="7" s="1"/>
  <c r="Y161" i="7" s="1"/>
  <c r="H161" i="7"/>
  <c r="G162" i="7"/>
  <c r="W162" i="7" s="1"/>
  <c r="X162" i="7" s="1"/>
  <c r="Y162" i="7" s="1"/>
  <c r="H162" i="7"/>
  <c r="G163" i="7"/>
  <c r="W163" i="7" s="1"/>
  <c r="X163" i="7" s="1"/>
  <c r="Y163" i="7" s="1"/>
  <c r="H163" i="7"/>
  <c r="G164" i="7"/>
  <c r="H164" i="7"/>
  <c r="G165" i="7"/>
  <c r="W165" i="7" s="1"/>
  <c r="X165" i="7" s="1"/>
  <c r="Y165" i="7" s="1"/>
  <c r="H165" i="7"/>
  <c r="G166" i="7"/>
  <c r="W166" i="7" s="1"/>
  <c r="X166" i="7" s="1"/>
  <c r="Y166" i="7" s="1"/>
  <c r="H166" i="7"/>
  <c r="G167" i="7"/>
  <c r="W167" i="7" s="1"/>
  <c r="X167" i="7" s="1"/>
  <c r="Y167" i="7" s="1"/>
  <c r="H167" i="7"/>
  <c r="G168" i="7"/>
  <c r="W168" i="7" s="1"/>
  <c r="X168" i="7" s="1"/>
  <c r="Y168" i="7" s="1"/>
  <c r="H168" i="7"/>
  <c r="G169" i="7"/>
  <c r="H169" i="7"/>
  <c r="G170" i="7"/>
  <c r="W170" i="7" s="1"/>
  <c r="X170" i="7" s="1"/>
  <c r="Y170" i="7" s="1"/>
  <c r="H170" i="7"/>
  <c r="G171" i="7"/>
  <c r="W171" i="7" s="1"/>
  <c r="X171" i="7" s="1"/>
  <c r="Y171" i="7" s="1"/>
  <c r="H171" i="7"/>
  <c r="G172" i="7"/>
  <c r="W172" i="7" s="1"/>
  <c r="X172" i="7" s="1"/>
  <c r="Y172" i="7" s="1"/>
  <c r="H172" i="7"/>
  <c r="G173" i="7"/>
  <c r="W173" i="7" s="1"/>
  <c r="X173" i="7" s="1"/>
  <c r="Y173" i="7" s="1"/>
  <c r="H173" i="7"/>
  <c r="G174" i="7"/>
  <c r="W174" i="7" s="1"/>
  <c r="X174" i="7" s="1"/>
  <c r="Y174" i="7" s="1"/>
  <c r="H174" i="7"/>
  <c r="G175" i="7"/>
  <c r="W175" i="7" s="1"/>
  <c r="X175" i="7" s="1"/>
  <c r="Y175" i="7" s="1"/>
  <c r="H175" i="7"/>
  <c r="G176" i="7"/>
  <c r="W176" i="7" s="1"/>
  <c r="X176" i="7" s="1"/>
  <c r="Y176" i="7" s="1"/>
  <c r="H176" i="7"/>
  <c r="G177" i="7"/>
  <c r="W177" i="7" s="1"/>
  <c r="X177" i="7" s="1"/>
  <c r="Y177" i="7" s="1"/>
  <c r="H177" i="7"/>
  <c r="G178" i="7"/>
  <c r="H178" i="7"/>
  <c r="G179" i="7"/>
  <c r="W179" i="7" s="1"/>
  <c r="X179" i="7" s="1"/>
  <c r="Y179" i="7" s="1"/>
  <c r="H179" i="7"/>
  <c r="G180" i="7"/>
  <c r="W180" i="7" s="1"/>
  <c r="X180" i="7" s="1"/>
  <c r="Y180" i="7" s="1"/>
  <c r="H180" i="7"/>
  <c r="G181" i="7"/>
  <c r="W181" i="7" s="1"/>
  <c r="X181" i="7" s="1"/>
  <c r="Y181" i="7" s="1"/>
  <c r="H181" i="7"/>
  <c r="G182" i="7"/>
  <c r="W182" i="7" s="1"/>
  <c r="X182" i="7" s="1"/>
  <c r="Y182" i="7" s="1"/>
  <c r="H182" i="7"/>
  <c r="G183" i="7"/>
  <c r="W183" i="7" s="1"/>
  <c r="X183" i="7" s="1"/>
  <c r="Y183" i="7" s="1"/>
  <c r="H183" i="7"/>
  <c r="G184" i="7"/>
  <c r="W184" i="7" s="1"/>
  <c r="X184" i="7" s="1"/>
  <c r="Y184" i="7" s="1"/>
  <c r="H184" i="7"/>
  <c r="G185" i="7"/>
  <c r="W185" i="7" s="1"/>
  <c r="X185" i="7" s="1"/>
  <c r="Y185" i="7" s="1"/>
  <c r="H185" i="7"/>
  <c r="G186" i="7"/>
  <c r="W186" i="7" s="1"/>
  <c r="X186" i="7" s="1"/>
  <c r="Y186" i="7" s="1"/>
  <c r="H186" i="7"/>
  <c r="G187" i="7"/>
  <c r="W187" i="7" s="1"/>
  <c r="X187" i="7" s="1"/>
  <c r="Y187" i="7" s="1"/>
  <c r="H187" i="7"/>
  <c r="G188" i="7"/>
  <c r="W188" i="7" s="1"/>
  <c r="X188" i="7" s="1"/>
  <c r="Y188" i="7" s="1"/>
  <c r="H188" i="7"/>
  <c r="G189" i="7"/>
  <c r="W189" i="7" s="1"/>
  <c r="X189" i="7" s="1"/>
  <c r="Y189" i="7" s="1"/>
  <c r="H189" i="7"/>
  <c r="G190" i="7"/>
  <c r="W190" i="7" s="1"/>
  <c r="X190" i="7" s="1"/>
  <c r="Y190" i="7" s="1"/>
  <c r="H190" i="7"/>
  <c r="G191" i="7"/>
  <c r="H191" i="7"/>
  <c r="W191" i="7" s="1"/>
  <c r="X191" i="7" s="1"/>
  <c r="Y191" i="7" s="1"/>
  <c r="G192" i="7"/>
  <c r="W192" i="7" s="1"/>
  <c r="X192" i="7" s="1"/>
  <c r="Y192" i="7" s="1"/>
  <c r="H192" i="7"/>
  <c r="G193" i="7"/>
  <c r="W193" i="7" s="1"/>
  <c r="X193" i="7" s="1"/>
  <c r="Y193" i="7" s="1"/>
  <c r="H193" i="7"/>
  <c r="G194" i="7"/>
  <c r="W194" i="7" s="1"/>
  <c r="X194" i="7" s="1"/>
  <c r="Y194" i="7" s="1"/>
  <c r="H194" i="7"/>
  <c r="G195" i="7"/>
  <c r="W195" i="7" s="1"/>
  <c r="X195" i="7" s="1"/>
  <c r="Y195" i="7" s="1"/>
  <c r="H195" i="7"/>
  <c r="G196" i="7"/>
  <c r="H196" i="7"/>
  <c r="G197" i="7"/>
  <c r="W197" i="7" s="1"/>
  <c r="X197" i="7" s="1"/>
  <c r="Y197" i="7" s="1"/>
  <c r="H197" i="7"/>
  <c r="G198" i="7"/>
  <c r="W198" i="7" s="1"/>
  <c r="X198" i="7" s="1"/>
  <c r="Y198" i="7" s="1"/>
  <c r="H198" i="7"/>
  <c r="G199" i="7"/>
  <c r="W199" i="7" s="1"/>
  <c r="X199" i="7" s="1"/>
  <c r="Y199" i="7" s="1"/>
  <c r="H199" i="7"/>
  <c r="G200" i="7"/>
  <c r="W200" i="7" s="1"/>
  <c r="X200" i="7" s="1"/>
  <c r="Y200" i="7" s="1"/>
  <c r="H200" i="7"/>
  <c r="G201" i="7"/>
  <c r="H201" i="7"/>
  <c r="G202" i="7"/>
  <c r="W202" i="7" s="1"/>
  <c r="X202" i="7" s="1"/>
  <c r="Y202" i="7" s="1"/>
  <c r="H202" i="7"/>
  <c r="G203" i="7"/>
  <c r="W203" i="7" s="1"/>
  <c r="X203" i="7" s="1"/>
  <c r="Y203" i="7" s="1"/>
  <c r="H203" i="7"/>
  <c r="G204" i="7"/>
  <c r="W204" i="7" s="1"/>
  <c r="X204" i="7" s="1"/>
  <c r="Y204" i="7" s="1"/>
  <c r="H204" i="7"/>
  <c r="G205" i="7"/>
  <c r="W205" i="7" s="1"/>
  <c r="X205" i="7" s="1"/>
  <c r="Y205" i="7" s="1"/>
  <c r="H205" i="7"/>
  <c r="G206" i="7"/>
  <c r="W206" i="7" s="1"/>
  <c r="X206" i="7" s="1"/>
  <c r="Y206" i="7" s="1"/>
  <c r="H206" i="7"/>
  <c r="G207" i="7"/>
  <c r="W207" i="7" s="1"/>
  <c r="X207" i="7" s="1"/>
  <c r="Y207" i="7" s="1"/>
  <c r="H207" i="7"/>
  <c r="G208" i="7"/>
  <c r="W208" i="7" s="1"/>
  <c r="X208" i="7" s="1"/>
  <c r="Y208" i="7" s="1"/>
  <c r="H208" i="7"/>
  <c r="G209" i="7"/>
  <c r="W209" i="7" s="1"/>
  <c r="X209" i="7" s="1"/>
  <c r="Y209" i="7" s="1"/>
  <c r="H209" i="7"/>
  <c r="G210" i="7"/>
  <c r="H210" i="7"/>
  <c r="G211" i="7"/>
  <c r="W211" i="7" s="1"/>
  <c r="X211" i="7" s="1"/>
  <c r="Y211" i="7" s="1"/>
  <c r="H211" i="7"/>
  <c r="G212" i="7"/>
  <c r="W212" i="7" s="1"/>
  <c r="X212" i="7" s="1"/>
  <c r="Y212" i="7" s="1"/>
  <c r="H212" i="7"/>
  <c r="G213" i="7"/>
  <c r="W213" i="7" s="1"/>
  <c r="X213" i="7" s="1"/>
  <c r="Y213" i="7" s="1"/>
  <c r="H213" i="7"/>
  <c r="G214" i="7"/>
  <c r="W214" i="7" s="1"/>
  <c r="X214" i="7" s="1"/>
  <c r="Y214" i="7" s="1"/>
  <c r="H214" i="7"/>
  <c r="G215" i="7"/>
  <c r="W215" i="7" s="1"/>
  <c r="X215" i="7" s="1"/>
  <c r="Y215" i="7" s="1"/>
  <c r="H215" i="7"/>
  <c r="G216" i="7"/>
  <c r="W216" i="7" s="1"/>
  <c r="X216" i="7" s="1"/>
  <c r="Y216" i="7" s="1"/>
  <c r="H216" i="7"/>
  <c r="G217" i="7"/>
  <c r="W217" i="7" s="1"/>
  <c r="X217" i="7" s="1"/>
  <c r="Y217" i="7" s="1"/>
  <c r="H217" i="7"/>
  <c r="G218" i="7"/>
  <c r="W218" i="7" s="1"/>
  <c r="X218" i="7" s="1"/>
  <c r="Y218" i="7" s="1"/>
  <c r="H218" i="7"/>
  <c r="G219" i="7"/>
  <c r="W219" i="7" s="1"/>
  <c r="X219" i="7" s="1"/>
  <c r="Y219" i="7" s="1"/>
  <c r="H219" i="7"/>
  <c r="G220" i="7"/>
  <c r="W220" i="7" s="1"/>
  <c r="X220" i="7" s="1"/>
  <c r="Y220" i="7" s="1"/>
  <c r="H220" i="7"/>
  <c r="G221" i="7"/>
  <c r="W221" i="7" s="1"/>
  <c r="X221" i="7" s="1"/>
  <c r="Y221" i="7" s="1"/>
  <c r="H221" i="7"/>
  <c r="G222" i="7"/>
  <c r="W222" i="7" s="1"/>
  <c r="X222" i="7" s="1"/>
  <c r="Y222" i="7" s="1"/>
  <c r="H222" i="7"/>
  <c r="G223" i="7"/>
  <c r="H223" i="7"/>
  <c r="G224" i="7"/>
  <c r="W224" i="7" s="1"/>
  <c r="X224" i="7" s="1"/>
  <c r="Y224" i="7" s="1"/>
  <c r="H224" i="7"/>
  <c r="G225" i="7"/>
  <c r="W225" i="7" s="1"/>
  <c r="X225" i="7" s="1"/>
  <c r="Y225" i="7" s="1"/>
  <c r="H225" i="7"/>
  <c r="G226" i="7"/>
  <c r="W226" i="7" s="1"/>
  <c r="X226" i="7" s="1"/>
  <c r="Y226" i="7" s="1"/>
  <c r="H226" i="7"/>
  <c r="G227" i="7"/>
  <c r="W227" i="7" s="1"/>
  <c r="X227" i="7" s="1"/>
  <c r="Y227" i="7" s="1"/>
  <c r="H227" i="7"/>
  <c r="G228" i="7"/>
  <c r="H228" i="7"/>
  <c r="G229" i="7"/>
  <c r="W229" i="7" s="1"/>
  <c r="X229" i="7" s="1"/>
  <c r="Y229" i="7" s="1"/>
  <c r="H229" i="7"/>
  <c r="G230" i="7"/>
  <c r="W230" i="7" s="1"/>
  <c r="X230" i="7" s="1"/>
  <c r="Y230" i="7" s="1"/>
  <c r="H230" i="7"/>
  <c r="H7" i="7"/>
  <c r="G7" i="7"/>
  <c r="W7" i="7" s="1"/>
  <c r="X7" i="7" s="1"/>
  <c r="Y7" i="7" s="1"/>
  <c r="E29" i="13" l="1"/>
  <c r="E30" i="13"/>
  <c r="E31" i="13"/>
  <c r="E59" i="13"/>
  <c r="C8" i="13"/>
  <c r="N45" i="13" s="1"/>
  <c r="E6" i="13"/>
  <c r="O45" i="13"/>
  <c r="N16" i="13"/>
  <c r="E58" i="13"/>
  <c r="E5" i="13"/>
  <c r="E7" i="13"/>
  <c r="X164" i="7"/>
  <c r="Y164" i="7" s="1"/>
  <c r="X210" i="7"/>
  <c r="Y210" i="7" s="1"/>
  <c r="X159" i="7"/>
  <c r="Y159" i="7" s="1"/>
  <c r="X228" i="7"/>
  <c r="Y228" i="7" s="1"/>
  <c r="X223" i="7"/>
  <c r="Y223" i="7" s="1"/>
  <c r="E8" i="13" l="1"/>
  <c r="M16" i="13"/>
  <c r="E57" i="13"/>
  <c r="D116" i="8"/>
  <c r="D8" i="8"/>
  <c r="D9" i="8"/>
  <c r="D132" i="8"/>
  <c r="D10" i="8"/>
  <c r="D11" i="8"/>
  <c r="D12" i="8"/>
  <c r="D13" i="8"/>
  <c r="D14" i="8"/>
  <c r="D15" i="8"/>
  <c r="D16" i="8"/>
  <c r="D17" i="8"/>
  <c r="D18" i="8"/>
  <c r="D19" i="8"/>
  <c r="D20" i="8"/>
  <c r="D117" i="8"/>
  <c r="D133" i="8"/>
  <c r="D134" i="8"/>
  <c r="D21" i="8"/>
  <c r="D135" i="8"/>
  <c r="D22" i="8"/>
  <c r="D23" i="8"/>
  <c r="D136" i="8"/>
  <c r="D137" i="8"/>
  <c r="D24" i="8"/>
  <c r="D25" i="8"/>
  <c r="D138" i="8"/>
  <c r="D26" i="8"/>
  <c r="D27" i="8"/>
  <c r="D139" i="8"/>
  <c r="D140" i="8"/>
  <c r="D28" i="8"/>
  <c r="D141" i="8"/>
  <c r="D29" i="8"/>
  <c r="D142" i="8"/>
  <c r="D118" i="8"/>
  <c r="D30" i="8"/>
  <c r="D31" i="8"/>
  <c r="D32" i="8"/>
  <c r="D143" i="8"/>
  <c r="D33" i="8"/>
  <c r="D34" i="8"/>
  <c r="D35" i="8"/>
  <c r="D144" i="8"/>
  <c r="D36" i="8"/>
  <c r="D37" i="8"/>
  <c r="D119" i="8"/>
  <c r="D120" i="8"/>
  <c r="D38" i="8"/>
  <c r="D39" i="8"/>
  <c r="D145" i="8"/>
  <c r="D146" i="8"/>
  <c r="D147" i="8"/>
  <c r="D121" i="8"/>
  <c r="D148" i="8"/>
  <c r="D40" i="8"/>
  <c r="D41" i="8"/>
  <c r="D42" i="8"/>
  <c r="D149" i="8"/>
  <c r="D43" i="8"/>
  <c r="D44" i="8"/>
  <c r="D45" i="8"/>
  <c r="D150" i="8"/>
  <c r="D46" i="8"/>
  <c r="D47" i="8"/>
  <c r="D48" i="8"/>
  <c r="D151" i="8"/>
  <c r="D49" i="8"/>
  <c r="D152" i="8"/>
  <c r="D50" i="8"/>
  <c r="D51" i="8"/>
  <c r="D52" i="8"/>
  <c r="D53" i="8"/>
  <c r="D54" i="8"/>
  <c r="D55" i="8"/>
  <c r="D56" i="8"/>
  <c r="D57" i="8"/>
  <c r="D58" i="8"/>
  <c r="D122" i="8"/>
  <c r="D59" i="8"/>
  <c r="D60" i="8"/>
  <c r="D61" i="8"/>
  <c r="D62" i="8"/>
  <c r="D63" i="8"/>
  <c r="D153" i="8"/>
  <c r="D64" i="8"/>
  <c r="D65" i="8"/>
  <c r="D154" i="8"/>
  <c r="D66" i="8"/>
  <c r="D67" i="8"/>
  <c r="D68" i="8"/>
  <c r="D123" i="8"/>
  <c r="D155" i="8"/>
  <c r="D69" i="8"/>
  <c r="D156" i="8"/>
  <c r="D70" i="8"/>
  <c r="D71" i="8"/>
  <c r="D157" i="8"/>
  <c r="D72" i="8"/>
  <c r="D73" i="8"/>
  <c r="D158" i="8"/>
  <c r="D159" i="8"/>
  <c r="D160" i="8"/>
  <c r="D74" i="8"/>
  <c r="D161" i="8"/>
  <c r="D75" i="8"/>
  <c r="D76" i="8"/>
  <c r="D77" i="8"/>
  <c r="D78" i="8"/>
  <c r="D79" i="8"/>
  <c r="D80" i="8"/>
  <c r="D81" i="8"/>
  <c r="D82" i="8"/>
  <c r="D124" i="8"/>
  <c r="D83" i="8"/>
  <c r="D162" i="8"/>
  <c r="D84" i="8"/>
  <c r="D163" i="8"/>
  <c r="D85" i="8"/>
  <c r="D86" i="8"/>
  <c r="D87" i="8"/>
  <c r="D164" i="8"/>
  <c r="D88" i="8"/>
  <c r="D89" i="8"/>
  <c r="D90" i="8"/>
  <c r="D91" i="8"/>
  <c r="D165" i="8"/>
  <c r="D166" i="8"/>
  <c r="D125" i="8"/>
  <c r="D126" i="8"/>
  <c r="D127" i="8"/>
  <c r="D167" i="8"/>
  <c r="D168" i="8"/>
  <c r="D92" i="8"/>
  <c r="D93" i="8"/>
  <c r="D94" i="8"/>
  <c r="D95" i="8"/>
  <c r="D128" i="8"/>
  <c r="D96" i="8"/>
  <c r="D169" i="8"/>
  <c r="D170" i="8"/>
  <c r="D171" i="8"/>
  <c r="D97" i="8"/>
  <c r="D172" i="8"/>
  <c r="D98" i="8"/>
  <c r="D173" i="8"/>
  <c r="D99" i="8"/>
  <c r="D129" i="8"/>
  <c r="D100" i="8"/>
  <c r="D174" i="8"/>
  <c r="D101" i="8"/>
  <c r="D175" i="8"/>
  <c r="D176" i="8"/>
  <c r="D177" i="8"/>
  <c r="D102" i="8"/>
  <c r="D178" i="8"/>
  <c r="D103" i="8"/>
  <c r="D179" i="8"/>
  <c r="D104" i="8"/>
  <c r="D180" i="8"/>
  <c r="D105" i="8"/>
  <c r="D181" i="8"/>
  <c r="D106" i="8"/>
  <c r="D107" i="8"/>
  <c r="D108" i="8"/>
  <c r="D109" i="8"/>
  <c r="D182" i="8"/>
  <c r="D130" i="8"/>
  <c r="D183" i="8"/>
  <c r="D110" i="8"/>
  <c r="D184" i="8"/>
  <c r="D111" i="8"/>
  <c r="D131" i="8"/>
  <c r="D185" i="8"/>
  <c r="D112" i="8"/>
  <c r="D186" i="8"/>
  <c r="D187" i="8"/>
  <c r="D113" i="8"/>
  <c r="D114" i="8"/>
  <c r="D115" i="8"/>
  <c r="D7" i="8"/>
  <c r="D8" i="7"/>
  <c r="D165" i="7"/>
  <c r="D9" i="7"/>
  <c r="D10" i="7"/>
  <c r="D11" i="7"/>
  <c r="D166" i="7"/>
  <c r="D12" i="7"/>
  <c r="D13" i="7"/>
  <c r="D14" i="7"/>
  <c r="D15" i="7"/>
  <c r="D16" i="7"/>
  <c r="D17" i="7"/>
  <c r="D167" i="7"/>
  <c r="D18" i="7"/>
  <c r="D19" i="7"/>
  <c r="D20" i="7"/>
  <c r="D21" i="7"/>
  <c r="D22" i="7"/>
  <c r="D168" i="7"/>
  <c r="D23" i="7"/>
  <c r="D169" i="7"/>
  <c r="D170" i="7"/>
  <c r="D171" i="7"/>
  <c r="D24" i="7"/>
  <c r="D130" i="7"/>
  <c r="D25" i="7"/>
  <c r="D172" i="7"/>
  <c r="D173" i="7"/>
  <c r="D131" i="7"/>
  <c r="D174" i="7"/>
  <c r="D175" i="7"/>
  <c r="D26" i="7"/>
  <c r="D132" i="7"/>
  <c r="D176" i="7"/>
  <c r="D177" i="7"/>
  <c r="D27" i="7"/>
  <c r="D178" i="7"/>
  <c r="D28" i="7"/>
  <c r="D29" i="7"/>
  <c r="D30" i="7"/>
  <c r="D179" i="7"/>
  <c r="D180" i="7"/>
  <c r="D181" i="7"/>
  <c r="D182" i="7"/>
  <c r="D133" i="7"/>
  <c r="D134" i="7"/>
  <c r="D135" i="7"/>
  <c r="D183" i="7"/>
  <c r="D184" i="7"/>
  <c r="D185" i="7"/>
  <c r="D186" i="7"/>
  <c r="D187" i="7"/>
  <c r="D188" i="7"/>
  <c r="D31" i="7"/>
  <c r="D189" i="7"/>
  <c r="D136" i="7"/>
  <c r="D32" i="7"/>
  <c r="D190" i="7"/>
  <c r="D191" i="7"/>
  <c r="D33" i="7"/>
  <c r="D34" i="7"/>
  <c r="D137" i="7"/>
  <c r="D35" i="7"/>
  <c r="D36" i="7"/>
  <c r="D37" i="7"/>
  <c r="D38" i="7"/>
  <c r="D192" i="7"/>
  <c r="D39" i="7"/>
  <c r="D40" i="7"/>
  <c r="D41" i="7"/>
  <c r="D138" i="7"/>
  <c r="D42" i="7"/>
  <c r="D43" i="7"/>
  <c r="D44" i="7"/>
  <c r="D193" i="7"/>
  <c r="D45" i="7"/>
  <c r="D194" i="7"/>
  <c r="D46" i="7"/>
  <c r="D139" i="7"/>
  <c r="D195" i="7"/>
  <c r="D140" i="7"/>
  <c r="D196" i="7"/>
  <c r="D197" i="7"/>
  <c r="D198" i="7"/>
  <c r="D199" i="7"/>
  <c r="D200" i="7"/>
  <c r="D47" i="7"/>
  <c r="D201" i="7"/>
  <c r="D48" i="7"/>
  <c r="D49" i="7"/>
  <c r="D202" i="7"/>
  <c r="D50" i="7"/>
  <c r="D51" i="7"/>
  <c r="D52" i="7"/>
  <c r="D141" i="7"/>
  <c r="D53" i="7"/>
  <c r="D54" i="7"/>
  <c r="D203" i="7"/>
  <c r="D204" i="7"/>
  <c r="D55" i="7"/>
  <c r="D56" i="7"/>
  <c r="D57" i="7"/>
  <c r="D58" i="7"/>
  <c r="D59" i="7"/>
  <c r="D205" i="7"/>
  <c r="D142" i="7"/>
  <c r="D60" i="7"/>
  <c r="D206" i="7"/>
  <c r="D61" i="7"/>
  <c r="D143" i="7"/>
  <c r="D144" i="7"/>
  <c r="D62" i="7"/>
  <c r="D63" i="7"/>
  <c r="D207" i="7"/>
  <c r="D64" i="7"/>
  <c r="D65" i="7"/>
  <c r="D66" i="7"/>
  <c r="D145" i="7"/>
  <c r="D208" i="7"/>
  <c r="D67" i="7"/>
  <c r="D146" i="7"/>
  <c r="D147" i="7"/>
  <c r="D68" i="7"/>
  <c r="D69" i="7"/>
  <c r="D70" i="7"/>
  <c r="D209" i="7"/>
  <c r="D210" i="7"/>
  <c r="D148" i="7"/>
  <c r="D71" i="7"/>
  <c r="D72" i="7"/>
  <c r="D211" i="7"/>
  <c r="D149" i="7"/>
  <c r="D150" i="7"/>
  <c r="D212" i="7"/>
  <c r="D73" i="7"/>
  <c r="D151" i="7"/>
  <c r="D74" i="7"/>
  <c r="D152" i="7"/>
  <c r="D75" i="7"/>
  <c r="D76" i="7"/>
  <c r="D213" i="7"/>
  <c r="D77" i="7"/>
  <c r="D78" i="7"/>
  <c r="D79" i="7"/>
  <c r="D214" i="7"/>
  <c r="D80" i="7"/>
  <c r="D81" i="7"/>
  <c r="D82" i="7"/>
  <c r="D83" i="7"/>
  <c r="D215" i="7"/>
  <c r="D84" i="7"/>
  <c r="D216" i="7"/>
  <c r="D85" i="7"/>
  <c r="D86" i="7"/>
  <c r="D87" i="7"/>
  <c r="D217" i="7"/>
  <c r="D88" i="7"/>
  <c r="D89" i="7"/>
  <c r="D90" i="7"/>
  <c r="D91" i="7"/>
  <c r="D218" i="7"/>
  <c r="D92" i="7"/>
  <c r="D219" i="7"/>
  <c r="D220" i="7"/>
  <c r="D93" i="7"/>
  <c r="D94" i="7"/>
  <c r="D95" i="7"/>
  <c r="D153" i="7"/>
  <c r="D96" i="7"/>
  <c r="D97" i="7"/>
  <c r="D154" i="7"/>
  <c r="D221" i="7"/>
  <c r="D222" i="7"/>
  <c r="D98" i="7"/>
  <c r="D155" i="7"/>
  <c r="D99" i="7"/>
  <c r="D100" i="7"/>
  <c r="D223" i="7"/>
  <c r="D156" i="7"/>
  <c r="D101" i="7"/>
  <c r="D224" i="7"/>
  <c r="D102" i="7"/>
  <c r="D225" i="7"/>
  <c r="D226" i="7"/>
  <c r="D103" i="7"/>
  <c r="D227" i="7"/>
  <c r="D104" i="7"/>
  <c r="D157" i="7"/>
  <c r="D105" i="7"/>
  <c r="D228" i="7"/>
  <c r="D158" i="7"/>
  <c r="D106" i="7"/>
  <c r="D107" i="7"/>
  <c r="D229" i="7"/>
  <c r="D159" i="7"/>
  <c r="D108" i="7"/>
  <c r="D230" i="7"/>
  <c r="D109" i="7"/>
  <c r="D160" i="7"/>
  <c r="D110" i="7"/>
  <c r="D161" i="7"/>
  <c r="D111" i="7"/>
  <c r="D112" i="7"/>
  <c r="D162" i="7"/>
  <c r="D113" i="7"/>
  <c r="D114" i="7"/>
  <c r="D115" i="7"/>
  <c r="D116" i="7"/>
  <c r="D117" i="7"/>
  <c r="D118" i="7"/>
  <c r="D119" i="7"/>
  <c r="D120" i="7"/>
  <c r="D121" i="7"/>
  <c r="D122" i="7"/>
  <c r="D163" i="7"/>
  <c r="D123" i="7"/>
  <c r="D124" i="7"/>
  <c r="D125" i="7"/>
  <c r="D164" i="7"/>
  <c r="D126" i="7"/>
  <c r="D127" i="7"/>
  <c r="D128" i="7"/>
  <c r="D129" i="7"/>
  <c r="D7" i="7"/>
  <c r="O10" i="7"/>
  <c r="O11" i="7"/>
  <c r="O166" i="7"/>
  <c r="O12" i="7"/>
  <c r="O13" i="7"/>
  <c r="O17" i="7"/>
  <c r="O167" i="7"/>
  <c r="O18" i="7"/>
  <c r="O19" i="7"/>
  <c r="O20" i="7"/>
  <c r="O169" i="7"/>
  <c r="O170" i="7"/>
  <c r="O171" i="7"/>
  <c r="O131" i="7"/>
  <c r="O174" i="7"/>
  <c r="O175" i="7"/>
  <c r="O26" i="7"/>
  <c r="O27" i="7"/>
  <c r="O178" i="7"/>
  <c r="O28" i="7"/>
  <c r="O29" i="7"/>
  <c r="O30" i="7"/>
  <c r="O179" i="7"/>
  <c r="O182" i="7"/>
  <c r="O133" i="7"/>
  <c r="O134" i="7"/>
  <c r="O135" i="7"/>
  <c r="O183" i="7"/>
  <c r="O188" i="7"/>
  <c r="O31" i="7"/>
  <c r="O189" i="7"/>
  <c r="O136" i="7"/>
  <c r="O34" i="7"/>
  <c r="O137" i="7"/>
  <c r="O35" i="7"/>
  <c r="O39" i="7"/>
  <c r="O40" i="7"/>
  <c r="O41" i="7"/>
  <c r="O138" i="7"/>
  <c r="O42" i="7"/>
  <c r="O45" i="7"/>
  <c r="O194" i="7"/>
  <c r="O46" i="7"/>
  <c r="O139" i="7"/>
  <c r="O195" i="7"/>
  <c r="O199" i="7"/>
  <c r="O200" i="7"/>
  <c r="O47" i="7"/>
  <c r="O201" i="7"/>
  <c r="O48" i="7"/>
  <c r="O51" i="7"/>
  <c r="O52" i="7"/>
  <c r="O141" i="7"/>
  <c r="O56" i="7"/>
  <c r="O57" i="7"/>
  <c r="O58" i="7"/>
  <c r="O59" i="7"/>
  <c r="O206" i="7"/>
  <c r="O61" i="7"/>
  <c r="O143" i="7"/>
  <c r="O144" i="7"/>
  <c r="O62" i="7"/>
  <c r="O66" i="7"/>
  <c r="O145" i="7"/>
  <c r="O208" i="7"/>
  <c r="O70" i="7"/>
  <c r="O209" i="7"/>
  <c r="O210" i="7"/>
  <c r="O148" i="7"/>
  <c r="O71" i="7"/>
  <c r="O150" i="7"/>
  <c r="O212" i="7"/>
  <c r="O73" i="7"/>
  <c r="O76" i="7"/>
  <c r="O213" i="7"/>
  <c r="O77" i="7"/>
  <c r="O78" i="7"/>
  <c r="O79" i="7"/>
  <c r="O83" i="7"/>
  <c r="O215" i="7"/>
  <c r="O84" i="7"/>
  <c r="O216" i="7"/>
  <c r="O88" i="7"/>
  <c r="O89" i="7"/>
  <c r="O90" i="7"/>
  <c r="O91" i="7"/>
  <c r="O93" i="7"/>
  <c r="O94" i="7"/>
  <c r="O95" i="7"/>
  <c r="O96" i="7"/>
  <c r="O221" i="7"/>
  <c r="O222" i="7"/>
  <c r="O98" i="7"/>
  <c r="O155" i="7"/>
  <c r="O99" i="7"/>
  <c r="O224" i="7"/>
  <c r="O102" i="7"/>
  <c r="O225" i="7"/>
  <c r="O226" i="7"/>
  <c r="O105" i="7"/>
  <c r="O228" i="7"/>
  <c r="O158" i="7"/>
  <c r="O106" i="7"/>
  <c r="O230" i="7"/>
  <c r="O109" i="7"/>
  <c r="O110" i="7"/>
  <c r="O111" i="7"/>
  <c r="O112" i="7"/>
  <c r="O162" i="7"/>
  <c r="O116" i="7"/>
  <c r="O117" i="7"/>
  <c r="O122" i="7"/>
  <c r="O163" i="7"/>
  <c r="O123" i="7"/>
  <c r="O124" i="7"/>
  <c r="O164" i="7"/>
  <c r="O126" i="7"/>
  <c r="O127" i="7"/>
  <c r="O128" i="7"/>
  <c r="O7" i="7"/>
  <c r="O8" i="8"/>
  <c r="O9" i="8"/>
  <c r="O132" i="8"/>
  <c r="O10" i="8"/>
  <c r="O11" i="8"/>
  <c r="O12" i="8"/>
  <c r="O13" i="8"/>
  <c r="O14" i="8"/>
  <c r="O15" i="8"/>
  <c r="O16" i="8"/>
  <c r="O17" i="8"/>
  <c r="O18" i="8"/>
  <c r="O19" i="8"/>
  <c r="O20" i="8"/>
  <c r="O133" i="8"/>
  <c r="O134" i="8"/>
  <c r="O21" i="8"/>
  <c r="O22" i="8"/>
  <c r="O23" i="8"/>
  <c r="O136" i="8"/>
  <c r="O24" i="8"/>
  <c r="O25" i="8"/>
  <c r="O138" i="8"/>
  <c r="O27" i="8"/>
  <c r="O140" i="8"/>
  <c r="O28" i="8"/>
  <c r="O141" i="8"/>
  <c r="O29" i="8"/>
  <c r="O142" i="8"/>
  <c r="O30" i="8"/>
  <c r="O31" i="8"/>
  <c r="O32" i="8"/>
  <c r="O143" i="8"/>
  <c r="O33" i="8"/>
  <c r="O34" i="8"/>
  <c r="O35" i="8"/>
  <c r="O144" i="8"/>
  <c r="O36" i="8"/>
  <c r="O37" i="8"/>
  <c r="O119" i="8"/>
  <c r="O120" i="8"/>
  <c r="O38" i="8"/>
  <c r="O39" i="8"/>
  <c r="O145" i="8"/>
  <c r="O146" i="8"/>
  <c r="O147" i="8"/>
  <c r="O121" i="8"/>
  <c r="O148" i="8"/>
  <c r="O40" i="8"/>
  <c r="O41" i="8"/>
  <c r="O42" i="8"/>
  <c r="O149" i="8"/>
  <c r="O43" i="8"/>
  <c r="O44" i="8"/>
  <c r="O45" i="8"/>
  <c r="O150" i="8"/>
  <c r="O46" i="8"/>
  <c r="O47" i="8"/>
  <c r="O48" i="8"/>
  <c r="O151" i="8"/>
  <c r="O49" i="8"/>
  <c r="O152" i="8"/>
  <c r="O50" i="8"/>
  <c r="O51" i="8"/>
  <c r="O52" i="8"/>
  <c r="O53" i="8"/>
  <c r="O54" i="8"/>
  <c r="O55" i="8"/>
  <c r="O56" i="8"/>
  <c r="O57" i="8"/>
  <c r="O58" i="8"/>
  <c r="O122" i="8"/>
  <c r="O59" i="8"/>
  <c r="O60" i="8"/>
  <c r="O61" i="8"/>
  <c r="O63" i="8"/>
  <c r="O153" i="8"/>
  <c r="O64" i="8"/>
  <c r="O154" i="8"/>
  <c r="O66" i="8"/>
  <c r="O67" i="8"/>
  <c r="O123" i="8"/>
  <c r="O155" i="8"/>
  <c r="O69" i="8"/>
  <c r="O70" i="8"/>
  <c r="O71" i="8"/>
  <c r="O157" i="8"/>
  <c r="O73" i="8"/>
  <c r="O158" i="8"/>
  <c r="O159" i="8"/>
  <c r="O74" i="8"/>
  <c r="O161" i="8"/>
  <c r="O75" i="8"/>
  <c r="O77" i="8"/>
  <c r="O78" i="8"/>
  <c r="O79" i="8"/>
  <c r="O81" i="8"/>
  <c r="O82" i="8"/>
  <c r="O124" i="8"/>
  <c r="O162" i="8"/>
  <c r="O84" i="8"/>
  <c r="O163" i="8"/>
  <c r="O86" i="8"/>
  <c r="O87" i="8"/>
  <c r="O164" i="8"/>
  <c r="O88" i="8"/>
  <c r="O89" i="8"/>
  <c r="O90" i="8"/>
  <c r="O91" i="8"/>
  <c r="O165" i="8"/>
  <c r="O166" i="8"/>
  <c r="O125" i="8"/>
  <c r="O126" i="8"/>
  <c r="O167" i="8"/>
  <c r="O168" i="8"/>
  <c r="O92" i="8"/>
  <c r="O94" i="8"/>
  <c r="O95" i="8"/>
  <c r="O128" i="8"/>
  <c r="O169" i="8"/>
  <c r="O170" i="8"/>
  <c r="O171" i="8"/>
  <c r="O172" i="8"/>
  <c r="O98" i="8"/>
  <c r="O173" i="8"/>
  <c r="O129" i="8"/>
  <c r="O100" i="8"/>
  <c r="O174" i="8"/>
  <c r="O175" i="8"/>
  <c r="O176" i="8"/>
  <c r="O177" i="8"/>
  <c r="O178" i="8"/>
  <c r="O103" i="8"/>
  <c r="O179" i="8"/>
  <c r="O180" i="8"/>
  <c r="O105" i="8"/>
  <c r="O181" i="8"/>
  <c r="O107" i="8"/>
  <c r="O108" i="8"/>
  <c r="O109" i="8"/>
  <c r="O130" i="8"/>
  <c r="O183" i="8"/>
  <c r="O110" i="8"/>
  <c r="O111" i="8"/>
  <c r="O131" i="8"/>
  <c r="O185" i="8"/>
  <c r="O186" i="8"/>
  <c r="O187" i="8"/>
  <c r="O113" i="8"/>
  <c r="O115" i="8"/>
  <c r="P42" i="13" l="1"/>
  <c r="P41" i="13"/>
  <c r="P43" i="13"/>
  <c r="P44" i="13"/>
  <c r="O104" i="8"/>
  <c r="O85" i="8"/>
  <c r="O62" i="8"/>
  <c r="O161" i="7"/>
  <c r="O193" i="7"/>
  <c r="O154" i="7"/>
  <c r="O181" i="7"/>
  <c r="O75" i="7"/>
  <c r="O60" i="7"/>
  <c r="O16" i="7"/>
  <c r="O108" i="7"/>
  <c r="O220" i="7"/>
  <c r="O149" i="7"/>
  <c r="O55" i="7"/>
  <c r="O101" i="8"/>
  <c r="O83" i="8"/>
  <c r="O137" i="8"/>
  <c r="O26" i="8"/>
  <c r="O116" i="8"/>
  <c r="O159" i="7"/>
  <c r="O219" i="7"/>
  <c r="O211" i="7"/>
  <c r="O204" i="7"/>
  <c r="O192" i="7"/>
  <c r="O177" i="7"/>
  <c r="O9" i="7"/>
  <c r="O99" i="8"/>
  <c r="O80" i="8"/>
  <c r="O135" i="8"/>
  <c r="O117" i="8"/>
  <c r="O121" i="7"/>
  <c r="O157" i="7"/>
  <c r="O217" i="7"/>
  <c r="O69" i="7"/>
  <c r="O50" i="7"/>
  <c r="O33" i="7"/>
  <c r="O173" i="7"/>
  <c r="O97" i="8"/>
  <c r="O76" i="8"/>
  <c r="O102" i="8"/>
  <c r="O120" i="7"/>
  <c r="O104" i="7"/>
  <c r="O87" i="7"/>
  <c r="O68" i="7"/>
  <c r="O202" i="7"/>
  <c r="O191" i="7"/>
  <c r="O172" i="7"/>
  <c r="O114" i="8"/>
  <c r="O96" i="8"/>
  <c r="O72" i="8"/>
  <c r="O101" i="7"/>
  <c r="O82" i="7"/>
  <c r="O65" i="7"/>
  <c r="O198" i="7"/>
  <c r="O187" i="7"/>
  <c r="O23" i="7"/>
  <c r="O112" i="8"/>
  <c r="O93" i="8"/>
  <c r="O68" i="8"/>
  <c r="O115" i="7"/>
  <c r="O156" i="7"/>
  <c r="O81" i="7"/>
  <c r="O64" i="7"/>
  <c r="O197" i="7"/>
  <c r="O186" i="7"/>
  <c r="O168" i="7"/>
  <c r="O106" i="8"/>
  <c r="O127" i="8"/>
  <c r="O65" i="8"/>
  <c r="O118" i="8"/>
  <c r="O139" i="8"/>
  <c r="O182" i="8"/>
  <c r="O160" i="8"/>
  <c r="O156" i="8"/>
  <c r="O184" i="8"/>
  <c r="O125" i="7"/>
  <c r="O119" i="7"/>
  <c r="O114" i="7"/>
  <c r="O229" i="7"/>
  <c r="O227" i="7"/>
  <c r="O223" i="7"/>
  <c r="O97" i="7"/>
  <c r="O92" i="7"/>
  <c r="O86" i="7"/>
  <c r="O80" i="7"/>
  <c r="O152" i="7"/>
  <c r="O72" i="7"/>
  <c r="O147" i="7"/>
  <c r="O207" i="7"/>
  <c r="O142" i="7"/>
  <c r="O203" i="7"/>
  <c r="O49" i="7"/>
  <c r="O196" i="7"/>
  <c r="O44" i="7"/>
  <c r="O38" i="7"/>
  <c r="O190" i="7"/>
  <c r="O185" i="7"/>
  <c r="O180" i="7"/>
  <c r="O176" i="7"/>
  <c r="O25" i="7"/>
  <c r="O22" i="7"/>
  <c r="O15" i="7"/>
  <c r="O165" i="7"/>
  <c r="O129" i="7"/>
  <c r="O118" i="7"/>
  <c r="O113" i="7"/>
  <c r="O107" i="7"/>
  <c r="O103" i="7"/>
  <c r="O100" i="7"/>
  <c r="O218" i="7"/>
  <c r="O85" i="7"/>
  <c r="O214" i="7"/>
  <c r="O74" i="7"/>
  <c r="O146" i="7"/>
  <c r="O63" i="7"/>
  <c r="O205" i="7"/>
  <c r="O54" i="7"/>
  <c r="O140" i="7"/>
  <c r="O43" i="7"/>
  <c r="O37" i="7"/>
  <c r="O32" i="7"/>
  <c r="O184" i="7"/>
  <c r="O132" i="7"/>
  <c r="O130" i="7"/>
  <c r="O21" i="7"/>
  <c r="O14" i="7"/>
  <c r="O8" i="7"/>
  <c r="O160" i="7"/>
  <c r="O153" i="7"/>
  <c r="O151" i="7"/>
  <c r="O67" i="7"/>
  <c r="O53" i="7"/>
  <c r="O36" i="7"/>
  <c r="O24" i="7"/>
  <c r="O7" i="8"/>
</calcChain>
</file>

<file path=xl/sharedStrings.xml><?xml version="1.0" encoding="utf-8"?>
<sst xmlns="http://schemas.openxmlformats.org/spreadsheetml/2006/main" count="2745" uniqueCount="145">
  <si>
    <t>AXLE LOAD SURVEY FORM</t>
  </si>
  <si>
    <t>Date:</t>
  </si>
  <si>
    <t>Station Name:</t>
  </si>
  <si>
    <t>S/No.</t>
  </si>
  <si>
    <t>Time</t>
  </si>
  <si>
    <t>Reg. Number</t>
  </si>
  <si>
    <t>Number of Axles</t>
  </si>
  <si>
    <t>Axle Configuration</t>
  </si>
  <si>
    <t>Axle 1</t>
  </si>
  <si>
    <t>Axle 2</t>
  </si>
  <si>
    <t>Axle 3</t>
  </si>
  <si>
    <t>Axle 4</t>
  </si>
  <si>
    <t>Axle 5</t>
  </si>
  <si>
    <t>Axle 6</t>
  </si>
  <si>
    <t>Axle 7</t>
  </si>
  <si>
    <t>Total (Tonnes)</t>
  </si>
  <si>
    <t>Vehicle Type</t>
  </si>
  <si>
    <t>Front</t>
  </si>
  <si>
    <t>Total (ESA's)</t>
  </si>
  <si>
    <t>COMMENTS</t>
  </si>
  <si>
    <t>UGANDA</t>
  </si>
  <si>
    <t>KENYA</t>
  </si>
  <si>
    <t>1*2</t>
  </si>
  <si>
    <t>1*22-111</t>
  </si>
  <si>
    <t>1*22-222</t>
  </si>
  <si>
    <t>1*12-222</t>
  </si>
  <si>
    <t>1*2+2*22</t>
  </si>
  <si>
    <t>1*12-111</t>
  </si>
  <si>
    <t>1*22+22*22</t>
  </si>
  <si>
    <t>1*22</t>
  </si>
  <si>
    <t>1*221</t>
  </si>
  <si>
    <t>1*21</t>
  </si>
  <si>
    <t>11*22</t>
  </si>
  <si>
    <t>1*22+2*22</t>
  </si>
  <si>
    <t>Others</t>
  </si>
  <si>
    <t/>
  </si>
  <si>
    <t>Processed foods and beverages</t>
  </si>
  <si>
    <t>Fertilizer &amp; Chemicals</t>
  </si>
  <si>
    <t>Fuels(gas &amp; Liquid)</t>
  </si>
  <si>
    <t>Shop items</t>
  </si>
  <si>
    <t>Building mat./H. ware</t>
  </si>
  <si>
    <t>Agric Produce</t>
  </si>
  <si>
    <t>Equipment</t>
  </si>
  <si>
    <t>11*222</t>
  </si>
  <si>
    <t>11*2</t>
  </si>
  <si>
    <t>1*2-222</t>
  </si>
  <si>
    <t>112-222</t>
  </si>
  <si>
    <t>1*12</t>
  </si>
  <si>
    <t>1*222</t>
  </si>
  <si>
    <t>1*22-22</t>
  </si>
  <si>
    <t>1*21*222</t>
  </si>
  <si>
    <t>KGS</t>
  </si>
  <si>
    <t>KAMPALA-MITYANA</t>
  </si>
  <si>
    <t>MITYANA-KAMPALA</t>
  </si>
  <si>
    <t>MITYANA - KAMPALA</t>
  </si>
  <si>
    <t>Consultancy services for Preparation of Expressway Development Master Plan (EDMP) for Uganda</t>
  </si>
  <si>
    <t>BUJUUKO</t>
  </si>
  <si>
    <t>OVERLOADED?</t>
  </si>
  <si>
    <t>Overloaded by?</t>
  </si>
  <si>
    <t xml:space="preserve"> TRUCK TYPES</t>
  </si>
  <si>
    <t>2-Axles</t>
  </si>
  <si>
    <t>3-Axle</t>
  </si>
  <si>
    <t>4-Axle</t>
  </si>
  <si>
    <t>5-Axle</t>
  </si>
  <si>
    <t>6-Axle</t>
  </si>
  <si>
    <t>7-Axle</t>
  </si>
  <si>
    <t xml:space="preserve">LIGHT SINGLE UNIT TRUCK-DYNAS AND TRACTORS(2 axles) </t>
  </si>
  <si>
    <t xml:space="preserve">LIGHT/MEDIUM SINGLE UNIT TRUCKS (3 axles) </t>
  </si>
  <si>
    <t>MEDIUM - SINGLE UNIT TRUCKS-LORRIES, FUSOS (4 axles)</t>
  </si>
  <si>
    <t>1.1-22</t>
  </si>
  <si>
    <t>HEAVY TRUCK RIGID (5 axles)</t>
  </si>
  <si>
    <t>1.1-222</t>
  </si>
  <si>
    <t>1.2-222</t>
  </si>
  <si>
    <t>1.22-22</t>
  </si>
  <si>
    <t>TRUCK TRAILER AND SEMI TRAILER (6 axles)</t>
  </si>
  <si>
    <t>1.12-222</t>
  </si>
  <si>
    <t>1.22-222</t>
  </si>
  <si>
    <t>1.22+1-22</t>
  </si>
  <si>
    <t>1.22+2-22</t>
  </si>
  <si>
    <t>1.21-222</t>
  </si>
  <si>
    <t>1.22-111</t>
  </si>
  <si>
    <t>TRUCK TRAILER  TYPE 2 (7 axles)</t>
  </si>
  <si>
    <t>1.11+11-11</t>
  </si>
  <si>
    <t>1.22+22-22</t>
  </si>
  <si>
    <t>1.12+11-22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</si>
  <si>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</si>
  <si>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</si>
  <si>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</si>
  <si>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</si>
  <si>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1*1</t>
  </si>
  <si>
    <t>Light Truck</t>
  </si>
  <si>
    <t>Medium Truck</t>
  </si>
  <si>
    <t>Heavy Truck</t>
  </si>
  <si>
    <t>1*2*2</t>
  </si>
  <si>
    <t>Truck Trailer</t>
  </si>
  <si>
    <t>1*2*22</t>
  </si>
  <si>
    <t>1*2*2*2</t>
  </si>
  <si>
    <t>1*22*2*22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</si>
  <si>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</si>
  <si>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</si>
  <si>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</si>
  <si>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</si>
  <si>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</si>
  <si>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</si>
  <si>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</si>
  <si>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</si>
  <si>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</si>
  <si>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</si>
  <si>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</si>
  <si>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</si>
  <si>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CEMENT</t>
  </si>
  <si>
    <t>Vehicle Categories</t>
  </si>
  <si>
    <t>Load Description</t>
  </si>
  <si>
    <t>Truck Type</t>
  </si>
  <si>
    <t>Both Directions</t>
  </si>
  <si>
    <t>Category</t>
  </si>
  <si>
    <t>Light/Medium Trucks</t>
  </si>
  <si>
    <t>Agricultural produce</t>
  </si>
  <si>
    <t>Heavy Trucks</t>
  </si>
  <si>
    <t>Perishable</t>
  </si>
  <si>
    <t>Truck/Trailer</t>
  </si>
  <si>
    <t>Construction Material</t>
  </si>
  <si>
    <t>Totals</t>
  </si>
  <si>
    <t>Forestry products</t>
  </si>
  <si>
    <t>Fuels</t>
  </si>
  <si>
    <t>Chemical Products</t>
  </si>
  <si>
    <t>Livestock</t>
  </si>
  <si>
    <t xml:space="preserve">Household retail products </t>
  </si>
  <si>
    <t>Total</t>
  </si>
  <si>
    <t>Kampala-Mityana</t>
  </si>
  <si>
    <t>Mityana-Kampala</t>
  </si>
  <si>
    <t xml:space="preserve">Construction Material </t>
  </si>
  <si>
    <t xml:space="preserve">Household retail products    </t>
  </si>
  <si>
    <t>Load limit (Tonnes)</t>
  </si>
  <si>
    <t>Overload Bands</t>
  </si>
  <si>
    <t>1*22-222-1</t>
  </si>
  <si>
    <t>Average Total Loading (Tonnes)</t>
  </si>
  <si>
    <t>Limit</t>
  </si>
  <si>
    <t>Proportion of Overloaded Trucks</t>
  </si>
  <si>
    <t>0-4.9%</t>
  </si>
  <si>
    <t>5-25%</t>
  </si>
  <si>
    <t>25-50%</t>
  </si>
  <si>
    <t>Over 50%</t>
  </si>
  <si>
    <t>AXLE LOAD DATA ANALYSIS (KAMPALA - MITYANA HIGHWAY)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</si>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</sst>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h:mm;@"/>
    <numFmt numFmtId="165" formatCode="0.000"/>
    <numFmt numFmtId="166" formatCode="0.0"/>
    <numFmt numFmtId="167" formatCode="0.0%"/>
    <numFmt numFmtId="168" formatCode="_-* #,##0.0_-;\-* #,##0.0_-;_-* &quot;-&quot;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9" fillId="0" borderId="0"/>
    <xf numFmtId="0" fontId="11" fillId="0" borderId="0"/>
    <xf numFmtId="41" fontId="6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/>
    <xf numFmtId="0" fontId="2" fillId="0" borderId="0" xfId="0" applyFont="1"/>
    <xf numFmtId="0" fontId="3" fillId="0" borderId="0" xfId="0" applyFont="1" applyBorder="1" applyAlignment="1"/>
    <xf numFmtId="0" fontId="2" fillId="0" borderId="1" xfId="0" applyFont="1" applyBorder="1"/>
    <xf numFmtId="0" fontId="4" fillId="0" borderId="0" xfId="0" applyFont="1" applyBorder="1"/>
    <xf numFmtId="0" fontId="1" fillId="0" borderId="4" xfId="0" applyFont="1" applyBorder="1" applyAlignment="1">
      <alignment vertical="top" wrapText="1"/>
    </xf>
    <xf numFmtId="0" fontId="0" fillId="0" borderId="6" xfId="0" applyBorder="1"/>
    <xf numFmtId="164" fontId="2" fillId="0" borderId="2" xfId="0" applyNumberFormat="1" applyFont="1" applyBorder="1"/>
    <xf numFmtId="0" fontId="2" fillId="0" borderId="12" xfId="0" applyFont="1" applyBorder="1"/>
    <xf numFmtId="0" fontId="2" fillId="0" borderId="13" xfId="0" applyFont="1" applyBorder="1"/>
    <xf numFmtId="165" fontId="2" fillId="0" borderId="3" xfId="0" applyNumberFormat="1" applyFont="1" applyBorder="1"/>
    <xf numFmtId="165" fontId="2" fillId="0" borderId="1" xfId="0" applyNumberFormat="1" applyFont="1" applyBorder="1"/>
    <xf numFmtId="49" fontId="1" fillId="0" borderId="0" xfId="0" applyNumberFormat="1" applyFont="1" applyBorder="1"/>
    <xf numFmtId="49" fontId="2" fillId="0" borderId="1" xfId="0" applyNumberFormat="1" applyFont="1" applyBorder="1"/>
    <xf numFmtId="49" fontId="0" fillId="0" borderId="0" xfId="0" applyNumberFormat="1"/>
    <xf numFmtId="2" fontId="2" fillId="0" borderId="3" xfId="0" applyNumberFormat="1" applyFont="1" applyBorder="1"/>
    <xf numFmtId="49" fontId="2" fillId="0" borderId="0" xfId="0" applyNumberFormat="1" applyFont="1"/>
    <xf numFmtId="2" fontId="2" fillId="0" borderId="1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49" fontId="2" fillId="0" borderId="0" xfId="0" applyNumberFormat="1" applyFont="1" applyBorder="1"/>
    <xf numFmtId="164" fontId="2" fillId="2" borderId="2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5" fontId="2" fillId="2" borderId="1" xfId="0" applyNumberFormat="1" applyFont="1" applyFill="1" applyBorder="1"/>
    <xf numFmtId="165" fontId="2" fillId="2" borderId="3" xfId="0" applyNumberFormat="1" applyFont="1" applyFill="1" applyBorder="1"/>
    <xf numFmtId="0" fontId="0" fillId="2" borderId="6" xfId="0" applyFill="1" applyBorder="1"/>
    <xf numFmtId="0" fontId="0" fillId="2" borderId="0" xfId="0" applyFill="1"/>
    <xf numFmtId="0" fontId="1" fillId="0" borderId="0" xfId="0" applyFont="1" applyBorder="1" applyAlignment="1">
      <alignment horizontal="center"/>
    </xf>
    <xf numFmtId="1" fontId="2" fillId="0" borderId="1" xfId="0" applyNumberFormat="1" applyFont="1" applyBorder="1"/>
    <xf numFmtId="1" fontId="2" fillId="2" borderId="1" xfId="0" applyNumberFormat="1" applyFont="1" applyFill="1" applyBorder="1"/>
    <xf numFmtId="1" fontId="7" fillId="2" borderId="1" xfId="0" applyNumberFormat="1" applyFont="1" applyFill="1" applyBorder="1"/>
    <xf numFmtId="1" fontId="1" fillId="2" borderId="1" xfId="0" applyNumberFormat="1" applyFont="1" applyFill="1" applyBorder="1"/>
    <xf numFmtId="166" fontId="2" fillId="0" borderId="3" xfId="0" applyNumberFormat="1" applyFont="1" applyBorder="1"/>
    <xf numFmtId="166" fontId="2" fillId="0" borderId="14" xfId="0" applyNumberFormat="1" applyFont="1" applyBorder="1"/>
    <xf numFmtId="166" fontId="2" fillId="0" borderId="14" xfId="0" applyNumberFormat="1" applyFont="1" applyBorder="1" applyAlignment="1">
      <alignment horizontal="center"/>
    </xf>
    <xf numFmtId="0" fontId="9" fillId="0" borderId="0" xfId="3"/>
    <xf numFmtId="0" fontId="9" fillId="0" borderId="0" xfId="3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2" fillId="0" borderId="0" xfId="4" applyFont="1" applyAlignment="1">
      <alignment vertical="center"/>
    </xf>
    <xf numFmtId="0" fontId="12" fillId="0" borderId="0" xfId="4" applyFont="1"/>
    <xf numFmtId="0" fontId="13" fillId="0" borderId="0" xfId="0" applyFont="1"/>
    <xf numFmtId="0" fontId="5" fillId="0" borderId="0" xfId="0" applyFont="1"/>
    <xf numFmtId="0" fontId="0" fillId="0" borderId="1" xfId="0" applyBorder="1"/>
    <xf numFmtId="166" fontId="0" fillId="0" borderId="1" xfId="0" applyNumberFormat="1" applyBorder="1"/>
    <xf numFmtId="0" fontId="5" fillId="0" borderId="1" xfId="0" applyFont="1" applyBorder="1"/>
    <xf numFmtId="167" fontId="0" fillId="0" borderId="1" xfId="2" applyNumberFormat="1" applyFont="1" applyBorder="1"/>
    <xf numFmtId="0" fontId="2" fillId="0" borderId="12" xfId="0" applyFont="1" applyFill="1" applyBorder="1"/>
    <xf numFmtId="164" fontId="2" fillId="0" borderId="2" xfId="0" applyNumberFormat="1" applyFont="1" applyFill="1" applyBorder="1"/>
    <xf numFmtId="0" fontId="2" fillId="0" borderId="1" xfId="0" applyFont="1" applyFill="1" applyBorder="1"/>
    <xf numFmtId="49" fontId="2" fillId="0" borderId="1" xfId="0" applyNumberFormat="1" applyFont="1" applyFill="1" applyBorder="1"/>
    <xf numFmtId="1" fontId="2" fillId="0" borderId="1" xfId="0" applyNumberFormat="1" applyFont="1" applyFill="1" applyBorder="1"/>
    <xf numFmtId="2" fontId="2" fillId="0" borderId="1" xfId="0" applyNumberFormat="1" applyFont="1" applyFill="1" applyBorder="1"/>
    <xf numFmtId="166" fontId="2" fillId="0" borderId="3" xfId="0" applyNumberFormat="1" applyFont="1" applyFill="1" applyBorder="1"/>
    <xf numFmtId="166" fontId="2" fillId="0" borderId="14" xfId="0" applyNumberFormat="1" applyFont="1" applyFill="1" applyBorder="1"/>
    <xf numFmtId="0" fontId="0" fillId="0" borderId="6" xfId="0" applyFill="1" applyBorder="1"/>
    <xf numFmtId="0" fontId="0" fillId="0" borderId="0" xfId="0" applyFill="1"/>
    <xf numFmtId="165" fontId="2" fillId="0" borderId="1" xfId="0" applyNumberFormat="1" applyFont="1" applyFill="1" applyBorder="1"/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vertical="top" wrapText="1"/>
    </xf>
    <xf numFmtId="167" fontId="2" fillId="0" borderId="14" xfId="2" applyNumberFormat="1" applyFont="1" applyBorder="1"/>
    <xf numFmtId="0" fontId="16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2" fillId="0" borderId="0" xfId="4" applyFont="1" applyAlignment="1">
      <alignment vertical="center" wrapText="1"/>
    </xf>
    <xf numFmtId="0" fontId="14" fillId="0" borderId="0" xfId="4" applyFont="1" applyAlignment="1">
      <alignment vertical="center"/>
    </xf>
    <xf numFmtId="0" fontId="12" fillId="0" borderId="1" xfId="4" applyFont="1" applyBorder="1" applyAlignment="1">
      <alignment vertical="center"/>
    </xf>
    <xf numFmtId="0" fontId="14" fillId="0" borderId="1" xfId="4" applyFont="1" applyBorder="1" applyAlignment="1">
      <alignment vertical="center"/>
    </xf>
    <xf numFmtId="41" fontId="0" fillId="0" borderId="0" xfId="5" applyFont="1"/>
    <xf numFmtId="41" fontId="0" fillId="0" borderId="0" xfId="0" applyNumberFormat="1"/>
    <xf numFmtId="1" fontId="0" fillId="0" borderId="6" xfId="0" applyNumberFormat="1" applyBorder="1"/>
    <xf numFmtId="0" fontId="13" fillId="0" borderId="0" xfId="0" applyFont="1" applyBorder="1"/>
    <xf numFmtId="0" fontId="0" fillId="0" borderId="0" xfId="0" applyBorder="1"/>
    <xf numFmtId="0" fontId="5" fillId="0" borderId="0" xfId="0" applyFont="1" applyBorder="1" applyAlignment="1">
      <alignment vertical="center"/>
    </xf>
    <xf numFmtId="168" fontId="0" fillId="0" borderId="0" xfId="5" applyNumberFormat="1" applyFont="1" applyBorder="1"/>
    <xf numFmtId="167" fontId="5" fillId="0" borderId="1" xfId="2" applyNumberFormat="1" applyFont="1" applyBorder="1"/>
    <xf numFmtId="0" fontId="8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7" xfId="0" applyNumberFormat="1" applyFont="1" applyBorder="1" applyAlignment="1">
      <alignment horizontal="center" vertical="top" wrapText="1"/>
    </xf>
    <xf numFmtId="15" fontId="4" fillId="0" borderId="0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9" fillId="0" borderId="0" xfId="3" applyAlignment="1">
      <alignment horizontal="center"/>
    </xf>
    <xf numFmtId="0" fontId="12" fillId="0" borderId="17" xfId="4" applyFont="1" applyBorder="1" applyAlignment="1">
      <alignment horizontal="left" vertical="center" wrapText="1"/>
    </xf>
    <xf numFmtId="0" fontId="12" fillId="0" borderId="0" xfId="4" applyFont="1" applyAlignment="1">
      <alignment horizontal="left" vertical="center"/>
    </xf>
    <xf numFmtId="0" fontId="12" fillId="0" borderId="18" xfId="4" applyFont="1" applyBorder="1" applyAlignment="1">
      <alignment horizontal="left" vertical="center"/>
    </xf>
    <xf numFmtId="0" fontId="12" fillId="0" borderId="0" xfId="4" applyFont="1" applyAlignment="1">
      <alignment horizontal="left" vertical="center" wrapText="1"/>
    </xf>
  </cellXfs>
  <cellStyles count="6">
    <cellStyle name="Comma [0]" xfId="5" builtinId="6"/>
    <cellStyle name="Normal" xfId="0" builtinId="0"/>
    <cellStyle name="Normal 2" xfId="3" xr:uid="{00000000-0005-0000-0000-000001000000}"/>
    <cellStyle name="Normal 2 2" xfId="4" xr:uid="{00000000-0005-0000-0000-000002000000}"/>
    <cellStyle name="Normal 3" xfId="1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/>
              <a:t>Truck Composition for Kampala - Mityana</a:t>
            </a:r>
            <a:r>
              <a:rPr lang="en-US" sz="1400" b="1" baseline="0"/>
              <a:t> Highway</a:t>
            </a:r>
            <a:endParaRPr lang="en-US" sz="1400" b="1"/>
          </a:p>
        </c:rich>
      </c:tx>
      <c:layout>
        <c:manualLayout>
          <c:xMode val="edge"/>
          <c:yMode val="edge"/>
          <c:x val="0.18979532600532667"/>
          <c:y val="4.5644252760869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374999999999999"/>
          <c:y val="0.13726649305555555"/>
          <c:w val="0.8525880758807588"/>
          <c:h val="0.735417334240228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Kampala-Mityana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plosion val="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64-43BF-9DC8-4FBA63247CBC}"/>
              </c:ext>
            </c:extLst>
          </c:dPt>
          <c:dPt>
            <c:idx val="1"/>
            <c:invertIfNegative val="0"/>
            <c:bubble3D val="0"/>
            <c:explosion val="1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64-43BF-9DC8-4FBA63247CBC}"/>
              </c:ext>
            </c:extLst>
          </c:dPt>
          <c:dPt>
            <c:idx val="2"/>
            <c:invertIfNegative val="0"/>
            <c:bubble3D val="0"/>
            <c:explosion val="19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64-43BF-9DC8-4FBA63247CBC}"/>
              </c:ext>
            </c:extLst>
          </c:dPt>
          <c:cat>
            <c:strRef>
              <c:f>Graphs!$B$5:$B$7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Graphs!$C$5:$C$7</c:f>
              <c:numCache>
                <c:formatCode>General</c:formatCode>
                <c:ptCount val="3"/>
                <c:pt idx="0">
                  <c:v>104</c:v>
                </c:pt>
                <c:pt idx="1">
                  <c:v>35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4-43BF-9DC8-4FBA63247CBC}"/>
            </c:ext>
          </c:extLst>
        </c:ser>
        <c:ser>
          <c:idx val="1"/>
          <c:order val="1"/>
          <c:tx>
            <c:strRef>
              <c:f>Graphs!$D$4</c:f>
              <c:strCache>
                <c:ptCount val="1"/>
                <c:pt idx="0">
                  <c:v>Mityana-Kampala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Graphs!$D$5:$D$7</c:f>
              <c:numCache>
                <c:formatCode>General</c:formatCode>
                <c:ptCount val="3"/>
                <c:pt idx="0">
                  <c:v>109</c:v>
                </c:pt>
                <c:pt idx="1">
                  <c:v>16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4-43BF-9DC8-4FBA63247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35989920"/>
        <c:axId val="624706576"/>
      </c:barChart>
      <c:catAx>
        <c:axId val="73598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4706576"/>
        <c:crosses val="autoZero"/>
        <c:auto val="1"/>
        <c:lblAlgn val="ctr"/>
        <c:lblOffset val="100"/>
        <c:noMultiLvlLbl val="0"/>
      </c:catAx>
      <c:valAx>
        <c:axId val="6247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Truck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Composition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7359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Average Truck Loading (Kampala - Mityana Higwhay)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Kampala-Mityana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Graphs!$C$29:$C$31</c:f>
              <c:numCache>
                <c:formatCode>0.0</c:formatCode>
                <c:ptCount val="3"/>
                <c:pt idx="0">
                  <c:v>12.788365384615389</c:v>
                </c:pt>
                <c:pt idx="1">
                  <c:v>22.274285714285718</c:v>
                </c:pt>
                <c:pt idx="2">
                  <c:v>42.791058823529397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1-4C38-8761-BDEA28F0FBE1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Mityana-Kampala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Graphs!$D$29:$D$31</c:f>
              <c:numCache>
                <c:formatCode>0.0</c:formatCode>
                <c:ptCount val="3"/>
                <c:pt idx="0">
                  <c:v>17.222935779816517</c:v>
                </c:pt>
                <c:pt idx="1">
                  <c:v>24.790250000000007</c:v>
                </c:pt>
                <c:pt idx="2">
                  <c:v>49.056142857142859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A1-4C38-8761-BDEA28F0FBE1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Graphs!$E$29:$E$31</c:f>
              <c:numCache>
                <c:formatCode>0.0</c:formatCode>
                <c:ptCount val="3"/>
                <c:pt idx="0">
                  <c:v>15.005650582215953</c:v>
                </c:pt>
                <c:pt idx="1">
                  <c:v>23.532267857142863</c:v>
                </c:pt>
                <c:pt idx="2">
                  <c:v>45.923600840336128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A1-4C38-8761-BDEA28F0FBE1}"/>
            </c:ext>
          </c:extLst>
        </c:ser>
        <c:ser>
          <c:idx val="3"/>
          <c:order val="3"/>
          <c:tx>
            <c:strRef>
              <c:f>Graphs!$F$28</c:f>
              <c:strCache>
                <c:ptCount val="1"/>
                <c:pt idx="0">
                  <c:v>Limit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Graphs!$F$29:$F$31</c:f>
              <c:numCache>
                <c:formatCode>General</c:formatCode>
                <c:ptCount val="3"/>
                <c:pt idx="0">
                  <c:v>18</c:v>
                </c:pt>
                <c:pt idx="1">
                  <c:v>27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A1-4C38-8761-BDEA28F0FB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Truck Loading (Ton)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Proportion of Overloaded Trucks (Kampala-Mityana)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Kampala-Mityana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Graphs!$C$57:$C$59</c:f>
              <c:numCache>
                <c:formatCode>0.0%</c:formatCode>
                <c:ptCount val="3"/>
                <c:pt idx="0">
                  <c:v>0.39423076923076922</c:v>
                </c:pt>
                <c:pt idx="1">
                  <c:v>0.7142857142857143</c:v>
                </c:pt>
                <c:pt idx="2">
                  <c:v>0.75294117647058822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8CE-A215-1277BF7C8B9E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Mityana-Kampala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Graphs!$D$57:$D$59</c:f>
              <c:numCache>
                <c:formatCode>0.0%</c:formatCode>
                <c:ptCount val="3"/>
                <c:pt idx="0">
                  <c:v>0.73394495412844041</c:v>
                </c:pt>
                <c:pt idx="1">
                  <c:v>0.6875</c:v>
                </c:pt>
                <c:pt idx="2">
                  <c:v>0.6428571428571429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8CE-A215-1277BF7C8B9E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Graphs!$E$57:$E$59</c:f>
              <c:numCache>
                <c:formatCode>0.0%</c:formatCode>
                <c:ptCount val="3"/>
                <c:pt idx="0">
                  <c:v>0.56408786167960479</c:v>
                </c:pt>
                <c:pt idx="1">
                  <c:v>0.70089285714285721</c:v>
                </c:pt>
                <c:pt idx="2">
                  <c:v>0.69789915966386551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DC-48CE-A215-1277BF7C8B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 of Overloading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Percentage By Which Vehicles Are</a:t>
            </a:r>
            <a:r>
              <a:rPr lang="en-US" sz="1400" b="1" baseline="0">
                <a:solidFill>
                  <a:sysClr val="windowText" lastClr="000000"/>
                </a:solidFill>
              </a:rPr>
              <a:t> Overloaded (Kampala-Mityana)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413569001226599"/>
          <c:y val="9.7963675213675216E-2"/>
          <c:w val="0.82436564718183825"/>
          <c:h val="0.673894017094017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Graphs!$N$40</c:f>
              <c:strCache>
                <c:ptCount val="1"/>
                <c:pt idx="0">
                  <c:v>Kampala-Mityana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Graphs!$N$41:$N$44</c:f>
              <c:numCache>
                <c:formatCode>0.0%</c:formatCode>
                <c:ptCount val="4"/>
                <c:pt idx="0">
                  <c:v>0.48214285714285715</c:v>
                </c:pt>
                <c:pt idx="1">
                  <c:v>0.26785714285714285</c:v>
                </c:pt>
                <c:pt idx="2">
                  <c:v>0.14285714285714285</c:v>
                </c:pt>
                <c:pt idx="3">
                  <c:v>0.10714285714285714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A-46ED-AB19-B014D06F0E41}"/>
            </c:ext>
          </c:extLst>
        </c:ser>
        <c:ser>
          <c:idx val="1"/>
          <c:order val="1"/>
          <c:tx>
            <c:strRef>
              <c:f>Graphs!$O$40</c:f>
              <c:strCache>
                <c:ptCount val="1"/>
                <c:pt idx="0">
                  <c:v>Mityana-Kampala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Graphs!$O$41:$O$44</c:f>
              <c:numCache>
                <c:formatCode>0.0%</c:formatCode>
                <c:ptCount val="4"/>
                <c:pt idx="0">
                  <c:v>0.36464088397790057</c:v>
                </c:pt>
                <c:pt idx="1">
                  <c:v>0.24861878453038674</c:v>
                </c:pt>
                <c:pt idx="2">
                  <c:v>0.20994475138121546</c:v>
                </c:pt>
                <c:pt idx="3">
                  <c:v>0.17679558011049723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A-46ED-AB19-B014D06F0E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9"/>
        <c:axId val="620641328"/>
        <c:axId val="620643624"/>
      </c:barChart>
      <c:catAx>
        <c:axId val="62064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3624"/>
        <c:crosses val="autoZero"/>
        <c:auto val="1"/>
        <c:lblAlgn val="ctr"/>
        <c:lblOffset val="100"/>
        <c:noMultiLvlLbl val="0"/>
      </c:catAx>
      <c:valAx>
        <c:axId val="62064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Percentage By Which Overloaded</a:t>
                </a:r>
              </a:p>
            </c:rich>
          </c:tx>
          <c:layout>
            <c:manualLayout>
              <c:xMode val="edge"/>
              <c:yMode val="edge"/>
              <c:x val="0.36296796766604333"/>
              <c:y val="0.84897222222222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Load Description (Kampala-Mityana Highway)</a:t>
            </a:r>
          </a:p>
        </c:rich>
      </c:tx>
      <c:layout>
        <c:manualLayout>
          <c:xMode val="edge"/>
          <c:yMode val="edge"/>
          <c:x val="0.32064069134850776"/>
          <c:y val="1.6836638994111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Graphs!$M$4</c:f>
              <c:strCache>
                <c:ptCount val="1"/>
                <c:pt idx="0">
                  <c:v>Kampala-Mityana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 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Graphs!$M$5:$M$15</c:f>
              <c:numCache>
                <c:formatCode>0.0%</c:formatCode>
                <c:ptCount val="11"/>
                <c:pt idx="0">
                  <c:v>2.6785714285714284E-2</c:v>
                </c:pt>
                <c:pt idx="1">
                  <c:v>0</c:v>
                </c:pt>
                <c:pt idx="2">
                  <c:v>0.12053571428571429</c:v>
                </c:pt>
                <c:pt idx="3">
                  <c:v>1.7857142857142856E-2</c:v>
                </c:pt>
                <c:pt idx="4">
                  <c:v>0</c:v>
                </c:pt>
                <c:pt idx="5">
                  <c:v>7.5892857142857137E-2</c:v>
                </c:pt>
                <c:pt idx="6">
                  <c:v>1.3392857142857142E-2</c:v>
                </c:pt>
                <c:pt idx="7">
                  <c:v>0</c:v>
                </c:pt>
                <c:pt idx="8">
                  <c:v>0.13392857142857142</c:v>
                </c:pt>
                <c:pt idx="9">
                  <c:v>0.4107142857142857</c:v>
                </c:pt>
                <c:pt idx="10">
                  <c:v>0.20089285714285715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E-4597-A717-3796F198A033}"/>
            </c:ext>
          </c:extLst>
        </c:ser>
        <c:ser>
          <c:idx val="1"/>
          <c:order val="1"/>
          <c:tx>
            <c:strRef>
              <c:f>Graphs!$N$4</c:f>
              <c:strCache>
                <c:ptCount val="1"/>
                <c:pt idx="0">
                  <c:v>Mityana-Kampala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 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Graphs!$N$5:$N$15</c:f>
              <c:numCache>
                <c:formatCode>0.0%</c:formatCode>
                <c:ptCount val="11"/>
                <c:pt idx="0">
                  <c:v>0.33701657458563539</c:v>
                </c:pt>
                <c:pt idx="1">
                  <c:v>0</c:v>
                </c:pt>
                <c:pt idx="2">
                  <c:v>0.24309392265193369</c:v>
                </c:pt>
                <c:pt idx="3">
                  <c:v>1.1049723756906077E-2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2.7624309392265192E-2</c:v>
                </c:pt>
                <c:pt idx="9">
                  <c:v>0.21546961325966851</c:v>
                </c:pt>
                <c:pt idx="10">
                  <c:v>0.16574585635359115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E-4597-A717-3796F198A0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619720880"/>
        <c:axId val="619721536"/>
      </c:barChart>
      <c:catAx>
        <c:axId val="6197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1536"/>
        <c:crosses val="autoZero"/>
        <c:auto val="1"/>
        <c:lblAlgn val="ctr"/>
        <c:lblOffset val="100"/>
        <c:noMultiLvlLbl val="0"/>
      </c:catAx>
      <c:valAx>
        <c:axId val="6197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077700" y="182880"/>
          <a:ext cx="1516380" cy="381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553450" y="190500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86CC-3019-40D9-8A90-F05A38AA5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743950" y="428625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BB8EC-C929-4376-BA99-D56BBDD73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743950" y="428625"/>
          <a:ext cx="887730" cy="40576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12314</xdr:colOff>
      <xdr:row>2</xdr:row>
      <xdr:rowOff>165870</xdr:rowOff>
    </xdr:from>
    <xdr:to>
      <xdr:col>9</xdr:col>
      <xdr:colOff>1047981</xdr:colOff>
      <xdr:row>25</xdr:row>
      <xdr:rowOff>117203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A455C-0CB8-4D6F-AE23-B76776750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14429</xdr:colOff>
      <xdr:row>26</xdr:row>
      <xdr:rowOff>160095</xdr:rowOff>
    </xdr:from>
    <xdr:to>
      <xdr:col>9</xdr:col>
      <xdr:colOff>1050096</xdr:colOff>
      <xdr:row>51</xdr:row>
      <xdr:rowOff>5595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8CE4CA-052D-40B5-80C6-1C3B10EF9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14622</xdr:colOff>
      <xdr:row>53</xdr:row>
      <xdr:rowOff>61672</xdr:rowOff>
    </xdr:from>
    <xdr:to>
      <xdr:col>9</xdr:col>
      <xdr:colOff>1063144</xdr:colOff>
      <xdr:row>77</xdr:row>
      <xdr:rowOff>127480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35415A-802D-462A-8F59-FA3E0C10B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602287</xdr:colOff>
      <xdr:row>44</xdr:row>
      <xdr:rowOff>188096</xdr:rowOff>
    </xdr:from>
    <xdr:to>
      <xdr:col>21</xdr:col>
      <xdr:colOff>444500</xdr:colOff>
      <xdr:row>68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4C31A4-5D53-42A9-8B48-52B9FEB6F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69273</xdr:colOff>
      <xdr:row>1</xdr:row>
      <xdr:rowOff>65806</xdr:rowOff>
    </xdr:from>
    <xdr:to>
      <xdr:col>23</xdr:col>
      <xdr:colOff>398318</xdr:colOff>
      <xdr:row>36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712D27-E6D6-4D56-8ED0-2245EB01B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421821</xdr:colOff>
      <xdr:row>1</xdr:row>
      <xdr:rowOff>149678</xdr:rowOff>
    </xdr:from>
    <xdr:to>
      <xdr:col>20</xdr:col>
      <xdr:colOff>555170</xdr:colOff>
      <xdr:row>28</xdr:row>
      <xdr:rowOff>62593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B4225-DE7A-4F7E-9802-2DE4F668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296" y="311603"/>
          <a:ext cx="3181349" cy="4284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485775</xdr:colOff>
      <xdr:row>1</xdr:row>
      <xdr:rowOff>57149</xdr:rowOff>
    </xdr:from>
    <xdr:to>
      <xdr:col>31</xdr:col>
      <xdr:colOff>464910</xdr:colOff>
      <xdr:row>44</xdr:row>
      <xdr:rowOff>52887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CC7C58-9B65-46F3-9C1A-31FC019A3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0" y="219074"/>
          <a:ext cx="5465535" cy="7110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6"/>
  <sheetViews>
    <sheetView view="pageBreakPreview" zoomScale="75" zoomScaleNormal="100" zoomScaleSheetLayoutView="7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G7" sqref="G7:L149"/>
    </sheetView>
  </sheetViews>
  <sheetFormatPr defaultRowHeight="15" x14ac:dyDescent="0.25"/>
  <cols>
    <col min="1" max="1" width="6.140625" customWidth="1"/>
    <col min="2" max="2" width="9.28515625" bestFit="1" customWidth="1"/>
    <col min="3" max="3" width="15.5703125" customWidth="1"/>
    <col min="4" max="4" width="9.42578125" customWidth="1"/>
    <col min="5" max="5" width="9.140625" style="16" customWidth="1"/>
    <col min="6" max="6" width="15.5703125" style="16" customWidth="1"/>
    <col min="7" max="12" width="11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ht="18.75" x14ac:dyDescent="0.3">
      <c r="A1" s="81" t="s">
        <v>55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6" x14ac:dyDescent="0.25">
      <c r="A3" s="2" t="s">
        <v>1</v>
      </c>
      <c r="B3" s="2"/>
      <c r="C3" s="2"/>
      <c r="D3" s="2" t="s">
        <v>2</v>
      </c>
      <c r="E3" s="18"/>
      <c r="F3" s="14" t="s">
        <v>56</v>
      </c>
      <c r="G3" s="2"/>
      <c r="H3" s="3"/>
      <c r="I3" s="2"/>
      <c r="J3" s="2"/>
      <c r="K3" s="2"/>
      <c r="L3" s="2"/>
      <c r="M3" s="3"/>
      <c r="N3" s="4"/>
      <c r="O3" s="2"/>
    </row>
    <row r="4" spans="1:16" ht="15.75" thickBot="1" x14ac:dyDescent="0.3">
      <c r="A4" s="93">
        <v>43704</v>
      </c>
      <c r="B4" s="93"/>
      <c r="C4" s="2"/>
      <c r="D4" s="6"/>
      <c r="E4" s="18"/>
      <c r="F4" s="14"/>
      <c r="G4" s="2"/>
      <c r="H4" s="22" t="s">
        <v>52</v>
      </c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86" t="s">
        <v>3</v>
      </c>
      <c r="B5" s="88" t="s">
        <v>4</v>
      </c>
      <c r="C5" s="85" t="s">
        <v>5</v>
      </c>
      <c r="D5" s="85" t="s">
        <v>16</v>
      </c>
      <c r="E5" s="91" t="s">
        <v>6</v>
      </c>
      <c r="F5" s="91" t="s">
        <v>7</v>
      </c>
      <c r="G5" s="7" t="s">
        <v>17</v>
      </c>
      <c r="H5" s="85" t="s">
        <v>51</v>
      </c>
      <c r="I5" s="85"/>
      <c r="J5" s="85"/>
      <c r="K5" s="85"/>
      <c r="L5" s="85"/>
      <c r="M5" s="85"/>
      <c r="N5" s="85" t="s">
        <v>15</v>
      </c>
      <c r="O5" s="85" t="s">
        <v>18</v>
      </c>
      <c r="P5" s="82" t="s">
        <v>19</v>
      </c>
    </row>
    <row r="6" spans="1:16" ht="13.9" customHeight="1" thickBot="1" x14ac:dyDescent="0.3">
      <c r="A6" s="87"/>
      <c r="B6" s="89"/>
      <c r="C6" s="90"/>
      <c r="D6" s="90"/>
      <c r="E6" s="92"/>
      <c r="F6" s="92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0"/>
      <c r="O6" s="90"/>
      <c r="P6" s="83"/>
    </row>
    <row r="7" spans="1:16" ht="24" customHeight="1" x14ac:dyDescent="0.25">
      <c r="A7" s="10">
        <v>1</v>
      </c>
      <c r="B7" s="9">
        <v>0.34375</v>
      </c>
      <c r="C7" s="5" t="s">
        <v>20</v>
      </c>
      <c r="D7" s="5">
        <v>5</v>
      </c>
      <c r="E7" s="15"/>
      <c r="F7" s="15" t="s">
        <v>22</v>
      </c>
      <c r="G7" s="32">
        <v>9080</v>
      </c>
      <c r="H7" s="32">
        <v>11160</v>
      </c>
      <c r="I7" s="32"/>
      <c r="J7" s="32"/>
      <c r="K7" s="32"/>
      <c r="L7" s="32"/>
      <c r="M7" s="19"/>
      <c r="N7" s="17"/>
      <c r="O7" s="12"/>
      <c r="P7" s="8" t="s">
        <v>34</v>
      </c>
    </row>
    <row r="8" spans="1:16" ht="24" customHeight="1" x14ac:dyDescent="0.25">
      <c r="A8" s="10">
        <v>2</v>
      </c>
      <c r="B8" s="9">
        <v>0.34722222222222227</v>
      </c>
      <c r="C8" s="5" t="s">
        <v>20</v>
      </c>
      <c r="D8" s="5">
        <v>7</v>
      </c>
      <c r="E8" s="15"/>
      <c r="F8" s="15" t="s">
        <v>22</v>
      </c>
      <c r="G8" s="32">
        <v>1960</v>
      </c>
      <c r="H8" s="32">
        <v>1720</v>
      </c>
      <c r="I8" s="32"/>
      <c r="J8" s="32"/>
      <c r="K8" s="32"/>
      <c r="L8" s="32"/>
      <c r="M8" s="19"/>
      <c r="N8" s="17"/>
      <c r="O8" s="12"/>
      <c r="P8" s="8" t="s">
        <v>35</v>
      </c>
    </row>
    <row r="9" spans="1:16" ht="24" customHeight="1" x14ac:dyDescent="0.25">
      <c r="A9" s="10">
        <v>3</v>
      </c>
      <c r="B9" s="9">
        <v>0.34861111111111115</v>
      </c>
      <c r="C9" s="5" t="s">
        <v>20</v>
      </c>
      <c r="D9" s="5">
        <v>10</v>
      </c>
      <c r="E9" s="15"/>
      <c r="F9" s="15" t="s">
        <v>23</v>
      </c>
      <c r="G9" s="32">
        <v>7420</v>
      </c>
      <c r="H9" s="32">
        <v>3960</v>
      </c>
      <c r="I9" s="32">
        <v>3000</v>
      </c>
      <c r="J9" s="32">
        <v>4500</v>
      </c>
      <c r="K9" s="32">
        <v>3000</v>
      </c>
      <c r="L9" s="32"/>
      <c r="M9" s="19"/>
      <c r="N9" s="17"/>
      <c r="O9" s="12"/>
      <c r="P9" s="8" t="s">
        <v>35</v>
      </c>
    </row>
    <row r="10" spans="1:16" ht="24" customHeight="1" x14ac:dyDescent="0.25">
      <c r="A10" s="10">
        <v>4</v>
      </c>
      <c r="B10" s="9">
        <v>0.3520833333333333</v>
      </c>
      <c r="C10" s="5" t="s">
        <v>20</v>
      </c>
      <c r="D10" s="5">
        <v>8</v>
      </c>
      <c r="E10" s="15"/>
      <c r="F10" s="15" t="s">
        <v>22</v>
      </c>
      <c r="G10" s="32">
        <v>2020</v>
      </c>
      <c r="H10" s="32">
        <v>3940</v>
      </c>
      <c r="I10" s="32"/>
      <c r="J10" s="32"/>
      <c r="K10" s="32"/>
      <c r="L10" s="32"/>
      <c r="M10" s="13"/>
      <c r="N10" s="17"/>
      <c r="O10" s="12"/>
      <c r="P10" s="8" t="s">
        <v>35</v>
      </c>
    </row>
    <row r="11" spans="1:16" ht="24" customHeight="1" x14ac:dyDescent="0.25">
      <c r="A11" s="10">
        <v>5</v>
      </c>
      <c r="B11" s="9">
        <v>0.35347222222222219</v>
      </c>
      <c r="C11" s="5" t="s">
        <v>20</v>
      </c>
      <c r="D11" s="21">
        <v>8</v>
      </c>
      <c r="E11" s="15"/>
      <c r="F11" s="15" t="s">
        <v>22</v>
      </c>
      <c r="G11" s="32">
        <v>3980</v>
      </c>
      <c r="H11" s="32">
        <v>4340</v>
      </c>
      <c r="I11" s="32"/>
      <c r="J11" s="32"/>
      <c r="K11" s="32"/>
      <c r="L11" s="32"/>
      <c r="M11" s="13"/>
      <c r="N11" s="17"/>
      <c r="O11" s="12"/>
      <c r="P11" s="8" t="s">
        <v>35</v>
      </c>
    </row>
    <row r="12" spans="1:16" ht="24" customHeight="1" x14ac:dyDescent="0.25">
      <c r="A12" s="10">
        <v>6</v>
      </c>
      <c r="B12" s="9">
        <v>0.35625000000000001</v>
      </c>
      <c r="C12" s="5" t="s">
        <v>20</v>
      </c>
      <c r="D12" s="5">
        <v>8</v>
      </c>
      <c r="E12" s="15"/>
      <c r="F12" s="15" t="s">
        <v>22</v>
      </c>
      <c r="G12" s="32">
        <v>3200</v>
      </c>
      <c r="H12" s="32">
        <v>6700</v>
      </c>
      <c r="I12" s="32"/>
      <c r="J12" s="32"/>
      <c r="K12" s="32"/>
      <c r="L12" s="32"/>
      <c r="M12" s="13"/>
      <c r="N12" s="17"/>
      <c r="O12" s="12"/>
      <c r="P12" s="8" t="s">
        <v>35</v>
      </c>
    </row>
    <row r="13" spans="1:16" ht="24" customHeight="1" x14ac:dyDescent="0.25">
      <c r="A13" s="10">
        <v>7</v>
      </c>
      <c r="B13" s="9">
        <v>0.3576388888888889</v>
      </c>
      <c r="C13" s="5" t="s">
        <v>20</v>
      </c>
      <c r="D13" s="5">
        <v>10</v>
      </c>
      <c r="E13" s="15"/>
      <c r="F13" s="15" t="s">
        <v>24</v>
      </c>
      <c r="G13" s="32">
        <v>8120</v>
      </c>
      <c r="H13" s="32">
        <v>12440</v>
      </c>
      <c r="I13" s="32">
        <v>11520</v>
      </c>
      <c r="J13" s="32">
        <v>15560</v>
      </c>
      <c r="K13" s="32">
        <v>14720</v>
      </c>
      <c r="L13" s="32">
        <v>18460</v>
      </c>
      <c r="M13" s="13"/>
      <c r="N13" s="17"/>
      <c r="O13" s="12"/>
      <c r="P13" s="8" t="s">
        <v>36</v>
      </c>
    </row>
    <row r="14" spans="1:16" ht="24" customHeight="1" x14ac:dyDescent="0.25">
      <c r="A14" s="10">
        <v>8</v>
      </c>
      <c r="B14" s="9">
        <v>0.35902777777777778</v>
      </c>
      <c r="C14" s="5" t="s">
        <v>20</v>
      </c>
      <c r="D14" s="5">
        <v>8</v>
      </c>
      <c r="E14" s="15"/>
      <c r="F14" s="15" t="s">
        <v>22</v>
      </c>
      <c r="G14" s="32">
        <v>9180</v>
      </c>
      <c r="H14" s="32">
        <v>16520</v>
      </c>
      <c r="I14" s="32"/>
      <c r="J14" s="32"/>
      <c r="K14" s="32"/>
      <c r="L14" s="32"/>
      <c r="M14" s="13"/>
      <c r="N14" s="17"/>
      <c r="O14" s="12"/>
      <c r="P14" s="8" t="s">
        <v>37</v>
      </c>
    </row>
    <row r="15" spans="1:16" ht="24" customHeight="1" x14ac:dyDescent="0.25">
      <c r="A15" s="10">
        <v>9</v>
      </c>
      <c r="B15" s="9">
        <v>0.35972222222222222</v>
      </c>
      <c r="C15" s="5" t="s">
        <v>20</v>
      </c>
      <c r="D15" s="5">
        <v>8</v>
      </c>
      <c r="E15" s="15"/>
      <c r="F15" s="15" t="s">
        <v>22</v>
      </c>
      <c r="G15" s="32">
        <v>3160</v>
      </c>
      <c r="H15" s="32">
        <v>3400</v>
      </c>
      <c r="I15" s="32"/>
      <c r="J15" s="32"/>
      <c r="K15" s="32"/>
      <c r="L15" s="32"/>
      <c r="M15" s="13"/>
      <c r="N15" s="17"/>
      <c r="O15" s="12"/>
      <c r="P15" s="8" t="s">
        <v>35</v>
      </c>
    </row>
    <row r="16" spans="1:16" ht="24" customHeight="1" x14ac:dyDescent="0.25">
      <c r="A16" s="10">
        <v>10</v>
      </c>
      <c r="B16" s="9">
        <v>0.3659722222222222</v>
      </c>
      <c r="C16" s="5" t="s">
        <v>20</v>
      </c>
      <c r="D16" s="5">
        <v>8</v>
      </c>
      <c r="E16" s="15"/>
      <c r="F16" s="15" t="s">
        <v>22</v>
      </c>
      <c r="G16" s="32">
        <v>3360</v>
      </c>
      <c r="H16" s="32">
        <v>3220</v>
      </c>
      <c r="I16" s="32"/>
      <c r="J16" s="32"/>
      <c r="K16" s="32"/>
      <c r="L16" s="32"/>
      <c r="M16" s="13"/>
      <c r="N16" s="17"/>
      <c r="O16" s="12"/>
      <c r="P16" s="8" t="s">
        <v>35</v>
      </c>
    </row>
    <row r="17" spans="1:16" ht="24" customHeight="1" x14ac:dyDescent="0.25">
      <c r="A17" s="10">
        <v>11</v>
      </c>
      <c r="B17" s="9">
        <v>0.40833333333333338</v>
      </c>
      <c r="C17" s="5" t="s">
        <v>20</v>
      </c>
      <c r="D17" s="5">
        <v>7</v>
      </c>
      <c r="E17" s="15"/>
      <c r="F17" s="15" t="s">
        <v>22</v>
      </c>
      <c r="G17" s="32">
        <v>2620</v>
      </c>
      <c r="H17" s="32">
        <v>2860</v>
      </c>
      <c r="I17" s="32"/>
      <c r="J17" s="32"/>
      <c r="K17" s="32"/>
      <c r="L17" s="32"/>
      <c r="M17" s="13"/>
      <c r="N17" s="12"/>
      <c r="O17" s="12"/>
      <c r="P17" s="8" t="s">
        <v>38</v>
      </c>
    </row>
    <row r="18" spans="1:16" ht="24" customHeight="1" x14ac:dyDescent="0.25">
      <c r="A18" s="10">
        <v>12</v>
      </c>
      <c r="B18" s="9">
        <v>0.41111111111111115</v>
      </c>
      <c r="C18" s="5" t="s">
        <v>20</v>
      </c>
      <c r="D18" s="5">
        <v>8</v>
      </c>
      <c r="E18" s="15"/>
      <c r="F18" s="23" t="s">
        <v>22</v>
      </c>
      <c r="G18" s="32">
        <v>4320</v>
      </c>
      <c r="H18" s="32">
        <v>4960</v>
      </c>
      <c r="I18" s="32"/>
      <c r="J18" s="32"/>
      <c r="K18" s="32"/>
      <c r="L18" s="32"/>
      <c r="M18" s="13"/>
      <c r="N18" s="12"/>
      <c r="O18" s="12"/>
      <c r="P18" s="8" t="s">
        <v>34</v>
      </c>
    </row>
    <row r="19" spans="1:16" ht="24" customHeight="1" x14ac:dyDescent="0.25">
      <c r="A19" s="10">
        <v>13</v>
      </c>
      <c r="B19" s="9">
        <v>0.41319444444444442</v>
      </c>
      <c r="C19" s="5" t="s">
        <v>20</v>
      </c>
      <c r="D19" s="5">
        <v>7</v>
      </c>
      <c r="E19" s="15"/>
      <c r="F19" s="15" t="s">
        <v>22</v>
      </c>
      <c r="G19" s="32">
        <v>3100</v>
      </c>
      <c r="H19" s="32">
        <v>3560</v>
      </c>
      <c r="I19" s="32"/>
      <c r="J19" s="32"/>
      <c r="K19" s="32"/>
      <c r="L19" s="32"/>
      <c r="M19" s="13"/>
      <c r="N19" s="17"/>
      <c r="O19" s="12"/>
      <c r="P19" s="8" t="s">
        <v>39</v>
      </c>
    </row>
    <row r="20" spans="1:16" ht="24" customHeight="1" x14ac:dyDescent="0.25">
      <c r="A20" s="10">
        <v>14</v>
      </c>
      <c r="B20" s="9">
        <v>0.4145833333333333</v>
      </c>
      <c r="C20" s="5" t="s">
        <v>20</v>
      </c>
      <c r="D20" s="5">
        <v>10</v>
      </c>
      <c r="E20" s="15"/>
      <c r="F20" s="15" t="s">
        <v>24</v>
      </c>
      <c r="G20" s="32">
        <v>8920</v>
      </c>
      <c r="H20" s="32">
        <v>13580</v>
      </c>
      <c r="I20" s="32">
        <v>12780</v>
      </c>
      <c r="J20" s="32">
        <v>17960</v>
      </c>
      <c r="K20" s="32">
        <v>13940</v>
      </c>
      <c r="L20" s="32">
        <v>13540</v>
      </c>
      <c r="M20" s="13"/>
      <c r="N20" s="17"/>
      <c r="O20" s="12"/>
      <c r="P20" s="8" t="s">
        <v>40</v>
      </c>
    </row>
    <row r="21" spans="1:16" ht="24" customHeight="1" x14ac:dyDescent="0.25">
      <c r="A21" s="10">
        <v>15</v>
      </c>
      <c r="B21" s="9">
        <v>0.41666666666666669</v>
      </c>
      <c r="C21" s="5" t="s">
        <v>20</v>
      </c>
      <c r="D21" s="5">
        <v>5</v>
      </c>
      <c r="E21" s="15"/>
      <c r="F21" s="15" t="s">
        <v>22</v>
      </c>
      <c r="G21" s="32">
        <v>12140</v>
      </c>
      <c r="H21" s="32">
        <v>20260</v>
      </c>
      <c r="I21" s="32"/>
      <c r="J21" s="32"/>
      <c r="K21" s="32"/>
      <c r="L21" s="32"/>
      <c r="M21" s="13"/>
      <c r="N21" s="17"/>
      <c r="O21" s="12"/>
      <c r="P21" s="8" t="s">
        <v>34</v>
      </c>
    </row>
    <row r="22" spans="1:16" ht="24" customHeight="1" x14ac:dyDescent="0.25">
      <c r="A22" s="10">
        <v>16</v>
      </c>
      <c r="B22" s="9">
        <v>0.42152777777777778</v>
      </c>
      <c r="C22" s="5" t="s">
        <v>20</v>
      </c>
      <c r="D22" s="5">
        <v>8</v>
      </c>
      <c r="E22" s="15"/>
      <c r="F22" s="15" t="s">
        <v>22</v>
      </c>
      <c r="G22" s="32">
        <v>4060</v>
      </c>
      <c r="H22" s="32">
        <v>4340</v>
      </c>
      <c r="I22" s="32"/>
      <c r="J22" s="32"/>
      <c r="K22" s="32"/>
      <c r="L22" s="32"/>
      <c r="M22" s="13"/>
      <c r="N22" s="17"/>
      <c r="O22" s="12"/>
      <c r="P22" s="8" t="s">
        <v>35</v>
      </c>
    </row>
    <row r="23" spans="1:16" ht="24" customHeight="1" x14ac:dyDescent="0.25">
      <c r="A23" s="10">
        <v>17</v>
      </c>
      <c r="B23" s="9">
        <v>0.42291666666666666</v>
      </c>
      <c r="C23" s="5" t="s">
        <v>20</v>
      </c>
      <c r="D23" s="5">
        <v>5</v>
      </c>
      <c r="E23" s="15"/>
      <c r="F23" s="15" t="s">
        <v>22</v>
      </c>
      <c r="G23" s="32">
        <v>9320</v>
      </c>
      <c r="H23" s="32">
        <v>14300</v>
      </c>
      <c r="I23" s="32"/>
      <c r="J23" s="32"/>
      <c r="K23" s="32"/>
      <c r="L23" s="32"/>
      <c r="M23" s="13"/>
      <c r="N23" s="17"/>
      <c r="O23" s="12"/>
      <c r="P23" s="8" t="s">
        <v>34</v>
      </c>
    </row>
    <row r="24" spans="1:16" ht="24" customHeight="1" x14ac:dyDescent="0.25">
      <c r="A24" s="10">
        <v>18</v>
      </c>
      <c r="B24" s="9">
        <v>0.4236111111111111</v>
      </c>
      <c r="C24" s="5" t="s">
        <v>20</v>
      </c>
      <c r="D24" s="5">
        <v>8</v>
      </c>
      <c r="E24" s="15"/>
      <c r="F24" s="15" t="s">
        <v>22</v>
      </c>
      <c r="G24" s="32">
        <v>2880</v>
      </c>
      <c r="H24" s="32">
        <v>4360</v>
      </c>
      <c r="I24" s="32"/>
      <c r="J24" s="32"/>
      <c r="K24" s="32"/>
      <c r="L24" s="32"/>
      <c r="M24" s="13"/>
      <c r="N24" s="17"/>
      <c r="O24" s="12"/>
      <c r="P24" s="8" t="s">
        <v>34</v>
      </c>
    </row>
    <row r="25" spans="1:16" ht="24" customHeight="1" x14ac:dyDescent="0.25">
      <c r="A25" s="10">
        <v>19</v>
      </c>
      <c r="B25" s="9">
        <v>0.42430555555555555</v>
      </c>
      <c r="C25" s="5" t="s">
        <v>20</v>
      </c>
      <c r="D25" s="5">
        <v>8</v>
      </c>
      <c r="E25" s="15"/>
      <c r="F25" s="15" t="s">
        <v>22</v>
      </c>
      <c r="G25" s="32">
        <v>3780</v>
      </c>
      <c r="H25" s="32">
        <v>2860</v>
      </c>
      <c r="I25" s="32"/>
      <c r="J25" s="32"/>
      <c r="K25" s="32"/>
      <c r="L25" s="32"/>
      <c r="M25" s="13"/>
      <c r="N25" s="17"/>
      <c r="O25" s="12"/>
      <c r="P25" s="8" t="s">
        <v>35</v>
      </c>
    </row>
    <row r="26" spans="1:16" ht="24" customHeight="1" x14ac:dyDescent="0.25">
      <c r="A26" s="10">
        <v>20</v>
      </c>
      <c r="B26" s="9">
        <v>0.43055555555555558</v>
      </c>
      <c r="C26" s="5" t="s">
        <v>20</v>
      </c>
      <c r="D26" s="5">
        <v>10</v>
      </c>
      <c r="E26" s="15"/>
      <c r="F26" s="15" t="s">
        <v>25</v>
      </c>
      <c r="G26" s="32">
        <v>6800</v>
      </c>
      <c r="H26" s="32">
        <v>9200</v>
      </c>
      <c r="I26" s="32">
        <v>14600</v>
      </c>
      <c r="J26" s="32">
        <v>15200</v>
      </c>
      <c r="K26" s="32">
        <v>12700</v>
      </c>
      <c r="L26" s="32">
        <v>15620</v>
      </c>
      <c r="M26" s="13"/>
      <c r="N26" s="17"/>
      <c r="O26" s="12"/>
      <c r="P26" s="8" t="s">
        <v>40</v>
      </c>
    </row>
    <row r="27" spans="1:16" ht="24" customHeight="1" x14ac:dyDescent="0.25">
      <c r="A27" s="10">
        <v>21</v>
      </c>
      <c r="B27" s="9">
        <v>0.43888888888888888</v>
      </c>
      <c r="C27" s="5" t="s">
        <v>20</v>
      </c>
      <c r="D27" s="5">
        <v>5</v>
      </c>
      <c r="E27" s="15"/>
      <c r="F27" s="15" t="s">
        <v>22</v>
      </c>
      <c r="G27" s="32">
        <v>7780</v>
      </c>
      <c r="H27" s="32">
        <v>15500</v>
      </c>
      <c r="I27" s="32"/>
      <c r="J27" s="32"/>
      <c r="K27" s="32"/>
      <c r="L27" s="32"/>
      <c r="M27" s="13"/>
      <c r="N27" s="17"/>
      <c r="O27" s="12"/>
      <c r="P27" s="8" t="s">
        <v>34</v>
      </c>
    </row>
    <row r="28" spans="1:16" ht="24" customHeight="1" x14ac:dyDescent="0.25">
      <c r="A28" s="10">
        <v>22</v>
      </c>
      <c r="B28" s="9">
        <v>0.44791666666666669</v>
      </c>
      <c r="C28" s="5" t="s">
        <v>20</v>
      </c>
      <c r="D28" s="5">
        <v>10</v>
      </c>
      <c r="E28" s="15"/>
      <c r="F28" s="15" t="s">
        <v>26</v>
      </c>
      <c r="G28" s="32">
        <v>7080</v>
      </c>
      <c r="H28" s="32">
        <v>11500</v>
      </c>
      <c r="I28" s="32">
        <v>8520</v>
      </c>
      <c r="J28" s="32">
        <v>11880</v>
      </c>
      <c r="K28" s="32">
        <v>11580</v>
      </c>
      <c r="L28" s="32"/>
      <c r="M28" s="13"/>
      <c r="N28" s="17"/>
      <c r="O28" s="12"/>
      <c r="P28" s="8" t="s">
        <v>39</v>
      </c>
    </row>
    <row r="29" spans="1:16" ht="24" customHeight="1" x14ac:dyDescent="0.25">
      <c r="A29" s="10">
        <v>23</v>
      </c>
      <c r="B29" s="9">
        <v>0.45416666666666666</v>
      </c>
      <c r="C29" s="5" t="s">
        <v>20</v>
      </c>
      <c r="D29" s="5">
        <v>10</v>
      </c>
      <c r="E29" s="15"/>
      <c r="F29" s="15" t="s">
        <v>27</v>
      </c>
      <c r="G29" s="32">
        <v>6200</v>
      </c>
      <c r="H29" s="32">
        <v>3340</v>
      </c>
      <c r="I29" s="32">
        <v>5840</v>
      </c>
      <c r="J29" s="32">
        <v>3440</v>
      </c>
      <c r="K29" s="32">
        <v>2580</v>
      </c>
      <c r="L29" s="32">
        <v>5100</v>
      </c>
      <c r="M29" s="13"/>
      <c r="N29" s="17"/>
      <c r="O29" s="12"/>
      <c r="P29" s="8" t="s">
        <v>35</v>
      </c>
    </row>
    <row r="30" spans="1:16" ht="24" customHeight="1" x14ac:dyDescent="0.25">
      <c r="A30" s="10">
        <v>24</v>
      </c>
      <c r="B30" s="9">
        <v>0.45555555555555555</v>
      </c>
      <c r="C30" s="5" t="s">
        <v>20</v>
      </c>
      <c r="D30" s="5">
        <v>10</v>
      </c>
      <c r="E30" s="15"/>
      <c r="F30" s="15" t="s">
        <v>28</v>
      </c>
      <c r="G30" s="32">
        <v>4260</v>
      </c>
      <c r="H30" s="32">
        <v>8020</v>
      </c>
      <c r="I30" s="32">
        <v>3040</v>
      </c>
      <c r="J30" s="32">
        <v>2060</v>
      </c>
      <c r="K30" s="32">
        <v>4020</v>
      </c>
      <c r="L30" s="32">
        <v>3020</v>
      </c>
      <c r="M30" s="13">
        <v>4900</v>
      </c>
      <c r="N30" s="17"/>
      <c r="O30" s="12"/>
      <c r="P30" s="8" t="s">
        <v>35</v>
      </c>
    </row>
    <row r="31" spans="1:16" ht="24" customHeight="1" x14ac:dyDescent="0.25">
      <c r="A31" s="10">
        <v>25</v>
      </c>
      <c r="B31" s="9">
        <v>0.45763888888888887</v>
      </c>
      <c r="C31" s="5" t="s">
        <v>20</v>
      </c>
      <c r="D31" s="5">
        <v>8</v>
      </c>
      <c r="E31" s="15"/>
      <c r="F31" s="15" t="s">
        <v>22</v>
      </c>
      <c r="G31" s="32">
        <v>8140</v>
      </c>
      <c r="H31" s="32">
        <v>16040</v>
      </c>
      <c r="I31" s="32"/>
      <c r="J31" s="32"/>
      <c r="K31" s="32"/>
      <c r="L31" s="32"/>
      <c r="M31" s="13"/>
      <c r="N31" s="17"/>
      <c r="O31" s="12"/>
      <c r="P31" s="8" t="s">
        <v>41</v>
      </c>
    </row>
    <row r="32" spans="1:16" ht="24" customHeight="1" x14ac:dyDescent="0.25">
      <c r="A32" s="10">
        <v>26</v>
      </c>
      <c r="B32" s="9">
        <v>0.46527777777777773</v>
      </c>
      <c r="C32" s="5" t="s">
        <v>20</v>
      </c>
      <c r="D32" s="5">
        <v>9</v>
      </c>
      <c r="E32" s="15"/>
      <c r="F32" s="15" t="s">
        <v>29</v>
      </c>
      <c r="G32" s="32">
        <v>8640</v>
      </c>
      <c r="H32" s="32">
        <v>14800</v>
      </c>
      <c r="I32" s="32">
        <v>8560</v>
      </c>
      <c r="J32" s="32"/>
      <c r="K32" s="32"/>
      <c r="L32" s="32"/>
      <c r="M32" s="13"/>
      <c r="N32" s="17"/>
      <c r="O32" s="12"/>
      <c r="P32" s="8" t="s">
        <v>39</v>
      </c>
    </row>
    <row r="33" spans="1:16" ht="24" customHeight="1" x14ac:dyDescent="0.25">
      <c r="A33" s="10">
        <v>27</v>
      </c>
      <c r="B33" s="9">
        <v>0.46597222222222223</v>
      </c>
      <c r="C33" s="5" t="s">
        <v>20</v>
      </c>
      <c r="D33" s="5">
        <v>8</v>
      </c>
      <c r="E33" s="15"/>
      <c r="F33" s="15" t="s">
        <v>22</v>
      </c>
      <c r="G33" s="32">
        <v>5880</v>
      </c>
      <c r="H33" s="32">
        <v>15260</v>
      </c>
      <c r="I33" s="32"/>
      <c r="J33" s="32"/>
      <c r="K33" s="32"/>
      <c r="L33" s="32"/>
      <c r="M33" s="13"/>
      <c r="N33" s="17"/>
      <c r="O33" s="12"/>
      <c r="P33" s="8" t="s">
        <v>38</v>
      </c>
    </row>
    <row r="34" spans="1:16" ht="24" customHeight="1" x14ac:dyDescent="0.25">
      <c r="A34" s="10">
        <v>28</v>
      </c>
      <c r="B34" s="9">
        <v>0.46666666666666662</v>
      </c>
      <c r="C34" s="5" t="s">
        <v>20</v>
      </c>
      <c r="D34" s="5">
        <v>10</v>
      </c>
      <c r="E34" s="15"/>
      <c r="F34" s="15" t="s">
        <v>24</v>
      </c>
      <c r="G34" s="32">
        <v>6720</v>
      </c>
      <c r="H34" s="32">
        <v>10120</v>
      </c>
      <c r="I34" s="32">
        <v>6080</v>
      </c>
      <c r="J34" s="32">
        <v>8060</v>
      </c>
      <c r="K34" s="32">
        <v>7080</v>
      </c>
      <c r="L34" s="32">
        <v>8060</v>
      </c>
      <c r="M34" s="13"/>
      <c r="N34" s="17"/>
      <c r="O34" s="12"/>
      <c r="P34" s="8" t="s">
        <v>36</v>
      </c>
    </row>
    <row r="35" spans="1:16" ht="24" customHeight="1" x14ac:dyDescent="0.25">
      <c r="A35" s="10">
        <v>29</v>
      </c>
      <c r="B35" s="9">
        <v>0.46736111111111112</v>
      </c>
      <c r="C35" s="5" t="s">
        <v>20</v>
      </c>
      <c r="D35" s="5">
        <v>10</v>
      </c>
      <c r="E35" s="15"/>
      <c r="F35" s="15" t="s">
        <v>24</v>
      </c>
      <c r="G35" s="32">
        <v>7580</v>
      </c>
      <c r="H35" s="32">
        <v>6080</v>
      </c>
      <c r="I35" s="32">
        <v>6040</v>
      </c>
      <c r="J35" s="32">
        <v>7040</v>
      </c>
      <c r="K35" s="32">
        <v>7050</v>
      </c>
      <c r="L35" s="32">
        <v>7040</v>
      </c>
      <c r="M35" s="13"/>
      <c r="N35" s="17"/>
      <c r="O35" s="12"/>
      <c r="P35" s="8" t="s">
        <v>36</v>
      </c>
    </row>
    <row r="36" spans="1:16" ht="24" customHeight="1" x14ac:dyDescent="0.25">
      <c r="A36" s="10">
        <v>30</v>
      </c>
      <c r="B36" s="9">
        <v>0.4680555555555555</v>
      </c>
      <c r="C36" s="5" t="s">
        <v>20</v>
      </c>
      <c r="D36" s="5">
        <v>9</v>
      </c>
      <c r="E36" s="15"/>
      <c r="F36" s="15" t="s">
        <v>29</v>
      </c>
      <c r="G36" s="32">
        <v>7560</v>
      </c>
      <c r="H36" s="32">
        <v>7080</v>
      </c>
      <c r="I36" s="32">
        <v>6080</v>
      </c>
      <c r="J36" s="32"/>
      <c r="K36" s="32"/>
      <c r="L36" s="32"/>
      <c r="M36" s="13"/>
      <c r="N36" s="17"/>
      <c r="O36" s="12"/>
      <c r="P36" s="8" t="s">
        <v>34</v>
      </c>
    </row>
    <row r="37" spans="1:16" ht="24" customHeight="1" x14ac:dyDescent="0.25">
      <c r="A37" s="10">
        <v>31</v>
      </c>
      <c r="B37" s="9">
        <v>0.47013888888888888</v>
      </c>
      <c r="C37" s="5" t="s">
        <v>20</v>
      </c>
      <c r="D37" s="5">
        <v>10</v>
      </c>
      <c r="E37" s="15"/>
      <c r="F37" s="15" t="s">
        <v>24</v>
      </c>
      <c r="G37" s="32">
        <v>7780</v>
      </c>
      <c r="H37" s="32">
        <v>5100</v>
      </c>
      <c r="I37" s="32">
        <v>4520</v>
      </c>
      <c r="J37" s="32">
        <v>4500</v>
      </c>
      <c r="K37" s="32">
        <v>4160</v>
      </c>
      <c r="L37" s="32">
        <v>4040</v>
      </c>
      <c r="M37" s="13"/>
      <c r="N37" s="17"/>
      <c r="O37" s="12"/>
      <c r="P37" s="8" t="s">
        <v>35</v>
      </c>
    </row>
    <row r="38" spans="1:16" ht="24" customHeight="1" x14ac:dyDescent="0.25">
      <c r="A38" s="10">
        <v>32</v>
      </c>
      <c r="B38" s="9">
        <v>0.47083333333333338</v>
      </c>
      <c r="C38" s="5" t="s">
        <v>20</v>
      </c>
      <c r="D38" s="5">
        <v>10</v>
      </c>
      <c r="E38" s="15"/>
      <c r="F38" s="15" t="s">
        <v>25</v>
      </c>
      <c r="G38" s="32">
        <v>8880</v>
      </c>
      <c r="H38" s="32">
        <v>3860</v>
      </c>
      <c r="I38" s="32">
        <v>7080</v>
      </c>
      <c r="J38" s="32">
        <v>6040</v>
      </c>
      <c r="K38" s="32">
        <v>6040</v>
      </c>
      <c r="L38" s="32">
        <v>7040</v>
      </c>
      <c r="M38" s="13"/>
      <c r="N38" s="17"/>
      <c r="O38" s="12"/>
      <c r="P38" s="8" t="s">
        <v>36</v>
      </c>
    </row>
    <row r="39" spans="1:16" ht="24" customHeight="1" x14ac:dyDescent="0.25">
      <c r="A39" s="10">
        <v>33</v>
      </c>
      <c r="B39" s="9">
        <v>0.47222222222222227</v>
      </c>
      <c r="C39" s="5" t="s">
        <v>20</v>
      </c>
      <c r="D39" s="5">
        <v>5</v>
      </c>
      <c r="E39" s="15"/>
      <c r="F39" s="15" t="s">
        <v>22</v>
      </c>
      <c r="G39" s="32">
        <v>10500</v>
      </c>
      <c r="H39" s="32">
        <v>8060</v>
      </c>
      <c r="I39" s="32"/>
      <c r="J39" s="32"/>
      <c r="K39" s="32"/>
      <c r="L39" s="32"/>
      <c r="M39" s="13"/>
      <c r="N39" s="17"/>
      <c r="O39" s="12"/>
      <c r="P39" s="8" t="s">
        <v>34</v>
      </c>
    </row>
    <row r="40" spans="1:16" ht="24" customHeight="1" x14ac:dyDescent="0.25">
      <c r="A40" s="10">
        <v>34</v>
      </c>
      <c r="B40" s="9">
        <v>0.48402777777777778</v>
      </c>
      <c r="C40" s="5" t="s">
        <v>20</v>
      </c>
      <c r="D40" s="5">
        <v>9</v>
      </c>
      <c r="E40" s="15"/>
      <c r="F40" s="15" t="s">
        <v>29</v>
      </c>
      <c r="G40" s="32">
        <v>3140</v>
      </c>
      <c r="H40" s="32">
        <v>4900</v>
      </c>
      <c r="I40" s="32">
        <v>760</v>
      </c>
      <c r="J40" s="32"/>
      <c r="K40" s="32"/>
      <c r="L40" s="32"/>
      <c r="M40" s="13"/>
      <c r="N40" s="17"/>
      <c r="O40" s="12"/>
      <c r="P40" s="8" t="s">
        <v>35</v>
      </c>
    </row>
    <row r="41" spans="1:16" ht="24" customHeight="1" x14ac:dyDescent="0.25">
      <c r="A41" s="10">
        <v>35</v>
      </c>
      <c r="B41" s="9">
        <v>0.48680555555555555</v>
      </c>
      <c r="C41" s="5" t="s">
        <v>20</v>
      </c>
      <c r="D41" s="5">
        <v>10</v>
      </c>
      <c r="E41" s="15"/>
      <c r="F41" s="15" t="s">
        <v>24</v>
      </c>
      <c r="G41" s="32">
        <v>6820</v>
      </c>
      <c r="H41" s="32">
        <v>5120</v>
      </c>
      <c r="I41" s="32">
        <v>4740</v>
      </c>
      <c r="J41" s="32">
        <v>4200</v>
      </c>
      <c r="K41" s="32">
        <v>4560</v>
      </c>
      <c r="L41" s="32">
        <v>4060</v>
      </c>
      <c r="M41" s="13"/>
      <c r="N41" s="17"/>
      <c r="O41" s="12"/>
      <c r="P41" s="8" t="s">
        <v>35</v>
      </c>
    </row>
    <row r="42" spans="1:16" ht="24" customHeight="1" x14ac:dyDescent="0.25">
      <c r="A42" s="10">
        <v>36</v>
      </c>
      <c r="B42" s="9">
        <v>0.49652777777777773</v>
      </c>
      <c r="C42" s="5" t="s">
        <v>20</v>
      </c>
      <c r="D42" s="5">
        <v>10</v>
      </c>
      <c r="E42" s="15"/>
      <c r="F42" s="15" t="s">
        <v>24</v>
      </c>
      <c r="G42" s="32">
        <v>7780</v>
      </c>
      <c r="H42" s="32">
        <v>7080</v>
      </c>
      <c r="I42" s="32">
        <v>6020</v>
      </c>
      <c r="J42" s="32">
        <v>8080</v>
      </c>
      <c r="K42" s="32">
        <v>7840</v>
      </c>
      <c r="L42" s="32">
        <v>9040</v>
      </c>
      <c r="M42" s="13"/>
      <c r="N42" s="17"/>
      <c r="O42" s="12"/>
      <c r="P42" s="8" t="s">
        <v>41</v>
      </c>
    </row>
    <row r="43" spans="1:16" ht="24" customHeight="1" x14ac:dyDescent="0.25">
      <c r="A43" s="10">
        <v>37</v>
      </c>
      <c r="B43" s="9">
        <v>0.4993055555555555</v>
      </c>
      <c r="C43" s="5" t="s">
        <v>20</v>
      </c>
      <c r="D43" s="5">
        <v>5</v>
      </c>
      <c r="E43" s="15"/>
      <c r="F43" s="15" t="s">
        <v>22</v>
      </c>
      <c r="G43" s="32">
        <v>9960</v>
      </c>
      <c r="H43" s="32">
        <v>8040</v>
      </c>
      <c r="I43" s="32"/>
      <c r="J43" s="32"/>
      <c r="K43" s="32"/>
      <c r="L43" s="32"/>
      <c r="M43" s="13"/>
      <c r="N43" s="17"/>
      <c r="O43" s="12"/>
      <c r="P43" s="8" t="s">
        <v>34</v>
      </c>
    </row>
    <row r="44" spans="1:16" ht="24" customHeight="1" x14ac:dyDescent="0.25">
      <c r="A44" s="10">
        <v>38</v>
      </c>
      <c r="B44" s="9">
        <v>0.5</v>
      </c>
      <c r="C44" s="5" t="s">
        <v>20</v>
      </c>
      <c r="D44" s="5">
        <v>10</v>
      </c>
      <c r="E44" s="15"/>
      <c r="F44" s="15" t="s">
        <v>28</v>
      </c>
      <c r="G44" s="32">
        <v>9740</v>
      </c>
      <c r="H44" s="32">
        <v>6080</v>
      </c>
      <c r="I44" s="32">
        <v>6080</v>
      </c>
      <c r="J44" s="32">
        <v>8040</v>
      </c>
      <c r="K44" s="32">
        <v>8060</v>
      </c>
      <c r="L44" s="32">
        <v>9040</v>
      </c>
      <c r="M44" s="13">
        <v>7040</v>
      </c>
      <c r="N44" s="17"/>
      <c r="O44" s="12"/>
      <c r="P44" s="8" t="s">
        <v>39</v>
      </c>
    </row>
    <row r="45" spans="1:16" ht="24" customHeight="1" x14ac:dyDescent="0.25">
      <c r="A45" s="10">
        <v>39</v>
      </c>
      <c r="B45" s="9">
        <v>0.50069444444444444</v>
      </c>
      <c r="C45" s="5" t="s">
        <v>20</v>
      </c>
      <c r="D45" s="5">
        <v>5</v>
      </c>
      <c r="E45" s="15"/>
      <c r="F45" s="15" t="s">
        <v>22</v>
      </c>
      <c r="G45" s="32">
        <v>8880</v>
      </c>
      <c r="H45" s="32">
        <v>11120</v>
      </c>
      <c r="I45" s="32"/>
      <c r="J45" s="32"/>
      <c r="K45" s="32"/>
      <c r="L45" s="32"/>
      <c r="M45" s="13"/>
      <c r="N45" s="17"/>
      <c r="O45" s="12"/>
      <c r="P45" s="8" t="s">
        <v>34</v>
      </c>
    </row>
    <row r="46" spans="1:16" ht="24" customHeight="1" x14ac:dyDescent="0.25">
      <c r="A46" s="10">
        <v>40</v>
      </c>
      <c r="B46" s="9">
        <v>0.51041666666666663</v>
      </c>
      <c r="C46" s="5" t="s">
        <v>20</v>
      </c>
      <c r="D46" s="5">
        <v>8</v>
      </c>
      <c r="E46" s="15"/>
      <c r="F46" s="15" t="s">
        <v>22</v>
      </c>
      <c r="G46" s="32">
        <v>2140</v>
      </c>
      <c r="H46" s="32">
        <v>3060</v>
      </c>
      <c r="I46" s="32"/>
      <c r="J46" s="32"/>
      <c r="K46" s="32"/>
      <c r="L46" s="32"/>
      <c r="M46" s="13"/>
      <c r="N46" s="17"/>
      <c r="O46" s="12"/>
      <c r="P46" s="8" t="s">
        <v>35</v>
      </c>
    </row>
    <row r="47" spans="1:16" ht="24" customHeight="1" x14ac:dyDescent="0.25">
      <c r="A47" s="10">
        <v>41</v>
      </c>
      <c r="B47" s="9">
        <v>0.5131944444444444</v>
      </c>
      <c r="C47" s="5" t="s">
        <v>20</v>
      </c>
      <c r="D47" s="5">
        <v>8</v>
      </c>
      <c r="E47" s="15"/>
      <c r="F47" s="15" t="s">
        <v>22</v>
      </c>
      <c r="G47" s="32">
        <v>5400</v>
      </c>
      <c r="H47" s="32">
        <v>5880</v>
      </c>
      <c r="I47" s="32"/>
      <c r="J47" s="32"/>
      <c r="K47" s="32"/>
      <c r="L47" s="32"/>
      <c r="M47" s="13"/>
      <c r="N47" s="17"/>
      <c r="O47" s="12"/>
      <c r="P47" s="8" t="s">
        <v>35</v>
      </c>
    </row>
    <row r="48" spans="1:16" ht="24" customHeight="1" x14ac:dyDescent="0.25">
      <c r="A48" s="10">
        <v>42</v>
      </c>
      <c r="B48" s="9">
        <v>0.5180555555555556</v>
      </c>
      <c r="C48" s="5" t="s">
        <v>20</v>
      </c>
      <c r="D48" s="5">
        <v>10</v>
      </c>
      <c r="E48" s="15"/>
      <c r="F48" s="15" t="s">
        <v>24</v>
      </c>
      <c r="G48" s="32">
        <v>8020</v>
      </c>
      <c r="H48" s="32">
        <v>6260</v>
      </c>
      <c r="I48" s="32">
        <v>3260</v>
      </c>
      <c r="J48" s="32">
        <v>3580</v>
      </c>
      <c r="K48" s="32">
        <v>4600</v>
      </c>
      <c r="L48" s="32">
        <v>4860</v>
      </c>
      <c r="M48" s="13"/>
      <c r="N48" s="17"/>
      <c r="O48" s="12"/>
      <c r="P48" s="8" t="s">
        <v>35</v>
      </c>
    </row>
    <row r="49" spans="1:16" ht="24" customHeight="1" x14ac:dyDescent="0.25">
      <c r="A49" s="10">
        <v>43</v>
      </c>
      <c r="B49" s="9">
        <v>0.52013888888888882</v>
      </c>
      <c r="C49" s="5" t="s">
        <v>20</v>
      </c>
      <c r="D49" s="5">
        <v>10</v>
      </c>
      <c r="E49" s="15"/>
      <c r="F49" s="15" t="s">
        <v>28</v>
      </c>
      <c r="G49" s="32">
        <v>7540</v>
      </c>
      <c r="H49" s="32">
        <v>5920</v>
      </c>
      <c r="I49" s="32">
        <v>6360</v>
      </c>
      <c r="J49" s="32">
        <v>5100</v>
      </c>
      <c r="K49" s="32">
        <v>3960</v>
      </c>
      <c r="L49" s="32">
        <v>3960</v>
      </c>
      <c r="M49" s="13">
        <v>4200</v>
      </c>
      <c r="N49" s="17"/>
      <c r="O49" s="12"/>
      <c r="P49" s="8" t="s">
        <v>35</v>
      </c>
    </row>
    <row r="50" spans="1:16" ht="24" customHeight="1" x14ac:dyDescent="0.25">
      <c r="A50" s="10">
        <v>44</v>
      </c>
      <c r="B50" s="9">
        <v>0.52638888888888891</v>
      </c>
      <c r="C50" s="5" t="s">
        <v>20</v>
      </c>
      <c r="D50" s="5">
        <v>10</v>
      </c>
      <c r="E50" s="15"/>
      <c r="F50" s="15" t="s">
        <v>24</v>
      </c>
      <c r="G50" s="32">
        <v>8140</v>
      </c>
      <c r="H50" s="32">
        <v>11780</v>
      </c>
      <c r="I50" s="32">
        <v>10980</v>
      </c>
      <c r="J50" s="32">
        <v>10640</v>
      </c>
      <c r="K50" s="32">
        <v>9880</v>
      </c>
      <c r="L50" s="32">
        <v>9840</v>
      </c>
      <c r="M50" s="13"/>
      <c r="N50" s="12"/>
      <c r="O50" s="12"/>
      <c r="P50" s="8" t="s">
        <v>36</v>
      </c>
    </row>
    <row r="51" spans="1:16" ht="24" customHeight="1" x14ac:dyDescent="0.25">
      <c r="A51" s="10">
        <v>45</v>
      </c>
      <c r="B51" s="9">
        <v>0.52777777777777779</v>
      </c>
      <c r="C51" s="5" t="s">
        <v>20</v>
      </c>
      <c r="D51" s="5">
        <v>10</v>
      </c>
      <c r="E51" s="15"/>
      <c r="F51" s="15" t="s">
        <v>30</v>
      </c>
      <c r="G51" s="32">
        <v>5800</v>
      </c>
      <c r="H51" s="32">
        <v>5820</v>
      </c>
      <c r="I51" s="32">
        <v>6120</v>
      </c>
      <c r="J51" s="32">
        <v>820</v>
      </c>
      <c r="K51" s="32"/>
      <c r="L51" s="32"/>
      <c r="M51" s="13"/>
      <c r="N51" s="12"/>
      <c r="O51" s="12"/>
      <c r="P51" s="8" t="s">
        <v>35</v>
      </c>
    </row>
    <row r="52" spans="1:16" ht="24" customHeight="1" x14ac:dyDescent="0.25">
      <c r="A52" s="10">
        <v>46</v>
      </c>
      <c r="B52" s="9">
        <v>0.52847222222222223</v>
      </c>
      <c r="C52" s="5" t="s">
        <v>20</v>
      </c>
      <c r="D52" s="5">
        <v>5</v>
      </c>
      <c r="E52" s="15"/>
      <c r="F52" s="15" t="s">
        <v>31</v>
      </c>
      <c r="G52" s="32">
        <v>9960</v>
      </c>
      <c r="H52" s="32">
        <v>15080</v>
      </c>
      <c r="I52" s="32">
        <v>5500</v>
      </c>
      <c r="J52" s="32"/>
      <c r="K52" s="32"/>
      <c r="L52" s="32"/>
      <c r="M52" s="13"/>
      <c r="N52" s="12"/>
      <c r="O52" s="12"/>
      <c r="P52" s="8" t="s">
        <v>34</v>
      </c>
    </row>
    <row r="53" spans="1:16" ht="24" customHeight="1" x14ac:dyDescent="0.25">
      <c r="A53" s="10">
        <v>47</v>
      </c>
      <c r="B53" s="9">
        <v>0.52916666666666667</v>
      </c>
      <c r="C53" s="5" t="s">
        <v>20</v>
      </c>
      <c r="D53" s="5">
        <v>9</v>
      </c>
      <c r="E53" s="15"/>
      <c r="F53" s="15" t="s">
        <v>29</v>
      </c>
      <c r="G53" s="32">
        <v>6780</v>
      </c>
      <c r="H53" s="32">
        <v>10840</v>
      </c>
      <c r="I53" s="32">
        <v>10620</v>
      </c>
      <c r="J53" s="32"/>
      <c r="K53" s="32"/>
      <c r="L53" s="32"/>
      <c r="M53" s="13"/>
      <c r="N53" s="12"/>
      <c r="O53" s="12"/>
      <c r="P53" s="8" t="s">
        <v>40</v>
      </c>
    </row>
    <row r="54" spans="1:16" ht="24" customHeight="1" x14ac:dyDescent="0.25">
      <c r="A54" s="10">
        <v>48</v>
      </c>
      <c r="B54" s="9">
        <v>0.53194444444444444</v>
      </c>
      <c r="C54" s="5" t="s">
        <v>20</v>
      </c>
      <c r="D54" s="5">
        <v>9</v>
      </c>
      <c r="E54" s="15"/>
      <c r="F54" s="15" t="s">
        <v>29</v>
      </c>
      <c r="G54" s="32">
        <v>6000</v>
      </c>
      <c r="H54" s="32">
        <v>4480</v>
      </c>
      <c r="I54" s="32">
        <v>4600</v>
      </c>
      <c r="J54" s="32"/>
      <c r="K54" s="32"/>
      <c r="L54" s="32"/>
      <c r="M54" s="13"/>
      <c r="N54" s="12"/>
      <c r="O54" s="12"/>
      <c r="P54" s="8" t="s">
        <v>35</v>
      </c>
    </row>
    <row r="55" spans="1:16" ht="24" customHeight="1" x14ac:dyDescent="0.25">
      <c r="A55" s="10">
        <v>49</v>
      </c>
      <c r="B55" s="9">
        <v>0.53541666666666665</v>
      </c>
      <c r="C55" s="5" t="s">
        <v>21</v>
      </c>
      <c r="D55" s="5">
        <v>10</v>
      </c>
      <c r="E55" s="15"/>
      <c r="F55" s="15" t="s">
        <v>24</v>
      </c>
      <c r="G55" s="32">
        <v>8640</v>
      </c>
      <c r="H55" s="32">
        <v>10860</v>
      </c>
      <c r="I55" s="32">
        <v>15120</v>
      </c>
      <c r="J55" s="32">
        <v>11040</v>
      </c>
      <c r="K55" s="32">
        <v>9040</v>
      </c>
      <c r="L55" s="32">
        <v>10480</v>
      </c>
      <c r="M55" s="13"/>
      <c r="N55" s="12"/>
      <c r="O55" s="12"/>
      <c r="P55" s="8" t="s">
        <v>42</v>
      </c>
    </row>
    <row r="56" spans="1:16" ht="24" customHeight="1" x14ac:dyDescent="0.25">
      <c r="A56" s="10">
        <v>50</v>
      </c>
      <c r="B56" s="9">
        <v>0.53611111111111109</v>
      </c>
      <c r="C56" s="5" t="s">
        <v>21</v>
      </c>
      <c r="D56" s="5">
        <v>10</v>
      </c>
      <c r="E56" s="15"/>
      <c r="F56" s="15" t="s">
        <v>25</v>
      </c>
      <c r="G56" s="32">
        <v>7620</v>
      </c>
      <c r="H56" s="32">
        <v>5520</v>
      </c>
      <c r="I56" s="32">
        <v>10120</v>
      </c>
      <c r="J56" s="32">
        <v>9060</v>
      </c>
      <c r="K56" s="32">
        <v>9480</v>
      </c>
      <c r="L56" s="32">
        <v>11540</v>
      </c>
      <c r="M56" s="13"/>
      <c r="N56" s="12"/>
      <c r="O56" s="12"/>
      <c r="P56" s="8" t="s">
        <v>42</v>
      </c>
    </row>
    <row r="57" spans="1:16" ht="24" customHeight="1" x14ac:dyDescent="0.25">
      <c r="A57" s="10">
        <v>51</v>
      </c>
      <c r="B57" s="9">
        <v>0.53680555555555554</v>
      </c>
      <c r="C57" s="5" t="s">
        <v>20</v>
      </c>
      <c r="D57" s="5">
        <v>10</v>
      </c>
      <c r="E57" s="15"/>
      <c r="F57" s="15" t="s">
        <v>32</v>
      </c>
      <c r="G57" s="32">
        <v>10340</v>
      </c>
      <c r="H57" s="32">
        <v>11480</v>
      </c>
      <c r="I57" s="32">
        <v>13680</v>
      </c>
      <c r="J57" s="32">
        <v>12020</v>
      </c>
      <c r="K57" s="32"/>
      <c r="L57" s="32"/>
      <c r="M57" s="13"/>
      <c r="N57" s="12"/>
      <c r="O57" s="12"/>
      <c r="P57" s="8" t="s">
        <v>36</v>
      </c>
    </row>
    <row r="58" spans="1:16" ht="24" customHeight="1" x14ac:dyDescent="0.25">
      <c r="A58" s="10">
        <v>52</v>
      </c>
      <c r="B58" s="9">
        <v>0.53819444444444442</v>
      </c>
      <c r="C58" s="5" t="s">
        <v>20</v>
      </c>
      <c r="D58" s="5">
        <v>10</v>
      </c>
      <c r="E58" s="15"/>
      <c r="F58" s="15" t="s">
        <v>23</v>
      </c>
      <c r="G58" s="32">
        <v>6680</v>
      </c>
      <c r="H58" s="32">
        <v>4780</v>
      </c>
      <c r="I58" s="32">
        <v>4020</v>
      </c>
      <c r="J58" s="32">
        <v>3640</v>
      </c>
      <c r="K58" s="32">
        <v>2700</v>
      </c>
      <c r="L58" s="32">
        <v>3780</v>
      </c>
      <c r="M58" s="13"/>
      <c r="N58" s="12"/>
      <c r="O58" s="12"/>
      <c r="P58" s="8" t="s">
        <v>35</v>
      </c>
    </row>
    <row r="59" spans="1:16" ht="24" customHeight="1" x14ac:dyDescent="0.25">
      <c r="A59" s="10">
        <v>53</v>
      </c>
      <c r="B59" s="9">
        <v>4.5833333333333337E-2</v>
      </c>
      <c r="C59" s="5" t="s">
        <v>20</v>
      </c>
      <c r="D59" s="5">
        <v>10</v>
      </c>
      <c r="E59" s="15"/>
      <c r="F59" s="15" t="s">
        <v>25</v>
      </c>
      <c r="G59" s="32">
        <v>6200</v>
      </c>
      <c r="H59" s="32">
        <v>3560</v>
      </c>
      <c r="I59" s="32">
        <v>5540</v>
      </c>
      <c r="J59" s="32">
        <v>3080</v>
      </c>
      <c r="K59" s="32">
        <v>2480</v>
      </c>
      <c r="L59" s="32">
        <v>3680</v>
      </c>
      <c r="M59" s="13"/>
      <c r="N59" s="12"/>
      <c r="O59" s="12"/>
      <c r="P59" s="8" t="s">
        <v>35</v>
      </c>
    </row>
    <row r="60" spans="1:16" ht="24" customHeight="1" x14ac:dyDescent="0.25">
      <c r="A60" s="10">
        <v>54</v>
      </c>
      <c r="B60" s="9">
        <v>4.7222222222222221E-2</v>
      </c>
      <c r="C60" s="5" t="s">
        <v>20</v>
      </c>
      <c r="D60" s="5">
        <v>10</v>
      </c>
      <c r="E60" s="15"/>
      <c r="F60" s="15" t="s">
        <v>32</v>
      </c>
      <c r="G60" s="32">
        <v>11200</v>
      </c>
      <c r="H60" s="32">
        <v>8840</v>
      </c>
      <c r="I60" s="32">
        <v>12460</v>
      </c>
      <c r="J60" s="32">
        <v>10280</v>
      </c>
      <c r="K60" s="32"/>
      <c r="L60" s="32"/>
      <c r="M60" s="13"/>
      <c r="N60" s="12"/>
      <c r="O60" s="12"/>
      <c r="P60" s="8" t="s">
        <v>40</v>
      </c>
    </row>
    <row r="61" spans="1:16" ht="24" customHeight="1" x14ac:dyDescent="0.25">
      <c r="A61" s="10">
        <v>55</v>
      </c>
      <c r="B61" s="9">
        <v>5.486111111111111E-2</v>
      </c>
      <c r="C61" s="5" t="s">
        <v>20</v>
      </c>
      <c r="D61" s="5">
        <v>8</v>
      </c>
      <c r="E61" s="15"/>
      <c r="F61" s="15" t="s">
        <v>22</v>
      </c>
      <c r="G61" s="32">
        <v>3120</v>
      </c>
      <c r="H61" s="32">
        <v>4180</v>
      </c>
      <c r="I61" s="32"/>
      <c r="J61" s="32"/>
      <c r="K61" s="32"/>
      <c r="L61" s="32"/>
      <c r="M61" s="13"/>
      <c r="N61" s="12"/>
      <c r="O61" s="12"/>
      <c r="P61" s="8" t="s">
        <v>35</v>
      </c>
    </row>
    <row r="62" spans="1:16" ht="24" customHeight="1" x14ac:dyDescent="0.25">
      <c r="A62" s="10">
        <v>56</v>
      </c>
      <c r="B62" s="9">
        <v>5.7638888888888885E-2</v>
      </c>
      <c r="C62" s="5" t="s">
        <v>20</v>
      </c>
      <c r="D62" s="5">
        <v>10</v>
      </c>
      <c r="E62" s="15"/>
      <c r="F62" s="15" t="s">
        <v>32</v>
      </c>
      <c r="G62" s="32">
        <v>10960</v>
      </c>
      <c r="H62" s="32">
        <v>9240</v>
      </c>
      <c r="I62" s="32">
        <v>12640</v>
      </c>
      <c r="J62" s="32">
        <v>8080</v>
      </c>
      <c r="K62" s="32"/>
      <c r="L62" s="32"/>
      <c r="M62" s="13"/>
      <c r="N62" s="12"/>
      <c r="O62" s="12"/>
      <c r="P62" s="8" t="s">
        <v>39</v>
      </c>
    </row>
    <row r="63" spans="1:16" ht="24" customHeight="1" x14ac:dyDescent="0.25">
      <c r="A63" s="10">
        <v>57</v>
      </c>
      <c r="B63" s="9">
        <v>5.9027777777777783E-2</v>
      </c>
      <c r="C63" s="5" t="s">
        <v>20</v>
      </c>
      <c r="D63" s="5">
        <v>9</v>
      </c>
      <c r="E63" s="15"/>
      <c r="F63" s="15" t="s">
        <v>29</v>
      </c>
      <c r="G63" s="32">
        <v>6500</v>
      </c>
      <c r="H63" s="32">
        <v>6100</v>
      </c>
      <c r="I63" s="32">
        <v>4600</v>
      </c>
      <c r="J63" s="32"/>
      <c r="K63" s="32"/>
      <c r="L63" s="32"/>
      <c r="M63" s="13"/>
      <c r="N63" s="12"/>
      <c r="O63" s="12"/>
      <c r="P63" s="8" t="s">
        <v>34</v>
      </c>
    </row>
    <row r="64" spans="1:16" ht="24" customHeight="1" x14ac:dyDescent="0.25">
      <c r="A64" s="10">
        <v>58</v>
      </c>
      <c r="B64" s="9">
        <v>6.1805555555555558E-2</v>
      </c>
      <c r="C64" s="5" t="s">
        <v>20</v>
      </c>
      <c r="D64" s="5">
        <v>8</v>
      </c>
      <c r="E64" s="15"/>
      <c r="F64" s="15" t="s">
        <v>22</v>
      </c>
      <c r="G64" s="32">
        <v>6420</v>
      </c>
      <c r="H64" s="32">
        <v>6040</v>
      </c>
      <c r="I64" s="32"/>
      <c r="J64" s="32"/>
      <c r="K64" s="32"/>
      <c r="L64" s="32"/>
      <c r="M64" s="13"/>
      <c r="N64" s="12"/>
      <c r="O64" s="12"/>
      <c r="P64" s="8" t="s">
        <v>38</v>
      </c>
    </row>
    <row r="65" spans="1:16" ht="24" customHeight="1" x14ac:dyDescent="0.25">
      <c r="A65" s="10">
        <v>59</v>
      </c>
      <c r="B65" s="9">
        <v>6.3888888888888884E-2</v>
      </c>
      <c r="C65" s="5" t="s">
        <v>20</v>
      </c>
      <c r="D65" s="5">
        <v>10</v>
      </c>
      <c r="E65" s="15"/>
      <c r="F65" s="15" t="s">
        <v>24</v>
      </c>
      <c r="G65" s="32">
        <v>7060</v>
      </c>
      <c r="H65" s="32">
        <v>5060</v>
      </c>
      <c r="I65" s="32">
        <v>4060</v>
      </c>
      <c r="J65" s="32">
        <v>5040</v>
      </c>
      <c r="K65" s="32">
        <v>4080</v>
      </c>
      <c r="L65" s="32">
        <v>4920</v>
      </c>
      <c r="M65" s="13"/>
      <c r="N65" s="12"/>
      <c r="O65" s="12"/>
      <c r="P65" s="8" t="s">
        <v>35</v>
      </c>
    </row>
    <row r="66" spans="1:16" ht="24" customHeight="1" x14ac:dyDescent="0.25">
      <c r="A66" s="10">
        <v>60</v>
      </c>
      <c r="B66" s="9">
        <v>7.5694444444444439E-2</v>
      </c>
      <c r="C66" s="5" t="s">
        <v>20</v>
      </c>
      <c r="D66" s="5">
        <v>10</v>
      </c>
      <c r="E66" s="15"/>
      <c r="F66" s="15" t="s">
        <v>25</v>
      </c>
      <c r="G66" s="32">
        <v>7200</v>
      </c>
      <c r="H66" s="32">
        <v>3200</v>
      </c>
      <c r="I66" s="32">
        <v>5240</v>
      </c>
      <c r="J66" s="32">
        <v>4420</v>
      </c>
      <c r="K66" s="32">
        <v>3340</v>
      </c>
      <c r="L66" s="32">
        <v>3400</v>
      </c>
      <c r="M66" s="13"/>
      <c r="N66" s="12"/>
      <c r="O66" s="12"/>
      <c r="P66" s="8" t="s">
        <v>35</v>
      </c>
    </row>
    <row r="67" spans="1:16" ht="24" customHeight="1" x14ac:dyDescent="0.25">
      <c r="A67" s="10">
        <v>61</v>
      </c>
      <c r="B67" s="9">
        <v>9.7222222222222224E-2</v>
      </c>
      <c r="C67" s="5" t="s">
        <v>20</v>
      </c>
      <c r="D67" s="5">
        <v>5</v>
      </c>
      <c r="E67" s="15"/>
      <c r="F67" s="15" t="s">
        <v>22</v>
      </c>
      <c r="G67" s="32">
        <v>5860</v>
      </c>
      <c r="H67" s="32">
        <v>10260</v>
      </c>
      <c r="I67" s="32"/>
      <c r="J67" s="32"/>
      <c r="K67" s="32"/>
      <c r="L67" s="32"/>
      <c r="M67" s="13"/>
      <c r="N67" s="12"/>
      <c r="O67" s="12"/>
      <c r="P67" s="8" t="s">
        <v>34</v>
      </c>
    </row>
    <row r="68" spans="1:16" ht="24" customHeight="1" x14ac:dyDescent="0.25">
      <c r="A68" s="10">
        <v>62</v>
      </c>
      <c r="B68" s="9">
        <v>0.10486111111111111</v>
      </c>
      <c r="C68" s="5" t="s">
        <v>20</v>
      </c>
      <c r="D68" s="5">
        <v>8</v>
      </c>
      <c r="E68" s="15"/>
      <c r="F68" s="15" t="s">
        <v>22</v>
      </c>
      <c r="G68" s="32">
        <v>6900</v>
      </c>
      <c r="H68" s="32">
        <v>12220</v>
      </c>
      <c r="I68" s="32"/>
      <c r="J68" s="32"/>
      <c r="K68" s="32"/>
      <c r="L68" s="32"/>
      <c r="M68" s="13"/>
      <c r="N68" s="12"/>
      <c r="O68" s="12"/>
      <c r="P68" s="8" t="s">
        <v>39</v>
      </c>
    </row>
    <row r="69" spans="1:16" ht="24" customHeight="1" x14ac:dyDescent="0.25">
      <c r="A69" s="10">
        <v>63</v>
      </c>
      <c r="B69" s="9">
        <v>0.10902777777777778</v>
      </c>
      <c r="C69" s="5" t="s">
        <v>20</v>
      </c>
      <c r="D69" s="5">
        <v>9</v>
      </c>
      <c r="E69" s="15"/>
      <c r="F69" s="15" t="s">
        <v>29</v>
      </c>
      <c r="G69" s="32">
        <v>5860</v>
      </c>
      <c r="H69" s="32">
        <v>4900</v>
      </c>
      <c r="I69" s="32">
        <v>4680</v>
      </c>
      <c r="J69" s="32"/>
      <c r="K69" s="32"/>
      <c r="L69" s="32"/>
      <c r="M69" s="13"/>
      <c r="N69" s="12"/>
      <c r="O69" s="12"/>
      <c r="P69" s="8" t="s">
        <v>35</v>
      </c>
    </row>
    <row r="70" spans="1:16" ht="24" customHeight="1" x14ac:dyDescent="0.25">
      <c r="A70" s="10">
        <v>64</v>
      </c>
      <c r="B70" s="9">
        <v>0.10972222222222222</v>
      </c>
      <c r="C70" s="5" t="s">
        <v>20</v>
      </c>
      <c r="D70" s="5">
        <v>8</v>
      </c>
      <c r="E70" s="15"/>
      <c r="F70" s="15" t="s">
        <v>22</v>
      </c>
      <c r="G70" s="32">
        <v>2760</v>
      </c>
      <c r="H70" s="32">
        <v>3660</v>
      </c>
      <c r="I70" s="32"/>
      <c r="J70" s="32"/>
      <c r="K70" s="32"/>
      <c r="L70" s="32"/>
      <c r="M70" s="13"/>
      <c r="N70" s="12"/>
      <c r="O70" s="12"/>
      <c r="P70" s="8" t="s">
        <v>40</v>
      </c>
    </row>
    <row r="71" spans="1:16" ht="24" customHeight="1" x14ac:dyDescent="0.25">
      <c r="A71" s="10">
        <v>65</v>
      </c>
      <c r="B71" s="9">
        <v>0.1111111111111111</v>
      </c>
      <c r="C71" s="5" t="s">
        <v>20</v>
      </c>
      <c r="D71" s="5">
        <v>5</v>
      </c>
      <c r="E71" s="15"/>
      <c r="F71" s="15" t="s">
        <v>22</v>
      </c>
      <c r="G71" s="32">
        <v>10340</v>
      </c>
      <c r="H71" s="32">
        <v>12780</v>
      </c>
      <c r="I71" s="32"/>
      <c r="J71" s="32"/>
      <c r="K71" s="32"/>
      <c r="L71" s="32"/>
      <c r="M71" s="13"/>
      <c r="N71" s="12"/>
      <c r="O71" s="12"/>
      <c r="P71" s="8" t="s">
        <v>34</v>
      </c>
    </row>
    <row r="72" spans="1:16" ht="24" customHeight="1" x14ac:dyDescent="0.25">
      <c r="A72" s="10">
        <v>66</v>
      </c>
      <c r="B72" s="9">
        <v>0.11527777777777777</v>
      </c>
      <c r="C72" s="5" t="s">
        <v>20</v>
      </c>
      <c r="D72" s="5">
        <v>8</v>
      </c>
      <c r="E72" s="15"/>
      <c r="F72" s="15" t="s">
        <v>22</v>
      </c>
      <c r="G72" s="32">
        <v>2700</v>
      </c>
      <c r="H72" s="32">
        <v>5000</v>
      </c>
      <c r="I72" s="32"/>
      <c r="J72" s="32"/>
      <c r="K72" s="32"/>
      <c r="L72" s="32"/>
      <c r="M72" s="13"/>
      <c r="N72" s="12"/>
      <c r="O72" s="12"/>
      <c r="P72" s="8" t="s">
        <v>35</v>
      </c>
    </row>
    <row r="73" spans="1:16" ht="24" customHeight="1" x14ac:dyDescent="0.25">
      <c r="A73" s="10">
        <v>67</v>
      </c>
      <c r="B73" s="9">
        <v>0.11597222222222221</v>
      </c>
      <c r="C73" s="5" t="s">
        <v>20</v>
      </c>
      <c r="D73" s="5">
        <v>8</v>
      </c>
      <c r="E73" s="15"/>
      <c r="F73" s="15" t="s">
        <v>22</v>
      </c>
      <c r="G73" s="32">
        <v>3880</v>
      </c>
      <c r="H73" s="32">
        <v>4380</v>
      </c>
      <c r="I73" s="32"/>
      <c r="J73" s="32"/>
      <c r="K73" s="32"/>
      <c r="L73" s="32"/>
      <c r="M73" s="13"/>
      <c r="N73" s="12"/>
      <c r="O73" s="12"/>
      <c r="P73" s="8" t="s">
        <v>35</v>
      </c>
    </row>
    <row r="74" spans="1:16" ht="24" customHeight="1" x14ac:dyDescent="0.25">
      <c r="A74" s="10">
        <v>68</v>
      </c>
      <c r="B74" s="9">
        <v>0.13055555555555556</v>
      </c>
      <c r="C74" s="5" t="s">
        <v>20</v>
      </c>
      <c r="D74" s="5">
        <v>10</v>
      </c>
      <c r="E74" s="15"/>
      <c r="F74" s="15" t="s">
        <v>24</v>
      </c>
      <c r="G74" s="32">
        <v>6340</v>
      </c>
      <c r="H74" s="32">
        <v>6960</v>
      </c>
      <c r="I74" s="32">
        <v>3140</v>
      </c>
      <c r="J74" s="32">
        <v>3740</v>
      </c>
      <c r="K74" s="32">
        <v>3120</v>
      </c>
      <c r="L74" s="32">
        <v>3660</v>
      </c>
      <c r="M74" s="13"/>
      <c r="N74" s="12"/>
      <c r="O74" s="12"/>
      <c r="P74" s="8" t="s">
        <v>35</v>
      </c>
    </row>
    <row r="75" spans="1:16" ht="24" customHeight="1" x14ac:dyDescent="0.25">
      <c r="A75" s="10">
        <v>69</v>
      </c>
      <c r="B75" s="9">
        <v>0.13472222222222222</v>
      </c>
      <c r="C75" s="5" t="s">
        <v>20</v>
      </c>
      <c r="D75" s="5">
        <v>8</v>
      </c>
      <c r="E75" s="15"/>
      <c r="F75" s="15" t="s">
        <v>22</v>
      </c>
      <c r="G75" s="32">
        <v>3980</v>
      </c>
      <c r="H75" s="32">
        <v>8480</v>
      </c>
      <c r="I75" s="32"/>
      <c r="J75" s="32"/>
      <c r="K75" s="32"/>
      <c r="L75" s="32"/>
      <c r="M75" s="13"/>
      <c r="N75" s="12"/>
      <c r="O75" s="12"/>
      <c r="P75" s="8" t="s">
        <v>36</v>
      </c>
    </row>
    <row r="76" spans="1:16" ht="24" customHeight="1" x14ac:dyDescent="0.25">
      <c r="A76" s="10">
        <v>70</v>
      </c>
      <c r="B76" s="9">
        <v>0.13958333333333334</v>
      </c>
      <c r="C76" s="5" t="s">
        <v>20</v>
      </c>
      <c r="D76" s="5">
        <v>5</v>
      </c>
      <c r="E76" s="15"/>
      <c r="F76" s="15" t="s">
        <v>22</v>
      </c>
      <c r="G76" s="32">
        <v>12180</v>
      </c>
      <c r="H76" s="32">
        <v>19980</v>
      </c>
      <c r="I76" s="32"/>
      <c r="J76" s="32"/>
      <c r="K76" s="32"/>
      <c r="L76" s="32"/>
      <c r="M76" s="13"/>
      <c r="N76" s="12"/>
      <c r="O76" s="12"/>
      <c r="P76" s="8" t="s">
        <v>34</v>
      </c>
    </row>
    <row r="77" spans="1:16" ht="24" customHeight="1" x14ac:dyDescent="0.25">
      <c r="A77" s="10">
        <v>71</v>
      </c>
      <c r="B77" s="9">
        <v>0.14375000000000002</v>
      </c>
      <c r="C77" s="5" t="s">
        <v>20</v>
      </c>
      <c r="D77" s="5">
        <v>8</v>
      </c>
      <c r="E77" s="15"/>
      <c r="F77" s="15" t="s">
        <v>22</v>
      </c>
      <c r="G77" s="32">
        <v>3180</v>
      </c>
      <c r="H77" s="32">
        <v>4020</v>
      </c>
      <c r="I77" s="32"/>
      <c r="J77" s="32"/>
      <c r="K77" s="32"/>
      <c r="L77" s="32"/>
      <c r="M77" s="13"/>
      <c r="N77" s="12"/>
      <c r="O77" s="12"/>
      <c r="P77" s="8" t="s">
        <v>35</v>
      </c>
    </row>
    <row r="78" spans="1:16" ht="24" customHeight="1" x14ac:dyDescent="0.25">
      <c r="A78" s="10">
        <v>72</v>
      </c>
      <c r="B78" s="9">
        <v>0.14444444444444446</v>
      </c>
      <c r="C78" s="5" t="s">
        <v>20</v>
      </c>
      <c r="D78" s="5">
        <v>9</v>
      </c>
      <c r="E78" s="15"/>
      <c r="F78" s="15" t="s">
        <v>29</v>
      </c>
      <c r="G78" s="32">
        <v>5580</v>
      </c>
      <c r="H78" s="32">
        <v>5420</v>
      </c>
      <c r="I78" s="32">
        <v>4520</v>
      </c>
      <c r="J78" s="32"/>
      <c r="K78" s="32"/>
      <c r="L78" s="32"/>
      <c r="M78" s="13"/>
      <c r="N78" s="12"/>
      <c r="O78" s="12"/>
      <c r="P78" s="8" t="s">
        <v>35</v>
      </c>
    </row>
    <row r="79" spans="1:16" ht="24" customHeight="1" x14ac:dyDescent="0.25">
      <c r="A79" s="10">
        <v>73</v>
      </c>
      <c r="B79" s="9">
        <v>0.14583333333333334</v>
      </c>
      <c r="C79" s="5" t="s">
        <v>20</v>
      </c>
      <c r="D79" s="5">
        <v>5</v>
      </c>
      <c r="E79" s="15"/>
      <c r="F79" s="15" t="s">
        <v>22</v>
      </c>
      <c r="G79" s="32">
        <v>9120</v>
      </c>
      <c r="H79" s="32">
        <v>17860</v>
      </c>
      <c r="I79" s="32"/>
      <c r="J79" s="32"/>
      <c r="K79" s="32"/>
      <c r="L79" s="32"/>
      <c r="M79" s="13"/>
      <c r="N79" s="12"/>
      <c r="O79" s="12"/>
      <c r="P79" s="8" t="s">
        <v>34</v>
      </c>
    </row>
    <row r="80" spans="1:16" ht="24" customHeight="1" x14ac:dyDescent="0.25">
      <c r="A80" s="10">
        <v>74</v>
      </c>
      <c r="B80" s="9">
        <v>0.14652777777777778</v>
      </c>
      <c r="C80" s="5" t="s">
        <v>20</v>
      </c>
      <c r="D80" s="5">
        <v>8</v>
      </c>
      <c r="E80" s="15"/>
      <c r="F80" s="15" t="s">
        <v>22</v>
      </c>
      <c r="G80" s="32">
        <v>6820</v>
      </c>
      <c r="H80" s="32">
        <v>10200</v>
      </c>
      <c r="I80" s="32"/>
      <c r="J80" s="32"/>
      <c r="K80" s="32"/>
      <c r="L80" s="32"/>
      <c r="M80" s="13"/>
      <c r="N80" s="12"/>
      <c r="O80" s="12"/>
      <c r="P80" s="8" t="s">
        <v>34</v>
      </c>
    </row>
    <row r="81" spans="1:16" ht="24" customHeight="1" x14ac:dyDescent="0.25">
      <c r="A81" s="10">
        <v>75</v>
      </c>
      <c r="B81" s="9">
        <v>0.14791666666666667</v>
      </c>
      <c r="C81" s="5" t="s">
        <v>20</v>
      </c>
      <c r="D81" s="5">
        <v>8</v>
      </c>
      <c r="E81" s="15"/>
      <c r="F81" s="15" t="s">
        <v>22</v>
      </c>
      <c r="G81" s="32">
        <v>4200</v>
      </c>
      <c r="H81" s="32">
        <v>8000</v>
      </c>
      <c r="I81" s="32"/>
      <c r="J81" s="32"/>
      <c r="K81" s="32"/>
      <c r="L81" s="32"/>
      <c r="M81" s="13"/>
      <c r="N81" s="12"/>
      <c r="O81" s="12"/>
      <c r="P81" s="8" t="s">
        <v>42</v>
      </c>
    </row>
    <row r="82" spans="1:16" ht="24" customHeight="1" x14ac:dyDescent="0.25">
      <c r="A82" s="10">
        <v>76</v>
      </c>
      <c r="B82" s="9">
        <v>0.14930555555555555</v>
      </c>
      <c r="C82" s="5" t="s">
        <v>20</v>
      </c>
      <c r="D82" s="5">
        <v>10</v>
      </c>
      <c r="E82" s="15"/>
      <c r="F82" s="15" t="s">
        <v>32</v>
      </c>
      <c r="G82" s="32">
        <v>9840</v>
      </c>
      <c r="H82" s="32">
        <v>10980</v>
      </c>
      <c r="I82" s="32">
        <v>14800</v>
      </c>
      <c r="J82" s="32">
        <v>14280</v>
      </c>
      <c r="K82" s="32"/>
      <c r="L82" s="32"/>
      <c r="M82" s="13"/>
      <c r="N82" s="12"/>
      <c r="O82" s="12"/>
      <c r="P82" s="8" t="s">
        <v>40</v>
      </c>
    </row>
    <row r="83" spans="1:16" ht="24" customHeight="1" x14ac:dyDescent="0.25">
      <c r="A83" s="10">
        <v>77</v>
      </c>
      <c r="B83" s="9">
        <v>0.15</v>
      </c>
      <c r="C83" s="5" t="s">
        <v>20</v>
      </c>
      <c r="D83" s="5">
        <v>8</v>
      </c>
      <c r="E83" s="15"/>
      <c r="F83" s="15" t="s">
        <v>22</v>
      </c>
      <c r="G83" s="32">
        <v>3000</v>
      </c>
      <c r="H83" s="32">
        <v>4240</v>
      </c>
      <c r="I83" s="32"/>
      <c r="J83" s="32"/>
      <c r="K83" s="32"/>
      <c r="L83" s="32"/>
      <c r="M83" s="13"/>
      <c r="N83" s="12"/>
      <c r="O83" s="12"/>
      <c r="P83" s="8" t="s">
        <v>35</v>
      </c>
    </row>
    <row r="84" spans="1:16" ht="24" customHeight="1" x14ac:dyDescent="0.25">
      <c r="A84" s="10">
        <v>78</v>
      </c>
      <c r="B84" s="9">
        <v>0.15208333333333332</v>
      </c>
      <c r="C84" s="5" t="s">
        <v>20</v>
      </c>
      <c r="D84" s="5">
        <v>10</v>
      </c>
      <c r="E84" s="15"/>
      <c r="F84" s="15" t="s">
        <v>33</v>
      </c>
      <c r="G84" s="32">
        <v>9180</v>
      </c>
      <c r="H84" s="32">
        <v>11800</v>
      </c>
      <c r="I84" s="32">
        <v>10980</v>
      </c>
      <c r="J84" s="32">
        <v>10980</v>
      </c>
      <c r="K84" s="32">
        <v>10140</v>
      </c>
      <c r="L84" s="32">
        <v>9160</v>
      </c>
      <c r="M84" s="13"/>
      <c r="N84" s="12"/>
      <c r="O84" s="12"/>
      <c r="P84" s="8" t="s">
        <v>36</v>
      </c>
    </row>
    <row r="85" spans="1:16" ht="24" customHeight="1" x14ac:dyDescent="0.25">
      <c r="A85" s="10">
        <v>79</v>
      </c>
      <c r="B85" s="9">
        <v>0.15277777777777776</v>
      </c>
      <c r="C85" s="5" t="s">
        <v>20</v>
      </c>
      <c r="D85" s="5">
        <v>5</v>
      </c>
      <c r="E85" s="15"/>
      <c r="F85" s="15" t="s">
        <v>22</v>
      </c>
      <c r="G85" s="32">
        <v>9140</v>
      </c>
      <c r="H85" s="32">
        <v>7040</v>
      </c>
      <c r="I85" s="32"/>
      <c r="J85" s="32"/>
      <c r="K85" s="32"/>
      <c r="L85" s="32"/>
      <c r="M85" s="13"/>
      <c r="N85" s="12"/>
      <c r="O85" s="12"/>
      <c r="P85" s="8" t="s">
        <v>34</v>
      </c>
    </row>
    <row r="86" spans="1:16" ht="24" customHeight="1" x14ac:dyDescent="0.25">
      <c r="A86" s="10">
        <v>80</v>
      </c>
      <c r="B86" s="9">
        <v>0.15347222222222223</v>
      </c>
      <c r="C86" s="5" t="s">
        <v>20</v>
      </c>
      <c r="D86" s="5">
        <v>9</v>
      </c>
      <c r="E86" s="15"/>
      <c r="F86" s="15" t="s">
        <v>29</v>
      </c>
      <c r="G86" s="32">
        <v>6300</v>
      </c>
      <c r="H86" s="32">
        <v>3960</v>
      </c>
      <c r="I86" s="32">
        <v>3960</v>
      </c>
      <c r="J86" s="32"/>
      <c r="K86" s="32"/>
      <c r="L86" s="32"/>
      <c r="M86" s="13"/>
      <c r="N86" s="12"/>
      <c r="O86" s="12"/>
      <c r="P86" s="8" t="s">
        <v>35</v>
      </c>
    </row>
    <row r="87" spans="1:16" ht="24" customHeight="1" x14ac:dyDescent="0.25">
      <c r="A87" s="10">
        <v>81</v>
      </c>
      <c r="B87" s="9">
        <v>0.15555555555555556</v>
      </c>
      <c r="C87" s="5" t="s">
        <v>20</v>
      </c>
      <c r="D87" s="5">
        <v>10</v>
      </c>
      <c r="E87" s="15"/>
      <c r="F87" s="15" t="s">
        <v>24</v>
      </c>
      <c r="G87" s="32">
        <v>6340</v>
      </c>
      <c r="H87" s="32">
        <v>4220</v>
      </c>
      <c r="I87" s="32">
        <v>3840</v>
      </c>
      <c r="J87" s="32">
        <v>1060</v>
      </c>
      <c r="K87" s="32">
        <v>4080</v>
      </c>
      <c r="L87" s="32">
        <v>4060</v>
      </c>
      <c r="M87" s="13"/>
      <c r="N87" s="12"/>
      <c r="O87" s="12"/>
      <c r="P87" s="8" t="s">
        <v>35</v>
      </c>
    </row>
    <row r="88" spans="1:16" s="30" customFormat="1" ht="24" customHeight="1" x14ac:dyDescent="0.25">
      <c r="A88" s="10"/>
      <c r="B88" s="24"/>
      <c r="C88" s="25"/>
      <c r="D88" s="25"/>
      <c r="E88" s="26"/>
      <c r="F88" s="26"/>
      <c r="G88" s="33"/>
      <c r="H88" s="34" t="s">
        <v>53</v>
      </c>
      <c r="I88" s="33"/>
      <c r="J88" s="33"/>
      <c r="K88" s="33"/>
      <c r="L88" s="33"/>
      <c r="M88" s="27"/>
      <c r="N88" s="28"/>
      <c r="O88" s="28"/>
      <c r="P88" s="29"/>
    </row>
    <row r="89" spans="1:16" ht="24" customHeight="1" x14ac:dyDescent="0.25">
      <c r="A89" s="10">
        <v>1</v>
      </c>
      <c r="B89" s="9">
        <v>0.33888888888888885</v>
      </c>
      <c r="C89" s="5" t="s">
        <v>20</v>
      </c>
      <c r="D89" s="5">
        <v>7</v>
      </c>
      <c r="E89" s="15"/>
      <c r="F89" s="15" t="s">
        <v>22</v>
      </c>
      <c r="G89" s="32">
        <v>4120</v>
      </c>
      <c r="H89" s="32">
        <v>10060</v>
      </c>
      <c r="I89" s="32"/>
      <c r="J89" s="32"/>
      <c r="K89" s="32"/>
      <c r="L89" s="32"/>
      <c r="M89" s="13"/>
      <c r="N89" s="12"/>
      <c r="O89" s="12"/>
      <c r="P89" s="8" t="s">
        <v>40</v>
      </c>
    </row>
    <row r="90" spans="1:16" ht="24" customHeight="1" x14ac:dyDescent="0.25">
      <c r="A90" s="10">
        <v>2</v>
      </c>
      <c r="B90" s="9">
        <v>0.33958333333333335</v>
      </c>
      <c r="C90" s="5" t="s">
        <v>20</v>
      </c>
      <c r="D90" s="5">
        <v>9</v>
      </c>
      <c r="E90" s="15"/>
      <c r="F90" s="15" t="s">
        <v>29</v>
      </c>
      <c r="G90" s="32">
        <v>7760</v>
      </c>
      <c r="H90" s="32">
        <v>1184</v>
      </c>
      <c r="I90" s="32">
        <v>11820</v>
      </c>
      <c r="J90" s="32"/>
      <c r="K90" s="32"/>
      <c r="L90" s="32"/>
      <c r="M90" s="13"/>
      <c r="N90" s="12"/>
      <c r="O90" s="12"/>
      <c r="P90" s="8" t="s">
        <v>41</v>
      </c>
    </row>
    <row r="91" spans="1:16" ht="24" customHeight="1" x14ac:dyDescent="0.25">
      <c r="A91" s="10">
        <v>3</v>
      </c>
      <c r="B91" s="9">
        <v>0.40277777777777773</v>
      </c>
      <c r="C91" s="5" t="s">
        <v>20</v>
      </c>
      <c r="D91" s="5">
        <v>8</v>
      </c>
      <c r="E91" s="15"/>
      <c r="F91" s="15" t="s">
        <v>22</v>
      </c>
      <c r="G91" s="32">
        <v>3680</v>
      </c>
      <c r="H91" s="32">
        <v>3700</v>
      </c>
      <c r="I91" s="32"/>
      <c r="J91" s="32"/>
      <c r="K91" s="32"/>
      <c r="L91" s="32"/>
      <c r="M91" s="13"/>
      <c r="N91" s="12"/>
      <c r="O91" s="12"/>
      <c r="P91" s="8" t="s">
        <v>35</v>
      </c>
    </row>
    <row r="92" spans="1:16" ht="24" customHeight="1" x14ac:dyDescent="0.25">
      <c r="A92" s="10">
        <v>4</v>
      </c>
      <c r="B92" s="9">
        <v>0.40347222222222223</v>
      </c>
      <c r="C92" s="5" t="s">
        <v>20</v>
      </c>
      <c r="D92" s="5">
        <v>8</v>
      </c>
      <c r="E92" s="15"/>
      <c r="F92" s="15" t="s">
        <v>22</v>
      </c>
      <c r="G92" s="32">
        <v>4860</v>
      </c>
      <c r="H92" s="32">
        <v>10340</v>
      </c>
      <c r="I92" s="32"/>
      <c r="J92" s="32"/>
      <c r="K92" s="32"/>
      <c r="L92" s="32"/>
      <c r="M92" s="13"/>
      <c r="N92" s="12"/>
      <c r="O92" s="12"/>
      <c r="P92" s="8" t="s">
        <v>40</v>
      </c>
    </row>
    <row r="93" spans="1:16" ht="24" customHeight="1" x14ac:dyDescent="0.25">
      <c r="A93" s="10">
        <v>5</v>
      </c>
      <c r="B93" s="9">
        <v>0.40902777777777777</v>
      </c>
      <c r="C93" s="5" t="s">
        <v>20</v>
      </c>
      <c r="D93" s="5">
        <v>10</v>
      </c>
      <c r="E93" s="15"/>
      <c r="F93" s="15" t="s">
        <v>43</v>
      </c>
      <c r="G93" s="32">
        <v>11840</v>
      </c>
      <c r="H93" s="32">
        <v>12720</v>
      </c>
      <c r="I93" s="32">
        <v>21640</v>
      </c>
      <c r="J93" s="32">
        <v>14140</v>
      </c>
      <c r="K93" s="32">
        <v>1440</v>
      </c>
      <c r="L93" s="32"/>
      <c r="M93" s="13"/>
      <c r="N93" s="12"/>
      <c r="O93" s="12"/>
      <c r="P93" s="8" t="s">
        <v>41</v>
      </c>
    </row>
    <row r="94" spans="1:16" ht="24" customHeight="1" x14ac:dyDescent="0.25">
      <c r="A94" s="10">
        <v>6</v>
      </c>
      <c r="B94" s="9">
        <v>0.41319444444444442</v>
      </c>
      <c r="C94" s="5" t="s">
        <v>20</v>
      </c>
      <c r="D94" s="5">
        <v>8</v>
      </c>
      <c r="E94" s="15"/>
      <c r="F94" s="15" t="s">
        <v>22</v>
      </c>
      <c r="G94" s="32">
        <v>4460</v>
      </c>
      <c r="H94" s="32">
        <v>10980</v>
      </c>
      <c r="I94" s="32"/>
      <c r="J94" s="32"/>
      <c r="K94" s="32"/>
      <c r="L94" s="32"/>
      <c r="M94" s="13"/>
      <c r="N94" s="12"/>
      <c r="O94" s="12"/>
      <c r="P94" s="8" t="s">
        <v>40</v>
      </c>
    </row>
    <row r="95" spans="1:16" ht="24" customHeight="1" x14ac:dyDescent="0.25">
      <c r="A95" s="10">
        <v>7</v>
      </c>
      <c r="B95" s="9">
        <v>0.41666666666666669</v>
      </c>
      <c r="C95" s="5" t="s">
        <v>20</v>
      </c>
      <c r="D95" s="5">
        <v>8</v>
      </c>
      <c r="E95" s="15"/>
      <c r="F95" s="15" t="s">
        <v>22</v>
      </c>
      <c r="G95" s="32">
        <v>3020</v>
      </c>
      <c r="H95" s="32">
        <v>4480</v>
      </c>
      <c r="I95" s="32"/>
      <c r="J95" s="32"/>
      <c r="K95" s="32"/>
      <c r="L95" s="32"/>
      <c r="M95" s="13"/>
      <c r="N95" s="12"/>
      <c r="O95" s="12"/>
      <c r="P95" s="8" t="s">
        <v>34</v>
      </c>
    </row>
    <row r="96" spans="1:16" ht="24" customHeight="1" x14ac:dyDescent="0.25">
      <c r="A96" s="10">
        <v>8</v>
      </c>
      <c r="B96" s="9">
        <v>0.41736111111111113</v>
      </c>
      <c r="C96" s="5" t="s">
        <v>20</v>
      </c>
      <c r="D96" s="5">
        <v>8</v>
      </c>
      <c r="E96" s="15"/>
      <c r="F96" s="15" t="s">
        <v>22</v>
      </c>
      <c r="G96" s="32">
        <v>4100</v>
      </c>
      <c r="H96" s="32">
        <v>11660</v>
      </c>
      <c r="I96" s="32"/>
      <c r="J96" s="32"/>
      <c r="K96" s="32"/>
      <c r="L96" s="32"/>
      <c r="M96" s="13"/>
      <c r="N96" s="12"/>
      <c r="O96" s="12"/>
      <c r="P96" s="8" t="s">
        <v>40</v>
      </c>
    </row>
    <row r="97" spans="1:16" ht="24" customHeight="1" x14ac:dyDescent="0.25">
      <c r="A97" s="10">
        <v>9</v>
      </c>
      <c r="B97" s="9">
        <v>0.41944444444444445</v>
      </c>
      <c r="C97" s="5" t="s">
        <v>20</v>
      </c>
      <c r="D97" s="5">
        <v>8</v>
      </c>
      <c r="E97" s="15"/>
      <c r="F97" s="15" t="s">
        <v>22</v>
      </c>
      <c r="G97" s="32">
        <v>8440</v>
      </c>
      <c r="H97" s="32">
        <v>19880</v>
      </c>
      <c r="I97" s="32"/>
      <c r="J97" s="32"/>
      <c r="K97" s="32"/>
      <c r="L97" s="32"/>
      <c r="M97" s="13"/>
      <c r="N97" s="12"/>
      <c r="O97" s="12"/>
      <c r="P97" s="8" t="s">
        <v>40</v>
      </c>
    </row>
    <row r="98" spans="1:16" ht="24" customHeight="1" x14ac:dyDescent="0.25">
      <c r="A98" s="10">
        <v>10</v>
      </c>
      <c r="B98" s="9">
        <v>0.42152777777777778</v>
      </c>
      <c r="C98" s="5" t="s">
        <v>20</v>
      </c>
      <c r="D98" s="5">
        <v>8</v>
      </c>
      <c r="E98" s="15"/>
      <c r="F98" s="15" t="s">
        <v>22</v>
      </c>
      <c r="G98" s="32">
        <v>3400</v>
      </c>
      <c r="H98" s="32">
        <v>4640</v>
      </c>
      <c r="I98" s="32"/>
      <c r="J98" s="32"/>
      <c r="K98" s="32"/>
      <c r="L98" s="32"/>
      <c r="M98" s="13"/>
      <c r="N98" s="12"/>
      <c r="O98" s="12"/>
      <c r="P98" s="8" t="s">
        <v>39</v>
      </c>
    </row>
    <row r="99" spans="1:16" ht="24" customHeight="1" x14ac:dyDescent="0.25">
      <c r="A99" s="10">
        <v>11</v>
      </c>
      <c r="B99" s="9">
        <v>0.42222222222222222</v>
      </c>
      <c r="C99" s="5" t="s">
        <v>20</v>
      </c>
      <c r="D99" s="5">
        <v>8</v>
      </c>
      <c r="E99" s="15"/>
      <c r="F99" s="15" t="s">
        <v>22</v>
      </c>
      <c r="G99" s="32">
        <v>3600</v>
      </c>
      <c r="H99" s="32">
        <v>4860</v>
      </c>
      <c r="I99" s="32"/>
      <c r="J99" s="32"/>
      <c r="K99" s="32"/>
      <c r="L99" s="32"/>
      <c r="M99" s="13"/>
      <c r="N99" s="12"/>
      <c r="O99" s="12"/>
      <c r="P99" s="8" t="s">
        <v>35</v>
      </c>
    </row>
    <row r="100" spans="1:16" ht="24" customHeight="1" x14ac:dyDescent="0.25">
      <c r="A100" s="10">
        <v>12</v>
      </c>
      <c r="B100" s="9">
        <v>0.42499999999999999</v>
      </c>
      <c r="C100" s="5" t="s">
        <v>20</v>
      </c>
      <c r="D100" s="5">
        <v>8</v>
      </c>
      <c r="E100" s="15"/>
      <c r="F100" s="15" t="s">
        <v>22</v>
      </c>
      <c r="G100" s="32">
        <v>5680</v>
      </c>
      <c r="H100" s="32">
        <v>16020</v>
      </c>
      <c r="I100" s="32"/>
      <c r="J100" s="32"/>
      <c r="K100" s="32"/>
      <c r="L100" s="32"/>
      <c r="M100" s="13"/>
      <c r="N100" s="12"/>
      <c r="O100" s="12"/>
      <c r="P100" s="8" t="s">
        <v>40</v>
      </c>
    </row>
    <row r="101" spans="1:16" ht="24" customHeight="1" x14ac:dyDescent="0.25">
      <c r="A101" s="10">
        <v>13</v>
      </c>
      <c r="B101" s="9">
        <v>0.42638888888888887</v>
      </c>
      <c r="C101" s="5" t="s">
        <v>20</v>
      </c>
      <c r="D101" s="5">
        <v>8</v>
      </c>
      <c r="E101" s="15"/>
      <c r="F101" s="15" t="s">
        <v>22</v>
      </c>
      <c r="G101" s="32">
        <v>4360</v>
      </c>
      <c r="H101" s="32">
        <v>5140</v>
      </c>
      <c r="I101" s="32"/>
      <c r="J101" s="32"/>
      <c r="K101" s="32"/>
      <c r="L101" s="32"/>
      <c r="M101" s="13"/>
      <c r="N101" s="12"/>
      <c r="O101" s="12"/>
      <c r="P101" s="8" t="s">
        <v>35</v>
      </c>
    </row>
    <row r="102" spans="1:16" ht="24" customHeight="1" x14ac:dyDescent="0.25">
      <c r="A102" s="10">
        <v>14</v>
      </c>
      <c r="B102" s="9">
        <v>0.42638888888888887</v>
      </c>
      <c r="C102" s="5" t="s">
        <v>20</v>
      </c>
      <c r="D102" s="5">
        <v>8</v>
      </c>
      <c r="E102" s="15"/>
      <c r="F102" s="15" t="s">
        <v>22</v>
      </c>
      <c r="G102" s="32">
        <v>10720</v>
      </c>
      <c r="H102" s="32">
        <v>14660</v>
      </c>
      <c r="I102" s="32"/>
      <c r="J102" s="32"/>
      <c r="K102" s="32"/>
      <c r="L102" s="32"/>
      <c r="M102" s="13"/>
      <c r="N102" s="12"/>
      <c r="O102" s="12"/>
      <c r="P102" s="8" t="s">
        <v>41</v>
      </c>
    </row>
    <row r="103" spans="1:16" ht="24" customHeight="1" x14ac:dyDescent="0.25">
      <c r="A103" s="10">
        <v>15</v>
      </c>
      <c r="B103" s="9">
        <v>0.42708333333333331</v>
      </c>
      <c r="C103" s="5" t="s">
        <v>20</v>
      </c>
      <c r="D103" s="5">
        <v>8</v>
      </c>
      <c r="E103" s="15"/>
      <c r="F103" s="15" t="s">
        <v>22</v>
      </c>
      <c r="G103" s="32">
        <v>8460</v>
      </c>
      <c r="H103" s="32">
        <v>15420</v>
      </c>
      <c r="I103" s="32"/>
      <c r="J103" s="32"/>
      <c r="K103" s="32"/>
      <c r="L103" s="32"/>
      <c r="M103" s="13"/>
      <c r="N103" s="12"/>
      <c r="O103" s="12"/>
      <c r="P103" s="8" t="s">
        <v>41</v>
      </c>
    </row>
    <row r="104" spans="1:16" ht="24" customHeight="1" x14ac:dyDescent="0.25">
      <c r="A104" s="10">
        <v>16</v>
      </c>
      <c r="B104" s="9">
        <v>0.42777777777777781</v>
      </c>
      <c r="C104" s="5" t="s">
        <v>20</v>
      </c>
      <c r="D104" s="5">
        <v>8</v>
      </c>
      <c r="E104" s="15"/>
      <c r="F104" s="15" t="s">
        <v>22</v>
      </c>
      <c r="G104" s="32">
        <v>5500</v>
      </c>
      <c r="H104" s="32">
        <v>10980</v>
      </c>
      <c r="I104" s="32"/>
      <c r="J104" s="32"/>
      <c r="K104" s="32"/>
      <c r="L104" s="32"/>
      <c r="M104" s="13"/>
      <c r="N104" s="12"/>
      <c r="O104" s="12"/>
      <c r="P104" s="8" t="s">
        <v>40</v>
      </c>
    </row>
    <row r="105" spans="1:16" ht="24" customHeight="1" x14ac:dyDescent="0.25">
      <c r="A105" s="10">
        <v>17</v>
      </c>
      <c r="B105" s="9">
        <v>0.4284722222222222</v>
      </c>
      <c r="C105" s="5" t="s">
        <v>20</v>
      </c>
      <c r="D105" s="5">
        <v>9</v>
      </c>
      <c r="E105" s="15"/>
      <c r="F105" s="15" t="s">
        <v>44</v>
      </c>
      <c r="G105" s="32">
        <v>4880</v>
      </c>
      <c r="H105" s="32">
        <v>4780</v>
      </c>
      <c r="I105" s="32">
        <v>3040</v>
      </c>
      <c r="J105" s="32"/>
      <c r="K105" s="32"/>
      <c r="L105" s="32"/>
      <c r="M105" s="13"/>
      <c r="N105" s="12"/>
      <c r="O105" s="12"/>
      <c r="P105" s="8" t="s">
        <v>35</v>
      </c>
    </row>
    <row r="106" spans="1:16" ht="24" customHeight="1" x14ac:dyDescent="0.25">
      <c r="A106" s="10">
        <v>18</v>
      </c>
      <c r="B106" s="9">
        <v>0.4375</v>
      </c>
      <c r="C106" s="5" t="s">
        <v>20</v>
      </c>
      <c r="D106" s="5">
        <v>10</v>
      </c>
      <c r="E106" s="15"/>
      <c r="F106" s="15" t="s">
        <v>24</v>
      </c>
      <c r="G106" s="32">
        <v>8120</v>
      </c>
      <c r="H106" s="32">
        <v>14420</v>
      </c>
      <c r="I106" s="32">
        <v>12520</v>
      </c>
      <c r="J106" s="32">
        <v>12080</v>
      </c>
      <c r="K106" s="32">
        <v>13420</v>
      </c>
      <c r="L106" s="32">
        <v>14900</v>
      </c>
      <c r="M106" s="13"/>
      <c r="N106" s="12"/>
      <c r="O106" s="12"/>
      <c r="P106" s="8" t="s">
        <v>40</v>
      </c>
    </row>
    <row r="107" spans="1:16" ht="24" customHeight="1" x14ac:dyDescent="0.25">
      <c r="A107" s="10">
        <v>19</v>
      </c>
      <c r="B107" s="9">
        <v>0.43958333333333338</v>
      </c>
      <c r="C107" s="5" t="s">
        <v>20</v>
      </c>
      <c r="D107" s="5">
        <v>10</v>
      </c>
      <c r="E107" s="15"/>
      <c r="F107" s="15" t="s">
        <v>24</v>
      </c>
      <c r="G107" s="32">
        <v>7540</v>
      </c>
      <c r="H107" s="32">
        <v>14620</v>
      </c>
      <c r="I107" s="32">
        <v>12860</v>
      </c>
      <c r="J107" s="32">
        <v>11100</v>
      </c>
      <c r="K107" s="32">
        <v>7460</v>
      </c>
      <c r="L107" s="32">
        <v>11080</v>
      </c>
      <c r="M107" s="13"/>
      <c r="N107" s="12"/>
      <c r="O107" s="12"/>
      <c r="P107" s="8" t="s">
        <v>40</v>
      </c>
    </row>
    <row r="108" spans="1:16" ht="24" customHeight="1" x14ac:dyDescent="0.25">
      <c r="A108" s="10">
        <v>20</v>
      </c>
      <c r="B108" s="9">
        <v>0.44236111111111115</v>
      </c>
      <c r="C108" s="5" t="s">
        <v>20</v>
      </c>
      <c r="D108" s="5">
        <v>8</v>
      </c>
      <c r="E108" s="15"/>
      <c r="F108" s="15" t="s">
        <v>22</v>
      </c>
      <c r="G108" s="32">
        <v>3220</v>
      </c>
      <c r="H108" s="32">
        <v>4820</v>
      </c>
      <c r="I108" s="32"/>
      <c r="J108" s="32"/>
      <c r="K108" s="32"/>
      <c r="L108" s="32"/>
      <c r="M108" s="13"/>
      <c r="N108" s="12"/>
      <c r="O108" s="12"/>
      <c r="P108" s="8" t="s">
        <v>35</v>
      </c>
    </row>
    <row r="109" spans="1:16" ht="24" customHeight="1" x14ac:dyDescent="0.25">
      <c r="A109" s="10">
        <v>21</v>
      </c>
      <c r="B109" s="9">
        <v>0.46249999999999997</v>
      </c>
      <c r="C109" s="5" t="s">
        <v>20</v>
      </c>
      <c r="D109" s="5">
        <v>10</v>
      </c>
      <c r="E109" s="15"/>
      <c r="F109" s="15" t="s">
        <v>24</v>
      </c>
      <c r="G109" s="32">
        <v>7540</v>
      </c>
      <c r="H109" s="32">
        <v>14620</v>
      </c>
      <c r="I109" s="32">
        <v>12860</v>
      </c>
      <c r="J109" s="32">
        <v>11100</v>
      </c>
      <c r="K109" s="32">
        <v>7460</v>
      </c>
      <c r="L109" s="32">
        <v>11080</v>
      </c>
      <c r="M109" s="13"/>
      <c r="N109" s="12"/>
      <c r="O109" s="12"/>
      <c r="P109" s="8" t="s">
        <v>35</v>
      </c>
    </row>
    <row r="110" spans="1:16" ht="24" customHeight="1" x14ac:dyDescent="0.25">
      <c r="A110" s="10">
        <v>22</v>
      </c>
      <c r="B110" s="9">
        <v>0.46875</v>
      </c>
      <c r="C110" s="5" t="s">
        <v>20</v>
      </c>
      <c r="D110" s="5">
        <v>8</v>
      </c>
      <c r="E110" s="15"/>
      <c r="F110" s="15" t="s">
        <v>22</v>
      </c>
      <c r="G110" s="32">
        <v>4840</v>
      </c>
      <c r="H110" s="32">
        <v>12040</v>
      </c>
      <c r="I110" s="32"/>
      <c r="J110" s="32"/>
      <c r="K110" s="32"/>
      <c r="L110" s="32"/>
      <c r="M110" s="13"/>
      <c r="N110" s="12"/>
      <c r="O110" s="12"/>
      <c r="P110" s="8" t="s">
        <v>40</v>
      </c>
    </row>
    <row r="111" spans="1:16" ht="24" customHeight="1" x14ac:dyDescent="0.25">
      <c r="A111" s="10">
        <v>23</v>
      </c>
      <c r="B111" s="9">
        <v>0.47361111111111115</v>
      </c>
      <c r="C111" s="5" t="s">
        <v>20</v>
      </c>
      <c r="D111" s="5">
        <v>5</v>
      </c>
      <c r="E111" s="15"/>
      <c r="F111" s="15" t="s">
        <v>22</v>
      </c>
      <c r="G111" s="32">
        <v>8980</v>
      </c>
      <c r="H111" s="32">
        <v>9040</v>
      </c>
      <c r="I111" s="32"/>
      <c r="J111" s="32"/>
      <c r="K111" s="32"/>
      <c r="L111" s="32"/>
      <c r="M111" s="13"/>
      <c r="N111" s="12"/>
      <c r="O111" s="12"/>
      <c r="P111" s="8" t="s">
        <v>34</v>
      </c>
    </row>
    <row r="112" spans="1:16" ht="24" customHeight="1" x14ac:dyDescent="0.25">
      <c r="A112" s="10">
        <v>24</v>
      </c>
      <c r="B112" s="9">
        <v>0.48472222222222222</v>
      </c>
      <c r="C112" s="5" t="s">
        <v>20</v>
      </c>
      <c r="D112" s="5">
        <v>10</v>
      </c>
      <c r="E112" s="15"/>
      <c r="F112" s="15" t="s">
        <v>45</v>
      </c>
      <c r="G112" s="32">
        <v>7060</v>
      </c>
      <c r="H112" s="32">
        <v>5120</v>
      </c>
      <c r="I112" s="32">
        <v>6820</v>
      </c>
      <c r="J112" s="32">
        <v>2820</v>
      </c>
      <c r="K112" s="32">
        <v>2040</v>
      </c>
      <c r="L112" s="32"/>
      <c r="M112" s="13"/>
      <c r="N112" s="12"/>
      <c r="O112" s="12"/>
      <c r="P112" s="8" t="s">
        <v>35</v>
      </c>
    </row>
    <row r="113" spans="1:16" ht="24" customHeight="1" x14ac:dyDescent="0.25">
      <c r="A113" s="10">
        <v>25</v>
      </c>
      <c r="B113" s="9">
        <v>0.49027777777777781</v>
      </c>
      <c r="C113" s="5" t="s">
        <v>20</v>
      </c>
      <c r="D113" s="5">
        <v>10</v>
      </c>
      <c r="E113" s="15"/>
      <c r="F113" s="15" t="s">
        <v>43</v>
      </c>
      <c r="G113" s="32">
        <v>9880</v>
      </c>
      <c r="H113" s="32">
        <v>1350</v>
      </c>
      <c r="I113" s="32">
        <v>7060</v>
      </c>
      <c r="J113" s="32">
        <v>8060</v>
      </c>
      <c r="K113" s="32">
        <v>7040</v>
      </c>
      <c r="L113" s="32"/>
      <c r="M113" s="13"/>
      <c r="N113" s="12"/>
      <c r="O113" s="12"/>
      <c r="P113" s="8" t="s">
        <v>41</v>
      </c>
    </row>
    <row r="114" spans="1:16" ht="24" customHeight="1" x14ac:dyDescent="0.25">
      <c r="A114" s="10">
        <v>26</v>
      </c>
      <c r="B114" s="9">
        <v>0.49791666666666662</v>
      </c>
      <c r="C114" s="5" t="s">
        <v>20</v>
      </c>
      <c r="D114" s="5">
        <v>8</v>
      </c>
      <c r="E114" s="15"/>
      <c r="F114" s="15" t="s">
        <v>22</v>
      </c>
      <c r="G114" s="32">
        <v>7420</v>
      </c>
      <c r="H114" s="32">
        <v>10120</v>
      </c>
      <c r="I114" s="32"/>
      <c r="J114" s="32"/>
      <c r="K114" s="32"/>
      <c r="L114" s="32"/>
      <c r="M114" s="13"/>
      <c r="N114" s="12"/>
      <c r="O114" s="12"/>
      <c r="P114" s="8" t="s">
        <v>41</v>
      </c>
    </row>
    <row r="115" spans="1:16" ht="24" customHeight="1" x14ac:dyDescent="0.25">
      <c r="A115" s="10">
        <v>27</v>
      </c>
      <c r="B115" s="9">
        <v>0.50277777777777777</v>
      </c>
      <c r="C115" s="5" t="s">
        <v>20</v>
      </c>
      <c r="D115" s="5">
        <v>8</v>
      </c>
      <c r="E115" s="15"/>
      <c r="F115" s="15" t="s">
        <v>22</v>
      </c>
      <c r="G115" s="32">
        <v>3060</v>
      </c>
      <c r="H115" s="32">
        <v>5000</v>
      </c>
      <c r="I115" s="32"/>
      <c r="J115" s="32"/>
      <c r="K115" s="32"/>
      <c r="L115" s="32"/>
      <c r="M115" s="13"/>
      <c r="N115" s="12"/>
      <c r="O115" s="12"/>
      <c r="P115" s="8" t="s">
        <v>35</v>
      </c>
    </row>
    <row r="116" spans="1:16" ht="24" customHeight="1" x14ac:dyDescent="0.25">
      <c r="A116" s="10">
        <v>28</v>
      </c>
      <c r="B116" s="9">
        <v>0.50694444444444442</v>
      </c>
      <c r="C116" s="5" t="s">
        <v>20</v>
      </c>
      <c r="D116" s="5">
        <v>10</v>
      </c>
      <c r="E116" s="15"/>
      <c r="F116" s="15" t="s">
        <v>25</v>
      </c>
      <c r="G116" s="32">
        <v>7020</v>
      </c>
      <c r="H116" s="32">
        <v>6360</v>
      </c>
      <c r="I116" s="32">
        <v>9320</v>
      </c>
      <c r="J116" s="32">
        <v>9020</v>
      </c>
      <c r="K116" s="32">
        <v>8680</v>
      </c>
      <c r="L116" s="32">
        <v>9240</v>
      </c>
      <c r="M116" s="13"/>
      <c r="N116" s="12"/>
      <c r="O116" s="12"/>
      <c r="P116" s="8" t="s">
        <v>34</v>
      </c>
    </row>
    <row r="117" spans="1:16" ht="24" customHeight="1" x14ac:dyDescent="0.25">
      <c r="A117" s="10">
        <v>29</v>
      </c>
      <c r="B117" s="9">
        <v>0.51180555555555551</v>
      </c>
      <c r="C117" s="5" t="s">
        <v>20</v>
      </c>
      <c r="D117" s="5">
        <v>8</v>
      </c>
      <c r="E117" s="15"/>
      <c r="F117" s="15" t="s">
        <v>22</v>
      </c>
      <c r="G117" s="32">
        <v>6000</v>
      </c>
      <c r="H117" s="32">
        <v>12420</v>
      </c>
      <c r="I117" s="32"/>
      <c r="J117" s="32"/>
      <c r="K117" s="32"/>
      <c r="L117" s="32"/>
      <c r="M117" s="13"/>
      <c r="N117" s="12"/>
      <c r="O117" s="12"/>
      <c r="P117" s="8" t="s">
        <v>41</v>
      </c>
    </row>
    <row r="118" spans="1:16" ht="24" customHeight="1" x14ac:dyDescent="0.25">
      <c r="A118" s="10">
        <v>30</v>
      </c>
      <c r="B118" s="9">
        <v>0.51388888888888895</v>
      </c>
      <c r="C118" s="5" t="s">
        <v>20</v>
      </c>
      <c r="D118" s="5">
        <v>5</v>
      </c>
      <c r="E118" s="15"/>
      <c r="F118" s="15" t="s">
        <v>22</v>
      </c>
      <c r="G118" s="32">
        <v>11040</v>
      </c>
      <c r="H118" s="32">
        <v>12260</v>
      </c>
      <c r="I118" s="32"/>
      <c r="J118" s="32"/>
      <c r="K118" s="32"/>
      <c r="L118" s="32"/>
      <c r="M118" s="13"/>
      <c r="N118" s="12"/>
      <c r="O118" s="12"/>
      <c r="P118" s="8" t="s">
        <v>34</v>
      </c>
    </row>
    <row r="119" spans="1:16" ht="24" customHeight="1" x14ac:dyDescent="0.25">
      <c r="A119" s="10">
        <v>31</v>
      </c>
      <c r="B119" s="9">
        <v>0.51458333333333328</v>
      </c>
      <c r="C119" s="5" t="s">
        <v>21</v>
      </c>
      <c r="D119" s="5">
        <v>10</v>
      </c>
      <c r="E119" s="15"/>
      <c r="F119" s="15" t="s">
        <v>25</v>
      </c>
      <c r="G119" s="32">
        <v>6760</v>
      </c>
      <c r="H119" s="32">
        <v>3340</v>
      </c>
      <c r="I119" s="32">
        <v>4860</v>
      </c>
      <c r="J119" s="32">
        <v>4620</v>
      </c>
      <c r="K119" s="32">
        <v>3500</v>
      </c>
      <c r="L119" s="32">
        <v>3160</v>
      </c>
      <c r="M119" s="13"/>
      <c r="N119" s="12"/>
      <c r="O119" s="12"/>
      <c r="P119" s="8" t="s">
        <v>35</v>
      </c>
    </row>
    <row r="120" spans="1:16" ht="24" customHeight="1" x14ac:dyDescent="0.25">
      <c r="A120" s="10">
        <v>32</v>
      </c>
      <c r="B120" s="9">
        <v>0.51458333333333328</v>
      </c>
      <c r="C120" s="5" t="s">
        <v>21</v>
      </c>
      <c r="D120" s="5">
        <v>10</v>
      </c>
      <c r="E120" s="15"/>
      <c r="F120" s="15" t="s">
        <v>25</v>
      </c>
      <c r="G120" s="32">
        <v>6780</v>
      </c>
      <c r="H120" s="32">
        <v>3040</v>
      </c>
      <c r="I120" s="32">
        <v>5420</v>
      </c>
      <c r="J120" s="32">
        <v>3680</v>
      </c>
      <c r="K120" s="32">
        <v>3020</v>
      </c>
      <c r="L120" s="32">
        <v>4140</v>
      </c>
      <c r="M120" s="13"/>
      <c r="N120" s="12"/>
      <c r="O120" s="12"/>
      <c r="P120" s="8" t="s">
        <v>35</v>
      </c>
    </row>
    <row r="121" spans="1:16" ht="24" customHeight="1" x14ac:dyDescent="0.25">
      <c r="A121" s="10">
        <v>33</v>
      </c>
      <c r="B121" s="9">
        <v>0.51597222222222217</v>
      </c>
      <c r="C121" s="5" t="s">
        <v>20</v>
      </c>
      <c r="D121" s="5">
        <v>5</v>
      </c>
      <c r="E121" s="15"/>
      <c r="F121" s="15" t="s">
        <v>22</v>
      </c>
      <c r="G121" s="32">
        <v>7880</v>
      </c>
      <c r="H121" s="32">
        <v>13480</v>
      </c>
      <c r="I121" s="32"/>
      <c r="J121" s="32"/>
      <c r="K121" s="32"/>
      <c r="L121" s="32"/>
      <c r="M121" s="13"/>
      <c r="N121" s="12"/>
      <c r="O121" s="12"/>
      <c r="P121" s="8" t="s">
        <v>34</v>
      </c>
    </row>
    <row r="122" spans="1:16" ht="24" customHeight="1" x14ac:dyDescent="0.25">
      <c r="A122" s="10">
        <v>34</v>
      </c>
      <c r="B122" s="9">
        <v>0.52777777777777779</v>
      </c>
      <c r="C122" s="5" t="s">
        <v>20</v>
      </c>
      <c r="D122" s="5">
        <v>10</v>
      </c>
      <c r="E122" s="15"/>
      <c r="F122" s="15" t="s">
        <v>25</v>
      </c>
      <c r="G122" s="32">
        <v>6660</v>
      </c>
      <c r="H122" s="32">
        <v>4440</v>
      </c>
      <c r="I122" s="32">
        <v>12740</v>
      </c>
      <c r="J122" s="32">
        <v>13520</v>
      </c>
      <c r="K122" s="32">
        <v>9960</v>
      </c>
      <c r="L122" s="32">
        <v>10560</v>
      </c>
      <c r="M122" s="13"/>
      <c r="N122" s="12"/>
      <c r="O122" s="12"/>
      <c r="P122" s="8" t="s">
        <v>41</v>
      </c>
    </row>
    <row r="123" spans="1:16" ht="24" customHeight="1" x14ac:dyDescent="0.25">
      <c r="A123" s="10">
        <v>35</v>
      </c>
      <c r="B123" s="9">
        <v>0.5395833333333333</v>
      </c>
      <c r="C123" s="5" t="s">
        <v>20</v>
      </c>
      <c r="D123" s="5">
        <v>8</v>
      </c>
      <c r="E123" s="15"/>
      <c r="F123" s="15" t="s">
        <v>22</v>
      </c>
      <c r="G123" s="32">
        <v>4600</v>
      </c>
      <c r="H123" s="32">
        <v>5920</v>
      </c>
      <c r="I123" s="32"/>
      <c r="J123" s="32"/>
      <c r="K123" s="32"/>
      <c r="L123" s="32"/>
      <c r="M123" s="13"/>
      <c r="N123" s="12"/>
      <c r="O123" s="12"/>
      <c r="P123" s="8" t="s">
        <v>35</v>
      </c>
    </row>
    <row r="124" spans="1:16" ht="24" customHeight="1" x14ac:dyDescent="0.25">
      <c r="A124" s="10">
        <v>36</v>
      </c>
      <c r="B124" s="9">
        <v>0.54097222222222219</v>
      </c>
      <c r="C124" s="5" t="s">
        <v>20</v>
      </c>
      <c r="D124" s="5">
        <v>10</v>
      </c>
      <c r="E124" s="15"/>
      <c r="F124" s="15" t="s">
        <v>24</v>
      </c>
      <c r="G124" s="32">
        <v>7580</v>
      </c>
      <c r="H124" s="32">
        <v>14680</v>
      </c>
      <c r="I124" s="32">
        <v>14040</v>
      </c>
      <c r="J124" s="32">
        <v>10480</v>
      </c>
      <c r="K124" s="32">
        <v>15800</v>
      </c>
      <c r="L124" s="32">
        <v>9060</v>
      </c>
      <c r="M124" s="13"/>
      <c r="N124" s="12"/>
      <c r="O124" s="12"/>
      <c r="P124" s="8" t="s">
        <v>40</v>
      </c>
    </row>
    <row r="125" spans="1:16" ht="24" customHeight="1" x14ac:dyDescent="0.25">
      <c r="A125" s="10">
        <v>37</v>
      </c>
      <c r="B125" s="9">
        <v>0.50069444444444444</v>
      </c>
      <c r="C125" s="5" t="s">
        <v>20</v>
      </c>
      <c r="D125" s="5">
        <v>8</v>
      </c>
      <c r="E125" s="15"/>
      <c r="F125" s="15" t="s">
        <v>29</v>
      </c>
      <c r="G125" s="32">
        <v>4400</v>
      </c>
      <c r="H125" s="32">
        <v>5600</v>
      </c>
      <c r="I125" s="32">
        <v>5360</v>
      </c>
      <c r="J125" s="32"/>
      <c r="K125" s="32"/>
      <c r="L125" s="32"/>
      <c r="M125" s="13"/>
      <c r="N125" s="12"/>
      <c r="O125" s="12"/>
      <c r="P125" s="8" t="s">
        <v>35</v>
      </c>
    </row>
    <row r="126" spans="1:16" ht="24" customHeight="1" x14ac:dyDescent="0.25">
      <c r="A126" s="10">
        <v>38</v>
      </c>
      <c r="B126" s="9">
        <v>8.6805555555555566E-2</v>
      </c>
      <c r="C126" s="5" t="s">
        <v>20</v>
      </c>
      <c r="D126" s="5">
        <v>8</v>
      </c>
      <c r="E126" s="15"/>
      <c r="F126" s="15" t="s">
        <v>22</v>
      </c>
      <c r="G126" s="32">
        <v>9140</v>
      </c>
      <c r="H126" s="32">
        <v>22400</v>
      </c>
      <c r="I126" s="32"/>
      <c r="J126" s="32"/>
      <c r="K126" s="32"/>
      <c r="L126" s="32"/>
      <c r="M126" s="13"/>
      <c r="N126" s="12"/>
      <c r="O126" s="12"/>
      <c r="P126" s="8" t="s">
        <v>40</v>
      </c>
    </row>
    <row r="127" spans="1:16" ht="24" customHeight="1" x14ac:dyDescent="0.25">
      <c r="A127" s="10">
        <v>39</v>
      </c>
      <c r="B127" s="9">
        <v>8.819444444444445E-2</v>
      </c>
      <c r="C127" s="5" t="s">
        <v>20</v>
      </c>
      <c r="D127" s="5">
        <v>8</v>
      </c>
      <c r="E127" s="15"/>
      <c r="F127" s="15" t="s">
        <v>22</v>
      </c>
      <c r="G127" s="32">
        <v>6420</v>
      </c>
      <c r="H127" s="32">
        <v>14820</v>
      </c>
      <c r="I127" s="32"/>
      <c r="J127" s="32"/>
      <c r="K127" s="32"/>
      <c r="L127" s="32"/>
      <c r="M127" s="13"/>
      <c r="N127" s="12"/>
      <c r="O127" s="12"/>
      <c r="P127" s="8" t="s">
        <v>41</v>
      </c>
    </row>
    <row r="128" spans="1:16" ht="24" customHeight="1" x14ac:dyDescent="0.25">
      <c r="A128" s="10">
        <v>40</v>
      </c>
      <c r="B128" s="9">
        <v>9.0277777777777776E-2</v>
      </c>
      <c r="C128" s="5" t="s">
        <v>20</v>
      </c>
      <c r="D128" s="5">
        <v>8</v>
      </c>
      <c r="E128" s="15"/>
      <c r="F128" s="15" t="s">
        <v>22</v>
      </c>
      <c r="G128" s="32">
        <v>8180</v>
      </c>
      <c r="H128" s="32">
        <v>17180</v>
      </c>
      <c r="I128" s="32"/>
      <c r="J128" s="32"/>
      <c r="K128" s="32"/>
      <c r="L128" s="32"/>
      <c r="M128" s="13"/>
      <c r="N128" s="12"/>
      <c r="O128" s="12"/>
      <c r="P128" s="8" t="s">
        <v>41</v>
      </c>
    </row>
    <row r="129" spans="1:16" ht="24" customHeight="1" x14ac:dyDescent="0.25">
      <c r="A129" s="10">
        <v>41</v>
      </c>
      <c r="B129" s="9">
        <v>9.2361111111111116E-2</v>
      </c>
      <c r="C129" s="5" t="s">
        <v>20</v>
      </c>
      <c r="D129" s="5">
        <v>10</v>
      </c>
      <c r="E129" s="15"/>
      <c r="F129" s="15" t="s">
        <v>24</v>
      </c>
      <c r="G129" s="32">
        <v>9780</v>
      </c>
      <c r="H129" s="32">
        <v>11340</v>
      </c>
      <c r="I129" s="32">
        <v>8060</v>
      </c>
      <c r="J129" s="32">
        <v>10620</v>
      </c>
      <c r="K129" s="32">
        <v>10750</v>
      </c>
      <c r="L129" s="32">
        <v>13820</v>
      </c>
      <c r="M129" s="13"/>
      <c r="N129" s="12"/>
      <c r="O129" s="12"/>
      <c r="P129" s="8" t="s">
        <v>41</v>
      </c>
    </row>
    <row r="130" spans="1:16" ht="24" customHeight="1" x14ac:dyDescent="0.25">
      <c r="A130" s="10">
        <v>42</v>
      </c>
      <c r="B130" s="9">
        <v>0.10069444444444443</v>
      </c>
      <c r="C130" s="5" t="s">
        <v>20</v>
      </c>
      <c r="D130" s="5">
        <v>8</v>
      </c>
      <c r="E130" s="15"/>
      <c r="F130" s="15" t="s">
        <v>22</v>
      </c>
      <c r="G130" s="32">
        <v>5220</v>
      </c>
      <c r="H130" s="32">
        <v>12920</v>
      </c>
      <c r="I130" s="32"/>
      <c r="J130" s="32"/>
      <c r="K130" s="32"/>
      <c r="L130" s="32"/>
      <c r="M130" s="13"/>
      <c r="N130" s="12"/>
      <c r="O130" s="12"/>
      <c r="P130" s="8" t="s">
        <v>41</v>
      </c>
    </row>
    <row r="131" spans="1:16" ht="24" customHeight="1" x14ac:dyDescent="0.25">
      <c r="A131" s="10">
        <v>43</v>
      </c>
      <c r="B131" s="9">
        <v>0.10208333333333335</v>
      </c>
      <c r="C131" s="5" t="s">
        <v>20</v>
      </c>
      <c r="D131" s="5">
        <v>5</v>
      </c>
      <c r="E131" s="15"/>
      <c r="F131" s="15" t="s">
        <v>22</v>
      </c>
      <c r="G131" s="32">
        <v>7880</v>
      </c>
      <c r="H131" s="32">
        <v>13660</v>
      </c>
      <c r="I131" s="32"/>
      <c r="J131" s="32"/>
      <c r="K131" s="32"/>
      <c r="L131" s="32"/>
      <c r="M131" s="13"/>
      <c r="N131" s="12"/>
      <c r="O131" s="12"/>
      <c r="P131" s="8" t="s">
        <v>34</v>
      </c>
    </row>
    <row r="132" spans="1:16" ht="24" customHeight="1" x14ac:dyDescent="0.25">
      <c r="A132" s="10">
        <v>44</v>
      </c>
      <c r="B132" s="9">
        <v>0.10902777777777778</v>
      </c>
      <c r="C132" s="5" t="s">
        <v>20</v>
      </c>
      <c r="D132" s="5">
        <v>8</v>
      </c>
      <c r="E132" s="15"/>
      <c r="F132" s="15" t="s">
        <v>22</v>
      </c>
      <c r="G132" s="32">
        <v>7180</v>
      </c>
      <c r="H132" s="32">
        <v>8280</v>
      </c>
      <c r="I132" s="32"/>
      <c r="J132" s="32"/>
      <c r="K132" s="32"/>
      <c r="L132" s="32"/>
      <c r="M132" s="13"/>
      <c r="N132" s="12"/>
      <c r="O132" s="12"/>
      <c r="P132" s="8" t="s">
        <v>35</v>
      </c>
    </row>
    <row r="133" spans="1:16" ht="24" customHeight="1" x14ac:dyDescent="0.25">
      <c r="A133" s="10">
        <v>45</v>
      </c>
      <c r="B133" s="9">
        <v>0.10972222222222222</v>
      </c>
      <c r="C133" s="5" t="s">
        <v>20</v>
      </c>
      <c r="D133" s="5">
        <v>10</v>
      </c>
      <c r="E133" s="15"/>
      <c r="F133" s="15" t="s">
        <v>24</v>
      </c>
      <c r="G133" s="32">
        <v>8240</v>
      </c>
      <c r="H133" s="32">
        <v>13860</v>
      </c>
      <c r="I133" s="32">
        <v>10120</v>
      </c>
      <c r="J133" s="32">
        <v>10320</v>
      </c>
      <c r="K133" s="32">
        <v>101540</v>
      </c>
      <c r="L133" s="32">
        <v>10340</v>
      </c>
      <c r="M133" s="13"/>
      <c r="N133" s="12"/>
      <c r="O133" s="12"/>
      <c r="P133" s="8" t="s">
        <v>40</v>
      </c>
    </row>
    <row r="134" spans="1:16" ht="24" customHeight="1" x14ac:dyDescent="0.25">
      <c r="A134" s="10">
        <v>46</v>
      </c>
      <c r="B134" s="9">
        <v>0.1125</v>
      </c>
      <c r="C134" s="5" t="s">
        <v>20</v>
      </c>
      <c r="D134" s="5">
        <v>5</v>
      </c>
      <c r="E134" s="15"/>
      <c r="F134" s="15" t="s">
        <v>22</v>
      </c>
      <c r="G134" s="32">
        <v>9300</v>
      </c>
      <c r="H134" s="32">
        <v>16820</v>
      </c>
      <c r="I134" s="32"/>
      <c r="J134" s="32"/>
      <c r="K134" s="32"/>
      <c r="L134" s="32"/>
      <c r="M134" s="13"/>
      <c r="N134" s="12"/>
      <c r="O134" s="12"/>
      <c r="P134" s="8" t="s">
        <v>34</v>
      </c>
    </row>
    <row r="135" spans="1:16" ht="24" customHeight="1" x14ac:dyDescent="0.25">
      <c r="A135" s="10">
        <v>47</v>
      </c>
      <c r="B135" s="9">
        <v>0.11319444444444444</v>
      </c>
      <c r="C135" s="5" t="s">
        <v>20</v>
      </c>
      <c r="D135" s="5">
        <v>8</v>
      </c>
      <c r="E135" s="15"/>
      <c r="F135" s="15" t="s">
        <v>22</v>
      </c>
      <c r="G135" s="32">
        <v>2980</v>
      </c>
      <c r="H135" s="32">
        <v>4620</v>
      </c>
      <c r="I135" s="32"/>
      <c r="J135" s="32"/>
      <c r="K135" s="32"/>
      <c r="L135" s="32"/>
      <c r="M135" s="13"/>
      <c r="N135" s="12"/>
      <c r="O135" s="12"/>
      <c r="P135" s="8" t="s">
        <v>40</v>
      </c>
    </row>
    <row r="136" spans="1:16" ht="24" customHeight="1" x14ac:dyDescent="0.25">
      <c r="A136" s="10">
        <v>48</v>
      </c>
      <c r="B136" s="9">
        <v>0.11388888888888889</v>
      </c>
      <c r="C136" s="5" t="s">
        <v>20</v>
      </c>
      <c r="D136" s="5">
        <v>9</v>
      </c>
      <c r="E136" s="15"/>
      <c r="F136" s="15" t="s">
        <v>29</v>
      </c>
      <c r="G136" s="32">
        <v>6640</v>
      </c>
      <c r="H136" s="32">
        <v>10740</v>
      </c>
      <c r="I136" s="32">
        <v>10280</v>
      </c>
      <c r="J136" s="32"/>
      <c r="K136" s="32"/>
      <c r="L136" s="32"/>
      <c r="M136" s="13"/>
      <c r="N136" s="12"/>
      <c r="O136" s="12"/>
      <c r="P136" s="8" t="s">
        <v>40</v>
      </c>
    </row>
    <row r="137" spans="1:16" ht="24" customHeight="1" x14ac:dyDescent="0.25">
      <c r="A137" s="10">
        <v>49</v>
      </c>
      <c r="B137" s="9">
        <v>0.11805555555555557</v>
      </c>
      <c r="C137" s="5" t="s">
        <v>20</v>
      </c>
      <c r="D137" s="5">
        <v>9</v>
      </c>
      <c r="E137" s="15"/>
      <c r="F137" s="15" t="s">
        <v>29</v>
      </c>
      <c r="G137" s="32">
        <v>6040</v>
      </c>
      <c r="H137" s="32">
        <v>10280</v>
      </c>
      <c r="I137" s="32">
        <v>10240</v>
      </c>
      <c r="J137" s="32"/>
      <c r="K137" s="32"/>
      <c r="L137" s="32"/>
      <c r="M137" s="13"/>
      <c r="N137" s="12"/>
      <c r="O137" s="12"/>
      <c r="P137" s="8" t="s">
        <v>40</v>
      </c>
    </row>
    <row r="138" spans="1:16" ht="24" customHeight="1" x14ac:dyDescent="0.25">
      <c r="A138" s="10">
        <v>50</v>
      </c>
      <c r="B138" s="9">
        <v>0.11944444444444445</v>
      </c>
      <c r="C138" s="5" t="s">
        <v>20</v>
      </c>
      <c r="D138" s="5">
        <v>8</v>
      </c>
      <c r="E138" s="15"/>
      <c r="F138" s="15" t="s">
        <v>22</v>
      </c>
      <c r="G138" s="32">
        <v>2560</v>
      </c>
      <c r="H138" s="32">
        <v>7360</v>
      </c>
      <c r="I138" s="32"/>
      <c r="J138" s="32"/>
      <c r="K138" s="32"/>
      <c r="L138" s="32"/>
      <c r="M138" s="13"/>
      <c r="N138" s="12"/>
      <c r="O138" s="12"/>
      <c r="P138" s="8" t="s">
        <v>40</v>
      </c>
    </row>
    <row r="139" spans="1:16" ht="24" customHeight="1" x14ac:dyDescent="0.25">
      <c r="A139" s="10">
        <v>51</v>
      </c>
      <c r="B139" s="9">
        <v>0.12430555555555556</v>
      </c>
      <c r="C139" s="5" t="s">
        <v>20</v>
      </c>
      <c r="D139" s="5">
        <v>8</v>
      </c>
      <c r="E139" s="15"/>
      <c r="F139" s="15" t="s">
        <v>22</v>
      </c>
      <c r="G139" s="32">
        <v>2600</v>
      </c>
      <c r="H139" s="32">
        <v>5560</v>
      </c>
      <c r="I139" s="32"/>
      <c r="J139" s="32"/>
      <c r="K139" s="32"/>
      <c r="L139" s="32"/>
      <c r="M139" s="13"/>
      <c r="N139" s="12"/>
      <c r="O139" s="12"/>
      <c r="P139" s="8" t="s">
        <v>41</v>
      </c>
    </row>
    <row r="140" spans="1:16" ht="24" customHeight="1" x14ac:dyDescent="0.25">
      <c r="A140" s="10">
        <v>52</v>
      </c>
      <c r="B140" s="9">
        <v>0.12638888888888888</v>
      </c>
      <c r="C140" s="5" t="s">
        <v>20</v>
      </c>
      <c r="D140" s="5">
        <v>10</v>
      </c>
      <c r="E140" s="15"/>
      <c r="F140" s="15" t="s">
        <v>27</v>
      </c>
      <c r="G140" s="32">
        <v>8980</v>
      </c>
      <c r="H140" s="32">
        <v>1580</v>
      </c>
      <c r="I140" s="32">
        <v>16980</v>
      </c>
      <c r="J140" s="32">
        <v>12340</v>
      </c>
      <c r="K140" s="32">
        <v>10380</v>
      </c>
      <c r="L140" s="32">
        <v>8920</v>
      </c>
      <c r="M140" s="13"/>
      <c r="N140" s="12"/>
      <c r="O140" s="12"/>
      <c r="P140" s="8" t="s">
        <v>40</v>
      </c>
    </row>
    <row r="141" spans="1:16" ht="24" customHeight="1" x14ac:dyDescent="0.25">
      <c r="A141" s="10">
        <v>53</v>
      </c>
      <c r="B141" s="9">
        <v>0.12708333333333333</v>
      </c>
      <c r="C141" s="5" t="s">
        <v>20</v>
      </c>
      <c r="D141" s="5">
        <v>10</v>
      </c>
      <c r="E141" s="15"/>
      <c r="F141" s="15" t="s">
        <v>25</v>
      </c>
      <c r="G141" s="32">
        <v>8600</v>
      </c>
      <c r="H141" s="32">
        <v>10540</v>
      </c>
      <c r="I141" s="32">
        <v>12600</v>
      </c>
      <c r="J141" s="32">
        <v>10880</v>
      </c>
      <c r="K141" s="32">
        <v>10540</v>
      </c>
      <c r="L141" s="32">
        <v>10720</v>
      </c>
      <c r="M141" s="13"/>
      <c r="N141" s="12"/>
      <c r="O141" s="12"/>
      <c r="P141" s="8" t="s">
        <v>40</v>
      </c>
    </row>
    <row r="142" spans="1:16" ht="24" customHeight="1" x14ac:dyDescent="0.25">
      <c r="A142" s="10">
        <v>54</v>
      </c>
      <c r="B142" s="9">
        <v>0.12847222222222224</v>
      </c>
      <c r="C142" s="5" t="s">
        <v>20</v>
      </c>
      <c r="D142" s="5">
        <v>10</v>
      </c>
      <c r="E142" s="15"/>
      <c r="F142" s="15" t="s">
        <v>27</v>
      </c>
      <c r="G142" s="32">
        <v>7960</v>
      </c>
      <c r="H142" s="32">
        <v>3940</v>
      </c>
      <c r="I142" s="32">
        <v>10200</v>
      </c>
      <c r="J142" s="32">
        <v>10720</v>
      </c>
      <c r="K142" s="32">
        <v>10740</v>
      </c>
      <c r="L142" s="32">
        <v>10360</v>
      </c>
      <c r="M142" s="13"/>
      <c r="N142" s="12"/>
      <c r="O142" s="12"/>
      <c r="P142" s="8" t="s">
        <v>40</v>
      </c>
    </row>
    <row r="143" spans="1:16" ht="24" customHeight="1" x14ac:dyDescent="0.25">
      <c r="A143" s="10">
        <v>55</v>
      </c>
      <c r="B143" s="9">
        <v>0.14583333333333334</v>
      </c>
      <c r="C143" s="5" t="s">
        <v>20</v>
      </c>
      <c r="D143" s="5">
        <v>9</v>
      </c>
      <c r="E143" s="15"/>
      <c r="F143" s="15" t="s">
        <v>29</v>
      </c>
      <c r="G143" s="32">
        <v>5360</v>
      </c>
      <c r="H143" s="32">
        <v>10100</v>
      </c>
      <c r="I143" s="32">
        <v>4260</v>
      </c>
      <c r="J143" s="32"/>
      <c r="K143" s="32"/>
      <c r="L143" s="32"/>
      <c r="M143" s="13"/>
      <c r="N143" s="12"/>
      <c r="O143" s="12"/>
      <c r="P143" s="8" t="s">
        <v>41</v>
      </c>
    </row>
    <row r="144" spans="1:16" ht="24" customHeight="1" x14ac:dyDescent="0.25">
      <c r="A144" s="10">
        <v>56</v>
      </c>
      <c r="B144" s="9">
        <v>0.14791666666666667</v>
      </c>
      <c r="C144" s="5" t="s">
        <v>20</v>
      </c>
      <c r="D144" s="5">
        <v>10</v>
      </c>
      <c r="E144" s="15"/>
      <c r="F144" s="15" t="s">
        <v>24</v>
      </c>
      <c r="G144" s="32">
        <v>8280</v>
      </c>
      <c r="H144" s="32">
        <v>10600</v>
      </c>
      <c r="I144" s="32">
        <v>10660</v>
      </c>
      <c r="J144" s="32">
        <v>11840</v>
      </c>
      <c r="K144" s="32">
        <v>11000</v>
      </c>
      <c r="L144" s="32">
        <v>10640</v>
      </c>
      <c r="M144" s="13"/>
      <c r="N144" s="12"/>
      <c r="O144" s="12"/>
      <c r="P144" s="8" t="s">
        <v>40</v>
      </c>
    </row>
    <row r="145" spans="1:16" ht="24" customHeight="1" x14ac:dyDescent="0.25">
      <c r="A145" s="10">
        <v>57</v>
      </c>
      <c r="B145" s="9">
        <v>0.15972222222222224</v>
      </c>
      <c r="C145" s="5" t="s">
        <v>20</v>
      </c>
      <c r="D145" s="5">
        <v>8</v>
      </c>
      <c r="E145" s="15"/>
      <c r="F145" s="15" t="s">
        <v>22</v>
      </c>
      <c r="G145" s="32">
        <v>7320</v>
      </c>
      <c r="H145" s="32">
        <v>14400</v>
      </c>
      <c r="I145" s="32"/>
      <c r="J145" s="32"/>
      <c r="K145" s="32"/>
      <c r="L145" s="32"/>
      <c r="M145" s="13"/>
      <c r="N145" s="12"/>
      <c r="O145" s="12"/>
      <c r="P145" s="8" t="s">
        <v>41</v>
      </c>
    </row>
    <row r="146" spans="1:16" ht="24" customHeight="1" x14ac:dyDescent="0.25">
      <c r="A146" s="10">
        <v>58</v>
      </c>
      <c r="B146" s="9">
        <v>0.16180555555555556</v>
      </c>
      <c r="C146" s="5" t="s">
        <v>20</v>
      </c>
      <c r="D146" s="5">
        <v>5</v>
      </c>
      <c r="E146" s="15"/>
      <c r="F146" s="15" t="s">
        <v>22</v>
      </c>
      <c r="G146" s="32">
        <v>8980</v>
      </c>
      <c r="H146" s="32">
        <v>12940</v>
      </c>
      <c r="I146" s="32"/>
      <c r="J146" s="32"/>
      <c r="K146" s="32"/>
      <c r="L146" s="32"/>
      <c r="M146" s="13"/>
      <c r="N146" s="12"/>
      <c r="O146" s="12"/>
      <c r="P146" s="8" t="s">
        <v>34</v>
      </c>
    </row>
    <row r="147" spans="1:16" ht="24" customHeight="1" x14ac:dyDescent="0.25">
      <c r="A147" s="10">
        <v>59</v>
      </c>
      <c r="B147" s="9">
        <v>0.16666666666666666</v>
      </c>
      <c r="C147" s="5" t="s">
        <v>20</v>
      </c>
      <c r="D147" s="5">
        <v>8</v>
      </c>
      <c r="E147" s="15"/>
      <c r="F147" s="15" t="s">
        <v>22</v>
      </c>
      <c r="G147" s="32">
        <v>4220</v>
      </c>
      <c r="H147" s="32">
        <v>10440</v>
      </c>
      <c r="I147" s="32"/>
      <c r="J147" s="32"/>
      <c r="K147" s="32"/>
      <c r="L147" s="32"/>
      <c r="M147" s="13"/>
      <c r="N147" s="12"/>
      <c r="O147" s="12"/>
      <c r="P147" s="8" t="s">
        <v>34</v>
      </c>
    </row>
    <row r="148" spans="1:16" ht="24" customHeight="1" x14ac:dyDescent="0.25">
      <c r="A148" s="10">
        <v>60</v>
      </c>
      <c r="B148" s="9">
        <v>0.17083333333333331</v>
      </c>
      <c r="C148" s="5" t="s">
        <v>20</v>
      </c>
      <c r="D148" s="5">
        <v>10</v>
      </c>
      <c r="E148" s="15"/>
      <c r="F148" s="15" t="s">
        <v>25</v>
      </c>
      <c r="G148" s="32">
        <v>7720</v>
      </c>
      <c r="H148" s="32">
        <v>7340</v>
      </c>
      <c r="I148" s="32">
        <v>10680</v>
      </c>
      <c r="J148" s="32">
        <v>10720</v>
      </c>
      <c r="K148" s="32">
        <v>10840</v>
      </c>
      <c r="L148" s="32">
        <v>10760</v>
      </c>
      <c r="M148" s="13"/>
      <c r="N148" s="12"/>
      <c r="O148" s="12"/>
      <c r="P148" s="8" t="s">
        <v>40</v>
      </c>
    </row>
    <row r="149" spans="1:16" ht="24" customHeight="1" x14ac:dyDescent="0.25">
      <c r="A149" s="10">
        <v>61</v>
      </c>
      <c r="B149" s="9">
        <v>0.17777777777777778</v>
      </c>
      <c r="C149" s="5" t="s">
        <v>20</v>
      </c>
      <c r="D149" s="5">
        <v>5</v>
      </c>
      <c r="E149" s="15"/>
      <c r="F149" s="15" t="s">
        <v>22</v>
      </c>
      <c r="G149" s="32">
        <v>8760</v>
      </c>
      <c r="H149" s="32">
        <v>10940</v>
      </c>
      <c r="I149" s="32"/>
      <c r="J149" s="32"/>
      <c r="K149" s="32"/>
      <c r="L149" s="32"/>
      <c r="M149" s="13"/>
      <c r="N149" s="12"/>
      <c r="O149" s="12"/>
      <c r="P149" s="8" t="s">
        <v>34</v>
      </c>
    </row>
    <row r="150" spans="1:16" ht="24" customHeight="1" thickBot="1" x14ac:dyDescent="0.3">
      <c r="A150" s="11"/>
      <c r="B150" s="9"/>
      <c r="C150" s="5"/>
      <c r="D150" s="5"/>
      <c r="E150" s="15"/>
      <c r="F150" s="15"/>
      <c r="G150" s="13"/>
      <c r="H150" s="13"/>
      <c r="I150" s="13"/>
      <c r="J150" s="13"/>
      <c r="K150" s="13"/>
      <c r="L150" s="13"/>
      <c r="M150" s="13"/>
      <c r="N150" s="12"/>
      <c r="O150" s="12"/>
      <c r="P150" s="8"/>
    </row>
    <row r="151" spans="1:16" ht="24" customHeight="1" thickBot="1" x14ac:dyDescent="0.3">
      <c r="A151" s="11"/>
      <c r="B151" s="9"/>
      <c r="C151" s="5"/>
      <c r="D151" s="5"/>
      <c r="E151" s="15"/>
      <c r="F151" s="15"/>
      <c r="G151" s="13"/>
      <c r="H151" s="13"/>
      <c r="I151" s="13"/>
      <c r="J151" s="13"/>
      <c r="K151" s="13"/>
      <c r="L151" s="13"/>
      <c r="M151" s="13"/>
      <c r="N151" s="12"/>
      <c r="O151" s="12"/>
      <c r="P151" s="8"/>
    </row>
    <row r="152" spans="1:16" ht="24" customHeight="1" thickBot="1" x14ac:dyDescent="0.3">
      <c r="A152" s="11"/>
      <c r="B152" s="9"/>
      <c r="C152" s="5"/>
      <c r="D152" s="5"/>
      <c r="E152" s="15"/>
      <c r="F152" s="15"/>
      <c r="G152" s="13"/>
      <c r="H152" s="13"/>
      <c r="I152" s="13"/>
      <c r="J152" s="13"/>
      <c r="K152" s="13"/>
      <c r="L152" s="13"/>
      <c r="M152" s="13"/>
      <c r="N152" s="12"/>
      <c r="O152" s="12"/>
      <c r="P152" s="8"/>
    </row>
    <row r="153" spans="1:16" ht="24" customHeight="1" thickBot="1" x14ac:dyDescent="0.3">
      <c r="A153" s="11"/>
      <c r="B153" s="9"/>
      <c r="C153" s="5"/>
      <c r="D153" s="5"/>
      <c r="E153" s="15"/>
      <c r="F153" s="15"/>
      <c r="G153" s="13"/>
      <c r="H153" s="13"/>
      <c r="I153" s="13"/>
      <c r="J153" s="13"/>
      <c r="K153" s="13"/>
      <c r="L153" s="13"/>
      <c r="M153" s="13"/>
      <c r="N153" s="12"/>
      <c r="O153" s="12"/>
      <c r="P153" s="8"/>
    </row>
    <row r="154" spans="1:16" ht="24" customHeight="1" thickBot="1" x14ac:dyDescent="0.3">
      <c r="A154" s="11"/>
      <c r="B154" s="9"/>
      <c r="C154" s="5"/>
      <c r="D154" s="5"/>
      <c r="E154" s="15"/>
      <c r="F154" s="15"/>
      <c r="G154" s="13"/>
      <c r="H154" s="13"/>
      <c r="I154" s="13"/>
      <c r="J154" s="13"/>
      <c r="K154" s="13"/>
      <c r="L154" s="13"/>
      <c r="M154" s="13"/>
      <c r="N154" s="12"/>
      <c r="O154" s="12"/>
      <c r="P154" s="8"/>
    </row>
    <row r="155" spans="1:16" ht="24" customHeight="1" thickBot="1" x14ac:dyDescent="0.3">
      <c r="A155" s="11"/>
      <c r="B155" s="9"/>
      <c r="C155" s="5"/>
      <c r="D155" s="5"/>
      <c r="E155" s="15"/>
      <c r="F155" s="15"/>
      <c r="G155" s="13"/>
      <c r="H155" s="13"/>
      <c r="I155" s="13"/>
      <c r="J155" s="13"/>
      <c r="K155" s="13"/>
      <c r="L155" s="13"/>
      <c r="M155" s="13"/>
      <c r="N155" s="12"/>
      <c r="O155" s="12"/>
      <c r="P155" s="8"/>
    </row>
    <row r="156" spans="1:16" ht="24" customHeight="1" thickBot="1" x14ac:dyDescent="0.3">
      <c r="A156" s="11"/>
      <c r="B156" s="9"/>
      <c r="C156" s="5"/>
      <c r="D156" s="5"/>
      <c r="E156" s="15"/>
      <c r="F156" s="15"/>
      <c r="G156" s="13"/>
      <c r="H156" s="13"/>
      <c r="I156" s="13"/>
      <c r="J156" s="13"/>
      <c r="K156" s="13"/>
      <c r="L156" s="13"/>
      <c r="M156" s="13"/>
      <c r="N156" s="12"/>
      <c r="O156" s="12"/>
      <c r="P156" s="8"/>
    </row>
    <row r="157" spans="1:16" ht="24" customHeight="1" thickBot="1" x14ac:dyDescent="0.3">
      <c r="A157" s="11"/>
      <c r="B157" s="9"/>
      <c r="C157" s="5"/>
      <c r="D157" s="5"/>
      <c r="E157" s="15"/>
      <c r="F157" s="15"/>
      <c r="G157" s="13"/>
      <c r="H157" s="13"/>
      <c r="I157" s="13"/>
      <c r="J157" s="13"/>
      <c r="K157" s="13"/>
      <c r="L157" s="13"/>
      <c r="M157" s="13"/>
      <c r="N157" s="12"/>
      <c r="O157" s="12"/>
      <c r="P157" s="8"/>
    </row>
    <row r="158" spans="1:16" ht="24" customHeight="1" thickBot="1" x14ac:dyDescent="0.3">
      <c r="A158" s="11"/>
      <c r="B158" s="9"/>
      <c r="C158" s="5"/>
      <c r="D158" s="5"/>
      <c r="E158" s="15"/>
      <c r="F158" s="15"/>
      <c r="G158" s="13"/>
      <c r="H158" s="13"/>
      <c r="I158" s="13"/>
      <c r="J158" s="13"/>
      <c r="K158" s="13"/>
      <c r="L158" s="13"/>
      <c r="M158" s="13"/>
      <c r="N158" s="12"/>
      <c r="O158" s="12"/>
      <c r="P158" s="8"/>
    </row>
    <row r="159" spans="1:16" ht="24" customHeight="1" thickBot="1" x14ac:dyDescent="0.3">
      <c r="A159" s="11"/>
      <c r="B159" s="9"/>
      <c r="C159" s="5"/>
      <c r="D159" s="5"/>
      <c r="E159" s="15"/>
      <c r="F159" s="15"/>
      <c r="G159" s="13"/>
      <c r="H159" s="13"/>
      <c r="I159" s="13"/>
      <c r="J159" s="13"/>
      <c r="K159" s="13"/>
      <c r="L159" s="13"/>
      <c r="M159" s="13"/>
      <c r="N159" s="12"/>
      <c r="O159" s="12"/>
      <c r="P159" s="8"/>
    </row>
    <row r="160" spans="1:16" ht="24" customHeight="1" thickBot="1" x14ac:dyDescent="0.3">
      <c r="A160" s="11"/>
      <c r="B160" s="9"/>
      <c r="C160" s="5"/>
      <c r="D160" s="5"/>
      <c r="E160" s="15"/>
      <c r="F160" s="15"/>
      <c r="G160" s="13"/>
      <c r="H160" s="13"/>
      <c r="I160" s="13"/>
      <c r="J160" s="13"/>
      <c r="K160" s="13"/>
      <c r="L160" s="13"/>
      <c r="M160" s="13"/>
      <c r="N160" s="12"/>
      <c r="O160" s="12"/>
      <c r="P160" s="8"/>
    </row>
    <row r="161" spans="1:16" ht="24" customHeight="1" thickBot="1" x14ac:dyDescent="0.3">
      <c r="A161" s="11"/>
      <c r="B161" s="9"/>
      <c r="C161" s="5"/>
      <c r="D161" s="5"/>
      <c r="E161" s="15"/>
      <c r="F161" s="15"/>
      <c r="G161" s="13"/>
      <c r="H161" s="13"/>
      <c r="I161" s="13"/>
      <c r="J161" s="13"/>
      <c r="K161" s="13"/>
      <c r="L161" s="13"/>
      <c r="M161" s="13"/>
      <c r="N161" s="12"/>
      <c r="O161" s="12"/>
      <c r="P161" s="8"/>
    </row>
    <row r="162" spans="1:16" ht="24" customHeight="1" thickBot="1" x14ac:dyDescent="0.3">
      <c r="A162" s="11"/>
      <c r="B162" s="9"/>
      <c r="C162" s="5"/>
      <c r="D162" s="5"/>
      <c r="E162" s="15"/>
      <c r="F162" s="15"/>
      <c r="G162" s="13"/>
      <c r="H162" s="13"/>
      <c r="I162" s="13"/>
      <c r="J162" s="13"/>
      <c r="K162" s="13"/>
      <c r="L162" s="13"/>
      <c r="M162" s="13"/>
      <c r="N162" s="12"/>
      <c r="O162" s="12"/>
      <c r="P162" s="8"/>
    </row>
    <row r="163" spans="1:16" ht="24" customHeight="1" thickBot="1" x14ac:dyDescent="0.3">
      <c r="A163" s="11"/>
      <c r="B163" s="9"/>
      <c r="C163" s="5"/>
      <c r="D163" s="5"/>
      <c r="E163" s="15"/>
      <c r="F163" s="15"/>
      <c r="G163" s="13"/>
      <c r="H163" s="13"/>
      <c r="I163" s="13"/>
      <c r="J163" s="13"/>
      <c r="K163" s="13"/>
      <c r="L163" s="13"/>
      <c r="M163" s="13"/>
      <c r="N163" s="12"/>
      <c r="O163" s="12"/>
      <c r="P163" s="8"/>
    </row>
    <row r="164" spans="1:16" ht="24" customHeight="1" thickBot="1" x14ac:dyDescent="0.3">
      <c r="A164" s="11"/>
      <c r="B164" s="9"/>
      <c r="C164" s="5"/>
      <c r="D164" s="5"/>
      <c r="E164" s="15"/>
      <c r="F164" s="15"/>
      <c r="G164" s="13"/>
      <c r="H164" s="13"/>
      <c r="I164" s="13"/>
      <c r="J164" s="13"/>
      <c r="K164" s="13"/>
      <c r="L164" s="13"/>
      <c r="M164" s="13"/>
      <c r="N164" s="12"/>
      <c r="O164" s="12"/>
      <c r="P164" s="8"/>
    </row>
    <row r="165" spans="1:16" ht="24" customHeight="1" thickBot="1" x14ac:dyDescent="0.3">
      <c r="A165" s="11"/>
      <c r="B165" s="9"/>
      <c r="C165" s="5"/>
      <c r="D165" s="5"/>
      <c r="E165" s="15"/>
      <c r="F165" s="15"/>
      <c r="G165" s="13"/>
      <c r="H165" s="13"/>
      <c r="I165" s="13"/>
      <c r="J165" s="13"/>
      <c r="K165" s="13"/>
      <c r="L165" s="13"/>
      <c r="M165" s="13"/>
      <c r="N165" s="12"/>
      <c r="O165" s="12"/>
      <c r="P165" s="8"/>
    </row>
    <row r="166" spans="1:16" ht="24" customHeight="1" thickBot="1" x14ac:dyDescent="0.3">
      <c r="A166" s="11"/>
      <c r="B166" s="9"/>
      <c r="C166" s="5"/>
      <c r="D166" s="5"/>
      <c r="E166" s="15"/>
      <c r="F166" s="15"/>
      <c r="G166" s="13"/>
      <c r="H166" s="13"/>
      <c r="I166" s="13"/>
      <c r="J166" s="13"/>
      <c r="K166" s="13"/>
      <c r="L166" s="13"/>
      <c r="M166" s="13"/>
      <c r="N166" s="12"/>
      <c r="O166" s="12"/>
      <c r="P166" s="8"/>
    </row>
    <row r="167" spans="1:16" ht="24" customHeight="1" thickBot="1" x14ac:dyDescent="0.3">
      <c r="A167" s="11"/>
      <c r="B167" s="9"/>
      <c r="C167" s="5"/>
      <c r="D167" s="5"/>
      <c r="E167" s="15"/>
      <c r="F167" s="15"/>
      <c r="G167" s="13"/>
      <c r="H167" s="13"/>
      <c r="I167" s="13"/>
      <c r="J167" s="13"/>
      <c r="K167" s="13"/>
      <c r="L167" s="13"/>
      <c r="M167" s="13"/>
      <c r="N167" s="12"/>
      <c r="O167" s="12"/>
      <c r="P167" s="8"/>
    </row>
    <row r="168" spans="1:16" ht="24" customHeight="1" thickBot="1" x14ac:dyDescent="0.3">
      <c r="A168" s="11"/>
      <c r="B168" s="9"/>
      <c r="C168" s="5"/>
      <c r="D168" s="5"/>
      <c r="E168" s="15"/>
      <c r="F168" s="15"/>
      <c r="G168" s="13"/>
      <c r="H168" s="13"/>
      <c r="I168" s="13"/>
      <c r="J168" s="13"/>
      <c r="K168" s="13"/>
      <c r="L168" s="13"/>
      <c r="M168" s="13"/>
      <c r="N168" s="12"/>
      <c r="O168" s="12"/>
      <c r="P168" s="8"/>
    </row>
    <row r="169" spans="1:16" ht="24" customHeight="1" thickBot="1" x14ac:dyDescent="0.3">
      <c r="A169" s="11"/>
      <c r="B169" s="9"/>
      <c r="C169" s="5"/>
      <c r="D169" s="5"/>
      <c r="E169" s="15"/>
      <c r="F169" s="15"/>
      <c r="G169" s="13"/>
      <c r="H169" s="13"/>
      <c r="I169" s="13"/>
      <c r="J169" s="13"/>
      <c r="K169" s="13"/>
      <c r="L169" s="13"/>
      <c r="M169" s="13"/>
      <c r="N169" s="12"/>
      <c r="O169" s="12"/>
      <c r="P169" s="8"/>
    </row>
    <row r="170" spans="1:16" ht="24" customHeight="1" thickBot="1" x14ac:dyDescent="0.3">
      <c r="A170" s="11"/>
      <c r="B170" s="9"/>
      <c r="C170" s="5"/>
      <c r="D170" s="5"/>
      <c r="E170" s="15"/>
      <c r="F170" s="15"/>
      <c r="G170" s="13"/>
      <c r="H170" s="13"/>
      <c r="I170" s="13"/>
      <c r="J170" s="13"/>
      <c r="K170" s="13"/>
      <c r="L170" s="13"/>
      <c r="M170" s="13"/>
      <c r="N170" s="12"/>
      <c r="O170" s="12"/>
      <c r="P170" s="8"/>
    </row>
    <row r="171" spans="1:16" ht="24" customHeight="1" thickBot="1" x14ac:dyDescent="0.3">
      <c r="A171" s="11"/>
      <c r="B171" s="9"/>
      <c r="C171" s="5"/>
      <c r="D171" s="5"/>
      <c r="E171" s="15"/>
      <c r="F171" s="15"/>
      <c r="G171" s="13"/>
      <c r="H171" s="13"/>
      <c r="I171" s="13"/>
      <c r="J171" s="13"/>
      <c r="K171" s="13"/>
      <c r="L171" s="13"/>
      <c r="M171" s="13"/>
      <c r="N171" s="12"/>
      <c r="O171" s="12"/>
      <c r="P171" s="8"/>
    </row>
    <row r="172" spans="1:16" ht="24" customHeight="1" thickBot="1" x14ac:dyDescent="0.3">
      <c r="A172" s="11"/>
      <c r="B172" s="9"/>
      <c r="C172" s="5"/>
      <c r="D172" s="5"/>
      <c r="E172" s="15"/>
      <c r="F172" s="15"/>
      <c r="G172" s="13"/>
      <c r="H172" s="13"/>
      <c r="I172" s="13"/>
      <c r="J172" s="13"/>
      <c r="K172" s="13"/>
      <c r="L172" s="13"/>
      <c r="M172" s="13"/>
      <c r="N172" s="12"/>
      <c r="O172" s="12"/>
      <c r="P172" s="8"/>
    </row>
    <row r="173" spans="1:16" ht="24" customHeight="1" thickBot="1" x14ac:dyDescent="0.3">
      <c r="A173" s="11"/>
      <c r="B173" s="9"/>
      <c r="C173" s="5"/>
      <c r="D173" s="5"/>
      <c r="E173" s="15"/>
      <c r="F173" s="15"/>
      <c r="G173" s="13"/>
      <c r="H173" s="13"/>
      <c r="I173" s="13"/>
      <c r="J173" s="13"/>
      <c r="K173" s="13"/>
      <c r="L173" s="13"/>
      <c r="M173" s="13"/>
      <c r="N173" s="12"/>
      <c r="O173" s="12"/>
      <c r="P173" s="8"/>
    </row>
    <row r="174" spans="1:16" ht="24" customHeight="1" thickBot="1" x14ac:dyDescent="0.3">
      <c r="A174" s="11"/>
      <c r="B174" s="9"/>
      <c r="C174" s="5"/>
      <c r="D174" s="5"/>
      <c r="E174" s="15"/>
      <c r="F174" s="15"/>
      <c r="G174" s="13"/>
      <c r="H174" s="13"/>
      <c r="I174" s="13"/>
      <c r="J174" s="13"/>
      <c r="K174" s="13"/>
      <c r="L174" s="13"/>
      <c r="M174" s="13"/>
      <c r="N174" s="12"/>
      <c r="O174" s="12"/>
      <c r="P174" s="8"/>
    </row>
    <row r="175" spans="1:16" ht="24" customHeight="1" thickBot="1" x14ac:dyDescent="0.3">
      <c r="A175" s="11"/>
      <c r="B175" s="9"/>
      <c r="C175" s="5"/>
      <c r="D175" s="5"/>
      <c r="E175" s="15"/>
      <c r="F175" s="15"/>
      <c r="G175" s="13"/>
      <c r="H175" s="13"/>
      <c r="I175" s="13"/>
      <c r="J175" s="13"/>
      <c r="K175" s="13"/>
      <c r="L175" s="13"/>
      <c r="M175" s="13"/>
      <c r="N175" s="12"/>
      <c r="O175" s="12"/>
      <c r="P175" s="8"/>
    </row>
    <row r="176" spans="1:16" ht="24" customHeight="1" thickBot="1" x14ac:dyDescent="0.3">
      <c r="A176" s="11"/>
      <c r="B176" s="9"/>
      <c r="C176" s="5"/>
      <c r="D176" s="5"/>
      <c r="E176" s="15"/>
      <c r="F176" s="15"/>
      <c r="G176" s="13"/>
      <c r="H176" s="13"/>
      <c r="I176" s="13"/>
      <c r="J176" s="13"/>
      <c r="K176" s="13"/>
      <c r="L176" s="13"/>
      <c r="M176" s="13"/>
      <c r="N176" s="12"/>
      <c r="O176" s="12"/>
      <c r="P176" s="8"/>
    </row>
    <row r="177" spans="1:16" ht="24" customHeight="1" thickBot="1" x14ac:dyDescent="0.3">
      <c r="A177" s="11"/>
      <c r="B177" s="9"/>
      <c r="C177" s="5"/>
      <c r="D177" s="5"/>
      <c r="E177" s="15"/>
      <c r="F177" s="15"/>
      <c r="G177" s="13"/>
      <c r="H177" s="13"/>
      <c r="I177" s="13"/>
      <c r="J177" s="13"/>
      <c r="K177" s="13"/>
      <c r="L177" s="13"/>
      <c r="M177" s="13"/>
      <c r="N177" s="12"/>
      <c r="O177" s="12"/>
      <c r="P177" s="8"/>
    </row>
    <row r="178" spans="1:16" ht="24" customHeight="1" thickBot="1" x14ac:dyDescent="0.3">
      <c r="A178" s="11"/>
      <c r="B178" s="9"/>
      <c r="C178" s="5"/>
      <c r="D178" s="5"/>
      <c r="E178" s="15"/>
      <c r="F178" s="15"/>
      <c r="G178" s="13"/>
      <c r="H178" s="13"/>
      <c r="I178" s="13"/>
      <c r="J178" s="13"/>
      <c r="K178" s="13"/>
      <c r="L178" s="13"/>
      <c r="M178" s="13"/>
      <c r="N178" s="12"/>
      <c r="O178" s="12"/>
      <c r="P178" s="8"/>
    </row>
    <row r="179" spans="1:16" ht="24" customHeight="1" thickBot="1" x14ac:dyDescent="0.3">
      <c r="A179" s="11"/>
      <c r="B179" s="9"/>
      <c r="C179" s="5"/>
      <c r="D179" s="5"/>
      <c r="E179" s="15"/>
      <c r="F179" s="15"/>
      <c r="G179" s="13"/>
      <c r="H179" s="13"/>
      <c r="I179" s="13"/>
      <c r="J179" s="13"/>
      <c r="K179" s="13"/>
      <c r="L179" s="13"/>
      <c r="M179" s="13"/>
      <c r="N179" s="12"/>
      <c r="O179" s="12"/>
      <c r="P179" s="8"/>
    </row>
    <row r="180" spans="1:16" ht="24" customHeight="1" thickBot="1" x14ac:dyDescent="0.3">
      <c r="A180" s="11"/>
      <c r="B180" s="9"/>
      <c r="C180" s="5"/>
      <c r="D180" s="5"/>
      <c r="E180" s="15"/>
      <c r="F180" s="15"/>
      <c r="G180" s="13"/>
      <c r="H180" s="13"/>
      <c r="I180" s="13"/>
      <c r="J180" s="13"/>
      <c r="K180" s="13"/>
      <c r="L180" s="13"/>
      <c r="M180" s="13"/>
      <c r="N180" s="12"/>
      <c r="O180" s="12"/>
      <c r="P180" s="8"/>
    </row>
    <row r="181" spans="1:16" ht="24" customHeight="1" thickBot="1" x14ac:dyDescent="0.3">
      <c r="A181" s="11"/>
      <c r="B181" s="9"/>
      <c r="C181" s="5"/>
      <c r="D181" s="5"/>
      <c r="E181" s="15"/>
      <c r="F181" s="15"/>
      <c r="G181" s="13"/>
      <c r="H181" s="13"/>
      <c r="I181" s="13"/>
      <c r="J181" s="13"/>
      <c r="K181" s="13"/>
      <c r="L181" s="13"/>
      <c r="M181" s="13"/>
      <c r="N181" s="12"/>
      <c r="O181" s="12"/>
      <c r="P181" s="8"/>
    </row>
    <row r="182" spans="1:16" ht="24" customHeight="1" thickBot="1" x14ac:dyDescent="0.3">
      <c r="A182" s="11"/>
      <c r="B182" s="9"/>
      <c r="C182" s="5"/>
      <c r="D182" s="5"/>
      <c r="E182" s="15"/>
      <c r="F182" s="15"/>
      <c r="G182" s="13"/>
      <c r="H182" s="13"/>
      <c r="I182" s="13"/>
      <c r="J182" s="13"/>
      <c r="K182" s="13"/>
      <c r="L182" s="13"/>
      <c r="M182" s="13"/>
      <c r="N182" s="12"/>
      <c r="O182" s="12"/>
      <c r="P182" s="8"/>
    </row>
    <row r="183" spans="1:16" ht="24" customHeight="1" thickBot="1" x14ac:dyDescent="0.3">
      <c r="A183" s="11"/>
      <c r="B183" s="9"/>
      <c r="C183" s="5"/>
      <c r="D183" s="5"/>
      <c r="E183" s="15"/>
      <c r="F183" s="15"/>
      <c r="G183" s="13"/>
      <c r="H183" s="13"/>
      <c r="I183" s="13"/>
      <c r="J183" s="13"/>
      <c r="K183" s="13"/>
      <c r="L183" s="13"/>
      <c r="M183" s="13"/>
      <c r="N183" s="12"/>
      <c r="O183" s="12"/>
      <c r="P183" s="8"/>
    </row>
    <row r="184" spans="1:16" ht="24" customHeight="1" thickBot="1" x14ac:dyDescent="0.3">
      <c r="A184" s="11"/>
      <c r="B184" s="9"/>
      <c r="C184" s="5"/>
      <c r="D184" s="5"/>
      <c r="E184" s="15"/>
      <c r="F184" s="15"/>
      <c r="G184" s="13"/>
      <c r="H184" s="13"/>
      <c r="I184" s="13"/>
      <c r="J184" s="13"/>
      <c r="K184" s="13"/>
      <c r="L184" s="13"/>
      <c r="M184" s="13"/>
      <c r="N184" s="12"/>
      <c r="O184" s="12"/>
      <c r="P184" s="8"/>
    </row>
    <row r="185" spans="1:16" ht="24" customHeight="1" thickBot="1" x14ac:dyDescent="0.3">
      <c r="A185" s="11"/>
      <c r="B185" s="9"/>
      <c r="C185" s="5"/>
      <c r="D185" s="5"/>
      <c r="E185" s="15"/>
      <c r="F185" s="15"/>
      <c r="G185" s="13"/>
      <c r="H185" s="13"/>
      <c r="I185" s="13"/>
      <c r="J185" s="13"/>
      <c r="K185" s="13"/>
      <c r="L185" s="13"/>
      <c r="M185" s="13"/>
      <c r="N185" s="12"/>
      <c r="O185" s="12"/>
      <c r="P185" s="8"/>
    </row>
    <row r="186" spans="1:16" ht="24" customHeight="1" thickBot="1" x14ac:dyDescent="0.3">
      <c r="A186" s="11"/>
      <c r="B186" s="9"/>
      <c r="C186" s="5"/>
      <c r="D186" s="5"/>
      <c r="E186" s="15"/>
      <c r="F186" s="15"/>
      <c r="G186" s="13"/>
      <c r="H186" s="13"/>
      <c r="I186" s="13"/>
      <c r="J186" s="13"/>
      <c r="K186" s="13"/>
      <c r="L186" s="13"/>
      <c r="M186" s="13"/>
      <c r="N186" s="12"/>
      <c r="O186" s="12"/>
      <c r="P186" s="8"/>
    </row>
    <row r="187" spans="1:16" ht="24" customHeight="1" thickBot="1" x14ac:dyDescent="0.3">
      <c r="A187" s="11"/>
      <c r="B187" s="9"/>
      <c r="C187" s="5"/>
      <c r="D187" s="5"/>
      <c r="E187" s="15"/>
      <c r="F187" s="15"/>
      <c r="G187" s="13"/>
      <c r="H187" s="13"/>
      <c r="I187" s="13"/>
      <c r="J187" s="13"/>
      <c r="K187" s="13"/>
      <c r="L187" s="13"/>
      <c r="M187" s="13"/>
      <c r="N187" s="12"/>
      <c r="O187" s="12"/>
      <c r="P187" s="8"/>
    </row>
    <row r="188" spans="1:16" ht="24" customHeight="1" thickBot="1" x14ac:dyDescent="0.3">
      <c r="A188" s="11"/>
      <c r="B188" s="9"/>
      <c r="C188" s="5"/>
      <c r="D188" s="5"/>
      <c r="E188" s="15"/>
      <c r="F188" s="15"/>
      <c r="G188" s="13"/>
      <c r="H188" s="13"/>
      <c r="I188" s="13"/>
      <c r="J188" s="13"/>
      <c r="K188" s="13"/>
      <c r="L188" s="13"/>
      <c r="M188" s="13"/>
      <c r="N188" s="12"/>
      <c r="O188" s="12"/>
      <c r="P188" s="8"/>
    </row>
    <row r="189" spans="1:16" ht="24" customHeight="1" thickBot="1" x14ac:dyDescent="0.3">
      <c r="A189" s="11"/>
      <c r="B189" s="9"/>
      <c r="C189" s="5"/>
      <c r="D189" s="5"/>
      <c r="E189" s="15"/>
      <c r="F189" s="15"/>
      <c r="G189" s="13"/>
      <c r="H189" s="13"/>
      <c r="I189" s="13"/>
      <c r="J189" s="13"/>
      <c r="K189" s="13"/>
      <c r="L189" s="13"/>
      <c r="M189" s="13"/>
      <c r="N189" s="12"/>
      <c r="O189" s="12"/>
      <c r="P189" s="8"/>
    </row>
    <row r="190" spans="1:16" ht="24" customHeight="1" thickBot="1" x14ac:dyDescent="0.3">
      <c r="A190" s="11"/>
      <c r="B190" s="9"/>
      <c r="C190" s="5"/>
      <c r="D190" s="5"/>
      <c r="E190" s="15"/>
      <c r="F190" s="15"/>
      <c r="G190" s="13"/>
      <c r="H190" s="13"/>
      <c r="I190" s="13"/>
      <c r="J190" s="13"/>
      <c r="K190" s="13"/>
      <c r="L190" s="13"/>
      <c r="M190" s="13"/>
      <c r="N190" s="12"/>
      <c r="O190" s="12"/>
      <c r="P190" s="8"/>
    </row>
    <row r="191" spans="1:16" ht="24" customHeight="1" thickBot="1" x14ac:dyDescent="0.3">
      <c r="A191" s="11"/>
      <c r="B191" s="9"/>
      <c r="C191" s="5"/>
      <c r="D191" s="5"/>
      <c r="E191" s="15"/>
      <c r="F191" s="15"/>
      <c r="G191" s="13"/>
      <c r="H191" s="13"/>
      <c r="I191" s="13"/>
      <c r="J191" s="13"/>
      <c r="K191" s="13"/>
      <c r="L191" s="13"/>
      <c r="M191" s="13"/>
      <c r="N191" s="12"/>
      <c r="O191" s="12"/>
      <c r="P191" s="8"/>
    </row>
    <row r="192" spans="1:16" ht="24" customHeight="1" thickBot="1" x14ac:dyDescent="0.3">
      <c r="A192" s="11"/>
      <c r="B192" s="9"/>
      <c r="C192" s="5"/>
      <c r="D192" s="5"/>
      <c r="E192" s="15"/>
      <c r="F192" s="15"/>
      <c r="G192" s="13"/>
      <c r="H192" s="13"/>
      <c r="I192" s="13"/>
      <c r="J192" s="13"/>
      <c r="K192" s="13"/>
      <c r="L192" s="13"/>
      <c r="M192" s="13"/>
      <c r="N192" s="12"/>
      <c r="O192" s="12"/>
      <c r="P192" s="8"/>
    </row>
    <row r="193" spans="1:16" ht="24" customHeight="1" thickBot="1" x14ac:dyDescent="0.3">
      <c r="A193" s="11"/>
      <c r="B193" s="9"/>
      <c r="C193" s="5"/>
      <c r="D193" s="5"/>
      <c r="E193" s="15"/>
      <c r="F193" s="15"/>
      <c r="G193" s="13"/>
      <c r="H193" s="13"/>
      <c r="I193" s="13"/>
      <c r="J193" s="13"/>
      <c r="K193" s="13"/>
      <c r="L193" s="13"/>
      <c r="M193" s="13"/>
      <c r="N193" s="12"/>
      <c r="O193" s="12"/>
      <c r="P193" s="8"/>
    </row>
    <row r="194" spans="1:16" ht="24" customHeight="1" thickBot="1" x14ac:dyDescent="0.3">
      <c r="A194" s="11"/>
      <c r="B194" s="9"/>
      <c r="C194" s="5"/>
      <c r="D194" s="5"/>
      <c r="E194" s="15"/>
      <c r="F194" s="15"/>
      <c r="G194" s="13"/>
      <c r="H194" s="13"/>
      <c r="I194" s="13"/>
      <c r="J194" s="13"/>
      <c r="K194" s="13"/>
      <c r="L194" s="13"/>
      <c r="M194" s="13"/>
      <c r="N194" s="12"/>
      <c r="O194" s="12"/>
      <c r="P194" s="8"/>
    </row>
    <row r="195" spans="1:16" ht="24" customHeight="1" thickBot="1" x14ac:dyDescent="0.3">
      <c r="A195" s="11"/>
      <c r="B195" s="9"/>
      <c r="C195" s="5"/>
      <c r="D195" s="5"/>
      <c r="E195" s="15"/>
      <c r="F195" s="15"/>
      <c r="G195" s="13"/>
      <c r="H195" s="13"/>
      <c r="I195" s="13"/>
      <c r="J195" s="13"/>
      <c r="K195" s="13"/>
      <c r="L195" s="13"/>
      <c r="M195" s="13"/>
      <c r="N195" s="12"/>
      <c r="O195" s="12"/>
      <c r="P195" s="8"/>
    </row>
    <row r="196" spans="1:16" ht="24" customHeight="1" thickBot="1" x14ac:dyDescent="0.3">
      <c r="A196" s="11"/>
      <c r="B196" s="9"/>
      <c r="C196" s="5"/>
      <c r="D196" s="5"/>
      <c r="E196" s="15"/>
      <c r="F196" s="15"/>
      <c r="G196" s="13"/>
      <c r="H196" s="13"/>
      <c r="I196" s="13"/>
      <c r="J196" s="13"/>
      <c r="K196" s="13"/>
      <c r="L196" s="13"/>
      <c r="M196" s="13"/>
      <c r="N196" s="12"/>
      <c r="O196" s="12"/>
      <c r="P196" s="8"/>
    </row>
  </sheetData>
  <mergeCells count="13">
    <mergeCell ref="A1:P1"/>
    <mergeCell ref="P5:P6"/>
    <mergeCell ref="A2:O2"/>
    <mergeCell ref="H5:M5"/>
    <mergeCell ref="A5:A6"/>
    <mergeCell ref="B5:B6"/>
    <mergeCell ref="C5:C6"/>
    <mergeCell ref="D5:D6"/>
    <mergeCell ref="E5:E6"/>
    <mergeCell ref="F5:F6"/>
    <mergeCell ref="N5:N6"/>
    <mergeCell ref="O5:O6"/>
    <mergeCell ref="A4:B4"/>
  </mergeCells>
  <printOptions horizontalCentered="1"/>
  <pageMargins left="0.7" right="0.7" top="0.75" bottom="0.75" header="0.3" footer="0.3"/>
  <pageSetup paperSize="9" scale="10" orientation="landscape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2"/>
  <sheetViews>
    <sheetView topLeftCell="A136" zoomScale="75" zoomScaleNormal="75" workbookViewId="0">
      <selection activeCell="A88" sqref="A88:XFD146"/>
    </sheetView>
  </sheetViews>
  <sheetFormatPr defaultRowHeight="15" x14ac:dyDescent="0.25"/>
  <cols>
    <col min="1" max="1" width="6.140625" customWidth="1"/>
    <col min="2" max="2" width="9.28515625" bestFit="1" customWidth="1"/>
    <col min="3" max="3" width="15.5703125" customWidth="1"/>
    <col min="4" max="4" width="15.7109375" customWidth="1"/>
    <col min="5" max="5" width="9.140625" style="16" customWidth="1"/>
    <col min="6" max="6" width="15.140625" style="16" customWidth="1"/>
    <col min="7" max="9" width="11" bestFit="1" customWidth="1"/>
    <col min="10" max="12" width="9.85546875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ht="18.75" x14ac:dyDescent="0.3">
      <c r="A1" s="81" t="s">
        <v>55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6" x14ac:dyDescent="0.25">
      <c r="A3" s="2" t="s">
        <v>1</v>
      </c>
      <c r="B3" s="2"/>
      <c r="C3" s="2"/>
      <c r="D3" s="2" t="s">
        <v>2</v>
      </c>
      <c r="E3" s="14" t="s">
        <v>56</v>
      </c>
      <c r="F3" s="14"/>
      <c r="G3" s="2"/>
      <c r="H3" s="3"/>
      <c r="I3" s="2"/>
      <c r="J3" s="2"/>
      <c r="K3" s="2"/>
      <c r="L3" s="2"/>
      <c r="M3" s="3"/>
      <c r="N3" s="4"/>
      <c r="O3" s="2"/>
    </row>
    <row r="4" spans="1:16" ht="15.75" thickBot="1" x14ac:dyDescent="0.3">
      <c r="A4" s="93">
        <v>43705</v>
      </c>
      <c r="B4" s="93"/>
      <c r="C4" s="2"/>
      <c r="D4" s="6"/>
      <c r="E4" s="18"/>
      <c r="F4" s="14"/>
      <c r="G4" s="2"/>
      <c r="H4" s="22" t="s">
        <v>52</v>
      </c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86" t="s">
        <v>3</v>
      </c>
      <c r="B5" s="88" t="s">
        <v>4</v>
      </c>
      <c r="C5" s="85" t="s">
        <v>5</v>
      </c>
      <c r="D5" s="85" t="s">
        <v>16</v>
      </c>
      <c r="E5" s="91" t="s">
        <v>6</v>
      </c>
      <c r="F5" s="91" t="s">
        <v>7</v>
      </c>
      <c r="G5" s="7" t="s">
        <v>17</v>
      </c>
      <c r="H5" s="85" t="s">
        <v>51</v>
      </c>
      <c r="I5" s="85"/>
      <c r="J5" s="85"/>
      <c r="K5" s="85"/>
      <c r="L5" s="85"/>
      <c r="M5" s="85"/>
      <c r="N5" s="85" t="s">
        <v>15</v>
      </c>
      <c r="O5" s="85" t="s">
        <v>18</v>
      </c>
      <c r="P5" s="82" t="s">
        <v>19</v>
      </c>
    </row>
    <row r="6" spans="1:16" ht="13.9" customHeight="1" thickBot="1" x14ac:dyDescent="0.3">
      <c r="A6" s="87"/>
      <c r="B6" s="89"/>
      <c r="C6" s="90"/>
      <c r="D6" s="90"/>
      <c r="E6" s="92"/>
      <c r="F6" s="92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0"/>
      <c r="O6" s="90"/>
      <c r="P6" s="83"/>
    </row>
    <row r="7" spans="1:16" ht="24" customHeight="1" x14ac:dyDescent="0.25">
      <c r="A7" s="10">
        <v>1</v>
      </c>
      <c r="B7" s="9">
        <v>0.15902777777777777</v>
      </c>
      <c r="C7" s="5" t="s">
        <v>20</v>
      </c>
      <c r="D7" s="5">
        <v>9</v>
      </c>
      <c r="E7" s="15"/>
      <c r="F7" s="15" t="s">
        <v>29</v>
      </c>
      <c r="G7" s="32">
        <v>7060</v>
      </c>
      <c r="H7" s="32">
        <v>6020</v>
      </c>
      <c r="I7" s="32">
        <v>5860</v>
      </c>
      <c r="J7" s="32"/>
      <c r="K7" s="32"/>
      <c r="L7" s="32"/>
      <c r="M7" s="32"/>
      <c r="N7" s="17"/>
      <c r="O7" s="12"/>
      <c r="P7" s="8" t="s">
        <v>35</v>
      </c>
    </row>
    <row r="8" spans="1:16" ht="24" customHeight="1" x14ac:dyDescent="0.25">
      <c r="A8" s="10">
        <v>2</v>
      </c>
      <c r="B8" s="9">
        <v>0.16388888888888889</v>
      </c>
      <c r="C8" s="5" t="s">
        <v>21</v>
      </c>
      <c r="D8" s="5">
        <v>10</v>
      </c>
      <c r="E8" s="15"/>
      <c r="F8" s="15" t="s">
        <v>24</v>
      </c>
      <c r="G8" s="32">
        <v>7080</v>
      </c>
      <c r="H8" s="32">
        <v>4800</v>
      </c>
      <c r="I8" s="32">
        <v>4700</v>
      </c>
      <c r="J8" s="32">
        <v>3560</v>
      </c>
      <c r="K8" s="32">
        <v>3780</v>
      </c>
      <c r="L8" s="32">
        <v>3440</v>
      </c>
      <c r="M8" s="32"/>
      <c r="N8" s="17"/>
      <c r="O8" s="12"/>
      <c r="P8" s="8" t="s">
        <v>35</v>
      </c>
    </row>
    <row r="9" spans="1:16" ht="24" customHeight="1" x14ac:dyDescent="0.25">
      <c r="A9" s="10">
        <v>3</v>
      </c>
      <c r="B9" s="9">
        <v>0.16944444444444443</v>
      </c>
      <c r="C9" s="5" t="s">
        <v>20</v>
      </c>
      <c r="D9" s="5">
        <v>10</v>
      </c>
      <c r="E9" s="15"/>
      <c r="F9" s="15" t="s">
        <v>43</v>
      </c>
      <c r="G9" s="32">
        <v>3880</v>
      </c>
      <c r="H9" s="32">
        <v>6580</v>
      </c>
      <c r="I9" s="32">
        <v>6220</v>
      </c>
      <c r="J9" s="32">
        <v>6000</v>
      </c>
      <c r="K9" s="32">
        <v>5980</v>
      </c>
      <c r="L9" s="32"/>
      <c r="M9" s="32"/>
      <c r="N9" s="17"/>
      <c r="O9" s="12"/>
      <c r="P9" s="8" t="s">
        <v>35</v>
      </c>
    </row>
    <row r="10" spans="1:16" ht="24" customHeight="1" x14ac:dyDescent="0.25">
      <c r="A10" s="10">
        <v>4</v>
      </c>
      <c r="B10" s="9">
        <v>0.17083333333333331</v>
      </c>
      <c r="C10" s="5" t="s">
        <v>21</v>
      </c>
      <c r="D10" s="5">
        <v>10</v>
      </c>
      <c r="E10" s="15"/>
      <c r="F10" s="15" t="s">
        <v>24</v>
      </c>
      <c r="G10" s="32">
        <v>6840</v>
      </c>
      <c r="H10" s="32">
        <v>4860</v>
      </c>
      <c r="I10" s="32">
        <v>3000</v>
      </c>
      <c r="J10" s="32">
        <v>3780</v>
      </c>
      <c r="K10" s="32">
        <v>3120</v>
      </c>
      <c r="L10" s="32">
        <v>3040</v>
      </c>
      <c r="M10" s="32"/>
      <c r="N10" s="17"/>
      <c r="O10" s="12"/>
      <c r="P10" s="8" t="s">
        <v>35</v>
      </c>
    </row>
    <row r="11" spans="1:16" ht="24" customHeight="1" x14ac:dyDescent="0.25">
      <c r="A11" s="10">
        <v>5</v>
      </c>
      <c r="B11" s="9">
        <v>0.17430555555555557</v>
      </c>
      <c r="C11" s="5" t="s">
        <v>21</v>
      </c>
      <c r="D11" s="5">
        <v>10</v>
      </c>
      <c r="E11" s="15"/>
      <c r="F11" s="15" t="s">
        <v>24</v>
      </c>
      <c r="G11" s="32">
        <v>7320</v>
      </c>
      <c r="H11" s="32">
        <v>4940</v>
      </c>
      <c r="I11" s="32">
        <v>4860</v>
      </c>
      <c r="J11" s="32">
        <v>3340</v>
      </c>
      <c r="K11" s="32">
        <v>4020</v>
      </c>
      <c r="L11" s="32">
        <v>3860</v>
      </c>
      <c r="M11" s="32"/>
      <c r="N11" s="17"/>
      <c r="O11" s="12"/>
      <c r="P11" s="8" t="s">
        <v>35</v>
      </c>
    </row>
    <row r="12" spans="1:16" ht="24" customHeight="1" x14ac:dyDescent="0.25">
      <c r="A12" s="10">
        <v>6</v>
      </c>
      <c r="B12" s="9">
        <v>0.19236111111111112</v>
      </c>
      <c r="C12" s="5" t="s">
        <v>20</v>
      </c>
      <c r="D12" s="5">
        <v>10</v>
      </c>
      <c r="E12" s="15"/>
      <c r="F12" s="15" t="s">
        <v>43</v>
      </c>
      <c r="G12" s="32">
        <v>6000</v>
      </c>
      <c r="H12" s="32">
        <v>4100</v>
      </c>
      <c r="I12" s="32">
        <v>7980</v>
      </c>
      <c r="J12" s="32">
        <v>6620</v>
      </c>
      <c r="K12" s="32">
        <v>7000</v>
      </c>
      <c r="L12" s="32"/>
      <c r="M12" s="32"/>
      <c r="N12" s="17"/>
      <c r="O12" s="12"/>
      <c r="P12" s="8" t="s">
        <v>40</v>
      </c>
    </row>
    <row r="13" spans="1:16" ht="24" customHeight="1" x14ac:dyDescent="0.25">
      <c r="A13" s="10">
        <v>7</v>
      </c>
      <c r="B13" s="9">
        <v>0.19444444444444445</v>
      </c>
      <c r="C13" s="5" t="s">
        <v>20</v>
      </c>
      <c r="D13" s="5">
        <v>8</v>
      </c>
      <c r="E13" s="15"/>
      <c r="F13" s="15" t="s">
        <v>22</v>
      </c>
      <c r="G13" s="32">
        <v>3520</v>
      </c>
      <c r="H13" s="32">
        <v>4100</v>
      </c>
      <c r="I13" s="32"/>
      <c r="J13" s="32"/>
      <c r="K13" s="32"/>
      <c r="L13" s="32"/>
      <c r="M13" s="32"/>
      <c r="N13" s="17"/>
      <c r="O13" s="12"/>
      <c r="P13" s="8" t="s">
        <v>35</v>
      </c>
    </row>
    <row r="14" spans="1:16" ht="24" customHeight="1" x14ac:dyDescent="0.25">
      <c r="A14" s="10">
        <v>8</v>
      </c>
      <c r="B14" s="9">
        <v>0.20347222222222219</v>
      </c>
      <c r="C14" s="5" t="s">
        <v>20</v>
      </c>
      <c r="D14" s="5">
        <v>9</v>
      </c>
      <c r="E14" s="15"/>
      <c r="F14" s="15" t="s">
        <v>32</v>
      </c>
      <c r="G14" s="32">
        <v>5660</v>
      </c>
      <c r="H14" s="32">
        <v>5800</v>
      </c>
      <c r="I14" s="32">
        <v>11480</v>
      </c>
      <c r="J14" s="32">
        <v>6820</v>
      </c>
      <c r="K14" s="32"/>
      <c r="L14" s="32"/>
      <c r="M14" s="32"/>
      <c r="N14" s="17"/>
      <c r="O14" s="12"/>
      <c r="P14" s="8" t="s">
        <v>40</v>
      </c>
    </row>
    <row r="15" spans="1:16" ht="24" customHeight="1" x14ac:dyDescent="0.25">
      <c r="A15" s="10">
        <v>9</v>
      </c>
      <c r="B15" s="9">
        <v>0.31111111111111112</v>
      </c>
      <c r="C15" s="5" t="s">
        <v>20</v>
      </c>
      <c r="D15" s="5">
        <v>5</v>
      </c>
      <c r="E15" s="15"/>
      <c r="F15" s="15" t="s">
        <v>22</v>
      </c>
      <c r="G15" s="32">
        <v>10700</v>
      </c>
      <c r="H15" s="32">
        <v>10580</v>
      </c>
      <c r="I15" s="32"/>
      <c r="J15" s="32"/>
      <c r="K15" s="32"/>
      <c r="L15" s="32"/>
      <c r="M15" s="32"/>
      <c r="N15" s="17"/>
      <c r="O15" s="12"/>
      <c r="P15" s="8" t="s">
        <v>34</v>
      </c>
    </row>
    <row r="16" spans="1:16" ht="24" customHeight="1" x14ac:dyDescent="0.25">
      <c r="A16" s="10">
        <v>10</v>
      </c>
      <c r="B16" s="9">
        <v>0.31180555555555556</v>
      </c>
      <c r="C16" s="5" t="s">
        <v>20</v>
      </c>
      <c r="D16" s="5">
        <v>8</v>
      </c>
      <c r="E16" s="15"/>
      <c r="F16" s="15" t="s">
        <v>22</v>
      </c>
      <c r="G16" s="32">
        <v>7680</v>
      </c>
      <c r="H16" s="32">
        <v>12580</v>
      </c>
      <c r="I16" s="32"/>
      <c r="J16" s="32"/>
      <c r="K16" s="32"/>
      <c r="L16" s="32"/>
      <c r="M16" s="32"/>
      <c r="N16" s="17"/>
      <c r="O16" s="12"/>
      <c r="P16" s="8" t="s">
        <v>39</v>
      </c>
    </row>
    <row r="17" spans="1:16" ht="24" customHeight="1" x14ac:dyDescent="0.25">
      <c r="A17" s="10">
        <v>11</v>
      </c>
      <c r="B17" s="9">
        <v>0.3125</v>
      </c>
      <c r="C17" s="5" t="s">
        <v>20</v>
      </c>
      <c r="D17" s="5">
        <v>10</v>
      </c>
      <c r="E17" s="15"/>
      <c r="F17" s="15" t="s">
        <v>43</v>
      </c>
      <c r="G17" s="32">
        <v>4740</v>
      </c>
      <c r="H17" s="32">
        <v>5000</v>
      </c>
      <c r="I17" s="32">
        <v>5520</v>
      </c>
      <c r="J17" s="32">
        <v>5720</v>
      </c>
      <c r="K17" s="32">
        <v>1980</v>
      </c>
      <c r="L17" s="32"/>
      <c r="M17" s="32"/>
      <c r="N17" s="12"/>
      <c r="O17" s="12"/>
      <c r="P17" s="8" t="s">
        <v>35</v>
      </c>
    </row>
    <row r="18" spans="1:16" ht="24" customHeight="1" x14ac:dyDescent="0.25">
      <c r="A18" s="10">
        <v>12</v>
      </c>
      <c r="B18" s="9">
        <v>0.32916666666666666</v>
      </c>
      <c r="C18" s="5" t="s">
        <v>20</v>
      </c>
      <c r="D18" s="5">
        <v>5</v>
      </c>
      <c r="E18" s="15"/>
      <c r="F18" s="23" t="s">
        <v>22</v>
      </c>
      <c r="G18" s="32">
        <v>10450</v>
      </c>
      <c r="H18" s="32">
        <v>11500</v>
      </c>
      <c r="I18" s="32"/>
      <c r="J18" s="32"/>
      <c r="K18" s="32"/>
      <c r="L18" s="32"/>
      <c r="M18" s="32"/>
      <c r="N18" s="12"/>
      <c r="O18" s="12"/>
      <c r="P18" s="8" t="s">
        <v>34</v>
      </c>
    </row>
    <row r="19" spans="1:16" ht="24" customHeight="1" x14ac:dyDescent="0.25">
      <c r="A19" s="10">
        <v>13</v>
      </c>
      <c r="B19" s="9">
        <v>0.34375</v>
      </c>
      <c r="C19" s="5" t="s">
        <v>20</v>
      </c>
      <c r="D19" s="5">
        <v>8</v>
      </c>
      <c r="E19" s="15"/>
      <c r="F19" s="15" t="s">
        <v>22</v>
      </c>
      <c r="G19" s="32">
        <v>6400</v>
      </c>
      <c r="H19" s="32">
        <v>8420</v>
      </c>
      <c r="I19" s="32"/>
      <c r="J19" s="32"/>
      <c r="K19" s="32"/>
      <c r="L19" s="32"/>
      <c r="M19" s="32"/>
      <c r="N19" s="17"/>
      <c r="O19" s="12"/>
      <c r="P19" s="8" t="s">
        <v>40</v>
      </c>
    </row>
    <row r="20" spans="1:16" ht="24" customHeight="1" x14ac:dyDescent="0.25">
      <c r="A20" s="10">
        <v>14</v>
      </c>
      <c r="B20" s="9">
        <v>0.34722222222222227</v>
      </c>
      <c r="C20" s="5" t="s">
        <v>20</v>
      </c>
      <c r="D20" s="5">
        <v>8</v>
      </c>
      <c r="E20" s="15"/>
      <c r="F20" s="15" t="s">
        <v>22</v>
      </c>
      <c r="G20" s="32">
        <v>3380</v>
      </c>
      <c r="H20" s="32">
        <v>5840</v>
      </c>
      <c r="I20" s="32"/>
      <c r="J20" s="32"/>
      <c r="K20" s="32"/>
      <c r="L20" s="32"/>
      <c r="M20" s="32"/>
      <c r="N20" s="17"/>
      <c r="O20" s="12"/>
      <c r="P20" s="8" t="s">
        <v>35</v>
      </c>
    </row>
    <row r="21" spans="1:16" ht="24" customHeight="1" x14ac:dyDescent="0.25">
      <c r="A21" s="10">
        <v>15</v>
      </c>
      <c r="B21" s="9">
        <v>0.34861111111111115</v>
      </c>
      <c r="C21" s="5" t="s">
        <v>20</v>
      </c>
      <c r="D21" s="5">
        <v>9</v>
      </c>
      <c r="E21" s="15"/>
      <c r="F21" s="15" t="s">
        <v>29</v>
      </c>
      <c r="G21" s="32">
        <v>5400</v>
      </c>
      <c r="H21" s="32">
        <v>5120</v>
      </c>
      <c r="I21" s="32">
        <v>4180</v>
      </c>
      <c r="J21" s="32"/>
      <c r="K21" s="32"/>
      <c r="L21" s="32"/>
      <c r="M21" s="32"/>
      <c r="N21" s="17"/>
      <c r="O21" s="12"/>
      <c r="P21" s="8" t="s">
        <v>35</v>
      </c>
    </row>
    <row r="22" spans="1:16" ht="24" customHeight="1" x14ac:dyDescent="0.25">
      <c r="A22" s="10">
        <v>16</v>
      </c>
      <c r="B22" s="9">
        <v>0.3520833333333333</v>
      </c>
      <c r="C22" s="5" t="s">
        <v>20</v>
      </c>
      <c r="D22" s="5">
        <v>8</v>
      </c>
      <c r="E22" s="15"/>
      <c r="F22" s="15" t="s">
        <v>22</v>
      </c>
      <c r="G22" s="32">
        <v>1780</v>
      </c>
      <c r="H22" s="32">
        <v>2360</v>
      </c>
      <c r="I22" s="32"/>
      <c r="J22" s="32"/>
      <c r="K22" s="32"/>
      <c r="L22" s="32"/>
      <c r="M22" s="32"/>
      <c r="N22" s="17"/>
      <c r="O22" s="12"/>
      <c r="P22" s="8" t="s">
        <v>35</v>
      </c>
    </row>
    <row r="23" spans="1:16" ht="24" customHeight="1" x14ac:dyDescent="0.25">
      <c r="A23" s="10">
        <v>17</v>
      </c>
      <c r="B23" s="9">
        <v>0.35347222222222219</v>
      </c>
      <c r="C23" s="5" t="s">
        <v>20</v>
      </c>
      <c r="D23" s="5">
        <v>8</v>
      </c>
      <c r="E23" s="15"/>
      <c r="F23" s="15" t="s">
        <v>22</v>
      </c>
      <c r="G23" s="32">
        <v>3340</v>
      </c>
      <c r="H23" s="32">
        <v>4680</v>
      </c>
      <c r="I23" s="32"/>
      <c r="J23" s="32"/>
      <c r="K23" s="32"/>
      <c r="L23" s="32"/>
      <c r="M23" s="32"/>
      <c r="N23" s="17"/>
      <c r="O23" s="12"/>
      <c r="P23" s="8" t="s">
        <v>35</v>
      </c>
    </row>
    <row r="24" spans="1:16" ht="24" customHeight="1" x14ac:dyDescent="0.25">
      <c r="A24" s="10">
        <v>18</v>
      </c>
      <c r="B24" s="9">
        <v>0.35625000000000001</v>
      </c>
      <c r="C24" s="5" t="s">
        <v>20</v>
      </c>
      <c r="D24" s="5">
        <v>10</v>
      </c>
      <c r="E24" s="15"/>
      <c r="F24" s="15" t="s">
        <v>32</v>
      </c>
      <c r="G24" s="32">
        <v>8240</v>
      </c>
      <c r="H24" s="32">
        <v>8380</v>
      </c>
      <c r="I24" s="32">
        <v>13460</v>
      </c>
      <c r="J24" s="32">
        <v>10460</v>
      </c>
      <c r="K24" s="32"/>
      <c r="L24" s="32"/>
      <c r="M24" s="32"/>
      <c r="N24" s="17"/>
      <c r="O24" s="12"/>
      <c r="P24" s="8" t="s">
        <v>38</v>
      </c>
    </row>
    <row r="25" spans="1:16" ht="24" customHeight="1" x14ac:dyDescent="0.25">
      <c r="A25" s="10">
        <v>19</v>
      </c>
      <c r="B25" s="9">
        <v>0.3576388888888889</v>
      </c>
      <c r="C25" s="5" t="s">
        <v>20</v>
      </c>
      <c r="D25" s="5">
        <v>10</v>
      </c>
      <c r="E25" s="15"/>
      <c r="F25" s="15" t="s">
        <v>24</v>
      </c>
      <c r="G25" s="32">
        <v>7340</v>
      </c>
      <c r="H25" s="32">
        <v>4860</v>
      </c>
      <c r="I25" s="32">
        <v>4340</v>
      </c>
      <c r="J25" s="32">
        <v>5660</v>
      </c>
      <c r="K25" s="32">
        <v>3620</v>
      </c>
      <c r="L25" s="32">
        <v>3600</v>
      </c>
      <c r="M25" s="32"/>
      <c r="N25" s="17"/>
      <c r="O25" s="12"/>
      <c r="P25" s="8" t="s">
        <v>35</v>
      </c>
    </row>
    <row r="26" spans="1:16" ht="24" customHeight="1" x14ac:dyDescent="0.25">
      <c r="A26" s="10">
        <v>20</v>
      </c>
      <c r="B26" s="9">
        <v>0.35902777777777778</v>
      </c>
      <c r="C26" s="5" t="s">
        <v>20</v>
      </c>
      <c r="D26" s="5">
        <v>8</v>
      </c>
      <c r="E26" s="15"/>
      <c r="F26" s="15" t="s">
        <v>22</v>
      </c>
      <c r="G26" s="32">
        <v>4620</v>
      </c>
      <c r="H26" s="32">
        <v>4140</v>
      </c>
      <c r="I26" s="32"/>
      <c r="J26" s="32"/>
      <c r="K26" s="32"/>
      <c r="L26" s="32"/>
      <c r="M26" s="32"/>
      <c r="N26" s="17"/>
      <c r="O26" s="12"/>
      <c r="P26" s="8" t="s">
        <v>35</v>
      </c>
    </row>
    <row r="27" spans="1:16" ht="24" customHeight="1" x14ac:dyDescent="0.25">
      <c r="A27" s="10">
        <v>21</v>
      </c>
      <c r="B27" s="9">
        <v>0.35972222222222222</v>
      </c>
      <c r="C27" s="5" t="s">
        <v>20</v>
      </c>
      <c r="D27" s="5">
        <v>5</v>
      </c>
      <c r="E27" s="15"/>
      <c r="F27" s="15" t="s">
        <v>22</v>
      </c>
      <c r="G27" s="32">
        <v>8200</v>
      </c>
      <c r="H27" s="32">
        <v>13420</v>
      </c>
      <c r="I27" s="32"/>
      <c r="J27" s="32"/>
      <c r="K27" s="32"/>
      <c r="L27" s="32"/>
      <c r="M27" s="32"/>
      <c r="N27" s="17"/>
      <c r="O27" s="12"/>
      <c r="P27" s="8" t="s">
        <v>34</v>
      </c>
    </row>
    <row r="28" spans="1:16" ht="24" customHeight="1" x14ac:dyDescent="0.25">
      <c r="A28" s="10">
        <v>22</v>
      </c>
      <c r="B28" s="9">
        <v>0.3659722222222222</v>
      </c>
      <c r="C28" s="5" t="s">
        <v>20</v>
      </c>
      <c r="D28" s="5">
        <v>8</v>
      </c>
      <c r="E28" s="15"/>
      <c r="F28" s="15" t="s">
        <v>22</v>
      </c>
      <c r="G28" s="32">
        <v>2140</v>
      </c>
      <c r="H28" s="32">
        <v>2240</v>
      </c>
      <c r="I28" s="32"/>
      <c r="J28" s="32"/>
      <c r="K28" s="32"/>
      <c r="L28" s="32"/>
      <c r="M28" s="32"/>
      <c r="N28" s="17"/>
      <c r="O28" s="12"/>
      <c r="P28" s="8" t="s">
        <v>35</v>
      </c>
    </row>
    <row r="29" spans="1:16" ht="24" customHeight="1" x14ac:dyDescent="0.25">
      <c r="A29" s="10">
        <v>23</v>
      </c>
      <c r="B29" s="9">
        <v>0.40833333333333338</v>
      </c>
      <c r="C29" s="5" t="s">
        <v>20</v>
      </c>
      <c r="D29" s="5">
        <v>8</v>
      </c>
      <c r="E29" s="15"/>
      <c r="F29" s="15" t="s">
        <v>22</v>
      </c>
      <c r="G29" s="32">
        <v>8080</v>
      </c>
      <c r="H29" s="32">
        <v>12300</v>
      </c>
      <c r="I29" s="32"/>
      <c r="J29" s="32"/>
      <c r="K29" s="32"/>
      <c r="L29" s="32"/>
      <c r="M29" s="32"/>
      <c r="N29" s="17"/>
      <c r="O29" s="12"/>
      <c r="P29" s="8" t="s">
        <v>40</v>
      </c>
    </row>
    <row r="30" spans="1:16" ht="24" customHeight="1" x14ac:dyDescent="0.25">
      <c r="A30" s="10">
        <v>24</v>
      </c>
      <c r="B30" s="9">
        <v>0.41111111111111115</v>
      </c>
      <c r="C30" s="5" t="s">
        <v>20</v>
      </c>
      <c r="D30" s="5">
        <v>8</v>
      </c>
      <c r="E30" s="15"/>
      <c r="F30" s="15" t="s">
        <v>22</v>
      </c>
      <c r="G30" s="32">
        <v>2980</v>
      </c>
      <c r="H30" s="32">
        <v>7740</v>
      </c>
      <c r="I30" s="32"/>
      <c r="J30" s="32"/>
      <c r="K30" s="32"/>
      <c r="L30" s="32"/>
      <c r="M30" s="32"/>
      <c r="N30" s="17"/>
      <c r="O30" s="12"/>
      <c r="P30" s="8" t="s">
        <v>38</v>
      </c>
    </row>
    <row r="31" spans="1:16" ht="24" customHeight="1" x14ac:dyDescent="0.25">
      <c r="A31" s="10">
        <v>25</v>
      </c>
      <c r="B31" s="9">
        <v>0.41319444444444442</v>
      </c>
      <c r="C31" s="5" t="s">
        <v>20</v>
      </c>
      <c r="D31" s="5">
        <v>10</v>
      </c>
      <c r="E31" s="15"/>
      <c r="F31" s="15" t="s">
        <v>24</v>
      </c>
      <c r="G31" s="32">
        <v>7980</v>
      </c>
      <c r="H31" s="32">
        <v>10290</v>
      </c>
      <c r="I31" s="32">
        <v>10480</v>
      </c>
      <c r="J31" s="32">
        <v>10920</v>
      </c>
      <c r="K31" s="32">
        <v>10200</v>
      </c>
      <c r="L31" s="32">
        <v>10300</v>
      </c>
      <c r="M31" s="32"/>
      <c r="N31" s="17"/>
      <c r="O31" s="12"/>
      <c r="P31" s="8" t="s">
        <v>40</v>
      </c>
    </row>
    <row r="32" spans="1:16" ht="24" customHeight="1" x14ac:dyDescent="0.25">
      <c r="A32" s="10">
        <v>26</v>
      </c>
      <c r="B32" s="9">
        <v>0.4145833333333333</v>
      </c>
      <c r="C32" s="5" t="s">
        <v>20</v>
      </c>
      <c r="D32" s="5">
        <v>10</v>
      </c>
      <c r="E32" s="15"/>
      <c r="F32" s="15" t="s">
        <v>32</v>
      </c>
      <c r="G32" s="32">
        <v>5360</v>
      </c>
      <c r="H32" s="32">
        <v>4360</v>
      </c>
      <c r="I32" s="32">
        <v>5180</v>
      </c>
      <c r="J32" s="32"/>
      <c r="K32" s="32"/>
      <c r="L32" s="32"/>
      <c r="M32" s="32"/>
      <c r="N32" s="17"/>
      <c r="O32" s="12"/>
      <c r="P32" s="8" t="s">
        <v>35</v>
      </c>
    </row>
    <row r="33" spans="1:16" ht="24" customHeight="1" x14ac:dyDescent="0.25">
      <c r="A33" s="10">
        <v>27</v>
      </c>
      <c r="B33" s="9">
        <v>0.41666666666666669</v>
      </c>
      <c r="C33" s="5" t="s">
        <v>20</v>
      </c>
      <c r="D33" s="5">
        <v>8</v>
      </c>
      <c r="E33" s="15"/>
      <c r="F33" s="15" t="s">
        <v>22</v>
      </c>
      <c r="G33" s="32">
        <v>7320</v>
      </c>
      <c r="H33" s="32">
        <v>11580</v>
      </c>
      <c r="I33" s="32"/>
      <c r="J33" s="32"/>
      <c r="K33" s="32"/>
      <c r="L33" s="32"/>
      <c r="M33" s="32"/>
      <c r="N33" s="17"/>
      <c r="O33" s="12"/>
      <c r="P33" s="8" t="s">
        <v>39</v>
      </c>
    </row>
    <row r="34" spans="1:16" ht="24" customHeight="1" x14ac:dyDescent="0.25">
      <c r="A34" s="10">
        <v>28</v>
      </c>
      <c r="B34" s="9">
        <v>0.42152777777777778</v>
      </c>
      <c r="C34" s="5" t="s">
        <v>21</v>
      </c>
      <c r="D34" s="5">
        <v>10</v>
      </c>
      <c r="E34" s="15"/>
      <c r="F34" s="15" t="s">
        <v>25</v>
      </c>
      <c r="G34" s="32">
        <v>6280</v>
      </c>
      <c r="H34" s="32">
        <v>9060</v>
      </c>
      <c r="I34" s="32">
        <v>10200</v>
      </c>
      <c r="J34" s="32">
        <v>7340</v>
      </c>
      <c r="K34" s="32">
        <v>5360</v>
      </c>
      <c r="L34" s="32">
        <v>6360</v>
      </c>
      <c r="M34" s="32"/>
      <c r="N34" s="17"/>
      <c r="O34" s="12"/>
      <c r="P34" s="8" t="s">
        <v>38</v>
      </c>
    </row>
    <row r="35" spans="1:16" ht="24" customHeight="1" x14ac:dyDescent="0.25">
      <c r="A35" s="10">
        <v>29</v>
      </c>
      <c r="B35" s="9">
        <v>0.42291666666666666</v>
      </c>
      <c r="C35" s="5" t="s">
        <v>20</v>
      </c>
      <c r="D35" s="5">
        <v>5</v>
      </c>
      <c r="E35" s="15"/>
      <c r="F35" s="15" t="s">
        <v>22</v>
      </c>
      <c r="G35" s="32">
        <v>8080</v>
      </c>
      <c r="H35" s="32">
        <v>12740</v>
      </c>
      <c r="I35" s="32"/>
      <c r="J35" s="32"/>
      <c r="K35" s="32"/>
      <c r="L35" s="32"/>
      <c r="M35" s="32"/>
      <c r="N35" s="17"/>
      <c r="O35" s="12"/>
      <c r="P35" s="8" t="s">
        <v>34</v>
      </c>
    </row>
    <row r="36" spans="1:16" ht="24" customHeight="1" x14ac:dyDescent="0.25">
      <c r="A36" s="10">
        <v>30</v>
      </c>
      <c r="B36" s="9">
        <v>0.4236111111111111</v>
      </c>
      <c r="C36" s="5" t="s">
        <v>20</v>
      </c>
      <c r="D36" s="5">
        <v>9</v>
      </c>
      <c r="E36" s="15"/>
      <c r="F36" s="15" t="s">
        <v>29</v>
      </c>
      <c r="G36" s="32">
        <v>7160</v>
      </c>
      <c r="H36" s="32">
        <v>11760</v>
      </c>
      <c r="I36" s="32">
        <v>12000</v>
      </c>
      <c r="J36" s="32"/>
      <c r="K36" s="32"/>
      <c r="L36" s="32"/>
      <c r="M36" s="32"/>
      <c r="N36" s="17"/>
      <c r="O36" s="12"/>
      <c r="P36" s="8" t="s">
        <v>40</v>
      </c>
    </row>
    <row r="37" spans="1:16" ht="24" customHeight="1" x14ac:dyDescent="0.25">
      <c r="A37" s="10">
        <v>31</v>
      </c>
      <c r="B37" s="9">
        <v>0.42430555555555555</v>
      </c>
      <c r="C37" s="5" t="s">
        <v>20</v>
      </c>
      <c r="D37" s="5">
        <v>9</v>
      </c>
      <c r="E37" s="15"/>
      <c r="F37" s="15" t="s">
        <v>29</v>
      </c>
      <c r="G37" s="32">
        <v>8860</v>
      </c>
      <c r="H37" s="32">
        <v>5060</v>
      </c>
      <c r="I37" s="32">
        <v>6400</v>
      </c>
      <c r="J37" s="32"/>
      <c r="K37" s="32"/>
      <c r="L37" s="32"/>
      <c r="M37" s="32"/>
      <c r="N37" s="17"/>
      <c r="O37" s="12"/>
      <c r="P37" s="8" t="s">
        <v>40</v>
      </c>
    </row>
    <row r="38" spans="1:16" ht="24" customHeight="1" x14ac:dyDescent="0.25">
      <c r="A38" s="10">
        <v>32</v>
      </c>
      <c r="B38" s="9">
        <v>0.43055555555555558</v>
      </c>
      <c r="C38" s="5" t="s">
        <v>20</v>
      </c>
      <c r="D38" s="5">
        <v>8</v>
      </c>
      <c r="E38" s="15"/>
      <c r="F38" s="15" t="s">
        <v>22</v>
      </c>
      <c r="G38" s="32">
        <v>4220</v>
      </c>
      <c r="H38" s="32">
        <v>5660</v>
      </c>
      <c r="I38" s="32"/>
      <c r="J38" s="32"/>
      <c r="K38" s="32"/>
      <c r="L38" s="32"/>
      <c r="M38" s="32"/>
      <c r="N38" s="17"/>
      <c r="O38" s="12"/>
      <c r="P38" s="8" t="s">
        <v>35</v>
      </c>
    </row>
    <row r="39" spans="1:16" ht="24" customHeight="1" x14ac:dyDescent="0.25">
      <c r="A39" s="10">
        <v>33</v>
      </c>
      <c r="B39" s="9">
        <v>0.43888888888888888</v>
      </c>
      <c r="C39" s="5" t="s">
        <v>20</v>
      </c>
      <c r="D39" s="5">
        <v>8</v>
      </c>
      <c r="E39" s="15"/>
      <c r="F39" s="15" t="s">
        <v>22</v>
      </c>
      <c r="G39" s="32">
        <v>3100</v>
      </c>
      <c r="H39" s="32">
        <v>4060</v>
      </c>
      <c r="I39" s="32"/>
      <c r="J39" s="32"/>
      <c r="K39" s="32"/>
      <c r="L39" s="32"/>
      <c r="M39" s="32"/>
      <c r="N39" s="17"/>
      <c r="O39" s="12"/>
      <c r="P39" s="8" t="s">
        <v>35</v>
      </c>
    </row>
    <row r="40" spans="1:16" ht="24" customHeight="1" x14ac:dyDescent="0.25">
      <c r="A40" s="10">
        <v>34</v>
      </c>
      <c r="B40" s="9">
        <v>0.44791666666666669</v>
      </c>
      <c r="C40" s="5" t="s">
        <v>20</v>
      </c>
      <c r="D40" s="5">
        <v>10</v>
      </c>
      <c r="E40" s="15"/>
      <c r="F40" s="15" t="s">
        <v>32</v>
      </c>
      <c r="G40" s="32">
        <v>6920</v>
      </c>
      <c r="H40" s="32">
        <v>8320</v>
      </c>
      <c r="I40" s="32">
        <v>1220</v>
      </c>
      <c r="J40" s="32">
        <v>1220</v>
      </c>
      <c r="K40" s="32"/>
      <c r="L40" s="32"/>
      <c r="M40" s="32"/>
      <c r="N40" s="17"/>
      <c r="O40" s="12"/>
      <c r="P40" s="8" t="s">
        <v>38</v>
      </c>
    </row>
    <row r="41" spans="1:16" ht="24" customHeight="1" x14ac:dyDescent="0.25">
      <c r="A41" s="10">
        <v>35</v>
      </c>
      <c r="B41" s="9">
        <v>0.45416666666666666</v>
      </c>
      <c r="C41" s="5" t="s">
        <v>20</v>
      </c>
      <c r="D41" s="5">
        <v>8</v>
      </c>
      <c r="E41" s="15"/>
      <c r="F41" s="15" t="s">
        <v>22</v>
      </c>
      <c r="G41" s="32">
        <v>3080</v>
      </c>
      <c r="H41" s="32">
        <v>2840</v>
      </c>
      <c r="I41" s="32"/>
      <c r="J41" s="32"/>
      <c r="K41" s="32"/>
      <c r="L41" s="32"/>
      <c r="M41" s="32"/>
      <c r="N41" s="17"/>
      <c r="O41" s="12"/>
      <c r="P41" s="8" t="s">
        <v>35</v>
      </c>
    </row>
    <row r="42" spans="1:16" ht="24" customHeight="1" x14ac:dyDescent="0.25">
      <c r="A42" s="10">
        <v>36</v>
      </c>
      <c r="B42" s="9">
        <v>0.45555555555555555</v>
      </c>
      <c r="C42" s="5" t="s">
        <v>20</v>
      </c>
      <c r="D42" s="5">
        <v>8</v>
      </c>
      <c r="E42" s="15"/>
      <c r="F42" s="15" t="s">
        <v>22</v>
      </c>
      <c r="G42" s="32">
        <v>6820</v>
      </c>
      <c r="H42" s="32">
        <v>12320</v>
      </c>
      <c r="I42" s="32"/>
      <c r="J42" s="32"/>
      <c r="K42" s="32"/>
      <c r="L42" s="32"/>
      <c r="M42" s="32"/>
      <c r="N42" s="17"/>
      <c r="O42" s="12"/>
      <c r="P42" s="8" t="s">
        <v>40</v>
      </c>
    </row>
    <row r="43" spans="1:16" ht="24" customHeight="1" x14ac:dyDescent="0.25">
      <c r="A43" s="10">
        <v>37</v>
      </c>
      <c r="B43" s="9">
        <v>0.45763888888888887</v>
      </c>
      <c r="C43" s="5" t="s">
        <v>20</v>
      </c>
      <c r="D43" s="5">
        <v>5</v>
      </c>
      <c r="E43" s="15"/>
      <c r="F43" s="15" t="s">
        <v>22</v>
      </c>
      <c r="G43" s="32">
        <v>7960</v>
      </c>
      <c r="H43" s="32">
        <v>8080</v>
      </c>
      <c r="I43" s="32"/>
      <c r="J43" s="32"/>
      <c r="K43" s="32"/>
      <c r="L43" s="32"/>
      <c r="M43" s="32"/>
      <c r="N43" s="17"/>
      <c r="O43" s="12"/>
      <c r="P43" s="8" t="s">
        <v>34</v>
      </c>
    </row>
    <row r="44" spans="1:16" ht="24" customHeight="1" x14ac:dyDescent="0.25">
      <c r="A44" s="10">
        <v>38</v>
      </c>
      <c r="B44" s="9">
        <v>0.46527777777777773</v>
      </c>
      <c r="C44" s="5" t="s">
        <v>20</v>
      </c>
      <c r="D44" s="5">
        <v>9</v>
      </c>
      <c r="E44" s="15"/>
      <c r="F44" s="15" t="s">
        <v>29</v>
      </c>
      <c r="G44" s="32">
        <v>8060</v>
      </c>
      <c r="H44" s="32">
        <v>8010</v>
      </c>
      <c r="I44" s="32">
        <v>7280</v>
      </c>
      <c r="J44" s="32"/>
      <c r="K44" s="32"/>
      <c r="L44" s="32"/>
      <c r="M44" s="32"/>
      <c r="N44" s="17"/>
      <c r="O44" s="12"/>
      <c r="P44" s="8" t="s">
        <v>37</v>
      </c>
    </row>
    <row r="45" spans="1:16" ht="24" customHeight="1" x14ac:dyDescent="0.25">
      <c r="A45" s="10">
        <v>39</v>
      </c>
      <c r="B45" s="9">
        <v>0.46597222222222223</v>
      </c>
      <c r="C45" s="5" t="s">
        <v>20</v>
      </c>
      <c r="D45" s="5">
        <v>10</v>
      </c>
      <c r="E45" s="15"/>
      <c r="F45" s="15" t="s">
        <v>24</v>
      </c>
      <c r="G45" s="32">
        <v>7060</v>
      </c>
      <c r="H45" s="32">
        <v>9120</v>
      </c>
      <c r="I45" s="32">
        <v>10160</v>
      </c>
      <c r="J45" s="32">
        <v>8600</v>
      </c>
      <c r="K45" s="32">
        <v>9580</v>
      </c>
      <c r="L45" s="32">
        <v>9780</v>
      </c>
      <c r="M45" s="32"/>
      <c r="N45" s="17"/>
      <c r="O45" s="12"/>
      <c r="P45" s="8" t="s">
        <v>40</v>
      </c>
    </row>
    <row r="46" spans="1:16" ht="24" customHeight="1" x14ac:dyDescent="0.25">
      <c r="A46" s="10">
        <v>40</v>
      </c>
      <c r="B46" s="9">
        <v>0.46666666666666662</v>
      </c>
      <c r="C46" s="5" t="s">
        <v>20</v>
      </c>
      <c r="D46" s="5">
        <v>8</v>
      </c>
      <c r="E46" s="15"/>
      <c r="F46" s="15" t="s">
        <v>22</v>
      </c>
      <c r="G46" s="32">
        <v>3200</v>
      </c>
      <c r="H46" s="32">
        <v>4000</v>
      </c>
      <c r="I46" s="32"/>
      <c r="J46" s="32"/>
      <c r="K46" s="32"/>
      <c r="L46" s="32"/>
      <c r="M46" s="32"/>
      <c r="N46" s="17"/>
      <c r="O46" s="12"/>
      <c r="P46" s="8" t="s">
        <v>35</v>
      </c>
    </row>
    <row r="47" spans="1:16" ht="24" customHeight="1" x14ac:dyDescent="0.25">
      <c r="A47" s="10">
        <v>41</v>
      </c>
      <c r="B47" s="9">
        <v>0.46736111111111112</v>
      </c>
      <c r="C47" s="5" t="s">
        <v>20</v>
      </c>
      <c r="D47" s="5">
        <v>9</v>
      </c>
      <c r="E47" s="15"/>
      <c r="F47" s="15" t="s">
        <v>29</v>
      </c>
      <c r="G47" s="32">
        <v>6080</v>
      </c>
      <c r="H47" s="32">
        <v>3940</v>
      </c>
      <c r="I47" s="32">
        <v>4000</v>
      </c>
      <c r="J47" s="32"/>
      <c r="K47" s="32"/>
      <c r="L47" s="32"/>
      <c r="M47" s="32"/>
      <c r="N47" s="17"/>
      <c r="O47" s="12"/>
      <c r="P47" s="8" t="s">
        <v>35</v>
      </c>
    </row>
    <row r="48" spans="1:16" ht="24" customHeight="1" x14ac:dyDescent="0.25">
      <c r="A48" s="10">
        <v>42</v>
      </c>
      <c r="B48" s="9">
        <v>0.4680555555555555</v>
      </c>
      <c r="C48" s="5" t="s">
        <v>20</v>
      </c>
      <c r="D48" s="5">
        <v>9</v>
      </c>
      <c r="E48" s="15"/>
      <c r="F48" s="15" t="s">
        <v>29</v>
      </c>
      <c r="G48" s="32">
        <v>4120</v>
      </c>
      <c r="H48" s="32">
        <v>4960</v>
      </c>
      <c r="I48" s="32">
        <v>4640</v>
      </c>
      <c r="J48" s="32"/>
      <c r="K48" s="32"/>
      <c r="L48" s="32"/>
      <c r="M48" s="32"/>
      <c r="N48" s="17"/>
      <c r="O48" s="12"/>
      <c r="P48" s="8" t="s">
        <v>35</v>
      </c>
    </row>
    <row r="49" spans="1:16" ht="24" customHeight="1" x14ac:dyDescent="0.25">
      <c r="A49" s="10">
        <v>43</v>
      </c>
      <c r="B49" s="9">
        <v>0.47013888888888888</v>
      </c>
      <c r="C49" s="5" t="s">
        <v>20</v>
      </c>
      <c r="D49" s="5">
        <v>8</v>
      </c>
      <c r="E49" s="15"/>
      <c r="F49" s="15" t="s">
        <v>22</v>
      </c>
      <c r="G49" s="32">
        <v>3960</v>
      </c>
      <c r="H49" s="32">
        <v>4000</v>
      </c>
      <c r="I49" s="32"/>
      <c r="J49" s="32"/>
      <c r="K49" s="32"/>
      <c r="L49" s="32"/>
      <c r="M49" s="32"/>
      <c r="N49" s="17"/>
      <c r="O49" s="12"/>
      <c r="P49" s="8" t="s">
        <v>35</v>
      </c>
    </row>
    <row r="50" spans="1:16" ht="24" customHeight="1" x14ac:dyDescent="0.25">
      <c r="A50" s="10">
        <v>44</v>
      </c>
      <c r="B50" s="9">
        <v>0.47083333333333338</v>
      </c>
      <c r="C50" s="5" t="s">
        <v>20</v>
      </c>
      <c r="D50" s="5">
        <v>8</v>
      </c>
      <c r="E50" s="15"/>
      <c r="F50" s="15" t="s">
        <v>22</v>
      </c>
      <c r="G50" s="32">
        <v>4580</v>
      </c>
      <c r="H50" s="32">
        <v>3700</v>
      </c>
      <c r="I50" s="32"/>
      <c r="J50" s="32"/>
      <c r="K50" s="32"/>
      <c r="L50" s="32"/>
      <c r="M50" s="32"/>
      <c r="N50" s="12"/>
      <c r="O50" s="12"/>
      <c r="P50" s="8" t="s">
        <v>35</v>
      </c>
    </row>
    <row r="51" spans="1:16" ht="24" customHeight="1" x14ac:dyDescent="0.25">
      <c r="A51" s="10">
        <v>45</v>
      </c>
      <c r="B51" s="9">
        <v>0.47222222222222227</v>
      </c>
      <c r="C51" s="5" t="s">
        <v>20</v>
      </c>
      <c r="D51" s="5">
        <v>8</v>
      </c>
      <c r="E51" s="15"/>
      <c r="F51" s="15" t="s">
        <v>22</v>
      </c>
      <c r="G51" s="32">
        <v>3520</v>
      </c>
      <c r="H51" s="32">
        <v>3800</v>
      </c>
      <c r="I51" s="32"/>
      <c r="J51" s="32"/>
      <c r="K51" s="32"/>
      <c r="L51" s="32"/>
      <c r="M51" s="32"/>
      <c r="N51" s="12"/>
      <c r="O51" s="12"/>
      <c r="P51" s="8" t="s">
        <v>35</v>
      </c>
    </row>
    <row r="52" spans="1:16" ht="24" customHeight="1" x14ac:dyDescent="0.25">
      <c r="A52" s="10">
        <v>46</v>
      </c>
      <c r="B52" s="9">
        <v>0.48402777777777778</v>
      </c>
      <c r="C52" s="5" t="s">
        <v>20</v>
      </c>
      <c r="D52" s="5">
        <v>10</v>
      </c>
      <c r="E52" s="15"/>
      <c r="F52" s="15" t="s">
        <v>28</v>
      </c>
      <c r="G52" s="32">
        <v>9900</v>
      </c>
      <c r="H52" s="32">
        <v>8600</v>
      </c>
      <c r="I52" s="32">
        <v>8700</v>
      </c>
      <c r="J52" s="32">
        <v>10320</v>
      </c>
      <c r="K52" s="32">
        <v>10420</v>
      </c>
      <c r="L52" s="32">
        <v>8700</v>
      </c>
      <c r="M52" s="32">
        <v>7700</v>
      </c>
      <c r="N52" s="12"/>
      <c r="O52" s="12"/>
      <c r="P52" s="8" t="s">
        <v>39</v>
      </c>
    </row>
    <row r="53" spans="1:16" ht="24" customHeight="1" x14ac:dyDescent="0.25">
      <c r="A53" s="10">
        <v>47</v>
      </c>
      <c r="B53" s="9">
        <v>0.48680555555555555</v>
      </c>
      <c r="C53" s="5" t="s">
        <v>20</v>
      </c>
      <c r="D53" s="5">
        <v>10</v>
      </c>
      <c r="E53" s="15"/>
      <c r="F53" s="15" t="s">
        <v>24</v>
      </c>
      <c r="G53" s="32">
        <v>7100</v>
      </c>
      <c r="H53" s="32">
        <v>5600</v>
      </c>
      <c r="I53" s="32">
        <v>5360</v>
      </c>
      <c r="J53" s="32">
        <v>3420</v>
      </c>
      <c r="K53" s="32">
        <v>2460</v>
      </c>
      <c r="L53" s="32">
        <v>3940</v>
      </c>
      <c r="M53" s="32"/>
      <c r="N53" s="12"/>
      <c r="O53" s="12"/>
      <c r="P53" s="8" t="s">
        <v>35</v>
      </c>
    </row>
    <row r="54" spans="1:16" ht="24" customHeight="1" x14ac:dyDescent="0.25">
      <c r="A54" s="10">
        <v>48</v>
      </c>
      <c r="B54" s="9">
        <v>0.49652777777777773</v>
      </c>
      <c r="C54" s="5" t="s">
        <v>20</v>
      </c>
      <c r="D54" s="5">
        <v>9</v>
      </c>
      <c r="E54" s="15"/>
      <c r="F54" s="15" t="s">
        <v>29</v>
      </c>
      <c r="G54" s="32">
        <v>5920</v>
      </c>
      <c r="H54" s="32">
        <v>3420</v>
      </c>
      <c r="I54" s="32">
        <v>3060</v>
      </c>
      <c r="J54" s="32"/>
      <c r="K54" s="32"/>
      <c r="L54" s="32"/>
      <c r="M54" s="32"/>
      <c r="N54" s="12"/>
      <c r="O54" s="12"/>
      <c r="P54" s="8" t="s">
        <v>35</v>
      </c>
    </row>
    <row r="55" spans="1:16" ht="24" customHeight="1" x14ac:dyDescent="0.25">
      <c r="A55" s="10">
        <v>49</v>
      </c>
      <c r="B55" s="9">
        <v>0.4993055555555555</v>
      </c>
      <c r="C55" s="5" t="s">
        <v>20</v>
      </c>
      <c r="D55" s="5">
        <v>8</v>
      </c>
      <c r="E55" s="15"/>
      <c r="F55" s="15" t="s">
        <v>22</v>
      </c>
      <c r="G55" s="32">
        <v>3680</v>
      </c>
      <c r="H55" s="32">
        <v>2540</v>
      </c>
      <c r="I55" s="32"/>
      <c r="J55" s="32"/>
      <c r="K55" s="32"/>
      <c r="L55" s="32"/>
      <c r="M55" s="32"/>
      <c r="N55" s="12"/>
      <c r="O55" s="12"/>
      <c r="P55" s="8" t="s">
        <v>39</v>
      </c>
    </row>
    <row r="56" spans="1:16" ht="24" customHeight="1" x14ac:dyDescent="0.25">
      <c r="A56" s="10">
        <v>50</v>
      </c>
      <c r="B56" s="9">
        <v>0.5</v>
      </c>
      <c r="C56" s="5" t="s">
        <v>20</v>
      </c>
      <c r="D56" s="5">
        <v>8</v>
      </c>
      <c r="E56" s="15"/>
      <c r="F56" s="15" t="s">
        <v>22</v>
      </c>
      <c r="G56" s="32">
        <v>3020</v>
      </c>
      <c r="H56" s="32">
        <v>5120</v>
      </c>
      <c r="I56" s="32"/>
      <c r="J56" s="32"/>
      <c r="K56" s="32"/>
      <c r="L56" s="32"/>
      <c r="M56" s="32"/>
      <c r="N56" s="12"/>
      <c r="O56" s="12"/>
      <c r="P56" s="8" t="s">
        <v>39</v>
      </c>
    </row>
    <row r="57" spans="1:16" ht="24" customHeight="1" x14ac:dyDescent="0.25">
      <c r="A57" s="10">
        <v>51</v>
      </c>
      <c r="B57" s="9">
        <v>0.50069444444444444</v>
      </c>
      <c r="C57" s="5" t="s">
        <v>20</v>
      </c>
      <c r="D57" s="5">
        <v>10</v>
      </c>
      <c r="E57" s="15"/>
      <c r="F57" s="15" t="s">
        <v>24</v>
      </c>
      <c r="G57" s="32">
        <v>8560</v>
      </c>
      <c r="H57" s="32">
        <v>9060</v>
      </c>
      <c r="I57" s="32">
        <v>9080</v>
      </c>
      <c r="J57" s="32">
        <v>8600</v>
      </c>
      <c r="K57" s="32">
        <v>9060</v>
      </c>
      <c r="L57" s="32">
        <v>10600</v>
      </c>
      <c r="M57" s="32"/>
      <c r="N57" s="12"/>
      <c r="O57" s="12"/>
      <c r="P57" s="8" t="s">
        <v>40</v>
      </c>
    </row>
    <row r="58" spans="1:16" ht="24" customHeight="1" x14ac:dyDescent="0.25">
      <c r="A58" s="10">
        <v>52</v>
      </c>
      <c r="B58" s="9">
        <v>0.51041666666666663</v>
      </c>
      <c r="C58" s="5" t="s">
        <v>21</v>
      </c>
      <c r="D58" s="5">
        <v>9</v>
      </c>
      <c r="E58" s="15"/>
      <c r="F58" s="15" t="s">
        <v>29</v>
      </c>
      <c r="G58" s="32">
        <v>6700</v>
      </c>
      <c r="H58" s="32">
        <v>7960</v>
      </c>
      <c r="I58" s="32">
        <v>7400</v>
      </c>
      <c r="J58" s="32"/>
      <c r="K58" s="32"/>
      <c r="L58" s="32"/>
      <c r="M58" s="32"/>
      <c r="N58" s="12"/>
      <c r="O58" s="12"/>
      <c r="P58" s="8" t="s">
        <v>34</v>
      </c>
    </row>
    <row r="59" spans="1:16" ht="24" customHeight="1" x14ac:dyDescent="0.25">
      <c r="A59" s="10">
        <v>53</v>
      </c>
      <c r="B59" s="9">
        <v>0.5131944444444444</v>
      </c>
      <c r="C59" s="5" t="s">
        <v>20</v>
      </c>
      <c r="D59" s="5">
        <v>9</v>
      </c>
      <c r="E59" s="15"/>
      <c r="F59" s="15" t="s">
        <v>29</v>
      </c>
      <c r="G59" s="32">
        <v>3800</v>
      </c>
      <c r="H59" s="32">
        <v>3920</v>
      </c>
      <c r="I59" s="32">
        <v>4020</v>
      </c>
      <c r="J59" s="32"/>
      <c r="K59" s="32"/>
      <c r="L59" s="32"/>
      <c r="M59" s="32"/>
      <c r="N59" s="12"/>
      <c r="O59" s="12"/>
      <c r="P59" s="8" t="s">
        <v>35</v>
      </c>
    </row>
    <row r="60" spans="1:16" ht="24" customHeight="1" x14ac:dyDescent="0.25">
      <c r="A60" s="10">
        <v>54</v>
      </c>
      <c r="B60" s="9">
        <v>0.5180555555555556</v>
      </c>
      <c r="C60" s="5" t="s">
        <v>20</v>
      </c>
      <c r="D60" s="5">
        <v>10</v>
      </c>
      <c r="E60" s="15"/>
      <c r="F60" s="15" t="s">
        <v>32</v>
      </c>
      <c r="G60" s="32">
        <v>10680</v>
      </c>
      <c r="H60" s="32">
        <v>9080</v>
      </c>
      <c r="I60" s="32">
        <v>11000</v>
      </c>
      <c r="J60" s="32">
        <v>12060</v>
      </c>
      <c r="K60" s="32"/>
      <c r="L60" s="32"/>
      <c r="M60" s="32"/>
      <c r="N60" s="12"/>
      <c r="O60" s="12"/>
      <c r="P60" s="8" t="s">
        <v>40</v>
      </c>
    </row>
    <row r="61" spans="1:16" ht="24" customHeight="1" x14ac:dyDescent="0.25">
      <c r="A61" s="10">
        <v>55</v>
      </c>
      <c r="B61" s="9">
        <v>0.52013888888888882</v>
      </c>
      <c r="C61" s="5" t="s">
        <v>20</v>
      </c>
      <c r="D61" s="5">
        <v>8</v>
      </c>
      <c r="E61" s="15"/>
      <c r="F61" s="15" t="s">
        <v>22</v>
      </c>
      <c r="G61" s="32">
        <v>3400</v>
      </c>
      <c r="H61" s="32">
        <v>3300</v>
      </c>
      <c r="I61" s="32"/>
      <c r="J61" s="32"/>
      <c r="K61" s="32"/>
      <c r="L61" s="32"/>
      <c r="M61" s="32"/>
      <c r="N61" s="12"/>
      <c r="O61" s="12"/>
      <c r="P61" s="8" t="s">
        <v>35</v>
      </c>
    </row>
    <row r="62" spans="1:16" ht="24" customHeight="1" x14ac:dyDescent="0.25">
      <c r="A62" s="10">
        <v>56</v>
      </c>
      <c r="B62" s="9">
        <v>0.52638888888888891</v>
      </c>
      <c r="C62" s="5" t="s">
        <v>20</v>
      </c>
      <c r="D62" s="5">
        <v>9</v>
      </c>
      <c r="E62" s="15"/>
      <c r="F62" s="15" t="s">
        <v>29</v>
      </c>
      <c r="G62" s="32">
        <v>4100</v>
      </c>
      <c r="H62" s="32">
        <v>5060</v>
      </c>
      <c r="I62" s="32">
        <v>6160</v>
      </c>
      <c r="J62" s="32"/>
      <c r="K62" s="32"/>
      <c r="L62" s="32"/>
      <c r="M62" s="32"/>
      <c r="N62" s="12"/>
      <c r="O62" s="12"/>
      <c r="P62" s="8" t="s">
        <v>34</v>
      </c>
    </row>
    <row r="63" spans="1:16" ht="24" customHeight="1" x14ac:dyDescent="0.25">
      <c r="A63" s="10">
        <v>57</v>
      </c>
      <c r="B63" s="9">
        <v>0.52777777777777779</v>
      </c>
      <c r="C63" s="5" t="s">
        <v>20</v>
      </c>
      <c r="D63" s="5">
        <v>8</v>
      </c>
      <c r="E63" s="15"/>
      <c r="F63" s="15" t="s">
        <v>22</v>
      </c>
      <c r="G63" s="32">
        <v>6200</v>
      </c>
      <c r="H63" s="32">
        <v>3600</v>
      </c>
      <c r="I63" s="32"/>
      <c r="J63" s="32"/>
      <c r="K63" s="32"/>
      <c r="L63" s="32"/>
      <c r="M63" s="32"/>
      <c r="N63" s="12"/>
      <c r="O63" s="12"/>
      <c r="P63" s="8" t="s">
        <v>35</v>
      </c>
    </row>
    <row r="64" spans="1:16" ht="24" customHeight="1" x14ac:dyDescent="0.25">
      <c r="A64" s="10">
        <v>58</v>
      </c>
      <c r="B64" s="9">
        <v>0.52847222222222223</v>
      </c>
      <c r="C64" s="5" t="s">
        <v>20</v>
      </c>
      <c r="D64" s="5">
        <v>5</v>
      </c>
      <c r="E64" s="15"/>
      <c r="F64" s="15" t="s">
        <v>47</v>
      </c>
      <c r="G64" s="32">
        <v>8090</v>
      </c>
      <c r="H64" s="32">
        <v>10260</v>
      </c>
      <c r="I64" s="32">
        <v>6880</v>
      </c>
      <c r="J64" s="32"/>
      <c r="K64" s="32"/>
      <c r="L64" s="32"/>
      <c r="M64" s="32"/>
      <c r="N64" s="12"/>
      <c r="O64" s="12"/>
      <c r="P64" s="8" t="s">
        <v>34</v>
      </c>
    </row>
    <row r="65" spans="1:16" ht="24" customHeight="1" x14ac:dyDescent="0.25">
      <c r="A65" s="10">
        <v>59</v>
      </c>
      <c r="B65" s="9">
        <v>0.52916666666666667</v>
      </c>
      <c r="C65" s="5" t="s">
        <v>20</v>
      </c>
      <c r="D65" s="5">
        <v>8</v>
      </c>
      <c r="E65" s="15"/>
      <c r="F65" s="15" t="s">
        <v>22</v>
      </c>
      <c r="G65" s="32">
        <v>3120</v>
      </c>
      <c r="H65" s="32">
        <v>3200</v>
      </c>
      <c r="I65" s="32"/>
      <c r="J65" s="32"/>
      <c r="K65" s="32"/>
      <c r="L65" s="32"/>
      <c r="M65" s="32"/>
      <c r="N65" s="12"/>
      <c r="O65" s="12"/>
      <c r="P65" s="8" t="s">
        <v>35</v>
      </c>
    </row>
    <row r="66" spans="1:16" ht="24" customHeight="1" x14ac:dyDescent="0.25">
      <c r="A66" s="10">
        <v>60</v>
      </c>
      <c r="B66" s="9">
        <v>0.53194444444444444</v>
      </c>
      <c r="C66" s="5" t="s">
        <v>20</v>
      </c>
      <c r="D66" s="5">
        <v>8</v>
      </c>
      <c r="E66" s="15"/>
      <c r="F66" s="15" t="s">
        <v>22</v>
      </c>
      <c r="G66" s="32">
        <v>2960</v>
      </c>
      <c r="H66" s="32">
        <v>3880</v>
      </c>
      <c r="I66" s="32"/>
      <c r="J66" s="32"/>
      <c r="K66" s="32"/>
      <c r="L66" s="32"/>
      <c r="M66" s="32"/>
      <c r="N66" s="12"/>
      <c r="O66" s="12"/>
      <c r="P66" s="8" t="s">
        <v>35</v>
      </c>
    </row>
    <row r="67" spans="1:16" ht="24" customHeight="1" x14ac:dyDescent="0.25">
      <c r="A67" s="10">
        <v>61</v>
      </c>
      <c r="B67" s="9">
        <v>0.53541666666666665</v>
      </c>
      <c r="C67" s="5" t="s">
        <v>21</v>
      </c>
      <c r="D67" s="5">
        <v>10</v>
      </c>
      <c r="E67" s="15"/>
      <c r="F67" s="15" t="s">
        <v>24</v>
      </c>
      <c r="G67" s="32">
        <v>8480</v>
      </c>
      <c r="H67" s="32">
        <v>11040</v>
      </c>
      <c r="I67" s="32">
        <v>8920</v>
      </c>
      <c r="J67" s="32">
        <v>12040</v>
      </c>
      <c r="K67" s="32">
        <v>9060</v>
      </c>
      <c r="L67" s="32">
        <v>9020</v>
      </c>
      <c r="M67" s="32"/>
      <c r="N67" s="12"/>
      <c r="O67" s="12"/>
      <c r="P67" s="8" t="s">
        <v>38</v>
      </c>
    </row>
    <row r="68" spans="1:16" ht="24" customHeight="1" x14ac:dyDescent="0.25">
      <c r="A68" s="10">
        <v>62</v>
      </c>
      <c r="B68" s="9">
        <v>0.53611111111111109</v>
      </c>
      <c r="C68" s="5" t="s">
        <v>20</v>
      </c>
      <c r="D68" s="5">
        <v>8</v>
      </c>
      <c r="E68" s="15"/>
      <c r="F68" s="15" t="s">
        <v>22</v>
      </c>
      <c r="G68" s="32">
        <v>8840</v>
      </c>
      <c r="H68" s="32">
        <v>13520</v>
      </c>
      <c r="I68" s="32"/>
      <c r="J68" s="32"/>
      <c r="K68" s="32"/>
      <c r="L68" s="32"/>
      <c r="M68" s="32"/>
      <c r="N68" s="12"/>
      <c r="O68" s="12"/>
      <c r="P68" s="8" t="s">
        <v>34</v>
      </c>
    </row>
    <row r="69" spans="1:16" ht="24" customHeight="1" x14ac:dyDescent="0.25">
      <c r="A69" s="10">
        <v>63</v>
      </c>
      <c r="B69" s="9">
        <v>0.53680555555555554</v>
      </c>
      <c r="C69" s="5" t="s">
        <v>20</v>
      </c>
      <c r="D69" s="5">
        <v>8</v>
      </c>
      <c r="E69" s="15"/>
      <c r="F69" s="15" t="s">
        <v>22</v>
      </c>
      <c r="G69" s="32">
        <v>3360</v>
      </c>
      <c r="H69" s="32">
        <v>3400</v>
      </c>
      <c r="I69" s="32"/>
      <c r="J69" s="32"/>
      <c r="K69" s="32"/>
      <c r="L69" s="32"/>
      <c r="M69" s="32"/>
      <c r="N69" s="12"/>
      <c r="O69" s="12"/>
      <c r="P69" s="8" t="s">
        <v>35</v>
      </c>
    </row>
    <row r="70" spans="1:16" ht="24" customHeight="1" x14ac:dyDescent="0.25">
      <c r="A70" s="10">
        <v>64</v>
      </c>
      <c r="B70" s="9">
        <v>0.53819444444444442</v>
      </c>
      <c r="C70" s="5" t="s">
        <v>20</v>
      </c>
      <c r="D70" s="5">
        <v>8</v>
      </c>
      <c r="E70" s="15"/>
      <c r="F70" s="15" t="s">
        <v>22</v>
      </c>
      <c r="G70" s="32">
        <v>3240</v>
      </c>
      <c r="H70" s="32">
        <v>3040</v>
      </c>
      <c r="I70" s="32"/>
      <c r="J70" s="32"/>
      <c r="K70" s="32"/>
      <c r="L70" s="32"/>
      <c r="M70" s="32"/>
      <c r="N70" s="12"/>
      <c r="O70" s="12"/>
      <c r="P70" s="8" t="s">
        <v>35</v>
      </c>
    </row>
    <row r="71" spans="1:16" ht="24" customHeight="1" x14ac:dyDescent="0.25">
      <c r="A71" s="10">
        <v>65</v>
      </c>
      <c r="B71" s="9">
        <v>4.5833333333333337E-2</v>
      </c>
      <c r="C71" s="5" t="s">
        <v>20</v>
      </c>
      <c r="D71" s="5">
        <v>10</v>
      </c>
      <c r="E71" s="15"/>
      <c r="F71" s="15" t="s">
        <v>43</v>
      </c>
      <c r="G71" s="32">
        <v>4520</v>
      </c>
      <c r="H71" s="32">
        <v>5400</v>
      </c>
      <c r="I71" s="32">
        <v>3060</v>
      </c>
      <c r="J71" s="32">
        <v>3600</v>
      </c>
      <c r="K71" s="32">
        <v>3400</v>
      </c>
      <c r="L71" s="32"/>
      <c r="M71" s="32"/>
      <c r="N71" s="12"/>
      <c r="O71" s="12"/>
      <c r="P71" s="8" t="s">
        <v>35</v>
      </c>
    </row>
    <row r="72" spans="1:16" ht="24" customHeight="1" x14ac:dyDescent="0.25">
      <c r="A72" s="10">
        <v>66</v>
      </c>
      <c r="B72" s="9">
        <v>4.7222222222222221E-2</v>
      </c>
      <c r="C72" s="5" t="s">
        <v>20</v>
      </c>
      <c r="D72" s="5">
        <v>8</v>
      </c>
      <c r="E72" s="15"/>
      <c r="F72" s="15" t="s">
        <v>22</v>
      </c>
      <c r="G72" s="32">
        <v>5060</v>
      </c>
      <c r="H72" s="32">
        <v>11780</v>
      </c>
      <c r="I72" s="32"/>
      <c r="J72" s="32"/>
      <c r="K72" s="32"/>
      <c r="L72" s="32"/>
      <c r="M72" s="32"/>
      <c r="N72" s="12"/>
      <c r="O72" s="12"/>
      <c r="P72" s="8" t="s">
        <v>34</v>
      </c>
    </row>
    <row r="73" spans="1:16" ht="24" customHeight="1" x14ac:dyDescent="0.25">
      <c r="A73" s="10">
        <v>67</v>
      </c>
      <c r="B73" s="9">
        <v>5.486111111111111E-2</v>
      </c>
      <c r="C73" s="5" t="s">
        <v>20</v>
      </c>
      <c r="D73" s="5">
        <v>8</v>
      </c>
      <c r="E73" s="15"/>
      <c r="F73" s="15" t="s">
        <v>22</v>
      </c>
      <c r="G73" s="32">
        <v>5180</v>
      </c>
      <c r="H73" s="32">
        <v>10680</v>
      </c>
      <c r="I73" s="32"/>
      <c r="J73" s="32"/>
      <c r="K73" s="32"/>
      <c r="L73" s="32"/>
      <c r="M73" s="32"/>
      <c r="N73" s="12"/>
      <c r="O73" s="12"/>
      <c r="P73" s="8" t="s">
        <v>38</v>
      </c>
    </row>
    <row r="74" spans="1:16" ht="24" customHeight="1" x14ac:dyDescent="0.25">
      <c r="A74" s="10">
        <v>68</v>
      </c>
      <c r="B74" s="9">
        <v>5.7638888888888885E-2</v>
      </c>
      <c r="C74" s="5" t="s">
        <v>20</v>
      </c>
      <c r="D74" s="5">
        <v>8</v>
      </c>
      <c r="E74" s="15"/>
      <c r="F74" s="15" t="s">
        <v>22</v>
      </c>
      <c r="G74" s="32">
        <v>3400</v>
      </c>
      <c r="H74" s="32">
        <v>3360</v>
      </c>
      <c r="I74" s="32"/>
      <c r="J74" s="32"/>
      <c r="K74" s="32"/>
      <c r="L74" s="32"/>
      <c r="M74" s="32"/>
      <c r="N74" s="12"/>
      <c r="O74" s="12"/>
      <c r="P74" s="8" t="s">
        <v>35</v>
      </c>
    </row>
    <row r="75" spans="1:16" ht="24" customHeight="1" x14ac:dyDescent="0.25">
      <c r="A75" s="10">
        <v>69</v>
      </c>
      <c r="B75" s="9">
        <v>5.9027777777777783E-2</v>
      </c>
      <c r="C75" s="5" t="s">
        <v>20</v>
      </c>
      <c r="D75" s="5">
        <v>8</v>
      </c>
      <c r="E75" s="15"/>
      <c r="F75" s="15" t="s">
        <v>22</v>
      </c>
      <c r="G75" s="32">
        <v>3360</v>
      </c>
      <c r="H75" s="32">
        <v>4420</v>
      </c>
      <c r="I75" s="32"/>
      <c r="J75" s="32"/>
      <c r="K75" s="32"/>
      <c r="L75" s="32"/>
      <c r="M75" s="32"/>
      <c r="N75" s="12"/>
      <c r="O75" s="12"/>
      <c r="P75" s="8" t="s">
        <v>35</v>
      </c>
    </row>
    <row r="76" spans="1:16" ht="24" customHeight="1" x14ac:dyDescent="0.25">
      <c r="A76" s="10">
        <v>70</v>
      </c>
      <c r="B76" s="9">
        <v>6.1805555555555558E-2</v>
      </c>
      <c r="C76" s="5" t="s">
        <v>20</v>
      </c>
      <c r="D76" s="5">
        <v>10</v>
      </c>
      <c r="E76" s="15"/>
      <c r="F76" s="15" t="s">
        <v>32</v>
      </c>
      <c r="G76" s="32">
        <v>8260</v>
      </c>
      <c r="H76" s="32">
        <v>7240</v>
      </c>
      <c r="I76" s="32">
        <v>11880</v>
      </c>
      <c r="J76" s="32">
        <v>12480</v>
      </c>
      <c r="K76" s="32"/>
      <c r="L76" s="32"/>
      <c r="M76" s="32"/>
      <c r="N76" s="12"/>
      <c r="O76" s="12"/>
      <c r="P76" s="8" t="s">
        <v>40</v>
      </c>
    </row>
    <row r="77" spans="1:16" ht="24" customHeight="1" x14ac:dyDescent="0.25">
      <c r="A77" s="10">
        <v>71</v>
      </c>
      <c r="B77" s="9">
        <v>6.3888888888888884E-2</v>
      </c>
      <c r="C77" s="5" t="s">
        <v>20</v>
      </c>
      <c r="D77" s="5">
        <v>5</v>
      </c>
      <c r="E77" s="15"/>
      <c r="F77" s="15" t="s">
        <v>22</v>
      </c>
      <c r="G77" s="32">
        <v>7440</v>
      </c>
      <c r="H77" s="32">
        <v>10260</v>
      </c>
      <c r="I77" s="32"/>
      <c r="J77" s="32"/>
      <c r="K77" s="32"/>
      <c r="L77" s="32"/>
      <c r="M77" s="32"/>
      <c r="N77" s="12"/>
      <c r="O77" s="12"/>
      <c r="P77" s="8" t="s">
        <v>34</v>
      </c>
    </row>
    <row r="78" spans="1:16" ht="24" customHeight="1" x14ac:dyDescent="0.25">
      <c r="A78" s="10">
        <v>72</v>
      </c>
      <c r="B78" s="9">
        <v>7.5694444444444439E-2</v>
      </c>
      <c r="C78" s="5" t="s">
        <v>20</v>
      </c>
      <c r="D78" s="5">
        <v>10</v>
      </c>
      <c r="E78" s="15"/>
      <c r="F78" s="15" t="s">
        <v>46</v>
      </c>
      <c r="G78" s="32">
        <v>7660</v>
      </c>
      <c r="H78" s="32">
        <v>4860</v>
      </c>
      <c r="I78" s="32">
        <v>3080</v>
      </c>
      <c r="J78" s="32">
        <v>2820</v>
      </c>
      <c r="K78" s="32">
        <v>3020</v>
      </c>
      <c r="L78" s="32"/>
      <c r="M78" s="32"/>
      <c r="N78" s="12"/>
      <c r="O78" s="12"/>
      <c r="P78" s="8" t="s">
        <v>35</v>
      </c>
    </row>
    <row r="79" spans="1:16" ht="24" customHeight="1" x14ac:dyDescent="0.25">
      <c r="A79" s="10">
        <v>73</v>
      </c>
      <c r="B79" s="9">
        <v>9.7222222222222224E-2</v>
      </c>
      <c r="C79" s="5" t="s">
        <v>20</v>
      </c>
      <c r="D79" s="5">
        <v>8</v>
      </c>
      <c r="E79" s="15"/>
      <c r="F79" s="15" t="s">
        <v>22</v>
      </c>
      <c r="G79" s="32">
        <v>3500</v>
      </c>
      <c r="H79" s="32">
        <v>4020</v>
      </c>
      <c r="I79" s="32"/>
      <c r="J79" s="32"/>
      <c r="K79" s="32"/>
      <c r="L79" s="32"/>
      <c r="M79" s="32"/>
      <c r="N79" s="12"/>
      <c r="O79" s="12"/>
      <c r="P79" s="8" t="s">
        <v>35</v>
      </c>
    </row>
    <row r="80" spans="1:16" ht="24" customHeight="1" x14ac:dyDescent="0.25">
      <c r="A80" s="10">
        <v>74</v>
      </c>
      <c r="B80" s="9">
        <v>0.10486111111111111</v>
      </c>
      <c r="C80" s="5" t="s">
        <v>20</v>
      </c>
      <c r="D80" s="5">
        <v>8</v>
      </c>
      <c r="E80" s="15"/>
      <c r="F80" s="15" t="s">
        <v>22</v>
      </c>
      <c r="G80" s="32">
        <v>2760</v>
      </c>
      <c r="H80" s="32">
        <v>4640</v>
      </c>
      <c r="I80" s="32"/>
      <c r="J80" s="32"/>
      <c r="K80" s="32"/>
      <c r="L80" s="32"/>
      <c r="M80" s="32"/>
      <c r="N80" s="12"/>
      <c r="O80" s="12"/>
      <c r="P80" s="8" t="s">
        <v>35</v>
      </c>
    </row>
    <row r="81" spans="1:16" ht="24" customHeight="1" x14ac:dyDescent="0.25">
      <c r="A81" s="10">
        <v>75</v>
      </c>
      <c r="B81" s="9">
        <v>0.10902777777777778</v>
      </c>
      <c r="C81" s="5" t="s">
        <v>20</v>
      </c>
      <c r="D81" s="5">
        <v>8</v>
      </c>
      <c r="E81" s="15"/>
      <c r="F81" s="15" t="s">
        <v>22</v>
      </c>
      <c r="G81" s="32">
        <v>4100</v>
      </c>
      <c r="H81" s="32">
        <v>4480</v>
      </c>
      <c r="I81" s="32"/>
      <c r="J81" s="32"/>
      <c r="K81" s="32"/>
      <c r="L81" s="32"/>
      <c r="M81" s="32"/>
      <c r="N81" s="12"/>
      <c r="O81" s="12"/>
      <c r="P81" s="8" t="s">
        <v>35</v>
      </c>
    </row>
    <row r="82" spans="1:16" ht="24" customHeight="1" x14ac:dyDescent="0.25">
      <c r="A82" s="10">
        <v>76</v>
      </c>
      <c r="B82" s="9">
        <v>0.10972222222222222</v>
      </c>
      <c r="C82" s="5" t="s">
        <v>20</v>
      </c>
      <c r="D82" s="5">
        <v>10</v>
      </c>
      <c r="E82" s="15"/>
      <c r="F82" s="15" t="s">
        <v>24</v>
      </c>
      <c r="G82" s="32">
        <v>7520</v>
      </c>
      <c r="H82" s="32">
        <v>5100</v>
      </c>
      <c r="I82" s="32">
        <v>4440</v>
      </c>
      <c r="J82" s="32">
        <v>3460</v>
      </c>
      <c r="K82" s="32">
        <v>2980</v>
      </c>
      <c r="L82" s="32">
        <v>3400</v>
      </c>
      <c r="M82" s="32"/>
      <c r="N82" s="12"/>
      <c r="O82" s="12"/>
      <c r="P82" s="8" t="s">
        <v>35</v>
      </c>
    </row>
    <row r="83" spans="1:16" ht="24" customHeight="1" x14ac:dyDescent="0.25">
      <c r="A83" s="10">
        <v>77</v>
      </c>
      <c r="B83" s="9">
        <v>0.1111111111111111</v>
      </c>
      <c r="C83" s="5" t="s">
        <v>20</v>
      </c>
      <c r="D83" s="5">
        <v>8</v>
      </c>
      <c r="E83" s="15"/>
      <c r="F83" s="15" t="s">
        <v>22</v>
      </c>
      <c r="G83" s="32">
        <v>3840</v>
      </c>
      <c r="H83" s="32">
        <v>4320</v>
      </c>
      <c r="I83" s="32"/>
      <c r="J83" s="32"/>
      <c r="K83" s="32"/>
      <c r="L83" s="32"/>
      <c r="M83" s="32"/>
      <c r="N83" s="12"/>
      <c r="O83" s="12"/>
      <c r="P83" s="8" t="s">
        <v>35</v>
      </c>
    </row>
    <row r="84" spans="1:16" ht="24" customHeight="1" x14ac:dyDescent="0.25">
      <c r="A84" s="10">
        <v>78</v>
      </c>
      <c r="B84" s="9">
        <v>0.11527777777777777</v>
      </c>
      <c r="C84" s="5" t="s">
        <v>20</v>
      </c>
      <c r="D84" s="5">
        <v>8</v>
      </c>
      <c r="E84" s="15"/>
      <c r="F84" s="15" t="s">
        <v>22</v>
      </c>
      <c r="G84" s="32">
        <v>3760</v>
      </c>
      <c r="H84" s="32">
        <v>7200</v>
      </c>
      <c r="I84" s="32"/>
      <c r="J84" s="32"/>
      <c r="K84" s="32"/>
      <c r="L84" s="32"/>
      <c r="M84" s="32"/>
      <c r="N84" s="12"/>
      <c r="O84" s="12"/>
      <c r="P84" s="8" t="s">
        <v>34</v>
      </c>
    </row>
    <row r="85" spans="1:16" ht="24" customHeight="1" x14ac:dyDescent="0.25">
      <c r="A85" s="10">
        <v>79</v>
      </c>
      <c r="B85" s="9">
        <v>0.11597222222222221</v>
      </c>
      <c r="C85" s="5" t="s">
        <v>20</v>
      </c>
      <c r="D85" s="5">
        <v>8</v>
      </c>
      <c r="E85" s="15"/>
      <c r="F85" s="15" t="s">
        <v>22</v>
      </c>
      <c r="G85" s="32">
        <v>2700</v>
      </c>
      <c r="H85" s="32">
        <v>3280</v>
      </c>
      <c r="I85" s="32"/>
      <c r="J85" s="32"/>
      <c r="K85" s="32"/>
      <c r="L85" s="32"/>
      <c r="M85" s="32"/>
      <c r="N85" s="12"/>
      <c r="O85" s="12"/>
      <c r="P85" s="8" t="s">
        <v>35</v>
      </c>
    </row>
    <row r="86" spans="1:16" ht="24" customHeight="1" x14ac:dyDescent="0.25">
      <c r="A86" s="10">
        <v>80</v>
      </c>
      <c r="B86" s="9">
        <v>0.13055555555555556</v>
      </c>
      <c r="C86" s="5" t="s">
        <v>20</v>
      </c>
      <c r="D86" s="5">
        <v>8</v>
      </c>
      <c r="E86" s="15"/>
      <c r="F86" s="15" t="s">
        <v>22</v>
      </c>
      <c r="G86" s="32">
        <v>2960</v>
      </c>
      <c r="H86" s="32">
        <v>4740</v>
      </c>
      <c r="I86" s="32"/>
      <c r="J86" s="32"/>
      <c r="K86" s="32"/>
      <c r="L86" s="32"/>
      <c r="M86" s="32"/>
      <c r="N86" s="12"/>
      <c r="O86" s="12"/>
      <c r="P86" s="8" t="s">
        <v>34</v>
      </c>
    </row>
    <row r="87" spans="1:16" s="30" customFormat="1" ht="24" customHeight="1" x14ac:dyDescent="0.25">
      <c r="A87" s="10"/>
      <c r="B87" s="24"/>
      <c r="C87" s="25"/>
      <c r="D87" s="25"/>
      <c r="E87" s="26"/>
      <c r="F87" s="26"/>
      <c r="G87" s="33"/>
      <c r="H87" s="34" t="s">
        <v>54</v>
      </c>
      <c r="I87" s="33"/>
      <c r="J87" s="33"/>
      <c r="K87" s="33"/>
      <c r="L87" s="33"/>
      <c r="M87" s="33"/>
      <c r="N87" s="28"/>
      <c r="O87" s="28"/>
      <c r="P87" s="29"/>
    </row>
    <row r="88" spans="1:16" ht="24" customHeight="1" x14ac:dyDescent="0.25">
      <c r="A88" s="10">
        <v>1</v>
      </c>
      <c r="B88" s="9">
        <v>0.18055555555555555</v>
      </c>
      <c r="C88" s="5" t="s">
        <v>20</v>
      </c>
      <c r="D88" s="5">
        <v>8</v>
      </c>
      <c r="E88" s="15"/>
      <c r="F88" s="15" t="s">
        <v>22</v>
      </c>
      <c r="G88" s="32">
        <v>6920</v>
      </c>
      <c r="H88" s="32">
        <v>20360</v>
      </c>
      <c r="I88" s="32"/>
      <c r="J88" s="32"/>
      <c r="K88" s="32"/>
      <c r="L88" s="32"/>
      <c r="M88" s="32"/>
      <c r="N88" s="12"/>
      <c r="O88" s="12"/>
      <c r="P88" s="8" t="s">
        <v>41</v>
      </c>
    </row>
    <row r="89" spans="1:16" ht="24" customHeight="1" x14ac:dyDescent="0.25">
      <c r="A89" s="10">
        <v>2</v>
      </c>
      <c r="B89" s="9">
        <v>0.18194444444444444</v>
      </c>
      <c r="C89" s="5" t="s">
        <v>20</v>
      </c>
      <c r="D89" s="5">
        <v>8</v>
      </c>
      <c r="E89" s="15"/>
      <c r="F89" s="15" t="s">
        <v>22</v>
      </c>
      <c r="G89" s="32">
        <v>4620</v>
      </c>
      <c r="H89" s="32">
        <v>9440</v>
      </c>
      <c r="I89" s="32"/>
      <c r="J89" s="32"/>
      <c r="K89" s="32"/>
      <c r="L89" s="32"/>
      <c r="M89" s="32"/>
      <c r="N89" s="12"/>
      <c r="O89" s="12"/>
      <c r="P89" s="8" t="s">
        <v>39</v>
      </c>
    </row>
    <row r="90" spans="1:16" ht="24" customHeight="1" x14ac:dyDescent="0.25">
      <c r="A90" s="10">
        <v>3</v>
      </c>
      <c r="B90" s="9">
        <v>0.18402777777777779</v>
      </c>
      <c r="C90" s="5" t="s">
        <v>20</v>
      </c>
      <c r="D90" s="5">
        <v>10</v>
      </c>
      <c r="E90" s="15"/>
      <c r="F90" s="15" t="s">
        <v>25</v>
      </c>
      <c r="G90" s="32">
        <v>7740</v>
      </c>
      <c r="H90" s="32">
        <v>4520</v>
      </c>
      <c r="I90" s="32">
        <v>7920</v>
      </c>
      <c r="J90" s="32">
        <v>6580</v>
      </c>
      <c r="K90" s="32">
        <v>5820</v>
      </c>
      <c r="L90" s="32">
        <v>8220</v>
      </c>
      <c r="M90" s="32"/>
      <c r="N90" s="12"/>
      <c r="O90" s="12"/>
      <c r="P90" s="8" t="s">
        <v>35</v>
      </c>
    </row>
    <row r="91" spans="1:16" ht="24" customHeight="1" x14ac:dyDescent="0.25">
      <c r="A91" s="10">
        <v>4</v>
      </c>
      <c r="B91" s="9">
        <v>0.19097222222222221</v>
      </c>
      <c r="C91" s="5" t="s">
        <v>20</v>
      </c>
      <c r="D91" s="5">
        <v>8</v>
      </c>
      <c r="E91" s="15"/>
      <c r="F91" s="15" t="s">
        <v>22</v>
      </c>
      <c r="G91" s="32">
        <v>7020</v>
      </c>
      <c r="H91" s="32">
        <v>12180</v>
      </c>
      <c r="I91" s="32"/>
      <c r="J91" s="32"/>
      <c r="K91" s="32"/>
      <c r="L91" s="32"/>
      <c r="M91" s="32"/>
      <c r="N91" s="12"/>
      <c r="O91" s="12"/>
      <c r="P91" s="8" t="s">
        <v>41</v>
      </c>
    </row>
    <row r="92" spans="1:16" ht="24" customHeight="1" x14ac:dyDescent="0.25">
      <c r="A92" s="10">
        <v>5</v>
      </c>
      <c r="B92" s="9">
        <v>0.19722222222222222</v>
      </c>
      <c r="C92" s="5" t="s">
        <v>20</v>
      </c>
      <c r="D92" s="5">
        <v>8</v>
      </c>
      <c r="E92" s="15"/>
      <c r="F92" s="15" t="s">
        <v>22</v>
      </c>
      <c r="G92" s="32">
        <v>7860</v>
      </c>
      <c r="H92" s="32">
        <v>10400</v>
      </c>
      <c r="I92" s="32"/>
      <c r="J92" s="32"/>
      <c r="K92" s="32"/>
      <c r="L92" s="32"/>
      <c r="M92" s="32"/>
      <c r="N92" s="12"/>
      <c r="O92" s="12"/>
      <c r="P92" s="8" t="s">
        <v>41</v>
      </c>
    </row>
    <row r="93" spans="1:16" ht="24" customHeight="1" x14ac:dyDescent="0.25">
      <c r="A93" s="10">
        <v>6</v>
      </c>
      <c r="B93" s="9">
        <v>0.20416666666666669</v>
      </c>
      <c r="C93" s="5" t="s">
        <v>20</v>
      </c>
      <c r="D93" s="5">
        <v>8</v>
      </c>
      <c r="E93" s="15"/>
      <c r="F93" s="15" t="s">
        <v>22</v>
      </c>
      <c r="G93" s="32">
        <v>2400</v>
      </c>
      <c r="H93" s="32">
        <v>18540</v>
      </c>
      <c r="I93" s="32"/>
      <c r="J93" s="32"/>
      <c r="K93" s="32"/>
      <c r="L93" s="32"/>
      <c r="M93" s="32"/>
      <c r="N93" s="12"/>
      <c r="O93" s="12"/>
      <c r="P93" s="8" t="s">
        <v>40</v>
      </c>
    </row>
    <row r="94" spans="1:16" ht="24" customHeight="1" x14ac:dyDescent="0.25">
      <c r="A94" s="10">
        <v>7</v>
      </c>
      <c r="B94" s="9">
        <v>0.3430555555555555</v>
      </c>
      <c r="C94" s="5" t="s">
        <v>20</v>
      </c>
      <c r="D94" s="5">
        <v>10</v>
      </c>
      <c r="E94" s="15"/>
      <c r="F94" s="15" t="s">
        <v>24</v>
      </c>
      <c r="G94" s="32">
        <v>7920</v>
      </c>
      <c r="H94" s="32">
        <v>5080</v>
      </c>
      <c r="I94" s="32">
        <v>5380</v>
      </c>
      <c r="J94" s="32">
        <v>5700</v>
      </c>
      <c r="K94" s="32">
        <v>5960</v>
      </c>
      <c r="L94" s="32">
        <v>5460</v>
      </c>
      <c r="M94" s="32"/>
      <c r="N94" s="12"/>
      <c r="O94" s="12"/>
      <c r="P94" s="8" t="s">
        <v>35</v>
      </c>
    </row>
    <row r="95" spans="1:16" ht="24" customHeight="1" x14ac:dyDescent="0.25">
      <c r="A95" s="10">
        <v>8</v>
      </c>
      <c r="B95" s="9">
        <v>0.34375</v>
      </c>
      <c r="C95" s="5" t="s">
        <v>20</v>
      </c>
      <c r="D95" s="5">
        <v>5</v>
      </c>
      <c r="E95" s="15"/>
      <c r="F95" s="15" t="s">
        <v>22</v>
      </c>
      <c r="G95" s="32">
        <v>9960</v>
      </c>
      <c r="H95" s="32">
        <v>12600</v>
      </c>
      <c r="I95" s="32"/>
      <c r="J95" s="32"/>
      <c r="K95" s="32"/>
      <c r="L95" s="32"/>
      <c r="M95" s="32"/>
      <c r="N95" s="12"/>
      <c r="O95" s="12"/>
      <c r="P95" s="8" t="s">
        <v>34</v>
      </c>
    </row>
    <row r="96" spans="1:16" ht="24" customHeight="1" x14ac:dyDescent="0.25">
      <c r="A96" s="10">
        <v>9</v>
      </c>
      <c r="B96" s="9">
        <v>0.3444444444444445</v>
      </c>
      <c r="C96" s="5" t="s">
        <v>20</v>
      </c>
      <c r="D96" s="5">
        <v>10</v>
      </c>
      <c r="E96" s="15"/>
      <c r="F96" s="15" t="s">
        <v>24</v>
      </c>
      <c r="G96" s="32">
        <v>6760</v>
      </c>
      <c r="H96" s="32">
        <v>10380</v>
      </c>
      <c r="I96" s="32">
        <v>8050</v>
      </c>
      <c r="J96" s="32">
        <v>10300</v>
      </c>
      <c r="K96" s="32">
        <v>7060</v>
      </c>
      <c r="L96" s="32">
        <v>10200</v>
      </c>
      <c r="M96" s="32"/>
      <c r="N96" s="12"/>
      <c r="O96" s="12"/>
      <c r="P96" s="8" t="s">
        <v>41</v>
      </c>
    </row>
    <row r="97" spans="1:16" ht="24" customHeight="1" x14ac:dyDescent="0.25">
      <c r="A97" s="10">
        <v>10</v>
      </c>
      <c r="B97" s="9">
        <v>0.34652777777777777</v>
      </c>
      <c r="C97" s="5" t="s">
        <v>20</v>
      </c>
      <c r="D97" s="5">
        <v>8</v>
      </c>
      <c r="E97" s="15"/>
      <c r="F97" s="15" t="s">
        <v>22</v>
      </c>
      <c r="G97" s="32">
        <v>7060</v>
      </c>
      <c r="H97" s="32">
        <v>12540</v>
      </c>
      <c r="I97" s="32"/>
      <c r="J97" s="32"/>
      <c r="K97" s="32"/>
      <c r="L97" s="32"/>
      <c r="M97" s="32"/>
      <c r="N97" s="12"/>
      <c r="O97" s="12"/>
      <c r="P97" s="8" t="s">
        <v>41</v>
      </c>
    </row>
    <row r="98" spans="1:16" ht="24" customHeight="1" x14ac:dyDescent="0.25">
      <c r="A98" s="10">
        <v>11</v>
      </c>
      <c r="B98" s="9">
        <v>0.34722222222222227</v>
      </c>
      <c r="C98" s="5" t="s">
        <v>20</v>
      </c>
      <c r="D98" s="5">
        <v>8</v>
      </c>
      <c r="E98" s="15"/>
      <c r="F98" s="15" t="s">
        <v>22</v>
      </c>
      <c r="G98" s="32">
        <v>7480</v>
      </c>
      <c r="H98" s="32">
        <v>11400</v>
      </c>
      <c r="I98" s="32"/>
      <c r="J98" s="32"/>
      <c r="K98" s="32"/>
      <c r="L98" s="32"/>
      <c r="M98" s="32"/>
      <c r="N98" s="12"/>
      <c r="O98" s="12"/>
      <c r="P98" s="8" t="s">
        <v>41</v>
      </c>
    </row>
    <row r="99" spans="1:16" ht="24" customHeight="1" x14ac:dyDescent="0.25">
      <c r="A99" s="10">
        <v>12</v>
      </c>
      <c r="B99" s="9">
        <v>0.34791666666666665</v>
      </c>
      <c r="C99" s="5" t="s">
        <v>20</v>
      </c>
      <c r="D99" s="5">
        <v>8</v>
      </c>
      <c r="E99" s="15"/>
      <c r="F99" s="15" t="s">
        <v>22</v>
      </c>
      <c r="G99" s="32">
        <v>6020</v>
      </c>
      <c r="H99" s="32">
        <v>12420</v>
      </c>
      <c r="I99" s="32"/>
      <c r="J99" s="32"/>
      <c r="K99" s="32"/>
      <c r="L99" s="32"/>
      <c r="M99" s="32"/>
      <c r="N99" s="12"/>
      <c r="O99" s="12"/>
      <c r="P99" s="8" t="s">
        <v>41</v>
      </c>
    </row>
    <row r="100" spans="1:16" ht="24" customHeight="1" x14ac:dyDescent="0.25">
      <c r="A100" s="10">
        <v>13</v>
      </c>
      <c r="B100" s="9">
        <v>0.35069444444444442</v>
      </c>
      <c r="C100" s="5" t="s">
        <v>20</v>
      </c>
      <c r="D100" s="5">
        <v>8</v>
      </c>
      <c r="E100" s="15"/>
      <c r="F100" s="15" t="s">
        <v>22</v>
      </c>
      <c r="G100" s="32">
        <v>7340</v>
      </c>
      <c r="H100" s="32">
        <v>12040</v>
      </c>
      <c r="I100" s="32"/>
      <c r="J100" s="32"/>
      <c r="K100" s="32"/>
      <c r="L100" s="32"/>
      <c r="M100" s="32"/>
      <c r="N100" s="12"/>
      <c r="O100" s="12"/>
      <c r="P100" s="8" t="s">
        <v>41</v>
      </c>
    </row>
    <row r="101" spans="1:16" ht="24" customHeight="1" x14ac:dyDescent="0.25">
      <c r="A101" s="10">
        <v>14</v>
      </c>
      <c r="B101" s="9">
        <v>0.3527777777777778</v>
      </c>
      <c r="C101" s="5" t="s">
        <v>20</v>
      </c>
      <c r="D101" s="5">
        <v>8</v>
      </c>
      <c r="E101" s="15"/>
      <c r="F101" s="15" t="s">
        <v>22</v>
      </c>
      <c r="G101" s="32">
        <v>7140</v>
      </c>
      <c r="H101" s="32">
        <v>13480</v>
      </c>
      <c r="I101" s="32"/>
      <c r="J101" s="32"/>
      <c r="K101" s="32"/>
      <c r="L101" s="32"/>
      <c r="M101" s="32"/>
      <c r="N101" s="12"/>
      <c r="O101" s="12"/>
      <c r="P101" s="8" t="s">
        <v>41</v>
      </c>
    </row>
    <row r="102" spans="1:16" ht="24" customHeight="1" x14ac:dyDescent="0.25">
      <c r="A102" s="10">
        <v>15</v>
      </c>
      <c r="B102" s="9">
        <v>0.3576388888888889</v>
      </c>
      <c r="C102" s="5" t="s">
        <v>20</v>
      </c>
      <c r="D102" s="5">
        <v>8</v>
      </c>
      <c r="E102" s="15"/>
      <c r="F102" s="15" t="s">
        <v>22</v>
      </c>
      <c r="G102" s="32">
        <v>4880</v>
      </c>
      <c r="H102" s="32">
        <v>6560</v>
      </c>
      <c r="I102" s="32"/>
      <c r="J102" s="32"/>
      <c r="K102" s="32"/>
      <c r="L102" s="32"/>
      <c r="M102" s="32"/>
      <c r="N102" s="12"/>
      <c r="O102" s="12"/>
      <c r="P102" s="8" t="s">
        <v>34</v>
      </c>
    </row>
    <row r="103" spans="1:16" ht="24" customHeight="1" x14ac:dyDescent="0.25">
      <c r="A103" s="10">
        <v>16</v>
      </c>
      <c r="B103" s="9">
        <v>0.35902777777777778</v>
      </c>
      <c r="C103" s="5" t="s">
        <v>20</v>
      </c>
      <c r="D103" s="5">
        <v>8</v>
      </c>
      <c r="E103" s="15"/>
      <c r="F103" s="15" t="s">
        <v>22</v>
      </c>
      <c r="G103" s="32">
        <v>6940</v>
      </c>
      <c r="H103" s="32">
        <v>11380</v>
      </c>
      <c r="I103" s="32"/>
      <c r="J103" s="32"/>
      <c r="K103" s="32"/>
      <c r="L103" s="32"/>
      <c r="M103" s="32"/>
      <c r="N103" s="12"/>
      <c r="O103" s="12"/>
      <c r="P103" s="8" t="s">
        <v>41</v>
      </c>
    </row>
    <row r="104" spans="1:16" ht="24" customHeight="1" x14ac:dyDescent="0.25">
      <c r="A104" s="10">
        <v>17</v>
      </c>
      <c r="B104" s="9">
        <v>0.36458333333333331</v>
      </c>
      <c r="C104" s="5" t="s">
        <v>20</v>
      </c>
      <c r="D104" s="5">
        <v>8</v>
      </c>
      <c r="E104" s="15"/>
      <c r="F104" s="15" t="s">
        <v>22</v>
      </c>
      <c r="G104" s="32">
        <v>7140</v>
      </c>
      <c r="H104" s="32">
        <v>12860</v>
      </c>
      <c r="I104" s="32"/>
      <c r="J104" s="32"/>
      <c r="K104" s="32"/>
      <c r="L104" s="32"/>
      <c r="M104" s="32"/>
      <c r="N104" s="12"/>
      <c r="O104" s="12"/>
      <c r="P104" s="8" t="s">
        <v>41</v>
      </c>
    </row>
    <row r="105" spans="1:16" ht="24" customHeight="1" x14ac:dyDescent="0.25">
      <c r="A105" s="10">
        <v>18</v>
      </c>
      <c r="B105" s="9">
        <v>0.3659722222222222</v>
      </c>
      <c r="C105" s="5" t="s">
        <v>20</v>
      </c>
      <c r="D105" s="5">
        <v>8</v>
      </c>
      <c r="E105" s="15"/>
      <c r="F105" s="15" t="s">
        <v>22</v>
      </c>
      <c r="G105" s="32">
        <v>4520</v>
      </c>
      <c r="H105" s="32">
        <v>10480</v>
      </c>
      <c r="I105" s="32"/>
      <c r="J105" s="32"/>
      <c r="K105" s="32"/>
      <c r="L105" s="32"/>
      <c r="M105" s="32"/>
      <c r="N105" s="12"/>
      <c r="O105" s="12"/>
      <c r="P105" s="8" t="s">
        <v>41</v>
      </c>
    </row>
    <row r="106" spans="1:16" ht="24" customHeight="1" x14ac:dyDescent="0.25">
      <c r="A106" s="10">
        <v>19</v>
      </c>
      <c r="B106" s="9">
        <v>0.3743055555555555</v>
      </c>
      <c r="C106" s="5" t="s">
        <v>20</v>
      </c>
      <c r="D106" s="5">
        <v>9</v>
      </c>
      <c r="E106" s="15"/>
      <c r="F106" s="15" t="s">
        <v>29</v>
      </c>
      <c r="G106" s="32">
        <v>8820</v>
      </c>
      <c r="H106" s="32">
        <v>12360</v>
      </c>
      <c r="I106" s="32">
        <v>10820</v>
      </c>
      <c r="J106" s="32"/>
      <c r="K106" s="32"/>
      <c r="L106" s="32"/>
      <c r="M106" s="32"/>
      <c r="N106" s="12"/>
      <c r="O106" s="12"/>
      <c r="P106" s="8" t="s">
        <v>42</v>
      </c>
    </row>
    <row r="107" spans="1:16" ht="24" customHeight="1" x14ac:dyDescent="0.25">
      <c r="A107" s="10">
        <v>20</v>
      </c>
      <c r="B107" s="9">
        <v>0.37847222222222227</v>
      </c>
      <c r="C107" s="5" t="s">
        <v>20</v>
      </c>
      <c r="D107" s="5">
        <v>8</v>
      </c>
      <c r="E107" s="15"/>
      <c r="F107" s="15" t="s">
        <v>22</v>
      </c>
      <c r="G107" s="32">
        <v>6160</v>
      </c>
      <c r="H107" s="32">
        <v>11780</v>
      </c>
      <c r="I107" s="32"/>
      <c r="J107" s="32"/>
      <c r="K107" s="32"/>
      <c r="L107" s="32"/>
      <c r="M107" s="32"/>
      <c r="N107" s="12"/>
      <c r="O107" s="12"/>
      <c r="P107" s="8" t="s">
        <v>41</v>
      </c>
    </row>
    <row r="108" spans="1:16" ht="24" customHeight="1" x14ac:dyDescent="0.25">
      <c r="A108" s="10">
        <v>21</v>
      </c>
      <c r="B108" s="9">
        <v>0.37986111111111115</v>
      </c>
      <c r="C108" s="5" t="s">
        <v>20</v>
      </c>
      <c r="D108" s="5">
        <v>8</v>
      </c>
      <c r="E108" s="15"/>
      <c r="F108" s="15" t="s">
        <v>22</v>
      </c>
      <c r="G108" s="32">
        <v>6980</v>
      </c>
      <c r="H108" s="32">
        <v>15280</v>
      </c>
      <c r="I108" s="32"/>
      <c r="J108" s="32"/>
      <c r="K108" s="32"/>
      <c r="L108" s="32"/>
      <c r="M108" s="32"/>
      <c r="N108" s="12"/>
      <c r="O108" s="12"/>
      <c r="P108" s="8" t="s">
        <v>41</v>
      </c>
    </row>
    <row r="109" spans="1:16" ht="24" customHeight="1" x14ac:dyDescent="0.25">
      <c r="A109" s="10">
        <v>22</v>
      </c>
      <c r="B109" s="9">
        <v>0.3888888888888889</v>
      </c>
      <c r="C109" s="5" t="s">
        <v>20</v>
      </c>
      <c r="D109" s="5">
        <v>8</v>
      </c>
      <c r="E109" s="15"/>
      <c r="F109" s="15" t="s">
        <v>22</v>
      </c>
      <c r="G109" s="32">
        <v>3260</v>
      </c>
      <c r="H109" s="32">
        <v>3440</v>
      </c>
      <c r="I109" s="32"/>
      <c r="J109" s="32"/>
      <c r="K109" s="32"/>
      <c r="L109" s="32"/>
      <c r="M109" s="32"/>
      <c r="N109" s="12"/>
      <c r="O109" s="12"/>
      <c r="P109" s="8" t="e">
        <v>#N/A</v>
      </c>
    </row>
    <row r="110" spans="1:16" ht="24" customHeight="1" x14ac:dyDescent="0.25">
      <c r="A110" s="10">
        <v>23</v>
      </c>
      <c r="B110" s="9">
        <v>0.39513888888888887</v>
      </c>
      <c r="C110" s="5" t="s">
        <v>20</v>
      </c>
      <c r="D110" s="5">
        <v>8</v>
      </c>
      <c r="E110" s="15"/>
      <c r="F110" s="15" t="s">
        <v>22</v>
      </c>
      <c r="G110" s="32">
        <v>4160</v>
      </c>
      <c r="H110" s="32">
        <v>9660</v>
      </c>
      <c r="I110" s="32"/>
      <c r="J110" s="32"/>
      <c r="K110" s="32"/>
      <c r="L110" s="32"/>
      <c r="M110" s="32"/>
      <c r="N110" s="12"/>
      <c r="O110" s="12"/>
      <c r="P110" s="8" t="s">
        <v>41</v>
      </c>
    </row>
    <row r="111" spans="1:16" ht="24" customHeight="1" x14ac:dyDescent="0.25">
      <c r="A111" s="10">
        <v>24</v>
      </c>
      <c r="B111" s="9">
        <v>0.4069444444444445</v>
      </c>
      <c r="C111" s="5" t="s">
        <v>20</v>
      </c>
      <c r="D111" s="5">
        <v>8</v>
      </c>
      <c r="E111" s="15"/>
      <c r="F111" s="15" t="s">
        <v>22</v>
      </c>
      <c r="G111" s="32">
        <v>6580</v>
      </c>
      <c r="H111" s="32">
        <v>15700</v>
      </c>
      <c r="I111" s="32"/>
      <c r="J111" s="32"/>
      <c r="K111" s="32"/>
      <c r="L111" s="32"/>
      <c r="M111" s="32"/>
      <c r="N111" s="12"/>
      <c r="O111" s="12"/>
      <c r="P111" s="8" t="s">
        <v>41</v>
      </c>
    </row>
    <row r="112" spans="1:16" ht="24" customHeight="1" x14ac:dyDescent="0.25">
      <c r="A112" s="10">
        <v>25</v>
      </c>
      <c r="B112" s="9">
        <v>0.41180555555555554</v>
      </c>
      <c r="C112" s="5" t="s">
        <v>20</v>
      </c>
      <c r="D112" s="5">
        <v>10</v>
      </c>
      <c r="E112" s="15"/>
      <c r="F112" s="15" t="s">
        <v>25</v>
      </c>
      <c r="G112" s="32">
        <v>7680</v>
      </c>
      <c r="H112" s="32">
        <v>3440</v>
      </c>
      <c r="I112" s="32">
        <v>19080</v>
      </c>
      <c r="J112" s="32">
        <v>80780</v>
      </c>
      <c r="K112" s="32">
        <v>1080</v>
      </c>
      <c r="L112" s="32">
        <v>12820</v>
      </c>
      <c r="M112" s="32"/>
      <c r="N112" s="12"/>
      <c r="O112" s="12"/>
      <c r="P112" s="8" t="s">
        <v>40</v>
      </c>
    </row>
    <row r="113" spans="1:16" ht="24" customHeight="1" x14ac:dyDescent="0.25">
      <c r="A113" s="10">
        <v>26</v>
      </c>
      <c r="B113" s="9">
        <v>0.41736111111111113</v>
      </c>
      <c r="C113" s="5" t="s">
        <v>20</v>
      </c>
      <c r="D113" s="5">
        <v>8</v>
      </c>
      <c r="E113" s="15"/>
      <c r="F113" s="15" t="s">
        <v>22</v>
      </c>
      <c r="G113" s="32">
        <v>4960</v>
      </c>
      <c r="H113" s="32">
        <v>12600</v>
      </c>
      <c r="I113" s="32"/>
      <c r="J113" s="32"/>
      <c r="K113" s="32"/>
      <c r="L113" s="32"/>
      <c r="M113" s="32"/>
      <c r="N113" s="12"/>
      <c r="O113" s="12"/>
      <c r="P113" s="8" t="s">
        <v>41</v>
      </c>
    </row>
    <row r="114" spans="1:16" ht="24" customHeight="1" x14ac:dyDescent="0.25">
      <c r="A114" s="10">
        <v>27</v>
      </c>
      <c r="B114" s="9">
        <v>0.42083333333333334</v>
      </c>
      <c r="C114" s="5" t="s">
        <v>20</v>
      </c>
      <c r="D114" s="5">
        <v>8</v>
      </c>
      <c r="E114" s="15"/>
      <c r="F114" s="15" t="s">
        <v>22</v>
      </c>
      <c r="G114" s="32">
        <v>5740</v>
      </c>
      <c r="H114" s="32">
        <v>11760</v>
      </c>
      <c r="I114" s="32"/>
      <c r="J114" s="32"/>
      <c r="K114" s="32"/>
      <c r="L114" s="32"/>
      <c r="M114" s="32"/>
      <c r="N114" s="12"/>
      <c r="O114" s="12"/>
      <c r="P114" s="8" t="s">
        <v>40</v>
      </c>
    </row>
    <row r="115" spans="1:16" ht="24" customHeight="1" x14ac:dyDescent="0.25">
      <c r="A115" s="10">
        <v>28</v>
      </c>
      <c r="B115" s="9">
        <v>0.42708333333333331</v>
      </c>
      <c r="C115" s="5" t="s">
        <v>20</v>
      </c>
      <c r="D115" s="5">
        <v>10</v>
      </c>
      <c r="E115" s="15"/>
      <c r="F115" s="15" t="s">
        <v>24</v>
      </c>
      <c r="G115" s="32">
        <v>6900</v>
      </c>
      <c r="H115" s="32">
        <v>9160</v>
      </c>
      <c r="I115" s="32">
        <v>9060</v>
      </c>
      <c r="J115" s="32">
        <v>9360</v>
      </c>
      <c r="K115" s="32">
        <v>8080</v>
      </c>
      <c r="L115" s="32"/>
      <c r="M115" s="32"/>
      <c r="N115" s="12"/>
      <c r="O115" s="12"/>
      <c r="P115" s="8" t="s">
        <v>39</v>
      </c>
    </row>
    <row r="116" spans="1:16" ht="24" customHeight="1" x14ac:dyDescent="0.25">
      <c r="A116" s="10">
        <v>29</v>
      </c>
      <c r="B116" s="9">
        <v>0.4375</v>
      </c>
      <c r="C116" s="5" t="s">
        <v>20</v>
      </c>
      <c r="D116" s="5">
        <v>8</v>
      </c>
      <c r="E116" s="15"/>
      <c r="F116" s="15" t="s">
        <v>22</v>
      </c>
      <c r="G116" s="32">
        <v>6360</v>
      </c>
      <c r="H116" s="32">
        <v>13280</v>
      </c>
      <c r="I116" s="32"/>
      <c r="J116" s="32"/>
      <c r="K116" s="32"/>
      <c r="L116" s="32"/>
      <c r="M116" s="32"/>
      <c r="N116" s="12"/>
      <c r="O116" s="12"/>
      <c r="P116" s="8" t="s">
        <v>41</v>
      </c>
    </row>
    <row r="117" spans="1:16" ht="24" customHeight="1" x14ac:dyDescent="0.25">
      <c r="A117" s="10">
        <v>30</v>
      </c>
      <c r="B117" s="9">
        <v>0.44027777777777777</v>
      </c>
      <c r="C117" s="5" t="s">
        <v>20</v>
      </c>
      <c r="D117" s="5">
        <v>7</v>
      </c>
      <c r="E117" s="15"/>
      <c r="F117" s="15" t="s">
        <v>22</v>
      </c>
      <c r="G117" s="32">
        <v>3300</v>
      </c>
      <c r="H117" s="32">
        <v>5300</v>
      </c>
      <c r="I117" s="32"/>
      <c r="J117" s="32"/>
      <c r="K117" s="32"/>
      <c r="L117" s="32"/>
      <c r="M117" s="32"/>
      <c r="N117" s="12"/>
      <c r="O117" s="12"/>
      <c r="P117" s="8" t="s">
        <v>40</v>
      </c>
    </row>
    <row r="118" spans="1:16" ht="24" customHeight="1" x14ac:dyDescent="0.25">
      <c r="A118" s="10">
        <v>31</v>
      </c>
      <c r="B118" s="9">
        <v>0.44166666666666665</v>
      </c>
      <c r="C118" s="5" t="s">
        <v>20</v>
      </c>
      <c r="D118" s="5">
        <v>8</v>
      </c>
      <c r="E118" s="15"/>
      <c r="F118" s="15" t="s">
        <v>22</v>
      </c>
      <c r="G118" s="32">
        <v>6200</v>
      </c>
      <c r="H118" s="32">
        <v>12500</v>
      </c>
      <c r="I118" s="32"/>
      <c r="J118" s="32"/>
      <c r="K118" s="32"/>
      <c r="L118" s="32"/>
      <c r="M118" s="32"/>
      <c r="N118" s="12"/>
      <c r="O118" s="12"/>
      <c r="P118" s="8" t="s">
        <v>41</v>
      </c>
    </row>
    <row r="119" spans="1:16" ht="24" customHeight="1" x14ac:dyDescent="0.25">
      <c r="A119" s="10">
        <v>32</v>
      </c>
      <c r="B119" s="9">
        <v>0.4465277777777778</v>
      </c>
      <c r="C119" s="5" t="s">
        <v>20</v>
      </c>
      <c r="D119" s="5">
        <v>9</v>
      </c>
      <c r="E119" s="15"/>
      <c r="F119" s="15" t="s">
        <v>29</v>
      </c>
      <c r="G119" s="32">
        <v>10100</v>
      </c>
      <c r="H119" s="32">
        <v>14240</v>
      </c>
      <c r="I119" s="32">
        <v>13640</v>
      </c>
      <c r="J119" s="32"/>
      <c r="K119" s="32"/>
      <c r="L119" s="32"/>
      <c r="M119" s="32"/>
      <c r="N119" s="12"/>
      <c r="O119" s="12"/>
      <c r="P119" s="8" t="s">
        <v>40</v>
      </c>
    </row>
    <row r="120" spans="1:16" ht="24" customHeight="1" x14ac:dyDescent="0.25">
      <c r="A120" s="10">
        <v>33</v>
      </c>
      <c r="B120" s="9">
        <v>0.44722222222222219</v>
      </c>
      <c r="C120" s="5" t="s">
        <v>21</v>
      </c>
      <c r="D120" s="5">
        <v>10</v>
      </c>
      <c r="E120" s="15"/>
      <c r="F120" s="15" t="s">
        <v>25</v>
      </c>
      <c r="G120" s="32">
        <v>8340</v>
      </c>
      <c r="H120" s="32">
        <v>2840</v>
      </c>
      <c r="I120" s="32">
        <v>3840</v>
      </c>
      <c r="J120" s="32">
        <v>4540</v>
      </c>
      <c r="K120" s="32">
        <v>3460</v>
      </c>
      <c r="L120" s="32">
        <v>4120</v>
      </c>
      <c r="M120" s="32"/>
      <c r="N120" s="12"/>
      <c r="O120" s="12"/>
      <c r="P120" s="8" t="e">
        <v>#N/A</v>
      </c>
    </row>
    <row r="121" spans="1:16" ht="24" customHeight="1" x14ac:dyDescent="0.25">
      <c r="A121" s="10">
        <v>34</v>
      </c>
      <c r="B121" s="9">
        <v>0.44791666666666669</v>
      </c>
      <c r="C121" s="5" t="s">
        <v>20</v>
      </c>
      <c r="D121" s="5">
        <v>8</v>
      </c>
      <c r="E121" s="15"/>
      <c r="F121" s="15" t="s">
        <v>22</v>
      </c>
      <c r="G121" s="32">
        <v>3860</v>
      </c>
      <c r="H121" s="32">
        <v>4780</v>
      </c>
      <c r="I121" s="32"/>
      <c r="J121" s="32"/>
      <c r="K121" s="32"/>
      <c r="L121" s="32"/>
      <c r="M121" s="32"/>
      <c r="N121" s="12"/>
      <c r="O121" s="12"/>
      <c r="P121" s="8" t="e">
        <v>#N/A</v>
      </c>
    </row>
    <row r="122" spans="1:16" ht="24" customHeight="1" x14ac:dyDescent="0.25">
      <c r="A122" s="10">
        <v>35</v>
      </c>
      <c r="B122" s="9">
        <v>0.45</v>
      </c>
      <c r="C122" s="5" t="s">
        <v>20</v>
      </c>
      <c r="D122" s="5">
        <v>10</v>
      </c>
      <c r="E122" s="15"/>
      <c r="F122" s="15" t="s">
        <v>43</v>
      </c>
      <c r="G122" s="32">
        <v>14960</v>
      </c>
      <c r="H122" s="32">
        <v>10720</v>
      </c>
      <c r="I122" s="32">
        <v>20380</v>
      </c>
      <c r="J122" s="32">
        <v>17550</v>
      </c>
      <c r="K122" s="32">
        <v>7020</v>
      </c>
      <c r="L122" s="32"/>
      <c r="M122" s="32"/>
      <c r="N122" s="12"/>
      <c r="O122" s="12"/>
      <c r="P122" s="8" t="s">
        <v>34</v>
      </c>
    </row>
    <row r="123" spans="1:16" ht="24" customHeight="1" x14ac:dyDescent="0.25">
      <c r="A123" s="10">
        <v>36</v>
      </c>
      <c r="B123" s="9">
        <v>0.4513888888888889</v>
      </c>
      <c r="C123" s="5" t="s">
        <v>20</v>
      </c>
      <c r="D123" s="5">
        <v>8</v>
      </c>
      <c r="E123" s="15"/>
      <c r="F123" s="15" t="s">
        <v>22</v>
      </c>
      <c r="G123" s="32">
        <v>4260</v>
      </c>
      <c r="H123" s="32">
        <v>13360</v>
      </c>
      <c r="I123" s="32"/>
      <c r="J123" s="32"/>
      <c r="K123" s="32"/>
      <c r="L123" s="32"/>
      <c r="M123" s="32"/>
      <c r="N123" s="12"/>
      <c r="O123" s="12"/>
      <c r="P123" s="8" t="s">
        <v>40</v>
      </c>
    </row>
    <row r="124" spans="1:16" ht="24" customHeight="1" x14ac:dyDescent="0.25">
      <c r="A124" s="10">
        <v>37</v>
      </c>
      <c r="B124" s="9">
        <v>0.4548611111111111</v>
      </c>
      <c r="C124" s="5" t="s">
        <v>20</v>
      </c>
      <c r="D124" s="5">
        <v>8</v>
      </c>
      <c r="E124" s="15"/>
      <c r="F124" s="15" t="s">
        <v>22</v>
      </c>
      <c r="G124" s="32">
        <v>4580</v>
      </c>
      <c r="H124" s="32">
        <v>5340</v>
      </c>
      <c r="I124" s="32"/>
      <c r="J124" s="32"/>
      <c r="K124" s="32"/>
      <c r="L124" s="32"/>
      <c r="M124" s="32"/>
      <c r="N124" s="12"/>
      <c r="O124" s="12"/>
      <c r="P124" s="8" t="e">
        <v>#N/A</v>
      </c>
    </row>
    <row r="125" spans="1:16" ht="24" customHeight="1" x14ac:dyDescent="0.25">
      <c r="A125" s="10">
        <v>38</v>
      </c>
      <c r="B125" s="9">
        <v>0.45555555555555555</v>
      </c>
      <c r="C125" s="5" t="s">
        <v>20</v>
      </c>
      <c r="D125" s="5">
        <v>10</v>
      </c>
      <c r="E125" s="15"/>
      <c r="F125" s="15" t="s">
        <v>24</v>
      </c>
      <c r="G125" s="32">
        <v>8680</v>
      </c>
      <c r="H125" s="32">
        <v>1220</v>
      </c>
      <c r="I125" s="32">
        <v>12500</v>
      </c>
      <c r="J125" s="32">
        <v>1080</v>
      </c>
      <c r="K125" s="32">
        <v>10420</v>
      </c>
      <c r="L125" s="32"/>
      <c r="M125" s="32"/>
      <c r="N125" s="12"/>
      <c r="O125" s="12"/>
      <c r="P125" s="8" t="s">
        <v>41</v>
      </c>
    </row>
    <row r="126" spans="1:16" ht="24" customHeight="1" x14ac:dyDescent="0.25">
      <c r="A126" s="10">
        <v>39</v>
      </c>
      <c r="B126" s="9">
        <v>0.45902777777777781</v>
      </c>
      <c r="C126" s="5" t="s">
        <v>20</v>
      </c>
      <c r="D126" s="5">
        <v>8</v>
      </c>
      <c r="E126" s="15"/>
      <c r="F126" s="15" t="s">
        <v>22</v>
      </c>
      <c r="G126" s="32">
        <v>5920</v>
      </c>
      <c r="H126" s="32">
        <v>13920</v>
      </c>
      <c r="I126" s="32"/>
      <c r="J126" s="32"/>
      <c r="K126" s="32"/>
      <c r="L126" s="32"/>
      <c r="M126" s="32"/>
      <c r="N126" s="12"/>
      <c r="O126" s="12"/>
      <c r="P126" s="8" t="s">
        <v>40</v>
      </c>
    </row>
    <row r="127" spans="1:16" ht="24" customHeight="1" x14ac:dyDescent="0.25">
      <c r="A127" s="10">
        <v>40</v>
      </c>
      <c r="B127" s="9">
        <v>0.46111111111111108</v>
      </c>
      <c r="C127" s="5" t="s">
        <v>20</v>
      </c>
      <c r="D127" s="5">
        <v>8</v>
      </c>
      <c r="E127" s="15"/>
      <c r="F127" s="15" t="s">
        <v>22</v>
      </c>
      <c r="G127" s="32">
        <v>3820</v>
      </c>
      <c r="H127" s="32">
        <v>5840</v>
      </c>
      <c r="I127" s="32"/>
      <c r="J127" s="32"/>
      <c r="K127" s="32"/>
      <c r="L127" s="32"/>
      <c r="M127" s="32"/>
      <c r="N127" s="12"/>
      <c r="O127" s="12"/>
      <c r="P127" s="8" t="e">
        <v>#N/A</v>
      </c>
    </row>
    <row r="128" spans="1:16" ht="24" customHeight="1" x14ac:dyDescent="0.25">
      <c r="A128" s="10">
        <v>41</v>
      </c>
      <c r="B128" s="9">
        <v>0.46388888888888885</v>
      </c>
      <c r="C128" s="5" t="s">
        <v>20</v>
      </c>
      <c r="D128" s="5">
        <v>10</v>
      </c>
      <c r="E128" s="15"/>
      <c r="F128" s="15" t="s">
        <v>27</v>
      </c>
      <c r="G128" s="32">
        <v>7780</v>
      </c>
      <c r="H128" s="32">
        <v>8200</v>
      </c>
      <c r="I128" s="32">
        <v>10440</v>
      </c>
      <c r="J128" s="32">
        <v>10450</v>
      </c>
      <c r="K128" s="32">
        <v>10280</v>
      </c>
      <c r="L128" s="32">
        <v>10440</v>
      </c>
      <c r="M128" s="32"/>
      <c r="N128" s="12"/>
      <c r="O128" s="12"/>
      <c r="P128" s="8" t="e">
        <v>#N/A</v>
      </c>
    </row>
    <row r="129" spans="1:16" ht="24" customHeight="1" x14ac:dyDescent="0.25">
      <c r="A129" s="10">
        <v>42</v>
      </c>
      <c r="B129" s="9">
        <v>0.46527777777777773</v>
      </c>
      <c r="C129" s="5" t="s">
        <v>20</v>
      </c>
      <c r="D129" s="5">
        <v>10</v>
      </c>
      <c r="E129" s="15"/>
      <c r="F129" s="15" t="s">
        <v>32</v>
      </c>
      <c r="G129" s="32">
        <v>6600</v>
      </c>
      <c r="H129" s="32">
        <v>8280</v>
      </c>
      <c r="I129" s="32">
        <v>5180</v>
      </c>
      <c r="J129" s="32">
        <v>4880</v>
      </c>
      <c r="K129" s="32"/>
      <c r="L129" s="32"/>
      <c r="M129" s="32"/>
      <c r="N129" s="12"/>
      <c r="O129" s="12"/>
      <c r="P129" s="8" t="e">
        <v>#N/A</v>
      </c>
    </row>
    <row r="130" spans="1:16" ht="24" customHeight="1" x14ac:dyDescent="0.25">
      <c r="A130" s="10">
        <v>43</v>
      </c>
      <c r="B130" s="9">
        <v>0.46597222222222223</v>
      </c>
      <c r="C130" s="5" t="s">
        <v>20</v>
      </c>
      <c r="D130" s="5">
        <v>10</v>
      </c>
      <c r="E130" s="15"/>
      <c r="F130" s="15" t="s">
        <v>27</v>
      </c>
      <c r="G130" s="32">
        <v>6620</v>
      </c>
      <c r="H130" s="32">
        <v>5980</v>
      </c>
      <c r="I130" s="32">
        <v>3060</v>
      </c>
      <c r="J130" s="32">
        <v>4260</v>
      </c>
      <c r="K130" s="32">
        <v>4020</v>
      </c>
      <c r="L130" s="32">
        <v>2440</v>
      </c>
      <c r="M130" s="32"/>
      <c r="N130" s="12"/>
      <c r="O130" s="12"/>
      <c r="P130" s="8" t="e">
        <v>#N/A</v>
      </c>
    </row>
    <row r="131" spans="1:16" ht="24" customHeight="1" x14ac:dyDescent="0.25">
      <c r="A131" s="10">
        <v>44</v>
      </c>
      <c r="B131" s="9">
        <v>0.4680555555555555</v>
      </c>
      <c r="C131" s="5" t="s">
        <v>20</v>
      </c>
      <c r="D131" s="5">
        <v>5</v>
      </c>
      <c r="E131" s="15"/>
      <c r="F131" s="15" t="s">
        <v>22</v>
      </c>
      <c r="G131" s="32">
        <v>9420</v>
      </c>
      <c r="H131" s="32">
        <v>16120</v>
      </c>
      <c r="I131" s="32"/>
      <c r="J131" s="32"/>
      <c r="K131" s="32"/>
      <c r="L131" s="32"/>
      <c r="M131" s="32"/>
      <c r="N131" s="12"/>
      <c r="O131" s="12"/>
      <c r="P131" s="8" t="s">
        <v>34</v>
      </c>
    </row>
    <row r="132" spans="1:16" ht="24" customHeight="1" x14ac:dyDescent="0.25">
      <c r="A132" s="10">
        <v>45</v>
      </c>
      <c r="B132" s="9">
        <v>0.47152777777777777</v>
      </c>
      <c r="C132" s="5" t="s">
        <v>21</v>
      </c>
      <c r="D132" s="5">
        <v>10</v>
      </c>
      <c r="E132" s="15"/>
      <c r="F132" s="15" t="s">
        <v>24</v>
      </c>
      <c r="G132" s="32">
        <v>7840</v>
      </c>
      <c r="H132" s="32">
        <v>4140</v>
      </c>
      <c r="I132" s="32">
        <v>4020</v>
      </c>
      <c r="J132" s="32">
        <v>4000</v>
      </c>
      <c r="K132" s="32">
        <v>3820</v>
      </c>
      <c r="L132" s="32">
        <v>3600</v>
      </c>
      <c r="M132" s="32"/>
      <c r="N132" s="12"/>
      <c r="O132" s="12"/>
      <c r="P132" s="8" t="e">
        <v>#N/A</v>
      </c>
    </row>
    <row r="133" spans="1:16" ht="24" customHeight="1" x14ac:dyDescent="0.25">
      <c r="A133" s="10">
        <v>46</v>
      </c>
      <c r="B133" s="9">
        <v>0.47361111111111115</v>
      </c>
      <c r="C133" s="5" t="s">
        <v>20</v>
      </c>
      <c r="D133" s="5">
        <v>8</v>
      </c>
      <c r="E133" s="15"/>
      <c r="F133" s="15" t="s">
        <v>22</v>
      </c>
      <c r="G133" s="32">
        <v>3900</v>
      </c>
      <c r="H133" s="32">
        <v>10380</v>
      </c>
      <c r="I133" s="32"/>
      <c r="J133" s="32"/>
      <c r="K133" s="32"/>
      <c r="L133" s="32"/>
      <c r="M133" s="32"/>
      <c r="N133" s="12"/>
      <c r="O133" s="12"/>
      <c r="P133" s="8" t="s">
        <v>40</v>
      </c>
    </row>
    <row r="134" spans="1:16" ht="24" customHeight="1" x14ac:dyDescent="0.25">
      <c r="A134" s="10">
        <v>47</v>
      </c>
      <c r="B134" s="9">
        <v>0.47500000000000003</v>
      </c>
      <c r="C134" s="5" t="s">
        <v>20</v>
      </c>
      <c r="D134" s="5">
        <v>8</v>
      </c>
      <c r="E134" s="15"/>
      <c r="F134" s="15" t="s">
        <v>22</v>
      </c>
      <c r="G134" s="32">
        <v>6540</v>
      </c>
      <c r="H134" s="32">
        <v>3900</v>
      </c>
      <c r="I134" s="32"/>
      <c r="J134" s="32"/>
      <c r="K134" s="32"/>
      <c r="L134" s="32"/>
      <c r="M134" s="32"/>
      <c r="N134" s="12"/>
      <c r="O134" s="12"/>
      <c r="P134" s="8" t="e">
        <v>#N/A</v>
      </c>
    </row>
    <row r="135" spans="1:16" ht="24" customHeight="1" x14ac:dyDescent="0.25">
      <c r="A135" s="10">
        <v>48</v>
      </c>
      <c r="B135" s="9">
        <v>0.47638888888888892</v>
      </c>
      <c r="C135" s="5" t="s">
        <v>20</v>
      </c>
      <c r="D135" s="5">
        <v>8</v>
      </c>
      <c r="E135" s="15"/>
      <c r="F135" s="15" t="s">
        <v>22</v>
      </c>
      <c r="G135" s="32">
        <v>4580</v>
      </c>
      <c r="H135" s="32">
        <v>5360</v>
      </c>
      <c r="I135" s="32"/>
      <c r="J135" s="32"/>
      <c r="K135" s="32"/>
      <c r="L135" s="32"/>
      <c r="M135" s="32"/>
      <c r="N135" s="12"/>
      <c r="O135" s="12"/>
      <c r="P135" s="8" t="e">
        <v>#N/A</v>
      </c>
    </row>
    <row r="136" spans="1:16" ht="24" customHeight="1" x14ac:dyDescent="0.25">
      <c r="A136" s="10">
        <v>49</v>
      </c>
      <c r="B136" s="9">
        <v>0.47847222222222219</v>
      </c>
      <c r="C136" s="5" t="s">
        <v>20</v>
      </c>
      <c r="D136" s="5">
        <v>8</v>
      </c>
      <c r="E136" s="15"/>
      <c r="F136" s="15" t="s">
        <v>22</v>
      </c>
      <c r="G136" s="32">
        <v>6560</v>
      </c>
      <c r="H136" s="32">
        <v>10560</v>
      </c>
      <c r="I136" s="32"/>
      <c r="J136" s="32"/>
      <c r="K136" s="32"/>
      <c r="L136" s="32"/>
      <c r="M136" s="32"/>
      <c r="N136" s="12"/>
      <c r="O136" s="12"/>
      <c r="P136" s="8" t="s">
        <v>41</v>
      </c>
    </row>
    <row r="137" spans="1:16" ht="24" customHeight="1" x14ac:dyDescent="0.25">
      <c r="A137" s="10">
        <v>50</v>
      </c>
      <c r="B137" s="9">
        <v>0.47847222222222219</v>
      </c>
      <c r="C137" s="5" t="s">
        <v>20</v>
      </c>
      <c r="D137" s="5">
        <v>8</v>
      </c>
      <c r="E137" s="15"/>
      <c r="F137" s="15" t="s">
        <v>22</v>
      </c>
      <c r="G137" s="32">
        <v>6960</v>
      </c>
      <c r="H137" s="32">
        <v>13580</v>
      </c>
      <c r="I137" s="32"/>
      <c r="J137" s="32"/>
      <c r="K137" s="32"/>
      <c r="L137" s="32"/>
      <c r="M137" s="32"/>
      <c r="N137" s="12"/>
      <c r="O137" s="12"/>
      <c r="P137" s="8" t="s">
        <v>41</v>
      </c>
    </row>
    <row r="138" spans="1:16" ht="24" customHeight="1" x14ac:dyDescent="0.25">
      <c r="A138" s="10">
        <v>51</v>
      </c>
      <c r="B138" s="9">
        <v>0.47986111111111113</v>
      </c>
      <c r="C138" s="5" t="s">
        <v>20</v>
      </c>
      <c r="D138" s="5">
        <v>8</v>
      </c>
      <c r="E138" s="15"/>
      <c r="F138" s="15" t="s">
        <v>22</v>
      </c>
      <c r="G138" s="32">
        <v>5180</v>
      </c>
      <c r="H138" s="32">
        <v>12580</v>
      </c>
      <c r="I138" s="32"/>
      <c r="J138" s="32"/>
      <c r="K138" s="32"/>
      <c r="L138" s="32"/>
      <c r="M138" s="32"/>
      <c r="N138" s="12"/>
      <c r="O138" s="12"/>
      <c r="P138" s="8" t="s">
        <v>40</v>
      </c>
    </row>
    <row r="139" spans="1:16" ht="24" customHeight="1" x14ac:dyDescent="0.25">
      <c r="A139" s="10">
        <v>52</v>
      </c>
      <c r="B139" s="9">
        <v>0.48194444444444445</v>
      </c>
      <c r="C139" s="5" t="s">
        <v>20</v>
      </c>
      <c r="D139" s="5">
        <v>8</v>
      </c>
      <c r="E139" s="15"/>
      <c r="F139" s="15" t="s">
        <v>22</v>
      </c>
      <c r="G139" s="32">
        <v>3160</v>
      </c>
      <c r="H139" s="32">
        <v>4620</v>
      </c>
      <c r="I139" s="32"/>
      <c r="J139" s="32"/>
      <c r="K139" s="32"/>
      <c r="L139" s="32"/>
      <c r="M139" s="32"/>
      <c r="N139" s="12"/>
      <c r="O139" s="12"/>
      <c r="P139" s="8" t="e">
        <v>#N/A</v>
      </c>
    </row>
    <row r="140" spans="1:16" ht="24" customHeight="1" x14ac:dyDescent="0.25">
      <c r="A140" s="10">
        <v>53</v>
      </c>
      <c r="B140" s="9">
        <v>0.48402777777777778</v>
      </c>
      <c r="C140" s="5" t="s">
        <v>20</v>
      </c>
      <c r="D140" s="5">
        <v>8</v>
      </c>
      <c r="E140" s="15"/>
      <c r="F140" s="15" t="s">
        <v>22</v>
      </c>
      <c r="G140" s="32">
        <v>2920</v>
      </c>
      <c r="H140" s="32">
        <v>5100</v>
      </c>
      <c r="I140" s="32"/>
      <c r="J140" s="32"/>
      <c r="K140" s="32"/>
      <c r="L140" s="32"/>
      <c r="M140" s="32"/>
      <c r="N140" s="12"/>
      <c r="O140" s="12"/>
      <c r="P140" s="8" t="s">
        <v>34</v>
      </c>
    </row>
    <row r="141" spans="1:16" ht="24" customHeight="1" x14ac:dyDescent="0.25">
      <c r="A141" s="10">
        <v>54</v>
      </c>
      <c r="B141" s="9">
        <v>0.48472222222222222</v>
      </c>
      <c r="C141" s="5" t="s">
        <v>20</v>
      </c>
      <c r="D141" s="5">
        <v>5</v>
      </c>
      <c r="E141" s="15"/>
      <c r="F141" s="15" t="s">
        <v>31</v>
      </c>
      <c r="G141" s="32">
        <v>10340</v>
      </c>
      <c r="H141" s="32">
        <v>13040</v>
      </c>
      <c r="I141" s="32">
        <v>6060</v>
      </c>
      <c r="J141" s="32"/>
      <c r="K141" s="32"/>
      <c r="L141" s="32"/>
      <c r="M141" s="32"/>
      <c r="N141" s="12"/>
      <c r="O141" s="12"/>
      <c r="P141" s="8" t="s">
        <v>34</v>
      </c>
    </row>
    <row r="142" spans="1:16" ht="24" customHeight="1" x14ac:dyDescent="0.25">
      <c r="A142" s="10">
        <v>55</v>
      </c>
      <c r="B142" s="9">
        <v>0.48541666666666666</v>
      </c>
      <c r="C142" s="5" t="s">
        <v>20</v>
      </c>
      <c r="D142" s="5">
        <v>8</v>
      </c>
      <c r="E142" s="15"/>
      <c r="F142" s="15" t="s">
        <v>22</v>
      </c>
      <c r="G142" s="32">
        <v>6540</v>
      </c>
      <c r="H142" s="32">
        <v>10660</v>
      </c>
      <c r="I142" s="32"/>
      <c r="J142" s="32"/>
      <c r="K142" s="32"/>
      <c r="L142" s="32"/>
      <c r="M142" s="32"/>
      <c r="N142" s="12"/>
      <c r="O142" s="12"/>
      <c r="P142" s="8" t="s">
        <v>34</v>
      </c>
    </row>
    <row r="143" spans="1:16" ht="24" customHeight="1" x14ac:dyDescent="0.25">
      <c r="A143" s="10">
        <v>56</v>
      </c>
      <c r="B143" s="9">
        <v>0.48958333333333331</v>
      </c>
      <c r="C143" s="5" t="s">
        <v>21</v>
      </c>
      <c r="D143" s="5">
        <v>10</v>
      </c>
      <c r="E143" s="15"/>
      <c r="F143" s="15" t="s">
        <v>25</v>
      </c>
      <c r="G143" s="32">
        <v>3120</v>
      </c>
      <c r="H143" s="32">
        <v>3580</v>
      </c>
      <c r="I143" s="32">
        <v>4620</v>
      </c>
      <c r="J143" s="32">
        <v>3700</v>
      </c>
      <c r="K143" s="32">
        <v>3340</v>
      </c>
      <c r="L143" s="32">
        <v>4300</v>
      </c>
      <c r="M143" s="32"/>
      <c r="N143" s="12"/>
      <c r="O143" s="12"/>
      <c r="P143" s="8" t="e">
        <v>#N/A</v>
      </c>
    </row>
    <row r="144" spans="1:16" ht="24" customHeight="1" x14ac:dyDescent="0.25">
      <c r="A144" s="10">
        <v>57</v>
      </c>
      <c r="B144" s="9">
        <v>0.48958333333333331</v>
      </c>
      <c r="C144" s="5" t="s">
        <v>20</v>
      </c>
      <c r="D144" s="5">
        <v>5</v>
      </c>
      <c r="E144" s="15"/>
      <c r="F144" s="15" t="s">
        <v>22</v>
      </c>
      <c r="G144" s="32">
        <v>6780</v>
      </c>
      <c r="H144" s="32">
        <v>11140</v>
      </c>
      <c r="I144" s="32"/>
      <c r="J144" s="32"/>
      <c r="K144" s="32"/>
      <c r="L144" s="32"/>
      <c r="M144" s="32"/>
      <c r="N144" s="12"/>
      <c r="O144" s="12"/>
      <c r="P144" s="8" t="s">
        <v>34</v>
      </c>
    </row>
    <row r="145" spans="1:16" ht="24" customHeight="1" x14ac:dyDescent="0.25">
      <c r="A145" s="10">
        <v>58</v>
      </c>
      <c r="B145" s="9">
        <v>0.49027777777777781</v>
      </c>
      <c r="C145" s="5" t="s">
        <v>21</v>
      </c>
      <c r="D145" s="5">
        <v>10</v>
      </c>
      <c r="E145" s="15"/>
      <c r="F145" s="15" t="s">
        <v>24</v>
      </c>
      <c r="G145" s="32">
        <v>6660</v>
      </c>
      <c r="H145" s="32">
        <v>8960</v>
      </c>
      <c r="I145" s="32">
        <v>8620</v>
      </c>
      <c r="J145" s="32">
        <v>7650</v>
      </c>
      <c r="K145" s="32">
        <v>7790</v>
      </c>
      <c r="L145" s="32">
        <v>8600</v>
      </c>
      <c r="M145" s="32"/>
      <c r="N145" s="12"/>
      <c r="O145" s="12"/>
      <c r="P145" s="8" t="s">
        <v>40</v>
      </c>
    </row>
    <row r="146" spans="1:16" ht="24" customHeight="1" x14ac:dyDescent="0.25">
      <c r="A146" s="10">
        <v>59</v>
      </c>
      <c r="B146" s="9">
        <v>0.49305555555555558</v>
      </c>
      <c r="C146" s="5" t="s">
        <v>20</v>
      </c>
      <c r="D146" s="5">
        <v>5</v>
      </c>
      <c r="E146" s="15"/>
      <c r="F146" s="15" t="s">
        <v>22</v>
      </c>
      <c r="G146" s="32">
        <v>9140</v>
      </c>
      <c r="H146" s="32">
        <v>10520</v>
      </c>
      <c r="I146" s="32"/>
      <c r="J146" s="32"/>
      <c r="K146" s="32"/>
      <c r="L146" s="32"/>
      <c r="M146" s="32"/>
      <c r="N146" s="12"/>
      <c r="O146" s="12"/>
      <c r="P146" s="8" t="s">
        <v>34</v>
      </c>
    </row>
    <row r="147" spans="1:16" ht="24" customHeight="1" thickBot="1" x14ac:dyDescent="0.3">
      <c r="A147" s="11"/>
      <c r="B147" s="9"/>
      <c r="C147" s="5"/>
      <c r="D147" s="5"/>
      <c r="E147" s="15"/>
      <c r="F147" s="15"/>
      <c r="G147" s="13"/>
      <c r="H147" s="13"/>
      <c r="I147" s="13"/>
      <c r="J147" s="13"/>
      <c r="K147" s="13"/>
      <c r="L147" s="13"/>
      <c r="M147" s="13"/>
      <c r="N147" s="12"/>
      <c r="O147" s="12"/>
      <c r="P147" s="8"/>
    </row>
    <row r="148" spans="1:16" ht="24" customHeight="1" thickBot="1" x14ac:dyDescent="0.3">
      <c r="A148" s="11"/>
      <c r="B148" s="9"/>
      <c r="C148" s="5"/>
      <c r="D148" s="5"/>
      <c r="E148" s="15"/>
      <c r="F148" s="15"/>
      <c r="G148" s="13"/>
      <c r="H148" s="13"/>
      <c r="I148" s="13"/>
      <c r="J148" s="13"/>
      <c r="K148" s="13"/>
      <c r="L148" s="13"/>
      <c r="M148" s="13"/>
      <c r="N148" s="12"/>
      <c r="O148" s="12"/>
      <c r="P148" s="8"/>
    </row>
    <row r="149" spans="1:16" ht="24" customHeight="1" thickBot="1" x14ac:dyDescent="0.3">
      <c r="A149" s="11"/>
      <c r="B149" s="9"/>
      <c r="C149" s="5"/>
      <c r="D149" s="5"/>
      <c r="E149" s="15"/>
      <c r="F149" s="15"/>
      <c r="G149" s="13"/>
      <c r="H149" s="13"/>
      <c r="I149" s="13"/>
      <c r="J149" s="13"/>
      <c r="K149" s="13"/>
      <c r="L149" s="13"/>
      <c r="M149" s="13"/>
      <c r="N149" s="12"/>
      <c r="O149" s="12"/>
      <c r="P149" s="8"/>
    </row>
    <row r="150" spans="1:16" ht="24" customHeight="1" thickBot="1" x14ac:dyDescent="0.3">
      <c r="A150" s="11"/>
      <c r="B150" s="9"/>
      <c r="C150" s="5"/>
      <c r="D150" s="5"/>
      <c r="E150" s="15"/>
      <c r="F150" s="15"/>
      <c r="G150" s="13"/>
      <c r="H150" s="13"/>
      <c r="I150" s="13"/>
      <c r="J150" s="13"/>
      <c r="K150" s="13"/>
      <c r="L150" s="13"/>
      <c r="M150" s="13"/>
      <c r="N150" s="12"/>
      <c r="O150" s="12"/>
      <c r="P150" s="8"/>
    </row>
    <row r="151" spans="1:16" ht="24" customHeight="1" thickBot="1" x14ac:dyDescent="0.3">
      <c r="A151" s="11"/>
      <c r="B151" s="9"/>
      <c r="C151" s="5"/>
      <c r="D151" s="5"/>
      <c r="E151" s="15"/>
      <c r="F151" s="15"/>
      <c r="G151" s="13"/>
      <c r="H151" s="13"/>
      <c r="I151" s="13"/>
      <c r="J151" s="13"/>
      <c r="K151" s="13"/>
      <c r="L151" s="13"/>
      <c r="M151" s="13"/>
      <c r="N151" s="12"/>
      <c r="O151" s="12"/>
      <c r="P151" s="8"/>
    </row>
    <row r="152" spans="1:16" ht="24" customHeight="1" thickBot="1" x14ac:dyDescent="0.3">
      <c r="A152" s="11"/>
      <c r="B152" s="9"/>
      <c r="C152" s="5"/>
      <c r="D152" s="5"/>
      <c r="E152" s="15"/>
      <c r="F152" s="15"/>
      <c r="G152" s="13"/>
      <c r="H152" s="13"/>
      <c r="I152" s="13"/>
      <c r="J152" s="13"/>
      <c r="K152" s="13"/>
      <c r="L152" s="13"/>
      <c r="M152" s="13"/>
      <c r="N152" s="12"/>
      <c r="O152" s="12"/>
      <c r="P152" s="8"/>
    </row>
    <row r="153" spans="1:16" ht="24" customHeight="1" thickBot="1" x14ac:dyDescent="0.3">
      <c r="A153" s="11"/>
      <c r="B153" s="9"/>
      <c r="C153" s="5"/>
      <c r="D153" s="5"/>
      <c r="E153" s="15"/>
      <c r="F153" s="15"/>
      <c r="G153" s="13"/>
      <c r="H153" s="13"/>
      <c r="I153" s="13"/>
      <c r="J153" s="13"/>
      <c r="K153" s="13"/>
      <c r="L153" s="13"/>
      <c r="M153" s="13"/>
      <c r="N153" s="12"/>
      <c r="O153" s="12"/>
      <c r="P153" s="8"/>
    </row>
    <row r="154" spans="1:16" ht="24" customHeight="1" thickBot="1" x14ac:dyDescent="0.3">
      <c r="A154" s="11"/>
      <c r="B154" s="9"/>
      <c r="C154" s="5"/>
      <c r="D154" s="5"/>
      <c r="E154" s="15"/>
      <c r="F154" s="15"/>
      <c r="G154" s="13"/>
      <c r="H154" s="13"/>
      <c r="I154" s="13"/>
      <c r="J154" s="13"/>
      <c r="K154" s="13"/>
      <c r="L154" s="13"/>
      <c r="M154" s="13"/>
      <c r="N154" s="12"/>
      <c r="O154" s="12"/>
      <c r="P154" s="8"/>
    </row>
    <row r="155" spans="1:16" ht="24" customHeight="1" thickBot="1" x14ac:dyDescent="0.3">
      <c r="A155" s="11"/>
      <c r="B155" s="9"/>
      <c r="C155" s="5"/>
      <c r="D155" s="5"/>
      <c r="E155" s="15"/>
      <c r="F155" s="15"/>
      <c r="G155" s="13"/>
      <c r="H155" s="13"/>
      <c r="I155" s="13"/>
      <c r="J155" s="13"/>
      <c r="K155" s="13"/>
      <c r="L155" s="13"/>
      <c r="M155" s="13"/>
      <c r="N155" s="12"/>
      <c r="O155" s="12"/>
      <c r="P155" s="8"/>
    </row>
    <row r="156" spans="1:16" ht="24" customHeight="1" thickBot="1" x14ac:dyDescent="0.3">
      <c r="A156" s="11"/>
      <c r="B156" s="9"/>
      <c r="C156" s="5"/>
      <c r="D156" s="5"/>
      <c r="E156" s="15"/>
      <c r="F156" s="15"/>
      <c r="G156" s="13"/>
      <c r="H156" s="13"/>
      <c r="I156" s="13"/>
      <c r="J156" s="13"/>
      <c r="K156" s="13"/>
      <c r="L156" s="13"/>
      <c r="M156" s="13"/>
      <c r="N156" s="12"/>
      <c r="O156" s="12"/>
      <c r="P156" s="8"/>
    </row>
    <row r="157" spans="1:16" ht="24" customHeight="1" thickBot="1" x14ac:dyDescent="0.3">
      <c r="A157" s="11"/>
      <c r="B157" s="9"/>
      <c r="C157" s="5"/>
      <c r="D157" s="5"/>
      <c r="E157" s="15"/>
      <c r="F157" s="15"/>
      <c r="G157" s="13"/>
      <c r="H157" s="13"/>
      <c r="I157" s="13"/>
      <c r="J157" s="13"/>
      <c r="K157" s="13"/>
      <c r="L157" s="13"/>
      <c r="M157" s="13"/>
      <c r="N157" s="12"/>
      <c r="O157" s="12"/>
      <c r="P157" s="8"/>
    </row>
    <row r="158" spans="1:16" ht="24" customHeight="1" thickBot="1" x14ac:dyDescent="0.3">
      <c r="A158" s="11"/>
      <c r="B158" s="9"/>
      <c r="C158" s="5"/>
      <c r="D158" s="5"/>
      <c r="E158" s="15"/>
      <c r="F158" s="15"/>
      <c r="G158" s="13"/>
      <c r="H158" s="13"/>
      <c r="I158" s="13"/>
      <c r="J158" s="13"/>
      <c r="K158" s="13"/>
      <c r="L158" s="13"/>
      <c r="M158" s="13"/>
      <c r="N158" s="12"/>
      <c r="O158" s="12"/>
      <c r="P158" s="8"/>
    </row>
    <row r="159" spans="1:16" ht="24" customHeight="1" thickBot="1" x14ac:dyDescent="0.3">
      <c r="A159" s="11"/>
      <c r="B159" s="9"/>
      <c r="C159" s="5"/>
      <c r="D159" s="5"/>
      <c r="E159" s="15"/>
      <c r="F159" s="15"/>
      <c r="G159" s="13"/>
      <c r="H159" s="13"/>
      <c r="I159" s="13"/>
      <c r="J159" s="13"/>
      <c r="K159" s="13"/>
      <c r="L159" s="13"/>
      <c r="M159" s="13"/>
      <c r="N159" s="12"/>
      <c r="O159" s="12"/>
      <c r="P159" s="8"/>
    </row>
    <row r="160" spans="1:16" ht="24" customHeight="1" thickBot="1" x14ac:dyDescent="0.3">
      <c r="A160" s="11"/>
      <c r="B160" s="9"/>
      <c r="C160" s="5"/>
      <c r="D160" s="5"/>
      <c r="E160" s="15"/>
      <c r="F160" s="15"/>
      <c r="G160" s="13"/>
      <c r="H160" s="13"/>
      <c r="I160" s="13"/>
      <c r="J160" s="13"/>
      <c r="K160" s="13"/>
      <c r="L160" s="13"/>
      <c r="M160" s="13"/>
      <c r="N160" s="12"/>
      <c r="O160" s="12"/>
      <c r="P160" s="8"/>
    </row>
    <row r="161" spans="1:16" ht="24" customHeight="1" thickBot="1" x14ac:dyDescent="0.3">
      <c r="A161" s="11"/>
      <c r="B161" s="9"/>
      <c r="C161" s="5"/>
      <c r="D161" s="5"/>
      <c r="E161" s="15"/>
      <c r="F161" s="15"/>
      <c r="G161" s="13"/>
      <c r="H161" s="13"/>
      <c r="I161" s="13"/>
      <c r="J161" s="13"/>
      <c r="K161" s="13"/>
      <c r="L161" s="13"/>
      <c r="M161" s="13"/>
      <c r="N161" s="12"/>
      <c r="O161" s="12"/>
      <c r="P161" s="8"/>
    </row>
    <row r="162" spans="1:16" ht="24" customHeight="1" thickBot="1" x14ac:dyDescent="0.3">
      <c r="A162" s="11"/>
      <c r="B162" s="9"/>
      <c r="C162" s="5"/>
      <c r="D162" s="5"/>
      <c r="E162" s="15"/>
      <c r="F162" s="15"/>
      <c r="G162" s="13"/>
      <c r="H162" s="13"/>
      <c r="I162" s="13"/>
      <c r="J162" s="13"/>
      <c r="K162" s="13"/>
      <c r="L162" s="13"/>
      <c r="M162" s="13"/>
      <c r="N162" s="12"/>
      <c r="O162" s="12"/>
      <c r="P162" s="8"/>
    </row>
    <row r="163" spans="1:16" ht="24" customHeight="1" thickBot="1" x14ac:dyDescent="0.3">
      <c r="A163" s="11"/>
      <c r="B163" s="9"/>
      <c r="C163" s="5"/>
      <c r="D163" s="5"/>
      <c r="E163" s="15"/>
      <c r="F163" s="15"/>
      <c r="G163" s="13"/>
      <c r="H163" s="13"/>
      <c r="I163" s="13"/>
      <c r="J163" s="13"/>
      <c r="K163" s="13"/>
      <c r="L163" s="13"/>
      <c r="M163" s="13"/>
      <c r="N163" s="12"/>
      <c r="O163" s="12"/>
      <c r="P163" s="8"/>
    </row>
    <row r="164" spans="1:16" ht="24" customHeight="1" thickBot="1" x14ac:dyDescent="0.3">
      <c r="A164" s="11"/>
      <c r="B164" s="9"/>
      <c r="C164" s="5"/>
      <c r="D164" s="5"/>
      <c r="E164" s="15"/>
      <c r="F164" s="15"/>
      <c r="G164" s="13"/>
      <c r="H164" s="13"/>
      <c r="I164" s="13"/>
      <c r="J164" s="13"/>
      <c r="K164" s="13"/>
      <c r="L164" s="13"/>
      <c r="M164" s="13"/>
      <c r="N164" s="12"/>
      <c r="O164" s="12"/>
      <c r="P164" s="8"/>
    </row>
    <row r="165" spans="1:16" ht="24" customHeight="1" thickBot="1" x14ac:dyDescent="0.3">
      <c r="A165" s="11"/>
      <c r="B165" s="9"/>
      <c r="C165" s="5"/>
      <c r="D165" s="5"/>
      <c r="E165" s="15"/>
      <c r="F165" s="15"/>
      <c r="G165" s="13"/>
      <c r="H165" s="13"/>
      <c r="I165" s="13"/>
      <c r="J165" s="13"/>
      <c r="K165" s="13"/>
      <c r="L165" s="13"/>
      <c r="M165" s="13"/>
      <c r="N165" s="12"/>
      <c r="O165" s="12"/>
      <c r="P165" s="8"/>
    </row>
    <row r="166" spans="1:16" ht="24" customHeight="1" thickBot="1" x14ac:dyDescent="0.3">
      <c r="A166" s="11"/>
      <c r="B166" s="9"/>
      <c r="C166" s="5"/>
      <c r="D166" s="5"/>
      <c r="E166" s="15"/>
      <c r="F166" s="15"/>
      <c r="G166" s="13"/>
      <c r="H166" s="13"/>
      <c r="I166" s="13"/>
      <c r="J166" s="13"/>
      <c r="K166" s="13"/>
      <c r="L166" s="13"/>
      <c r="M166" s="13"/>
      <c r="N166" s="12"/>
      <c r="O166" s="12"/>
      <c r="P166" s="8"/>
    </row>
    <row r="167" spans="1:16" ht="24" customHeight="1" thickBot="1" x14ac:dyDescent="0.3">
      <c r="A167" s="11"/>
      <c r="B167" s="9"/>
      <c r="C167" s="5"/>
      <c r="D167" s="5"/>
      <c r="E167" s="15"/>
      <c r="F167" s="15"/>
      <c r="G167" s="13"/>
      <c r="H167" s="13"/>
      <c r="I167" s="13"/>
      <c r="J167" s="13"/>
      <c r="K167" s="13"/>
      <c r="L167" s="13"/>
      <c r="M167" s="13"/>
      <c r="N167" s="12"/>
      <c r="O167" s="12"/>
      <c r="P167" s="8"/>
    </row>
    <row r="168" spans="1:16" ht="24" customHeight="1" thickBot="1" x14ac:dyDescent="0.3">
      <c r="A168" s="11"/>
      <c r="B168" s="9"/>
      <c r="C168" s="5"/>
      <c r="D168" s="5"/>
      <c r="E168" s="15"/>
      <c r="F168" s="15"/>
      <c r="G168" s="13"/>
      <c r="H168" s="13"/>
      <c r="I168" s="13"/>
      <c r="J168" s="13"/>
      <c r="K168" s="13"/>
      <c r="L168" s="13"/>
      <c r="M168" s="13"/>
      <c r="N168" s="12"/>
      <c r="O168" s="12"/>
      <c r="P168" s="8"/>
    </row>
    <row r="169" spans="1:16" ht="24" customHeight="1" thickBot="1" x14ac:dyDescent="0.3">
      <c r="A169" s="11"/>
      <c r="B169" s="9"/>
      <c r="C169" s="5"/>
      <c r="D169" s="5"/>
      <c r="E169" s="15"/>
      <c r="F169" s="15"/>
      <c r="G169" s="13"/>
      <c r="H169" s="13"/>
      <c r="I169" s="13"/>
      <c r="J169" s="13"/>
      <c r="K169" s="13"/>
      <c r="L169" s="13"/>
      <c r="M169" s="13"/>
      <c r="N169" s="12"/>
      <c r="O169" s="12"/>
      <c r="P169" s="8"/>
    </row>
    <row r="170" spans="1:16" ht="24" customHeight="1" thickBot="1" x14ac:dyDescent="0.3">
      <c r="A170" s="11"/>
      <c r="B170" s="9"/>
      <c r="C170" s="5"/>
      <c r="D170" s="5"/>
      <c r="E170" s="15"/>
      <c r="F170" s="15"/>
      <c r="G170" s="13"/>
      <c r="H170" s="13"/>
      <c r="I170" s="13"/>
      <c r="J170" s="13"/>
      <c r="K170" s="13"/>
      <c r="L170" s="13"/>
      <c r="M170" s="13"/>
      <c r="N170" s="12"/>
      <c r="O170" s="12"/>
      <c r="P170" s="8"/>
    </row>
    <row r="171" spans="1:16" ht="24" customHeight="1" thickBot="1" x14ac:dyDescent="0.3">
      <c r="A171" s="11"/>
      <c r="B171" s="9"/>
      <c r="C171" s="5"/>
      <c r="D171" s="5"/>
      <c r="E171" s="15"/>
      <c r="F171" s="15"/>
      <c r="G171" s="13"/>
      <c r="H171" s="13"/>
      <c r="I171" s="13"/>
      <c r="J171" s="13"/>
      <c r="K171" s="13"/>
      <c r="L171" s="13"/>
      <c r="M171" s="13"/>
      <c r="N171" s="12"/>
      <c r="O171" s="12"/>
      <c r="P171" s="8"/>
    </row>
    <row r="172" spans="1:16" ht="24" customHeight="1" thickBot="1" x14ac:dyDescent="0.3">
      <c r="A172" s="11"/>
      <c r="B172" s="9"/>
      <c r="C172" s="5"/>
      <c r="D172" s="5"/>
      <c r="E172" s="15"/>
      <c r="F172" s="15"/>
      <c r="G172" s="13"/>
      <c r="H172" s="13"/>
      <c r="I172" s="13"/>
      <c r="J172" s="13"/>
      <c r="K172" s="13"/>
      <c r="L172" s="13"/>
      <c r="M172" s="13"/>
      <c r="N172" s="12"/>
      <c r="O172" s="12"/>
      <c r="P172" s="8"/>
    </row>
    <row r="173" spans="1:16" ht="24" customHeight="1" thickBot="1" x14ac:dyDescent="0.3">
      <c r="A173" s="11"/>
      <c r="B173" s="9"/>
      <c r="C173" s="5"/>
      <c r="D173" s="5"/>
      <c r="E173" s="15"/>
      <c r="F173" s="15"/>
      <c r="G173" s="13"/>
      <c r="H173" s="13"/>
      <c r="I173" s="13"/>
      <c r="J173" s="13"/>
      <c r="K173" s="13"/>
      <c r="L173" s="13"/>
      <c r="M173" s="13"/>
      <c r="N173" s="12"/>
      <c r="O173" s="12"/>
      <c r="P173" s="8"/>
    </row>
    <row r="174" spans="1:16" ht="24" customHeight="1" thickBot="1" x14ac:dyDescent="0.3">
      <c r="A174" s="11"/>
      <c r="B174" s="9"/>
      <c r="C174" s="5"/>
      <c r="D174" s="5"/>
      <c r="E174" s="15"/>
      <c r="F174" s="15"/>
      <c r="G174" s="13"/>
      <c r="H174" s="13"/>
      <c r="I174" s="13"/>
      <c r="J174" s="13"/>
      <c r="K174" s="13"/>
      <c r="L174" s="13"/>
      <c r="M174" s="13"/>
      <c r="N174" s="12"/>
      <c r="O174" s="12"/>
      <c r="P174" s="8"/>
    </row>
    <row r="175" spans="1:16" ht="24" customHeight="1" thickBot="1" x14ac:dyDescent="0.3">
      <c r="A175" s="11"/>
      <c r="B175" s="9"/>
      <c r="C175" s="5"/>
      <c r="D175" s="5"/>
      <c r="E175" s="15"/>
      <c r="F175" s="15"/>
      <c r="G175" s="13"/>
      <c r="H175" s="13"/>
      <c r="I175" s="13"/>
      <c r="J175" s="13"/>
      <c r="K175" s="13"/>
      <c r="L175" s="13"/>
      <c r="M175" s="13"/>
      <c r="N175" s="12"/>
      <c r="O175" s="12"/>
      <c r="P175" s="8"/>
    </row>
    <row r="176" spans="1:16" ht="24" customHeight="1" thickBot="1" x14ac:dyDescent="0.3">
      <c r="A176" s="11"/>
      <c r="B176" s="9"/>
      <c r="C176" s="5"/>
      <c r="D176" s="5"/>
      <c r="E176" s="15"/>
      <c r="F176" s="15"/>
      <c r="G176" s="13"/>
      <c r="H176" s="13"/>
      <c r="I176" s="13"/>
      <c r="J176" s="13"/>
      <c r="K176" s="13"/>
      <c r="L176" s="13"/>
      <c r="M176" s="13"/>
      <c r="N176" s="12"/>
      <c r="O176" s="12"/>
      <c r="P176" s="8"/>
    </row>
    <row r="177" spans="1:16" ht="24" customHeight="1" thickBot="1" x14ac:dyDescent="0.3">
      <c r="A177" s="11"/>
      <c r="B177" s="9"/>
      <c r="C177" s="5"/>
      <c r="D177" s="5"/>
      <c r="E177" s="15"/>
      <c r="F177" s="15"/>
      <c r="G177" s="13"/>
      <c r="H177" s="13"/>
      <c r="I177" s="13"/>
      <c r="J177" s="13"/>
      <c r="K177" s="13"/>
      <c r="L177" s="13"/>
      <c r="M177" s="13"/>
      <c r="N177" s="12"/>
      <c r="O177" s="12"/>
      <c r="P177" s="8"/>
    </row>
    <row r="178" spans="1:16" ht="24" customHeight="1" thickBot="1" x14ac:dyDescent="0.3">
      <c r="A178" s="11"/>
      <c r="B178" s="9"/>
      <c r="C178" s="5"/>
      <c r="D178" s="5"/>
      <c r="E178" s="15"/>
      <c r="F178" s="15"/>
      <c r="G178" s="13"/>
      <c r="H178" s="13"/>
      <c r="I178" s="13"/>
      <c r="J178" s="13"/>
      <c r="K178" s="13"/>
      <c r="L178" s="13"/>
      <c r="M178" s="13"/>
      <c r="N178" s="12"/>
      <c r="O178" s="12"/>
      <c r="P178" s="8"/>
    </row>
    <row r="179" spans="1:16" ht="24" customHeight="1" thickBot="1" x14ac:dyDescent="0.3">
      <c r="A179" s="11"/>
      <c r="B179" s="9"/>
      <c r="C179" s="5"/>
      <c r="D179" s="5"/>
      <c r="E179" s="15"/>
      <c r="F179" s="15"/>
      <c r="G179" s="13"/>
      <c r="H179" s="13"/>
      <c r="I179" s="13"/>
      <c r="J179" s="13"/>
      <c r="K179" s="13"/>
      <c r="L179" s="13"/>
      <c r="M179" s="13"/>
      <c r="N179" s="12"/>
      <c r="O179" s="12"/>
      <c r="P179" s="8"/>
    </row>
    <row r="180" spans="1:16" ht="24" customHeight="1" thickBot="1" x14ac:dyDescent="0.3">
      <c r="A180" s="11"/>
      <c r="B180" s="9"/>
      <c r="C180" s="5"/>
      <c r="D180" s="5"/>
      <c r="E180" s="15"/>
      <c r="F180" s="15"/>
      <c r="G180" s="13"/>
      <c r="H180" s="13"/>
      <c r="I180" s="13"/>
      <c r="J180" s="13"/>
      <c r="K180" s="13"/>
      <c r="L180" s="13"/>
      <c r="M180" s="13"/>
      <c r="N180" s="12"/>
      <c r="O180" s="12"/>
      <c r="P180" s="8"/>
    </row>
    <row r="181" spans="1:16" ht="24" customHeight="1" thickBot="1" x14ac:dyDescent="0.3">
      <c r="A181" s="11"/>
      <c r="B181" s="9"/>
      <c r="C181" s="5"/>
      <c r="D181" s="5"/>
      <c r="E181" s="15"/>
      <c r="F181" s="15"/>
      <c r="G181" s="13"/>
      <c r="H181" s="13"/>
      <c r="I181" s="13"/>
      <c r="J181" s="13"/>
      <c r="K181" s="13"/>
      <c r="L181" s="13"/>
      <c r="M181" s="13"/>
      <c r="N181" s="12"/>
      <c r="O181" s="12"/>
      <c r="P181" s="8"/>
    </row>
    <row r="182" spans="1:16" ht="24" customHeight="1" thickBot="1" x14ac:dyDescent="0.3">
      <c r="A182" s="11"/>
      <c r="B182" s="9"/>
      <c r="C182" s="5"/>
      <c r="D182" s="5"/>
      <c r="E182" s="15"/>
      <c r="F182" s="15"/>
      <c r="G182" s="13"/>
      <c r="H182" s="13"/>
      <c r="I182" s="13"/>
      <c r="J182" s="13"/>
      <c r="K182" s="13"/>
      <c r="L182" s="13"/>
      <c r="M182" s="13"/>
      <c r="N182" s="12"/>
      <c r="O182" s="12"/>
      <c r="P182" s="8"/>
    </row>
    <row r="183" spans="1:16" ht="24" customHeight="1" thickBot="1" x14ac:dyDescent="0.3">
      <c r="A183" s="11"/>
      <c r="B183" s="9"/>
      <c r="C183" s="5"/>
      <c r="D183" s="5"/>
      <c r="E183" s="15"/>
      <c r="F183" s="15"/>
      <c r="G183" s="13"/>
      <c r="H183" s="13"/>
      <c r="I183" s="13"/>
      <c r="J183" s="13"/>
      <c r="K183" s="13"/>
      <c r="L183" s="13"/>
      <c r="M183" s="13"/>
      <c r="N183" s="12"/>
      <c r="O183" s="12"/>
      <c r="P183" s="8"/>
    </row>
    <row r="184" spans="1:16" ht="24" customHeight="1" thickBot="1" x14ac:dyDescent="0.3">
      <c r="A184" s="11"/>
      <c r="B184" s="9"/>
      <c r="C184" s="5"/>
      <c r="D184" s="5"/>
      <c r="E184" s="15"/>
      <c r="F184" s="15"/>
      <c r="G184" s="13"/>
      <c r="H184" s="13"/>
      <c r="I184" s="13"/>
      <c r="J184" s="13"/>
      <c r="K184" s="13"/>
      <c r="L184" s="13"/>
      <c r="M184" s="13"/>
      <c r="N184" s="12"/>
      <c r="O184" s="12"/>
      <c r="P184" s="8"/>
    </row>
    <row r="185" spans="1:16" ht="24" customHeight="1" thickBot="1" x14ac:dyDescent="0.3">
      <c r="A185" s="11"/>
      <c r="B185" s="9"/>
      <c r="C185" s="5"/>
      <c r="D185" s="5"/>
      <c r="E185" s="15"/>
      <c r="F185" s="15"/>
      <c r="G185" s="13"/>
      <c r="H185" s="13"/>
      <c r="I185" s="13"/>
      <c r="J185" s="13"/>
      <c r="K185" s="13"/>
      <c r="L185" s="13"/>
      <c r="M185" s="13"/>
      <c r="N185" s="12"/>
      <c r="O185" s="12"/>
      <c r="P185" s="8"/>
    </row>
    <row r="186" spans="1:16" ht="24" customHeight="1" thickBot="1" x14ac:dyDescent="0.3">
      <c r="A186" s="11"/>
      <c r="B186" s="9"/>
      <c r="C186" s="5"/>
      <c r="D186" s="5"/>
      <c r="E186" s="15"/>
      <c r="F186" s="15"/>
      <c r="G186" s="13"/>
      <c r="H186" s="13"/>
      <c r="I186" s="13"/>
      <c r="J186" s="13"/>
      <c r="K186" s="13"/>
      <c r="L186" s="13"/>
      <c r="M186" s="13"/>
      <c r="N186" s="12"/>
      <c r="O186" s="12"/>
      <c r="P186" s="8"/>
    </row>
    <row r="187" spans="1:16" ht="24" customHeight="1" thickBot="1" x14ac:dyDescent="0.3">
      <c r="A187" s="11"/>
      <c r="B187" s="9"/>
      <c r="C187" s="5"/>
      <c r="D187" s="5"/>
      <c r="E187" s="15"/>
      <c r="F187" s="15"/>
      <c r="G187" s="13"/>
      <c r="H187" s="13"/>
      <c r="I187" s="13"/>
      <c r="J187" s="13"/>
      <c r="K187" s="13"/>
      <c r="L187" s="13"/>
      <c r="M187" s="13"/>
      <c r="N187" s="12"/>
      <c r="O187" s="12"/>
      <c r="P187" s="8"/>
    </row>
    <row r="188" spans="1:16" ht="24" customHeight="1" thickBot="1" x14ac:dyDescent="0.3">
      <c r="A188" s="11"/>
      <c r="B188" s="9"/>
      <c r="C188" s="5"/>
      <c r="D188" s="5"/>
      <c r="E188" s="15"/>
      <c r="F188" s="15"/>
      <c r="G188" s="13"/>
      <c r="H188" s="13"/>
      <c r="I188" s="13"/>
      <c r="J188" s="13"/>
      <c r="K188" s="13"/>
      <c r="L188" s="13"/>
      <c r="M188" s="13"/>
      <c r="N188" s="12"/>
      <c r="O188" s="12"/>
      <c r="P188" s="8"/>
    </row>
    <row r="189" spans="1:16" ht="24" customHeight="1" thickBot="1" x14ac:dyDescent="0.3">
      <c r="A189" s="11"/>
      <c r="B189" s="9"/>
      <c r="C189" s="5"/>
      <c r="D189" s="5"/>
      <c r="E189" s="15"/>
      <c r="F189" s="15"/>
      <c r="G189" s="13"/>
      <c r="H189" s="13"/>
      <c r="I189" s="13"/>
      <c r="J189" s="13"/>
      <c r="K189" s="13"/>
      <c r="L189" s="13"/>
      <c r="M189" s="13"/>
      <c r="N189" s="12"/>
      <c r="O189" s="12"/>
      <c r="P189" s="8"/>
    </row>
    <row r="190" spans="1:16" ht="24" customHeight="1" thickBot="1" x14ac:dyDescent="0.3">
      <c r="A190" s="11"/>
      <c r="B190" s="9"/>
      <c r="C190" s="5"/>
      <c r="D190" s="5"/>
      <c r="E190" s="15"/>
      <c r="F190" s="15"/>
      <c r="G190" s="13"/>
      <c r="H190" s="13"/>
      <c r="I190" s="13"/>
      <c r="J190" s="13"/>
      <c r="K190" s="13"/>
      <c r="L190" s="13"/>
      <c r="M190" s="13"/>
      <c r="N190" s="12"/>
      <c r="O190" s="12"/>
      <c r="P190" s="8"/>
    </row>
    <row r="191" spans="1:16" ht="24" customHeight="1" thickBot="1" x14ac:dyDescent="0.3">
      <c r="A191" s="11"/>
      <c r="B191" s="9"/>
      <c r="C191" s="5"/>
      <c r="D191" s="5"/>
      <c r="E191" s="15"/>
      <c r="F191" s="15"/>
      <c r="G191" s="13"/>
      <c r="H191" s="13"/>
      <c r="I191" s="13"/>
      <c r="J191" s="13"/>
      <c r="K191" s="13"/>
      <c r="L191" s="13"/>
      <c r="M191" s="13"/>
      <c r="N191" s="12"/>
      <c r="O191" s="12"/>
      <c r="P191" s="8"/>
    </row>
    <row r="192" spans="1:16" ht="24" customHeight="1" thickBot="1" x14ac:dyDescent="0.3">
      <c r="A192" s="11"/>
      <c r="B192" s="9"/>
      <c r="C192" s="5"/>
      <c r="D192" s="5"/>
      <c r="E192" s="15"/>
      <c r="F192" s="15"/>
      <c r="G192" s="13"/>
      <c r="H192" s="13"/>
      <c r="I192" s="13"/>
      <c r="J192" s="13"/>
      <c r="K192" s="13"/>
      <c r="L192" s="13"/>
      <c r="M192" s="13"/>
      <c r="N192" s="12"/>
      <c r="O192" s="12"/>
      <c r="P192" s="8"/>
    </row>
    <row r="193" spans="1:16" ht="24" customHeight="1" thickBot="1" x14ac:dyDescent="0.3">
      <c r="A193" s="11"/>
      <c r="B193" s="9"/>
      <c r="C193" s="5"/>
      <c r="D193" s="5"/>
      <c r="E193" s="15"/>
      <c r="F193" s="15"/>
      <c r="G193" s="13"/>
      <c r="H193" s="13"/>
      <c r="I193" s="13"/>
      <c r="J193" s="13"/>
      <c r="K193" s="13"/>
      <c r="L193" s="13"/>
      <c r="M193" s="13"/>
      <c r="N193" s="12"/>
      <c r="O193" s="12"/>
      <c r="P193" s="8"/>
    </row>
    <row r="194" spans="1:16" ht="24" customHeight="1" thickBot="1" x14ac:dyDescent="0.3">
      <c r="A194" s="11"/>
      <c r="B194" s="9"/>
      <c r="C194" s="5"/>
      <c r="D194" s="5"/>
      <c r="E194" s="15"/>
      <c r="F194" s="15"/>
      <c r="G194" s="13"/>
      <c r="H194" s="13"/>
      <c r="I194" s="13"/>
      <c r="J194" s="13"/>
      <c r="K194" s="13"/>
      <c r="L194" s="13"/>
      <c r="M194" s="13"/>
      <c r="N194" s="12"/>
      <c r="O194" s="12"/>
      <c r="P194" s="8"/>
    </row>
    <row r="195" spans="1:16" ht="24" customHeight="1" thickBot="1" x14ac:dyDescent="0.3">
      <c r="A195" s="11"/>
      <c r="B195" s="9"/>
      <c r="C195" s="5"/>
      <c r="D195" s="5"/>
      <c r="E195" s="15"/>
      <c r="F195" s="15"/>
      <c r="G195" s="13"/>
      <c r="H195" s="13"/>
      <c r="I195" s="13"/>
      <c r="J195" s="13"/>
      <c r="K195" s="13"/>
      <c r="L195" s="13"/>
      <c r="M195" s="13"/>
      <c r="N195" s="12"/>
      <c r="O195" s="12"/>
      <c r="P195" s="8"/>
    </row>
    <row r="196" spans="1:16" ht="24" customHeight="1" thickBot="1" x14ac:dyDescent="0.3">
      <c r="A196" s="11"/>
      <c r="B196" s="9"/>
      <c r="C196" s="5"/>
      <c r="D196" s="5"/>
      <c r="E196" s="15"/>
      <c r="F196" s="15"/>
      <c r="G196" s="13"/>
      <c r="H196" s="13"/>
      <c r="I196" s="13"/>
      <c r="J196" s="13"/>
      <c r="K196" s="13"/>
      <c r="L196" s="13"/>
      <c r="M196" s="13"/>
      <c r="N196" s="12"/>
      <c r="O196" s="12"/>
      <c r="P196" s="8"/>
    </row>
    <row r="197" spans="1:16" ht="24" customHeight="1" thickBot="1" x14ac:dyDescent="0.3">
      <c r="A197" s="11"/>
      <c r="B197" s="9"/>
      <c r="C197" s="5"/>
      <c r="D197" s="5"/>
      <c r="E197" s="15"/>
      <c r="F197" s="15"/>
      <c r="G197" s="13"/>
      <c r="H197" s="13"/>
      <c r="I197" s="13"/>
      <c r="J197" s="13"/>
      <c r="K197" s="13"/>
      <c r="L197" s="13"/>
      <c r="M197" s="13"/>
      <c r="N197" s="12"/>
      <c r="O197" s="12"/>
      <c r="P197" s="8"/>
    </row>
    <row r="198" spans="1:16" ht="24" customHeight="1" thickBot="1" x14ac:dyDescent="0.3">
      <c r="A198" s="11"/>
      <c r="B198" s="9"/>
      <c r="C198" s="5"/>
      <c r="D198" s="5"/>
      <c r="E198" s="15"/>
      <c r="F198" s="15"/>
      <c r="G198" s="13"/>
      <c r="H198" s="13"/>
      <c r="I198" s="13"/>
      <c r="J198" s="13"/>
      <c r="K198" s="13"/>
      <c r="L198" s="13"/>
      <c r="M198" s="13"/>
      <c r="N198" s="12"/>
      <c r="O198" s="12"/>
      <c r="P198" s="8"/>
    </row>
    <row r="199" spans="1:16" ht="24" customHeight="1" thickBot="1" x14ac:dyDescent="0.3">
      <c r="A199" s="11"/>
      <c r="B199" s="9"/>
      <c r="C199" s="5"/>
      <c r="D199" s="5"/>
      <c r="E199" s="15"/>
      <c r="F199" s="15"/>
      <c r="G199" s="13"/>
      <c r="H199" s="13"/>
      <c r="I199" s="13"/>
      <c r="J199" s="13"/>
      <c r="K199" s="13"/>
      <c r="L199" s="13"/>
      <c r="M199" s="13"/>
      <c r="N199" s="12"/>
      <c r="O199" s="12"/>
      <c r="P199" s="8"/>
    </row>
    <row r="200" spans="1:16" ht="24" customHeight="1" thickBot="1" x14ac:dyDescent="0.3">
      <c r="A200" s="11"/>
      <c r="B200" s="9"/>
      <c r="C200" s="5"/>
      <c r="D200" s="5"/>
      <c r="E200" s="15"/>
      <c r="F200" s="15"/>
      <c r="G200" s="13"/>
      <c r="H200" s="13"/>
      <c r="I200" s="13"/>
      <c r="J200" s="13"/>
      <c r="K200" s="13"/>
      <c r="L200" s="13"/>
      <c r="M200" s="13"/>
      <c r="N200" s="12"/>
      <c r="O200" s="12"/>
      <c r="P200" s="8"/>
    </row>
    <row r="201" spans="1:16" ht="24" customHeight="1" thickBot="1" x14ac:dyDescent="0.3">
      <c r="A201" s="11"/>
      <c r="B201" s="9"/>
      <c r="C201" s="5"/>
      <c r="D201" s="5"/>
      <c r="E201" s="15"/>
      <c r="F201" s="15"/>
      <c r="G201" s="13"/>
      <c r="H201" s="13"/>
      <c r="I201" s="13"/>
      <c r="J201" s="13"/>
      <c r="K201" s="13"/>
      <c r="L201" s="13"/>
      <c r="M201" s="13"/>
      <c r="N201" s="12"/>
      <c r="O201" s="12"/>
      <c r="P201" s="8"/>
    </row>
    <row r="202" spans="1:16" ht="24" customHeight="1" thickBot="1" x14ac:dyDescent="0.3">
      <c r="A202" s="11"/>
      <c r="B202" s="9"/>
      <c r="C202" s="5"/>
      <c r="D202" s="5"/>
      <c r="E202" s="15"/>
      <c r="F202" s="15"/>
      <c r="G202" s="13"/>
      <c r="H202" s="13"/>
      <c r="I202" s="13"/>
      <c r="J202" s="13"/>
      <c r="K202" s="13"/>
      <c r="L202" s="13"/>
      <c r="M202" s="13"/>
      <c r="N202" s="12"/>
      <c r="O202" s="12"/>
      <c r="P202" s="8"/>
    </row>
    <row r="203" spans="1:16" ht="24" customHeight="1" thickBot="1" x14ac:dyDescent="0.3">
      <c r="A203" s="11"/>
      <c r="B203" s="9"/>
      <c r="C203" s="5"/>
      <c r="D203" s="5"/>
      <c r="E203" s="15"/>
      <c r="F203" s="15"/>
      <c r="G203" s="13"/>
      <c r="H203" s="13"/>
      <c r="I203" s="13"/>
      <c r="J203" s="13"/>
      <c r="K203" s="13"/>
      <c r="L203" s="13"/>
      <c r="M203" s="13"/>
      <c r="N203" s="12"/>
      <c r="O203" s="12"/>
      <c r="P203" s="8"/>
    </row>
    <row r="204" spans="1:16" ht="24" customHeight="1" thickBot="1" x14ac:dyDescent="0.3">
      <c r="A204" s="11"/>
      <c r="B204" s="9"/>
      <c r="C204" s="5"/>
      <c r="D204" s="5"/>
      <c r="E204" s="15"/>
      <c r="F204" s="15"/>
      <c r="G204" s="13"/>
      <c r="H204" s="13"/>
      <c r="I204" s="13"/>
      <c r="J204" s="13"/>
      <c r="K204" s="13"/>
      <c r="L204" s="13"/>
      <c r="M204" s="13"/>
      <c r="N204" s="12"/>
      <c r="O204" s="12"/>
      <c r="P204" s="8"/>
    </row>
    <row r="205" spans="1:16" ht="24" customHeight="1" thickBot="1" x14ac:dyDescent="0.3">
      <c r="A205" s="11"/>
      <c r="B205" s="9"/>
      <c r="C205" s="5"/>
      <c r="D205" s="5"/>
      <c r="E205" s="15"/>
      <c r="F205" s="15"/>
      <c r="G205" s="13"/>
      <c r="H205" s="13"/>
      <c r="I205" s="13"/>
      <c r="J205" s="13"/>
      <c r="K205" s="13"/>
      <c r="L205" s="13"/>
      <c r="M205" s="13"/>
      <c r="N205" s="12"/>
      <c r="O205" s="12"/>
      <c r="P205" s="8"/>
    </row>
    <row r="206" spans="1:16" ht="24" customHeight="1" thickBot="1" x14ac:dyDescent="0.3">
      <c r="A206" s="11"/>
      <c r="B206" s="9"/>
      <c r="C206" s="5"/>
      <c r="D206" s="5"/>
      <c r="E206" s="15"/>
      <c r="F206" s="15"/>
      <c r="G206" s="13"/>
      <c r="H206" s="13"/>
      <c r="I206" s="13"/>
      <c r="J206" s="13"/>
      <c r="K206" s="13"/>
      <c r="L206" s="13"/>
      <c r="M206" s="13"/>
      <c r="N206" s="12"/>
      <c r="O206" s="12"/>
      <c r="P206" s="8"/>
    </row>
    <row r="207" spans="1:16" ht="24" customHeight="1" thickBot="1" x14ac:dyDescent="0.3">
      <c r="A207" s="11"/>
      <c r="B207" s="9"/>
      <c r="C207" s="5"/>
      <c r="D207" s="5"/>
      <c r="E207" s="15"/>
      <c r="F207" s="15"/>
      <c r="G207" s="13"/>
      <c r="H207" s="13"/>
      <c r="I207" s="13"/>
      <c r="J207" s="13"/>
      <c r="K207" s="13"/>
      <c r="L207" s="13"/>
      <c r="M207" s="13"/>
      <c r="N207" s="12"/>
      <c r="O207" s="12"/>
      <c r="P207" s="8"/>
    </row>
    <row r="208" spans="1:16" ht="24" customHeight="1" thickBot="1" x14ac:dyDescent="0.3">
      <c r="A208" s="11"/>
      <c r="B208" s="9"/>
      <c r="C208" s="5"/>
      <c r="D208" s="5"/>
      <c r="E208" s="15"/>
      <c r="F208" s="15"/>
      <c r="G208" s="13"/>
      <c r="H208" s="13"/>
      <c r="I208" s="13"/>
      <c r="J208" s="13"/>
      <c r="K208" s="13"/>
      <c r="L208" s="13"/>
      <c r="M208" s="13"/>
      <c r="N208" s="12"/>
      <c r="O208" s="12"/>
      <c r="P208" s="8"/>
    </row>
    <row r="209" spans="1:16" ht="24" customHeight="1" thickBot="1" x14ac:dyDescent="0.3">
      <c r="A209" s="11"/>
      <c r="B209" s="9"/>
      <c r="C209" s="5"/>
      <c r="D209" s="5"/>
      <c r="E209" s="15"/>
      <c r="F209" s="15"/>
      <c r="G209" s="13"/>
      <c r="H209" s="13"/>
      <c r="I209" s="13"/>
      <c r="J209" s="13"/>
      <c r="K209" s="13"/>
      <c r="L209" s="13"/>
      <c r="M209" s="13"/>
      <c r="N209" s="12"/>
      <c r="O209" s="12"/>
      <c r="P209" s="8"/>
    </row>
    <row r="210" spans="1:16" ht="24" customHeight="1" thickBot="1" x14ac:dyDescent="0.3">
      <c r="A210" s="11"/>
      <c r="B210" s="9"/>
      <c r="C210" s="5"/>
      <c r="D210" s="5"/>
      <c r="E210" s="15"/>
      <c r="F210" s="15"/>
      <c r="G210" s="13"/>
      <c r="H210" s="13"/>
      <c r="I210" s="13"/>
      <c r="J210" s="13"/>
      <c r="K210" s="13"/>
      <c r="L210" s="13"/>
      <c r="M210" s="13"/>
      <c r="N210" s="12"/>
      <c r="O210" s="12"/>
      <c r="P210" s="8"/>
    </row>
    <row r="211" spans="1:16" ht="24" customHeight="1" thickBot="1" x14ac:dyDescent="0.3">
      <c r="A211" s="11"/>
      <c r="B211" s="9"/>
      <c r="C211" s="5"/>
      <c r="D211" s="5"/>
      <c r="E211" s="15"/>
      <c r="F211" s="15"/>
      <c r="G211" s="13"/>
      <c r="H211" s="13"/>
      <c r="I211" s="13"/>
      <c r="J211" s="13"/>
      <c r="K211" s="13"/>
      <c r="L211" s="13"/>
      <c r="M211" s="13"/>
      <c r="N211" s="12"/>
      <c r="O211" s="12"/>
      <c r="P211" s="8"/>
    </row>
    <row r="212" spans="1:16" ht="24" customHeight="1" thickBot="1" x14ac:dyDescent="0.3">
      <c r="A212" s="11"/>
      <c r="B212" s="9"/>
      <c r="C212" s="5"/>
      <c r="D212" s="5"/>
      <c r="E212" s="15"/>
      <c r="F212" s="15"/>
      <c r="G212" s="13"/>
      <c r="H212" s="13"/>
      <c r="I212" s="13"/>
      <c r="J212" s="13"/>
      <c r="K212" s="13"/>
      <c r="L212" s="13"/>
      <c r="M212" s="13"/>
      <c r="N212" s="12"/>
      <c r="O212" s="12"/>
      <c r="P212" s="8"/>
    </row>
    <row r="213" spans="1:16" ht="24" customHeight="1" thickBot="1" x14ac:dyDescent="0.3">
      <c r="A213" s="11"/>
      <c r="B213" s="9"/>
      <c r="C213" s="5"/>
      <c r="D213" s="5"/>
      <c r="E213" s="15"/>
      <c r="F213" s="15"/>
      <c r="G213" s="13"/>
      <c r="H213" s="13"/>
      <c r="I213" s="13"/>
      <c r="J213" s="13"/>
      <c r="K213" s="13"/>
      <c r="L213" s="13"/>
      <c r="M213" s="13"/>
      <c r="N213" s="12"/>
      <c r="O213" s="12"/>
      <c r="P213" s="8"/>
    </row>
    <row r="214" spans="1:16" ht="24" customHeight="1" thickBot="1" x14ac:dyDescent="0.3">
      <c r="A214" s="11"/>
      <c r="B214" s="9"/>
      <c r="C214" s="5"/>
      <c r="D214" s="5"/>
      <c r="E214" s="15"/>
      <c r="F214" s="15"/>
      <c r="G214" s="13"/>
      <c r="H214" s="13"/>
      <c r="I214" s="13"/>
      <c r="J214" s="13"/>
      <c r="K214" s="13"/>
      <c r="L214" s="13"/>
      <c r="M214" s="13"/>
      <c r="N214" s="12"/>
      <c r="O214" s="12"/>
      <c r="P214" s="8"/>
    </row>
    <row r="215" spans="1:16" ht="24" customHeight="1" thickBot="1" x14ac:dyDescent="0.3">
      <c r="A215" s="11"/>
      <c r="B215" s="9"/>
      <c r="C215" s="5"/>
      <c r="D215" s="5"/>
      <c r="E215" s="15"/>
      <c r="F215" s="15"/>
      <c r="G215" s="13"/>
      <c r="H215" s="13"/>
      <c r="I215" s="13"/>
      <c r="J215" s="13"/>
      <c r="K215" s="13"/>
      <c r="L215" s="13"/>
      <c r="M215" s="13"/>
      <c r="N215" s="12"/>
      <c r="O215" s="12"/>
      <c r="P215" s="8"/>
    </row>
    <row r="216" spans="1:16" ht="24" customHeight="1" thickBot="1" x14ac:dyDescent="0.3">
      <c r="A216" s="11"/>
      <c r="B216" s="9"/>
      <c r="C216" s="5"/>
      <c r="D216" s="5"/>
      <c r="E216" s="15"/>
      <c r="F216" s="15"/>
      <c r="G216" s="13"/>
      <c r="H216" s="13"/>
      <c r="I216" s="13"/>
      <c r="J216" s="13"/>
      <c r="K216" s="13"/>
      <c r="L216" s="13"/>
      <c r="M216" s="13"/>
      <c r="N216" s="12"/>
      <c r="O216" s="12"/>
      <c r="P216" s="8"/>
    </row>
    <row r="217" spans="1:16" ht="24" customHeight="1" thickBot="1" x14ac:dyDescent="0.3">
      <c r="A217" s="11"/>
      <c r="B217" s="9"/>
      <c r="C217" s="5"/>
      <c r="D217" s="5"/>
      <c r="E217" s="15"/>
      <c r="F217" s="15"/>
      <c r="G217" s="13"/>
      <c r="H217" s="13"/>
      <c r="I217" s="13"/>
      <c r="J217" s="13"/>
      <c r="K217" s="13"/>
      <c r="L217" s="13"/>
      <c r="M217" s="13"/>
      <c r="N217" s="12"/>
      <c r="O217" s="12"/>
      <c r="P217" s="8"/>
    </row>
    <row r="218" spans="1:16" ht="24" customHeight="1" thickBot="1" x14ac:dyDescent="0.3">
      <c r="A218" s="11"/>
      <c r="B218" s="9"/>
      <c r="C218" s="5"/>
      <c r="D218" s="5"/>
      <c r="E218" s="15"/>
      <c r="F218" s="15"/>
      <c r="G218" s="13"/>
      <c r="H218" s="13"/>
      <c r="I218" s="13"/>
      <c r="J218" s="13"/>
      <c r="K218" s="13"/>
      <c r="L218" s="13"/>
      <c r="M218" s="13"/>
      <c r="N218" s="12"/>
      <c r="O218" s="12"/>
      <c r="P218" s="8"/>
    </row>
    <row r="219" spans="1:16" ht="24" customHeight="1" thickBot="1" x14ac:dyDescent="0.3">
      <c r="A219" s="11"/>
      <c r="B219" s="9"/>
      <c r="C219" s="5"/>
      <c r="D219" s="5"/>
      <c r="E219" s="15"/>
      <c r="F219" s="15"/>
      <c r="G219" s="13"/>
      <c r="H219" s="13"/>
      <c r="I219" s="13"/>
      <c r="J219" s="13"/>
      <c r="K219" s="13"/>
      <c r="L219" s="13"/>
      <c r="M219" s="13"/>
      <c r="N219" s="12"/>
      <c r="O219" s="12"/>
      <c r="P219" s="8"/>
    </row>
    <row r="220" spans="1:16" ht="24" customHeight="1" thickBot="1" x14ac:dyDescent="0.3">
      <c r="A220" s="11"/>
      <c r="B220" s="9"/>
      <c r="C220" s="5"/>
      <c r="D220" s="5"/>
      <c r="E220" s="15"/>
      <c r="F220" s="15"/>
      <c r="G220" s="13"/>
      <c r="H220" s="13"/>
      <c r="I220" s="13"/>
      <c r="J220" s="13"/>
      <c r="K220" s="13"/>
      <c r="L220" s="13"/>
      <c r="M220" s="13"/>
      <c r="N220" s="12"/>
      <c r="O220" s="12"/>
      <c r="P220" s="8"/>
    </row>
    <row r="221" spans="1:16" ht="24" customHeight="1" thickBot="1" x14ac:dyDescent="0.3">
      <c r="A221" s="11"/>
      <c r="B221" s="9"/>
      <c r="C221" s="5"/>
      <c r="D221" s="5"/>
      <c r="E221" s="15"/>
      <c r="F221" s="15"/>
      <c r="G221" s="13"/>
      <c r="H221" s="13"/>
      <c r="I221" s="13"/>
      <c r="J221" s="13"/>
      <c r="K221" s="13"/>
      <c r="L221" s="13"/>
      <c r="M221" s="13"/>
      <c r="N221" s="12"/>
      <c r="O221" s="12"/>
      <c r="P221" s="8"/>
    </row>
    <row r="222" spans="1:16" ht="24" customHeight="1" thickBot="1" x14ac:dyDescent="0.3">
      <c r="A222" s="11"/>
      <c r="B222" s="9"/>
      <c r="C222" s="5"/>
      <c r="D222" s="5"/>
      <c r="E222" s="15"/>
      <c r="F222" s="15"/>
      <c r="G222" s="13"/>
      <c r="H222" s="13"/>
      <c r="I222" s="13"/>
      <c r="J222" s="13"/>
      <c r="K222" s="13"/>
      <c r="L222" s="13"/>
      <c r="M222" s="13"/>
      <c r="N222" s="12"/>
      <c r="O222" s="12"/>
      <c r="P222" s="8"/>
    </row>
    <row r="223" spans="1:16" ht="24" customHeight="1" thickBot="1" x14ac:dyDescent="0.3">
      <c r="A223" s="11"/>
      <c r="B223" s="9"/>
      <c r="C223" s="5"/>
      <c r="D223" s="5"/>
      <c r="E223" s="15"/>
      <c r="F223" s="15"/>
      <c r="G223" s="13"/>
      <c r="H223" s="13"/>
      <c r="I223" s="13"/>
      <c r="J223" s="13"/>
      <c r="K223" s="13"/>
      <c r="L223" s="13"/>
      <c r="M223" s="13"/>
      <c r="N223" s="12"/>
      <c r="O223" s="12"/>
      <c r="P223" s="8"/>
    </row>
    <row r="224" spans="1:16" ht="24" customHeight="1" thickBot="1" x14ac:dyDescent="0.3">
      <c r="A224" s="11"/>
      <c r="B224" s="9"/>
      <c r="C224" s="5"/>
      <c r="D224" s="5"/>
      <c r="E224" s="15"/>
      <c r="F224" s="15"/>
      <c r="G224" s="13"/>
      <c r="H224" s="13"/>
      <c r="I224" s="13"/>
      <c r="J224" s="13"/>
      <c r="K224" s="13"/>
      <c r="L224" s="13"/>
      <c r="M224" s="13"/>
      <c r="N224" s="12"/>
      <c r="O224" s="12"/>
      <c r="P224" s="8"/>
    </row>
    <row r="225" spans="1:16" ht="24" customHeight="1" thickBot="1" x14ac:dyDescent="0.3">
      <c r="A225" s="11"/>
      <c r="B225" s="9"/>
      <c r="C225" s="5"/>
      <c r="D225" s="5"/>
      <c r="E225" s="15"/>
      <c r="F225" s="15"/>
      <c r="G225" s="13"/>
      <c r="H225" s="13"/>
      <c r="I225" s="13"/>
      <c r="J225" s="13"/>
      <c r="K225" s="13"/>
      <c r="L225" s="13"/>
      <c r="M225" s="13"/>
      <c r="N225" s="12"/>
      <c r="O225" s="12"/>
      <c r="P225" s="8"/>
    </row>
    <row r="226" spans="1:16" ht="24" customHeight="1" thickBot="1" x14ac:dyDescent="0.3">
      <c r="A226" s="11"/>
      <c r="B226" s="9"/>
      <c r="C226" s="5"/>
      <c r="D226" s="5"/>
      <c r="E226" s="15"/>
      <c r="F226" s="15"/>
      <c r="G226" s="13"/>
      <c r="H226" s="13"/>
      <c r="I226" s="13"/>
      <c r="J226" s="13"/>
      <c r="K226" s="13"/>
      <c r="L226" s="13"/>
      <c r="M226" s="13"/>
      <c r="N226" s="12"/>
      <c r="O226" s="12"/>
      <c r="P226" s="8"/>
    </row>
    <row r="227" spans="1:16" ht="24" customHeight="1" thickBot="1" x14ac:dyDescent="0.3">
      <c r="A227" s="11"/>
      <c r="B227" s="9"/>
      <c r="C227" s="5"/>
      <c r="D227" s="5"/>
      <c r="E227" s="15"/>
      <c r="F227" s="15"/>
      <c r="G227" s="13"/>
      <c r="H227" s="13"/>
      <c r="I227" s="13"/>
      <c r="J227" s="13"/>
      <c r="K227" s="13"/>
      <c r="L227" s="13"/>
      <c r="M227" s="13"/>
      <c r="N227" s="12"/>
      <c r="O227" s="12"/>
      <c r="P227" s="8"/>
    </row>
    <row r="228" spans="1:16" ht="24" customHeight="1" thickBot="1" x14ac:dyDescent="0.3">
      <c r="A228" s="11"/>
      <c r="B228" s="9"/>
      <c r="C228" s="5"/>
      <c r="D228" s="5"/>
      <c r="E228" s="15"/>
      <c r="F228" s="15"/>
      <c r="G228" s="13"/>
      <c r="H228" s="13"/>
      <c r="I228" s="13"/>
      <c r="J228" s="13"/>
      <c r="K228" s="13"/>
      <c r="L228" s="13"/>
      <c r="M228" s="13"/>
      <c r="N228" s="12"/>
      <c r="O228" s="12"/>
      <c r="P228" s="8"/>
    </row>
    <row r="229" spans="1:16" ht="24" customHeight="1" thickBot="1" x14ac:dyDescent="0.3">
      <c r="A229" s="11"/>
      <c r="B229" s="9"/>
      <c r="C229" s="5"/>
      <c r="D229" s="5"/>
      <c r="E229" s="15"/>
      <c r="F229" s="15"/>
      <c r="G229" s="13"/>
      <c r="H229" s="13"/>
      <c r="I229" s="13"/>
      <c r="J229" s="13"/>
      <c r="K229" s="13"/>
      <c r="L229" s="13"/>
      <c r="M229" s="13"/>
      <c r="N229" s="12"/>
      <c r="O229" s="12"/>
      <c r="P229" s="8"/>
    </row>
    <row r="230" spans="1:16" ht="24" customHeight="1" thickBot="1" x14ac:dyDescent="0.3">
      <c r="A230" s="11"/>
      <c r="B230" s="9"/>
      <c r="C230" s="5"/>
      <c r="D230" s="5"/>
      <c r="E230" s="15"/>
      <c r="F230" s="15"/>
      <c r="G230" s="13"/>
      <c r="H230" s="13"/>
      <c r="I230" s="13"/>
      <c r="J230" s="13"/>
      <c r="K230" s="13"/>
      <c r="L230" s="13"/>
      <c r="M230" s="13"/>
      <c r="N230" s="12"/>
      <c r="O230" s="12"/>
      <c r="P230" s="8"/>
    </row>
    <row r="231" spans="1:16" ht="24" customHeight="1" thickBot="1" x14ac:dyDescent="0.3">
      <c r="A231" s="11"/>
      <c r="B231" s="9"/>
      <c r="C231" s="5"/>
      <c r="D231" s="5"/>
      <c r="E231" s="15"/>
      <c r="F231" s="15"/>
      <c r="G231" s="13"/>
      <c r="H231" s="13"/>
      <c r="I231" s="13"/>
      <c r="J231" s="13"/>
      <c r="K231" s="13"/>
      <c r="L231" s="13"/>
      <c r="M231" s="13"/>
      <c r="N231" s="12"/>
      <c r="O231" s="12"/>
      <c r="P231" s="8"/>
    </row>
    <row r="232" spans="1:16" ht="24" customHeight="1" thickBot="1" x14ac:dyDescent="0.3">
      <c r="A232" s="11"/>
      <c r="B232" s="9"/>
      <c r="C232" s="5"/>
      <c r="D232" s="5"/>
      <c r="E232" s="15"/>
      <c r="F232" s="15"/>
      <c r="G232" s="13"/>
      <c r="H232" s="13"/>
      <c r="I232" s="13"/>
      <c r="J232" s="13"/>
      <c r="K232" s="13"/>
      <c r="L232" s="13"/>
      <c r="M232" s="13"/>
      <c r="N232" s="12"/>
      <c r="O232" s="12"/>
      <c r="P232" s="8"/>
    </row>
    <row r="233" spans="1:16" ht="24" customHeight="1" thickBot="1" x14ac:dyDescent="0.3">
      <c r="A233" s="11"/>
      <c r="B233" s="9"/>
      <c r="C233" s="5"/>
      <c r="D233" s="5"/>
      <c r="E233" s="15"/>
      <c r="F233" s="15"/>
      <c r="G233" s="13"/>
      <c r="H233" s="13"/>
      <c r="I233" s="13"/>
      <c r="J233" s="13"/>
      <c r="K233" s="13"/>
      <c r="L233" s="13"/>
      <c r="M233" s="13"/>
      <c r="N233" s="12"/>
      <c r="O233" s="12"/>
      <c r="P233" s="8"/>
    </row>
    <row r="234" spans="1:16" ht="24" customHeight="1" thickBot="1" x14ac:dyDescent="0.3">
      <c r="A234" s="11"/>
      <c r="B234" s="9"/>
      <c r="C234" s="5"/>
      <c r="D234" s="5"/>
      <c r="E234" s="15"/>
      <c r="F234" s="15"/>
      <c r="G234" s="13"/>
      <c r="H234" s="13"/>
      <c r="I234" s="13"/>
      <c r="J234" s="13"/>
      <c r="K234" s="13"/>
      <c r="L234" s="13"/>
      <c r="M234" s="13"/>
      <c r="N234" s="12"/>
      <c r="O234" s="12"/>
      <c r="P234" s="8"/>
    </row>
    <row r="235" spans="1:16" ht="24" customHeight="1" thickBot="1" x14ac:dyDescent="0.3">
      <c r="A235" s="11"/>
      <c r="B235" s="9"/>
      <c r="C235" s="5"/>
      <c r="D235" s="5"/>
      <c r="E235" s="15"/>
      <c r="F235" s="15"/>
      <c r="G235" s="13"/>
      <c r="H235" s="13"/>
      <c r="I235" s="13"/>
      <c r="J235" s="13"/>
      <c r="K235" s="13"/>
      <c r="L235" s="13"/>
      <c r="M235" s="13"/>
      <c r="N235" s="12"/>
      <c r="O235" s="12"/>
      <c r="P235" s="8"/>
    </row>
    <row r="236" spans="1:16" ht="24" customHeight="1" thickBot="1" x14ac:dyDescent="0.3">
      <c r="A236" s="11"/>
      <c r="B236" s="9"/>
      <c r="C236" s="5"/>
      <c r="D236" s="5"/>
      <c r="E236" s="15"/>
      <c r="F236" s="15"/>
      <c r="G236" s="13"/>
      <c r="H236" s="13"/>
      <c r="I236" s="13"/>
      <c r="J236" s="13"/>
      <c r="K236" s="13"/>
      <c r="L236" s="13"/>
      <c r="M236" s="13"/>
      <c r="N236" s="12"/>
      <c r="O236" s="12"/>
      <c r="P236" s="8"/>
    </row>
    <row r="237" spans="1:16" ht="24" customHeight="1" thickBot="1" x14ac:dyDescent="0.3">
      <c r="A237" s="11"/>
      <c r="B237" s="9"/>
      <c r="C237" s="5"/>
      <c r="D237" s="5"/>
      <c r="E237" s="15"/>
      <c r="F237" s="15"/>
      <c r="G237" s="13"/>
      <c r="H237" s="13"/>
      <c r="I237" s="13"/>
      <c r="J237" s="13"/>
      <c r="K237" s="13"/>
      <c r="L237" s="13"/>
      <c r="M237" s="13"/>
      <c r="N237" s="12"/>
      <c r="O237" s="12"/>
      <c r="P237" s="8"/>
    </row>
    <row r="238" spans="1:16" ht="24" customHeight="1" thickBot="1" x14ac:dyDescent="0.3">
      <c r="A238" s="11"/>
      <c r="B238" s="9"/>
      <c r="C238" s="5"/>
      <c r="D238" s="5"/>
      <c r="E238" s="15"/>
      <c r="F238" s="15"/>
      <c r="G238" s="13"/>
      <c r="H238" s="13"/>
      <c r="I238" s="13"/>
      <c r="J238" s="13"/>
      <c r="K238" s="13"/>
      <c r="L238" s="13"/>
      <c r="M238" s="13"/>
      <c r="N238" s="12"/>
      <c r="O238" s="12"/>
      <c r="P238" s="8"/>
    </row>
    <row r="239" spans="1:16" ht="24" customHeight="1" thickBot="1" x14ac:dyDescent="0.3">
      <c r="A239" s="11"/>
      <c r="B239" s="9"/>
      <c r="C239" s="5"/>
      <c r="D239" s="5"/>
      <c r="E239" s="15"/>
      <c r="F239" s="15"/>
      <c r="G239" s="13"/>
      <c r="H239" s="13"/>
      <c r="I239" s="13"/>
      <c r="J239" s="13"/>
      <c r="K239" s="13"/>
      <c r="L239" s="13"/>
      <c r="M239" s="13"/>
      <c r="N239" s="12"/>
      <c r="O239" s="12"/>
      <c r="P239" s="8"/>
    </row>
    <row r="240" spans="1:16" ht="24" customHeight="1" thickBot="1" x14ac:dyDescent="0.3">
      <c r="A240" s="11"/>
      <c r="B240" s="9"/>
      <c r="C240" s="5"/>
      <c r="D240" s="5"/>
      <c r="E240" s="15"/>
      <c r="F240" s="15"/>
      <c r="G240" s="13"/>
      <c r="H240" s="13"/>
      <c r="I240" s="13"/>
      <c r="J240" s="13"/>
      <c r="K240" s="13"/>
      <c r="L240" s="13"/>
      <c r="M240" s="13"/>
      <c r="N240" s="12"/>
      <c r="O240" s="12"/>
      <c r="P240" s="8"/>
    </row>
    <row r="241" spans="1:16" ht="24" customHeight="1" thickBot="1" x14ac:dyDescent="0.3">
      <c r="A241" s="11"/>
      <c r="B241" s="9"/>
      <c r="C241" s="5"/>
      <c r="D241" s="5"/>
      <c r="E241" s="15"/>
      <c r="F241" s="15"/>
      <c r="G241" s="13"/>
      <c r="H241" s="13"/>
      <c r="I241" s="13"/>
      <c r="J241" s="13"/>
      <c r="K241" s="13"/>
      <c r="L241" s="13"/>
      <c r="M241" s="13"/>
      <c r="N241" s="12"/>
      <c r="O241" s="12"/>
      <c r="P241" s="8"/>
    </row>
    <row r="242" spans="1:16" ht="24" customHeight="1" thickBot="1" x14ac:dyDescent="0.3">
      <c r="A242" s="11"/>
      <c r="B242" s="9"/>
      <c r="C242" s="5"/>
      <c r="D242" s="5"/>
      <c r="E242" s="15"/>
      <c r="F242" s="15"/>
      <c r="G242" s="13"/>
      <c r="H242" s="13"/>
      <c r="I242" s="13"/>
      <c r="J242" s="13"/>
      <c r="K242" s="13"/>
      <c r="L242" s="13"/>
      <c r="M242" s="13"/>
      <c r="N242" s="12"/>
      <c r="O242" s="12"/>
      <c r="P242" s="8"/>
    </row>
    <row r="243" spans="1:16" ht="24" customHeight="1" thickBot="1" x14ac:dyDescent="0.3">
      <c r="A243" s="11"/>
      <c r="B243" s="9"/>
      <c r="C243" s="5"/>
      <c r="D243" s="5"/>
      <c r="E243" s="15"/>
      <c r="F243" s="15"/>
      <c r="G243" s="13"/>
      <c r="H243" s="13"/>
      <c r="I243" s="13"/>
      <c r="J243" s="13"/>
      <c r="K243" s="13"/>
      <c r="L243" s="13"/>
      <c r="M243" s="13"/>
      <c r="N243" s="12"/>
      <c r="O243" s="12"/>
      <c r="P243" s="8"/>
    </row>
    <row r="244" spans="1:16" ht="24" customHeight="1" thickBot="1" x14ac:dyDescent="0.3">
      <c r="A244" s="11"/>
      <c r="B244" s="9"/>
      <c r="C244" s="5"/>
      <c r="D244" s="5"/>
      <c r="E244" s="15"/>
      <c r="F244" s="15"/>
      <c r="G244" s="13"/>
      <c r="H244" s="13"/>
      <c r="I244" s="13"/>
      <c r="J244" s="13"/>
      <c r="K244" s="13"/>
      <c r="L244" s="13"/>
      <c r="M244" s="13"/>
      <c r="N244" s="12"/>
      <c r="O244" s="12"/>
      <c r="P244" s="8"/>
    </row>
    <row r="245" spans="1:16" ht="24" customHeight="1" thickBot="1" x14ac:dyDescent="0.3">
      <c r="A245" s="11"/>
      <c r="B245" s="9"/>
      <c r="C245" s="5"/>
      <c r="D245" s="5"/>
      <c r="E245" s="15"/>
      <c r="F245" s="15"/>
      <c r="G245" s="13"/>
      <c r="H245" s="13"/>
      <c r="I245" s="13"/>
      <c r="J245" s="13"/>
      <c r="K245" s="13"/>
      <c r="L245" s="13"/>
      <c r="M245" s="13"/>
      <c r="N245" s="12"/>
      <c r="O245" s="12"/>
      <c r="P245" s="8"/>
    </row>
    <row r="246" spans="1:16" ht="24" customHeight="1" thickBot="1" x14ac:dyDescent="0.3">
      <c r="A246" s="11"/>
      <c r="B246" s="9"/>
      <c r="C246" s="5"/>
      <c r="D246" s="5"/>
      <c r="E246" s="15"/>
      <c r="F246" s="15"/>
      <c r="G246" s="13"/>
      <c r="H246" s="13"/>
      <c r="I246" s="13"/>
      <c r="J246" s="13"/>
      <c r="K246" s="13"/>
      <c r="L246" s="13"/>
      <c r="M246" s="13"/>
      <c r="N246" s="12"/>
      <c r="O246" s="12"/>
      <c r="P246" s="8"/>
    </row>
    <row r="247" spans="1:16" ht="24" customHeight="1" thickBot="1" x14ac:dyDescent="0.3">
      <c r="A247" s="11"/>
      <c r="B247" s="9"/>
      <c r="C247" s="5"/>
      <c r="D247" s="5"/>
      <c r="E247" s="15"/>
      <c r="F247" s="15"/>
      <c r="G247" s="13"/>
      <c r="H247" s="13"/>
      <c r="I247" s="13"/>
      <c r="J247" s="13"/>
      <c r="K247" s="13"/>
      <c r="L247" s="13"/>
      <c r="M247" s="13"/>
      <c r="N247" s="12"/>
      <c r="O247" s="12"/>
      <c r="P247" s="8"/>
    </row>
    <row r="248" spans="1:16" ht="24" customHeight="1" thickBot="1" x14ac:dyDescent="0.3">
      <c r="A248" s="11"/>
      <c r="B248" s="9"/>
      <c r="C248" s="5"/>
      <c r="D248" s="5"/>
      <c r="E248" s="15"/>
      <c r="F248" s="15"/>
      <c r="G248" s="13"/>
      <c r="H248" s="13"/>
      <c r="I248" s="13"/>
      <c r="J248" s="13"/>
      <c r="K248" s="13"/>
      <c r="L248" s="13"/>
      <c r="M248" s="13"/>
      <c r="N248" s="12"/>
      <c r="O248" s="12"/>
      <c r="P248" s="8"/>
    </row>
    <row r="249" spans="1:16" ht="24" customHeight="1" thickBot="1" x14ac:dyDescent="0.3">
      <c r="A249" s="11"/>
      <c r="B249" s="9"/>
      <c r="C249" s="5"/>
      <c r="D249" s="5"/>
      <c r="E249" s="15"/>
      <c r="F249" s="15"/>
      <c r="G249" s="13"/>
      <c r="H249" s="13"/>
      <c r="I249" s="13"/>
      <c r="J249" s="13"/>
      <c r="K249" s="13"/>
      <c r="L249" s="13"/>
      <c r="M249" s="13"/>
      <c r="N249" s="12"/>
      <c r="O249" s="12"/>
      <c r="P249" s="8"/>
    </row>
    <row r="250" spans="1:16" ht="24" customHeight="1" thickBot="1" x14ac:dyDescent="0.3">
      <c r="A250" s="11"/>
      <c r="B250" s="9"/>
      <c r="C250" s="5"/>
      <c r="D250" s="5"/>
      <c r="E250" s="15"/>
      <c r="F250" s="15"/>
      <c r="G250" s="13"/>
      <c r="H250" s="13"/>
      <c r="I250" s="13"/>
      <c r="J250" s="13"/>
      <c r="K250" s="13"/>
      <c r="L250" s="13"/>
      <c r="M250" s="13"/>
      <c r="N250" s="12"/>
      <c r="O250" s="12"/>
      <c r="P250" s="8"/>
    </row>
    <row r="251" spans="1:16" ht="24" customHeight="1" thickBot="1" x14ac:dyDescent="0.3">
      <c r="A251" s="11"/>
      <c r="B251" s="9"/>
      <c r="C251" s="5"/>
      <c r="D251" s="5"/>
      <c r="E251" s="15"/>
      <c r="F251" s="15"/>
      <c r="G251" s="13"/>
      <c r="H251" s="13"/>
      <c r="I251" s="13"/>
      <c r="J251" s="13"/>
      <c r="K251" s="13"/>
      <c r="L251" s="13"/>
      <c r="M251" s="13"/>
      <c r="N251" s="12"/>
      <c r="O251" s="12"/>
      <c r="P251" s="8"/>
    </row>
    <row r="252" spans="1:16" ht="24" customHeight="1" thickBot="1" x14ac:dyDescent="0.3">
      <c r="A252" s="11"/>
      <c r="B252" s="9"/>
      <c r="C252" s="5"/>
      <c r="D252" s="5"/>
      <c r="E252" s="15"/>
      <c r="F252" s="15"/>
      <c r="G252" s="13"/>
      <c r="H252" s="13"/>
      <c r="I252" s="13"/>
      <c r="J252" s="13"/>
      <c r="K252" s="13"/>
      <c r="L252" s="13"/>
      <c r="M252" s="13"/>
      <c r="N252" s="12"/>
      <c r="O252" s="12"/>
      <c r="P252" s="8"/>
    </row>
    <row r="253" spans="1:16" ht="24" customHeight="1" thickBot="1" x14ac:dyDescent="0.3">
      <c r="A253" s="11"/>
      <c r="B253" s="9"/>
      <c r="C253" s="5"/>
      <c r="D253" s="5"/>
      <c r="E253" s="15"/>
      <c r="F253" s="15"/>
      <c r="G253" s="13"/>
      <c r="H253" s="13"/>
      <c r="I253" s="13"/>
      <c r="J253" s="13"/>
      <c r="K253" s="13"/>
      <c r="L253" s="13"/>
      <c r="M253" s="13"/>
      <c r="N253" s="12"/>
      <c r="O253" s="12"/>
      <c r="P253" s="8"/>
    </row>
    <row r="254" spans="1:16" ht="24" customHeight="1" thickBot="1" x14ac:dyDescent="0.3">
      <c r="A254" s="11"/>
      <c r="B254" s="9"/>
      <c r="C254" s="5"/>
      <c r="D254" s="5"/>
      <c r="E254" s="15"/>
      <c r="F254" s="15"/>
      <c r="G254" s="13"/>
      <c r="H254" s="13"/>
      <c r="I254" s="13"/>
      <c r="J254" s="13"/>
      <c r="K254" s="13"/>
      <c r="L254" s="13"/>
      <c r="M254" s="13"/>
      <c r="N254" s="12"/>
      <c r="O254" s="12"/>
      <c r="P254" s="8"/>
    </row>
    <row r="255" spans="1:16" ht="24" customHeight="1" thickBot="1" x14ac:dyDescent="0.3">
      <c r="A255" s="11"/>
      <c r="B255" s="9"/>
      <c r="C255" s="5"/>
      <c r="D255" s="5"/>
      <c r="E255" s="15"/>
      <c r="F255" s="15"/>
      <c r="G255" s="13"/>
      <c r="H255" s="13"/>
      <c r="I255" s="13"/>
      <c r="J255" s="13"/>
      <c r="K255" s="13"/>
      <c r="L255" s="13"/>
      <c r="M255" s="13"/>
      <c r="N255" s="12"/>
      <c r="O255" s="12"/>
      <c r="P255" s="8"/>
    </row>
    <row r="256" spans="1:16" ht="24" customHeight="1" thickBot="1" x14ac:dyDescent="0.3">
      <c r="A256" s="11"/>
      <c r="B256" s="9"/>
      <c r="C256" s="5"/>
      <c r="D256" s="5"/>
      <c r="E256" s="15"/>
      <c r="F256" s="15"/>
      <c r="G256" s="13"/>
      <c r="H256" s="13"/>
      <c r="I256" s="13"/>
      <c r="J256" s="13"/>
      <c r="K256" s="13"/>
      <c r="L256" s="13"/>
      <c r="M256" s="13"/>
      <c r="N256" s="12"/>
      <c r="O256" s="12"/>
      <c r="P256" s="8"/>
    </row>
    <row r="257" spans="1:16" ht="24" customHeight="1" thickBot="1" x14ac:dyDescent="0.3">
      <c r="A257" s="11"/>
      <c r="B257" s="9"/>
      <c r="C257" s="5"/>
      <c r="D257" s="5"/>
      <c r="E257" s="15"/>
      <c r="F257" s="15"/>
      <c r="G257" s="13"/>
      <c r="H257" s="13"/>
      <c r="I257" s="13"/>
      <c r="J257" s="13"/>
      <c r="K257" s="13"/>
      <c r="L257" s="13"/>
      <c r="M257" s="13"/>
      <c r="N257" s="12"/>
      <c r="O257" s="12"/>
      <c r="P257" s="8"/>
    </row>
    <row r="258" spans="1:16" ht="24" customHeight="1" thickBot="1" x14ac:dyDescent="0.3">
      <c r="A258" s="11"/>
      <c r="B258" s="9"/>
      <c r="C258" s="5"/>
      <c r="D258" s="5"/>
      <c r="E258" s="15"/>
      <c r="F258" s="15"/>
      <c r="G258" s="13"/>
      <c r="H258" s="13"/>
      <c r="I258" s="13"/>
      <c r="J258" s="13"/>
      <c r="K258" s="13"/>
      <c r="L258" s="13"/>
      <c r="M258" s="13"/>
      <c r="N258" s="12"/>
      <c r="O258" s="12"/>
      <c r="P258" s="8"/>
    </row>
    <row r="259" spans="1:16" ht="24" customHeight="1" thickBot="1" x14ac:dyDescent="0.3">
      <c r="A259" s="11"/>
      <c r="B259" s="9"/>
      <c r="C259" s="5"/>
      <c r="D259" s="5"/>
      <c r="E259" s="15"/>
      <c r="F259" s="15"/>
      <c r="G259" s="13"/>
      <c r="H259" s="13"/>
      <c r="I259" s="13"/>
      <c r="J259" s="13"/>
      <c r="K259" s="13"/>
      <c r="L259" s="13"/>
      <c r="M259" s="13"/>
      <c r="N259" s="12"/>
      <c r="O259" s="12"/>
      <c r="P259" s="8"/>
    </row>
    <row r="260" spans="1:16" ht="24" customHeight="1" thickBot="1" x14ac:dyDescent="0.3">
      <c r="A260" s="11"/>
      <c r="B260" s="9"/>
      <c r="C260" s="5"/>
      <c r="D260" s="5"/>
      <c r="E260" s="15"/>
      <c r="F260" s="15"/>
      <c r="G260" s="13"/>
      <c r="H260" s="13"/>
      <c r="I260" s="13"/>
      <c r="J260" s="13"/>
      <c r="K260" s="13"/>
      <c r="L260" s="13"/>
      <c r="M260" s="13"/>
      <c r="N260" s="12"/>
      <c r="O260" s="12"/>
      <c r="P260" s="8"/>
    </row>
    <row r="261" spans="1:16" ht="24" customHeight="1" thickBot="1" x14ac:dyDescent="0.3">
      <c r="A261" s="11"/>
      <c r="B261" s="9"/>
      <c r="C261" s="5"/>
      <c r="D261" s="5"/>
      <c r="E261" s="15"/>
      <c r="F261" s="15"/>
      <c r="G261" s="13"/>
      <c r="H261" s="13"/>
      <c r="I261" s="13"/>
      <c r="J261" s="13"/>
      <c r="K261" s="13"/>
      <c r="L261" s="13"/>
      <c r="M261" s="13"/>
      <c r="N261" s="12"/>
      <c r="O261" s="12"/>
      <c r="P261" s="8"/>
    </row>
    <row r="262" spans="1:16" ht="24" customHeight="1" thickBot="1" x14ac:dyDescent="0.3">
      <c r="A262" s="11"/>
      <c r="B262" s="9"/>
      <c r="C262" s="5"/>
      <c r="D262" s="5"/>
      <c r="E262" s="15"/>
      <c r="F262" s="15"/>
      <c r="G262" s="13"/>
      <c r="H262" s="13"/>
      <c r="I262" s="13"/>
      <c r="J262" s="13"/>
      <c r="K262" s="13"/>
      <c r="L262" s="13"/>
      <c r="M262" s="13"/>
      <c r="N262" s="12"/>
      <c r="O262" s="12"/>
      <c r="P262" s="8"/>
    </row>
    <row r="263" spans="1:16" ht="24" customHeight="1" thickBot="1" x14ac:dyDescent="0.3">
      <c r="A263" s="11"/>
      <c r="B263" s="9"/>
      <c r="C263" s="5"/>
      <c r="D263" s="5"/>
      <c r="E263" s="15"/>
      <c r="F263" s="15"/>
      <c r="G263" s="13"/>
      <c r="H263" s="13"/>
      <c r="I263" s="13"/>
      <c r="J263" s="13"/>
      <c r="K263" s="13"/>
      <c r="L263" s="13"/>
      <c r="M263" s="13"/>
      <c r="N263" s="12"/>
      <c r="O263" s="12"/>
      <c r="P263" s="8"/>
    </row>
    <row r="264" spans="1:16" ht="24" customHeight="1" thickBot="1" x14ac:dyDescent="0.3">
      <c r="A264" s="11"/>
      <c r="B264" s="9"/>
      <c r="C264" s="5"/>
      <c r="D264" s="5"/>
      <c r="E264" s="15"/>
      <c r="F264" s="15"/>
      <c r="G264" s="13"/>
      <c r="H264" s="13"/>
      <c r="I264" s="13"/>
      <c r="J264" s="13"/>
      <c r="K264" s="13"/>
      <c r="L264" s="13"/>
      <c r="M264" s="13"/>
      <c r="N264" s="12"/>
      <c r="O264" s="12"/>
      <c r="P264" s="8"/>
    </row>
    <row r="265" spans="1:16" ht="24" customHeight="1" thickBot="1" x14ac:dyDescent="0.3">
      <c r="A265" s="11"/>
      <c r="B265" s="9"/>
      <c r="C265" s="5"/>
      <c r="D265" s="5"/>
      <c r="E265" s="15"/>
      <c r="F265" s="15"/>
      <c r="G265" s="13"/>
      <c r="H265" s="13"/>
      <c r="I265" s="13"/>
      <c r="J265" s="13"/>
      <c r="K265" s="13"/>
      <c r="L265" s="13"/>
      <c r="M265" s="13"/>
      <c r="N265" s="12"/>
      <c r="O265" s="12"/>
      <c r="P265" s="8"/>
    </row>
    <row r="266" spans="1:16" ht="24" customHeight="1" thickBot="1" x14ac:dyDescent="0.3">
      <c r="A266" s="11"/>
      <c r="B266" s="9"/>
      <c r="C266" s="5"/>
      <c r="D266" s="5"/>
      <c r="E266" s="15"/>
      <c r="F266" s="15"/>
      <c r="G266" s="13"/>
      <c r="H266" s="13"/>
      <c r="I266" s="13"/>
      <c r="J266" s="13"/>
      <c r="K266" s="13"/>
      <c r="L266" s="13"/>
      <c r="M266" s="13"/>
      <c r="N266" s="12"/>
      <c r="O266" s="12"/>
      <c r="P266" s="8"/>
    </row>
    <row r="267" spans="1:16" ht="24" customHeight="1" thickBot="1" x14ac:dyDescent="0.3">
      <c r="A267" s="11"/>
      <c r="B267" s="9"/>
      <c r="C267" s="5"/>
      <c r="D267" s="5"/>
      <c r="E267" s="15"/>
      <c r="F267" s="15"/>
      <c r="G267" s="13"/>
      <c r="H267" s="13"/>
      <c r="I267" s="13"/>
      <c r="J267" s="13"/>
      <c r="K267" s="13"/>
      <c r="L267" s="13"/>
      <c r="M267" s="13"/>
      <c r="N267" s="12"/>
      <c r="O267" s="12"/>
      <c r="P267" s="8"/>
    </row>
    <row r="268" spans="1:16" ht="24" customHeight="1" thickBot="1" x14ac:dyDescent="0.3">
      <c r="A268" s="11"/>
      <c r="B268" s="9"/>
      <c r="C268" s="5"/>
      <c r="D268" s="5"/>
      <c r="E268" s="15"/>
      <c r="F268" s="15"/>
      <c r="G268" s="13"/>
      <c r="H268" s="13"/>
      <c r="I268" s="13"/>
      <c r="J268" s="13"/>
      <c r="K268" s="13"/>
      <c r="L268" s="13"/>
      <c r="M268" s="13"/>
      <c r="N268" s="12"/>
      <c r="O268" s="12"/>
      <c r="P268" s="8"/>
    </row>
    <row r="269" spans="1:16" ht="24" customHeight="1" thickBot="1" x14ac:dyDescent="0.3">
      <c r="A269" s="11"/>
      <c r="B269" s="9"/>
      <c r="C269" s="5"/>
      <c r="D269" s="5"/>
      <c r="E269" s="15"/>
      <c r="F269" s="15"/>
      <c r="G269" s="13"/>
      <c r="H269" s="13"/>
      <c r="I269" s="13"/>
      <c r="J269" s="13"/>
      <c r="K269" s="13"/>
      <c r="L269" s="13"/>
      <c r="M269" s="13"/>
      <c r="N269" s="12"/>
      <c r="O269" s="12"/>
      <c r="P269" s="8"/>
    </row>
    <row r="270" spans="1:16" ht="24" customHeight="1" thickBot="1" x14ac:dyDescent="0.3">
      <c r="A270" s="11"/>
      <c r="B270" s="9"/>
      <c r="C270" s="5"/>
      <c r="D270" s="5"/>
      <c r="E270" s="15"/>
      <c r="F270" s="15"/>
      <c r="G270" s="13"/>
      <c r="H270" s="13"/>
      <c r="I270" s="13"/>
      <c r="J270" s="13"/>
      <c r="K270" s="13"/>
      <c r="L270" s="13"/>
      <c r="M270" s="13"/>
      <c r="N270" s="12"/>
      <c r="O270" s="12"/>
      <c r="P270" s="8"/>
    </row>
    <row r="271" spans="1:16" ht="24" customHeight="1" thickBot="1" x14ac:dyDescent="0.3">
      <c r="A271" s="11"/>
      <c r="B271" s="9"/>
      <c r="C271" s="5"/>
      <c r="D271" s="5"/>
      <c r="E271" s="15"/>
      <c r="F271" s="15"/>
      <c r="G271" s="13"/>
      <c r="H271" s="13"/>
      <c r="I271" s="13"/>
      <c r="J271" s="13"/>
      <c r="K271" s="13"/>
      <c r="L271" s="13"/>
      <c r="M271" s="13"/>
      <c r="N271" s="12"/>
      <c r="O271" s="12"/>
      <c r="P271" s="8"/>
    </row>
    <row r="272" spans="1:16" ht="24" customHeight="1" thickBot="1" x14ac:dyDescent="0.3">
      <c r="A272" s="11"/>
      <c r="B272" s="9"/>
      <c r="C272" s="5"/>
      <c r="D272" s="5"/>
      <c r="E272" s="15"/>
      <c r="F272" s="15"/>
      <c r="G272" s="13"/>
      <c r="H272" s="13"/>
      <c r="I272" s="13"/>
      <c r="J272" s="13"/>
      <c r="K272" s="13"/>
      <c r="L272" s="13"/>
      <c r="M272" s="13"/>
      <c r="N272" s="12"/>
      <c r="O272" s="12"/>
      <c r="P272" s="8"/>
    </row>
    <row r="273" spans="1:16" ht="24" customHeight="1" thickBot="1" x14ac:dyDescent="0.3">
      <c r="A273" s="11"/>
      <c r="B273" s="9"/>
      <c r="C273" s="5"/>
      <c r="D273" s="5"/>
      <c r="E273" s="15"/>
      <c r="F273" s="15"/>
      <c r="G273" s="13"/>
      <c r="H273" s="13"/>
      <c r="I273" s="13"/>
      <c r="J273" s="13"/>
      <c r="K273" s="13"/>
      <c r="L273" s="13"/>
      <c r="M273" s="13"/>
      <c r="N273" s="12"/>
      <c r="O273" s="12"/>
      <c r="P273" s="8"/>
    </row>
    <row r="274" spans="1:16" ht="24" customHeight="1" thickBot="1" x14ac:dyDescent="0.3">
      <c r="A274" s="11"/>
      <c r="B274" s="9"/>
      <c r="C274" s="5"/>
      <c r="D274" s="5"/>
      <c r="E274" s="15"/>
      <c r="F274" s="15"/>
      <c r="G274" s="13"/>
      <c r="H274" s="13"/>
      <c r="I274" s="13"/>
      <c r="J274" s="13"/>
      <c r="K274" s="13"/>
      <c r="L274" s="13"/>
      <c r="M274" s="13"/>
      <c r="N274" s="12"/>
      <c r="O274" s="12"/>
      <c r="P274" s="8"/>
    </row>
    <row r="275" spans="1:16" ht="24" customHeight="1" thickBot="1" x14ac:dyDescent="0.3">
      <c r="A275" s="11"/>
      <c r="B275" s="9"/>
      <c r="C275" s="5"/>
      <c r="D275" s="5"/>
      <c r="E275" s="15"/>
      <c r="F275" s="15"/>
      <c r="G275" s="13"/>
      <c r="H275" s="13"/>
      <c r="I275" s="13"/>
      <c r="J275" s="13"/>
      <c r="K275" s="13"/>
      <c r="L275" s="13"/>
      <c r="M275" s="13"/>
      <c r="N275" s="12"/>
      <c r="O275" s="12"/>
      <c r="P275" s="8"/>
    </row>
    <row r="276" spans="1:16" ht="24" customHeight="1" thickBot="1" x14ac:dyDescent="0.3">
      <c r="A276" s="11"/>
      <c r="B276" s="9"/>
      <c r="C276" s="5"/>
      <c r="D276" s="5"/>
      <c r="E276" s="15"/>
      <c r="F276" s="15"/>
      <c r="G276" s="13"/>
      <c r="H276" s="13"/>
      <c r="I276" s="13"/>
      <c r="J276" s="13"/>
      <c r="K276" s="13"/>
      <c r="L276" s="13"/>
      <c r="M276" s="13"/>
      <c r="N276" s="12"/>
      <c r="O276" s="12"/>
      <c r="P276" s="8"/>
    </row>
    <row r="277" spans="1:16" ht="24" customHeight="1" thickBot="1" x14ac:dyDescent="0.3">
      <c r="A277" s="11"/>
      <c r="B277" s="9"/>
      <c r="C277" s="5"/>
      <c r="D277" s="5"/>
      <c r="E277" s="15"/>
      <c r="F277" s="15"/>
      <c r="G277" s="13"/>
      <c r="H277" s="13"/>
      <c r="I277" s="13"/>
      <c r="J277" s="13"/>
      <c r="K277" s="13"/>
      <c r="L277" s="13"/>
      <c r="M277" s="13"/>
      <c r="N277" s="12"/>
      <c r="O277" s="12"/>
      <c r="P277" s="8"/>
    </row>
    <row r="278" spans="1:16" ht="24" customHeight="1" thickBot="1" x14ac:dyDescent="0.3">
      <c r="A278" s="11"/>
      <c r="B278" s="9"/>
      <c r="C278" s="5"/>
      <c r="D278" s="5"/>
      <c r="E278" s="15"/>
      <c r="F278" s="15"/>
      <c r="G278" s="13"/>
      <c r="H278" s="13"/>
      <c r="I278" s="13"/>
      <c r="J278" s="13"/>
      <c r="K278" s="13"/>
      <c r="L278" s="13"/>
      <c r="M278" s="13"/>
      <c r="N278" s="12"/>
      <c r="O278" s="12"/>
      <c r="P278" s="8"/>
    </row>
    <row r="279" spans="1:16" ht="24" customHeight="1" thickBot="1" x14ac:dyDescent="0.3">
      <c r="A279" s="11"/>
      <c r="B279" s="9"/>
      <c r="C279" s="5"/>
      <c r="D279" s="5"/>
      <c r="E279" s="15"/>
      <c r="F279" s="15"/>
      <c r="G279" s="13"/>
      <c r="H279" s="13"/>
      <c r="I279" s="13"/>
      <c r="J279" s="13"/>
      <c r="K279" s="13"/>
      <c r="L279" s="13"/>
      <c r="M279" s="13"/>
      <c r="N279" s="12"/>
      <c r="O279" s="12"/>
      <c r="P279" s="8"/>
    </row>
    <row r="280" spans="1:16" ht="24" customHeight="1" thickBot="1" x14ac:dyDescent="0.3">
      <c r="A280" s="11"/>
      <c r="B280" s="9"/>
      <c r="C280" s="5"/>
      <c r="D280" s="5"/>
      <c r="E280" s="15"/>
      <c r="F280" s="15"/>
      <c r="G280" s="13"/>
      <c r="H280" s="13"/>
      <c r="I280" s="13"/>
      <c r="J280" s="13"/>
      <c r="K280" s="13"/>
      <c r="L280" s="13"/>
      <c r="M280" s="13"/>
      <c r="N280" s="12"/>
      <c r="O280" s="12"/>
      <c r="P280" s="8"/>
    </row>
    <row r="281" spans="1:16" ht="24" customHeight="1" thickBot="1" x14ac:dyDescent="0.3">
      <c r="A281" s="11"/>
      <c r="B281" s="9"/>
      <c r="C281" s="5"/>
      <c r="D281" s="5"/>
      <c r="E281" s="15"/>
      <c r="F281" s="15"/>
      <c r="G281" s="13"/>
      <c r="H281" s="13"/>
      <c r="I281" s="13"/>
      <c r="J281" s="13"/>
      <c r="K281" s="13"/>
      <c r="L281" s="13"/>
      <c r="M281" s="13"/>
      <c r="N281" s="12"/>
      <c r="O281" s="12"/>
      <c r="P281" s="8"/>
    </row>
    <row r="282" spans="1:16" ht="24" customHeight="1" thickBot="1" x14ac:dyDescent="0.3">
      <c r="A282" s="11"/>
      <c r="B282" s="9"/>
      <c r="C282" s="5"/>
      <c r="D282" s="5"/>
      <c r="E282" s="15"/>
      <c r="F282" s="15"/>
      <c r="G282" s="13"/>
      <c r="H282" s="13"/>
      <c r="I282" s="13"/>
      <c r="J282" s="13"/>
      <c r="K282" s="13"/>
      <c r="L282" s="13"/>
      <c r="M282" s="13"/>
      <c r="N282" s="12"/>
      <c r="O282" s="12"/>
      <c r="P282" s="8"/>
    </row>
    <row r="283" spans="1:16" ht="24" customHeight="1" thickBot="1" x14ac:dyDescent="0.3">
      <c r="A283" s="11"/>
      <c r="B283" s="9"/>
      <c r="C283" s="5"/>
      <c r="D283" s="5"/>
      <c r="E283" s="15"/>
      <c r="F283" s="15"/>
      <c r="G283" s="13"/>
      <c r="H283" s="13"/>
      <c r="I283" s="13"/>
      <c r="J283" s="13"/>
      <c r="K283" s="13"/>
      <c r="L283" s="13"/>
      <c r="M283" s="13"/>
      <c r="N283" s="12"/>
      <c r="O283" s="12"/>
      <c r="P283" s="8"/>
    </row>
    <row r="284" spans="1:16" ht="24" customHeight="1" thickBot="1" x14ac:dyDescent="0.3">
      <c r="A284" s="11"/>
      <c r="B284" s="9"/>
      <c r="C284" s="5"/>
      <c r="D284" s="5"/>
      <c r="E284" s="15"/>
      <c r="F284" s="15"/>
      <c r="G284" s="13"/>
      <c r="H284" s="13"/>
      <c r="I284" s="13"/>
      <c r="J284" s="13"/>
      <c r="K284" s="13"/>
      <c r="L284" s="13"/>
      <c r="M284" s="13"/>
      <c r="N284" s="12"/>
      <c r="O284" s="12"/>
      <c r="P284" s="8"/>
    </row>
    <row r="285" spans="1:16" ht="24" customHeight="1" thickBot="1" x14ac:dyDescent="0.3">
      <c r="A285" s="11"/>
      <c r="B285" s="9"/>
      <c r="C285" s="5"/>
      <c r="D285" s="5"/>
      <c r="E285" s="15"/>
      <c r="F285" s="15"/>
      <c r="G285" s="13"/>
      <c r="H285" s="13"/>
      <c r="I285" s="13"/>
      <c r="J285" s="13"/>
      <c r="K285" s="13"/>
      <c r="L285" s="13"/>
      <c r="M285" s="13"/>
      <c r="N285" s="12"/>
      <c r="O285" s="12"/>
      <c r="P285" s="8"/>
    </row>
    <row r="286" spans="1:16" ht="24" customHeight="1" thickBot="1" x14ac:dyDescent="0.3">
      <c r="A286" s="11"/>
      <c r="B286" s="9"/>
      <c r="C286" s="5"/>
      <c r="D286" s="5"/>
      <c r="E286" s="15"/>
      <c r="F286" s="15"/>
      <c r="G286" s="13"/>
      <c r="H286" s="13"/>
      <c r="I286" s="13"/>
      <c r="J286" s="13"/>
      <c r="K286" s="13"/>
      <c r="L286" s="13"/>
      <c r="M286" s="13"/>
      <c r="N286" s="12"/>
      <c r="O286" s="12"/>
      <c r="P286" s="8"/>
    </row>
    <row r="287" spans="1:16" ht="24" customHeight="1" thickBot="1" x14ac:dyDescent="0.3">
      <c r="A287" s="11"/>
      <c r="B287" s="9"/>
      <c r="C287" s="5"/>
      <c r="D287" s="5"/>
      <c r="E287" s="15"/>
      <c r="F287" s="15"/>
      <c r="G287" s="13"/>
      <c r="H287" s="13"/>
      <c r="I287" s="13"/>
      <c r="J287" s="13"/>
      <c r="K287" s="13"/>
      <c r="L287" s="13"/>
      <c r="M287" s="13"/>
      <c r="N287" s="12"/>
      <c r="O287" s="12"/>
      <c r="P287" s="8"/>
    </row>
    <row r="288" spans="1:16" ht="24" customHeight="1" thickBot="1" x14ac:dyDescent="0.3">
      <c r="A288" s="11"/>
      <c r="B288" s="9"/>
      <c r="C288" s="5"/>
      <c r="D288" s="5"/>
      <c r="E288" s="15"/>
      <c r="F288" s="15"/>
      <c r="G288" s="13"/>
      <c r="H288" s="13"/>
      <c r="I288" s="13"/>
      <c r="J288" s="13"/>
      <c r="K288" s="13"/>
      <c r="L288" s="13"/>
      <c r="M288" s="13"/>
      <c r="N288" s="12"/>
      <c r="O288" s="12"/>
      <c r="P288" s="8"/>
    </row>
    <row r="289" spans="1:16" ht="24" customHeight="1" thickBot="1" x14ac:dyDescent="0.3">
      <c r="A289" s="11"/>
      <c r="B289" s="9"/>
      <c r="C289" s="5"/>
      <c r="D289" s="5"/>
      <c r="E289" s="15"/>
      <c r="F289" s="15"/>
      <c r="G289" s="13"/>
      <c r="H289" s="13"/>
      <c r="I289" s="13"/>
      <c r="J289" s="13"/>
      <c r="K289" s="13"/>
      <c r="L289" s="13"/>
      <c r="M289" s="13"/>
      <c r="N289" s="12"/>
      <c r="O289" s="12"/>
      <c r="P289" s="8"/>
    </row>
    <row r="290" spans="1:16" ht="24" customHeight="1" thickBot="1" x14ac:dyDescent="0.3">
      <c r="A290" s="11"/>
      <c r="B290" s="9"/>
      <c r="C290" s="5"/>
      <c r="D290" s="5"/>
      <c r="E290" s="15"/>
      <c r="F290" s="15"/>
      <c r="G290" s="13"/>
      <c r="H290" s="13"/>
      <c r="I290" s="13"/>
      <c r="J290" s="13"/>
      <c r="K290" s="13"/>
      <c r="L290" s="13"/>
      <c r="M290" s="13"/>
      <c r="N290" s="12"/>
      <c r="O290" s="12"/>
      <c r="P290" s="8"/>
    </row>
    <row r="291" spans="1:16" ht="24" customHeight="1" thickBot="1" x14ac:dyDescent="0.3">
      <c r="A291" s="11"/>
      <c r="B291" s="9"/>
      <c r="C291" s="5"/>
      <c r="D291" s="5"/>
      <c r="E291" s="15"/>
      <c r="F291" s="15"/>
      <c r="G291" s="13"/>
      <c r="H291" s="13"/>
      <c r="I291" s="13"/>
      <c r="J291" s="13"/>
      <c r="K291" s="13"/>
      <c r="L291" s="13"/>
      <c r="M291" s="13"/>
      <c r="N291" s="12"/>
      <c r="O291" s="12"/>
      <c r="P291" s="8"/>
    </row>
    <row r="292" spans="1:16" ht="24" customHeight="1" thickBot="1" x14ac:dyDescent="0.3">
      <c r="A292" s="11"/>
      <c r="B292" s="9"/>
      <c r="C292" s="5"/>
      <c r="D292" s="5"/>
      <c r="E292" s="15"/>
      <c r="F292" s="15"/>
      <c r="G292" s="13"/>
      <c r="H292" s="13"/>
      <c r="I292" s="13"/>
      <c r="J292" s="13"/>
      <c r="K292" s="13"/>
      <c r="L292" s="13"/>
      <c r="M292" s="13"/>
      <c r="N292" s="12"/>
      <c r="O292" s="12"/>
      <c r="P292" s="8"/>
    </row>
    <row r="293" spans="1:16" ht="24" customHeight="1" thickBot="1" x14ac:dyDescent="0.3">
      <c r="A293" s="11"/>
      <c r="B293" s="9"/>
      <c r="C293" s="5"/>
      <c r="D293" s="5"/>
      <c r="E293" s="15"/>
      <c r="F293" s="15"/>
      <c r="G293" s="13"/>
      <c r="H293" s="13"/>
      <c r="I293" s="13"/>
      <c r="J293" s="13"/>
      <c r="K293" s="13"/>
      <c r="L293" s="13"/>
      <c r="M293" s="13"/>
      <c r="N293" s="12"/>
      <c r="O293" s="12"/>
      <c r="P293" s="8"/>
    </row>
    <row r="294" spans="1:16" ht="24" customHeight="1" thickBot="1" x14ac:dyDescent="0.3">
      <c r="A294" s="11"/>
      <c r="B294" s="9"/>
      <c r="C294" s="5"/>
      <c r="D294" s="5"/>
      <c r="E294" s="15"/>
      <c r="F294" s="15"/>
      <c r="G294" s="13"/>
      <c r="H294" s="13"/>
      <c r="I294" s="13"/>
      <c r="J294" s="13"/>
      <c r="K294" s="13"/>
      <c r="L294" s="13"/>
      <c r="M294" s="13"/>
      <c r="N294" s="12"/>
      <c r="O294" s="12"/>
      <c r="P294" s="8"/>
    </row>
    <row r="295" spans="1:16" ht="24" customHeight="1" thickBot="1" x14ac:dyDescent="0.3">
      <c r="A295" s="11"/>
      <c r="B295" s="9"/>
      <c r="C295" s="5"/>
      <c r="D295" s="5"/>
      <c r="E295" s="15"/>
      <c r="F295" s="15"/>
      <c r="G295" s="13"/>
      <c r="H295" s="13"/>
      <c r="I295" s="13"/>
      <c r="J295" s="13"/>
      <c r="K295" s="13"/>
      <c r="L295" s="13"/>
      <c r="M295" s="13"/>
      <c r="N295" s="12"/>
      <c r="O295" s="12"/>
      <c r="P295" s="8"/>
    </row>
    <row r="296" spans="1:16" ht="24" customHeight="1" thickBot="1" x14ac:dyDescent="0.3">
      <c r="A296" s="11"/>
      <c r="B296" s="9"/>
      <c r="C296" s="5"/>
      <c r="D296" s="5"/>
      <c r="E296" s="15"/>
      <c r="F296" s="15"/>
      <c r="G296" s="13"/>
      <c r="H296" s="13"/>
      <c r="I296" s="13"/>
      <c r="J296" s="13"/>
      <c r="K296" s="13"/>
      <c r="L296" s="13"/>
      <c r="M296" s="13"/>
      <c r="N296" s="12"/>
      <c r="O296" s="12"/>
      <c r="P296" s="8"/>
    </row>
    <row r="297" spans="1:16" ht="24" customHeight="1" thickBot="1" x14ac:dyDescent="0.3">
      <c r="A297" s="11"/>
      <c r="B297" s="9"/>
      <c r="C297" s="5"/>
      <c r="D297" s="5"/>
      <c r="E297" s="15"/>
      <c r="F297" s="15"/>
      <c r="G297" s="13"/>
      <c r="H297" s="13"/>
      <c r="I297" s="13"/>
      <c r="J297" s="13"/>
      <c r="K297" s="13"/>
      <c r="L297" s="13"/>
      <c r="M297" s="13"/>
      <c r="N297" s="12"/>
      <c r="O297" s="12"/>
      <c r="P297" s="8"/>
    </row>
    <row r="298" spans="1:16" ht="24" customHeight="1" thickBot="1" x14ac:dyDescent="0.3">
      <c r="A298" s="11"/>
      <c r="B298" s="9"/>
      <c r="C298" s="5"/>
      <c r="D298" s="5"/>
      <c r="E298" s="15"/>
      <c r="F298" s="15"/>
      <c r="G298" s="13"/>
      <c r="H298" s="13"/>
      <c r="I298" s="13"/>
      <c r="J298" s="13"/>
      <c r="K298" s="13"/>
      <c r="L298" s="13"/>
      <c r="M298" s="13"/>
      <c r="N298" s="12"/>
      <c r="O298" s="12"/>
      <c r="P298" s="8"/>
    </row>
    <row r="299" spans="1:16" ht="24" customHeight="1" thickBot="1" x14ac:dyDescent="0.3">
      <c r="A299" s="11"/>
      <c r="B299" s="9"/>
      <c r="C299" s="5"/>
      <c r="D299" s="5"/>
      <c r="E299" s="15"/>
      <c r="F299" s="15"/>
      <c r="G299" s="13"/>
      <c r="H299" s="13"/>
      <c r="I299" s="13"/>
      <c r="J299" s="13"/>
      <c r="K299" s="13"/>
      <c r="L299" s="13"/>
      <c r="M299" s="13"/>
      <c r="N299" s="12"/>
      <c r="O299" s="12"/>
      <c r="P299" s="8"/>
    </row>
    <row r="300" spans="1:16" ht="24" customHeight="1" thickBot="1" x14ac:dyDescent="0.3">
      <c r="A300" s="11"/>
      <c r="B300" s="9"/>
      <c r="C300" s="5"/>
      <c r="D300" s="5"/>
      <c r="E300" s="15"/>
      <c r="F300" s="15"/>
      <c r="G300" s="13"/>
      <c r="H300" s="13"/>
      <c r="I300" s="13"/>
      <c r="J300" s="13"/>
      <c r="K300" s="13"/>
      <c r="L300" s="13"/>
      <c r="M300" s="13"/>
      <c r="N300" s="12"/>
      <c r="O300" s="12"/>
      <c r="P300" s="8"/>
    </row>
    <row r="301" spans="1:16" ht="24" customHeight="1" thickBot="1" x14ac:dyDescent="0.3">
      <c r="A301" s="11"/>
      <c r="B301" s="9"/>
      <c r="C301" s="5"/>
      <c r="D301" s="5"/>
      <c r="E301" s="15"/>
      <c r="F301" s="15"/>
      <c r="G301" s="13"/>
      <c r="H301" s="13"/>
      <c r="I301" s="13"/>
      <c r="J301" s="13"/>
      <c r="K301" s="13"/>
      <c r="L301" s="13"/>
      <c r="M301" s="13"/>
      <c r="N301" s="12"/>
      <c r="O301" s="12"/>
      <c r="P301" s="8"/>
    </row>
    <row r="302" spans="1:16" ht="24" customHeight="1" thickBot="1" x14ac:dyDescent="0.3">
      <c r="A302" s="11"/>
      <c r="B302" s="9"/>
      <c r="C302" s="5"/>
      <c r="D302" s="5"/>
      <c r="E302" s="15"/>
      <c r="F302" s="15"/>
      <c r="G302" s="13"/>
      <c r="H302" s="13"/>
      <c r="I302" s="13"/>
      <c r="J302" s="13"/>
      <c r="K302" s="13"/>
      <c r="L302" s="13"/>
      <c r="M302" s="13"/>
      <c r="N302" s="12"/>
      <c r="O302" s="12"/>
      <c r="P302" s="8"/>
    </row>
    <row r="303" spans="1:16" ht="24" customHeight="1" thickBot="1" x14ac:dyDescent="0.3">
      <c r="A303" s="11"/>
      <c r="B303" s="9"/>
      <c r="C303" s="5"/>
      <c r="D303" s="5"/>
      <c r="E303" s="15"/>
      <c r="F303" s="15"/>
      <c r="G303" s="13"/>
      <c r="H303" s="13"/>
      <c r="I303" s="13"/>
      <c r="J303" s="13"/>
      <c r="K303" s="13"/>
      <c r="L303" s="13"/>
      <c r="M303" s="13"/>
      <c r="N303" s="12"/>
      <c r="O303" s="12"/>
      <c r="P303" s="8"/>
    </row>
    <row r="304" spans="1:16" ht="24" customHeight="1" thickBot="1" x14ac:dyDescent="0.3">
      <c r="A304" s="11"/>
      <c r="B304" s="9"/>
      <c r="C304" s="5"/>
      <c r="D304" s="5"/>
      <c r="E304" s="15"/>
      <c r="F304" s="15"/>
      <c r="G304" s="13"/>
      <c r="H304" s="13"/>
      <c r="I304" s="13"/>
      <c r="J304" s="13"/>
      <c r="K304" s="13"/>
      <c r="L304" s="13"/>
      <c r="M304" s="13"/>
      <c r="N304" s="12"/>
      <c r="O304" s="12"/>
      <c r="P304" s="8"/>
    </row>
    <row r="305" spans="1:16" ht="24" customHeight="1" thickBot="1" x14ac:dyDescent="0.3">
      <c r="A305" s="11"/>
      <c r="B305" s="9"/>
      <c r="C305" s="5"/>
      <c r="D305" s="5"/>
      <c r="E305" s="15"/>
      <c r="F305" s="15"/>
      <c r="G305" s="13"/>
      <c r="H305" s="13"/>
      <c r="I305" s="13"/>
      <c r="J305" s="13"/>
      <c r="K305" s="13"/>
      <c r="L305" s="13"/>
      <c r="M305" s="13"/>
      <c r="N305" s="12"/>
      <c r="O305" s="12"/>
      <c r="P305" s="8"/>
    </row>
    <row r="306" spans="1:16" ht="24" customHeight="1" thickBot="1" x14ac:dyDescent="0.3">
      <c r="A306" s="11"/>
      <c r="B306" s="9"/>
      <c r="C306" s="5"/>
      <c r="D306" s="5"/>
      <c r="E306" s="15"/>
      <c r="F306" s="15"/>
      <c r="G306" s="13"/>
      <c r="H306" s="13"/>
      <c r="I306" s="13"/>
      <c r="J306" s="13"/>
      <c r="K306" s="13"/>
      <c r="L306" s="13"/>
      <c r="M306" s="13"/>
      <c r="N306" s="12"/>
      <c r="O306" s="12"/>
      <c r="P306" s="8"/>
    </row>
    <row r="307" spans="1:16" ht="24" customHeight="1" thickBot="1" x14ac:dyDescent="0.3">
      <c r="A307" s="11"/>
      <c r="B307" s="9"/>
      <c r="C307" s="5"/>
      <c r="D307" s="5"/>
      <c r="E307" s="15"/>
      <c r="F307" s="15"/>
      <c r="G307" s="13"/>
      <c r="H307" s="13"/>
      <c r="I307" s="13"/>
      <c r="J307" s="13"/>
      <c r="K307" s="13"/>
      <c r="L307" s="13"/>
      <c r="M307" s="13"/>
      <c r="N307" s="12"/>
      <c r="O307" s="12"/>
      <c r="P307" s="8"/>
    </row>
    <row r="308" spans="1:16" ht="24" customHeight="1" thickBot="1" x14ac:dyDescent="0.3">
      <c r="A308" s="11"/>
      <c r="B308" s="9"/>
      <c r="C308" s="5"/>
      <c r="D308" s="5"/>
      <c r="E308" s="15"/>
      <c r="F308" s="15"/>
      <c r="G308" s="13"/>
      <c r="H308" s="13"/>
      <c r="I308" s="13"/>
      <c r="J308" s="13"/>
      <c r="K308" s="13"/>
      <c r="L308" s="13"/>
      <c r="M308" s="13"/>
      <c r="N308" s="12"/>
      <c r="O308" s="12"/>
      <c r="P308" s="8"/>
    </row>
    <row r="309" spans="1:16" ht="24" customHeight="1" thickBot="1" x14ac:dyDescent="0.3">
      <c r="A309" s="11"/>
      <c r="B309" s="9"/>
      <c r="C309" s="5"/>
      <c r="D309" s="5"/>
      <c r="E309" s="15"/>
      <c r="F309" s="15"/>
      <c r="G309" s="13"/>
      <c r="H309" s="13"/>
      <c r="I309" s="13"/>
      <c r="J309" s="13"/>
      <c r="K309" s="13"/>
      <c r="L309" s="13"/>
      <c r="M309" s="13"/>
      <c r="N309" s="12"/>
      <c r="O309" s="12"/>
      <c r="P309" s="8"/>
    </row>
    <row r="310" spans="1:16" ht="24" customHeight="1" thickBot="1" x14ac:dyDescent="0.3">
      <c r="A310" s="11"/>
      <c r="B310" s="9"/>
      <c r="C310" s="5"/>
      <c r="D310" s="5"/>
      <c r="E310" s="15"/>
      <c r="F310" s="15"/>
      <c r="G310" s="13"/>
      <c r="H310" s="13"/>
      <c r="I310" s="13"/>
      <c r="J310" s="13"/>
      <c r="K310" s="13"/>
      <c r="L310" s="13"/>
      <c r="M310" s="13"/>
      <c r="N310" s="12"/>
      <c r="O310" s="12"/>
      <c r="P310" s="8"/>
    </row>
    <row r="311" spans="1:16" ht="24" customHeight="1" thickBot="1" x14ac:dyDescent="0.3">
      <c r="A311" s="11"/>
      <c r="B311" s="9"/>
      <c r="C311" s="5"/>
      <c r="D311" s="5"/>
      <c r="E311" s="15"/>
      <c r="F311" s="15"/>
      <c r="G311" s="13"/>
      <c r="H311" s="13"/>
      <c r="I311" s="13"/>
      <c r="J311" s="13"/>
      <c r="K311" s="13"/>
      <c r="L311" s="13"/>
      <c r="M311" s="13"/>
      <c r="N311" s="12"/>
      <c r="O311" s="12"/>
      <c r="P311" s="8"/>
    </row>
    <row r="312" spans="1:16" ht="24" customHeight="1" thickBot="1" x14ac:dyDescent="0.3">
      <c r="A312" s="11"/>
      <c r="B312" s="9"/>
      <c r="C312" s="5"/>
      <c r="D312" s="5"/>
      <c r="E312" s="15"/>
      <c r="F312" s="15"/>
      <c r="G312" s="13"/>
      <c r="H312" s="13"/>
      <c r="I312" s="13"/>
      <c r="J312" s="13"/>
      <c r="K312" s="13"/>
      <c r="L312" s="13"/>
      <c r="M312" s="13"/>
      <c r="N312" s="12"/>
      <c r="O312" s="12"/>
      <c r="P312" s="8"/>
    </row>
    <row r="313" spans="1:16" ht="24" customHeight="1" thickBot="1" x14ac:dyDescent="0.3">
      <c r="A313" s="11"/>
      <c r="B313" s="9"/>
      <c r="C313" s="5"/>
      <c r="D313" s="5"/>
      <c r="E313" s="15"/>
      <c r="F313" s="15"/>
      <c r="G313" s="13"/>
      <c r="H313" s="13"/>
      <c r="I313" s="13"/>
      <c r="J313" s="13"/>
      <c r="K313" s="13"/>
      <c r="L313" s="13"/>
      <c r="M313" s="13"/>
      <c r="N313" s="12"/>
      <c r="O313" s="12"/>
      <c r="P313" s="8"/>
    </row>
    <row r="314" spans="1:16" ht="24" customHeight="1" thickBot="1" x14ac:dyDescent="0.3">
      <c r="A314" s="11"/>
      <c r="B314" s="9"/>
      <c r="C314" s="5"/>
      <c r="D314" s="5"/>
      <c r="E314" s="15"/>
      <c r="F314" s="15"/>
      <c r="G314" s="13"/>
      <c r="H314" s="13"/>
      <c r="I314" s="13"/>
      <c r="J314" s="13"/>
      <c r="K314" s="13"/>
      <c r="L314" s="13"/>
      <c r="M314" s="13"/>
      <c r="N314" s="12"/>
      <c r="O314" s="12"/>
      <c r="P314" s="8"/>
    </row>
    <row r="315" spans="1:16" ht="24" customHeight="1" thickBot="1" x14ac:dyDescent="0.3">
      <c r="A315" s="11"/>
      <c r="B315" s="9"/>
      <c r="C315" s="5"/>
      <c r="D315" s="5"/>
      <c r="E315" s="15"/>
      <c r="F315" s="15"/>
      <c r="G315" s="13"/>
      <c r="H315" s="13"/>
      <c r="I315" s="13"/>
      <c r="J315" s="13"/>
      <c r="K315" s="13"/>
      <c r="L315" s="13"/>
      <c r="M315" s="13"/>
      <c r="N315" s="12"/>
      <c r="O315" s="12"/>
      <c r="P315" s="8"/>
    </row>
    <row r="316" spans="1:16" ht="24" customHeight="1" thickBot="1" x14ac:dyDescent="0.3">
      <c r="A316" s="11"/>
      <c r="B316" s="9"/>
      <c r="C316" s="5"/>
      <c r="D316" s="5"/>
      <c r="E316" s="15"/>
      <c r="F316" s="15"/>
      <c r="G316" s="13"/>
      <c r="H316" s="13"/>
      <c r="I316" s="13"/>
      <c r="J316" s="13"/>
      <c r="K316" s="13"/>
      <c r="L316" s="13"/>
      <c r="M316" s="13"/>
      <c r="N316" s="12"/>
      <c r="O316" s="12"/>
      <c r="P316" s="8"/>
    </row>
    <row r="317" spans="1:16" ht="24" customHeight="1" thickBot="1" x14ac:dyDescent="0.3">
      <c r="A317" s="11"/>
      <c r="B317" s="9"/>
      <c r="C317" s="5"/>
      <c r="D317" s="5"/>
      <c r="E317" s="15"/>
      <c r="F317" s="15"/>
      <c r="G317" s="13"/>
      <c r="H317" s="13"/>
      <c r="I317" s="13"/>
      <c r="J317" s="13"/>
      <c r="K317" s="13"/>
      <c r="L317" s="13"/>
      <c r="M317" s="13"/>
      <c r="N317" s="12"/>
      <c r="O317" s="12"/>
      <c r="P317" s="8"/>
    </row>
    <row r="318" spans="1:16" ht="24" customHeight="1" thickBot="1" x14ac:dyDescent="0.3">
      <c r="A318" s="11"/>
      <c r="B318" s="9"/>
      <c r="C318" s="5"/>
      <c r="D318" s="5"/>
      <c r="E318" s="15"/>
      <c r="F318" s="15"/>
      <c r="G318" s="13"/>
      <c r="H318" s="13"/>
      <c r="I318" s="13"/>
      <c r="J318" s="13"/>
      <c r="K318" s="13"/>
      <c r="L318" s="13"/>
      <c r="M318" s="13"/>
      <c r="N318" s="12"/>
      <c r="O318" s="12"/>
      <c r="P318" s="8"/>
    </row>
    <row r="319" spans="1:16" ht="24" customHeight="1" thickBot="1" x14ac:dyDescent="0.3">
      <c r="A319" s="11"/>
      <c r="B319" s="9"/>
      <c r="C319" s="5"/>
      <c r="D319" s="5"/>
      <c r="E319" s="15"/>
      <c r="F319" s="15"/>
      <c r="G319" s="13"/>
      <c r="H319" s="13"/>
      <c r="I319" s="13"/>
      <c r="J319" s="13"/>
      <c r="K319" s="13"/>
      <c r="L319" s="13"/>
      <c r="M319" s="13"/>
      <c r="N319" s="12"/>
      <c r="O319" s="12"/>
      <c r="P319" s="8"/>
    </row>
    <row r="320" spans="1:16" ht="24" customHeight="1" thickBot="1" x14ac:dyDescent="0.3">
      <c r="A320" s="11"/>
      <c r="B320" s="9"/>
      <c r="C320" s="5"/>
      <c r="D320" s="5"/>
      <c r="E320" s="15"/>
      <c r="F320" s="15"/>
      <c r="G320" s="13"/>
      <c r="H320" s="13"/>
      <c r="I320" s="13"/>
      <c r="J320" s="13"/>
      <c r="K320" s="13"/>
      <c r="L320" s="13"/>
      <c r="M320" s="13"/>
      <c r="N320" s="12"/>
      <c r="O320" s="12"/>
      <c r="P320" s="8"/>
    </row>
    <row r="321" spans="1:16" ht="24" customHeight="1" thickBot="1" x14ac:dyDescent="0.3">
      <c r="A321" s="11"/>
      <c r="B321" s="9"/>
      <c r="C321" s="5"/>
      <c r="D321" s="5"/>
      <c r="E321" s="15"/>
      <c r="F321" s="15"/>
      <c r="G321" s="13"/>
      <c r="H321" s="13"/>
      <c r="I321" s="13"/>
      <c r="J321" s="13"/>
      <c r="K321" s="13"/>
      <c r="L321" s="13"/>
      <c r="M321" s="13"/>
      <c r="N321" s="12"/>
      <c r="O321" s="12"/>
      <c r="P321" s="8"/>
    </row>
    <row r="322" spans="1:16" ht="24" customHeight="1" thickBot="1" x14ac:dyDescent="0.3">
      <c r="A322" s="11"/>
      <c r="B322" s="9"/>
      <c r="C322" s="5"/>
      <c r="D322" s="5"/>
      <c r="E322" s="15"/>
      <c r="F322" s="15"/>
      <c r="G322" s="13"/>
      <c r="H322" s="13"/>
      <c r="I322" s="13"/>
      <c r="J322" s="13"/>
      <c r="K322" s="13"/>
      <c r="L322" s="13"/>
      <c r="M322" s="13"/>
      <c r="N322" s="12"/>
      <c r="O322" s="12"/>
      <c r="P322" s="8"/>
    </row>
  </sheetData>
  <mergeCells count="13">
    <mergeCell ref="A1:P1"/>
    <mergeCell ref="O5:O6"/>
    <mergeCell ref="P5:P6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2"/>
  <sheetViews>
    <sheetView topLeftCell="A137" zoomScale="75" zoomScaleNormal="75" workbookViewId="0">
      <selection activeCell="A90" sqref="A90:XFD150"/>
    </sheetView>
  </sheetViews>
  <sheetFormatPr defaultRowHeight="15" x14ac:dyDescent="0.25"/>
  <cols>
    <col min="1" max="1" width="6.140625" customWidth="1"/>
    <col min="2" max="2" width="9.28515625" bestFit="1" customWidth="1"/>
    <col min="3" max="3" width="15.5703125" customWidth="1"/>
    <col min="4" max="4" width="15.7109375" customWidth="1"/>
    <col min="5" max="5" width="9.140625" style="16" customWidth="1"/>
    <col min="6" max="6" width="15.140625" style="16" customWidth="1"/>
    <col min="7" max="7" width="9.85546875" bestFit="1" customWidth="1"/>
    <col min="8" max="12" width="11" bestFit="1" customWidth="1"/>
    <col min="13" max="13" width="8.85546875" customWidth="1"/>
    <col min="14" max="14" width="13.140625" customWidth="1"/>
    <col min="15" max="15" width="13.28515625" customWidth="1"/>
    <col min="16" max="16" width="24.7109375" customWidth="1"/>
  </cols>
  <sheetData>
    <row r="1" spans="1:16" ht="18.75" x14ac:dyDescent="0.3">
      <c r="A1" s="81" t="s">
        <v>55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5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6" x14ac:dyDescent="0.25">
      <c r="A3" s="2" t="s">
        <v>1</v>
      </c>
      <c r="B3" s="2"/>
      <c r="C3" s="2"/>
      <c r="D3" s="2" t="s">
        <v>2</v>
      </c>
      <c r="E3" s="14" t="s">
        <v>56</v>
      </c>
      <c r="F3" s="14"/>
      <c r="G3" s="2"/>
      <c r="H3" s="3"/>
      <c r="I3" s="2"/>
      <c r="J3" s="2"/>
      <c r="K3" s="2"/>
      <c r="L3" s="2"/>
      <c r="M3" s="3"/>
      <c r="N3" s="4"/>
      <c r="O3" s="2"/>
    </row>
    <row r="4" spans="1:16" ht="15.75" thickBot="1" x14ac:dyDescent="0.3">
      <c r="A4" s="93">
        <v>43706</v>
      </c>
      <c r="B4" s="93"/>
      <c r="C4" s="2"/>
      <c r="D4" s="6"/>
      <c r="E4" s="18"/>
      <c r="F4" s="14"/>
      <c r="G4" s="2"/>
      <c r="H4" s="22" t="s">
        <v>52</v>
      </c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86" t="s">
        <v>3</v>
      </c>
      <c r="B5" s="88" t="s">
        <v>4</v>
      </c>
      <c r="C5" s="85" t="s">
        <v>5</v>
      </c>
      <c r="D5" s="85" t="s">
        <v>16</v>
      </c>
      <c r="E5" s="91" t="s">
        <v>6</v>
      </c>
      <c r="F5" s="91" t="s">
        <v>7</v>
      </c>
      <c r="G5" s="7" t="s">
        <v>17</v>
      </c>
      <c r="H5" s="85" t="s">
        <v>51</v>
      </c>
      <c r="I5" s="85"/>
      <c r="J5" s="85"/>
      <c r="K5" s="85"/>
      <c r="L5" s="85"/>
      <c r="M5" s="85"/>
      <c r="N5" s="85" t="s">
        <v>15</v>
      </c>
      <c r="O5" s="85" t="s">
        <v>18</v>
      </c>
      <c r="P5" s="82" t="s">
        <v>19</v>
      </c>
    </row>
    <row r="6" spans="1:16" ht="13.9" customHeight="1" thickBot="1" x14ac:dyDescent="0.3">
      <c r="A6" s="87"/>
      <c r="B6" s="89"/>
      <c r="C6" s="90"/>
      <c r="D6" s="90"/>
      <c r="E6" s="92"/>
      <c r="F6" s="92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0"/>
      <c r="O6" s="90"/>
      <c r="P6" s="83"/>
    </row>
    <row r="7" spans="1:16" ht="24" customHeight="1" x14ac:dyDescent="0.25">
      <c r="A7" s="10">
        <v>1</v>
      </c>
      <c r="B7" s="9">
        <v>0.13472222222222222</v>
      </c>
      <c r="C7" s="5" t="s">
        <v>20</v>
      </c>
      <c r="D7" s="5">
        <v>10</v>
      </c>
      <c r="E7" s="15"/>
      <c r="F7" s="15" t="s">
        <v>27</v>
      </c>
      <c r="G7" s="32">
        <v>5660</v>
      </c>
      <c r="H7" s="32">
        <v>4220</v>
      </c>
      <c r="I7" s="32">
        <v>8580</v>
      </c>
      <c r="J7" s="32">
        <v>4440</v>
      </c>
      <c r="K7" s="32">
        <v>3760</v>
      </c>
      <c r="L7" s="32">
        <v>3200</v>
      </c>
      <c r="M7" s="32"/>
      <c r="N7" s="17"/>
      <c r="O7" s="12"/>
      <c r="P7" s="8" t="s">
        <v>35</v>
      </c>
    </row>
    <row r="8" spans="1:16" ht="24" customHeight="1" x14ac:dyDescent="0.25">
      <c r="A8" s="10">
        <v>2</v>
      </c>
      <c r="B8" s="9">
        <v>0.13958333333333334</v>
      </c>
      <c r="C8" s="5" t="s">
        <v>20</v>
      </c>
      <c r="D8" s="5">
        <v>8</v>
      </c>
      <c r="E8" s="15"/>
      <c r="F8" s="15" t="s">
        <v>22</v>
      </c>
      <c r="G8" s="32">
        <v>3460</v>
      </c>
      <c r="H8" s="32">
        <v>4620</v>
      </c>
      <c r="I8" s="32"/>
      <c r="J8" s="32"/>
      <c r="K8" s="32"/>
      <c r="L8" s="32"/>
      <c r="M8" s="32"/>
      <c r="N8" s="17"/>
      <c r="O8" s="12"/>
      <c r="P8" s="8" t="s">
        <v>34</v>
      </c>
    </row>
    <row r="9" spans="1:16" ht="24" customHeight="1" x14ac:dyDescent="0.25">
      <c r="A9" s="10">
        <v>3</v>
      </c>
      <c r="B9" s="9">
        <v>0.14375000000000002</v>
      </c>
      <c r="C9" s="5" t="s">
        <v>20</v>
      </c>
      <c r="D9" s="5">
        <v>10</v>
      </c>
      <c r="E9" s="15"/>
      <c r="F9" s="15" t="s">
        <v>24</v>
      </c>
      <c r="G9" s="32">
        <v>7760</v>
      </c>
      <c r="H9" s="32">
        <v>12080</v>
      </c>
      <c r="I9" s="32">
        <v>10740</v>
      </c>
      <c r="J9" s="32">
        <v>15240</v>
      </c>
      <c r="K9" s="32">
        <v>10900</v>
      </c>
      <c r="L9" s="32">
        <v>10520</v>
      </c>
      <c r="M9" s="32"/>
      <c r="N9" s="17"/>
      <c r="O9" s="12"/>
      <c r="P9" s="8" t="s">
        <v>40</v>
      </c>
    </row>
    <row r="10" spans="1:16" ht="24" customHeight="1" x14ac:dyDescent="0.25">
      <c r="A10" s="10">
        <v>4</v>
      </c>
      <c r="B10" s="9">
        <v>0.14444444444444446</v>
      </c>
      <c r="C10" s="5" t="s">
        <v>20</v>
      </c>
      <c r="D10" s="5">
        <v>10</v>
      </c>
      <c r="E10" s="15"/>
      <c r="F10" s="15" t="s">
        <v>24</v>
      </c>
      <c r="G10" s="32">
        <v>7700</v>
      </c>
      <c r="H10" s="32">
        <v>10720</v>
      </c>
      <c r="I10" s="32">
        <v>10480</v>
      </c>
      <c r="J10" s="32">
        <v>15240</v>
      </c>
      <c r="K10" s="32">
        <v>10720</v>
      </c>
      <c r="L10" s="32">
        <v>10680</v>
      </c>
      <c r="M10" s="32"/>
      <c r="N10" s="17"/>
      <c r="O10" s="12"/>
      <c r="P10" s="8" t="s">
        <v>35</v>
      </c>
    </row>
    <row r="11" spans="1:16" ht="24" customHeight="1" x14ac:dyDescent="0.25">
      <c r="A11" s="10">
        <v>5</v>
      </c>
      <c r="B11" s="9">
        <v>0.14583333333333334</v>
      </c>
      <c r="C11" s="5" t="s">
        <v>20</v>
      </c>
      <c r="D11" s="21">
        <v>8</v>
      </c>
      <c r="E11" s="15"/>
      <c r="F11" s="15" t="s">
        <v>22</v>
      </c>
      <c r="G11" s="32">
        <v>3000</v>
      </c>
      <c r="H11" s="32">
        <v>3520</v>
      </c>
      <c r="I11" s="32"/>
      <c r="J11" s="32"/>
      <c r="K11" s="32"/>
      <c r="L11" s="32"/>
      <c r="M11" s="32"/>
      <c r="N11" s="17"/>
      <c r="O11" s="12"/>
      <c r="P11" s="8" t="s">
        <v>35</v>
      </c>
    </row>
    <row r="12" spans="1:16" ht="24" customHeight="1" x14ac:dyDescent="0.25">
      <c r="A12" s="10">
        <v>6</v>
      </c>
      <c r="B12" s="9">
        <v>0.14652777777777778</v>
      </c>
      <c r="C12" s="5" t="s">
        <v>20</v>
      </c>
      <c r="D12" s="5">
        <v>8</v>
      </c>
      <c r="E12" s="15"/>
      <c r="F12" s="15" t="s">
        <v>22</v>
      </c>
      <c r="G12" s="32">
        <v>6180</v>
      </c>
      <c r="H12" s="32">
        <v>11760</v>
      </c>
      <c r="I12" s="32"/>
      <c r="J12" s="32"/>
      <c r="K12" s="32"/>
      <c r="L12" s="32"/>
      <c r="M12" s="32"/>
      <c r="N12" s="17"/>
      <c r="O12" s="12"/>
      <c r="P12" s="8" t="s">
        <v>38</v>
      </c>
    </row>
    <row r="13" spans="1:16" ht="24" customHeight="1" x14ac:dyDescent="0.25">
      <c r="A13" s="10">
        <v>7</v>
      </c>
      <c r="B13" s="9">
        <v>0.14791666666666667</v>
      </c>
      <c r="C13" s="5" t="s">
        <v>20</v>
      </c>
      <c r="D13" s="5">
        <v>8</v>
      </c>
      <c r="E13" s="15"/>
      <c r="F13" s="15" t="s">
        <v>22</v>
      </c>
      <c r="G13" s="32">
        <v>6280</v>
      </c>
      <c r="H13" s="32">
        <v>10440</v>
      </c>
      <c r="I13" s="32"/>
      <c r="J13" s="32"/>
      <c r="K13" s="32"/>
      <c r="L13" s="32"/>
      <c r="M13" s="32"/>
      <c r="N13" s="17"/>
      <c r="O13" s="12"/>
      <c r="P13" s="8" t="s">
        <v>39</v>
      </c>
    </row>
    <row r="14" spans="1:16" ht="24" customHeight="1" x14ac:dyDescent="0.25">
      <c r="A14" s="10">
        <v>8</v>
      </c>
      <c r="B14" s="9">
        <v>0.14930555555555555</v>
      </c>
      <c r="C14" s="5" t="s">
        <v>20</v>
      </c>
      <c r="D14" s="5">
        <v>9</v>
      </c>
      <c r="E14" s="15"/>
      <c r="F14" s="15" t="s">
        <v>29</v>
      </c>
      <c r="G14" s="32">
        <v>3960</v>
      </c>
      <c r="H14" s="32">
        <v>3520</v>
      </c>
      <c r="I14" s="32">
        <v>3420</v>
      </c>
      <c r="J14" s="32"/>
      <c r="K14" s="32"/>
      <c r="L14" s="32"/>
      <c r="M14" s="32"/>
      <c r="N14" s="17"/>
      <c r="O14" s="12"/>
      <c r="P14" s="8" t="s">
        <v>35</v>
      </c>
    </row>
    <row r="15" spans="1:16" ht="24" customHeight="1" x14ac:dyDescent="0.25">
      <c r="A15" s="10">
        <v>9</v>
      </c>
      <c r="B15" s="9">
        <v>0.15</v>
      </c>
      <c r="C15" s="5" t="s">
        <v>20</v>
      </c>
      <c r="D15" s="5">
        <v>8</v>
      </c>
      <c r="E15" s="15"/>
      <c r="F15" s="15" t="s">
        <v>22</v>
      </c>
      <c r="G15" s="32">
        <v>6040</v>
      </c>
      <c r="H15" s="32">
        <v>12400</v>
      </c>
      <c r="I15" s="32"/>
      <c r="J15" s="32"/>
      <c r="K15" s="32"/>
      <c r="L15" s="32"/>
      <c r="M15" s="32"/>
      <c r="N15" s="17"/>
      <c r="O15" s="12"/>
      <c r="P15" s="8" t="s">
        <v>39</v>
      </c>
    </row>
    <row r="16" spans="1:16" ht="24" customHeight="1" x14ac:dyDescent="0.25">
      <c r="A16" s="10">
        <v>10</v>
      </c>
      <c r="B16" s="9">
        <v>0.15208333333333332</v>
      </c>
      <c r="C16" s="5" t="s">
        <v>20</v>
      </c>
      <c r="D16" s="5">
        <v>5</v>
      </c>
      <c r="E16" s="15"/>
      <c r="F16" s="15" t="s">
        <v>22</v>
      </c>
      <c r="G16" s="32">
        <v>9060</v>
      </c>
      <c r="H16" s="32">
        <v>13080</v>
      </c>
      <c r="I16" s="32"/>
      <c r="J16" s="32"/>
      <c r="K16" s="32"/>
      <c r="L16" s="32"/>
      <c r="M16" s="32"/>
      <c r="N16" s="17"/>
      <c r="O16" s="12"/>
      <c r="P16" s="8" t="s">
        <v>34</v>
      </c>
    </row>
    <row r="17" spans="1:16" ht="24" customHeight="1" x14ac:dyDescent="0.25">
      <c r="A17" s="10">
        <v>11</v>
      </c>
      <c r="B17" s="9">
        <v>0.15277777777777776</v>
      </c>
      <c r="C17" s="5" t="s">
        <v>20</v>
      </c>
      <c r="D17" s="5">
        <v>9</v>
      </c>
      <c r="E17" s="15"/>
      <c r="F17" s="15" t="s">
        <v>31</v>
      </c>
      <c r="G17" s="32">
        <v>8680</v>
      </c>
      <c r="H17" s="32">
        <v>11200</v>
      </c>
      <c r="I17" s="32">
        <v>6300</v>
      </c>
      <c r="J17" s="32"/>
      <c r="K17" s="32"/>
      <c r="L17" s="32"/>
      <c r="M17" s="32"/>
      <c r="N17" s="12"/>
      <c r="O17" s="12"/>
      <c r="P17" s="8" t="s">
        <v>37</v>
      </c>
    </row>
    <row r="18" spans="1:16" ht="24" customHeight="1" x14ac:dyDescent="0.25">
      <c r="A18" s="10">
        <v>12</v>
      </c>
      <c r="B18" s="9">
        <v>0.15347222222222223</v>
      </c>
      <c r="C18" s="5" t="s">
        <v>20</v>
      </c>
      <c r="D18" s="5">
        <v>10</v>
      </c>
      <c r="E18" s="15"/>
      <c r="F18" s="23" t="s">
        <v>43</v>
      </c>
      <c r="G18" s="32">
        <v>6060</v>
      </c>
      <c r="H18" s="32">
        <v>3020</v>
      </c>
      <c r="I18" s="32">
        <v>4540</v>
      </c>
      <c r="J18" s="32">
        <v>4440</v>
      </c>
      <c r="K18" s="32">
        <v>1220</v>
      </c>
      <c r="L18" s="32"/>
      <c r="M18" s="32"/>
      <c r="N18" s="12"/>
      <c r="O18" s="12"/>
      <c r="P18" s="8" t="s">
        <v>35</v>
      </c>
    </row>
    <row r="19" spans="1:16" ht="24" customHeight="1" x14ac:dyDescent="0.25">
      <c r="A19" s="10">
        <v>13</v>
      </c>
      <c r="B19" s="9">
        <v>0.15555555555555556</v>
      </c>
      <c r="C19" s="5" t="s">
        <v>20</v>
      </c>
      <c r="D19" s="5">
        <v>10</v>
      </c>
      <c r="E19" s="15"/>
      <c r="F19" s="15" t="s">
        <v>24</v>
      </c>
      <c r="G19" s="32">
        <v>6920</v>
      </c>
      <c r="H19" s="32">
        <v>5600</v>
      </c>
      <c r="I19" s="32">
        <v>5020</v>
      </c>
      <c r="J19" s="32">
        <v>3660</v>
      </c>
      <c r="K19" s="32">
        <v>3040</v>
      </c>
      <c r="L19" s="32">
        <v>4820</v>
      </c>
      <c r="M19" s="32"/>
      <c r="N19" s="17"/>
      <c r="O19" s="12"/>
      <c r="P19" s="8" t="s">
        <v>35</v>
      </c>
    </row>
    <row r="20" spans="1:16" ht="24" customHeight="1" x14ac:dyDescent="0.25">
      <c r="A20" s="10">
        <v>14</v>
      </c>
      <c r="B20" s="9">
        <v>0.15902777777777777</v>
      </c>
      <c r="C20" s="5" t="s">
        <v>20</v>
      </c>
      <c r="D20" s="5">
        <v>8</v>
      </c>
      <c r="E20" s="15"/>
      <c r="F20" s="15" t="s">
        <v>22</v>
      </c>
      <c r="G20" s="32">
        <v>7680</v>
      </c>
      <c r="H20" s="32">
        <v>10480</v>
      </c>
      <c r="I20" s="32"/>
      <c r="J20" s="32"/>
      <c r="K20" s="32"/>
      <c r="L20" s="32"/>
      <c r="M20" s="32"/>
      <c r="N20" s="17"/>
      <c r="O20" s="12"/>
      <c r="P20" s="8" t="s">
        <v>40</v>
      </c>
    </row>
    <row r="21" spans="1:16" ht="24" customHeight="1" x14ac:dyDescent="0.25">
      <c r="A21" s="10">
        <v>15</v>
      </c>
      <c r="B21" s="9">
        <v>0.16388888888888889</v>
      </c>
      <c r="C21" s="5" t="s">
        <v>20</v>
      </c>
      <c r="D21" s="5">
        <v>9</v>
      </c>
      <c r="E21" s="15"/>
      <c r="F21" s="15" t="s">
        <v>29</v>
      </c>
      <c r="G21" s="32">
        <v>5960</v>
      </c>
      <c r="H21" s="32">
        <v>5940</v>
      </c>
      <c r="I21" s="32">
        <v>4140</v>
      </c>
      <c r="J21" s="32"/>
      <c r="K21" s="32"/>
      <c r="L21" s="32"/>
      <c r="M21" s="32"/>
      <c r="N21" s="17"/>
      <c r="O21" s="12"/>
      <c r="P21" s="8" t="s">
        <v>34</v>
      </c>
    </row>
    <row r="22" spans="1:16" ht="24" customHeight="1" x14ac:dyDescent="0.25">
      <c r="A22" s="10">
        <v>16</v>
      </c>
      <c r="B22" s="9">
        <v>0.16944444444444443</v>
      </c>
      <c r="C22" s="5" t="s">
        <v>20</v>
      </c>
      <c r="D22" s="5">
        <v>8</v>
      </c>
      <c r="E22" s="15"/>
      <c r="F22" s="15" t="s">
        <v>22</v>
      </c>
      <c r="G22" s="32">
        <v>6500</v>
      </c>
      <c r="H22" s="32">
        <v>10940</v>
      </c>
      <c r="I22" s="32"/>
      <c r="J22" s="32"/>
      <c r="K22" s="32"/>
      <c r="L22" s="32"/>
      <c r="M22" s="32"/>
      <c r="N22" s="17"/>
      <c r="O22" s="12"/>
      <c r="P22" s="8" t="s">
        <v>34</v>
      </c>
    </row>
    <row r="23" spans="1:16" ht="24" customHeight="1" x14ac:dyDescent="0.25">
      <c r="A23" s="10">
        <v>17</v>
      </c>
      <c r="B23" s="9">
        <v>0.17083333333333331</v>
      </c>
      <c r="C23" s="5" t="s">
        <v>20</v>
      </c>
      <c r="D23" s="5">
        <v>8</v>
      </c>
      <c r="E23" s="15"/>
      <c r="F23" s="15" t="s">
        <v>22</v>
      </c>
      <c r="G23" s="32">
        <v>5500</v>
      </c>
      <c r="H23" s="32">
        <v>10720</v>
      </c>
      <c r="I23" s="32"/>
      <c r="J23" s="32"/>
      <c r="K23" s="32"/>
      <c r="L23" s="32"/>
      <c r="M23" s="32"/>
      <c r="N23" s="17"/>
      <c r="O23" s="12"/>
      <c r="P23" s="8" t="s">
        <v>42</v>
      </c>
    </row>
    <row r="24" spans="1:16" ht="24" customHeight="1" x14ac:dyDescent="0.25">
      <c r="A24" s="10">
        <v>18</v>
      </c>
      <c r="B24" s="9">
        <v>0.17430555555555557</v>
      </c>
      <c r="C24" s="5" t="s">
        <v>20</v>
      </c>
      <c r="D24" s="5">
        <v>10</v>
      </c>
      <c r="E24" s="15"/>
      <c r="F24" s="15" t="s">
        <v>25</v>
      </c>
      <c r="G24" s="32">
        <v>8480</v>
      </c>
      <c r="H24" s="32">
        <v>10120</v>
      </c>
      <c r="I24" s="32">
        <v>14920</v>
      </c>
      <c r="J24" s="32">
        <v>9820</v>
      </c>
      <c r="K24" s="32">
        <v>10240</v>
      </c>
      <c r="L24" s="32">
        <v>11460</v>
      </c>
      <c r="M24" s="32"/>
      <c r="N24" s="17"/>
      <c r="O24" s="12"/>
      <c r="P24" s="8" t="s">
        <v>40</v>
      </c>
    </row>
    <row r="25" spans="1:16" ht="24" customHeight="1" x14ac:dyDescent="0.25">
      <c r="A25" s="10">
        <v>19</v>
      </c>
      <c r="B25" s="9">
        <v>0.19236111111111112</v>
      </c>
      <c r="C25" s="5" t="s">
        <v>20</v>
      </c>
      <c r="D25" s="5">
        <v>9</v>
      </c>
      <c r="E25" s="15"/>
      <c r="F25" s="15" t="s">
        <v>29</v>
      </c>
      <c r="G25" s="32">
        <v>6260</v>
      </c>
      <c r="H25" s="32">
        <v>10020</v>
      </c>
      <c r="I25" s="32">
        <v>9180</v>
      </c>
      <c r="J25" s="32"/>
      <c r="K25" s="32"/>
      <c r="L25" s="32"/>
      <c r="M25" s="32"/>
      <c r="N25" s="17"/>
      <c r="O25" s="12"/>
      <c r="P25" s="8" t="s">
        <v>36</v>
      </c>
    </row>
    <row r="26" spans="1:16" ht="24" customHeight="1" x14ac:dyDescent="0.25">
      <c r="A26" s="10">
        <v>20</v>
      </c>
      <c r="B26" s="9">
        <v>0.19444444444444445</v>
      </c>
      <c r="C26" s="5" t="s">
        <v>20</v>
      </c>
      <c r="D26" s="5">
        <v>8</v>
      </c>
      <c r="E26" s="15"/>
      <c r="F26" s="15" t="s">
        <v>22</v>
      </c>
      <c r="G26" s="32">
        <v>7080</v>
      </c>
      <c r="H26" s="32">
        <v>10820</v>
      </c>
      <c r="I26" s="32"/>
      <c r="J26" s="32"/>
      <c r="K26" s="32"/>
      <c r="L26" s="32"/>
      <c r="M26" s="32"/>
      <c r="N26" s="17"/>
      <c r="O26" s="12"/>
      <c r="P26" s="8" t="s">
        <v>41</v>
      </c>
    </row>
    <row r="27" spans="1:16" ht="24" customHeight="1" x14ac:dyDescent="0.25">
      <c r="A27" s="10">
        <v>21</v>
      </c>
      <c r="B27" s="9">
        <v>0.20347222222222219</v>
      </c>
      <c r="C27" s="5" t="s">
        <v>20</v>
      </c>
      <c r="D27" s="5">
        <v>10</v>
      </c>
      <c r="E27" s="15"/>
      <c r="F27" s="15" t="s">
        <v>27</v>
      </c>
      <c r="G27" s="32">
        <v>9240</v>
      </c>
      <c r="H27" s="32">
        <v>11420</v>
      </c>
      <c r="I27" s="32">
        <v>12640</v>
      </c>
      <c r="J27" s="32">
        <v>10820</v>
      </c>
      <c r="K27" s="32">
        <v>11220</v>
      </c>
      <c r="L27" s="32">
        <v>12840</v>
      </c>
      <c r="M27" s="32"/>
      <c r="N27" s="17"/>
      <c r="O27" s="12"/>
      <c r="P27" s="8" t="s">
        <v>40</v>
      </c>
    </row>
    <row r="28" spans="1:16" ht="24" customHeight="1" x14ac:dyDescent="0.25">
      <c r="A28" s="10">
        <v>22</v>
      </c>
      <c r="B28" s="9">
        <v>0.3430555555555555</v>
      </c>
      <c r="C28" s="5" t="s">
        <v>20</v>
      </c>
      <c r="D28" s="5">
        <v>8</v>
      </c>
      <c r="E28" s="15"/>
      <c r="F28" s="15" t="s">
        <v>22</v>
      </c>
      <c r="G28" s="32">
        <v>3620</v>
      </c>
      <c r="H28" s="32">
        <v>5520</v>
      </c>
      <c r="I28" s="32"/>
      <c r="J28" s="32"/>
      <c r="K28" s="32"/>
      <c r="L28" s="32"/>
      <c r="M28" s="32"/>
      <c r="N28" s="17"/>
      <c r="O28" s="12"/>
      <c r="P28" s="8" t="s">
        <v>34</v>
      </c>
    </row>
    <row r="29" spans="1:16" ht="24" customHeight="1" x14ac:dyDescent="0.25">
      <c r="A29" s="10">
        <v>23</v>
      </c>
      <c r="B29" s="9">
        <v>0.34375</v>
      </c>
      <c r="C29" s="5" t="s">
        <v>20</v>
      </c>
      <c r="D29" s="5">
        <v>10</v>
      </c>
      <c r="E29" s="15"/>
      <c r="F29" s="15" t="s">
        <v>24</v>
      </c>
      <c r="G29" s="32">
        <v>7220</v>
      </c>
      <c r="H29" s="32">
        <v>4880</v>
      </c>
      <c r="I29" s="32">
        <v>4180</v>
      </c>
      <c r="J29" s="32">
        <v>4780</v>
      </c>
      <c r="K29" s="32">
        <v>2900</v>
      </c>
      <c r="L29" s="32">
        <v>4780</v>
      </c>
      <c r="M29" s="32"/>
      <c r="N29" s="17"/>
      <c r="O29" s="12"/>
      <c r="P29" s="8" t="s">
        <v>35</v>
      </c>
    </row>
    <row r="30" spans="1:16" ht="24" customHeight="1" x14ac:dyDescent="0.25">
      <c r="A30" s="10">
        <v>24</v>
      </c>
      <c r="B30" s="9">
        <v>0.3444444444444445</v>
      </c>
      <c r="C30" s="5" t="s">
        <v>20</v>
      </c>
      <c r="D30" s="5">
        <v>10</v>
      </c>
      <c r="E30" s="15"/>
      <c r="F30" s="15" t="s">
        <v>48</v>
      </c>
      <c r="G30" s="32">
        <v>10520</v>
      </c>
      <c r="H30" s="32">
        <v>15500</v>
      </c>
      <c r="I30" s="32">
        <v>16200</v>
      </c>
      <c r="J30" s="32">
        <v>2120</v>
      </c>
      <c r="K30" s="32"/>
      <c r="L30" s="32"/>
      <c r="M30" s="32"/>
      <c r="N30" s="17"/>
      <c r="O30" s="12"/>
      <c r="P30" s="8" t="s">
        <v>38</v>
      </c>
    </row>
    <row r="31" spans="1:16" ht="24" customHeight="1" x14ac:dyDescent="0.25">
      <c r="A31" s="10">
        <v>25</v>
      </c>
      <c r="B31" s="9">
        <v>0.34652777777777777</v>
      </c>
      <c r="C31" s="5" t="s">
        <v>20</v>
      </c>
      <c r="D31" s="5">
        <v>8</v>
      </c>
      <c r="E31" s="15"/>
      <c r="F31" s="15" t="s">
        <v>22</v>
      </c>
      <c r="G31" s="32">
        <v>10600</v>
      </c>
      <c r="H31" s="32">
        <v>11480</v>
      </c>
      <c r="I31" s="32"/>
      <c r="J31" s="32"/>
      <c r="K31" s="32"/>
      <c r="L31" s="32"/>
      <c r="M31" s="32"/>
      <c r="N31" s="17"/>
      <c r="O31" s="12"/>
      <c r="P31" s="8" t="s">
        <v>40</v>
      </c>
    </row>
    <row r="32" spans="1:16" ht="24" customHeight="1" x14ac:dyDescent="0.25">
      <c r="A32" s="10">
        <v>26</v>
      </c>
      <c r="B32" s="9">
        <v>0.34722222222222227</v>
      </c>
      <c r="C32" s="5" t="s">
        <v>20</v>
      </c>
      <c r="D32" s="5">
        <v>10</v>
      </c>
      <c r="E32" s="15"/>
      <c r="F32" s="15" t="s">
        <v>45</v>
      </c>
      <c r="G32" s="32">
        <v>8080</v>
      </c>
      <c r="H32" s="32">
        <v>6660</v>
      </c>
      <c r="I32" s="32">
        <v>4960</v>
      </c>
      <c r="J32" s="32">
        <v>4860</v>
      </c>
      <c r="K32" s="32">
        <v>3760</v>
      </c>
      <c r="L32" s="32"/>
      <c r="M32" s="32"/>
      <c r="N32" s="17"/>
      <c r="O32" s="12"/>
      <c r="P32" s="8" t="s">
        <v>35</v>
      </c>
    </row>
    <row r="33" spans="1:16" ht="24" customHeight="1" x14ac:dyDescent="0.25">
      <c r="A33" s="10">
        <v>27</v>
      </c>
      <c r="B33" s="9">
        <v>0.34791666666666665</v>
      </c>
      <c r="C33" s="5" t="s">
        <v>20</v>
      </c>
      <c r="D33" s="5">
        <v>5</v>
      </c>
      <c r="E33" s="15"/>
      <c r="F33" s="15" t="s">
        <v>22</v>
      </c>
      <c r="G33" s="32">
        <v>9540</v>
      </c>
      <c r="H33" s="32">
        <v>5500</v>
      </c>
      <c r="I33" s="32"/>
      <c r="J33" s="32"/>
      <c r="K33" s="32"/>
      <c r="L33" s="32"/>
      <c r="M33" s="32"/>
      <c r="N33" s="17"/>
      <c r="O33" s="12"/>
      <c r="P33" s="8" t="s">
        <v>34</v>
      </c>
    </row>
    <row r="34" spans="1:16" ht="24" customHeight="1" x14ac:dyDescent="0.25">
      <c r="A34" s="10">
        <v>28</v>
      </c>
      <c r="B34" s="9">
        <v>0.35069444444444442</v>
      </c>
      <c r="C34" s="5" t="s">
        <v>20</v>
      </c>
      <c r="D34" s="5">
        <v>8</v>
      </c>
      <c r="E34" s="15"/>
      <c r="F34" s="15" t="s">
        <v>22</v>
      </c>
      <c r="G34" s="32">
        <v>9820</v>
      </c>
      <c r="H34" s="32">
        <v>6500</v>
      </c>
      <c r="I34" s="32">
        <v>6980</v>
      </c>
      <c r="J34" s="32"/>
      <c r="K34" s="32"/>
      <c r="L34" s="32"/>
      <c r="M34" s="32"/>
      <c r="N34" s="17"/>
      <c r="O34" s="12"/>
      <c r="P34" s="8" t="s">
        <v>38</v>
      </c>
    </row>
    <row r="35" spans="1:16" ht="24" customHeight="1" x14ac:dyDescent="0.25">
      <c r="A35" s="10">
        <v>29</v>
      </c>
      <c r="B35" s="9">
        <v>0.3527777777777778</v>
      </c>
      <c r="C35" s="5" t="s">
        <v>20</v>
      </c>
      <c r="D35" s="5">
        <v>8</v>
      </c>
      <c r="E35" s="15"/>
      <c r="F35" s="15" t="s">
        <v>22</v>
      </c>
      <c r="G35" s="32">
        <v>1840</v>
      </c>
      <c r="H35" s="32">
        <v>1860</v>
      </c>
      <c r="I35" s="32"/>
      <c r="J35" s="32"/>
      <c r="K35" s="32"/>
      <c r="L35" s="32"/>
      <c r="M35" s="32"/>
      <c r="N35" s="17"/>
      <c r="O35" s="12"/>
      <c r="P35" s="8" t="s">
        <v>35</v>
      </c>
    </row>
    <row r="36" spans="1:16" ht="24" customHeight="1" x14ac:dyDescent="0.25">
      <c r="A36" s="10">
        <v>30</v>
      </c>
      <c r="B36" s="9">
        <v>0.3576388888888889</v>
      </c>
      <c r="C36" s="5" t="s">
        <v>20</v>
      </c>
      <c r="D36" s="5">
        <v>10</v>
      </c>
      <c r="E36" s="15"/>
      <c r="F36" s="15" t="s">
        <v>24</v>
      </c>
      <c r="G36" s="32">
        <v>6520</v>
      </c>
      <c r="H36" s="32">
        <v>16400</v>
      </c>
      <c r="I36" s="32">
        <v>11180</v>
      </c>
      <c r="J36" s="32">
        <v>19880</v>
      </c>
      <c r="K36" s="32">
        <v>13480</v>
      </c>
      <c r="L36" s="32">
        <v>12800</v>
      </c>
      <c r="M36" s="32"/>
      <c r="N36" s="17"/>
      <c r="O36" s="12"/>
      <c r="P36" s="8" t="s">
        <v>40</v>
      </c>
    </row>
    <row r="37" spans="1:16" ht="24" customHeight="1" x14ac:dyDescent="0.25">
      <c r="A37" s="10">
        <v>31</v>
      </c>
      <c r="B37" s="9">
        <v>0.35902777777777778</v>
      </c>
      <c r="C37" s="5" t="s">
        <v>20</v>
      </c>
      <c r="D37" s="5">
        <v>9</v>
      </c>
      <c r="E37" s="15"/>
      <c r="F37" s="15" t="s">
        <v>29</v>
      </c>
      <c r="G37" s="32">
        <v>8360</v>
      </c>
      <c r="H37" s="32">
        <v>10840</v>
      </c>
      <c r="I37" s="32">
        <v>10400</v>
      </c>
      <c r="J37" s="32"/>
      <c r="K37" s="32"/>
      <c r="L37" s="32"/>
      <c r="M37" s="32"/>
      <c r="N37" s="17"/>
      <c r="O37" s="12"/>
      <c r="P37" s="8" t="s">
        <v>39</v>
      </c>
    </row>
    <row r="38" spans="1:16" ht="24" customHeight="1" x14ac:dyDescent="0.25">
      <c r="A38" s="10">
        <v>32</v>
      </c>
      <c r="B38" s="9">
        <v>0.36458333333333331</v>
      </c>
      <c r="C38" s="5" t="s">
        <v>20</v>
      </c>
      <c r="D38" s="5">
        <v>8</v>
      </c>
      <c r="E38" s="15"/>
      <c r="F38" s="15" t="s">
        <v>22</v>
      </c>
      <c r="G38" s="32">
        <v>3400</v>
      </c>
      <c r="H38" s="32">
        <v>5220</v>
      </c>
      <c r="I38" s="32"/>
      <c r="J38" s="32"/>
      <c r="K38" s="32"/>
      <c r="L38" s="32"/>
      <c r="M38" s="32"/>
      <c r="N38" s="17"/>
      <c r="O38" s="12"/>
      <c r="P38" s="8" t="s">
        <v>35</v>
      </c>
    </row>
    <row r="39" spans="1:16" ht="24" customHeight="1" x14ac:dyDescent="0.25">
      <c r="A39" s="10">
        <v>33</v>
      </c>
      <c r="B39" s="9">
        <v>0.3659722222222222</v>
      </c>
      <c r="C39" s="5" t="s">
        <v>20</v>
      </c>
      <c r="D39" s="5">
        <v>8</v>
      </c>
      <c r="E39" s="15"/>
      <c r="F39" s="15" t="s">
        <v>22</v>
      </c>
      <c r="G39" s="32">
        <v>3360</v>
      </c>
      <c r="H39" s="32">
        <v>3460</v>
      </c>
      <c r="I39" s="32"/>
      <c r="J39" s="32"/>
      <c r="K39" s="32"/>
      <c r="L39" s="32"/>
      <c r="M39" s="32"/>
      <c r="N39" s="17"/>
      <c r="O39" s="12"/>
      <c r="P39" s="8" t="s">
        <v>35</v>
      </c>
    </row>
    <row r="40" spans="1:16" ht="24" customHeight="1" x14ac:dyDescent="0.25">
      <c r="A40" s="10">
        <v>34</v>
      </c>
      <c r="B40" s="9">
        <v>0.3743055555555555</v>
      </c>
      <c r="C40" s="5" t="s">
        <v>20</v>
      </c>
      <c r="D40" s="5">
        <v>10</v>
      </c>
      <c r="E40" s="15"/>
      <c r="F40" s="15" t="s">
        <v>32</v>
      </c>
      <c r="G40" s="32">
        <v>9380</v>
      </c>
      <c r="H40" s="32">
        <v>9760</v>
      </c>
      <c r="I40" s="32">
        <v>11480</v>
      </c>
      <c r="J40" s="32">
        <v>10560</v>
      </c>
      <c r="K40" s="32"/>
      <c r="L40" s="32"/>
      <c r="M40" s="32"/>
      <c r="N40" s="17"/>
      <c r="O40" s="12"/>
      <c r="P40" s="8" t="s">
        <v>39</v>
      </c>
    </row>
    <row r="41" spans="1:16" ht="24" customHeight="1" x14ac:dyDescent="0.25">
      <c r="A41" s="10">
        <v>35</v>
      </c>
      <c r="B41" s="9">
        <v>0.37847222222222227</v>
      </c>
      <c r="C41" s="5" t="s">
        <v>20</v>
      </c>
      <c r="D41" s="5">
        <v>9</v>
      </c>
      <c r="E41" s="15"/>
      <c r="F41" s="15" t="s">
        <v>29</v>
      </c>
      <c r="G41" s="32">
        <v>10140</v>
      </c>
      <c r="H41" s="32">
        <v>13100</v>
      </c>
      <c r="I41" s="32">
        <v>10160</v>
      </c>
      <c r="J41" s="32"/>
      <c r="K41" s="32"/>
      <c r="L41" s="32"/>
      <c r="M41" s="32"/>
      <c r="N41" s="17"/>
      <c r="O41" s="12"/>
      <c r="P41" s="8" t="s">
        <v>38</v>
      </c>
    </row>
    <row r="42" spans="1:16" ht="24" customHeight="1" x14ac:dyDescent="0.25">
      <c r="A42" s="10">
        <v>36</v>
      </c>
      <c r="B42" s="9">
        <v>0.37986111111111115</v>
      </c>
      <c r="C42" s="5" t="s">
        <v>20</v>
      </c>
      <c r="D42" s="5">
        <v>8</v>
      </c>
      <c r="E42" s="15"/>
      <c r="F42" s="15" t="s">
        <v>22</v>
      </c>
      <c r="G42" s="32">
        <v>2920</v>
      </c>
      <c r="H42" s="32">
        <v>2660</v>
      </c>
      <c r="I42" s="32"/>
      <c r="J42" s="32"/>
      <c r="K42" s="32"/>
      <c r="L42" s="32"/>
      <c r="M42" s="32"/>
      <c r="N42" s="17"/>
      <c r="O42" s="12"/>
      <c r="P42" s="8" t="s">
        <v>35</v>
      </c>
    </row>
    <row r="43" spans="1:16" ht="24" customHeight="1" x14ac:dyDescent="0.25">
      <c r="A43" s="10">
        <v>37</v>
      </c>
      <c r="B43" s="9">
        <v>0.3888888888888889</v>
      </c>
      <c r="C43" s="5" t="s">
        <v>20</v>
      </c>
      <c r="D43" s="5">
        <v>10</v>
      </c>
      <c r="E43" s="15"/>
      <c r="F43" s="15" t="s">
        <v>24</v>
      </c>
      <c r="G43" s="32">
        <v>9920</v>
      </c>
      <c r="H43" s="32">
        <v>13760</v>
      </c>
      <c r="I43" s="32">
        <v>12380</v>
      </c>
      <c r="J43" s="32">
        <v>12600</v>
      </c>
      <c r="K43" s="32">
        <v>12740</v>
      </c>
      <c r="L43" s="32">
        <v>11780</v>
      </c>
      <c r="M43" s="32"/>
      <c r="N43" s="17"/>
      <c r="O43" s="12"/>
      <c r="P43" s="8" t="s">
        <v>41</v>
      </c>
    </row>
    <row r="44" spans="1:16" ht="24" customHeight="1" x14ac:dyDescent="0.25">
      <c r="A44" s="10">
        <v>38</v>
      </c>
      <c r="B44" s="9">
        <v>0.39513888888888887</v>
      </c>
      <c r="C44" s="5" t="s">
        <v>20</v>
      </c>
      <c r="D44" s="5">
        <v>10</v>
      </c>
      <c r="E44" s="15"/>
      <c r="F44" s="15" t="s">
        <v>24</v>
      </c>
      <c r="G44" s="32">
        <v>7340</v>
      </c>
      <c r="H44" s="32">
        <v>10400</v>
      </c>
      <c r="I44" s="32">
        <v>10560</v>
      </c>
      <c r="J44" s="32">
        <v>15480</v>
      </c>
      <c r="K44" s="32">
        <v>12260</v>
      </c>
      <c r="L44" s="32">
        <v>13180</v>
      </c>
      <c r="M44" s="32"/>
      <c r="N44" s="17"/>
      <c r="O44" s="12"/>
      <c r="P44" s="8" t="s">
        <v>36</v>
      </c>
    </row>
    <row r="45" spans="1:16" ht="24" customHeight="1" x14ac:dyDescent="0.25">
      <c r="A45" s="10">
        <v>39</v>
      </c>
      <c r="B45" s="9">
        <v>0.4069444444444445</v>
      </c>
      <c r="C45" s="5" t="s">
        <v>20</v>
      </c>
      <c r="D45" s="5">
        <v>8</v>
      </c>
      <c r="E45" s="15"/>
      <c r="F45" s="15" t="s">
        <v>22</v>
      </c>
      <c r="G45" s="32">
        <v>7280</v>
      </c>
      <c r="H45" s="32">
        <v>12040</v>
      </c>
      <c r="I45" s="32"/>
      <c r="J45" s="32"/>
      <c r="K45" s="32"/>
      <c r="L45" s="32"/>
      <c r="M45" s="32"/>
      <c r="N45" s="17"/>
      <c r="O45" s="12"/>
      <c r="P45" s="8" t="s">
        <v>39</v>
      </c>
    </row>
    <row r="46" spans="1:16" ht="24" customHeight="1" x14ac:dyDescent="0.25">
      <c r="A46" s="10">
        <v>40</v>
      </c>
      <c r="B46" s="9">
        <v>0.41180555555555554</v>
      </c>
      <c r="C46" s="5" t="s">
        <v>20</v>
      </c>
      <c r="D46" s="5">
        <v>9</v>
      </c>
      <c r="E46" s="15"/>
      <c r="F46" s="15" t="s">
        <v>29</v>
      </c>
      <c r="G46" s="32">
        <v>7180</v>
      </c>
      <c r="H46" s="32">
        <v>10600</v>
      </c>
      <c r="I46" s="32">
        <v>4240</v>
      </c>
      <c r="J46" s="32"/>
      <c r="K46" s="32"/>
      <c r="L46" s="32"/>
      <c r="M46" s="32"/>
      <c r="N46" s="17"/>
      <c r="O46" s="12"/>
      <c r="P46" s="8" t="s">
        <v>39</v>
      </c>
    </row>
    <row r="47" spans="1:16" ht="24" customHeight="1" x14ac:dyDescent="0.25">
      <c r="A47" s="10">
        <v>41</v>
      </c>
      <c r="B47" s="9">
        <v>0.41736111111111113</v>
      </c>
      <c r="C47" s="5" t="s">
        <v>20</v>
      </c>
      <c r="D47" s="5">
        <v>8</v>
      </c>
      <c r="E47" s="15"/>
      <c r="F47" s="15" t="s">
        <v>22</v>
      </c>
      <c r="G47" s="32">
        <v>5640</v>
      </c>
      <c r="H47" s="32">
        <v>11800</v>
      </c>
      <c r="I47" s="32"/>
      <c r="J47" s="32"/>
      <c r="K47" s="32"/>
      <c r="L47" s="32"/>
      <c r="M47" s="32"/>
      <c r="N47" s="17"/>
      <c r="O47" s="12"/>
      <c r="P47" s="8" t="s">
        <v>39</v>
      </c>
    </row>
    <row r="48" spans="1:16" ht="24" customHeight="1" x14ac:dyDescent="0.25">
      <c r="A48" s="10">
        <v>42</v>
      </c>
      <c r="B48" s="9">
        <v>0.42083333333333334</v>
      </c>
      <c r="C48" s="5" t="s">
        <v>20</v>
      </c>
      <c r="D48" s="5">
        <v>10</v>
      </c>
      <c r="E48" s="15"/>
      <c r="F48" s="15" t="s">
        <v>24</v>
      </c>
      <c r="G48" s="32">
        <v>6840</v>
      </c>
      <c r="H48" s="32">
        <v>10840</v>
      </c>
      <c r="I48" s="32">
        <v>7980</v>
      </c>
      <c r="J48" s="32">
        <v>15020</v>
      </c>
      <c r="K48" s="32">
        <v>10600</v>
      </c>
      <c r="L48" s="32">
        <v>10380</v>
      </c>
      <c r="M48" s="32"/>
      <c r="N48" s="17"/>
      <c r="O48" s="12"/>
      <c r="P48" s="8" t="s">
        <v>38</v>
      </c>
    </row>
    <row r="49" spans="1:16" ht="24" customHeight="1" x14ac:dyDescent="0.25">
      <c r="A49" s="10">
        <v>43</v>
      </c>
      <c r="B49" s="9">
        <v>0.42708333333333331</v>
      </c>
      <c r="C49" s="5" t="s">
        <v>20</v>
      </c>
      <c r="D49" s="5">
        <v>9</v>
      </c>
      <c r="E49" s="15"/>
      <c r="F49" s="15" t="s">
        <v>29</v>
      </c>
      <c r="G49" s="32">
        <v>5960</v>
      </c>
      <c r="H49" s="32">
        <v>10260</v>
      </c>
      <c r="I49" s="32">
        <v>10320</v>
      </c>
      <c r="J49" s="32"/>
      <c r="K49" s="32"/>
      <c r="L49" s="32"/>
      <c r="M49" s="32"/>
      <c r="N49" s="17"/>
      <c r="O49" s="12"/>
      <c r="P49" s="8" t="s">
        <v>38</v>
      </c>
    </row>
    <row r="50" spans="1:16" ht="24" customHeight="1" x14ac:dyDescent="0.25">
      <c r="A50" s="10">
        <v>44</v>
      </c>
      <c r="B50" s="9">
        <v>0.4375</v>
      </c>
      <c r="C50" s="5" t="s">
        <v>20</v>
      </c>
      <c r="D50" s="5">
        <v>10</v>
      </c>
      <c r="E50" s="15"/>
      <c r="F50" s="15" t="s">
        <v>24</v>
      </c>
      <c r="G50" s="32">
        <v>7540</v>
      </c>
      <c r="H50" s="32">
        <v>11640</v>
      </c>
      <c r="I50" s="32">
        <v>11100</v>
      </c>
      <c r="J50" s="32">
        <v>10920</v>
      </c>
      <c r="K50" s="32">
        <v>10460</v>
      </c>
      <c r="L50" s="32">
        <v>10280</v>
      </c>
      <c r="M50" s="32"/>
      <c r="N50" s="12"/>
      <c r="O50" s="12"/>
      <c r="P50" s="8" t="s">
        <v>39</v>
      </c>
    </row>
    <row r="51" spans="1:16" ht="24" customHeight="1" x14ac:dyDescent="0.25">
      <c r="A51" s="10">
        <v>45</v>
      </c>
      <c r="B51" s="9">
        <v>0.44027777777777777</v>
      </c>
      <c r="C51" s="5" t="s">
        <v>20</v>
      </c>
      <c r="D51" s="5">
        <v>5</v>
      </c>
      <c r="E51" s="15"/>
      <c r="F51" s="15" t="s">
        <v>22</v>
      </c>
      <c r="G51" s="32">
        <v>10080</v>
      </c>
      <c r="H51" s="32">
        <v>5700</v>
      </c>
      <c r="I51" s="32"/>
      <c r="J51" s="32"/>
      <c r="K51" s="32"/>
      <c r="L51" s="32"/>
      <c r="M51" s="32"/>
      <c r="N51" s="12"/>
      <c r="O51" s="12"/>
      <c r="P51" s="8" t="s">
        <v>34</v>
      </c>
    </row>
    <row r="52" spans="1:16" ht="24" customHeight="1" x14ac:dyDescent="0.25">
      <c r="A52" s="10">
        <v>46</v>
      </c>
      <c r="B52" s="9">
        <v>0.44166666666666665</v>
      </c>
      <c r="C52" s="5" t="s">
        <v>20</v>
      </c>
      <c r="D52" s="5">
        <v>8</v>
      </c>
      <c r="E52" s="15"/>
      <c r="F52" s="15" t="s">
        <v>22</v>
      </c>
      <c r="G52" s="32">
        <v>6960</v>
      </c>
      <c r="H52" s="32">
        <v>10960</v>
      </c>
      <c r="I52" s="32"/>
      <c r="J52" s="32"/>
      <c r="K52" s="32"/>
      <c r="L52" s="32"/>
      <c r="M52" s="32"/>
      <c r="N52" s="12"/>
      <c r="O52" s="12"/>
      <c r="P52" s="8" t="s">
        <v>41</v>
      </c>
    </row>
    <row r="53" spans="1:16" ht="24" customHeight="1" x14ac:dyDescent="0.25">
      <c r="A53" s="10">
        <v>47</v>
      </c>
      <c r="B53" s="9">
        <v>0.4465277777777778</v>
      </c>
      <c r="C53" s="5" t="s">
        <v>20</v>
      </c>
      <c r="D53" s="5">
        <v>9</v>
      </c>
      <c r="E53" s="15"/>
      <c r="F53" s="15" t="s">
        <v>29</v>
      </c>
      <c r="G53" s="32">
        <v>9660</v>
      </c>
      <c r="H53" s="32">
        <v>10560</v>
      </c>
      <c r="I53" s="32">
        <v>10920</v>
      </c>
      <c r="J53" s="32"/>
      <c r="K53" s="32"/>
      <c r="L53" s="32"/>
      <c r="M53" s="32"/>
      <c r="N53" s="12"/>
      <c r="O53" s="12"/>
      <c r="P53" s="8" t="s">
        <v>36</v>
      </c>
    </row>
    <row r="54" spans="1:16" ht="24" customHeight="1" x14ac:dyDescent="0.25">
      <c r="A54" s="10">
        <v>48</v>
      </c>
      <c r="B54" s="9">
        <v>0.44722222222222219</v>
      </c>
      <c r="C54" s="5" t="s">
        <v>20</v>
      </c>
      <c r="D54" s="5">
        <v>10</v>
      </c>
      <c r="E54" s="15"/>
      <c r="F54" s="15" t="s">
        <v>25</v>
      </c>
      <c r="G54" s="32">
        <v>7680</v>
      </c>
      <c r="H54" s="32">
        <v>9060</v>
      </c>
      <c r="I54" s="32">
        <v>10100</v>
      </c>
      <c r="J54" s="32">
        <v>10480</v>
      </c>
      <c r="K54" s="32">
        <v>10200</v>
      </c>
      <c r="L54" s="32">
        <v>10140</v>
      </c>
      <c r="M54" s="32"/>
      <c r="N54" s="12"/>
      <c r="O54" s="12"/>
      <c r="P54" s="8" t="s">
        <v>40</v>
      </c>
    </row>
    <row r="55" spans="1:16" ht="24" customHeight="1" x14ac:dyDescent="0.25">
      <c r="A55" s="10">
        <v>49</v>
      </c>
      <c r="B55" s="9">
        <v>0.44791666666666669</v>
      </c>
      <c r="C55" s="5" t="s">
        <v>20</v>
      </c>
      <c r="D55" s="5">
        <v>8</v>
      </c>
      <c r="E55" s="15"/>
      <c r="F55" s="15" t="s">
        <v>22</v>
      </c>
      <c r="G55" s="32">
        <v>9200</v>
      </c>
      <c r="H55" s="32">
        <v>12180</v>
      </c>
      <c r="I55" s="32"/>
      <c r="J55" s="32"/>
      <c r="K55" s="32"/>
      <c r="L55" s="32"/>
      <c r="M55" s="32"/>
      <c r="N55" s="12"/>
      <c r="O55" s="12"/>
      <c r="P55" s="8" t="s">
        <v>38</v>
      </c>
    </row>
    <row r="56" spans="1:16" ht="24" customHeight="1" x14ac:dyDescent="0.25">
      <c r="A56" s="10">
        <v>50</v>
      </c>
      <c r="B56" s="9">
        <v>0.45</v>
      </c>
      <c r="C56" s="5" t="s">
        <v>20</v>
      </c>
      <c r="D56" s="5">
        <v>8</v>
      </c>
      <c r="E56" s="15"/>
      <c r="F56" s="15" t="s">
        <v>22</v>
      </c>
      <c r="G56" s="32">
        <v>5980</v>
      </c>
      <c r="H56" s="32">
        <v>14200</v>
      </c>
      <c r="I56" s="32"/>
      <c r="J56" s="32"/>
      <c r="K56" s="32"/>
      <c r="L56" s="32"/>
      <c r="M56" s="32"/>
      <c r="N56" s="12"/>
      <c r="O56" s="12"/>
      <c r="P56" s="8" t="s">
        <v>38</v>
      </c>
    </row>
    <row r="57" spans="1:16" ht="24" customHeight="1" x14ac:dyDescent="0.25">
      <c r="A57" s="10">
        <v>51</v>
      </c>
      <c r="B57" s="9">
        <v>0.4513888888888889</v>
      </c>
      <c r="C57" s="5" t="s">
        <v>20</v>
      </c>
      <c r="D57" s="5">
        <v>8</v>
      </c>
      <c r="E57" s="15"/>
      <c r="F57" s="15" t="s">
        <v>22</v>
      </c>
      <c r="G57" s="32">
        <v>8020</v>
      </c>
      <c r="H57" s="32">
        <v>7660</v>
      </c>
      <c r="I57" s="32"/>
      <c r="J57" s="32"/>
      <c r="K57" s="32"/>
      <c r="L57" s="32"/>
      <c r="M57" s="32"/>
      <c r="N57" s="12"/>
      <c r="O57" s="12"/>
      <c r="P57" s="8" t="s">
        <v>40</v>
      </c>
    </row>
    <row r="58" spans="1:16" ht="24" customHeight="1" x14ac:dyDescent="0.25">
      <c r="A58" s="10">
        <v>52</v>
      </c>
      <c r="B58" s="9">
        <v>0.4548611111111111</v>
      </c>
      <c r="C58" s="5" t="s">
        <v>20</v>
      </c>
      <c r="D58" s="5">
        <v>10</v>
      </c>
      <c r="E58" s="15"/>
      <c r="F58" s="15" t="s">
        <v>25</v>
      </c>
      <c r="G58" s="32">
        <v>8140</v>
      </c>
      <c r="H58" s="32">
        <v>10200</v>
      </c>
      <c r="I58" s="32">
        <v>10200</v>
      </c>
      <c r="J58" s="32">
        <v>11000</v>
      </c>
      <c r="K58" s="32">
        <v>10320</v>
      </c>
      <c r="L58" s="32">
        <v>10300</v>
      </c>
      <c r="M58" s="32"/>
      <c r="N58" s="12"/>
      <c r="O58" s="12"/>
      <c r="P58" s="8" t="s">
        <v>36</v>
      </c>
    </row>
    <row r="59" spans="1:16" ht="24" customHeight="1" x14ac:dyDescent="0.25">
      <c r="A59" s="10">
        <v>53</v>
      </c>
      <c r="B59" s="9">
        <v>0.45555555555555555</v>
      </c>
      <c r="C59" s="5" t="s">
        <v>20</v>
      </c>
      <c r="D59" s="5">
        <v>8</v>
      </c>
      <c r="E59" s="15"/>
      <c r="F59" s="15" t="s">
        <v>22</v>
      </c>
      <c r="G59" s="32">
        <v>4920</v>
      </c>
      <c r="H59" s="32">
        <v>5440</v>
      </c>
      <c r="I59" s="32"/>
      <c r="J59" s="32"/>
      <c r="K59" s="32"/>
      <c r="L59" s="32"/>
      <c r="M59" s="32"/>
      <c r="N59" s="12"/>
      <c r="O59" s="12"/>
      <c r="P59" s="8" t="s">
        <v>35</v>
      </c>
    </row>
    <row r="60" spans="1:16" ht="24" customHeight="1" x14ac:dyDescent="0.25">
      <c r="A60" s="10">
        <v>54</v>
      </c>
      <c r="B60" s="9">
        <v>0.45902777777777781</v>
      </c>
      <c r="C60" s="5" t="s">
        <v>20</v>
      </c>
      <c r="D60" s="5">
        <v>10</v>
      </c>
      <c r="E60" s="15"/>
      <c r="F60" s="15" t="s">
        <v>24</v>
      </c>
      <c r="G60" s="32">
        <v>7120</v>
      </c>
      <c r="H60" s="32">
        <v>10380</v>
      </c>
      <c r="I60" s="32">
        <v>10180</v>
      </c>
      <c r="J60" s="32">
        <v>10240</v>
      </c>
      <c r="K60" s="32">
        <v>8030</v>
      </c>
      <c r="L60" s="32">
        <v>8060</v>
      </c>
      <c r="M60" s="32"/>
      <c r="N60" s="12"/>
      <c r="O60" s="12"/>
      <c r="P60" s="8" t="s">
        <v>40</v>
      </c>
    </row>
    <row r="61" spans="1:16" ht="24" customHeight="1" x14ac:dyDescent="0.25">
      <c r="A61" s="10">
        <v>55</v>
      </c>
      <c r="B61" s="9">
        <v>0.46111111111111108</v>
      </c>
      <c r="C61" s="5" t="s">
        <v>20</v>
      </c>
      <c r="D61" s="5">
        <v>10</v>
      </c>
      <c r="E61" s="15"/>
      <c r="F61" s="15" t="s">
        <v>27</v>
      </c>
      <c r="G61" s="32">
        <v>8100</v>
      </c>
      <c r="H61" s="32">
        <v>9540</v>
      </c>
      <c r="I61" s="32">
        <v>10120</v>
      </c>
      <c r="J61" s="32">
        <v>8060</v>
      </c>
      <c r="K61" s="32">
        <v>9360</v>
      </c>
      <c r="L61" s="32"/>
      <c r="M61" s="32"/>
      <c r="N61" s="12"/>
      <c r="O61" s="12"/>
      <c r="P61" s="8" t="s">
        <v>40</v>
      </c>
    </row>
    <row r="62" spans="1:16" ht="24" customHeight="1" x14ac:dyDescent="0.25">
      <c r="A62" s="10">
        <v>56</v>
      </c>
      <c r="B62" s="9">
        <v>0.46388888888888885</v>
      </c>
      <c r="C62" s="5" t="s">
        <v>20</v>
      </c>
      <c r="D62" s="5">
        <v>5</v>
      </c>
      <c r="E62" s="15"/>
      <c r="F62" s="15" t="s">
        <v>22</v>
      </c>
      <c r="G62" s="32">
        <v>10060</v>
      </c>
      <c r="H62" s="32">
        <v>8680</v>
      </c>
      <c r="I62" s="32"/>
      <c r="J62" s="32"/>
      <c r="K62" s="32"/>
      <c r="L62" s="32"/>
      <c r="M62" s="32"/>
      <c r="N62" s="12"/>
      <c r="O62" s="12"/>
      <c r="P62" s="8" t="s">
        <v>34</v>
      </c>
    </row>
    <row r="63" spans="1:16" ht="24" customHeight="1" x14ac:dyDescent="0.25">
      <c r="A63" s="10">
        <v>57</v>
      </c>
      <c r="B63" s="9">
        <v>0.46527777777777773</v>
      </c>
      <c r="C63" s="5" t="s">
        <v>20</v>
      </c>
      <c r="D63" s="5">
        <v>5</v>
      </c>
      <c r="E63" s="15"/>
      <c r="F63" s="15" t="s">
        <v>22</v>
      </c>
      <c r="G63" s="32">
        <v>10660</v>
      </c>
      <c r="H63" s="32">
        <v>11180</v>
      </c>
      <c r="I63" s="32"/>
      <c r="J63" s="32"/>
      <c r="K63" s="32"/>
      <c r="L63" s="32"/>
      <c r="M63" s="32"/>
      <c r="N63" s="12"/>
      <c r="O63" s="12"/>
      <c r="P63" s="8" t="s">
        <v>34</v>
      </c>
    </row>
    <row r="64" spans="1:16" ht="24" customHeight="1" x14ac:dyDescent="0.25">
      <c r="A64" s="10">
        <v>58</v>
      </c>
      <c r="B64" s="9">
        <v>0.46597222222222223</v>
      </c>
      <c r="C64" s="5" t="s">
        <v>20</v>
      </c>
      <c r="D64" s="5">
        <v>8</v>
      </c>
      <c r="E64" s="15"/>
      <c r="F64" s="15" t="s">
        <v>22</v>
      </c>
      <c r="G64" s="32">
        <v>6400</v>
      </c>
      <c r="H64" s="32">
        <v>10250</v>
      </c>
      <c r="I64" s="32"/>
      <c r="J64" s="32"/>
      <c r="K64" s="32"/>
      <c r="L64" s="32"/>
      <c r="M64" s="32"/>
      <c r="N64" s="12"/>
      <c r="O64" s="12"/>
      <c r="P64" s="8" t="s">
        <v>38</v>
      </c>
    </row>
    <row r="65" spans="1:16" ht="24" customHeight="1" x14ac:dyDescent="0.25">
      <c r="A65" s="10">
        <v>59</v>
      </c>
      <c r="B65" s="9">
        <v>0.4680555555555555</v>
      </c>
      <c r="C65" s="5" t="s">
        <v>20</v>
      </c>
      <c r="D65" s="5">
        <v>8</v>
      </c>
      <c r="E65" s="15"/>
      <c r="F65" s="15" t="s">
        <v>22</v>
      </c>
      <c r="G65" s="32">
        <v>3180</v>
      </c>
      <c r="H65" s="32">
        <v>3180</v>
      </c>
      <c r="I65" s="32"/>
      <c r="J65" s="32"/>
      <c r="K65" s="32"/>
      <c r="L65" s="32"/>
      <c r="M65" s="32"/>
      <c r="N65" s="12"/>
      <c r="O65" s="12"/>
      <c r="P65" s="8" t="s">
        <v>35</v>
      </c>
    </row>
    <row r="66" spans="1:16" ht="24" customHeight="1" x14ac:dyDescent="0.25">
      <c r="A66" s="10">
        <v>60</v>
      </c>
      <c r="B66" s="9">
        <v>0.47152777777777777</v>
      </c>
      <c r="C66" s="5" t="s">
        <v>20</v>
      </c>
      <c r="D66" s="5">
        <v>8</v>
      </c>
      <c r="E66" s="15"/>
      <c r="F66" s="15" t="s">
        <v>22</v>
      </c>
      <c r="G66" s="32">
        <v>2740</v>
      </c>
      <c r="H66" s="32">
        <v>8660</v>
      </c>
      <c r="I66" s="32"/>
      <c r="J66" s="32"/>
      <c r="K66" s="32"/>
      <c r="L66" s="32"/>
      <c r="M66" s="32"/>
      <c r="N66" s="12"/>
      <c r="O66" s="12"/>
      <c r="P66" s="8" t="s">
        <v>40</v>
      </c>
    </row>
    <row r="67" spans="1:16" ht="24" customHeight="1" x14ac:dyDescent="0.25">
      <c r="A67" s="10">
        <v>61</v>
      </c>
      <c r="B67" s="9">
        <v>0.47361111111111115</v>
      </c>
      <c r="C67" s="5" t="s">
        <v>20</v>
      </c>
      <c r="D67" s="5">
        <v>8</v>
      </c>
      <c r="E67" s="15"/>
      <c r="F67" s="15" t="s">
        <v>22</v>
      </c>
      <c r="G67" s="32">
        <v>5900</v>
      </c>
      <c r="H67" s="32">
        <v>12080</v>
      </c>
      <c r="I67" s="32"/>
      <c r="J67" s="32"/>
      <c r="K67" s="32"/>
      <c r="L67" s="32"/>
      <c r="M67" s="32"/>
      <c r="N67" s="12"/>
      <c r="O67" s="12"/>
      <c r="P67" s="8" t="s">
        <v>34</v>
      </c>
    </row>
    <row r="68" spans="1:16" ht="24" customHeight="1" x14ac:dyDescent="0.25">
      <c r="A68" s="10">
        <v>62</v>
      </c>
      <c r="B68" s="9">
        <v>0.47500000000000003</v>
      </c>
      <c r="C68" s="5" t="s">
        <v>20</v>
      </c>
      <c r="D68" s="5">
        <v>9</v>
      </c>
      <c r="E68" s="15"/>
      <c r="F68" s="15" t="s">
        <v>29</v>
      </c>
      <c r="G68" s="32">
        <v>9980</v>
      </c>
      <c r="H68" s="32">
        <v>10240</v>
      </c>
      <c r="I68" s="32">
        <v>10900</v>
      </c>
      <c r="J68" s="32"/>
      <c r="K68" s="32"/>
      <c r="L68" s="32"/>
      <c r="M68" s="32"/>
      <c r="N68" s="12"/>
      <c r="O68" s="12"/>
      <c r="P68" s="8" t="s">
        <v>36</v>
      </c>
    </row>
    <row r="69" spans="1:16" ht="24" customHeight="1" x14ac:dyDescent="0.25">
      <c r="A69" s="10">
        <v>63</v>
      </c>
      <c r="B69" s="9">
        <v>0.47638888888888892</v>
      </c>
      <c r="C69" s="5" t="s">
        <v>20</v>
      </c>
      <c r="D69" s="5">
        <v>10</v>
      </c>
      <c r="E69" s="15"/>
      <c r="F69" s="15" t="s">
        <v>26</v>
      </c>
      <c r="G69" s="32">
        <v>6340</v>
      </c>
      <c r="H69" s="32">
        <v>8020</v>
      </c>
      <c r="I69" s="32">
        <v>5020</v>
      </c>
      <c r="J69" s="32">
        <v>4320</v>
      </c>
      <c r="K69" s="32">
        <v>4620</v>
      </c>
      <c r="L69" s="32"/>
      <c r="M69" s="32"/>
      <c r="N69" s="12"/>
      <c r="O69" s="12"/>
      <c r="P69" s="8" t="s">
        <v>35</v>
      </c>
    </row>
    <row r="70" spans="1:16" ht="24" customHeight="1" x14ac:dyDescent="0.25">
      <c r="A70" s="10">
        <v>64</v>
      </c>
      <c r="B70" s="9">
        <v>0.47847222222222219</v>
      </c>
      <c r="C70" s="5" t="s">
        <v>20</v>
      </c>
      <c r="D70" s="5">
        <v>10</v>
      </c>
      <c r="E70" s="15"/>
      <c r="F70" s="15" t="s">
        <v>23</v>
      </c>
      <c r="G70" s="32">
        <v>9980</v>
      </c>
      <c r="H70" s="32">
        <v>13060</v>
      </c>
      <c r="I70" s="32">
        <v>12520</v>
      </c>
      <c r="J70" s="32">
        <v>10740</v>
      </c>
      <c r="K70" s="32">
        <v>10700</v>
      </c>
      <c r="L70" s="32">
        <v>10560</v>
      </c>
      <c r="M70" s="32"/>
      <c r="N70" s="12"/>
      <c r="O70" s="12"/>
      <c r="P70" s="8" t="s">
        <v>38</v>
      </c>
    </row>
    <row r="71" spans="1:16" ht="24" customHeight="1" x14ac:dyDescent="0.25">
      <c r="A71" s="10">
        <v>65</v>
      </c>
      <c r="B71" s="9">
        <v>0.47847222222222219</v>
      </c>
      <c r="C71" s="5" t="s">
        <v>20</v>
      </c>
      <c r="D71" s="5">
        <v>10</v>
      </c>
      <c r="E71" s="15"/>
      <c r="F71" s="15" t="s">
        <v>43</v>
      </c>
      <c r="G71" s="32">
        <v>6420</v>
      </c>
      <c r="H71" s="32">
        <v>3980</v>
      </c>
      <c r="I71" s="32">
        <v>4760</v>
      </c>
      <c r="J71" s="32">
        <v>4380</v>
      </c>
      <c r="K71" s="32">
        <v>1380</v>
      </c>
      <c r="L71" s="32"/>
      <c r="M71" s="32"/>
      <c r="N71" s="12"/>
      <c r="O71" s="12"/>
      <c r="P71" s="8" t="s">
        <v>35</v>
      </c>
    </row>
    <row r="72" spans="1:16" ht="24" customHeight="1" x14ac:dyDescent="0.25">
      <c r="A72" s="10">
        <v>66</v>
      </c>
      <c r="B72" s="9">
        <v>0.47986111111111113</v>
      </c>
      <c r="C72" s="5" t="s">
        <v>20</v>
      </c>
      <c r="D72" s="5">
        <v>10</v>
      </c>
      <c r="E72" s="15"/>
      <c r="F72" s="15" t="s">
        <v>49</v>
      </c>
      <c r="G72" s="32">
        <v>8500</v>
      </c>
      <c r="H72" s="32">
        <v>5560</v>
      </c>
      <c r="I72" s="32">
        <v>5240</v>
      </c>
      <c r="J72" s="32">
        <v>5420</v>
      </c>
      <c r="K72" s="32">
        <v>5000</v>
      </c>
      <c r="L72" s="32">
        <v>5140</v>
      </c>
      <c r="M72" s="32"/>
      <c r="N72" s="12"/>
      <c r="O72" s="12"/>
      <c r="P72" s="8" t="s">
        <v>35</v>
      </c>
    </row>
    <row r="73" spans="1:16" ht="24" customHeight="1" x14ac:dyDescent="0.25">
      <c r="A73" s="10">
        <v>67</v>
      </c>
      <c r="B73" s="9">
        <v>0.48194444444444445</v>
      </c>
      <c r="C73" s="5" t="s">
        <v>20</v>
      </c>
      <c r="D73" s="5">
        <v>10</v>
      </c>
      <c r="E73" s="15"/>
      <c r="F73" s="15" t="s">
        <v>50</v>
      </c>
      <c r="G73" s="32">
        <v>5660</v>
      </c>
      <c r="H73" s="32">
        <v>4920</v>
      </c>
      <c r="I73" s="32">
        <v>8020</v>
      </c>
      <c r="J73" s="32">
        <v>6080</v>
      </c>
      <c r="K73" s="32">
        <v>8040</v>
      </c>
      <c r="L73" s="32"/>
      <c r="M73" s="32"/>
      <c r="N73" s="12"/>
      <c r="O73" s="12"/>
      <c r="P73" s="8" t="s">
        <v>38</v>
      </c>
    </row>
    <row r="74" spans="1:16" ht="24" customHeight="1" x14ac:dyDescent="0.25">
      <c r="A74" s="10">
        <v>68</v>
      </c>
      <c r="B74" s="9">
        <v>0.48402777777777778</v>
      </c>
      <c r="C74" s="5" t="s">
        <v>20</v>
      </c>
      <c r="D74" s="5">
        <v>10</v>
      </c>
      <c r="E74" s="15"/>
      <c r="F74" s="15" t="s">
        <v>25</v>
      </c>
      <c r="G74" s="32">
        <v>4860</v>
      </c>
      <c r="H74" s="32">
        <v>5820</v>
      </c>
      <c r="I74" s="32">
        <v>10380</v>
      </c>
      <c r="J74" s="32">
        <v>10220</v>
      </c>
      <c r="K74" s="32">
        <v>10860</v>
      </c>
      <c r="L74" s="32">
        <v>8980</v>
      </c>
      <c r="M74" s="32"/>
      <c r="N74" s="12"/>
      <c r="O74" s="12"/>
      <c r="P74" s="8" t="s">
        <v>40</v>
      </c>
    </row>
    <row r="75" spans="1:16" ht="24" customHeight="1" x14ac:dyDescent="0.25">
      <c r="A75" s="10">
        <v>69</v>
      </c>
      <c r="B75" s="9">
        <v>0.48472222222222222</v>
      </c>
      <c r="C75" s="5" t="s">
        <v>20</v>
      </c>
      <c r="D75" s="5">
        <v>10</v>
      </c>
      <c r="E75" s="15"/>
      <c r="F75" s="15" t="s">
        <v>32</v>
      </c>
      <c r="G75" s="32">
        <v>8660</v>
      </c>
      <c r="H75" s="32">
        <v>8940</v>
      </c>
      <c r="I75" s="32">
        <v>8000</v>
      </c>
      <c r="J75" s="32">
        <v>6500</v>
      </c>
      <c r="K75" s="32"/>
      <c r="L75" s="32"/>
      <c r="M75" s="32"/>
      <c r="N75" s="12"/>
      <c r="O75" s="12"/>
      <c r="P75" s="8" t="s">
        <v>38</v>
      </c>
    </row>
    <row r="76" spans="1:16" ht="24" customHeight="1" x14ac:dyDescent="0.25">
      <c r="A76" s="10">
        <v>70</v>
      </c>
      <c r="B76" s="9">
        <v>0.48541666666666666</v>
      </c>
      <c r="C76" s="5" t="s">
        <v>20</v>
      </c>
      <c r="D76" s="5">
        <v>10</v>
      </c>
      <c r="E76" s="15"/>
      <c r="F76" s="15" t="s">
        <v>24</v>
      </c>
      <c r="G76" s="32">
        <v>2880</v>
      </c>
      <c r="H76" s="32">
        <v>5060</v>
      </c>
      <c r="I76" s="32">
        <v>660</v>
      </c>
      <c r="J76" s="32">
        <v>3020</v>
      </c>
      <c r="K76" s="32">
        <v>3000</v>
      </c>
      <c r="L76" s="32">
        <v>3380</v>
      </c>
      <c r="M76" s="32"/>
      <c r="N76" s="12"/>
      <c r="O76" s="12"/>
      <c r="P76" s="8" t="s">
        <v>35</v>
      </c>
    </row>
    <row r="77" spans="1:16" ht="24" customHeight="1" x14ac:dyDescent="0.25">
      <c r="A77" s="10">
        <v>71</v>
      </c>
      <c r="B77" s="9">
        <v>0.48958333333333331</v>
      </c>
      <c r="C77" s="5" t="s">
        <v>20</v>
      </c>
      <c r="D77" s="5">
        <v>5</v>
      </c>
      <c r="E77" s="15"/>
      <c r="F77" s="15" t="s">
        <v>22</v>
      </c>
      <c r="G77" s="32">
        <v>10800</v>
      </c>
      <c r="H77" s="32">
        <v>7200</v>
      </c>
      <c r="I77" s="32"/>
      <c r="J77" s="32"/>
      <c r="K77" s="32"/>
      <c r="L77" s="32"/>
      <c r="M77" s="32"/>
      <c r="N77" s="12"/>
      <c r="O77" s="12"/>
      <c r="P77" s="8" t="s">
        <v>34</v>
      </c>
    </row>
    <row r="78" spans="1:16" ht="24" customHeight="1" x14ac:dyDescent="0.25">
      <c r="A78" s="10">
        <v>72</v>
      </c>
      <c r="B78" s="9">
        <v>0.48958333333333331</v>
      </c>
      <c r="C78" s="5" t="s">
        <v>20</v>
      </c>
      <c r="D78" s="5">
        <v>8</v>
      </c>
      <c r="E78" s="15"/>
      <c r="F78" s="15" t="s">
        <v>22</v>
      </c>
      <c r="G78" s="32">
        <v>7860</v>
      </c>
      <c r="H78" s="32">
        <v>13480</v>
      </c>
      <c r="I78" s="32"/>
      <c r="J78" s="32"/>
      <c r="K78" s="32"/>
      <c r="L78" s="32"/>
      <c r="M78" s="32"/>
      <c r="N78" s="12"/>
      <c r="O78" s="12"/>
      <c r="P78" s="8" t="s">
        <v>36</v>
      </c>
    </row>
    <row r="79" spans="1:16" ht="24" customHeight="1" x14ac:dyDescent="0.25">
      <c r="A79" s="10">
        <v>73</v>
      </c>
      <c r="B79" s="9">
        <v>0.49027777777777781</v>
      </c>
      <c r="C79" s="5" t="s">
        <v>20</v>
      </c>
      <c r="D79" s="5">
        <v>10</v>
      </c>
      <c r="E79" s="15"/>
      <c r="F79" s="15" t="s">
        <v>24</v>
      </c>
      <c r="G79" s="32">
        <v>7080</v>
      </c>
      <c r="H79" s="32">
        <v>10800</v>
      </c>
      <c r="I79" s="32">
        <v>9600</v>
      </c>
      <c r="J79" s="32">
        <v>10500</v>
      </c>
      <c r="K79" s="32">
        <v>10740</v>
      </c>
      <c r="L79" s="32">
        <v>10160</v>
      </c>
      <c r="M79" s="32"/>
      <c r="N79" s="12"/>
      <c r="O79" s="12"/>
      <c r="P79" s="8" t="s">
        <v>34</v>
      </c>
    </row>
    <row r="80" spans="1:16" ht="24" customHeight="1" x14ac:dyDescent="0.25">
      <c r="A80" s="10">
        <v>74</v>
      </c>
      <c r="B80" s="9">
        <v>0.49305555555555558</v>
      </c>
      <c r="C80" s="5" t="s">
        <v>20</v>
      </c>
      <c r="D80" s="5">
        <v>5</v>
      </c>
      <c r="E80" s="15"/>
      <c r="F80" s="15" t="s">
        <v>22</v>
      </c>
      <c r="G80" s="32">
        <v>8560</v>
      </c>
      <c r="H80" s="32">
        <v>10540</v>
      </c>
      <c r="I80" s="32"/>
      <c r="J80" s="32"/>
      <c r="K80" s="32"/>
      <c r="L80" s="32"/>
      <c r="M80" s="32"/>
      <c r="N80" s="12"/>
      <c r="O80" s="12"/>
      <c r="P80" s="8" t="s">
        <v>34</v>
      </c>
    </row>
    <row r="81" spans="1:16" ht="24" customHeight="1" x14ac:dyDescent="0.25">
      <c r="A81" s="10">
        <v>75</v>
      </c>
      <c r="B81" s="9">
        <v>0.49444444444444446</v>
      </c>
      <c r="C81" s="5" t="s">
        <v>20</v>
      </c>
      <c r="D81" s="5">
        <v>10</v>
      </c>
      <c r="E81" s="15"/>
      <c r="F81" s="15" t="s">
        <v>32</v>
      </c>
      <c r="G81" s="32">
        <v>8060</v>
      </c>
      <c r="H81" s="32">
        <v>11080</v>
      </c>
      <c r="I81" s="32">
        <v>25300</v>
      </c>
      <c r="J81" s="32">
        <v>25600</v>
      </c>
      <c r="K81" s="32"/>
      <c r="L81" s="32"/>
      <c r="M81" s="32"/>
      <c r="N81" s="12"/>
      <c r="O81" s="12"/>
      <c r="P81" s="8" t="s">
        <v>40</v>
      </c>
    </row>
    <row r="82" spans="1:16" ht="24" customHeight="1" x14ac:dyDescent="0.25">
      <c r="A82" s="10">
        <v>76</v>
      </c>
      <c r="B82" s="9">
        <v>0.50138888888888888</v>
      </c>
      <c r="C82" s="5" t="s">
        <v>20</v>
      </c>
      <c r="D82" s="5">
        <v>9</v>
      </c>
      <c r="E82" s="15"/>
      <c r="F82" s="15" t="s">
        <v>29</v>
      </c>
      <c r="G82" s="32">
        <v>8980</v>
      </c>
      <c r="H82" s="32">
        <v>14000</v>
      </c>
      <c r="I82" s="32">
        <v>14260</v>
      </c>
      <c r="J82" s="32"/>
      <c r="K82" s="32"/>
      <c r="L82" s="32"/>
      <c r="M82" s="32"/>
      <c r="N82" s="12"/>
      <c r="O82" s="12"/>
      <c r="P82" s="8" t="s">
        <v>40</v>
      </c>
    </row>
    <row r="83" spans="1:16" ht="24" customHeight="1" x14ac:dyDescent="0.25">
      <c r="A83" s="10">
        <v>77</v>
      </c>
      <c r="B83" s="9"/>
      <c r="C83" s="5" t="s">
        <v>20</v>
      </c>
      <c r="D83" s="5">
        <v>8</v>
      </c>
      <c r="E83" s="15"/>
      <c r="F83" s="15" t="s">
        <v>22</v>
      </c>
      <c r="G83" s="32">
        <v>5180</v>
      </c>
      <c r="H83" s="32">
        <v>14920</v>
      </c>
      <c r="I83" s="32"/>
      <c r="J83" s="32"/>
      <c r="K83" s="32"/>
      <c r="L83" s="32"/>
      <c r="M83" s="32"/>
      <c r="N83" s="12"/>
      <c r="O83" s="12"/>
      <c r="P83" s="8" t="s">
        <v>41</v>
      </c>
    </row>
    <row r="84" spans="1:16" ht="24" customHeight="1" x14ac:dyDescent="0.25">
      <c r="A84" s="10">
        <v>78</v>
      </c>
      <c r="B84" s="9">
        <v>0.50347222222222221</v>
      </c>
      <c r="C84" s="5" t="s">
        <v>20</v>
      </c>
      <c r="D84" s="5">
        <v>10</v>
      </c>
      <c r="E84" s="15"/>
      <c r="F84" s="15" t="s">
        <v>32</v>
      </c>
      <c r="G84" s="32">
        <v>2660</v>
      </c>
      <c r="H84" s="32">
        <v>3020</v>
      </c>
      <c r="I84" s="32">
        <v>3400</v>
      </c>
      <c r="J84" s="32">
        <v>2580</v>
      </c>
      <c r="K84" s="32"/>
      <c r="L84" s="32"/>
      <c r="M84" s="32"/>
      <c r="N84" s="12"/>
      <c r="O84" s="12"/>
      <c r="P84" s="8" t="s">
        <v>35</v>
      </c>
    </row>
    <row r="85" spans="1:16" ht="24" customHeight="1" x14ac:dyDescent="0.25">
      <c r="A85" s="10">
        <v>79</v>
      </c>
      <c r="B85" s="9">
        <v>0.50416666666666665</v>
      </c>
      <c r="C85" s="5" t="s">
        <v>20</v>
      </c>
      <c r="D85" s="5">
        <v>8</v>
      </c>
      <c r="E85" s="15"/>
      <c r="F85" s="15" t="s">
        <v>22</v>
      </c>
      <c r="G85" s="32">
        <v>3620</v>
      </c>
      <c r="H85" s="32">
        <v>4000</v>
      </c>
      <c r="I85" s="32"/>
      <c r="J85" s="32"/>
      <c r="K85" s="32"/>
      <c r="L85" s="32"/>
      <c r="M85" s="32"/>
      <c r="N85" s="12"/>
      <c r="O85" s="12"/>
      <c r="P85" s="8" t="s">
        <v>35</v>
      </c>
    </row>
    <row r="86" spans="1:16" ht="24" customHeight="1" x14ac:dyDescent="0.25">
      <c r="A86" s="10">
        <v>80</v>
      </c>
      <c r="B86" s="9">
        <v>0.50486111111111109</v>
      </c>
      <c r="C86" s="5" t="s">
        <v>20</v>
      </c>
      <c r="D86" s="5">
        <v>5</v>
      </c>
      <c r="E86" s="15"/>
      <c r="F86" s="15" t="s">
        <v>22</v>
      </c>
      <c r="G86" s="32">
        <v>8070</v>
      </c>
      <c r="H86" s="32">
        <v>12140</v>
      </c>
      <c r="I86" s="32"/>
      <c r="J86" s="32"/>
      <c r="K86" s="32"/>
      <c r="L86" s="32"/>
      <c r="M86" s="32"/>
      <c r="N86" s="12"/>
      <c r="O86" s="12"/>
      <c r="P86" s="8" t="s">
        <v>34</v>
      </c>
    </row>
    <row r="87" spans="1:16" ht="24" customHeight="1" x14ac:dyDescent="0.25">
      <c r="A87" s="10">
        <v>81</v>
      </c>
      <c r="B87" s="9">
        <v>0.50763888888888886</v>
      </c>
      <c r="C87" s="5" t="s">
        <v>20</v>
      </c>
      <c r="D87" s="5">
        <v>5</v>
      </c>
      <c r="E87" s="15"/>
      <c r="F87" s="15" t="s">
        <v>22</v>
      </c>
      <c r="G87" s="32">
        <v>9950</v>
      </c>
      <c r="H87" s="32">
        <v>10740</v>
      </c>
      <c r="I87" s="32"/>
      <c r="J87" s="32"/>
      <c r="K87" s="32"/>
      <c r="L87" s="32"/>
      <c r="M87" s="32"/>
      <c r="N87" s="12"/>
      <c r="O87" s="12"/>
      <c r="P87" s="8" t="s">
        <v>34</v>
      </c>
    </row>
    <row r="88" spans="1:16" ht="24" customHeight="1" x14ac:dyDescent="0.25">
      <c r="A88" s="10">
        <v>82</v>
      </c>
      <c r="B88" s="9">
        <v>0.5083333333333333</v>
      </c>
      <c r="C88" s="5" t="s">
        <v>20</v>
      </c>
      <c r="D88" s="5">
        <v>10</v>
      </c>
      <c r="E88" s="15"/>
      <c r="F88" s="15" t="s">
        <v>27</v>
      </c>
      <c r="G88" s="32">
        <v>8040</v>
      </c>
      <c r="H88" s="32">
        <v>1280</v>
      </c>
      <c r="I88" s="32">
        <v>14180</v>
      </c>
      <c r="J88" s="32">
        <v>10800</v>
      </c>
      <c r="K88" s="32">
        <v>8060</v>
      </c>
      <c r="L88" s="32">
        <v>8560</v>
      </c>
      <c r="M88" s="32"/>
      <c r="N88" s="12"/>
      <c r="O88" s="12"/>
      <c r="P88" s="8" t="s">
        <v>39</v>
      </c>
    </row>
    <row r="89" spans="1:16" s="30" customFormat="1" ht="24" customHeight="1" x14ac:dyDescent="0.25">
      <c r="A89" s="10"/>
      <c r="B89" s="24"/>
      <c r="C89" s="25"/>
      <c r="D89" s="25"/>
      <c r="E89" s="26"/>
      <c r="F89" s="26"/>
      <c r="G89" s="33"/>
      <c r="H89" s="35" t="s">
        <v>53</v>
      </c>
      <c r="I89" s="33"/>
      <c r="J89" s="33"/>
      <c r="K89" s="33"/>
      <c r="L89" s="33"/>
      <c r="M89" s="33"/>
      <c r="N89" s="28"/>
      <c r="O89" s="28"/>
      <c r="P89" s="29"/>
    </row>
    <row r="90" spans="1:16" ht="24" customHeight="1" x14ac:dyDescent="0.25">
      <c r="A90" s="10">
        <v>1</v>
      </c>
      <c r="B90" s="9">
        <v>0.49444444444444446</v>
      </c>
      <c r="C90" s="5" t="s">
        <v>20</v>
      </c>
      <c r="D90" s="5">
        <v>8</v>
      </c>
      <c r="E90" s="15"/>
      <c r="F90" s="15" t="s">
        <v>22</v>
      </c>
      <c r="G90" s="32">
        <v>4220</v>
      </c>
      <c r="H90" s="32">
        <v>10560</v>
      </c>
      <c r="I90" s="32"/>
      <c r="J90" s="32"/>
      <c r="K90" s="32"/>
      <c r="L90" s="32"/>
      <c r="M90" s="32"/>
      <c r="N90" s="12"/>
      <c r="O90" s="12"/>
      <c r="P90" s="8" t="s">
        <v>41</v>
      </c>
    </row>
    <row r="91" spans="1:16" ht="24" customHeight="1" x14ac:dyDescent="0.25">
      <c r="A91" s="10">
        <v>2</v>
      </c>
      <c r="B91" s="9">
        <v>0.50138888888888888</v>
      </c>
      <c r="C91" s="5" t="s">
        <v>20</v>
      </c>
      <c r="D91" s="5">
        <v>8</v>
      </c>
      <c r="E91" s="15"/>
      <c r="F91" s="15" t="s">
        <v>22</v>
      </c>
      <c r="G91" s="32">
        <v>7860</v>
      </c>
      <c r="H91" s="32">
        <v>12380</v>
      </c>
      <c r="I91" s="32"/>
      <c r="J91" s="32"/>
      <c r="K91" s="32"/>
      <c r="L91" s="32"/>
      <c r="M91" s="32"/>
      <c r="N91" s="12"/>
      <c r="O91" s="12"/>
      <c r="P91" s="8" t="s">
        <v>41</v>
      </c>
    </row>
    <row r="92" spans="1:16" ht="24" customHeight="1" x14ac:dyDescent="0.25">
      <c r="A92" s="10">
        <v>3</v>
      </c>
      <c r="B92" s="9"/>
      <c r="C92" s="5" t="s">
        <v>20</v>
      </c>
      <c r="D92" s="5">
        <v>10</v>
      </c>
      <c r="E92" s="15"/>
      <c r="F92" s="15" t="s">
        <v>25</v>
      </c>
      <c r="G92" s="32">
        <v>9300</v>
      </c>
      <c r="H92" s="32">
        <v>10680</v>
      </c>
      <c r="I92" s="32">
        <v>16460</v>
      </c>
      <c r="J92" s="32">
        <v>10420</v>
      </c>
      <c r="K92" s="32">
        <v>8080</v>
      </c>
      <c r="L92" s="32">
        <v>8820</v>
      </c>
      <c r="M92" s="32"/>
      <c r="N92" s="12"/>
      <c r="O92" s="12"/>
      <c r="P92" s="8" t="s">
        <v>34</v>
      </c>
    </row>
    <row r="93" spans="1:16" ht="24" customHeight="1" x14ac:dyDescent="0.25">
      <c r="A93" s="10">
        <v>4</v>
      </c>
      <c r="B93" s="9">
        <v>0.50347222222222221</v>
      </c>
      <c r="C93" s="5" t="s">
        <v>20</v>
      </c>
      <c r="D93" s="5">
        <v>8</v>
      </c>
      <c r="E93" s="15"/>
      <c r="F93" s="15" t="s">
        <v>22</v>
      </c>
      <c r="G93" s="32">
        <v>7860</v>
      </c>
      <c r="H93" s="32">
        <v>12320</v>
      </c>
      <c r="I93" s="32"/>
      <c r="J93" s="32"/>
      <c r="K93" s="32"/>
      <c r="L93" s="32"/>
      <c r="M93" s="32"/>
      <c r="N93" s="12"/>
      <c r="O93" s="12"/>
      <c r="P93" s="8" t="s">
        <v>41</v>
      </c>
    </row>
    <row r="94" spans="1:16" ht="24" customHeight="1" x14ac:dyDescent="0.25">
      <c r="A94" s="10">
        <v>5</v>
      </c>
      <c r="B94" s="9">
        <v>0.50416666666666665</v>
      </c>
      <c r="C94" s="5" t="s">
        <v>20</v>
      </c>
      <c r="D94" s="5">
        <v>8</v>
      </c>
      <c r="E94" s="15"/>
      <c r="F94" s="15" t="s">
        <v>22</v>
      </c>
      <c r="G94" s="32">
        <v>7060</v>
      </c>
      <c r="H94" s="32">
        <v>15660</v>
      </c>
      <c r="I94" s="32"/>
      <c r="J94" s="32"/>
      <c r="K94" s="32"/>
      <c r="L94" s="32"/>
      <c r="M94" s="32"/>
      <c r="N94" s="12"/>
      <c r="O94" s="12"/>
      <c r="P94" s="8" t="s">
        <v>41</v>
      </c>
    </row>
    <row r="95" spans="1:16" ht="24" customHeight="1" x14ac:dyDescent="0.25">
      <c r="A95" s="10">
        <v>6</v>
      </c>
      <c r="B95" s="9">
        <v>0.50486111111111109</v>
      </c>
      <c r="C95" s="5" t="s">
        <v>20</v>
      </c>
      <c r="D95" s="5">
        <v>8</v>
      </c>
      <c r="E95" s="15"/>
      <c r="F95" s="15" t="s">
        <v>22</v>
      </c>
      <c r="G95" s="32">
        <v>4500</v>
      </c>
      <c r="H95" s="32">
        <v>10100</v>
      </c>
      <c r="I95" s="32"/>
      <c r="J95" s="32"/>
      <c r="K95" s="32"/>
      <c r="L95" s="32"/>
      <c r="M95" s="32"/>
      <c r="N95" s="12"/>
      <c r="O95" s="12"/>
      <c r="P95" s="8" t="s">
        <v>34</v>
      </c>
    </row>
    <row r="96" spans="1:16" ht="24" customHeight="1" x14ac:dyDescent="0.25">
      <c r="A96" s="10">
        <v>7</v>
      </c>
      <c r="B96" s="9">
        <v>0.50763888888888886</v>
      </c>
      <c r="C96" s="5" t="s">
        <v>20</v>
      </c>
      <c r="D96" s="5">
        <v>8</v>
      </c>
      <c r="E96" s="15"/>
      <c r="F96" s="15" t="s">
        <v>22</v>
      </c>
      <c r="G96" s="32">
        <v>4220</v>
      </c>
      <c r="H96" s="32">
        <v>8060</v>
      </c>
      <c r="I96" s="32"/>
      <c r="J96" s="32"/>
      <c r="K96" s="32"/>
      <c r="L96" s="32"/>
      <c r="M96" s="32"/>
      <c r="N96" s="12"/>
      <c r="O96" s="12"/>
      <c r="P96" s="8" t="s">
        <v>34</v>
      </c>
    </row>
    <row r="97" spans="1:16" ht="24" customHeight="1" x14ac:dyDescent="0.25">
      <c r="A97" s="10">
        <v>8</v>
      </c>
      <c r="B97" s="9">
        <v>0.5083333333333333</v>
      </c>
      <c r="C97" s="5" t="s">
        <v>20</v>
      </c>
      <c r="D97" s="5">
        <v>10</v>
      </c>
      <c r="E97" s="15"/>
      <c r="F97" s="15" t="s">
        <v>24</v>
      </c>
      <c r="G97" s="32">
        <v>5920</v>
      </c>
      <c r="H97" s="32">
        <v>7530</v>
      </c>
      <c r="I97" s="32">
        <v>7200</v>
      </c>
      <c r="J97" s="32">
        <v>8590</v>
      </c>
      <c r="K97" s="32">
        <v>7020</v>
      </c>
      <c r="L97" s="32">
        <v>7310</v>
      </c>
      <c r="M97" s="32"/>
      <c r="N97" s="12"/>
      <c r="O97" s="12"/>
      <c r="P97" s="8" t="s">
        <v>41</v>
      </c>
    </row>
    <row r="98" spans="1:16" ht="24" customHeight="1" x14ac:dyDescent="0.25">
      <c r="A98" s="10">
        <v>9</v>
      </c>
      <c r="B98" s="9">
        <v>0.50972222222222219</v>
      </c>
      <c r="C98" s="5" t="s">
        <v>20</v>
      </c>
      <c r="D98" s="5">
        <v>10</v>
      </c>
      <c r="E98" s="15"/>
      <c r="F98" s="15" t="s">
        <v>43</v>
      </c>
      <c r="G98" s="32">
        <v>1920</v>
      </c>
      <c r="H98" s="32">
        <v>11740</v>
      </c>
      <c r="I98" s="32">
        <v>17360</v>
      </c>
      <c r="J98" s="32">
        <v>17960</v>
      </c>
      <c r="K98" s="32">
        <v>5860</v>
      </c>
      <c r="L98" s="32"/>
      <c r="M98" s="32"/>
      <c r="N98" s="12"/>
      <c r="O98" s="12"/>
      <c r="P98" s="8" t="s">
        <v>41</v>
      </c>
    </row>
    <row r="99" spans="1:16" ht="24" customHeight="1" x14ac:dyDescent="0.25">
      <c r="A99" s="10">
        <v>10</v>
      </c>
      <c r="B99" s="9">
        <v>0.51041666666666663</v>
      </c>
      <c r="C99" s="5" t="s">
        <v>20</v>
      </c>
      <c r="D99" s="5">
        <v>9</v>
      </c>
      <c r="E99" s="15"/>
      <c r="F99" s="15" t="s">
        <v>29</v>
      </c>
      <c r="G99" s="32">
        <v>7100</v>
      </c>
      <c r="H99" s="32">
        <v>7490</v>
      </c>
      <c r="I99" s="32">
        <v>4290</v>
      </c>
      <c r="J99" s="32"/>
      <c r="K99" s="32"/>
      <c r="L99" s="32"/>
      <c r="M99" s="32"/>
      <c r="N99" s="12"/>
      <c r="O99" s="12"/>
      <c r="P99" s="8" t="s">
        <v>41</v>
      </c>
    </row>
    <row r="100" spans="1:16" ht="24" customHeight="1" x14ac:dyDescent="0.25">
      <c r="A100" s="10">
        <v>11</v>
      </c>
      <c r="B100" s="9">
        <v>0.51250000000000007</v>
      </c>
      <c r="C100" s="5" t="s">
        <v>20</v>
      </c>
      <c r="D100" s="5">
        <v>9</v>
      </c>
      <c r="E100" s="15"/>
      <c r="F100" s="15" t="s">
        <v>29</v>
      </c>
      <c r="G100" s="32">
        <v>780</v>
      </c>
      <c r="H100" s="32">
        <v>9840</v>
      </c>
      <c r="I100" s="32">
        <v>4740</v>
      </c>
      <c r="J100" s="32"/>
      <c r="K100" s="32"/>
      <c r="L100" s="32"/>
      <c r="M100" s="32"/>
      <c r="N100" s="12"/>
      <c r="O100" s="12"/>
      <c r="P100" s="8" t="e">
        <v>#N/A</v>
      </c>
    </row>
    <row r="101" spans="1:16" ht="24" customHeight="1" x14ac:dyDescent="0.25">
      <c r="A101" s="10">
        <v>12</v>
      </c>
      <c r="B101" s="9">
        <v>0.5131944444444444</v>
      </c>
      <c r="C101" s="5" t="s">
        <v>20</v>
      </c>
      <c r="D101" s="5">
        <v>9</v>
      </c>
      <c r="E101" s="15"/>
      <c r="F101" s="15" t="s">
        <v>29</v>
      </c>
      <c r="G101" s="32">
        <v>9400</v>
      </c>
      <c r="H101" s="32">
        <v>14900</v>
      </c>
      <c r="I101" s="32">
        <v>16300</v>
      </c>
      <c r="J101" s="32"/>
      <c r="K101" s="32"/>
      <c r="L101" s="32"/>
      <c r="M101" s="32"/>
      <c r="N101" s="12"/>
      <c r="O101" s="12"/>
      <c r="P101" s="8" t="s">
        <v>40</v>
      </c>
    </row>
    <row r="102" spans="1:16" ht="24" customHeight="1" x14ac:dyDescent="0.25">
      <c r="A102" s="10">
        <v>13</v>
      </c>
      <c r="B102" s="9">
        <v>0.51458333333333328</v>
      </c>
      <c r="C102" s="5" t="s">
        <v>20</v>
      </c>
      <c r="D102" s="5">
        <v>10</v>
      </c>
      <c r="E102" s="15"/>
      <c r="F102" s="15" t="s">
        <v>24</v>
      </c>
      <c r="G102" s="32">
        <v>6800</v>
      </c>
      <c r="H102" s="32">
        <v>8580</v>
      </c>
      <c r="I102" s="32">
        <v>7860</v>
      </c>
      <c r="J102" s="32">
        <v>11280</v>
      </c>
      <c r="K102" s="32">
        <v>7820</v>
      </c>
      <c r="L102" s="32">
        <v>10440</v>
      </c>
      <c r="M102" s="32"/>
      <c r="N102" s="12"/>
      <c r="O102" s="12"/>
      <c r="P102" s="8" t="s">
        <v>36</v>
      </c>
    </row>
    <row r="103" spans="1:16" ht="24" customHeight="1" x14ac:dyDescent="0.25">
      <c r="A103" s="10">
        <v>14</v>
      </c>
      <c r="B103" s="9">
        <v>0.51458333333333328</v>
      </c>
      <c r="C103" s="5" t="s">
        <v>20</v>
      </c>
      <c r="D103" s="5">
        <v>10</v>
      </c>
      <c r="E103" s="15"/>
      <c r="F103" s="15" t="s">
        <v>24</v>
      </c>
      <c r="G103" s="32">
        <v>8160</v>
      </c>
      <c r="H103" s="32">
        <v>11020</v>
      </c>
      <c r="I103" s="32">
        <v>10360</v>
      </c>
      <c r="J103" s="32">
        <v>10400</v>
      </c>
      <c r="K103" s="32">
        <v>10340</v>
      </c>
      <c r="L103" s="32">
        <v>10340</v>
      </c>
      <c r="M103" s="32"/>
      <c r="N103" s="12"/>
      <c r="O103" s="12"/>
      <c r="P103" s="8" t="s">
        <v>34</v>
      </c>
    </row>
    <row r="104" spans="1:16" ht="24" customHeight="1" x14ac:dyDescent="0.25">
      <c r="A104" s="10">
        <v>15</v>
      </c>
      <c r="B104" s="9">
        <v>0.51736111111111105</v>
      </c>
      <c r="C104" s="5" t="s">
        <v>20</v>
      </c>
      <c r="D104" s="5">
        <v>8</v>
      </c>
      <c r="E104" s="15"/>
      <c r="F104" s="15" t="s">
        <v>22</v>
      </c>
      <c r="G104" s="32">
        <v>6500</v>
      </c>
      <c r="H104" s="32">
        <v>18460</v>
      </c>
      <c r="I104" s="32"/>
      <c r="J104" s="32"/>
      <c r="K104" s="32"/>
      <c r="L104" s="32"/>
      <c r="M104" s="32"/>
      <c r="N104" s="12"/>
      <c r="O104" s="12"/>
      <c r="P104" s="8" t="s">
        <v>34</v>
      </c>
    </row>
    <row r="105" spans="1:16" ht="24" customHeight="1" x14ac:dyDescent="0.25">
      <c r="A105" s="10">
        <v>16</v>
      </c>
      <c r="B105" s="9">
        <v>0.51736111111111105</v>
      </c>
      <c r="C105" s="5" t="s">
        <v>20</v>
      </c>
      <c r="D105" s="5">
        <v>8</v>
      </c>
      <c r="E105" s="15"/>
      <c r="F105" s="15" t="s">
        <v>22</v>
      </c>
      <c r="G105" s="32">
        <v>7360</v>
      </c>
      <c r="H105" s="32">
        <v>18780</v>
      </c>
      <c r="I105" s="32"/>
      <c r="J105" s="32"/>
      <c r="K105" s="32"/>
      <c r="L105" s="32"/>
      <c r="M105" s="32"/>
      <c r="N105" s="12"/>
      <c r="O105" s="12"/>
      <c r="P105" s="8" t="s">
        <v>34</v>
      </c>
    </row>
    <row r="106" spans="1:16" ht="24" customHeight="1" x14ac:dyDescent="0.25">
      <c r="A106" s="10">
        <v>17</v>
      </c>
      <c r="B106" s="9">
        <v>0.5180555555555556</v>
      </c>
      <c r="C106" s="5" t="s">
        <v>20</v>
      </c>
      <c r="D106" s="5">
        <v>8</v>
      </c>
      <c r="E106" s="15"/>
      <c r="F106" s="15" t="s">
        <v>22</v>
      </c>
      <c r="G106" s="32">
        <v>8420</v>
      </c>
      <c r="H106" s="32">
        <v>20760</v>
      </c>
      <c r="I106" s="32"/>
      <c r="J106" s="32"/>
      <c r="K106" s="32"/>
      <c r="L106" s="32"/>
      <c r="M106" s="32"/>
      <c r="N106" s="12"/>
      <c r="O106" s="12"/>
      <c r="P106" s="8" t="s">
        <v>41</v>
      </c>
    </row>
    <row r="107" spans="1:16" ht="24" customHeight="1" x14ac:dyDescent="0.25">
      <c r="A107" s="10">
        <v>18</v>
      </c>
      <c r="B107" s="9">
        <v>0.51874999999999993</v>
      </c>
      <c r="C107" s="5" t="s">
        <v>20</v>
      </c>
      <c r="D107" s="5">
        <v>8</v>
      </c>
      <c r="E107" s="15"/>
      <c r="F107" s="15" t="s">
        <v>22</v>
      </c>
      <c r="G107" s="32">
        <v>8380</v>
      </c>
      <c r="H107" s="32">
        <v>15620</v>
      </c>
      <c r="I107" s="32"/>
      <c r="J107" s="32"/>
      <c r="K107" s="32"/>
      <c r="L107" s="32"/>
      <c r="M107" s="32"/>
      <c r="N107" s="12"/>
      <c r="O107" s="12"/>
      <c r="P107" s="8" t="s">
        <v>34</v>
      </c>
    </row>
    <row r="108" spans="1:16" ht="24" customHeight="1" x14ac:dyDescent="0.25">
      <c r="A108" s="10">
        <v>19</v>
      </c>
      <c r="B108" s="9">
        <v>0.51944444444444449</v>
      </c>
      <c r="C108" s="5" t="s">
        <v>20</v>
      </c>
      <c r="D108" s="5">
        <v>9</v>
      </c>
      <c r="E108" s="15"/>
      <c r="F108" s="15" t="s">
        <v>29</v>
      </c>
      <c r="G108" s="32">
        <v>4730</v>
      </c>
      <c r="H108" s="32">
        <v>12620</v>
      </c>
      <c r="I108" s="32">
        <v>4700</v>
      </c>
      <c r="J108" s="32"/>
      <c r="K108" s="32"/>
      <c r="L108" s="32"/>
      <c r="M108" s="32"/>
      <c r="N108" s="12"/>
      <c r="O108" s="12"/>
      <c r="P108" s="8" t="s">
        <v>41</v>
      </c>
    </row>
    <row r="109" spans="1:16" ht="24" customHeight="1" x14ac:dyDescent="0.25">
      <c r="A109" s="10">
        <v>20</v>
      </c>
      <c r="B109" s="9">
        <v>0.51944444444444449</v>
      </c>
      <c r="C109" s="5" t="s">
        <v>20</v>
      </c>
      <c r="D109" s="5">
        <v>8</v>
      </c>
      <c r="E109" s="15"/>
      <c r="F109" s="15" t="s">
        <v>22</v>
      </c>
      <c r="G109" s="32">
        <v>3220</v>
      </c>
      <c r="H109" s="32">
        <v>18480</v>
      </c>
      <c r="I109" s="32"/>
      <c r="J109" s="32"/>
      <c r="K109" s="32"/>
      <c r="L109" s="32"/>
      <c r="M109" s="32"/>
      <c r="N109" s="12"/>
      <c r="O109" s="12"/>
      <c r="P109" s="8" t="s">
        <v>34</v>
      </c>
    </row>
    <row r="110" spans="1:16" ht="24" customHeight="1" x14ac:dyDescent="0.25">
      <c r="A110" s="10">
        <v>21</v>
      </c>
      <c r="B110" s="9">
        <v>0.52152777777777781</v>
      </c>
      <c r="C110" s="5" t="s">
        <v>20</v>
      </c>
      <c r="D110" s="5">
        <v>10</v>
      </c>
      <c r="E110" s="15"/>
      <c r="F110" s="15" t="s">
        <v>25</v>
      </c>
      <c r="G110" s="32">
        <v>7780</v>
      </c>
      <c r="H110" s="32">
        <v>9080</v>
      </c>
      <c r="I110" s="32">
        <v>14220</v>
      </c>
      <c r="J110" s="32">
        <v>13420</v>
      </c>
      <c r="K110" s="32">
        <v>13600</v>
      </c>
      <c r="L110" s="32">
        <v>12600</v>
      </c>
      <c r="M110" s="32"/>
      <c r="N110" s="12"/>
      <c r="O110" s="12"/>
      <c r="P110" s="8" t="s">
        <v>40</v>
      </c>
    </row>
    <row r="111" spans="1:16" ht="24" customHeight="1" x14ac:dyDescent="0.25">
      <c r="A111" s="10">
        <v>22</v>
      </c>
      <c r="B111" s="9">
        <v>0.52222222222222225</v>
      </c>
      <c r="C111" s="5" t="s">
        <v>20</v>
      </c>
      <c r="D111" s="5">
        <v>10</v>
      </c>
      <c r="E111" s="15"/>
      <c r="F111" s="15" t="s">
        <v>28</v>
      </c>
      <c r="G111" s="32">
        <v>10220</v>
      </c>
      <c r="H111" s="32">
        <v>10400</v>
      </c>
      <c r="I111" s="32">
        <v>11360</v>
      </c>
      <c r="J111" s="32">
        <v>10720</v>
      </c>
      <c r="K111" s="32">
        <v>10980</v>
      </c>
      <c r="L111" s="32">
        <v>10260</v>
      </c>
      <c r="M111" s="32">
        <v>11360</v>
      </c>
      <c r="N111" s="12"/>
      <c r="O111" s="12"/>
      <c r="P111" s="8" t="s">
        <v>40</v>
      </c>
    </row>
    <row r="112" spans="1:16" ht="24" customHeight="1" x14ac:dyDescent="0.25">
      <c r="A112" s="10">
        <v>23</v>
      </c>
      <c r="B112" s="9">
        <v>0.53333333333333333</v>
      </c>
      <c r="C112" s="5" t="s">
        <v>20</v>
      </c>
      <c r="D112" s="5">
        <v>10</v>
      </c>
      <c r="E112" s="15"/>
      <c r="F112" s="15" t="s">
        <v>24</v>
      </c>
      <c r="G112" s="32">
        <v>8200</v>
      </c>
      <c r="H112" s="32">
        <v>10680</v>
      </c>
      <c r="I112" s="32">
        <v>11880</v>
      </c>
      <c r="J112" s="32">
        <v>10860</v>
      </c>
      <c r="K112" s="32">
        <v>12000</v>
      </c>
      <c r="L112" s="32">
        <v>11480</v>
      </c>
      <c r="M112" s="32"/>
      <c r="N112" s="12"/>
      <c r="O112" s="12"/>
      <c r="P112" s="8" t="s">
        <v>40</v>
      </c>
    </row>
    <row r="113" spans="1:16" ht="24" customHeight="1" x14ac:dyDescent="0.25">
      <c r="A113" s="10">
        <v>24</v>
      </c>
      <c r="B113" s="9">
        <v>0.53472222222222221</v>
      </c>
      <c r="C113" s="5" t="s">
        <v>20</v>
      </c>
      <c r="D113" s="5">
        <v>5</v>
      </c>
      <c r="E113" s="15"/>
      <c r="F113" s="15" t="s">
        <v>22</v>
      </c>
      <c r="G113" s="32">
        <v>10080</v>
      </c>
      <c r="H113" s="32">
        <v>11640</v>
      </c>
      <c r="I113" s="32"/>
      <c r="J113" s="32"/>
      <c r="K113" s="32"/>
      <c r="L113" s="32"/>
      <c r="M113" s="32"/>
      <c r="N113" s="12"/>
      <c r="O113" s="12"/>
      <c r="P113" s="8" t="s">
        <v>34</v>
      </c>
    </row>
    <row r="114" spans="1:16" ht="24" customHeight="1" x14ac:dyDescent="0.25">
      <c r="A114" s="10">
        <v>25</v>
      </c>
      <c r="B114" s="9">
        <v>0.53611111111111109</v>
      </c>
      <c r="C114" s="5" t="s">
        <v>20</v>
      </c>
      <c r="D114" s="5">
        <v>10</v>
      </c>
      <c r="E114" s="15"/>
      <c r="F114" s="15" t="s">
        <v>24</v>
      </c>
      <c r="G114" s="32">
        <v>8660</v>
      </c>
      <c r="H114" s="32">
        <v>10120</v>
      </c>
      <c r="I114" s="32">
        <v>10640</v>
      </c>
      <c r="J114" s="32">
        <v>10740</v>
      </c>
      <c r="K114" s="32">
        <v>10680</v>
      </c>
      <c r="L114" s="32">
        <v>10440</v>
      </c>
      <c r="M114" s="32"/>
      <c r="N114" s="12"/>
      <c r="O114" s="12"/>
      <c r="P114" s="8" t="s">
        <v>40</v>
      </c>
    </row>
    <row r="115" spans="1:16" ht="24" customHeight="1" x14ac:dyDescent="0.25">
      <c r="A115" s="10">
        <v>26</v>
      </c>
      <c r="B115" s="9">
        <v>0.53680555555555554</v>
      </c>
      <c r="C115" s="5" t="s">
        <v>20</v>
      </c>
      <c r="D115" s="5">
        <v>8</v>
      </c>
      <c r="E115" s="15"/>
      <c r="F115" s="15" t="s">
        <v>22</v>
      </c>
      <c r="G115" s="32">
        <v>8140</v>
      </c>
      <c r="H115" s="32">
        <v>11380</v>
      </c>
      <c r="I115" s="32"/>
      <c r="J115" s="32"/>
      <c r="K115" s="32"/>
      <c r="L115" s="32"/>
      <c r="M115" s="32"/>
      <c r="N115" s="12"/>
      <c r="O115" s="12"/>
      <c r="P115" s="8" t="s">
        <v>41</v>
      </c>
    </row>
    <row r="116" spans="1:16" ht="24" customHeight="1" x14ac:dyDescent="0.25">
      <c r="A116" s="10">
        <v>27</v>
      </c>
      <c r="B116" s="9">
        <v>0.53749999999999998</v>
      </c>
      <c r="C116" s="5" t="s">
        <v>20</v>
      </c>
      <c r="D116" s="5">
        <v>10</v>
      </c>
      <c r="E116" s="15"/>
      <c r="F116" s="15" t="s">
        <v>28</v>
      </c>
      <c r="G116" s="32">
        <v>7640</v>
      </c>
      <c r="H116" s="32">
        <v>14000</v>
      </c>
      <c r="I116" s="32">
        <v>14600</v>
      </c>
      <c r="J116" s="32">
        <v>8980</v>
      </c>
      <c r="K116" s="32">
        <v>7760</v>
      </c>
      <c r="L116" s="32">
        <v>14120</v>
      </c>
      <c r="M116" s="32">
        <v>14320</v>
      </c>
      <c r="N116" s="12"/>
      <c r="O116" s="12"/>
      <c r="P116" s="8" t="s">
        <v>40</v>
      </c>
    </row>
    <row r="117" spans="1:16" ht="24" customHeight="1" x14ac:dyDescent="0.25">
      <c r="A117" s="10">
        <v>28</v>
      </c>
      <c r="B117" s="9">
        <v>0.53749999999999998</v>
      </c>
      <c r="C117" s="5" t="s">
        <v>20</v>
      </c>
      <c r="D117" s="5">
        <v>8</v>
      </c>
      <c r="E117" s="15"/>
      <c r="F117" s="15" t="s">
        <v>22</v>
      </c>
      <c r="G117" s="32">
        <v>7780</v>
      </c>
      <c r="H117" s="32">
        <v>14180</v>
      </c>
      <c r="I117" s="32"/>
      <c r="J117" s="32"/>
      <c r="K117" s="32"/>
      <c r="L117" s="32"/>
      <c r="M117" s="32"/>
      <c r="N117" s="12"/>
      <c r="O117" s="12"/>
      <c r="P117" s="8" t="s">
        <v>41</v>
      </c>
    </row>
    <row r="118" spans="1:16" ht="24" customHeight="1" x14ac:dyDescent="0.25">
      <c r="A118" s="10">
        <v>29</v>
      </c>
      <c r="B118" s="9">
        <v>0.53819444444444442</v>
      </c>
      <c r="C118" s="5" t="s">
        <v>20</v>
      </c>
      <c r="D118" s="5">
        <v>9</v>
      </c>
      <c r="E118" s="15"/>
      <c r="F118" s="15" t="s">
        <v>29</v>
      </c>
      <c r="G118" s="32">
        <v>6420</v>
      </c>
      <c r="H118" s="32">
        <v>10420</v>
      </c>
      <c r="I118" s="32">
        <v>10340</v>
      </c>
      <c r="J118" s="32"/>
      <c r="K118" s="32"/>
      <c r="L118" s="32"/>
      <c r="M118" s="32"/>
      <c r="N118" s="12"/>
      <c r="O118" s="12"/>
      <c r="P118" s="8" t="s">
        <v>40</v>
      </c>
    </row>
    <row r="119" spans="1:16" ht="24" customHeight="1" x14ac:dyDescent="0.25">
      <c r="A119" s="10">
        <v>30</v>
      </c>
      <c r="B119" s="9">
        <v>0.53888888888888886</v>
      </c>
      <c r="C119" s="5" t="s">
        <v>20</v>
      </c>
      <c r="D119" s="5">
        <v>8</v>
      </c>
      <c r="E119" s="15"/>
      <c r="F119" s="15" t="s">
        <v>22</v>
      </c>
      <c r="G119" s="32">
        <v>3200</v>
      </c>
      <c r="H119" s="32">
        <v>13120</v>
      </c>
      <c r="I119" s="32"/>
      <c r="J119" s="32"/>
      <c r="K119" s="32"/>
      <c r="L119" s="32"/>
      <c r="M119" s="32"/>
      <c r="N119" s="12"/>
      <c r="O119" s="12"/>
      <c r="P119" s="8" t="s">
        <v>34</v>
      </c>
    </row>
    <row r="120" spans="1:16" ht="24" customHeight="1" x14ac:dyDescent="0.25">
      <c r="A120" s="10">
        <v>31</v>
      </c>
      <c r="B120" s="9">
        <v>4.2361111111111106E-2</v>
      </c>
      <c r="C120" s="5" t="s">
        <v>21</v>
      </c>
      <c r="D120" s="5">
        <v>10</v>
      </c>
      <c r="E120" s="15"/>
      <c r="F120" s="15" t="s">
        <v>25</v>
      </c>
      <c r="G120" s="32">
        <v>7920</v>
      </c>
      <c r="H120" s="32">
        <v>2320</v>
      </c>
      <c r="I120" s="32">
        <v>4740</v>
      </c>
      <c r="J120" s="32">
        <v>4260</v>
      </c>
      <c r="K120" s="32">
        <v>3640</v>
      </c>
      <c r="L120" s="32">
        <v>3220</v>
      </c>
      <c r="M120" s="32"/>
      <c r="N120" s="12"/>
      <c r="O120" s="12"/>
      <c r="P120" s="8" t="e">
        <v>#N/A</v>
      </c>
    </row>
    <row r="121" spans="1:16" ht="24" customHeight="1" x14ac:dyDescent="0.25">
      <c r="A121" s="10">
        <v>32</v>
      </c>
      <c r="B121" s="9">
        <v>4.4444444444444446E-2</v>
      </c>
      <c r="C121" s="5" t="s">
        <v>20</v>
      </c>
      <c r="D121" s="5">
        <v>8</v>
      </c>
      <c r="E121" s="15"/>
      <c r="F121" s="15" t="s">
        <v>22</v>
      </c>
      <c r="G121" s="32">
        <v>7560</v>
      </c>
      <c r="H121" s="32">
        <v>12140</v>
      </c>
      <c r="I121" s="32"/>
      <c r="J121" s="32"/>
      <c r="K121" s="32"/>
      <c r="L121" s="32"/>
      <c r="M121" s="32"/>
      <c r="N121" s="12"/>
      <c r="O121" s="12"/>
      <c r="P121" s="8" t="s">
        <v>41</v>
      </c>
    </row>
    <row r="122" spans="1:16" ht="24" customHeight="1" x14ac:dyDescent="0.25">
      <c r="A122" s="10">
        <v>33</v>
      </c>
      <c r="B122" s="9">
        <v>4.7222222222222221E-2</v>
      </c>
      <c r="C122" s="5" t="s">
        <v>20</v>
      </c>
      <c r="D122" s="5">
        <v>10</v>
      </c>
      <c r="E122" s="15"/>
      <c r="F122" s="15" t="s">
        <v>43</v>
      </c>
      <c r="G122" s="32">
        <v>4360</v>
      </c>
      <c r="H122" s="32">
        <v>4780</v>
      </c>
      <c r="I122" s="32">
        <v>4080</v>
      </c>
      <c r="J122" s="32">
        <v>5460</v>
      </c>
      <c r="K122" s="32">
        <v>900</v>
      </c>
      <c r="L122" s="32"/>
      <c r="M122" s="32"/>
      <c r="N122" s="12"/>
      <c r="O122" s="12"/>
      <c r="P122" s="8" t="e">
        <v>#N/A</v>
      </c>
    </row>
    <row r="123" spans="1:16" ht="24" customHeight="1" x14ac:dyDescent="0.25">
      <c r="A123" s="10">
        <v>34</v>
      </c>
      <c r="B123" s="9">
        <v>4.9999999999999996E-2</v>
      </c>
      <c r="C123" s="5" t="s">
        <v>20</v>
      </c>
      <c r="D123" s="5">
        <v>10</v>
      </c>
      <c r="E123" s="15"/>
      <c r="F123" s="15" t="s">
        <v>32</v>
      </c>
      <c r="G123" s="32">
        <v>10750</v>
      </c>
      <c r="H123" s="32">
        <v>10120</v>
      </c>
      <c r="I123" s="32">
        <v>12150</v>
      </c>
      <c r="J123" s="32">
        <v>9980</v>
      </c>
      <c r="K123" s="32"/>
      <c r="L123" s="32"/>
      <c r="M123" s="32"/>
      <c r="N123" s="12"/>
      <c r="O123" s="12"/>
      <c r="P123" s="8" t="s">
        <v>41</v>
      </c>
    </row>
    <row r="124" spans="1:16" ht="24" customHeight="1" x14ac:dyDescent="0.25">
      <c r="A124" s="10">
        <v>35</v>
      </c>
      <c r="B124" s="9">
        <v>5.5555555555555552E-2</v>
      </c>
      <c r="C124" s="5" t="s">
        <v>20</v>
      </c>
      <c r="D124" s="5">
        <v>10</v>
      </c>
      <c r="E124" s="15"/>
      <c r="F124" s="15" t="s">
        <v>49</v>
      </c>
      <c r="G124" s="32">
        <v>7220</v>
      </c>
      <c r="H124" s="32">
        <v>7840</v>
      </c>
      <c r="I124" s="32">
        <v>6940</v>
      </c>
      <c r="J124" s="32">
        <v>10480</v>
      </c>
      <c r="K124" s="32">
        <v>7580</v>
      </c>
      <c r="L124" s="32"/>
      <c r="M124" s="32"/>
      <c r="N124" s="12"/>
      <c r="O124" s="12"/>
      <c r="P124" s="8" t="s">
        <v>42</v>
      </c>
    </row>
    <row r="125" spans="1:16" ht="24" customHeight="1" x14ac:dyDescent="0.25">
      <c r="A125" s="10">
        <v>36</v>
      </c>
      <c r="B125" s="9">
        <v>5.6250000000000001E-2</v>
      </c>
      <c r="C125" s="5" t="s">
        <v>20</v>
      </c>
      <c r="D125" s="5">
        <v>8</v>
      </c>
      <c r="E125" s="15"/>
      <c r="F125" s="15" t="s">
        <v>22</v>
      </c>
      <c r="G125" s="32">
        <v>6600</v>
      </c>
      <c r="H125" s="32">
        <v>12140</v>
      </c>
      <c r="I125" s="32"/>
      <c r="J125" s="32"/>
      <c r="K125" s="32"/>
      <c r="L125" s="32"/>
      <c r="M125" s="32"/>
      <c r="N125" s="12"/>
      <c r="O125" s="12"/>
      <c r="P125" s="8" t="s">
        <v>41</v>
      </c>
    </row>
    <row r="126" spans="1:16" ht="24" customHeight="1" x14ac:dyDescent="0.25">
      <c r="A126" s="10">
        <v>37</v>
      </c>
      <c r="B126" s="9">
        <v>5.6250000000000001E-2</v>
      </c>
      <c r="C126" s="5" t="s">
        <v>20</v>
      </c>
      <c r="D126" s="5">
        <v>10</v>
      </c>
      <c r="E126" s="15"/>
      <c r="F126" s="15" t="s">
        <v>25</v>
      </c>
      <c r="G126" s="32">
        <v>8940</v>
      </c>
      <c r="H126" s="32">
        <v>10300</v>
      </c>
      <c r="I126" s="32">
        <v>12880</v>
      </c>
      <c r="J126" s="32">
        <v>13980</v>
      </c>
      <c r="K126" s="32">
        <v>10280</v>
      </c>
      <c r="L126" s="32">
        <v>14800</v>
      </c>
      <c r="M126" s="32"/>
      <c r="N126" s="12"/>
      <c r="O126" s="12"/>
      <c r="P126" s="8" t="s">
        <v>40</v>
      </c>
    </row>
    <row r="127" spans="1:16" ht="24" customHeight="1" x14ac:dyDescent="0.25">
      <c r="A127" s="10">
        <v>38</v>
      </c>
      <c r="B127" s="9">
        <v>5.6250000000000001E-2</v>
      </c>
      <c r="C127" s="5" t="s">
        <v>20</v>
      </c>
      <c r="D127" s="5">
        <v>8</v>
      </c>
      <c r="E127" s="15"/>
      <c r="F127" s="15" t="s">
        <v>22</v>
      </c>
      <c r="G127" s="32">
        <v>6540</v>
      </c>
      <c r="H127" s="32">
        <v>12220</v>
      </c>
      <c r="I127" s="32"/>
      <c r="J127" s="32"/>
      <c r="K127" s="32"/>
      <c r="L127" s="32"/>
      <c r="M127" s="32"/>
      <c r="N127" s="12"/>
      <c r="O127" s="12"/>
      <c r="P127" s="8" t="s">
        <v>41</v>
      </c>
    </row>
    <row r="128" spans="1:16" ht="24" customHeight="1" x14ac:dyDescent="0.25">
      <c r="A128" s="10">
        <v>39</v>
      </c>
      <c r="B128" s="9">
        <v>5.8333333333333327E-2</v>
      </c>
      <c r="C128" s="5" t="s">
        <v>20</v>
      </c>
      <c r="D128" s="5">
        <v>10</v>
      </c>
      <c r="E128" s="15"/>
      <c r="F128" s="15" t="s">
        <v>24</v>
      </c>
      <c r="G128" s="32">
        <v>8780</v>
      </c>
      <c r="H128" s="32">
        <v>12380</v>
      </c>
      <c r="I128" s="32">
        <v>12100</v>
      </c>
      <c r="J128" s="32">
        <v>16100</v>
      </c>
      <c r="K128" s="32">
        <v>11840</v>
      </c>
      <c r="L128" s="32">
        <v>12060</v>
      </c>
      <c r="M128" s="32"/>
      <c r="N128" s="12"/>
      <c r="O128" s="12"/>
      <c r="P128" s="8" t="s">
        <v>41</v>
      </c>
    </row>
    <row r="129" spans="1:16" ht="24" customHeight="1" x14ac:dyDescent="0.25">
      <c r="A129" s="10">
        <v>40</v>
      </c>
      <c r="B129" s="9">
        <v>5.9722222222222225E-2</v>
      </c>
      <c r="C129" s="5" t="s">
        <v>20</v>
      </c>
      <c r="D129" s="5">
        <v>8</v>
      </c>
      <c r="E129" s="15"/>
      <c r="F129" s="15" t="s">
        <v>22</v>
      </c>
      <c r="G129" s="32">
        <v>6280</v>
      </c>
      <c r="H129" s="32">
        <v>11240</v>
      </c>
      <c r="I129" s="32"/>
      <c r="J129" s="32"/>
      <c r="K129" s="32"/>
      <c r="L129" s="32"/>
      <c r="M129" s="32"/>
      <c r="N129" s="12"/>
      <c r="O129" s="12"/>
      <c r="P129" s="8" t="s">
        <v>41</v>
      </c>
    </row>
    <row r="130" spans="1:16" ht="24" customHeight="1" x14ac:dyDescent="0.25">
      <c r="A130" s="10">
        <v>41</v>
      </c>
      <c r="B130" s="9">
        <v>6.0416666666666667E-2</v>
      </c>
      <c r="C130" s="5" t="s">
        <v>20</v>
      </c>
      <c r="D130" s="5">
        <v>10</v>
      </c>
      <c r="E130" s="15"/>
      <c r="F130" s="15" t="s">
        <v>25</v>
      </c>
      <c r="G130" s="32">
        <v>6980</v>
      </c>
      <c r="H130" s="32">
        <v>6480</v>
      </c>
      <c r="I130" s="32">
        <v>11660</v>
      </c>
      <c r="J130" s="32">
        <v>14160</v>
      </c>
      <c r="K130" s="32">
        <v>13180</v>
      </c>
      <c r="L130" s="32">
        <v>12840</v>
      </c>
      <c r="M130" s="32"/>
      <c r="N130" s="12"/>
      <c r="O130" s="12"/>
      <c r="P130" s="8" t="s">
        <v>41</v>
      </c>
    </row>
    <row r="131" spans="1:16" ht="24" customHeight="1" x14ac:dyDescent="0.25">
      <c r="A131" s="10">
        <v>42</v>
      </c>
      <c r="B131" s="9">
        <v>6.1805555555555558E-2</v>
      </c>
      <c r="C131" s="5" t="s">
        <v>20</v>
      </c>
      <c r="D131" s="5">
        <v>8</v>
      </c>
      <c r="E131" s="15"/>
      <c r="F131" s="15" t="s">
        <v>22</v>
      </c>
      <c r="G131" s="32">
        <v>6020</v>
      </c>
      <c r="H131" s="32">
        <v>12360</v>
      </c>
      <c r="I131" s="32"/>
      <c r="J131" s="32"/>
      <c r="K131" s="32"/>
      <c r="L131" s="32"/>
      <c r="M131" s="32"/>
      <c r="N131" s="12"/>
      <c r="O131" s="12"/>
      <c r="P131" s="8" t="s">
        <v>41</v>
      </c>
    </row>
    <row r="132" spans="1:16" ht="24" customHeight="1" x14ac:dyDescent="0.25">
      <c r="A132" s="10">
        <v>43</v>
      </c>
      <c r="B132" s="9">
        <v>6.5972222222222224E-2</v>
      </c>
      <c r="C132" s="5" t="s">
        <v>20</v>
      </c>
      <c r="D132" s="5">
        <v>10</v>
      </c>
      <c r="E132" s="15"/>
      <c r="F132" s="15" t="s">
        <v>25</v>
      </c>
      <c r="G132" s="32">
        <v>7260</v>
      </c>
      <c r="H132" s="32">
        <v>2800</v>
      </c>
      <c r="I132" s="32">
        <v>4920</v>
      </c>
      <c r="J132" s="32">
        <v>2780</v>
      </c>
      <c r="K132" s="32">
        <v>2680</v>
      </c>
      <c r="L132" s="32">
        <v>4180</v>
      </c>
      <c r="M132" s="32"/>
      <c r="N132" s="12"/>
      <c r="O132" s="12"/>
      <c r="P132" s="8" t="e">
        <v>#N/A</v>
      </c>
    </row>
    <row r="133" spans="1:16" ht="24" customHeight="1" x14ac:dyDescent="0.25">
      <c r="A133" s="10">
        <v>44</v>
      </c>
      <c r="B133" s="9">
        <v>6.7361111111111108E-2</v>
      </c>
      <c r="C133" s="5" t="s">
        <v>20</v>
      </c>
      <c r="D133" s="5">
        <v>8</v>
      </c>
      <c r="E133" s="15"/>
      <c r="F133" s="15" t="s">
        <v>22</v>
      </c>
      <c r="G133" s="32">
        <v>6800</v>
      </c>
      <c r="H133" s="32">
        <v>13360</v>
      </c>
      <c r="I133" s="32"/>
      <c r="J133" s="32"/>
      <c r="K133" s="32"/>
      <c r="L133" s="32"/>
      <c r="M133" s="32"/>
      <c r="N133" s="12"/>
      <c r="O133" s="12"/>
      <c r="P133" s="8" t="s">
        <v>41</v>
      </c>
    </row>
    <row r="134" spans="1:16" ht="24" customHeight="1" x14ac:dyDescent="0.25">
      <c r="A134" s="10">
        <v>45</v>
      </c>
      <c r="B134" s="9">
        <v>7.1527777777777787E-2</v>
      </c>
      <c r="C134" s="5" t="s">
        <v>20</v>
      </c>
      <c r="D134" s="5">
        <v>8</v>
      </c>
      <c r="E134" s="15"/>
      <c r="F134" s="15" t="s">
        <v>22</v>
      </c>
      <c r="G134" s="32">
        <v>4960</v>
      </c>
      <c r="H134" s="32">
        <v>14620</v>
      </c>
      <c r="I134" s="32"/>
      <c r="J134" s="32"/>
      <c r="K134" s="32"/>
      <c r="L134" s="32"/>
      <c r="M134" s="32"/>
      <c r="N134" s="12"/>
      <c r="O134" s="12"/>
      <c r="P134" s="8" t="s">
        <v>40</v>
      </c>
    </row>
    <row r="135" spans="1:16" ht="24" customHeight="1" x14ac:dyDescent="0.25">
      <c r="A135" s="10">
        <v>46</v>
      </c>
      <c r="B135" s="9">
        <v>7.4305555555555555E-2</v>
      </c>
      <c r="C135" s="5" t="s">
        <v>20</v>
      </c>
      <c r="D135" s="5">
        <v>8</v>
      </c>
      <c r="E135" s="15"/>
      <c r="F135" s="15" t="s">
        <v>22</v>
      </c>
      <c r="G135" s="32">
        <v>3920</v>
      </c>
      <c r="H135" s="32">
        <v>4420</v>
      </c>
      <c r="I135" s="32"/>
      <c r="J135" s="32"/>
      <c r="K135" s="32"/>
      <c r="L135" s="32"/>
      <c r="M135" s="32"/>
      <c r="N135" s="12"/>
      <c r="O135" s="12"/>
      <c r="P135" s="8" t="e">
        <v>#N/A</v>
      </c>
    </row>
    <row r="136" spans="1:16" ht="24" customHeight="1" x14ac:dyDescent="0.25">
      <c r="A136" s="10">
        <v>47</v>
      </c>
      <c r="B136" s="9">
        <v>7.5694444444444439E-2</v>
      </c>
      <c r="C136" s="5" t="s">
        <v>20</v>
      </c>
      <c r="D136" s="5">
        <v>8</v>
      </c>
      <c r="E136" s="15"/>
      <c r="F136" s="15" t="s">
        <v>22</v>
      </c>
      <c r="G136" s="32">
        <v>4280</v>
      </c>
      <c r="H136" s="32">
        <v>15240</v>
      </c>
      <c r="I136" s="32"/>
      <c r="J136" s="32"/>
      <c r="K136" s="32"/>
      <c r="L136" s="32"/>
      <c r="M136" s="32"/>
      <c r="N136" s="12"/>
      <c r="O136" s="12"/>
      <c r="P136" s="8" t="s">
        <v>41</v>
      </c>
    </row>
    <row r="137" spans="1:16" ht="24" customHeight="1" x14ac:dyDescent="0.25">
      <c r="A137" s="10">
        <v>48</v>
      </c>
      <c r="B137" s="9">
        <v>7.6388888888888895E-2</v>
      </c>
      <c r="C137" s="5" t="s">
        <v>21</v>
      </c>
      <c r="D137" s="5">
        <v>10</v>
      </c>
      <c r="E137" s="15"/>
      <c r="F137" s="15" t="s">
        <v>24</v>
      </c>
      <c r="G137" s="32">
        <v>4460</v>
      </c>
      <c r="H137" s="32">
        <v>4000</v>
      </c>
      <c r="I137" s="32">
        <v>4020</v>
      </c>
      <c r="J137" s="32">
        <v>2060</v>
      </c>
      <c r="K137" s="32">
        <v>2000</v>
      </c>
      <c r="L137" s="32">
        <v>2040</v>
      </c>
      <c r="M137" s="32"/>
      <c r="N137" s="12"/>
      <c r="O137" s="12"/>
      <c r="P137" s="8" t="e">
        <v>#N/A</v>
      </c>
    </row>
    <row r="138" spans="1:16" ht="24" customHeight="1" x14ac:dyDescent="0.25">
      <c r="A138" s="10">
        <v>49</v>
      </c>
      <c r="B138" s="9">
        <v>7.8472222222222221E-2</v>
      </c>
      <c r="C138" s="5" t="s">
        <v>20</v>
      </c>
      <c r="D138" s="5">
        <v>9</v>
      </c>
      <c r="E138" s="15"/>
      <c r="F138" s="15" t="s">
        <v>29</v>
      </c>
      <c r="G138" s="32">
        <v>7360</v>
      </c>
      <c r="H138" s="32">
        <v>8060</v>
      </c>
      <c r="I138" s="32">
        <v>8050</v>
      </c>
      <c r="J138" s="32"/>
      <c r="K138" s="32"/>
      <c r="L138" s="32"/>
      <c r="M138" s="32"/>
      <c r="N138" s="12"/>
      <c r="O138" s="12"/>
      <c r="P138" s="8" t="s">
        <v>40</v>
      </c>
    </row>
    <row r="139" spans="1:16" ht="24" customHeight="1" x14ac:dyDescent="0.25">
      <c r="A139" s="10">
        <v>50</v>
      </c>
      <c r="B139" s="9">
        <v>7.9861111111111105E-2</v>
      </c>
      <c r="C139" s="5" t="s">
        <v>20</v>
      </c>
      <c r="D139" s="5">
        <v>10</v>
      </c>
      <c r="E139" s="15"/>
      <c r="F139" s="15" t="s">
        <v>25</v>
      </c>
      <c r="G139" s="32">
        <v>3700</v>
      </c>
      <c r="H139" s="32">
        <v>3760</v>
      </c>
      <c r="I139" s="32">
        <v>6540</v>
      </c>
      <c r="J139" s="32">
        <v>8900</v>
      </c>
      <c r="K139" s="32">
        <v>8200</v>
      </c>
      <c r="L139" s="32">
        <v>8010</v>
      </c>
      <c r="M139" s="32"/>
      <c r="N139" s="12"/>
      <c r="O139" s="12"/>
      <c r="P139" s="8" t="s">
        <v>40</v>
      </c>
    </row>
    <row r="140" spans="1:16" ht="24" customHeight="1" x14ac:dyDescent="0.25">
      <c r="A140" s="10">
        <v>51</v>
      </c>
      <c r="B140" s="9">
        <v>8.1250000000000003E-2</v>
      </c>
      <c r="C140" s="5" t="s">
        <v>20</v>
      </c>
      <c r="D140" s="5">
        <v>8</v>
      </c>
      <c r="E140" s="15"/>
      <c r="F140" s="15" t="s">
        <v>22</v>
      </c>
      <c r="G140" s="32">
        <v>2940</v>
      </c>
      <c r="H140" s="32">
        <v>4740</v>
      </c>
      <c r="I140" s="32"/>
      <c r="J140" s="32"/>
      <c r="K140" s="32"/>
      <c r="L140" s="32"/>
      <c r="M140" s="32"/>
      <c r="N140" s="12"/>
      <c r="O140" s="12"/>
      <c r="P140" s="8" t="e">
        <v>#N/A</v>
      </c>
    </row>
    <row r="141" spans="1:16" ht="24" customHeight="1" x14ac:dyDescent="0.25">
      <c r="A141" s="10">
        <v>52</v>
      </c>
      <c r="B141" s="9">
        <v>8.2638888888888887E-2</v>
      </c>
      <c r="C141" s="5" t="s">
        <v>20</v>
      </c>
      <c r="D141" s="5">
        <v>10</v>
      </c>
      <c r="E141" s="15"/>
      <c r="F141" s="15" t="s">
        <v>32</v>
      </c>
      <c r="G141" s="32">
        <v>3420</v>
      </c>
      <c r="H141" s="32">
        <v>6020</v>
      </c>
      <c r="I141" s="32">
        <v>3040</v>
      </c>
      <c r="J141" s="32">
        <v>3880</v>
      </c>
      <c r="K141" s="32"/>
      <c r="L141" s="32"/>
      <c r="M141" s="32"/>
      <c r="N141" s="12"/>
      <c r="O141" s="12"/>
      <c r="P141" s="8" t="e">
        <v>#N/A</v>
      </c>
    </row>
    <row r="142" spans="1:16" ht="24" customHeight="1" x14ac:dyDescent="0.25">
      <c r="A142" s="10">
        <v>53</v>
      </c>
      <c r="B142" s="9">
        <v>8.4027777777777771E-2</v>
      </c>
      <c r="C142" s="5" t="s">
        <v>20</v>
      </c>
      <c r="D142" s="5">
        <v>8</v>
      </c>
      <c r="E142" s="15"/>
      <c r="F142" s="15" t="s">
        <v>22</v>
      </c>
      <c r="G142" s="32">
        <v>7960</v>
      </c>
      <c r="H142" s="32">
        <v>12840</v>
      </c>
      <c r="I142" s="32"/>
      <c r="J142" s="32"/>
      <c r="K142" s="32"/>
      <c r="L142" s="32"/>
      <c r="M142" s="32"/>
      <c r="N142" s="12"/>
      <c r="O142" s="12"/>
      <c r="P142" s="8" t="s">
        <v>41</v>
      </c>
    </row>
    <row r="143" spans="1:16" ht="24" customHeight="1" x14ac:dyDescent="0.25">
      <c r="A143" s="10">
        <v>54</v>
      </c>
      <c r="B143" s="9">
        <v>8.5416666666666655E-2</v>
      </c>
      <c r="C143" s="5" t="s">
        <v>20</v>
      </c>
      <c r="D143" s="5">
        <v>9</v>
      </c>
      <c r="E143" s="15"/>
      <c r="F143" s="15" t="s">
        <v>29</v>
      </c>
      <c r="G143" s="32">
        <v>8160</v>
      </c>
      <c r="H143" s="32">
        <v>8040</v>
      </c>
      <c r="I143" s="32">
        <v>10720</v>
      </c>
      <c r="J143" s="32"/>
      <c r="K143" s="32"/>
      <c r="L143" s="32"/>
      <c r="M143" s="32"/>
      <c r="N143" s="12"/>
      <c r="O143" s="12"/>
      <c r="P143" s="8" t="s">
        <v>40</v>
      </c>
    </row>
    <row r="144" spans="1:16" ht="24" customHeight="1" x14ac:dyDescent="0.25">
      <c r="A144" s="10">
        <v>55</v>
      </c>
      <c r="B144" s="9">
        <v>8.6111111111111124E-2</v>
      </c>
      <c r="C144" s="5" t="s">
        <v>20</v>
      </c>
      <c r="D144" s="5">
        <v>10</v>
      </c>
      <c r="E144" s="15"/>
      <c r="F144" s="15" t="s">
        <v>45</v>
      </c>
      <c r="G144" s="32">
        <v>3260</v>
      </c>
      <c r="H144" s="32">
        <v>3040</v>
      </c>
      <c r="I144" s="32">
        <v>3040</v>
      </c>
      <c r="J144" s="32">
        <v>3040</v>
      </c>
      <c r="K144" s="32">
        <v>2740</v>
      </c>
      <c r="L144" s="32"/>
      <c r="M144" s="32"/>
      <c r="N144" s="12"/>
      <c r="O144" s="12"/>
      <c r="P144" s="8" t="e">
        <v>#N/A</v>
      </c>
    </row>
    <row r="145" spans="1:16" ht="24" customHeight="1" x14ac:dyDescent="0.25">
      <c r="A145" s="10">
        <v>56</v>
      </c>
      <c r="B145" s="9">
        <v>8.6805555555555566E-2</v>
      </c>
      <c r="C145" s="5" t="s">
        <v>20</v>
      </c>
      <c r="D145" s="5">
        <v>8</v>
      </c>
      <c r="E145" s="15"/>
      <c r="F145" s="15" t="s">
        <v>22</v>
      </c>
      <c r="G145" s="32">
        <v>3840</v>
      </c>
      <c r="H145" s="32">
        <v>4680</v>
      </c>
      <c r="I145" s="32"/>
      <c r="J145" s="32"/>
      <c r="K145" s="32"/>
      <c r="L145" s="32"/>
      <c r="M145" s="32"/>
      <c r="N145" s="12"/>
      <c r="O145" s="12"/>
      <c r="P145" s="8" t="e">
        <v>#N/A</v>
      </c>
    </row>
    <row r="146" spans="1:16" ht="24" customHeight="1" x14ac:dyDescent="0.25">
      <c r="A146" s="10">
        <v>57</v>
      </c>
      <c r="B146" s="9">
        <v>8.7500000000000008E-2</v>
      </c>
      <c r="C146" s="5" t="s">
        <v>20</v>
      </c>
      <c r="D146" s="5">
        <v>10</v>
      </c>
      <c r="E146" s="15"/>
      <c r="F146" s="15" t="s">
        <v>24</v>
      </c>
      <c r="G146" s="32">
        <v>7640</v>
      </c>
      <c r="H146" s="32">
        <v>4720</v>
      </c>
      <c r="I146" s="32">
        <v>4100</v>
      </c>
      <c r="J146" s="32">
        <v>3560</v>
      </c>
      <c r="K146" s="32">
        <v>4040</v>
      </c>
      <c r="L146" s="32">
        <v>8400</v>
      </c>
      <c r="M146" s="32"/>
      <c r="N146" s="12"/>
      <c r="O146" s="12"/>
      <c r="P146" s="8" t="s">
        <v>34</v>
      </c>
    </row>
    <row r="147" spans="1:16" ht="24" customHeight="1" x14ac:dyDescent="0.25">
      <c r="A147" s="10">
        <v>58</v>
      </c>
      <c r="B147" s="9">
        <v>8.9583333333333334E-2</v>
      </c>
      <c r="C147" s="5" t="s">
        <v>20</v>
      </c>
      <c r="D147" s="5">
        <v>10</v>
      </c>
      <c r="E147" s="15"/>
      <c r="F147" s="15" t="s">
        <v>27</v>
      </c>
      <c r="G147" s="32">
        <v>3820</v>
      </c>
      <c r="H147" s="32">
        <v>2420</v>
      </c>
      <c r="I147" s="32">
        <v>2140</v>
      </c>
      <c r="J147" s="32">
        <v>2860</v>
      </c>
      <c r="K147" s="32">
        <v>2800</v>
      </c>
      <c r="L147" s="32">
        <v>2820</v>
      </c>
      <c r="M147" s="32"/>
      <c r="N147" s="12"/>
      <c r="O147" s="12"/>
      <c r="P147" s="8" t="e">
        <v>#N/A</v>
      </c>
    </row>
    <row r="148" spans="1:16" ht="24" customHeight="1" x14ac:dyDescent="0.25">
      <c r="A148" s="10">
        <v>59</v>
      </c>
      <c r="B148" s="9">
        <v>9.3055555555555558E-2</v>
      </c>
      <c r="C148" s="5" t="s">
        <v>20</v>
      </c>
      <c r="D148" s="5">
        <v>8</v>
      </c>
      <c r="E148" s="15"/>
      <c r="F148" s="15" t="s">
        <v>22</v>
      </c>
      <c r="G148" s="32">
        <v>7480</v>
      </c>
      <c r="H148" s="32">
        <v>11500</v>
      </c>
      <c r="I148" s="32"/>
      <c r="J148" s="32"/>
      <c r="K148" s="32"/>
      <c r="L148" s="32"/>
      <c r="M148" s="32"/>
      <c r="N148" s="12"/>
      <c r="O148" s="12"/>
      <c r="P148" s="8" t="s">
        <v>41</v>
      </c>
    </row>
    <row r="149" spans="1:16" ht="24" customHeight="1" x14ac:dyDescent="0.25">
      <c r="A149" s="10">
        <v>60</v>
      </c>
      <c r="B149" s="9">
        <v>9.375E-2</v>
      </c>
      <c r="C149" s="5" t="s">
        <v>20</v>
      </c>
      <c r="D149" s="5">
        <v>8</v>
      </c>
      <c r="E149" s="15"/>
      <c r="F149" s="15" t="s">
        <v>22</v>
      </c>
      <c r="G149" s="32">
        <v>6340</v>
      </c>
      <c r="H149" s="32">
        <v>11880</v>
      </c>
      <c r="I149" s="32"/>
      <c r="J149" s="32"/>
      <c r="K149" s="32"/>
      <c r="L149" s="32"/>
      <c r="M149" s="32"/>
      <c r="N149" s="12"/>
      <c r="O149" s="12"/>
      <c r="P149" s="8" t="s">
        <v>41</v>
      </c>
    </row>
    <row r="150" spans="1:16" ht="24" customHeight="1" x14ac:dyDescent="0.25">
      <c r="A150" s="10">
        <v>61</v>
      </c>
      <c r="B150" s="9">
        <v>9.4444444444444442E-2</v>
      </c>
      <c r="C150" s="5" t="s">
        <v>20</v>
      </c>
      <c r="D150" s="5">
        <v>8</v>
      </c>
      <c r="E150" s="15"/>
      <c r="F150" s="15" t="s">
        <v>22</v>
      </c>
      <c r="G150" s="32">
        <v>4000</v>
      </c>
      <c r="H150" s="32">
        <v>48000</v>
      </c>
      <c r="I150" s="32"/>
      <c r="J150" s="32"/>
      <c r="K150" s="32"/>
      <c r="L150" s="32"/>
      <c r="M150" s="32"/>
      <c r="N150" s="12"/>
      <c r="O150" s="12"/>
      <c r="P150" s="8" t="s">
        <v>39</v>
      </c>
    </row>
    <row r="151" spans="1:16" ht="24" customHeight="1" thickBot="1" x14ac:dyDescent="0.3">
      <c r="A151" s="11"/>
      <c r="B151" s="9"/>
      <c r="C151" s="5"/>
      <c r="D151" s="5"/>
      <c r="E151" s="15"/>
      <c r="F151" s="15"/>
      <c r="G151" s="13"/>
      <c r="H151" s="13"/>
      <c r="I151" s="13"/>
      <c r="J151" s="13"/>
      <c r="K151" s="13"/>
      <c r="L151" s="13"/>
      <c r="M151" s="13"/>
      <c r="N151" s="12"/>
      <c r="O151" s="12"/>
      <c r="P151" s="8"/>
    </row>
    <row r="152" spans="1:16" ht="24" customHeight="1" thickBot="1" x14ac:dyDescent="0.3">
      <c r="A152" s="11"/>
      <c r="B152" s="9"/>
      <c r="C152" s="5"/>
      <c r="D152" s="5"/>
      <c r="E152" s="15"/>
      <c r="F152" s="15"/>
      <c r="G152" s="13"/>
      <c r="H152" s="13"/>
      <c r="I152" s="13"/>
      <c r="J152" s="13"/>
      <c r="K152" s="13"/>
      <c r="L152" s="13"/>
      <c r="M152" s="13"/>
      <c r="N152" s="12"/>
      <c r="O152" s="12"/>
      <c r="P152" s="8"/>
    </row>
    <row r="153" spans="1:16" ht="24" customHeight="1" thickBot="1" x14ac:dyDescent="0.3">
      <c r="A153" s="11"/>
      <c r="B153" s="9"/>
      <c r="C153" s="5"/>
      <c r="D153" s="5"/>
      <c r="E153" s="15"/>
      <c r="F153" s="15"/>
      <c r="G153" s="13"/>
      <c r="H153" s="13"/>
      <c r="I153" s="13"/>
      <c r="J153" s="13"/>
      <c r="K153" s="13"/>
      <c r="L153" s="13"/>
      <c r="M153" s="13"/>
      <c r="N153" s="12"/>
      <c r="O153" s="12"/>
      <c r="P153" s="8"/>
    </row>
    <row r="154" spans="1:16" ht="24" customHeight="1" thickBot="1" x14ac:dyDescent="0.3">
      <c r="A154" s="11"/>
      <c r="B154" s="9"/>
      <c r="C154" s="5"/>
      <c r="D154" s="5"/>
      <c r="E154" s="15"/>
      <c r="F154" s="15"/>
      <c r="G154" s="13"/>
      <c r="H154" s="13"/>
      <c r="I154" s="13"/>
      <c r="J154" s="13"/>
      <c r="K154" s="13"/>
      <c r="L154" s="13"/>
      <c r="M154" s="13"/>
      <c r="N154" s="12"/>
      <c r="O154" s="12"/>
      <c r="P154" s="8"/>
    </row>
    <row r="155" spans="1:16" ht="24" customHeight="1" thickBot="1" x14ac:dyDescent="0.3">
      <c r="A155" s="11"/>
      <c r="B155" s="9"/>
      <c r="C155" s="5"/>
      <c r="D155" s="5"/>
      <c r="E155" s="15"/>
      <c r="F155" s="15"/>
      <c r="G155" s="13"/>
      <c r="H155" s="13"/>
      <c r="I155" s="13"/>
      <c r="J155" s="13"/>
      <c r="K155" s="13"/>
      <c r="L155" s="13"/>
      <c r="M155" s="13"/>
      <c r="N155" s="12"/>
      <c r="O155" s="12"/>
      <c r="P155" s="8"/>
    </row>
    <row r="156" spans="1:16" ht="24" customHeight="1" thickBot="1" x14ac:dyDescent="0.3">
      <c r="A156" s="11"/>
      <c r="B156" s="9"/>
      <c r="C156" s="5"/>
      <c r="D156" s="5"/>
      <c r="E156" s="15"/>
      <c r="F156" s="15"/>
      <c r="G156" s="13"/>
      <c r="H156" s="13"/>
      <c r="I156" s="13"/>
      <c r="J156" s="13"/>
      <c r="K156" s="13"/>
      <c r="L156" s="13"/>
      <c r="M156" s="13"/>
      <c r="N156" s="12"/>
      <c r="O156" s="12"/>
      <c r="P156" s="8"/>
    </row>
    <row r="157" spans="1:16" ht="24" customHeight="1" thickBot="1" x14ac:dyDescent="0.3">
      <c r="A157" s="11"/>
      <c r="B157" s="9"/>
      <c r="C157" s="5"/>
      <c r="D157" s="5"/>
      <c r="E157" s="15"/>
      <c r="F157" s="15"/>
      <c r="G157" s="13"/>
      <c r="H157" s="13"/>
      <c r="I157" s="13"/>
      <c r="J157" s="13"/>
      <c r="K157" s="13"/>
      <c r="L157" s="13"/>
      <c r="M157" s="13"/>
      <c r="N157" s="12"/>
      <c r="O157" s="12"/>
      <c r="P157" s="8"/>
    </row>
    <row r="158" spans="1:16" ht="24" customHeight="1" thickBot="1" x14ac:dyDescent="0.3">
      <c r="A158" s="11"/>
      <c r="B158" s="9"/>
      <c r="C158" s="5"/>
      <c r="D158" s="5"/>
      <c r="E158" s="15"/>
      <c r="F158" s="15"/>
      <c r="G158" s="13"/>
      <c r="H158" s="13"/>
      <c r="I158" s="13"/>
      <c r="J158" s="13"/>
      <c r="K158" s="13"/>
      <c r="L158" s="13"/>
      <c r="M158" s="13"/>
      <c r="N158" s="12"/>
      <c r="O158" s="12"/>
      <c r="P158" s="8"/>
    </row>
    <row r="159" spans="1:16" ht="24" customHeight="1" thickBot="1" x14ac:dyDescent="0.3">
      <c r="A159" s="11"/>
      <c r="B159" s="9"/>
      <c r="C159" s="5"/>
      <c r="D159" s="5"/>
      <c r="E159" s="15"/>
      <c r="F159" s="15"/>
      <c r="G159" s="13"/>
      <c r="H159" s="13"/>
      <c r="I159" s="13"/>
      <c r="J159" s="13"/>
      <c r="K159" s="13"/>
      <c r="L159" s="13"/>
      <c r="M159" s="13"/>
      <c r="N159" s="12"/>
      <c r="O159" s="12"/>
      <c r="P159" s="8"/>
    </row>
    <row r="160" spans="1:16" ht="24" customHeight="1" thickBot="1" x14ac:dyDescent="0.3">
      <c r="A160" s="11"/>
      <c r="B160" s="9"/>
      <c r="C160" s="5"/>
      <c r="D160" s="5"/>
      <c r="E160" s="15"/>
      <c r="F160" s="15"/>
      <c r="G160" s="13"/>
      <c r="H160" s="13"/>
      <c r="I160" s="13"/>
      <c r="J160" s="13"/>
      <c r="K160" s="13"/>
      <c r="L160" s="13"/>
      <c r="M160" s="13"/>
      <c r="N160" s="12"/>
      <c r="O160" s="12"/>
      <c r="P160" s="8"/>
    </row>
    <row r="161" spans="1:16" ht="24" customHeight="1" thickBot="1" x14ac:dyDescent="0.3">
      <c r="A161" s="11"/>
      <c r="B161" s="9"/>
      <c r="C161" s="5"/>
      <c r="D161" s="5"/>
      <c r="E161" s="15"/>
      <c r="F161" s="15"/>
      <c r="G161" s="13"/>
      <c r="H161" s="13"/>
      <c r="I161" s="13"/>
      <c r="J161" s="13"/>
      <c r="K161" s="13"/>
      <c r="L161" s="13"/>
      <c r="M161" s="13"/>
      <c r="N161" s="12"/>
      <c r="O161" s="12"/>
      <c r="P161" s="8"/>
    </row>
    <row r="162" spans="1:16" ht="24" customHeight="1" thickBot="1" x14ac:dyDescent="0.3">
      <c r="A162" s="11"/>
      <c r="B162" s="9"/>
      <c r="C162" s="5"/>
      <c r="D162" s="5"/>
      <c r="E162" s="15"/>
      <c r="F162" s="15"/>
      <c r="G162" s="13"/>
      <c r="H162" s="13"/>
      <c r="I162" s="13"/>
      <c r="J162" s="13"/>
      <c r="K162" s="13"/>
      <c r="L162" s="13"/>
      <c r="M162" s="13"/>
      <c r="N162" s="12"/>
      <c r="O162" s="12"/>
      <c r="P162" s="8"/>
    </row>
    <row r="163" spans="1:16" ht="24" customHeight="1" thickBot="1" x14ac:dyDescent="0.3">
      <c r="A163" s="11"/>
      <c r="B163" s="9"/>
      <c r="C163" s="5"/>
      <c r="D163" s="5"/>
      <c r="E163" s="15"/>
      <c r="F163" s="15"/>
      <c r="G163" s="13"/>
      <c r="H163" s="13"/>
      <c r="I163" s="13"/>
      <c r="J163" s="13"/>
      <c r="K163" s="13"/>
      <c r="L163" s="13"/>
      <c r="M163" s="13"/>
      <c r="N163" s="12"/>
      <c r="O163" s="12"/>
      <c r="P163" s="8"/>
    </row>
    <row r="164" spans="1:16" ht="24" customHeight="1" thickBot="1" x14ac:dyDescent="0.3">
      <c r="A164" s="11"/>
      <c r="B164" s="9"/>
      <c r="C164" s="5"/>
      <c r="D164" s="5"/>
      <c r="E164" s="15"/>
      <c r="F164" s="15"/>
      <c r="G164" s="13"/>
      <c r="H164" s="13"/>
      <c r="I164" s="13"/>
      <c r="J164" s="13"/>
      <c r="K164" s="13"/>
      <c r="L164" s="13"/>
      <c r="M164" s="13"/>
      <c r="N164" s="12"/>
      <c r="O164" s="12"/>
      <c r="P164" s="8"/>
    </row>
    <row r="165" spans="1:16" ht="24" customHeight="1" thickBot="1" x14ac:dyDescent="0.3">
      <c r="A165" s="11"/>
      <c r="B165" s="9"/>
      <c r="C165" s="5"/>
      <c r="D165" s="5"/>
      <c r="E165" s="15"/>
      <c r="F165" s="15"/>
      <c r="G165" s="13"/>
      <c r="H165" s="13"/>
      <c r="I165" s="13"/>
      <c r="J165" s="13"/>
      <c r="K165" s="13"/>
      <c r="L165" s="13"/>
      <c r="M165" s="13"/>
      <c r="N165" s="12"/>
      <c r="O165" s="12"/>
      <c r="P165" s="8"/>
    </row>
    <row r="166" spans="1:16" ht="24" customHeight="1" thickBot="1" x14ac:dyDescent="0.3">
      <c r="A166" s="11"/>
      <c r="B166" s="9"/>
      <c r="C166" s="5"/>
      <c r="D166" s="5"/>
      <c r="E166" s="15"/>
      <c r="F166" s="15"/>
      <c r="G166" s="13"/>
      <c r="H166" s="13"/>
      <c r="I166" s="13"/>
      <c r="J166" s="13"/>
      <c r="K166" s="13"/>
      <c r="L166" s="13"/>
      <c r="M166" s="13"/>
      <c r="N166" s="12"/>
      <c r="O166" s="12"/>
      <c r="P166" s="8"/>
    </row>
    <row r="167" spans="1:16" ht="24" customHeight="1" thickBot="1" x14ac:dyDescent="0.3">
      <c r="A167" s="11"/>
      <c r="B167" s="9"/>
      <c r="C167" s="5"/>
      <c r="D167" s="5"/>
      <c r="E167" s="15"/>
      <c r="F167" s="15"/>
      <c r="G167" s="13"/>
      <c r="H167" s="13"/>
      <c r="I167" s="13"/>
      <c r="J167" s="13"/>
      <c r="K167" s="13"/>
      <c r="L167" s="13"/>
      <c r="M167" s="13"/>
      <c r="N167" s="12"/>
      <c r="O167" s="12"/>
      <c r="P167" s="8"/>
    </row>
    <row r="168" spans="1:16" ht="24" customHeight="1" thickBot="1" x14ac:dyDescent="0.3">
      <c r="A168" s="11"/>
      <c r="B168" s="9"/>
      <c r="C168" s="5"/>
      <c r="D168" s="5"/>
      <c r="E168" s="15"/>
      <c r="F168" s="15"/>
      <c r="G168" s="13"/>
      <c r="H168" s="13"/>
      <c r="I168" s="13"/>
      <c r="J168" s="13"/>
      <c r="K168" s="13"/>
      <c r="L168" s="13"/>
      <c r="M168" s="13"/>
      <c r="N168" s="12"/>
      <c r="O168" s="12"/>
      <c r="P168" s="8"/>
    </row>
    <row r="169" spans="1:16" ht="24" customHeight="1" thickBot="1" x14ac:dyDescent="0.3">
      <c r="A169" s="11"/>
      <c r="B169" s="9"/>
      <c r="C169" s="5"/>
      <c r="D169" s="5"/>
      <c r="E169" s="15"/>
      <c r="F169" s="15"/>
      <c r="G169" s="13"/>
      <c r="H169" s="13"/>
      <c r="I169" s="13"/>
      <c r="J169" s="13"/>
      <c r="K169" s="13"/>
      <c r="L169" s="13"/>
      <c r="M169" s="13"/>
      <c r="N169" s="12"/>
      <c r="O169" s="12"/>
      <c r="P169" s="8"/>
    </row>
    <row r="170" spans="1:16" ht="24" customHeight="1" thickBot="1" x14ac:dyDescent="0.3">
      <c r="A170" s="11"/>
      <c r="B170" s="9"/>
      <c r="C170" s="5"/>
      <c r="D170" s="5"/>
      <c r="E170" s="15"/>
      <c r="F170" s="15"/>
      <c r="G170" s="13"/>
      <c r="H170" s="13"/>
      <c r="I170" s="13"/>
      <c r="J170" s="13"/>
      <c r="K170" s="13"/>
      <c r="L170" s="13"/>
      <c r="M170" s="13"/>
      <c r="N170" s="12"/>
      <c r="O170" s="12"/>
      <c r="P170" s="8"/>
    </row>
    <row r="171" spans="1:16" ht="24" customHeight="1" thickBot="1" x14ac:dyDescent="0.3">
      <c r="A171" s="11"/>
      <c r="B171" s="9"/>
      <c r="C171" s="5"/>
      <c r="D171" s="5"/>
      <c r="E171" s="15"/>
      <c r="F171" s="15"/>
      <c r="G171" s="13"/>
      <c r="H171" s="13"/>
      <c r="I171" s="13"/>
      <c r="J171" s="13"/>
      <c r="K171" s="13"/>
      <c r="L171" s="13"/>
      <c r="M171" s="13"/>
      <c r="N171" s="12"/>
      <c r="O171" s="12"/>
      <c r="P171" s="8"/>
    </row>
    <row r="172" spans="1:16" ht="24" customHeight="1" thickBot="1" x14ac:dyDescent="0.3">
      <c r="A172" s="11"/>
      <c r="B172" s="9"/>
      <c r="C172" s="5"/>
      <c r="D172" s="5"/>
      <c r="E172" s="15"/>
      <c r="F172" s="15"/>
      <c r="G172" s="13"/>
      <c r="H172" s="13"/>
      <c r="I172" s="13"/>
      <c r="J172" s="13"/>
      <c r="K172" s="13"/>
      <c r="L172" s="13"/>
      <c r="M172" s="13"/>
      <c r="N172" s="12"/>
      <c r="O172" s="12"/>
      <c r="P172" s="8"/>
    </row>
  </sheetData>
  <mergeCells count="13">
    <mergeCell ref="A1:P1"/>
    <mergeCell ref="O5:O6"/>
    <mergeCell ref="P5:P6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230"/>
  <sheetViews>
    <sheetView view="pageBreakPreview" zoomScale="60" zoomScaleNormal="100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P7" sqref="P7:Y7"/>
    </sheetView>
  </sheetViews>
  <sheetFormatPr defaultRowHeight="15" x14ac:dyDescent="0.25"/>
  <cols>
    <col min="1" max="1" width="6.140625" customWidth="1"/>
    <col min="2" max="2" width="9.28515625" bestFit="1" customWidth="1"/>
    <col min="3" max="3" width="15.5703125" customWidth="1"/>
    <col min="4" max="4" width="9.42578125" customWidth="1"/>
    <col min="5" max="5" width="9.140625" style="16" customWidth="1"/>
    <col min="6" max="6" width="15.5703125" style="16" customWidth="1"/>
    <col min="7" max="12" width="11" bestFit="1" customWidth="1"/>
    <col min="13" max="13" width="10.42578125" bestFit="1" customWidth="1"/>
    <col min="14" max="14" width="13.140625" customWidth="1"/>
    <col min="15" max="25" width="13.28515625" customWidth="1"/>
    <col min="26" max="26" width="28.28515625" bestFit="1" customWidth="1"/>
    <col min="34" max="34" width="12.42578125" customWidth="1"/>
  </cols>
  <sheetData>
    <row r="1" spans="1:34" ht="18.75" x14ac:dyDescent="0.3">
      <c r="A1" s="81" t="s">
        <v>55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34" x14ac:dyDescent="0.25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61"/>
      <c r="Q2" s="61"/>
      <c r="R2" s="61"/>
      <c r="S2" s="61"/>
      <c r="T2" s="61"/>
      <c r="U2" s="61"/>
      <c r="V2" s="61"/>
      <c r="W2" s="31"/>
      <c r="X2" s="31"/>
      <c r="Y2" s="31"/>
    </row>
    <row r="3" spans="1:34" x14ac:dyDescent="0.25">
      <c r="A3" s="2" t="s">
        <v>1</v>
      </c>
      <c r="B3" s="2"/>
      <c r="C3" s="2"/>
      <c r="D3" s="2" t="s">
        <v>2</v>
      </c>
      <c r="E3" s="18"/>
      <c r="F3" s="14" t="s">
        <v>56</v>
      </c>
      <c r="G3" s="2"/>
      <c r="H3" s="3"/>
      <c r="I3" s="2"/>
      <c r="J3" s="2"/>
      <c r="K3" s="2"/>
      <c r="L3" s="2"/>
      <c r="M3" s="3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34" ht="15.75" thickBot="1" x14ac:dyDescent="0.3">
      <c r="A4" s="93">
        <v>43704</v>
      </c>
      <c r="B4" s="93"/>
      <c r="C4" s="2"/>
      <c r="D4" s="6"/>
      <c r="E4" s="18"/>
      <c r="F4" s="14"/>
      <c r="G4" s="2"/>
      <c r="H4" s="22" t="s">
        <v>52</v>
      </c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34" s="1" customFormat="1" ht="14.45" customHeight="1" x14ac:dyDescent="0.25">
      <c r="A5" s="86" t="s">
        <v>3</v>
      </c>
      <c r="B5" s="88" t="s">
        <v>4</v>
      </c>
      <c r="C5" s="85" t="s">
        <v>5</v>
      </c>
      <c r="D5" s="85" t="s">
        <v>16</v>
      </c>
      <c r="E5" s="91" t="s">
        <v>6</v>
      </c>
      <c r="F5" s="91" t="s">
        <v>7</v>
      </c>
      <c r="G5" s="7" t="s">
        <v>17</v>
      </c>
      <c r="H5" s="85" t="s">
        <v>51</v>
      </c>
      <c r="I5" s="85"/>
      <c r="J5" s="85"/>
      <c r="K5" s="85"/>
      <c r="L5" s="85"/>
      <c r="M5" s="85"/>
      <c r="N5" s="85" t="s">
        <v>15</v>
      </c>
      <c r="O5" s="85" t="s">
        <v>18</v>
      </c>
      <c r="P5" s="96" t="s">
        <v>133</v>
      </c>
      <c r="Q5" s="97"/>
      <c r="R5" s="97"/>
      <c r="S5" s="97"/>
      <c r="T5" s="97"/>
      <c r="U5" s="97"/>
      <c r="V5" s="98"/>
      <c r="W5" s="94" t="s">
        <v>57</v>
      </c>
      <c r="X5" s="94" t="s">
        <v>58</v>
      </c>
      <c r="Y5" s="94" t="s">
        <v>134</v>
      </c>
      <c r="Z5" s="82" t="s">
        <v>19</v>
      </c>
      <c r="AB5" s="7" t="s">
        <v>17</v>
      </c>
      <c r="AC5" s="85" t="s">
        <v>51</v>
      </c>
      <c r="AD5" s="85"/>
      <c r="AE5" s="85"/>
      <c r="AF5" s="85"/>
      <c r="AG5" s="85"/>
      <c r="AH5" s="85"/>
    </row>
    <row r="6" spans="1:34" ht="13.9" customHeight="1" thickBot="1" x14ac:dyDescent="0.3">
      <c r="A6" s="87"/>
      <c r="B6" s="89"/>
      <c r="C6" s="90"/>
      <c r="D6" s="90"/>
      <c r="E6" s="92"/>
      <c r="F6" s="92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0"/>
      <c r="O6" s="90"/>
      <c r="P6" s="63" t="s">
        <v>8</v>
      </c>
      <c r="Q6" s="62" t="s">
        <v>9</v>
      </c>
      <c r="R6" s="63" t="s">
        <v>10</v>
      </c>
      <c r="S6" s="62" t="s">
        <v>11</v>
      </c>
      <c r="T6" s="63" t="s">
        <v>12</v>
      </c>
      <c r="U6" s="62" t="s">
        <v>13</v>
      </c>
      <c r="V6" s="63" t="s">
        <v>14</v>
      </c>
      <c r="W6" s="95"/>
      <c r="X6" s="95"/>
      <c r="Y6" s="95"/>
      <c r="Z6" s="83"/>
      <c r="AB6" s="20" t="s">
        <v>8</v>
      </c>
      <c r="AC6" s="20" t="s">
        <v>9</v>
      </c>
      <c r="AD6" s="20" t="s">
        <v>10</v>
      </c>
      <c r="AE6" s="20" t="s">
        <v>11</v>
      </c>
      <c r="AF6" s="20" t="s">
        <v>12</v>
      </c>
      <c r="AG6" s="20" t="s">
        <v>13</v>
      </c>
      <c r="AH6" s="20" t="s">
        <v>14</v>
      </c>
    </row>
    <row r="7" spans="1:34" ht="24" customHeight="1" x14ac:dyDescent="0.25">
      <c r="A7" s="10">
        <v>1</v>
      </c>
      <c r="B7" s="9">
        <v>0.34375</v>
      </c>
      <c r="C7" s="5" t="s">
        <v>20</v>
      </c>
      <c r="D7" s="5">
        <f t="shared" ref="D7:D70" si="0">IF(COUNT(G7:M7)&gt;3,10,IF(COUNT(G7:M7)&gt;2,9,7))</f>
        <v>7</v>
      </c>
      <c r="E7" s="15"/>
      <c r="F7" s="15" t="s">
        <v>22</v>
      </c>
      <c r="G7" s="19">
        <f>AB7/1000</f>
        <v>9.08</v>
      </c>
      <c r="H7" s="19">
        <f>AC7/1000</f>
        <v>11.16</v>
      </c>
      <c r="I7" s="19"/>
      <c r="J7" s="19"/>
      <c r="K7" s="19"/>
      <c r="L7" s="19"/>
      <c r="M7" s="19"/>
      <c r="N7" s="36">
        <f>SUM(G7:M7)</f>
        <v>20.240000000000002</v>
      </c>
      <c r="O7" s="36">
        <f t="shared" ref="O7:O70" si="1">(N7/8.16)^4.5</f>
        <v>59.613081574653862</v>
      </c>
      <c r="P7" s="37">
        <v>8</v>
      </c>
      <c r="Q7" s="37">
        <v>10</v>
      </c>
      <c r="R7" s="37">
        <v>9</v>
      </c>
      <c r="S7" s="37">
        <v>9</v>
      </c>
      <c r="T7" s="37">
        <v>9</v>
      </c>
      <c r="U7" s="37">
        <v>9</v>
      </c>
      <c r="V7" s="37">
        <v>9</v>
      </c>
      <c r="W7" s="38" t="str">
        <f>IF(G7&gt;P7,"Y",IF(H7&gt;Q7,"Y",IF(I7&gt;R7,"Y",IF(J7&gt;S7,"Y",IF(K7&gt;T7,"Y",IF(L7&gt;U7,"Y",IF(M7&gt;V7,"Y","N")))))))</f>
        <v>Y</v>
      </c>
      <c r="X7" s="64">
        <f>IF(W7="Y",MAX((G7-P7),(H7-Q7),(I7-R7),(J7-S7),(K7-T7),(L7-U7),(M7-V7))/10,0)</f>
        <v>0.11600000000000002</v>
      </c>
      <c r="Y7" s="64" t="str">
        <f>IF(X7&lt;5%,"0-4.9%",IF(X7&lt;25%,"5-25%",IF(X7&lt;50%,"25-50%","Over 50%")))</f>
        <v>5-25%</v>
      </c>
      <c r="Z7" s="8" t="s">
        <v>34</v>
      </c>
      <c r="AB7" s="32">
        <v>9080</v>
      </c>
      <c r="AC7" s="32">
        <v>11160</v>
      </c>
      <c r="AD7" s="32"/>
      <c r="AE7" s="32"/>
      <c r="AF7" s="32"/>
      <c r="AG7" s="32"/>
      <c r="AH7" s="13"/>
    </row>
    <row r="8" spans="1:34" ht="24" customHeight="1" x14ac:dyDescent="0.25">
      <c r="A8" s="10">
        <v>2</v>
      </c>
      <c r="B8" s="9">
        <v>0.34722222222222227</v>
      </c>
      <c r="C8" s="5" t="s">
        <v>20</v>
      </c>
      <c r="D8" s="5">
        <f t="shared" si="0"/>
        <v>7</v>
      </c>
      <c r="E8" s="15"/>
      <c r="F8" s="15" t="s">
        <v>22</v>
      </c>
      <c r="G8" s="19">
        <f t="shared" ref="G8:G71" si="2">AB8/1000</f>
        <v>1.96</v>
      </c>
      <c r="H8" s="19">
        <f t="shared" ref="H8:H71" si="3">AC8/1000</f>
        <v>1.72</v>
      </c>
      <c r="I8" s="19"/>
      <c r="J8" s="19"/>
      <c r="K8" s="19"/>
      <c r="L8" s="19"/>
      <c r="M8" s="19"/>
      <c r="N8" s="36">
        <f t="shared" ref="N8:N71" si="4">SUM(G8:M8)</f>
        <v>3.6799999999999997</v>
      </c>
      <c r="O8" s="36">
        <f t="shared" si="1"/>
        <v>2.7778543423824353E-2</v>
      </c>
      <c r="P8" s="37">
        <v>8</v>
      </c>
      <c r="Q8" s="37">
        <v>10</v>
      </c>
      <c r="R8" s="37">
        <v>9</v>
      </c>
      <c r="S8" s="37">
        <v>9</v>
      </c>
      <c r="T8" s="37">
        <v>9</v>
      </c>
      <c r="U8" s="37">
        <v>9</v>
      </c>
      <c r="V8" s="37">
        <v>9</v>
      </c>
      <c r="W8" s="38" t="str">
        <f t="shared" ref="W8:W71" si="5">IF(G8&gt;P8,"Y",IF(H8&gt;Q8,"Y",IF(I8&gt;R8,"Y",IF(J8&gt;S8,"Y",IF(K8&gt;T8,"Y",IF(L8&gt;U8,"Y",IF(M8&gt;V8,"Y","N")))))))</f>
        <v>N</v>
      </c>
      <c r="X8" s="64">
        <f t="shared" ref="X8:X71" si="6">IF(W8="Y",MAX((G8-P8),(H8-Q8),(I8-R8),(J8-S8),(K8-T8),(L8-U8),(M8-V8))/10,0)</f>
        <v>0</v>
      </c>
      <c r="Y8" s="64" t="str">
        <f t="shared" ref="Y8:Y71" si="7">IF(X8&lt;5%,"0-4.9%",IF(X8&lt;25%,"5-25%",IF(X8&lt;50%,"25-50%","Over 50%")))</f>
        <v>0-4.9%</v>
      </c>
      <c r="Z8" s="8" t="s">
        <v>108</v>
      </c>
      <c r="AB8" s="32">
        <v>1960</v>
      </c>
      <c r="AC8" s="32">
        <v>1720</v>
      </c>
      <c r="AD8" s="32"/>
      <c r="AE8" s="32"/>
      <c r="AF8" s="32"/>
      <c r="AG8" s="32"/>
      <c r="AH8" s="13"/>
    </row>
    <row r="9" spans="1:34" ht="24" customHeight="1" x14ac:dyDescent="0.25">
      <c r="A9" s="10">
        <v>4</v>
      </c>
      <c r="B9" s="9">
        <v>0.3520833333333333</v>
      </c>
      <c r="C9" s="5" t="s">
        <v>20</v>
      </c>
      <c r="D9" s="5">
        <f t="shared" si="0"/>
        <v>7</v>
      </c>
      <c r="E9" s="15"/>
      <c r="F9" s="15" t="s">
        <v>22</v>
      </c>
      <c r="G9" s="19">
        <f t="shared" si="2"/>
        <v>2.02</v>
      </c>
      <c r="H9" s="19">
        <f t="shared" si="3"/>
        <v>3.94</v>
      </c>
      <c r="I9" s="19"/>
      <c r="J9" s="19"/>
      <c r="K9" s="19"/>
      <c r="L9" s="19"/>
      <c r="M9" s="19"/>
      <c r="N9" s="36">
        <f t="shared" si="4"/>
        <v>5.96</v>
      </c>
      <c r="O9" s="36">
        <f t="shared" si="1"/>
        <v>0.24322177548447985</v>
      </c>
      <c r="P9" s="37">
        <v>8</v>
      </c>
      <c r="Q9" s="37">
        <v>10</v>
      </c>
      <c r="R9" s="37">
        <v>9</v>
      </c>
      <c r="S9" s="37">
        <v>9</v>
      </c>
      <c r="T9" s="37">
        <v>9</v>
      </c>
      <c r="U9" s="37">
        <v>9</v>
      </c>
      <c r="V9" s="37">
        <v>9</v>
      </c>
      <c r="W9" s="38" t="str">
        <f t="shared" si="5"/>
        <v>N</v>
      </c>
      <c r="X9" s="64">
        <f t="shared" si="6"/>
        <v>0</v>
      </c>
      <c r="Y9" s="64" t="str">
        <f t="shared" si="7"/>
        <v>0-4.9%</v>
      </c>
      <c r="Z9" s="8" t="s">
        <v>108</v>
      </c>
      <c r="AB9" s="32">
        <v>2020</v>
      </c>
      <c r="AC9" s="32">
        <v>3940</v>
      </c>
      <c r="AD9" s="32"/>
      <c r="AE9" s="32"/>
      <c r="AF9" s="32"/>
      <c r="AG9" s="32"/>
      <c r="AH9" s="13"/>
    </row>
    <row r="10" spans="1:34" ht="24" customHeight="1" x14ac:dyDescent="0.25">
      <c r="A10" s="10">
        <v>5</v>
      </c>
      <c r="B10" s="9">
        <v>0.35347222222222219</v>
      </c>
      <c r="C10" s="5" t="s">
        <v>20</v>
      </c>
      <c r="D10" s="5">
        <f t="shared" si="0"/>
        <v>7</v>
      </c>
      <c r="E10" s="15"/>
      <c r="F10" s="15" t="s">
        <v>22</v>
      </c>
      <c r="G10" s="19">
        <f t="shared" si="2"/>
        <v>3.98</v>
      </c>
      <c r="H10" s="19">
        <f t="shared" si="3"/>
        <v>4.34</v>
      </c>
      <c r="I10" s="19"/>
      <c r="J10" s="19"/>
      <c r="K10" s="19"/>
      <c r="L10" s="19"/>
      <c r="M10" s="19"/>
      <c r="N10" s="36">
        <f t="shared" si="4"/>
        <v>8.32</v>
      </c>
      <c r="O10" s="36">
        <f t="shared" si="1"/>
        <v>1.091312812177349</v>
      </c>
      <c r="P10" s="37">
        <v>8</v>
      </c>
      <c r="Q10" s="37">
        <v>10</v>
      </c>
      <c r="R10" s="37">
        <v>9</v>
      </c>
      <c r="S10" s="37">
        <v>9</v>
      </c>
      <c r="T10" s="37">
        <v>9</v>
      </c>
      <c r="U10" s="37">
        <v>9</v>
      </c>
      <c r="V10" s="37">
        <v>9</v>
      </c>
      <c r="W10" s="38" t="str">
        <f t="shared" si="5"/>
        <v>N</v>
      </c>
      <c r="X10" s="64">
        <f t="shared" si="6"/>
        <v>0</v>
      </c>
      <c r="Y10" s="64" t="str">
        <f t="shared" si="7"/>
        <v>0-4.9%</v>
      </c>
      <c r="Z10" s="8" t="s">
        <v>108</v>
      </c>
      <c r="AB10" s="32">
        <v>3980</v>
      </c>
      <c r="AC10" s="32">
        <v>4340</v>
      </c>
      <c r="AD10" s="32"/>
      <c r="AE10" s="32"/>
      <c r="AF10" s="32"/>
      <c r="AG10" s="32"/>
      <c r="AH10" s="13"/>
    </row>
    <row r="11" spans="1:34" ht="24" customHeight="1" x14ac:dyDescent="0.25">
      <c r="A11" s="10">
        <v>6</v>
      </c>
      <c r="B11" s="9">
        <v>0.35625000000000001</v>
      </c>
      <c r="C11" s="5" t="s">
        <v>20</v>
      </c>
      <c r="D11" s="5">
        <f t="shared" si="0"/>
        <v>7</v>
      </c>
      <c r="E11" s="15"/>
      <c r="F11" s="15" t="s">
        <v>22</v>
      </c>
      <c r="G11" s="19">
        <f t="shared" si="2"/>
        <v>3.2</v>
      </c>
      <c r="H11" s="19">
        <f t="shared" si="3"/>
        <v>6.7</v>
      </c>
      <c r="I11" s="19"/>
      <c r="J11" s="19"/>
      <c r="K11" s="19"/>
      <c r="L11" s="19"/>
      <c r="M11" s="19"/>
      <c r="N11" s="36">
        <f t="shared" si="4"/>
        <v>9.9</v>
      </c>
      <c r="O11" s="36">
        <f t="shared" si="1"/>
        <v>2.38645176759593</v>
      </c>
      <c r="P11" s="37">
        <v>8</v>
      </c>
      <c r="Q11" s="37">
        <v>10</v>
      </c>
      <c r="R11" s="37">
        <v>9</v>
      </c>
      <c r="S11" s="37">
        <v>9</v>
      </c>
      <c r="T11" s="37">
        <v>9</v>
      </c>
      <c r="U11" s="37">
        <v>9</v>
      </c>
      <c r="V11" s="37">
        <v>9</v>
      </c>
      <c r="W11" s="38" t="str">
        <f t="shared" si="5"/>
        <v>N</v>
      </c>
      <c r="X11" s="64">
        <f t="shared" si="6"/>
        <v>0</v>
      </c>
      <c r="Y11" s="64" t="str">
        <f t="shared" si="7"/>
        <v>0-4.9%</v>
      </c>
      <c r="Z11" s="8" t="s">
        <v>108</v>
      </c>
      <c r="AB11" s="32">
        <v>3200</v>
      </c>
      <c r="AC11" s="32">
        <v>6700</v>
      </c>
      <c r="AD11" s="32"/>
      <c r="AE11" s="32"/>
      <c r="AF11" s="32"/>
      <c r="AG11" s="32"/>
      <c r="AH11" s="13"/>
    </row>
    <row r="12" spans="1:34" ht="24" customHeight="1" x14ac:dyDescent="0.25">
      <c r="A12" s="10">
        <v>8</v>
      </c>
      <c r="B12" s="9">
        <v>0.35902777777777778</v>
      </c>
      <c r="C12" s="5" t="s">
        <v>20</v>
      </c>
      <c r="D12" s="5">
        <f t="shared" si="0"/>
        <v>7</v>
      </c>
      <c r="E12" s="15"/>
      <c r="F12" s="15" t="s">
        <v>22</v>
      </c>
      <c r="G12" s="19">
        <f t="shared" si="2"/>
        <v>9.18</v>
      </c>
      <c r="H12" s="19">
        <f t="shared" si="3"/>
        <v>16.52</v>
      </c>
      <c r="I12" s="19"/>
      <c r="J12" s="19"/>
      <c r="K12" s="19"/>
      <c r="L12" s="19"/>
      <c r="M12" s="19"/>
      <c r="N12" s="36">
        <f t="shared" si="4"/>
        <v>25.7</v>
      </c>
      <c r="O12" s="36">
        <f t="shared" si="1"/>
        <v>174.61974134965143</v>
      </c>
      <c r="P12" s="37">
        <v>8</v>
      </c>
      <c r="Q12" s="37">
        <v>10</v>
      </c>
      <c r="R12" s="37">
        <v>9</v>
      </c>
      <c r="S12" s="37">
        <v>9</v>
      </c>
      <c r="T12" s="37">
        <v>9</v>
      </c>
      <c r="U12" s="37">
        <v>9</v>
      </c>
      <c r="V12" s="37">
        <v>9</v>
      </c>
      <c r="W12" s="38" t="str">
        <f t="shared" si="5"/>
        <v>Y</v>
      </c>
      <c r="X12" s="64">
        <f t="shared" si="6"/>
        <v>0.65199999999999991</v>
      </c>
      <c r="Y12" s="64" t="str">
        <f t="shared" si="7"/>
        <v>Over 50%</v>
      </c>
      <c r="Z12" s="8" t="s">
        <v>125</v>
      </c>
      <c r="AB12" s="32">
        <v>9180</v>
      </c>
      <c r="AC12" s="32">
        <v>16520</v>
      </c>
      <c r="AD12" s="32"/>
      <c r="AE12" s="32"/>
      <c r="AF12" s="32"/>
      <c r="AG12" s="32"/>
      <c r="AH12" s="13"/>
    </row>
    <row r="13" spans="1:34" ht="24" customHeight="1" x14ac:dyDescent="0.25">
      <c r="A13" s="10">
        <v>9</v>
      </c>
      <c r="B13" s="9">
        <v>0.35972222222222222</v>
      </c>
      <c r="C13" s="5" t="s">
        <v>20</v>
      </c>
      <c r="D13" s="5">
        <f t="shared" si="0"/>
        <v>7</v>
      </c>
      <c r="E13" s="15"/>
      <c r="F13" s="15" t="s">
        <v>22</v>
      </c>
      <c r="G13" s="19">
        <f t="shared" si="2"/>
        <v>3.16</v>
      </c>
      <c r="H13" s="19">
        <f t="shared" si="3"/>
        <v>3.4</v>
      </c>
      <c r="I13" s="19"/>
      <c r="J13" s="19"/>
      <c r="K13" s="19"/>
      <c r="L13" s="19"/>
      <c r="M13" s="19"/>
      <c r="N13" s="36">
        <f t="shared" si="4"/>
        <v>6.5600000000000005</v>
      </c>
      <c r="O13" s="36">
        <f t="shared" si="1"/>
        <v>0.37450839973027406</v>
      </c>
      <c r="P13" s="37">
        <v>8</v>
      </c>
      <c r="Q13" s="37">
        <v>10</v>
      </c>
      <c r="R13" s="37">
        <v>9</v>
      </c>
      <c r="S13" s="37">
        <v>9</v>
      </c>
      <c r="T13" s="37">
        <v>9</v>
      </c>
      <c r="U13" s="37">
        <v>9</v>
      </c>
      <c r="V13" s="37">
        <v>9</v>
      </c>
      <c r="W13" s="38" t="str">
        <f t="shared" si="5"/>
        <v>N</v>
      </c>
      <c r="X13" s="64">
        <f t="shared" si="6"/>
        <v>0</v>
      </c>
      <c r="Y13" s="64" t="str">
        <f t="shared" si="7"/>
        <v>0-4.9%</v>
      </c>
      <c r="Z13" s="8" t="s">
        <v>108</v>
      </c>
      <c r="AB13" s="32">
        <v>3160</v>
      </c>
      <c r="AC13" s="32">
        <v>3400</v>
      </c>
      <c r="AD13" s="32"/>
      <c r="AE13" s="32"/>
      <c r="AF13" s="32"/>
      <c r="AG13" s="32"/>
      <c r="AH13" s="13"/>
    </row>
    <row r="14" spans="1:34" ht="24" customHeight="1" x14ac:dyDescent="0.25">
      <c r="A14" s="10">
        <v>10</v>
      </c>
      <c r="B14" s="9">
        <v>0.3659722222222222</v>
      </c>
      <c r="C14" s="5" t="s">
        <v>20</v>
      </c>
      <c r="D14" s="5">
        <f t="shared" si="0"/>
        <v>7</v>
      </c>
      <c r="E14" s="15"/>
      <c r="F14" s="15" t="s">
        <v>22</v>
      </c>
      <c r="G14" s="19">
        <f t="shared" si="2"/>
        <v>3.36</v>
      </c>
      <c r="H14" s="19">
        <f t="shared" si="3"/>
        <v>3.22</v>
      </c>
      <c r="I14" s="19"/>
      <c r="J14" s="19"/>
      <c r="K14" s="19"/>
      <c r="L14" s="19"/>
      <c r="M14" s="19"/>
      <c r="N14" s="36">
        <f t="shared" si="4"/>
        <v>6.58</v>
      </c>
      <c r="O14" s="36">
        <f t="shared" si="1"/>
        <v>0.3796739555121893</v>
      </c>
      <c r="P14" s="37">
        <v>8</v>
      </c>
      <c r="Q14" s="37">
        <v>10</v>
      </c>
      <c r="R14" s="37">
        <v>9</v>
      </c>
      <c r="S14" s="37">
        <v>9</v>
      </c>
      <c r="T14" s="37">
        <v>9</v>
      </c>
      <c r="U14" s="37">
        <v>9</v>
      </c>
      <c r="V14" s="37">
        <v>9</v>
      </c>
      <c r="W14" s="38" t="str">
        <f t="shared" si="5"/>
        <v>N</v>
      </c>
      <c r="X14" s="64">
        <f t="shared" si="6"/>
        <v>0</v>
      </c>
      <c r="Y14" s="64" t="str">
        <f t="shared" si="7"/>
        <v>0-4.9%</v>
      </c>
      <c r="Z14" s="8" t="s">
        <v>108</v>
      </c>
      <c r="AB14" s="32">
        <v>3360</v>
      </c>
      <c r="AC14" s="32">
        <v>3220</v>
      </c>
      <c r="AD14" s="32"/>
      <c r="AE14" s="32"/>
      <c r="AF14" s="32"/>
      <c r="AG14" s="32"/>
      <c r="AH14" s="13"/>
    </row>
    <row r="15" spans="1:34" ht="24" customHeight="1" x14ac:dyDescent="0.25">
      <c r="A15" s="10">
        <v>11</v>
      </c>
      <c r="B15" s="9">
        <v>0.40833333333333338</v>
      </c>
      <c r="C15" s="5" t="s">
        <v>20</v>
      </c>
      <c r="D15" s="5">
        <f t="shared" si="0"/>
        <v>7</v>
      </c>
      <c r="E15" s="15"/>
      <c r="F15" s="15" t="s">
        <v>22</v>
      </c>
      <c r="G15" s="19">
        <f t="shared" si="2"/>
        <v>2.62</v>
      </c>
      <c r="H15" s="19">
        <f t="shared" si="3"/>
        <v>2.86</v>
      </c>
      <c r="I15" s="19"/>
      <c r="J15" s="19"/>
      <c r="K15" s="19"/>
      <c r="L15" s="19"/>
      <c r="M15" s="19"/>
      <c r="N15" s="36">
        <f t="shared" si="4"/>
        <v>5.48</v>
      </c>
      <c r="O15" s="36">
        <f t="shared" si="1"/>
        <v>0.16668894534816023</v>
      </c>
      <c r="P15" s="37">
        <v>8</v>
      </c>
      <c r="Q15" s="37">
        <v>10</v>
      </c>
      <c r="R15" s="37">
        <v>9</v>
      </c>
      <c r="S15" s="37">
        <v>9</v>
      </c>
      <c r="T15" s="37">
        <v>9</v>
      </c>
      <c r="U15" s="37">
        <v>9</v>
      </c>
      <c r="V15" s="37">
        <v>9</v>
      </c>
      <c r="W15" s="38" t="str">
        <f t="shared" si="5"/>
        <v>N</v>
      </c>
      <c r="X15" s="64">
        <f t="shared" si="6"/>
        <v>0</v>
      </c>
      <c r="Y15" s="64" t="str">
        <f t="shared" si="7"/>
        <v>0-4.9%</v>
      </c>
      <c r="Z15" s="8" t="s">
        <v>124</v>
      </c>
      <c r="AB15" s="32">
        <v>2620</v>
      </c>
      <c r="AC15" s="32">
        <v>2860</v>
      </c>
      <c r="AD15" s="32"/>
      <c r="AE15" s="32"/>
      <c r="AF15" s="32"/>
      <c r="AG15" s="32"/>
      <c r="AH15" s="13"/>
    </row>
    <row r="16" spans="1:34" ht="24" customHeight="1" x14ac:dyDescent="0.25">
      <c r="A16" s="10">
        <v>12</v>
      </c>
      <c r="B16" s="9">
        <v>0.41111111111111115</v>
      </c>
      <c r="C16" s="5" t="s">
        <v>20</v>
      </c>
      <c r="D16" s="5">
        <f t="shared" si="0"/>
        <v>7</v>
      </c>
      <c r="E16" s="15"/>
      <c r="F16" s="15" t="s">
        <v>22</v>
      </c>
      <c r="G16" s="19">
        <f t="shared" si="2"/>
        <v>4.32</v>
      </c>
      <c r="H16" s="19">
        <f t="shared" si="3"/>
        <v>4.96</v>
      </c>
      <c r="I16" s="19"/>
      <c r="J16" s="19"/>
      <c r="K16" s="19"/>
      <c r="L16" s="19"/>
      <c r="M16" s="19"/>
      <c r="N16" s="36">
        <f t="shared" si="4"/>
        <v>9.2800000000000011</v>
      </c>
      <c r="O16" s="36">
        <f t="shared" si="1"/>
        <v>1.7838575819031977</v>
      </c>
      <c r="P16" s="37">
        <v>8</v>
      </c>
      <c r="Q16" s="37">
        <v>10</v>
      </c>
      <c r="R16" s="37">
        <v>9</v>
      </c>
      <c r="S16" s="37">
        <v>9</v>
      </c>
      <c r="T16" s="37">
        <v>9</v>
      </c>
      <c r="U16" s="37">
        <v>9</v>
      </c>
      <c r="V16" s="37">
        <v>9</v>
      </c>
      <c r="W16" s="38" t="str">
        <f t="shared" si="5"/>
        <v>N</v>
      </c>
      <c r="X16" s="64">
        <f t="shared" si="6"/>
        <v>0</v>
      </c>
      <c r="Y16" s="64" t="str">
        <f t="shared" si="7"/>
        <v>0-4.9%</v>
      </c>
      <c r="Z16" s="8" t="s">
        <v>34</v>
      </c>
      <c r="AB16" s="32">
        <v>4320</v>
      </c>
      <c r="AC16" s="32">
        <v>4960</v>
      </c>
      <c r="AD16" s="32"/>
      <c r="AE16" s="32"/>
      <c r="AF16" s="32"/>
      <c r="AG16" s="32"/>
      <c r="AH16" s="13"/>
    </row>
    <row r="17" spans="1:34" ht="24" customHeight="1" x14ac:dyDescent="0.25">
      <c r="A17" s="10">
        <v>13</v>
      </c>
      <c r="B17" s="9">
        <v>0.41319444444444442</v>
      </c>
      <c r="C17" s="5" t="s">
        <v>20</v>
      </c>
      <c r="D17" s="5">
        <f t="shared" si="0"/>
        <v>7</v>
      </c>
      <c r="E17" s="15"/>
      <c r="F17" s="15" t="s">
        <v>22</v>
      </c>
      <c r="G17" s="19">
        <f t="shared" si="2"/>
        <v>3.1</v>
      </c>
      <c r="H17" s="19">
        <f t="shared" si="3"/>
        <v>3.56</v>
      </c>
      <c r="I17" s="19"/>
      <c r="J17" s="19"/>
      <c r="K17" s="19"/>
      <c r="L17" s="19"/>
      <c r="M17" s="19"/>
      <c r="N17" s="36">
        <f t="shared" si="4"/>
        <v>6.66</v>
      </c>
      <c r="O17" s="36">
        <f t="shared" si="1"/>
        <v>0.40089285579591943</v>
      </c>
      <c r="P17" s="37">
        <v>8</v>
      </c>
      <c r="Q17" s="37">
        <v>10</v>
      </c>
      <c r="R17" s="37">
        <v>9</v>
      </c>
      <c r="S17" s="37">
        <v>9</v>
      </c>
      <c r="T17" s="37">
        <v>9</v>
      </c>
      <c r="U17" s="37">
        <v>9</v>
      </c>
      <c r="V17" s="37">
        <v>9</v>
      </c>
      <c r="W17" s="38" t="str">
        <f t="shared" si="5"/>
        <v>N</v>
      </c>
      <c r="X17" s="64">
        <f t="shared" si="6"/>
        <v>0</v>
      </c>
      <c r="Y17" s="64" t="str">
        <f t="shared" si="7"/>
        <v>0-4.9%</v>
      </c>
      <c r="Z17" s="8" t="s">
        <v>127</v>
      </c>
      <c r="AB17" s="32">
        <v>3100</v>
      </c>
      <c r="AC17" s="32">
        <v>3560</v>
      </c>
      <c r="AD17" s="32"/>
      <c r="AE17" s="32"/>
      <c r="AF17" s="32"/>
      <c r="AG17" s="32"/>
      <c r="AH17" s="13"/>
    </row>
    <row r="18" spans="1:34" ht="24" customHeight="1" x14ac:dyDescent="0.25">
      <c r="A18" s="10">
        <v>15</v>
      </c>
      <c r="B18" s="9">
        <v>0.41666666666666669</v>
      </c>
      <c r="C18" s="5" t="s">
        <v>20</v>
      </c>
      <c r="D18" s="5">
        <f t="shared" si="0"/>
        <v>7</v>
      </c>
      <c r="E18" s="15"/>
      <c r="F18" s="23" t="s">
        <v>22</v>
      </c>
      <c r="G18" s="19">
        <f t="shared" si="2"/>
        <v>12.14</v>
      </c>
      <c r="H18" s="19">
        <f t="shared" si="3"/>
        <v>20.260000000000002</v>
      </c>
      <c r="I18" s="19"/>
      <c r="J18" s="19"/>
      <c r="K18" s="19"/>
      <c r="L18" s="19"/>
      <c r="M18" s="19"/>
      <c r="N18" s="36">
        <f t="shared" si="4"/>
        <v>32.400000000000006</v>
      </c>
      <c r="O18" s="36">
        <f t="shared" si="1"/>
        <v>495.27548454748984</v>
      </c>
      <c r="P18" s="37">
        <v>8</v>
      </c>
      <c r="Q18" s="37">
        <v>10</v>
      </c>
      <c r="R18" s="37">
        <v>9</v>
      </c>
      <c r="S18" s="37">
        <v>9</v>
      </c>
      <c r="T18" s="37">
        <v>9</v>
      </c>
      <c r="U18" s="37">
        <v>9</v>
      </c>
      <c r="V18" s="37">
        <v>9</v>
      </c>
      <c r="W18" s="38" t="str">
        <f t="shared" si="5"/>
        <v>Y</v>
      </c>
      <c r="X18" s="64">
        <f t="shared" si="6"/>
        <v>1.0260000000000002</v>
      </c>
      <c r="Y18" s="64" t="str">
        <f t="shared" si="7"/>
        <v>Over 50%</v>
      </c>
      <c r="Z18" s="8" t="s">
        <v>34</v>
      </c>
      <c r="AB18" s="32">
        <v>12140</v>
      </c>
      <c r="AC18" s="32">
        <v>20260</v>
      </c>
      <c r="AD18" s="32"/>
      <c r="AE18" s="32"/>
      <c r="AF18" s="32"/>
      <c r="AG18" s="32"/>
      <c r="AH18" s="13"/>
    </row>
    <row r="19" spans="1:34" ht="24" customHeight="1" x14ac:dyDescent="0.25">
      <c r="A19" s="10">
        <v>16</v>
      </c>
      <c r="B19" s="9">
        <v>0.42152777777777778</v>
      </c>
      <c r="C19" s="5" t="s">
        <v>20</v>
      </c>
      <c r="D19" s="5">
        <f t="shared" si="0"/>
        <v>7</v>
      </c>
      <c r="E19" s="15"/>
      <c r="F19" s="15" t="s">
        <v>22</v>
      </c>
      <c r="G19" s="19">
        <f t="shared" si="2"/>
        <v>4.0599999999999996</v>
      </c>
      <c r="H19" s="19">
        <f t="shared" si="3"/>
        <v>4.34</v>
      </c>
      <c r="I19" s="19"/>
      <c r="J19" s="19"/>
      <c r="K19" s="19"/>
      <c r="L19" s="19"/>
      <c r="M19" s="19"/>
      <c r="N19" s="36">
        <f t="shared" si="4"/>
        <v>8.3999999999999986</v>
      </c>
      <c r="O19" s="36">
        <f t="shared" si="1"/>
        <v>1.1393340396112364</v>
      </c>
      <c r="P19" s="37">
        <v>8</v>
      </c>
      <c r="Q19" s="37">
        <v>10</v>
      </c>
      <c r="R19" s="37">
        <v>9</v>
      </c>
      <c r="S19" s="37">
        <v>9</v>
      </c>
      <c r="T19" s="37">
        <v>9</v>
      </c>
      <c r="U19" s="37">
        <v>9</v>
      </c>
      <c r="V19" s="37">
        <v>9</v>
      </c>
      <c r="W19" s="38" t="str">
        <f t="shared" si="5"/>
        <v>N</v>
      </c>
      <c r="X19" s="64">
        <f t="shared" si="6"/>
        <v>0</v>
      </c>
      <c r="Y19" s="64" t="str">
        <f t="shared" si="7"/>
        <v>0-4.9%</v>
      </c>
      <c r="Z19" s="8" t="s">
        <v>108</v>
      </c>
      <c r="AB19" s="32">
        <v>4060</v>
      </c>
      <c r="AC19" s="32">
        <v>4340</v>
      </c>
      <c r="AD19" s="32"/>
      <c r="AE19" s="32"/>
      <c r="AF19" s="32"/>
      <c r="AG19" s="32"/>
      <c r="AH19" s="13"/>
    </row>
    <row r="20" spans="1:34" ht="24" customHeight="1" x14ac:dyDescent="0.25">
      <c r="A20" s="10">
        <v>17</v>
      </c>
      <c r="B20" s="9">
        <v>0.42291666666666666</v>
      </c>
      <c r="C20" s="5" t="s">
        <v>20</v>
      </c>
      <c r="D20" s="5">
        <f t="shared" si="0"/>
        <v>7</v>
      </c>
      <c r="E20" s="15"/>
      <c r="F20" s="15" t="s">
        <v>22</v>
      </c>
      <c r="G20" s="19">
        <f t="shared" si="2"/>
        <v>9.32</v>
      </c>
      <c r="H20" s="19">
        <f t="shared" si="3"/>
        <v>14.3</v>
      </c>
      <c r="I20" s="19"/>
      <c r="J20" s="19"/>
      <c r="K20" s="19"/>
      <c r="L20" s="19"/>
      <c r="M20" s="19"/>
      <c r="N20" s="36">
        <f t="shared" si="4"/>
        <v>23.62</v>
      </c>
      <c r="O20" s="36">
        <f t="shared" si="1"/>
        <v>119.44110301419957</v>
      </c>
      <c r="P20" s="37">
        <v>8</v>
      </c>
      <c r="Q20" s="37">
        <v>10</v>
      </c>
      <c r="R20" s="37">
        <v>9</v>
      </c>
      <c r="S20" s="37">
        <v>9</v>
      </c>
      <c r="T20" s="37">
        <v>9</v>
      </c>
      <c r="U20" s="37">
        <v>9</v>
      </c>
      <c r="V20" s="37">
        <v>9</v>
      </c>
      <c r="W20" s="38" t="str">
        <f t="shared" si="5"/>
        <v>Y</v>
      </c>
      <c r="X20" s="64">
        <f t="shared" si="6"/>
        <v>0.43000000000000005</v>
      </c>
      <c r="Y20" s="64" t="str">
        <f t="shared" si="7"/>
        <v>25-50%</v>
      </c>
      <c r="Z20" s="8" t="s">
        <v>34</v>
      </c>
      <c r="AB20" s="32">
        <v>9320</v>
      </c>
      <c r="AC20" s="32">
        <v>14300</v>
      </c>
      <c r="AD20" s="32"/>
      <c r="AE20" s="32"/>
      <c r="AF20" s="32"/>
      <c r="AG20" s="32"/>
      <c r="AH20" s="13"/>
    </row>
    <row r="21" spans="1:34" ht="24" customHeight="1" x14ac:dyDescent="0.25">
      <c r="A21" s="10">
        <v>18</v>
      </c>
      <c r="B21" s="9">
        <v>0.4236111111111111</v>
      </c>
      <c r="C21" s="5" t="s">
        <v>20</v>
      </c>
      <c r="D21" s="5">
        <f t="shared" si="0"/>
        <v>7</v>
      </c>
      <c r="E21" s="15"/>
      <c r="F21" s="15" t="s">
        <v>22</v>
      </c>
      <c r="G21" s="19">
        <f t="shared" si="2"/>
        <v>2.88</v>
      </c>
      <c r="H21" s="19">
        <f t="shared" si="3"/>
        <v>4.3600000000000003</v>
      </c>
      <c r="I21" s="19"/>
      <c r="J21" s="19"/>
      <c r="K21" s="19"/>
      <c r="L21" s="19"/>
      <c r="M21" s="19"/>
      <c r="N21" s="36">
        <f t="shared" si="4"/>
        <v>7.24</v>
      </c>
      <c r="O21" s="36">
        <f t="shared" si="1"/>
        <v>0.58373782216584869</v>
      </c>
      <c r="P21" s="37">
        <v>8</v>
      </c>
      <c r="Q21" s="37">
        <v>10</v>
      </c>
      <c r="R21" s="37">
        <v>9</v>
      </c>
      <c r="S21" s="37">
        <v>9</v>
      </c>
      <c r="T21" s="37">
        <v>9</v>
      </c>
      <c r="U21" s="37">
        <v>9</v>
      </c>
      <c r="V21" s="37">
        <v>9</v>
      </c>
      <c r="W21" s="38" t="str">
        <f t="shared" si="5"/>
        <v>N</v>
      </c>
      <c r="X21" s="64">
        <f t="shared" si="6"/>
        <v>0</v>
      </c>
      <c r="Y21" s="64" t="str">
        <f t="shared" si="7"/>
        <v>0-4.9%</v>
      </c>
      <c r="Z21" s="8" t="s">
        <v>34</v>
      </c>
      <c r="AB21" s="32">
        <v>2880</v>
      </c>
      <c r="AC21" s="32">
        <v>4360</v>
      </c>
      <c r="AD21" s="32"/>
      <c r="AE21" s="32"/>
      <c r="AF21" s="32"/>
      <c r="AG21" s="32"/>
      <c r="AH21" s="13"/>
    </row>
    <row r="22" spans="1:34" ht="24" customHeight="1" x14ac:dyDescent="0.25">
      <c r="A22" s="10">
        <v>19</v>
      </c>
      <c r="B22" s="9">
        <v>0.42430555555555555</v>
      </c>
      <c r="C22" s="5" t="s">
        <v>20</v>
      </c>
      <c r="D22" s="5">
        <f t="shared" si="0"/>
        <v>7</v>
      </c>
      <c r="E22" s="15"/>
      <c r="F22" s="15" t="s">
        <v>22</v>
      </c>
      <c r="G22" s="19">
        <f t="shared" si="2"/>
        <v>3.78</v>
      </c>
      <c r="H22" s="19">
        <f t="shared" si="3"/>
        <v>2.86</v>
      </c>
      <c r="I22" s="19"/>
      <c r="J22" s="19"/>
      <c r="K22" s="19"/>
      <c r="L22" s="19"/>
      <c r="M22" s="19"/>
      <c r="N22" s="36">
        <f t="shared" si="4"/>
        <v>6.64</v>
      </c>
      <c r="O22" s="36">
        <f t="shared" si="1"/>
        <v>0.39550378379820011</v>
      </c>
      <c r="P22" s="37">
        <v>8</v>
      </c>
      <c r="Q22" s="37">
        <v>10</v>
      </c>
      <c r="R22" s="37">
        <v>9</v>
      </c>
      <c r="S22" s="37">
        <v>9</v>
      </c>
      <c r="T22" s="37">
        <v>9</v>
      </c>
      <c r="U22" s="37">
        <v>9</v>
      </c>
      <c r="V22" s="37">
        <v>9</v>
      </c>
      <c r="W22" s="38" t="str">
        <f t="shared" si="5"/>
        <v>N</v>
      </c>
      <c r="X22" s="64">
        <f t="shared" si="6"/>
        <v>0</v>
      </c>
      <c r="Y22" s="64" t="str">
        <f t="shared" si="7"/>
        <v>0-4.9%</v>
      </c>
      <c r="Z22" s="8" t="s">
        <v>108</v>
      </c>
      <c r="AB22" s="32">
        <v>3780</v>
      </c>
      <c r="AC22" s="32">
        <v>2860</v>
      </c>
      <c r="AD22" s="32"/>
      <c r="AE22" s="32"/>
      <c r="AF22" s="32"/>
      <c r="AG22" s="32"/>
      <c r="AH22" s="13"/>
    </row>
    <row r="23" spans="1:34" ht="24" customHeight="1" x14ac:dyDescent="0.25">
      <c r="A23" s="10">
        <v>21</v>
      </c>
      <c r="B23" s="9">
        <v>0.43888888888888888</v>
      </c>
      <c r="C23" s="5" t="s">
        <v>20</v>
      </c>
      <c r="D23" s="5">
        <f t="shared" si="0"/>
        <v>7</v>
      </c>
      <c r="E23" s="15"/>
      <c r="F23" s="15" t="s">
        <v>22</v>
      </c>
      <c r="G23" s="19">
        <f t="shared" si="2"/>
        <v>7.78</v>
      </c>
      <c r="H23" s="19">
        <f t="shared" si="3"/>
        <v>15.5</v>
      </c>
      <c r="I23" s="19"/>
      <c r="J23" s="19"/>
      <c r="K23" s="19"/>
      <c r="L23" s="19"/>
      <c r="M23" s="19"/>
      <c r="N23" s="36">
        <f t="shared" si="4"/>
        <v>23.28</v>
      </c>
      <c r="O23" s="36">
        <f t="shared" si="1"/>
        <v>111.8968027465172</v>
      </c>
      <c r="P23" s="37">
        <v>8</v>
      </c>
      <c r="Q23" s="37">
        <v>10</v>
      </c>
      <c r="R23" s="37">
        <v>9</v>
      </c>
      <c r="S23" s="37">
        <v>9</v>
      </c>
      <c r="T23" s="37">
        <v>9</v>
      </c>
      <c r="U23" s="37">
        <v>9</v>
      </c>
      <c r="V23" s="37">
        <v>9</v>
      </c>
      <c r="W23" s="38" t="str">
        <f t="shared" si="5"/>
        <v>Y</v>
      </c>
      <c r="X23" s="64">
        <f t="shared" si="6"/>
        <v>0.55000000000000004</v>
      </c>
      <c r="Y23" s="64" t="str">
        <f t="shared" si="7"/>
        <v>Over 50%</v>
      </c>
      <c r="Z23" s="8" t="s">
        <v>34</v>
      </c>
      <c r="AB23" s="32">
        <v>7780</v>
      </c>
      <c r="AC23" s="32">
        <v>15500</v>
      </c>
      <c r="AD23" s="32"/>
      <c r="AE23" s="32"/>
      <c r="AF23" s="32"/>
      <c r="AG23" s="32"/>
      <c r="AH23" s="13"/>
    </row>
    <row r="24" spans="1:34" ht="24" customHeight="1" x14ac:dyDescent="0.25">
      <c r="A24" s="10">
        <v>25</v>
      </c>
      <c r="B24" s="9">
        <v>0.45763888888888887</v>
      </c>
      <c r="C24" s="5" t="s">
        <v>20</v>
      </c>
      <c r="D24" s="5">
        <f t="shared" si="0"/>
        <v>7</v>
      </c>
      <c r="E24" s="15"/>
      <c r="F24" s="15" t="s">
        <v>22</v>
      </c>
      <c r="G24" s="19">
        <f t="shared" si="2"/>
        <v>8.14</v>
      </c>
      <c r="H24" s="19">
        <f t="shared" si="3"/>
        <v>16.04</v>
      </c>
      <c r="I24" s="19"/>
      <c r="J24" s="19"/>
      <c r="K24" s="19"/>
      <c r="L24" s="19"/>
      <c r="M24" s="19"/>
      <c r="N24" s="36">
        <f t="shared" si="4"/>
        <v>24.18</v>
      </c>
      <c r="O24" s="36">
        <f t="shared" si="1"/>
        <v>132.7234371030585</v>
      </c>
      <c r="P24" s="37">
        <v>8</v>
      </c>
      <c r="Q24" s="37">
        <v>10</v>
      </c>
      <c r="R24" s="37">
        <v>9</v>
      </c>
      <c r="S24" s="37">
        <v>9</v>
      </c>
      <c r="T24" s="37">
        <v>9</v>
      </c>
      <c r="U24" s="37">
        <v>9</v>
      </c>
      <c r="V24" s="37">
        <v>9</v>
      </c>
      <c r="W24" s="38" t="str">
        <f t="shared" si="5"/>
        <v>Y</v>
      </c>
      <c r="X24" s="64">
        <f t="shared" si="6"/>
        <v>0.60399999999999987</v>
      </c>
      <c r="Y24" s="64" t="str">
        <f t="shared" si="7"/>
        <v>Over 50%</v>
      </c>
      <c r="Z24" s="8" t="s">
        <v>117</v>
      </c>
      <c r="AB24" s="32">
        <v>8140</v>
      </c>
      <c r="AC24" s="32">
        <v>16040</v>
      </c>
      <c r="AD24" s="32"/>
      <c r="AE24" s="32"/>
      <c r="AF24" s="32"/>
      <c r="AG24" s="32"/>
      <c r="AH24" s="13"/>
    </row>
    <row r="25" spans="1:34" ht="24" customHeight="1" x14ac:dyDescent="0.25">
      <c r="A25" s="10">
        <v>27</v>
      </c>
      <c r="B25" s="9">
        <v>0.46597222222222223</v>
      </c>
      <c r="C25" s="5" t="s">
        <v>20</v>
      </c>
      <c r="D25" s="5">
        <f t="shared" si="0"/>
        <v>7</v>
      </c>
      <c r="E25" s="15"/>
      <c r="F25" s="15" t="s">
        <v>22</v>
      </c>
      <c r="G25" s="19">
        <f t="shared" si="2"/>
        <v>5.88</v>
      </c>
      <c r="H25" s="19">
        <f t="shared" si="3"/>
        <v>15.26</v>
      </c>
      <c r="I25" s="19"/>
      <c r="J25" s="19"/>
      <c r="K25" s="19"/>
      <c r="L25" s="19"/>
      <c r="M25" s="19"/>
      <c r="N25" s="36">
        <f t="shared" si="4"/>
        <v>21.14</v>
      </c>
      <c r="O25" s="36">
        <f t="shared" si="1"/>
        <v>72.504791664249808</v>
      </c>
      <c r="P25" s="37">
        <v>8</v>
      </c>
      <c r="Q25" s="37">
        <v>10</v>
      </c>
      <c r="R25" s="37">
        <v>9</v>
      </c>
      <c r="S25" s="37">
        <v>9</v>
      </c>
      <c r="T25" s="37">
        <v>9</v>
      </c>
      <c r="U25" s="37">
        <v>9</v>
      </c>
      <c r="V25" s="37">
        <v>9</v>
      </c>
      <c r="W25" s="38" t="str">
        <f t="shared" si="5"/>
        <v>Y</v>
      </c>
      <c r="X25" s="64">
        <f t="shared" si="6"/>
        <v>0.52600000000000002</v>
      </c>
      <c r="Y25" s="64" t="str">
        <f t="shared" si="7"/>
        <v>Over 50%</v>
      </c>
      <c r="Z25" s="8" t="s">
        <v>124</v>
      </c>
      <c r="AB25" s="32">
        <v>5880</v>
      </c>
      <c r="AC25" s="32">
        <v>15260</v>
      </c>
      <c r="AD25" s="32"/>
      <c r="AE25" s="32"/>
      <c r="AF25" s="32"/>
      <c r="AG25" s="32"/>
      <c r="AH25" s="13"/>
    </row>
    <row r="26" spans="1:34" ht="24" customHeight="1" x14ac:dyDescent="0.25">
      <c r="A26" s="10">
        <v>33</v>
      </c>
      <c r="B26" s="9">
        <v>0.47222222222222227</v>
      </c>
      <c r="C26" s="5" t="s">
        <v>20</v>
      </c>
      <c r="D26" s="5">
        <f t="shared" si="0"/>
        <v>7</v>
      </c>
      <c r="E26" s="15"/>
      <c r="F26" s="15" t="s">
        <v>22</v>
      </c>
      <c r="G26" s="19">
        <f t="shared" si="2"/>
        <v>10.5</v>
      </c>
      <c r="H26" s="19">
        <f t="shared" si="3"/>
        <v>8.06</v>
      </c>
      <c r="I26" s="19"/>
      <c r="J26" s="19"/>
      <c r="K26" s="19"/>
      <c r="L26" s="19"/>
      <c r="M26" s="19"/>
      <c r="N26" s="36">
        <f t="shared" si="4"/>
        <v>18.560000000000002</v>
      </c>
      <c r="O26" s="36">
        <f t="shared" si="1"/>
        <v>40.364089370713216</v>
      </c>
      <c r="P26" s="37">
        <v>8</v>
      </c>
      <c r="Q26" s="37">
        <v>10</v>
      </c>
      <c r="R26" s="37">
        <v>9</v>
      </c>
      <c r="S26" s="37">
        <v>9</v>
      </c>
      <c r="T26" s="37">
        <v>9</v>
      </c>
      <c r="U26" s="37">
        <v>9</v>
      </c>
      <c r="V26" s="37">
        <v>9</v>
      </c>
      <c r="W26" s="38" t="str">
        <f t="shared" si="5"/>
        <v>Y</v>
      </c>
      <c r="X26" s="64">
        <f t="shared" si="6"/>
        <v>0.25</v>
      </c>
      <c r="Y26" s="64" t="str">
        <f t="shared" si="7"/>
        <v>25-50%</v>
      </c>
      <c r="Z26" s="8" t="s">
        <v>34</v>
      </c>
      <c r="AB26" s="32">
        <v>10500</v>
      </c>
      <c r="AC26" s="32">
        <v>8060</v>
      </c>
      <c r="AD26" s="32"/>
      <c r="AE26" s="32"/>
      <c r="AF26" s="32"/>
      <c r="AG26" s="32"/>
      <c r="AH26" s="13"/>
    </row>
    <row r="27" spans="1:34" ht="24" customHeight="1" x14ac:dyDescent="0.25">
      <c r="A27" s="10">
        <v>37</v>
      </c>
      <c r="B27" s="9">
        <v>0.4993055555555555</v>
      </c>
      <c r="C27" s="5" t="s">
        <v>20</v>
      </c>
      <c r="D27" s="5">
        <f t="shared" si="0"/>
        <v>7</v>
      </c>
      <c r="E27" s="15"/>
      <c r="F27" s="15" t="s">
        <v>22</v>
      </c>
      <c r="G27" s="19">
        <f t="shared" si="2"/>
        <v>9.9600000000000009</v>
      </c>
      <c r="H27" s="19">
        <f t="shared" si="3"/>
        <v>8.0399999999999991</v>
      </c>
      <c r="I27" s="19"/>
      <c r="J27" s="19"/>
      <c r="K27" s="19"/>
      <c r="L27" s="19"/>
      <c r="M27" s="19"/>
      <c r="N27" s="36">
        <f t="shared" si="4"/>
        <v>18</v>
      </c>
      <c r="O27" s="36">
        <f t="shared" si="1"/>
        <v>35.16580459779167</v>
      </c>
      <c r="P27" s="37">
        <v>8</v>
      </c>
      <c r="Q27" s="37">
        <v>10</v>
      </c>
      <c r="R27" s="37">
        <v>9</v>
      </c>
      <c r="S27" s="37">
        <v>9</v>
      </c>
      <c r="T27" s="37">
        <v>9</v>
      </c>
      <c r="U27" s="37">
        <v>9</v>
      </c>
      <c r="V27" s="37">
        <v>9</v>
      </c>
      <c r="W27" s="38" t="str">
        <f t="shared" si="5"/>
        <v>Y</v>
      </c>
      <c r="X27" s="64">
        <f t="shared" si="6"/>
        <v>0.19600000000000009</v>
      </c>
      <c r="Y27" s="64" t="str">
        <f t="shared" si="7"/>
        <v>5-25%</v>
      </c>
      <c r="Z27" s="8" t="s">
        <v>34</v>
      </c>
      <c r="AB27" s="32">
        <v>9960</v>
      </c>
      <c r="AC27" s="32">
        <v>8040</v>
      </c>
      <c r="AD27" s="32"/>
      <c r="AE27" s="32"/>
      <c r="AF27" s="32"/>
      <c r="AG27" s="32"/>
      <c r="AH27" s="13"/>
    </row>
    <row r="28" spans="1:34" ht="24" customHeight="1" x14ac:dyDescent="0.25">
      <c r="A28" s="10">
        <v>39</v>
      </c>
      <c r="B28" s="9">
        <v>0.50069444444444444</v>
      </c>
      <c r="C28" s="5" t="s">
        <v>20</v>
      </c>
      <c r="D28" s="5">
        <f t="shared" si="0"/>
        <v>7</v>
      </c>
      <c r="E28" s="15"/>
      <c r="F28" s="15" t="s">
        <v>22</v>
      </c>
      <c r="G28" s="19">
        <f t="shared" si="2"/>
        <v>8.8800000000000008</v>
      </c>
      <c r="H28" s="19">
        <f t="shared" si="3"/>
        <v>11.12</v>
      </c>
      <c r="I28" s="19"/>
      <c r="J28" s="19"/>
      <c r="K28" s="19"/>
      <c r="L28" s="19"/>
      <c r="M28" s="19"/>
      <c r="N28" s="36">
        <f t="shared" si="4"/>
        <v>20</v>
      </c>
      <c r="O28" s="36">
        <f t="shared" si="1"/>
        <v>56.497504588448436</v>
      </c>
      <c r="P28" s="37">
        <v>8</v>
      </c>
      <c r="Q28" s="37">
        <v>10</v>
      </c>
      <c r="R28" s="37">
        <v>9</v>
      </c>
      <c r="S28" s="37">
        <v>9</v>
      </c>
      <c r="T28" s="37">
        <v>9</v>
      </c>
      <c r="U28" s="37">
        <v>9</v>
      </c>
      <c r="V28" s="37">
        <v>9</v>
      </c>
      <c r="W28" s="38" t="str">
        <f t="shared" si="5"/>
        <v>Y</v>
      </c>
      <c r="X28" s="64">
        <f t="shared" si="6"/>
        <v>0.11199999999999992</v>
      </c>
      <c r="Y28" s="64" t="str">
        <f t="shared" si="7"/>
        <v>5-25%</v>
      </c>
      <c r="Z28" s="8" t="s">
        <v>34</v>
      </c>
      <c r="AB28" s="32">
        <v>8880</v>
      </c>
      <c r="AC28" s="32">
        <v>11120</v>
      </c>
      <c r="AD28" s="32"/>
      <c r="AE28" s="32"/>
      <c r="AF28" s="32"/>
      <c r="AG28" s="32"/>
      <c r="AH28" s="32"/>
    </row>
    <row r="29" spans="1:34" ht="24" customHeight="1" x14ac:dyDescent="0.25">
      <c r="A29" s="10">
        <v>40</v>
      </c>
      <c r="B29" s="9">
        <v>0.51041666666666663</v>
      </c>
      <c r="C29" s="5" t="s">
        <v>20</v>
      </c>
      <c r="D29" s="5">
        <f t="shared" si="0"/>
        <v>7</v>
      </c>
      <c r="E29" s="15"/>
      <c r="F29" s="15" t="s">
        <v>22</v>
      </c>
      <c r="G29" s="19">
        <f t="shared" si="2"/>
        <v>2.14</v>
      </c>
      <c r="H29" s="19">
        <f t="shared" si="3"/>
        <v>3.06</v>
      </c>
      <c r="I29" s="19"/>
      <c r="J29" s="19"/>
      <c r="K29" s="19"/>
      <c r="L29" s="19"/>
      <c r="M29" s="19"/>
      <c r="N29" s="36">
        <f t="shared" si="4"/>
        <v>5.2</v>
      </c>
      <c r="O29" s="36">
        <f t="shared" si="1"/>
        <v>0.13164650444808809</v>
      </c>
      <c r="P29" s="37">
        <v>8</v>
      </c>
      <c r="Q29" s="37">
        <v>10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8" t="str">
        <f t="shared" si="5"/>
        <v>N</v>
      </c>
      <c r="X29" s="64">
        <f t="shared" si="6"/>
        <v>0</v>
      </c>
      <c r="Y29" s="64" t="str">
        <f t="shared" si="7"/>
        <v>0-4.9%</v>
      </c>
      <c r="Z29" s="8" t="s">
        <v>108</v>
      </c>
      <c r="AB29" s="32">
        <v>2140</v>
      </c>
      <c r="AC29" s="32">
        <v>3060</v>
      </c>
      <c r="AD29" s="32"/>
      <c r="AE29" s="32"/>
      <c r="AF29" s="32"/>
      <c r="AG29" s="32"/>
      <c r="AH29" s="32"/>
    </row>
    <row r="30" spans="1:34" ht="24" customHeight="1" x14ac:dyDescent="0.25">
      <c r="A30" s="10">
        <v>41</v>
      </c>
      <c r="B30" s="9">
        <v>0.5131944444444444</v>
      </c>
      <c r="C30" s="5" t="s">
        <v>20</v>
      </c>
      <c r="D30" s="5">
        <f t="shared" si="0"/>
        <v>7</v>
      </c>
      <c r="E30" s="15"/>
      <c r="F30" s="15" t="s">
        <v>22</v>
      </c>
      <c r="G30" s="19">
        <f t="shared" si="2"/>
        <v>5.4</v>
      </c>
      <c r="H30" s="19">
        <f t="shared" si="3"/>
        <v>5.88</v>
      </c>
      <c r="I30" s="19"/>
      <c r="J30" s="19"/>
      <c r="K30" s="19"/>
      <c r="L30" s="19"/>
      <c r="M30" s="19"/>
      <c r="N30" s="36">
        <f t="shared" si="4"/>
        <v>11.280000000000001</v>
      </c>
      <c r="O30" s="36">
        <f t="shared" si="1"/>
        <v>4.2932406623661548</v>
      </c>
      <c r="P30" s="37">
        <v>8</v>
      </c>
      <c r="Q30" s="37">
        <v>10</v>
      </c>
      <c r="R30" s="37">
        <v>9</v>
      </c>
      <c r="S30" s="37">
        <v>9</v>
      </c>
      <c r="T30" s="37">
        <v>9</v>
      </c>
      <c r="U30" s="37">
        <v>9</v>
      </c>
      <c r="V30" s="37">
        <v>9</v>
      </c>
      <c r="W30" s="38" t="str">
        <f t="shared" si="5"/>
        <v>N</v>
      </c>
      <c r="X30" s="64">
        <f t="shared" si="6"/>
        <v>0</v>
      </c>
      <c r="Y30" s="64" t="str">
        <f t="shared" si="7"/>
        <v>0-4.9%</v>
      </c>
      <c r="Z30" s="8" t="s">
        <v>108</v>
      </c>
      <c r="AB30" s="32">
        <v>5400</v>
      </c>
      <c r="AC30" s="32">
        <v>5880</v>
      </c>
      <c r="AD30" s="32"/>
      <c r="AE30" s="32"/>
      <c r="AF30" s="32"/>
      <c r="AG30" s="32"/>
      <c r="AH30" s="32"/>
    </row>
    <row r="31" spans="1:34" ht="24" customHeight="1" x14ac:dyDescent="0.25">
      <c r="A31" s="10">
        <v>55</v>
      </c>
      <c r="B31" s="9">
        <v>5.486111111111111E-2</v>
      </c>
      <c r="C31" s="5" t="s">
        <v>20</v>
      </c>
      <c r="D31" s="5">
        <f t="shared" si="0"/>
        <v>7</v>
      </c>
      <c r="E31" s="15"/>
      <c r="F31" s="15" t="s">
        <v>22</v>
      </c>
      <c r="G31" s="19">
        <f t="shared" si="2"/>
        <v>3.12</v>
      </c>
      <c r="H31" s="19">
        <f t="shared" si="3"/>
        <v>4.18</v>
      </c>
      <c r="I31" s="19"/>
      <c r="J31" s="19"/>
      <c r="K31" s="19"/>
      <c r="L31" s="19"/>
      <c r="M31" s="19"/>
      <c r="N31" s="36">
        <f t="shared" si="4"/>
        <v>7.3</v>
      </c>
      <c r="O31" s="36">
        <f t="shared" si="1"/>
        <v>0.60582495141153048</v>
      </c>
      <c r="P31" s="37">
        <v>8</v>
      </c>
      <c r="Q31" s="37">
        <v>10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8" t="str">
        <f t="shared" si="5"/>
        <v>N</v>
      </c>
      <c r="X31" s="64">
        <f t="shared" si="6"/>
        <v>0</v>
      </c>
      <c r="Y31" s="64" t="str">
        <f t="shared" si="7"/>
        <v>0-4.9%</v>
      </c>
      <c r="Z31" s="8" t="s">
        <v>108</v>
      </c>
      <c r="AB31" s="32">
        <v>3120</v>
      </c>
      <c r="AC31" s="32">
        <v>4180</v>
      </c>
      <c r="AD31" s="32"/>
      <c r="AE31" s="32"/>
      <c r="AF31" s="32"/>
      <c r="AG31" s="32"/>
      <c r="AH31" s="32"/>
    </row>
    <row r="32" spans="1:34" ht="24" customHeight="1" x14ac:dyDescent="0.25">
      <c r="A32" s="10">
        <v>58</v>
      </c>
      <c r="B32" s="9">
        <v>6.1805555555555558E-2</v>
      </c>
      <c r="C32" s="5" t="s">
        <v>20</v>
      </c>
      <c r="D32" s="5">
        <f t="shared" si="0"/>
        <v>7</v>
      </c>
      <c r="E32" s="15"/>
      <c r="F32" s="15" t="s">
        <v>22</v>
      </c>
      <c r="G32" s="19">
        <f t="shared" si="2"/>
        <v>6.42</v>
      </c>
      <c r="H32" s="19">
        <f t="shared" si="3"/>
        <v>6.04</v>
      </c>
      <c r="I32" s="19"/>
      <c r="J32" s="19"/>
      <c r="K32" s="19"/>
      <c r="L32" s="19"/>
      <c r="M32" s="19"/>
      <c r="N32" s="36">
        <f t="shared" si="4"/>
        <v>12.46</v>
      </c>
      <c r="O32" s="36">
        <f t="shared" si="1"/>
        <v>6.7177753439926216</v>
      </c>
      <c r="P32" s="37">
        <v>8</v>
      </c>
      <c r="Q32" s="37">
        <v>10</v>
      </c>
      <c r="R32" s="37">
        <v>9</v>
      </c>
      <c r="S32" s="37">
        <v>9</v>
      </c>
      <c r="T32" s="37">
        <v>9</v>
      </c>
      <c r="U32" s="37">
        <v>9</v>
      </c>
      <c r="V32" s="37">
        <v>9</v>
      </c>
      <c r="W32" s="38" t="str">
        <f t="shared" si="5"/>
        <v>N</v>
      </c>
      <c r="X32" s="64">
        <f t="shared" si="6"/>
        <v>0</v>
      </c>
      <c r="Y32" s="64" t="str">
        <f t="shared" si="7"/>
        <v>0-4.9%</v>
      </c>
      <c r="Z32" s="8" t="s">
        <v>124</v>
      </c>
      <c r="AB32" s="32">
        <v>6420</v>
      </c>
      <c r="AC32" s="32">
        <v>6040</v>
      </c>
      <c r="AD32" s="32"/>
      <c r="AE32" s="32"/>
      <c r="AF32" s="32"/>
      <c r="AG32" s="32"/>
      <c r="AH32" s="32"/>
    </row>
    <row r="33" spans="1:34" ht="24" customHeight="1" x14ac:dyDescent="0.25">
      <c r="A33" s="10">
        <v>61</v>
      </c>
      <c r="B33" s="9">
        <v>9.7222222222222224E-2</v>
      </c>
      <c r="C33" s="5" t="s">
        <v>20</v>
      </c>
      <c r="D33" s="5">
        <f t="shared" si="0"/>
        <v>7</v>
      </c>
      <c r="E33" s="15"/>
      <c r="F33" s="15" t="s">
        <v>22</v>
      </c>
      <c r="G33" s="19">
        <f t="shared" si="2"/>
        <v>5.86</v>
      </c>
      <c r="H33" s="19">
        <f t="shared" si="3"/>
        <v>10.26</v>
      </c>
      <c r="I33" s="19"/>
      <c r="J33" s="19"/>
      <c r="K33" s="19"/>
      <c r="L33" s="19"/>
      <c r="M33" s="19"/>
      <c r="N33" s="36">
        <f t="shared" si="4"/>
        <v>16.12</v>
      </c>
      <c r="O33" s="36">
        <f t="shared" si="1"/>
        <v>21.406070637752741</v>
      </c>
      <c r="P33" s="37">
        <v>8</v>
      </c>
      <c r="Q33" s="37">
        <v>10</v>
      </c>
      <c r="R33" s="37">
        <v>9</v>
      </c>
      <c r="S33" s="37">
        <v>9</v>
      </c>
      <c r="T33" s="37">
        <v>9</v>
      </c>
      <c r="U33" s="37">
        <v>9</v>
      </c>
      <c r="V33" s="37">
        <v>9</v>
      </c>
      <c r="W33" s="38" t="str">
        <f t="shared" si="5"/>
        <v>Y</v>
      </c>
      <c r="X33" s="64">
        <f t="shared" si="6"/>
        <v>2.5999999999999978E-2</v>
      </c>
      <c r="Y33" s="64" t="str">
        <f t="shared" si="7"/>
        <v>0-4.9%</v>
      </c>
      <c r="Z33" s="8" t="s">
        <v>34</v>
      </c>
      <c r="AB33" s="32">
        <v>5860</v>
      </c>
      <c r="AC33" s="32">
        <v>10260</v>
      </c>
      <c r="AD33" s="32"/>
      <c r="AE33" s="32"/>
      <c r="AF33" s="32"/>
      <c r="AG33" s="32"/>
      <c r="AH33" s="32"/>
    </row>
    <row r="34" spans="1:34" ht="24" customHeight="1" x14ac:dyDescent="0.25">
      <c r="A34" s="10">
        <v>62</v>
      </c>
      <c r="B34" s="9">
        <v>0.10486111111111111</v>
      </c>
      <c r="C34" s="5" t="s">
        <v>20</v>
      </c>
      <c r="D34" s="5">
        <f t="shared" si="0"/>
        <v>7</v>
      </c>
      <c r="E34" s="15"/>
      <c r="F34" s="15" t="s">
        <v>22</v>
      </c>
      <c r="G34" s="19">
        <f t="shared" si="2"/>
        <v>6.9</v>
      </c>
      <c r="H34" s="19">
        <f t="shared" si="3"/>
        <v>12.22</v>
      </c>
      <c r="I34" s="19"/>
      <c r="J34" s="19"/>
      <c r="K34" s="19"/>
      <c r="L34" s="19"/>
      <c r="M34" s="19"/>
      <c r="N34" s="36">
        <f t="shared" si="4"/>
        <v>19.12</v>
      </c>
      <c r="O34" s="36">
        <f t="shared" si="1"/>
        <v>46.141295221823142</v>
      </c>
      <c r="P34" s="37">
        <v>8</v>
      </c>
      <c r="Q34" s="37">
        <v>10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8" t="str">
        <f t="shared" si="5"/>
        <v>Y</v>
      </c>
      <c r="X34" s="64">
        <f t="shared" si="6"/>
        <v>0.22200000000000006</v>
      </c>
      <c r="Y34" s="64" t="str">
        <f t="shared" si="7"/>
        <v>5-25%</v>
      </c>
      <c r="Z34" s="8" t="s">
        <v>127</v>
      </c>
      <c r="AB34" s="32">
        <v>6900</v>
      </c>
      <c r="AC34" s="32">
        <v>12220</v>
      </c>
      <c r="AD34" s="32"/>
      <c r="AE34" s="32"/>
      <c r="AF34" s="32"/>
      <c r="AG34" s="32"/>
      <c r="AH34" s="32"/>
    </row>
    <row r="35" spans="1:34" ht="24" customHeight="1" x14ac:dyDescent="0.25">
      <c r="A35" s="10">
        <v>64</v>
      </c>
      <c r="B35" s="9">
        <v>0.10972222222222222</v>
      </c>
      <c r="C35" s="5" t="s">
        <v>20</v>
      </c>
      <c r="D35" s="5">
        <f t="shared" si="0"/>
        <v>7</v>
      </c>
      <c r="E35" s="15"/>
      <c r="F35" s="15" t="s">
        <v>22</v>
      </c>
      <c r="G35" s="19">
        <f t="shared" si="2"/>
        <v>2.76</v>
      </c>
      <c r="H35" s="19">
        <f t="shared" si="3"/>
        <v>3.66</v>
      </c>
      <c r="I35" s="19"/>
      <c r="J35" s="19"/>
      <c r="K35" s="19"/>
      <c r="L35" s="19"/>
      <c r="M35" s="19"/>
      <c r="N35" s="36">
        <f t="shared" si="4"/>
        <v>6.42</v>
      </c>
      <c r="O35" s="36">
        <f t="shared" si="1"/>
        <v>0.33986145465235035</v>
      </c>
      <c r="P35" s="37">
        <v>8</v>
      </c>
      <c r="Q35" s="37">
        <v>10</v>
      </c>
      <c r="R35" s="37">
        <v>9</v>
      </c>
      <c r="S35" s="37">
        <v>9</v>
      </c>
      <c r="T35" s="37">
        <v>9</v>
      </c>
      <c r="U35" s="37">
        <v>9</v>
      </c>
      <c r="V35" s="37">
        <v>9</v>
      </c>
      <c r="W35" s="38" t="str">
        <f t="shared" si="5"/>
        <v>N</v>
      </c>
      <c r="X35" s="64">
        <f t="shared" si="6"/>
        <v>0</v>
      </c>
      <c r="Y35" s="64" t="str">
        <f t="shared" si="7"/>
        <v>0-4.9%</v>
      </c>
      <c r="Z35" s="8" t="s">
        <v>121</v>
      </c>
      <c r="AB35" s="32">
        <v>2760</v>
      </c>
      <c r="AC35" s="32">
        <v>3660</v>
      </c>
      <c r="AD35" s="32"/>
      <c r="AE35" s="32"/>
      <c r="AF35" s="32"/>
      <c r="AG35" s="32"/>
      <c r="AH35" s="32"/>
    </row>
    <row r="36" spans="1:34" ht="24" customHeight="1" x14ac:dyDescent="0.25">
      <c r="A36" s="10">
        <v>65</v>
      </c>
      <c r="B36" s="9">
        <v>0.1111111111111111</v>
      </c>
      <c r="C36" s="5" t="s">
        <v>20</v>
      </c>
      <c r="D36" s="5">
        <f t="shared" si="0"/>
        <v>7</v>
      </c>
      <c r="E36" s="15"/>
      <c r="F36" s="15" t="s">
        <v>22</v>
      </c>
      <c r="G36" s="19">
        <f t="shared" si="2"/>
        <v>10.34</v>
      </c>
      <c r="H36" s="19">
        <f t="shared" si="3"/>
        <v>12.78</v>
      </c>
      <c r="I36" s="19"/>
      <c r="J36" s="19"/>
      <c r="K36" s="19"/>
      <c r="L36" s="19"/>
      <c r="M36" s="19"/>
      <c r="N36" s="36">
        <f t="shared" si="4"/>
        <v>23.119999999999997</v>
      </c>
      <c r="O36" s="36">
        <f t="shared" si="1"/>
        <v>108.47746295742525</v>
      </c>
      <c r="P36" s="37">
        <v>8</v>
      </c>
      <c r="Q36" s="37">
        <v>10</v>
      </c>
      <c r="R36" s="37">
        <v>9</v>
      </c>
      <c r="S36" s="37">
        <v>9</v>
      </c>
      <c r="T36" s="37">
        <v>9</v>
      </c>
      <c r="U36" s="37">
        <v>9</v>
      </c>
      <c r="V36" s="37">
        <v>9</v>
      </c>
      <c r="W36" s="38" t="str">
        <f t="shared" si="5"/>
        <v>Y</v>
      </c>
      <c r="X36" s="64">
        <f t="shared" si="6"/>
        <v>0.27799999999999991</v>
      </c>
      <c r="Y36" s="64" t="str">
        <f t="shared" si="7"/>
        <v>25-50%</v>
      </c>
      <c r="Z36" s="8" t="s">
        <v>34</v>
      </c>
      <c r="AB36" s="32">
        <v>10340</v>
      </c>
      <c r="AC36" s="32">
        <v>12780</v>
      </c>
      <c r="AD36" s="32"/>
      <c r="AE36" s="32"/>
      <c r="AF36" s="32"/>
      <c r="AG36" s="32"/>
      <c r="AH36" s="32"/>
    </row>
    <row r="37" spans="1:34" ht="24" customHeight="1" x14ac:dyDescent="0.25">
      <c r="A37" s="10">
        <v>66</v>
      </c>
      <c r="B37" s="9">
        <v>0.11527777777777777</v>
      </c>
      <c r="C37" s="5" t="s">
        <v>20</v>
      </c>
      <c r="D37" s="5">
        <f t="shared" si="0"/>
        <v>7</v>
      </c>
      <c r="E37" s="15"/>
      <c r="F37" s="15" t="s">
        <v>22</v>
      </c>
      <c r="G37" s="19">
        <f t="shared" si="2"/>
        <v>2.7</v>
      </c>
      <c r="H37" s="19">
        <f t="shared" si="3"/>
        <v>5</v>
      </c>
      <c r="I37" s="19"/>
      <c r="J37" s="19"/>
      <c r="K37" s="19"/>
      <c r="L37" s="19"/>
      <c r="M37" s="19"/>
      <c r="N37" s="36">
        <f t="shared" si="4"/>
        <v>7.7</v>
      </c>
      <c r="O37" s="36">
        <f t="shared" si="1"/>
        <v>0.77019828790709344</v>
      </c>
      <c r="P37" s="37">
        <v>8</v>
      </c>
      <c r="Q37" s="37">
        <v>10</v>
      </c>
      <c r="R37" s="37">
        <v>9</v>
      </c>
      <c r="S37" s="37">
        <v>9</v>
      </c>
      <c r="T37" s="37">
        <v>9</v>
      </c>
      <c r="U37" s="37">
        <v>9</v>
      </c>
      <c r="V37" s="37">
        <v>9</v>
      </c>
      <c r="W37" s="38" t="str">
        <f t="shared" si="5"/>
        <v>N</v>
      </c>
      <c r="X37" s="64">
        <f t="shared" si="6"/>
        <v>0</v>
      </c>
      <c r="Y37" s="64" t="str">
        <f t="shared" si="7"/>
        <v>0-4.9%</v>
      </c>
      <c r="Z37" s="8" t="s">
        <v>108</v>
      </c>
      <c r="AB37" s="32">
        <v>2700</v>
      </c>
      <c r="AC37" s="32">
        <v>5000</v>
      </c>
      <c r="AD37" s="32"/>
      <c r="AE37" s="32"/>
      <c r="AF37" s="32"/>
      <c r="AG37" s="32"/>
      <c r="AH37" s="32"/>
    </row>
    <row r="38" spans="1:34" ht="24" customHeight="1" x14ac:dyDescent="0.25">
      <c r="A38" s="10">
        <v>67</v>
      </c>
      <c r="B38" s="9">
        <v>0.11597222222222221</v>
      </c>
      <c r="C38" s="5" t="s">
        <v>20</v>
      </c>
      <c r="D38" s="5">
        <f t="shared" si="0"/>
        <v>7</v>
      </c>
      <c r="E38" s="15"/>
      <c r="F38" s="15" t="s">
        <v>22</v>
      </c>
      <c r="G38" s="19">
        <f t="shared" si="2"/>
        <v>3.88</v>
      </c>
      <c r="H38" s="19">
        <f t="shared" si="3"/>
        <v>4.38</v>
      </c>
      <c r="I38" s="19"/>
      <c r="J38" s="19"/>
      <c r="K38" s="19"/>
      <c r="L38" s="19"/>
      <c r="M38" s="19"/>
      <c r="N38" s="36">
        <f t="shared" si="4"/>
        <v>8.26</v>
      </c>
      <c r="O38" s="36">
        <f t="shared" si="1"/>
        <v>1.0563418806523679</v>
      </c>
      <c r="P38" s="37">
        <v>8</v>
      </c>
      <c r="Q38" s="37">
        <v>10</v>
      </c>
      <c r="R38" s="37">
        <v>9</v>
      </c>
      <c r="S38" s="37">
        <v>9</v>
      </c>
      <c r="T38" s="37">
        <v>9</v>
      </c>
      <c r="U38" s="37">
        <v>9</v>
      </c>
      <c r="V38" s="37">
        <v>9</v>
      </c>
      <c r="W38" s="38" t="str">
        <f t="shared" si="5"/>
        <v>N</v>
      </c>
      <c r="X38" s="64">
        <f t="shared" si="6"/>
        <v>0</v>
      </c>
      <c r="Y38" s="64" t="str">
        <f t="shared" si="7"/>
        <v>0-4.9%</v>
      </c>
      <c r="Z38" s="8" t="s">
        <v>108</v>
      </c>
      <c r="AB38" s="32">
        <v>3880</v>
      </c>
      <c r="AC38" s="32">
        <v>4380</v>
      </c>
      <c r="AD38" s="32"/>
      <c r="AE38" s="32"/>
      <c r="AF38" s="32"/>
      <c r="AG38" s="32"/>
      <c r="AH38" s="32"/>
    </row>
    <row r="39" spans="1:34" ht="24" customHeight="1" x14ac:dyDescent="0.25">
      <c r="A39" s="10">
        <v>69</v>
      </c>
      <c r="B39" s="9">
        <v>0.13472222222222222</v>
      </c>
      <c r="C39" s="5" t="s">
        <v>20</v>
      </c>
      <c r="D39" s="5">
        <f t="shared" si="0"/>
        <v>7</v>
      </c>
      <c r="E39" s="15"/>
      <c r="F39" s="15" t="s">
        <v>22</v>
      </c>
      <c r="G39" s="19">
        <f t="shared" si="2"/>
        <v>3.98</v>
      </c>
      <c r="H39" s="19">
        <f t="shared" si="3"/>
        <v>8.48</v>
      </c>
      <c r="I39" s="19"/>
      <c r="J39" s="19"/>
      <c r="K39" s="19"/>
      <c r="L39" s="19"/>
      <c r="M39" s="19"/>
      <c r="N39" s="36">
        <f t="shared" si="4"/>
        <v>12.46</v>
      </c>
      <c r="O39" s="36">
        <f t="shared" si="1"/>
        <v>6.7177753439926216</v>
      </c>
      <c r="P39" s="37">
        <v>8</v>
      </c>
      <c r="Q39" s="37">
        <v>10</v>
      </c>
      <c r="R39" s="37">
        <v>9</v>
      </c>
      <c r="S39" s="37">
        <v>9</v>
      </c>
      <c r="T39" s="37">
        <v>9</v>
      </c>
      <c r="U39" s="37">
        <v>9</v>
      </c>
      <c r="V39" s="37">
        <v>9</v>
      </c>
      <c r="W39" s="38" t="str">
        <f t="shared" si="5"/>
        <v>N</v>
      </c>
      <c r="X39" s="64">
        <f t="shared" si="6"/>
        <v>0</v>
      </c>
      <c r="Y39" s="64" t="str">
        <f t="shared" si="7"/>
        <v>0-4.9%</v>
      </c>
      <c r="Z39" s="8" t="s">
        <v>127</v>
      </c>
      <c r="AB39" s="32">
        <v>3980</v>
      </c>
      <c r="AC39" s="32">
        <v>8480</v>
      </c>
      <c r="AD39" s="32"/>
      <c r="AE39" s="32"/>
      <c r="AF39" s="32"/>
      <c r="AG39" s="32"/>
      <c r="AH39" s="32"/>
    </row>
    <row r="40" spans="1:34" ht="24" customHeight="1" x14ac:dyDescent="0.25">
      <c r="A40" s="10">
        <v>70</v>
      </c>
      <c r="B40" s="9">
        <v>0.13958333333333334</v>
      </c>
      <c r="C40" s="5" t="s">
        <v>20</v>
      </c>
      <c r="D40" s="5">
        <f t="shared" si="0"/>
        <v>7</v>
      </c>
      <c r="E40" s="15"/>
      <c r="F40" s="15" t="s">
        <v>22</v>
      </c>
      <c r="G40" s="19">
        <f t="shared" si="2"/>
        <v>12.18</v>
      </c>
      <c r="H40" s="19">
        <f t="shared" si="3"/>
        <v>19.98</v>
      </c>
      <c r="I40" s="19"/>
      <c r="J40" s="19"/>
      <c r="K40" s="19"/>
      <c r="L40" s="19"/>
      <c r="M40" s="19"/>
      <c r="N40" s="36">
        <f t="shared" si="4"/>
        <v>32.159999999999997</v>
      </c>
      <c r="O40" s="36">
        <f t="shared" si="1"/>
        <v>478.97899228491048</v>
      </c>
      <c r="P40" s="37">
        <v>8</v>
      </c>
      <c r="Q40" s="37">
        <v>10</v>
      </c>
      <c r="R40" s="37">
        <v>9</v>
      </c>
      <c r="S40" s="37">
        <v>9</v>
      </c>
      <c r="T40" s="37">
        <v>9</v>
      </c>
      <c r="U40" s="37">
        <v>9</v>
      </c>
      <c r="V40" s="37">
        <v>9</v>
      </c>
      <c r="W40" s="38" t="str">
        <f t="shared" si="5"/>
        <v>Y</v>
      </c>
      <c r="X40" s="64">
        <f t="shared" si="6"/>
        <v>0.998</v>
      </c>
      <c r="Y40" s="64" t="str">
        <f t="shared" si="7"/>
        <v>Over 50%</v>
      </c>
      <c r="Z40" s="8" t="s">
        <v>34</v>
      </c>
      <c r="AB40" s="32">
        <v>12180</v>
      </c>
      <c r="AC40" s="32">
        <v>19980</v>
      </c>
      <c r="AD40" s="32"/>
      <c r="AE40" s="32"/>
      <c r="AF40" s="32"/>
      <c r="AG40" s="32"/>
      <c r="AH40" s="32"/>
    </row>
    <row r="41" spans="1:34" ht="24" customHeight="1" x14ac:dyDescent="0.25">
      <c r="A41" s="10">
        <v>71</v>
      </c>
      <c r="B41" s="9">
        <v>0.14375000000000002</v>
      </c>
      <c r="C41" s="5" t="s">
        <v>20</v>
      </c>
      <c r="D41" s="5">
        <f t="shared" si="0"/>
        <v>7</v>
      </c>
      <c r="E41" s="15"/>
      <c r="F41" s="15" t="s">
        <v>22</v>
      </c>
      <c r="G41" s="19">
        <f t="shared" si="2"/>
        <v>3.18</v>
      </c>
      <c r="H41" s="19">
        <f t="shared" si="3"/>
        <v>4.0199999999999996</v>
      </c>
      <c r="I41" s="19"/>
      <c r="J41" s="19"/>
      <c r="K41" s="19"/>
      <c r="L41" s="19"/>
      <c r="M41" s="19"/>
      <c r="N41" s="36">
        <f t="shared" si="4"/>
        <v>7.1999999999999993</v>
      </c>
      <c r="O41" s="36">
        <f t="shared" si="1"/>
        <v>0.56936467600098795</v>
      </c>
      <c r="P41" s="37">
        <v>8</v>
      </c>
      <c r="Q41" s="37">
        <v>10</v>
      </c>
      <c r="R41" s="37">
        <v>9</v>
      </c>
      <c r="S41" s="37">
        <v>9</v>
      </c>
      <c r="T41" s="37">
        <v>9</v>
      </c>
      <c r="U41" s="37">
        <v>9</v>
      </c>
      <c r="V41" s="37">
        <v>9</v>
      </c>
      <c r="W41" s="38" t="str">
        <f t="shared" si="5"/>
        <v>N</v>
      </c>
      <c r="X41" s="64">
        <f t="shared" si="6"/>
        <v>0</v>
      </c>
      <c r="Y41" s="64" t="str">
        <f t="shared" si="7"/>
        <v>0-4.9%</v>
      </c>
      <c r="Z41" s="8" t="s">
        <v>108</v>
      </c>
      <c r="AB41" s="32">
        <v>3180</v>
      </c>
      <c r="AC41" s="32">
        <v>4020</v>
      </c>
      <c r="AD41" s="32"/>
      <c r="AE41" s="32"/>
      <c r="AF41" s="32"/>
      <c r="AG41" s="32"/>
      <c r="AH41" s="32"/>
    </row>
    <row r="42" spans="1:34" ht="24" customHeight="1" x14ac:dyDescent="0.25">
      <c r="A42" s="10">
        <v>73</v>
      </c>
      <c r="B42" s="9">
        <v>0.14583333333333334</v>
      </c>
      <c r="C42" s="5" t="s">
        <v>20</v>
      </c>
      <c r="D42" s="5">
        <f t="shared" si="0"/>
        <v>7</v>
      </c>
      <c r="E42" s="15"/>
      <c r="F42" s="15" t="s">
        <v>22</v>
      </c>
      <c r="G42" s="19">
        <f t="shared" si="2"/>
        <v>9.1199999999999992</v>
      </c>
      <c r="H42" s="19">
        <f t="shared" si="3"/>
        <v>17.86</v>
      </c>
      <c r="I42" s="19"/>
      <c r="J42" s="19"/>
      <c r="K42" s="19"/>
      <c r="L42" s="19"/>
      <c r="M42" s="19"/>
      <c r="N42" s="36">
        <f t="shared" si="4"/>
        <v>26.979999999999997</v>
      </c>
      <c r="O42" s="36">
        <f t="shared" si="1"/>
        <v>217.31166516262354</v>
      </c>
      <c r="P42" s="37">
        <v>8</v>
      </c>
      <c r="Q42" s="37">
        <v>10</v>
      </c>
      <c r="R42" s="37">
        <v>9</v>
      </c>
      <c r="S42" s="37">
        <v>9</v>
      </c>
      <c r="T42" s="37">
        <v>9</v>
      </c>
      <c r="U42" s="37">
        <v>9</v>
      </c>
      <c r="V42" s="37">
        <v>9</v>
      </c>
      <c r="W42" s="38" t="str">
        <f t="shared" si="5"/>
        <v>Y</v>
      </c>
      <c r="X42" s="64">
        <f t="shared" si="6"/>
        <v>0.78599999999999992</v>
      </c>
      <c r="Y42" s="64" t="str">
        <f t="shared" si="7"/>
        <v>Over 50%</v>
      </c>
      <c r="Z42" s="8" t="s">
        <v>34</v>
      </c>
      <c r="AB42" s="32">
        <v>9120</v>
      </c>
      <c r="AC42" s="32">
        <v>17860</v>
      </c>
      <c r="AD42" s="32"/>
      <c r="AE42" s="32"/>
      <c r="AF42" s="32"/>
      <c r="AG42" s="32"/>
      <c r="AH42" s="32"/>
    </row>
    <row r="43" spans="1:34" ht="24" customHeight="1" x14ac:dyDescent="0.25">
      <c r="A43" s="10">
        <v>74</v>
      </c>
      <c r="B43" s="9">
        <v>0.14652777777777778</v>
      </c>
      <c r="C43" s="5" t="s">
        <v>20</v>
      </c>
      <c r="D43" s="5">
        <f t="shared" si="0"/>
        <v>7</v>
      </c>
      <c r="E43" s="15"/>
      <c r="F43" s="15" t="s">
        <v>22</v>
      </c>
      <c r="G43" s="19">
        <f t="shared" si="2"/>
        <v>6.82</v>
      </c>
      <c r="H43" s="19">
        <f t="shared" si="3"/>
        <v>10.199999999999999</v>
      </c>
      <c r="I43" s="19"/>
      <c r="J43" s="19"/>
      <c r="K43" s="19"/>
      <c r="L43" s="19"/>
      <c r="M43" s="19"/>
      <c r="N43" s="36">
        <f t="shared" si="4"/>
        <v>17.02</v>
      </c>
      <c r="O43" s="36">
        <f t="shared" si="1"/>
        <v>27.33457252260774</v>
      </c>
      <c r="P43" s="37">
        <v>8</v>
      </c>
      <c r="Q43" s="37">
        <v>10</v>
      </c>
      <c r="R43" s="37">
        <v>9</v>
      </c>
      <c r="S43" s="37">
        <v>9</v>
      </c>
      <c r="T43" s="37">
        <v>9</v>
      </c>
      <c r="U43" s="37">
        <v>9</v>
      </c>
      <c r="V43" s="37">
        <v>9</v>
      </c>
      <c r="W43" s="38" t="str">
        <f t="shared" si="5"/>
        <v>Y</v>
      </c>
      <c r="X43" s="64">
        <f t="shared" si="6"/>
        <v>1.9999999999999928E-2</v>
      </c>
      <c r="Y43" s="64" t="str">
        <f t="shared" si="7"/>
        <v>0-4.9%</v>
      </c>
      <c r="Z43" s="8" t="s">
        <v>34</v>
      </c>
      <c r="AB43" s="32">
        <v>6820</v>
      </c>
      <c r="AC43" s="32">
        <v>10200</v>
      </c>
      <c r="AD43" s="32"/>
      <c r="AE43" s="32"/>
      <c r="AF43" s="32"/>
      <c r="AG43" s="32"/>
      <c r="AH43" s="32"/>
    </row>
    <row r="44" spans="1:34" ht="24" customHeight="1" x14ac:dyDescent="0.25">
      <c r="A44" s="10">
        <v>75</v>
      </c>
      <c r="B44" s="9">
        <v>0.14791666666666667</v>
      </c>
      <c r="C44" s="5" t="s">
        <v>20</v>
      </c>
      <c r="D44" s="5">
        <f t="shared" si="0"/>
        <v>7</v>
      </c>
      <c r="E44" s="15"/>
      <c r="F44" s="15" t="s">
        <v>22</v>
      </c>
      <c r="G44" s="19">
        <f t="shared" si="2"/>
        <v>4.2</v>
      </c>
      <c r="H44" s="19">
        <f t="shared" si="3"/>
        <v>8</v>
      </c>
      <c r="I44" s="19"/>
      <c r="J44" s="19"/>
      <c r="K44" s="19"/>
      <c r="L44" s="19"/>
      <c r="M44" s="19"/>
      <c r="N44" s="36">
        <f t="shared" si="4"/>
        <v>12.2</v>
      </c>
      <c r="O44" s="36">
        <f t="shared" si="1"/>
        <v>6.109610495338579</v>
      </c>
      <c r="P44" s="37">
        <v>8</v>
      </c>
      <c r="Q44" s="37">
        <v>10</v>
      </c>
      <c r="R44" s="37">
        <v>9</v>
      </c>
      <c r="S44" s="37">
        <v>9</v>
      </c>
      <c r="T44" s="37">
        <v>9</v>
      </c>
      <c r="U44" s="37">
        <v>9</v>
      </c>
      <c r="V44" s="37">
        <v>9</v>
      </c>
      <c r="W44" s="38" t="str">
        <f t="shared" si="5"/>
        <v>N</v>
      </c>
      <c r="X44" s="64">
        <f t="shared" si="6"/>
        <v>0</v>
      </c>
      <c r="Y44" s="64" t="str">
        <f t="shared" si="7"/>
        <v>0-4.9%</v>
      </c>
      <c r="Z44" s="8" t="s">
        <v>102</v>
      </c>
      <c r="AB44" s="32">
        <v>4200</v>
      </c>
      <c r="AC44" s="32">
        <v>8000</v>
      </c>
      <c r="AD44" s="32"/>
      <c r="AE44" s="32"/>
      <c r="AF44" s="32"/>
      <c r="AG44" s="32"/>
      <c r="AH44" s="32"/>
    </row>
    <row r="45" spans="1:34" ht="24" customHeight="1" x14ac:dyDescent="0.25">
      <c r="A45" s="10">
        <v>77</v>
      </c>
      <c r="B45" s="9">
        <v>0.15</v>
      </c>
      <c r="C45" s="5" t="s">
        <v>20</v>
      </c>
      <c r="D45" s="5">
        <f t="shared" si="0"/>
        <v>7</v>
      </c>
      <c r="E45" s="15"/>
      <c r="F45" s="15" t="s">
        <v>22</v>
      </c>
      <c r="G45" s="19">
        <f t="shared" si="2"/>
        <v>3</v>
      </c>
      <c r="H45" s="19">
        <f t="shared" si="3"/>
        <v>4.24</v>
      </c>
      <c r="I45" s="19"/>
      <c r="J45" s="19"/>
      <c r="K45" s="19"/>
      <c r="L45" s="19"/>
      <c r="M45" s="19"/>
      <c r="N45" s="36">
        <f t="shared" si="4"/>
        <v>7.24</v>
      </c>
      <c r="O45" s="36">
        <f t="shared" si="1"/>
        <v>0.58373782216584869</v>
      </c>
      <c r="P45" s="37">
        <v>8</v>
      </c>
      <c r="Q45" s="37">
        <v>10</v>
      </c>
      <c r="R45" s="37">
        <v>9</v>
      </c>
      <c r="S45" s="37">
        <v>9</v>
      </c>
      <c r="T45" s="37">
        <v>9</v>
      </c>
      <c r="U45" s="37">
        <v>9</v>
      </c>
      <c r="V45" s="37">
        <v>9</v>
      </c>
      <c r="W45" s="38" t="str">
        <f t="shared" si="5"/>
        <v>N</v>
      </c>
      <c r="X45" s="64">
        <f t="shared" si="6"/>
        <v>0</v>
      </c>
      <c r="Y45" s="64" t="str">
        <f t="shared" si="7"/>
        <v>0-4.9%</v>
      </c>
      <c r="Z45" s="8" t="s">
        <v>108</v>
      </c>
      <c r="AB45" s="32">
        <v>3000</v>
      </c>
      <c r="AC45" s="32">
        <v>4240</v>
      </c>
      <c r="AD45" s="32"/>
      <c r="AE45" s="32"/>
      <c r="AF45" s="32"/>
      <c r="AG45" s="32"/>
      <c r="AH45" s="32"/>
    </row>
    <row r="46" spans="1:34" ht="24" customHeight="1" x14ac:dyDescent="0.25">
      <c r="A46" s="10">
        <v>79</v>
      </c>
      <c r="B46" s="9">
        <v>0.15277777777777776</v>
      </c>
      <c r="C46" s="5" t="s">
        <v>20</v>
      </c>
      <c r="D46" s="5">
        <f t="shared" si="0"/>
        <v>7</v>
      </c>
      <c r="E46" s="15"/>
      <c r="F46" s="15" t="s">
        <v>22</v>
      </c>
      <c r="G46" s="19">
        <f t="shared" si="2"/>
        <v>9.14</v>
      </c>
      <c r="H46" s="19">
        <f t="shared" si="3"/>
        <v>7.04</v>
      </c>
      <c r="I46" s="19"/>
      <c r="J46" s="19"/>
      <c r="K46" s="19"/>
      <c r="L46" s="19"/>
      <c r="M46" s="19"/>
      <c r="N46" s="36">
        <f t="shared" si="4"/>
        <v>16.18</v>
      </c>
      <c r="O46" s="36">
        <f t="shared" si="1"/>
        <v>21.766951688453627</v>
      </c>
      <c r="P46" s="37">
        <v>8</v>
      </c>
      <c r="Q46" s="37">
        <v>10</v>
      </c>
      <c r="R46" s="37">
        <v>9</v>
      </c>
      <c r="S46" s="37">
        <v>9</v>
      </c>
      <c r="T46" s="37">
        <v>9</v>
      </c>
      <c r="U46" s="37">
        <v>9</v>
      </c>
      <c r="V46" s="37">
        <v>9</v>
      </c>
      <c r="W46" s="38" t="str">
        <f t="shared" si="5"/>
        <v>Y</v>
      </c>
      <c r="X46" s="64">
        <f t="shared" si="6"/>
        <v>0.11400000000000006</v>
      </c>
      <c r="Y46" s="64" t="str">
        <f t="shared" si="7"/>
        <v>5-25%</v>
      </c>
      <c r="Z46" s="8" t="s">
        <v>34</v>
      </c>
      <c r="AB46" s="32">
        <v>9140</v>
      </c>
      <c r="AC46" s="32">
        <v>7040</v>
      </c>
      <c r="AD46" s="32"/>
      <c r="AE46" s="32"/>
      <c r="AF46" s="32"/>
      <c r="AG46" s="32"/>
      <c r="AH46" s="32"/>
    </row>
    <row r="47" spans="1:34" ht="24" customHeight="1" x14ac:dyDescent="0.25">
      <c r="A47" s="10">
        <v>7</v>
      </c>
      <c r="B47" s="9">
        <v>0.19444444444444445</v>
      </c>
      <c r="C47" s="5" t="s">
        <v>20</v>
      </c>
      <c r="D47" s="5">
        <f t="shared" si="0"/>
        <v>7</v>
      </c>
      <c r="E47" s="15"/>
      <c r="F47" s="15" t="s">
        <v>22</v>
      </c>
      <c r="G47" s="19">
        <f t="shared" si="2"/>
        <v>3.52</v>
      </c>
      <c r="H47" s="19">
        <f t="shared" si="3"/>
        <v>4.0999999999999996</v>
      </c>
      <c r="I47" s="19"/>
      <c r="J47" s="19"/>
      <c r="K47" s="19"/>
      <c r="L47" s="19"/>
      <c r="M47" s="19"/>
      <c r="N47" s="36">
        <f t="shared" si="4"/>
        <v>7.6199999999999992</v>
      </c>
      <c r="O47" s="36">
        <f t="shared" si="1"/>
        <v>0.73483808485721658</v>
      </c>
      <c r="P47" s="37">
        <v>8</v>
      </c>
      <c r="Q47" s="37">
        <v>10</v>
      </c>
      <c r="R47" s="37">
        <v>9</v>
      </c>
      <c r="S47" s="37">
        <v>9</v>
      </c>
      <c r="T47" s="37">
        <v>9</v>
      </c>
      <c r="U47" s="37">
        <v>9</v>
      </c>
      <c r="V47" s="37">
        <v>9</v>
      </c>
      <c r="W47" s="38" t="str">
        <f t="shared" si="5"/>
        <v>N</v>
      </c>
      <c r="X47" s="64">
        <f t="shared" si="6"/>
        <v>0</v>
      </c>
      <c r="Y47" s="64" t="str">
        <f t="shared" si="7"/>
        <v>0-4.9%</v>
      </c>
      <c r="Z47" s="8" t="s">
        <v>108</v>
      </c>
      <c r="AB47" s="32">
        <v>3520</v>
      </c>
      <c r="AC47" s="32">
        <v>4100</v>
      </c>
      <c r="AD47" s="32"/>
      <c r="AE47" s="32"/>
      <c r="AF47" s="32"/>
      <c r="AG47" s="32"/>
      <c r="AH47" s="32"/>
    </row>
    <row r="48" spans="1:34" ht="24" customHeight="1" x14ac:dyDescent="0.25">
      <c r="A48" s="10">
        <v>9</v>
      </c>
      <c r="B48" s="9">
        <v>0.31111111111111112</v>
      </c>
      <c r="C48" s="5" t="s">
        <v>20</v>
      </c>
      <c r="D48" s="5">
        <f t="shared" si="0"/>
        <v>7</v>
      </c>
      <c r="E48" s="15"/>
      <c r="F48" s="15" t="s">
        <v>22</v>
      </c>
      <c r="G48" s="19">
        <f t="shared" si="2"/>
        <v>10.7</v>
      </c>
      <c r="H48" s="19">
        <f t="shared" si="3"/>
        <v>10.58</v>
      </c>
      <c r="I48" s="19"/>
      <c r="J48" s="19"/>
      <c r="K48" s="19"/>
      <c r="L48" s="19"/>
      <c r="M48" s="19"/>
      <c r="N48" s="36">
        <f t="shared" si="4"/>
        <v>21.28</v>
      </c>
      <c r="O48" s="36">
        <f t="shared" si="1"/>
        <v>74.690710706325561</v>
      </c>
      <c r="P48" s="37">
        <v>8</v>
      </c>
      <c r="Q48" s="37">
        <v>10</v>
      </c>
      <c r="R48" s="37">
        <v>9</v>
      </c>
      <c r="S48" s="37">
        <v>9</v>
      </c>
      <c r="T48" s="37">
        <v>9</v>
      </c>
      <c r="U48" s="37">
        <v>9</v>
      </c>
      <c r="V48" s="37">
        <v>9</v>
      </c>
      <c r="W48" s="38" t="str">
        <f t="shared" si="5"/>
        <v>Y</v>
      </c>
      <c r="X48" s="64">
        <f t="shared" si="6"/>
        <v>0.26999999999999991</v>
      </c>
      <c r="Y48" s="64" t="str">
        <f t="shared" si="7"/>
        <v>25-50%</v>
      </c>
      <c r="Z48" s="8" t="s">
        <v>34</v>
      </c>
      <c r="AB48" s="32">
        <v>10700</v>
      </c>
      <c r="AC48" s="32">
        <v>10580</v>
      </c>
      <c r="AD48" s="32"/>
      <c r="AE48" s="32"/>
      <c r="AF48" s="32"/>
      <c r="AG48" s="32"/>
      <c r="AH48" s="32"/>
    </row>
    <row r="49" spans="1:34" ht="24" customHeight="1" x14ac:dyDescent="0.25">
      <c r="A49" s="10">
        <v>10</v>
      </c>
      <c r="B49" s="9">
        <v>0.31180555555555556</v>
      </c>
      <c r="C49" s="5" t="s">
        <v>20</v>
      </c>
      <c r="D49" s="5">
        <f t="shared" si="0"/>
        <v>7</v>
      </c>
      <c r="E49" s="15"/>
      <c r="F49" s="15" t="s">
        <v>22</v>
      </c>
      <c r="G49" s="19">
        <f t="shared" si="2"/>
        <v>7.68</v>
      </c>
      <c r="H49" s="19">
        <f t="shared" si="3"/>
        <v>12.58</v>
      </c>
      <c r="I49" s="19"/>
      <c r="J49" s="19"/>
      <c r="K49" s="19"/>
      <c r="L49" s="19"/>
      <c r="M49" s="19"/>
      <c r="N49" s="36">
        <f t="shared" si="4"/>
        <v>20.259999999999998</v>
      </c>
      <c r="O49" s="36">
        <f t="shared" si="1"/>
        <v>59.87861826990725</v>
      </c>
      <c r="P49" s="37">
        <v>8</v>
      </c>
      <c r="Q49" s="37">
        <v>10</v>
      </c>
      <c r="R49" s="37">
        <v>9</v>
      </c>
      <c r="S49" s="37">
        <v>9</v>
      </c>
      <c r="T49" s="37">
        <v>9</v>
      </c>
      <c r="U49" s="37">
        <v>9</v>
      </c>
      <c r="V49" s="37">
        <v>9</v>
      </c>
      <c r="W49" s="38" t="str">
        <f t="shared" si="5"/>
        <v>Y</v>
      </c>
      <c r="X49" s="64">
        <f t="shared" si="6"/>
        <v>0.25800000000000001</v>
      </c>
      <c r="Y49" s="64" t="str">
        <f t="shared" si="7"/>
        <v>25-50%</v>
      </c>
      <c r="Z49" s="8" t="s">
        <v>127</v>
      </c>
      <c r="AB49" s="32">
        <v>7680</v>
      </c>
      <c r="AC49" s="32">
        <v>12580</v>
      </c>
      <c r="AD49" s="32"/>
      <c r="AE49" s="32"/>
      <c r="AF49" s="32"/>
      <c r="AG49" s="32"/>
      <c r="AH49" s="32"/>
    </row>
    <row r="50" spans="1:34" ht="24" customHeight="1" x14ac:dyDescent="0.25">
      <c r="A50" s="10">
        <v>12</v>
      </c>
      <c r="B50" s="9">
        <v>0.32916666666666666</v>
      </c>
      <c r="C50" s="5" t="s">
        <v>20</v>
      </c>
      <c r="D50" s="5">
        <f t="shared" si="0"/>
        <v>7</v>
      </c>
      <c r="E50" s="15"/>
      <c r="F50" s="15" t="s">
        <v>22</v>
      </c>
      <c r="G50" s="19">
        <f t="shared" si="2"/>
        <v>10.45</v>
      </c>
      <c r="H50" s="19">
        <f t="shared" si="3"/>
        <v>11.5</v>
      </c>
      <c r="I50" s="19"/>
      <c r="J50" s="19"/>
      <c r="K50" s="19"/>
      <c r="L50" s="19"/>
      <c r="M50" s="19"/>
      <c r="N50" s="36">
        <f t="shared" si="4"/>
        <v>21.95</v>
      </c>
      <c r="O50" s="36">
        <f t="shared" si="1"/>
        <v>85.871618043805142</v>
      </c>
      <c r="P50" s="37">
        <v>8</v>
      </c>
      <c r="Q50" s="37">
        <v>10</v>
      </c>
      <c r="R50" s="37">
        <v>9</v>
      </c>
      <c r="S50" s="37">
        <v>9</v>
      </c>
      <c r="T50" s="37">
        <v>9</v>
      </c>
      <c r="U50" s="37">
        <v>9</v>
      </c>
      <c r="V50" s="37">
        <v>9</v>
      </c>
      <c r="W50" s="38" t="str">
        <f t="shared" si="5"/>
        <v>Y</v>
      </c>
      <c r="X50" s="64">
        <f t="shared" si="6"/>
        <v>0.24499999999999994</v>
      </c>
      <c r="Y50" s="64" t="str">
        <f t="shared" si="7"/>
        <v>5-25%</v>
      </c>
      <c r="Z50" s="8" t="s">
        <v>34</v>
      </c>
      <c r="AB50" s="32">
        <v>10450</v>
      </c>
      <c r="AC50" s="32">
        <v>11500</v>
      </c>
      <c r="AD50" s="32"/>
      <c r="AE50" s="32"/>
      <c r="AF50" s="32"/>
      <c r="AG50" s="32"/>
      <c r="AH50" s="32"/>
    </row>
    <row r="51" spans="1:34" ht="24" customHeight="1" x14ac:dyDescent="0.25">
      <c r="A51" s="10">
        <v>13</v>
      </c>
      <c r="B51" s="9">
        <v>0.34375</v>
      </c>
      <c r="C51" s="5" t="s">
        <v>20</v>
      </c>
      <c r="D51" s="5">
        <f t="shared" si="0"/>
        <v>7</v>
      </c>
      <c r="E51" s="15"/>
      <c r="F51" s="15" t="s">
        <v>22</v>
      </c>
      <c r="G51" s="19">
        <f t="shared" si="2"/>
        <v>6.4</v>
      </c>
      <c r="H51" s="19">
        <f t="shared" si="3"/>
        <v>8.42</v>
      </c>
      <c r="I51" s="19"/>
      <c r="J51" s="19"/>
      <c r="K51" s="19"/>
      <c r="L51" s="19"/>
      <c r="M51" s="19"/>
      <c r="N51" s="36">
        <f t="shared" si="4"/>
        <v>14.82</v>
      </c>
      <c r="O51" s="36">
        <f t="shared" si="1"/>
        <v>14.662607257079339</v>
      </c>
      <c r="P51" s="37">
        <v>8</v>
      </c>
      <c r="Q51" s="37">
        <v>10</v>
      </c>
      <c r="R51" s="37">
        <v>9</v>
      </c>
      <c r="S51" s="37">
        <v>9</v>
      </c>
      <c r="T51" s="37">
        <v>9</v>
      </c>
      <c r="U51" s="37">
        <v>9</v>
      </c>
      <c r="V51" s="37">
        <v>9</v>
      </c>
      <c r="W51" s="38" t="str">
        <f t="shared" si="5"/>
        <v>N</v>
      </c>
      <c r="X51" s="64">
        <f t="shared" si="6"/>
        <v>0</v>
      </c>
      <c r="Y51" s="64" t="str">
        <f t="shared" si="7"/>
        <v>0-4.9%</v>
      </c>
      <c r="Z51" s="8" t="s">
        <v>121</v>
      </c>
      <c r="AB51" s="32">
        <v>6400</v>
      </c>
      <c r="AC51" s="32">
        <v>8420</v>
      </c>
      <c r="AD51" s="32"/>
      <c r="AE51" s="32"/>
      <c r="AF51" s="32"/>
      <c r="AG51" s="32"/>
      <c r="AH51" s="32"/>
    </row>
    <row r="52" spans="1:34" ht="24" customHeight="1" x14ac:dyDescent="0.25">
      <c r="A52" s="10">
        <v>14</v>
      </c>
      <c r="B52" s="9">
        <v>0.34722222222222227</v>
      </c>
      <c r="C52" s="5" t="s">
        <v>20</v>
      </c>
      <c r="D52" s="5">
        <f t="shared" si="0"/>
        <v>7</v>
      </c>
      <c r="E52" s="15"/>
      <c r="F52" s="15" t="s">
        <v>22</v>
      </c>
      <c r="G52" s="19">
        <f t="shared" si="2"/>
        <v>3.38</v>
      </c>
      <c r="H52" s="19">
        <f t="shared" si="3"/>
        <v>5.84</v>
      </c>
      <c r="I52" s="19"/>
      <c r="J52" s="19"/>
      <c r="K52" s="19"/>
      <c r="L52" s="19"/>
      <c r="M52" s="19"/>
      <c r="N52" s="36">
        <f t="shared" si="4"/>
        <v>9.2199999999999989</v>
      </c>
      <c r="O52" s="36">
        <f t="shared" si="1"/>
        <v>1.7325406390088693</v>
      </c>
      <c r="P52" s="37">
        <v>8</v>
      </c>
      <c r="Q52" s="37">
        <v>10</v>
      </c>
      <c r="R52" s="37">
        <v>9</v>
      </c>
      <c r="S52" s="37">
        <v>9</v>
      </c>
      <c r="T52" s="37">
        <v>9</v>
      </c>
      <c r="U52" s="37">
        <v>9</v>
      </c>
      <c r="V52" s="37">
        <v>9</v>
      </c>
      <c r="W52" s="38" t="str">
        <f t="shared" si="5"/>
        <v>N</v>
      </c>
      <c r="X52" s="64">
        <f t="shared" si="6"/>
        <v>0</v>
      </c>
      <c r="Y52" s="64" t="str">
        <f t="shared" si="7"/>
        <v>0-4.9%</v>
      </c>
      <c r="Z52" s="8" t="s">
        <v>108</v>
      </c>
      <c r="AB52" s="32">
        <v>3380</v>
      </c>
      <c r="AC52" s="32">
        <v>5840</v>
      </c>
      <c r="AD52" s="32"/>
      <c r="AE52" s="32"/>
      <c r="AF52" s="32"/>
      <c r="AG52" s="32"/>
      <c r="AH52" s="32"/>
    </row>
    <row r="53" spans="1:34" ht="24" customHeight="1" x14ac:dyDescent="0.25">
      <c r="A53" s="10">
        <v>16</v>
      </c>
      <c r="B53" s="9">
        <v>0.3520833333333333</v>
      </c>
      <c r="C53" s="5" t="s">
        <v>20</v>
      </c>
      <c r="D53" s="5">
        <f t="shared" si="0"/>
        <v>7</v>
      </c>
      <c r="E53" s="15"/>
      <c r="F53" s="15" t="s">
        <v>22</v>
      </c>
      <c r="G53" s="19">
        <f t="shared" si="2"/>
        <v>1.78</v>
      </c>
      <c r="H53" s="19">
        <f t="shared" si="3"/>
        <v>2.36</v>
      </c>
      <c r="I53" s="19"/>
      <c r="J53" s="19"/>
      <c r="K53" s="19"/>
      <c r="L53" s="19"/>
      <c r="M53" s="19"/>
      <c r="N53" s="36">
        <f t="shared" si="4"/>
        <v>4.1399999999999997</v>
      </c>
      <c r="O53" s="36">
        <f t="shared" si="1"/>
        <v>4.7194981550565465E-2</v>
      </c>
      <c r="P53" s="37">
        <v>8</v>
      </c>
      <c r="Q53" s="37">
        <v>10</v>
      </c>
      <c r="R53" s="37">
        <v>9</v>
      </c>
      <c r="S53" s="37">
        <v>9</v>
      </c>
      <c r="T53" s="37">
        <v>9</v>
      </c>
      <c r="U53" s="37">
        <v>9</v>
      </c>
      <c r="V53" s="37">
        <v>9</v>
      </c>
      <c r="W53" s="38" t="str">
        <f t="shared" si="5"/>
        <v>N</v>
      </c>
      <c r="X53" s="64">
        <f t="shared" si="6"/>
        <v>0</v>
      </c>
      <c r="Y53" s="64" t="str">
        <f t="shared" si="7"/>
        <v>0-4.9%</v>
      </c>
      <c r="Z53" s="8" t="s">
        <v>108</v>
      </c>
      <c r="AB53" s="32">
        <v>1780</v>
      </c>
      <c r="AC53" s="32">
        <v>2360</v>
      </c>
      <c r="AD53" s="32"/>
      <c r="AE53" s="32"/>
      <c r="AF53" s="32"/>
      <c r="AG53" s="32"/>
      <c r="AH53" s="32"/>
    </row>
    <row r="54" spans="1:34" ht="24" customHeight="1" x14ac:dyDescent="0.25">
      <c r="A54" s="10">
        <v>17</v>
      </c>
      <c r="B54" s="9">
        <v>0.35347222222222219</v>
      </c>
      <c r="C54" s="5" t="s">
        <v>20</v>
      </c>
      <c r="D54" s="5">
        <f t="shared" si="0"/>
        <v>7</v>
      </c>
      <c r="E54" s="15"/>
      <c r="F54" s="15" t="s">
        <v>22</v>
      </c>
      <c r="G54" s="19">
        <f t="shared" si="2"/>
        <v>3.34</v>
      </c>
      <c r="H54" s="19">
        <f t="shared" si="3"/>
        <v>4.68</v>
      </c>
      <c r="I54" s="19"/>
      <c r="J54" s="19"/>
      <c r="K54" s="19"/>
      <c r="L54" s="19"/>
      <c r="M54" s="19"/>
      <c r="N54" s="36">
        <f t="shared" si="4"/>
        <v>8.02</v>
      </c>
      <c r="O54" s="36">
        <f t="shared" si="1"/>
        <v>0.92507925696105553</v>
      </c>
      <c r="P54" s="37">
        <v>8</v>
      </c>
      <c r="Q54" s="37">
        <v>10</v>
      </c>
      <c r="R54" s="37">
        <v>9</v>
      </c>
      <c r="S54" s="37">
        <v>9</v>
      </c>
      <c r="T54" s="37">
        <v>9</v>
      </c>
      <c r="U54" s="37">
        <v>9</v>
      </c>
      <c r="V54" s="37">
        <v>9</v>
      </c>
      <c r="W54" s="38" t="str">
        <f t="shared" si="5"/>
        <v>N</v>
      </c>
      <c r="X54" s="64">
        <f t="shared" si="6"/>
        <v>0</v>
      </c>
      <c r="Y54" s="64" t="str">
        <f t="shared" si="7"/>
        <v>0-4.9%</v>
      </c>
      <c r="Z54" s="8" t="s">
        <v>108</v>
      </c>
      <c r="AB54" s="32">
        <v>3340</v>
      </c>
      <c r="AC54" s="32">
        <v>4680</v>
      </c>
      <c r="AD54" s="32"/>
      <c r="AE54" s="32"/>
      <c r="AF54" s="32"/>
      <c r="AG54" s="32"/>
      <c r="AH54" s="32"/>
    </row>
    <row r="55" spans="1:34" ht="24" customHeight="1" x14ac:dyDescent="0.25">
      <c r="A55" s="10">
        <v>20</v>
      </c>
      <c r="B55" s="9">
        <v>0.35902777777777778</v>
      </c>
      <c r="C55" s="5" t="s">
        <v>20</v>
      </c>
      <c r="D55" s="5">
        <f t="shared" si="0"/>
        <v>7</v>
      </c>
      <c r="E55" s="15"/>
      <c r="F55" s="15" t="s">
        <v>22</v>
      </c>
      <c r="G55" s="19">
        <f t="shared" si="2"/>
        <v>4.62</v>
      </c>
      <c r="H55" s="19">
        <f t="shared" si="3"/>
        <v>4.1399999999999997</v>
      </c>
      <c r="I55" s="19"/>
      <c r="J55" s="19"/>
      <c r="K55" s="19"/>
      <c r="L55" s="19"/>
      <c r="M55" s="19"/>
      <c r="N55" s="36">
        <f t="shared" si="4"/>
        <v>8.76</v>
      </c>
      <c r="O55" s="36">
        <f t="shared" si="1"/>
        <v>1.3761404587413959</v>
      </c>
      <c r="P55" s="37">
        <v>8</v>
      </c>
      <c r="Q55" s="37">
        <v>10</v>
      </c>
      <c r="R55" s="37">
        <v>9</v>
      </c>
      <c r="S55" s="37">
        <v>9</v>
      </c>
      <c r="T55" s="37">
        <v>9</v>
      </c>
      <c r="U55" s="37">
        <v>9</v>
      </c>
      <c r="V55" s="37">
        <v>9</v>
      </c>
      <c r="W55" s="38" t="str">
        <f t="shared" si="5"/>
        <v>N</v>
      </c>
      <c r="X55" s="64">
        <f t="shared" si="6"/>
        <v>0</v>
      </c>
      <c r="Y55" s="64" t="str">
        <f t="shared" si="7"/>
        <v>0-4.9%</v>
      </c>
      <c r="Z55" s="8" t="s">
        <v>108</v>
      </c>
      <c r="AB55" s="32">
        <v>4620</v>
      </c>
      <c r="AC55" s="32">
        <v>4140</v>
      </c>
      <c r="AD55" s="32"/>
      <c r="AE55" s="32"/>
      <c r="AF55" s="32"/>
      <c r="AG55" s="32"/>
      <c r="AH55" s="32"/>
    </row>
    <row r="56" spans="1:34" ht="24" customHeight="1" x14ac:dyDescent="0.25">
      <c r="A56" s="10">
        <v>21</v>
      </c>
      <c r="B56" s="9">
        <v>0.35972222222222222</v>
      </c>
      <c r="C56" s="5" t="s">
        <v>20</v>
      </c>
      <c r="D56" s="5">
        <f t="shared" si="0"/>
        <v>7</v>
      </c>
      <c r="E56" s="15"/>
      <c r="F56" s="15" t="s">
        <v>22</v>
      </c>
      <c r="G56" s="19">
        <f t="shared" si="2"/>
        <v>8.1999999999999993</v>
      </c>
      <c r="H56" s="19">
        <f t="shared" si="3"/>
        <v>13.42</v>
      </c>
      <c r="I56" s="19"/>
      <c r="J56" s="19"/>
      <c r="K56" s="19"/>
      <c r="L56" s="19"/>
      <c r="M56" s="19"/>
      <c r="N56" s="36">
        <f t="shared" si="4"/>
        <v>21.619999999999997</v>
      </c>
      <c r="O56" s="36">
        <f t="shared" si="1"/>
        <v>80.213023908136691</v>
      </c>
      <c r="P56" s="37">
        <v>8</v>
      </c>
      <c r="Q56" s="37">
        <v>10</v>
      </c>
      <c r="R56" s="37">
        <v>9</v>
      </c>
      <c r="S56" s="37">
        <v>9</v>
      </c>
      <c r="T56" s="37">
        <v>9</v>
      </c>
      <c r="U56" s="37">
        <v>9</v>
      </c>
      <c r="V56" s="37">
        <v>9</v>
      </c>
      <c r="W56" s="38" t="str">
        <f t="shared" si="5"/>
        <v>Y</v>
      </c>
      <c r="X56" s="64">
        <f t="shared" si="6"/>
        <v>0.34199999999999997</v>
      </c>
      <c r="Y56" s="64" t="str">
        <f t="shared" si="7"/>
        <v>25-50%</v>
      </c>
      <c r="Z56" s="8" t="s">
        <v>34</v>
      </c>
      <c r="AB56" s="32">
        <v>8200</v>
      </c>
      <c r="AC56" s="32">
        <v>13420</v>
      </c>
      <c r="AD56" s="32"/>
      <c r="AE56" s="32"/>
      <c r="AF56" s="32"/>
      <c r="AG56" s="32"/>
      <c r="AH56" s="32"/>
    </row>
    <row r="57" spans="1:34" ht="24" customHeight="1" x14ac:dyDescent="0.25">
      <c r="A57" s="10">
        <v>22</v>
      </c>
      <c r="B57" s="9">
        <v>0.3659722222222222</v>
      </c>
      <c r="C57" s="5" t="s">
        <v>20</v>
      </c>
      <c r="D57" s="5">
        <f t="shared" si="0"/>
        <v>7</v>
      </c>
      <c r="E57" s="15"/>
      <c r="F57" s="15" t="s">
        <v>22</v>
      </c>
      <c r="G57" s="19">
        <f t="shared" si="2"/>
        <v>2.14</v>
      </c>
      <c r="H57" s="19">
        <f t="shared" si="3"/>
        <v>2.2400000000000002</v>
      </c>
      <c r="I57" s="19"/>
      <c r="J57" s="19"/>
      <c r="K57" s="19"/>
      <c r="L57" s="19"/>
      <c r="M57" s="19"/>
      <c r="N57" s="36">
        <f t="shared" si="4"/>
        <v>4.3800000000000008</v>
      </c>
      <c r="O57" s="36">
        <f t="shared" si="1"/>
        <v>6.0817390640075512E-2</v>
      </c>
      <c r="P57" s="37">
        <v>8</v>
      </c>
      <c r="Q57" s="37">
        <v>10</v>
      </c>
      <c r="R57" s="37">
        <v>9</v>
      </c>
      <c r="S57" s="37">
        <v>9</v>
      </c>
      <c r="T57" s="37">
        <v>9</v>
      </c>
      <c r="U57" s="37">
        <v>9</v>
      </c>
      <c r="V57" s="37">
        <v>9</v>
      </c>
      <c r="W57" s="38" t="str">
        <f t="shared" si="5"/>
        <v>N</v>
      </c>
      <c r="X57" s="64">
        <f t="shared" si="6"/>
        <v>0</v>
      </c>
      <c r="Y57" s="64" t="str">
        <f t="shared" si="7"/>
        <v>0-4.9%</v>
      </c>
      <c r="Z57" s="8" t="s">
        <v>108</v>
      </c>
      <c r="AB57" s="32">
        <v>2140</v>
      </c>
      <c r="AC57" s="32">
        <v>2240</v>
      </c>
      <c r="AD57" s="32"/>
      <c r="AE57" s="32"/>
      <c r="AF57" s="32"/>
      <c r="AG57" s="32"/>
      <c r="AH57" s="32"/>
    </row>
    <row r="58" spans="1:34" ht="24" customHeight="1" x14ac:dyDescent="0.25">
      <c r="A58" s="10">
        <v>23</v>
      </c>
      <c r="B58" s="9">
        <v>0.40833333333333338</v>
      </c>
      <c r="C58" s="5" t="s">
        <v>20</v>
      </c>
      <c r="D58" s="5">
        <f t="shared" si="0"/>
        <v>7</v>
      </c>
      <c r="E58" s="15"/>
      <c r="F58" s="15" t="s">
        <v>22</v>
      </c>
      <c r="G58" s="19">
        <f t="shared" si="2"/>
        <v>8.08</v>
      </c>
      <c r="H58" s="19">
        <f t="shared" si="3"/>
        <v>12.3</v>
      </c>
      <c r="I58" s="19"/>
      <c r="J58" s="19"/>
      <c r="K58" s="19"/>
      <c r="L58" s="19"/>
      <c r="M58" s="19"/>
      <c r="N58" s="36">
        <f t="shared" si="4"/>
        <v>20.380000000000003</v>
      </c>
      <c r="O58" s="36">
        <f t="shared" si="1"/>
        <v>61.491217804178547</v>
      </c>
      <c r="P58" s="37">
        <v>8</v>
      </c>
      <c r="Q58" s="37">
        <v>10</v>
      </c>
      <c r="R58" s="37">
        <v>9</v>
      </c>
      <c r="S58" s="37">
        <v>9</v>
      </c>
      <c r="T58" s="37">
        <v>9</v>
      </c>
      <c r="U58" s="37">
        <v>9</v>
      </c>
      <c r="V58" s="37">
        <v>9</v>
      </c>
      <c r="W58" s="38" t="str">
        <f t="shared" si="5"/>
        <v>Y</v>
      </c>
      <c r="X58" s="64">
        <f t="shared" si="6"/>
        <v>0.23000000000000007</v>
      </c>
      <c r="Y58" s="64" t="str">
        <f t="shared" si="7"/>
        <v>5-25%</v>
      </c>
      <c r="Z58" s="8" t="s">
        <v>121</v>
      </c>
      <c r="AB58" s="32">
        <v>8080</v>
      </c>
      <c r="AC58" s="32">
        <v>12300</v>
      </c>
      <c r="AD58" s="32"/>
      <c r="AE58" s="32"/>
      <c r="AF58" s="32"/>
      <c r="AG58" s="32"/>
      <c r="AH58" s="32"/>
    </row>
    <row r="59" spans="1:34" ht="24" customHeight="1" x14ac:dyDescent="0.25">
      <c r="A59" s="10">
        <v>24</v>
      </c>
      <c r="B59" s="9">
        <v>0.41111111111111115</v>
      </c>
      <c r="C59" s="5" t="s">
        <v>20</v>
      </c>
      <c r="D59" s="5">
        <f t="shared" si="0"/>
        <v>7</v>
      </c>
      <c r="E59" s="15"/>
      <c r="F59" s="15" t="s">
        <v>22</v>
      </c>
      <c r="G59" s="19">
        <f t="shared" si="2"/>
        <v>2.98</v>
      </c>
      <c r="H59" s="19">
        <f t="shared" si="3"/>
        <v>7.74</v>
      </c>
      <c r="I59" s="19"/>
      <c r="J59" s="19"/>
      <c r="K59" s="19"/>
      <c r="L59" s="19"/>
      <c r="M59" s="19"/>
      <c r="N59" s="36">
        <f t="shared" si="4"/>
        <v>10.72</v>
      </c>
      <c r="O59" s="36">
        <f t="shared" si="1"/>
        <v>3.4140574090354203</v>
      </c>
      <c r="P59" s="37">
        <v>8</v>
      </c>
      <c r="Q59" s="37">
        <v>10</v>
      </c>
      <c r="R59" s="37">
        <v>9</v>
      </c>
      <c r="S59" s="37">
        <v>9</v>
      </c>
      <c r="T59" s="37">
        <v>9</v>
      </c>
      <c r="U59" s="37">
        <v>9</v>
      </c>
      <c r="V59" s="37">
        <v>9</v>
      </c>
      <c r="W59" s="38" t="str">
        <f t="shared" si="5"/>
        <v>N</v>
      </c>
      <c r="X59" s="64">
        <f t="shared" si="6"/>
        <v>0</v>
      </c>
      <c r="Y59" s="64" t="str">
        <f t="shared" si="7"/>
        <v>0-4.9%</v>
      </c>
      <c r="Z59" s="8" t="s">
        <v>124</v>
      </c>
      <c r="AB59" s="32">
        <v>2980</v>
      </c>
      <c r="AC59" s="32">
        <v>7740</v>
      </c>
      <c r="AD59" s="32"/>
      <c r="AE59" s="32"/>
      <c r="AF59" s="32"/>
      <c r="AG59" s="32"/>
      <c r="AH59" s="32"/>
    </row>
    <row r="60" spans="1:34" ht="24" customHeight="1" x14ac:dyDescent="0.25">
      <c r="A60" s="10">
        <v>27</v>
      </c>
      <c r="B60" s="9">
        <v>0.41666666666666669</v>
      </c>
      <c r="C60" s="5" t="s">
        <v>20</v>
      </c>
      <c r="D60" s="5">
        <f t="shared" si="0"/>
        <v>7</v>
      </c>
      <c r="E60" s="15"/>
      <c r="F60" s="15" t="s">
        <v>22</v>
      </c>
      <c r="G60" s="19">
        <f t="shared" si="2"/>
        <v>7.32</v>
      </c>
      <c r="H60" s="19">
        <f t="shared" si="3"/>
        <v>11.58</v>
      </c>
      <c r="I60" s="19"/>
      <c r="J60" s="19"/>
      <c r="K60" s="19"/>
      <c r="L60" s="19"/>
      <c r="M60" s="19"/>
      <c r="N60" s="36">
        <f t="shared" si="4"/>
        <v>18.899999999999999</v>
      </c>
      <c r="O60" s="36">
        <f t="shared" si="1"/>
        <v>43.799827932945242</v>
      </c>
      <c r="P60" s="37">
        <v>8</v>
      </c>
      <c r="Q60" s="37">
        <v>10</v>
      </c>
      <c r="R60" s="37">
        <v>9</v>
      </c>
      <c r="S60" s="37">
        <v>9</v>
      </c>
      <c r="T60" s="37">
        <v>9</v>
      </c>
      <c r="U60" s="37">
        <v>9</v>
      </c>
      <c r="V60" s="37">
        <v>9</v>
      </c>
      <c r="W60" s="38" t="str">
        <f t="shared" si="5"/>
        <v>Y</v>
      </c>
      <c r="X60" s="64">
        <f t="shared" si="6"/>
        <v>0.158</v>
      </c>
      <c r="Y60" s="64" t="str">
        <f t="shared" si="7"/>
        <v>5-25%</v>
      </c>
      <c r="Z60" s="8" t="s">
        <v>127</v>
      </c>
      <c r="AB60" s="32">
        <v>7320</v>
      </c>
      <c r="AC60" s="32">
        <v>11580</v>
      </c>
      <c r="AD60" s="32"/>
      <c r="AE60" s="32"/>
      <c r="AF60" s="32"/>
      <c r="AG60" s="32"/>
      <c r="AH60" s="32"/>
    </row>
    <row r="61" spans="1:34" ht="24" customHeight="1" x14ac:dyDescent="0.25">
      <c r="A61" s="10">
        <v>29</v>
      </c>
      <c r="B61" s="9">
        <v>0.42291666666666666</v>
      </c>
      <c r="C61" s="5" t="s">
        <v>20</v>
      </c>
      <c r="D61" s="5">
        <f t="shared" si="0"/>
        <v>7</v>
      </c>
      <c r="E61" s="15"/>
      <c r="F61" s="15" t="s">
        <v>22</v>
      </c>
      <c r="G61" s="19">
        <f t="shared" si="2"/>
        <v>8.08</v>
      </c>
      <c r="H61" s="19">
        <f t="shared" si="3"/>
        <v>12.74</v>
      </c>
      <c r="I61" s="19"/>
      <c r="J61" s="19"/>
      <c r="K61" s="19"/>
      <c r="L61" s="19"/>
      <c r="M61" s="19"/>
      <c r="N61" s="36">
        <f t="shared" si="4"/>
        <v>20.82</v>
      </c>
      <c r="O61" s="36">
        <f t="shared" si="1"/>
        <v>67.695149064659574</v>
      </c>
      <c r="P61" s="37">
        <v>8</v>
      </c>
      <c r="Q61" s="37">
        <v>10</v>
      </c>
      <c r="R61" s="37">
        <v>9</v>
      </c>
      <c r="S61" s="37">
        <v>9</v>
      </c>
      <c r="T61" s="37">
        <v>9</v>
      </c>
      <c r="U61" s="37">
        <v>9</v>
      </c>
      <c r="V61" s="37">
        <v>9</v>
      </c>
      <c r="W61" s="38" t="str">
        <f t="shared" si="5"/>
        <v>Y</v>
      </c>
      <c r="X61" s="64">
        <f t="shared" si="6"/>
        <v>0.27400000000000002</v>
      </c>
      <c r="Y61" s="64" t="str">
        <f t="shared" si="7"/>
        <v>25-50%</v>
      </c>
      <c r="Z61" s="8" t="s">
        <v>34</v>
      </c>
      <c r="AB61" s="32">
        <v>8080</v>
      </c>
      <c r="AC61" s="32">
        <v>12740</v>
      </c>
      <c r="AD61" s="32"/>
      <c r="AE61" s="32"/>
      <c r="AF61" s="32"/>
      <c r="AG61" s="32"/>
      <c r="AH61" s="32"/>
    </row>
    <row r="62" spans="1:34" ht="24" customHeight="1" x14ac:dyDescent="0.25">
      <c r="A62" s="10">
        <v>32</v>
      </c>
      <c r="B62" s="9">
        <v>0.43055555555555558</v>
      </c>
      <c r="C62" s="5" t="s">
        <v>20</v>
      </c>
      <c r="D62" s="5">
        <f t="shared" si="0"/>
        <v>7</v>
      </c>
      <c r="E62" s="15"/>
      <c r="F62" s="15" t="s">
        <v>22</v>
      </c>
      <c r="G62" s="19">
        <f t="shared" si="2"/>
        <v>4.22</v>
      </c>
      <c r="H62" s="19">
        <f t="shared" si="3"/>
        <v>5.66</v>
      </c>
      <c r="I62" s="19"/>
      <c r="J62" s="19"/>
      <c r="K62" s="19"/>
      <c r="L62" s="19"/>
      <c r="M62" s="19"/>
      <c r="N62" s="36">
        <f t="shared" si="4"/>
        <v>9.879999999999999</v>
      </c>
      <c r="O62" s="36">
        <f t="shared" si="1"/>
        <v>2.3648333220526099</v>
      </c>
      <c r="P62" s="37">
        <v>8</v>
      </c>
      <c r="Q62" s="37">
        <v>10</v>
      </c>
      <c r="R62" s="37">
        <v>9</v>
      </c>
      <c r="S62" s="37">
        <v>9</v>
      </c>
      <c r="T62" s="37">
        <v>9</v>
      </c>
      <c r="U62" s="37">
        <v>9</v>
      </c>
      <c r="V62" s="37">
        <v>9</v>
      </c>
      <c r="W62" s="38" t="str">
        <f t="shared" si="5"/>
        <v>N</v>
      </c>
      <c r="X62" s="64">
        <f t="shared" si="6"/>
        <v>0</v>
      </c>
      <c r="Y62" s="64" t="str">
        <f t="shared" si="7"/>
        <v>0-4.9%</v>
      </c>
      <c r="Z62" s="8" t="s">
        <v>108</v>
      </c>
      <c r="AB62" s="32">
        <v>4220</v>
      </c>
      <c r="AC62" s="32">
        <v>5660</v>
      </c>
      <c r="AD62" s="32"/>
      <c r="AE62" s="32"/>
      <c r="AF62" s="32"/>
      <c r="AG62" s="32"/>
      <c r="AH62" s="32"/>
    </row>
    <row r="63" spans="1:34" ht="24" customHeight="1" x14ac:dyDescent="0.25">
      <c r="A63" s="10">
        <v>33</v>
      </c>
      <c r="B63" s="9">
        <v>0.43888888888888888</v>
      </c>
      <c r="C63" s="5" t="s">
        <v>20</v>
      </c>
      <c r="D63" s="5">
        <f t="shared" si="0"/>
        <v>7</v>
      </c>
      <c r="E63" s="15"/>
      <c r="F63" s="15" t="s">
        <v>22</v>
      </c>
      <c r="G63" s="19">
        <f t="shared" si="2"/>
        <v>3.1</v>
      </c>
      <c r="H63" s="19">
        <f t="shared" si="3"/>
        <v>4.0599999999999996</v>
      </c>
      <c r="I63" s="19"/>
      <c r="J63" s="19"/>
      <c r="K63" s="19"/>
      <c r="L63" s="19"/>
      <c r="M63" s="19"/>
      <c r="N63" s="36">
        <f t="shared" si="4"/>
        <v>7.16</v>
      </c>
      <c r="O63" s="36">
        <f t="shared" si="1"/>
        <v>0.55526830700091234</v>
      </c>
      <c r="P63" s="37">
        <v>8</v>
      </c>
      <c r="Q63" s="37">
        <v>10</v>
      </c>
      <c r="R63" s="37">
        <v>9</v>
      </c>
      <c r="S63" s="37">
        <v>9</v>
      </c>
      <c r="T63" s="37">
        <v>9</v>
      </c>
      <c r="U63" s="37">
        <v>9</v>
      </c>
      <c r="V63" s="37">
        <v>9</v>
      </c>
      <c r="W63" s="38" t="str">
        <f t="shared" si="5"/>
        <v>N</v>
      </c>
      <c r="X63" s="64">
        <f t="shared" si="6"/>
        <v>0</v>
      </c>
      <c r="Y63" s="64" t="str">
        <f t="shared" si="7"/>
        <v>0-4.9%</v>
      </c>
      <c r="Z63" s="8" t="s">
        <v>108</v>
      </c>
      <c r="AB63" s="32">
        <v>3100</v>
      </c>
      <c r="AC63" s="32">
        <v>4060</v>
      </c>
      <c r="AD63" s="32"/>
      <c r="AE63" s="32"/>
      <c r="AF63" s="32"/>
      <c r="AG63" s="32"/>
      <c r="AH63" s="32"/>
    </row>
    <row r="64" spans="1:34" ht="24" customHeight="1" x14ac:dyDescent="0.25">
      <c r="A64" s="10">
        <v>35</v>
      </c>
      <c r="B64" s="9">
        <v>0.45416666666666666</v>
      </c>
      <c r="C64" s="5" t="s">
        <v>20</v>
      </c>
      <c r="D64" s="5">
        <f t="shared" si="0"/>
        <v>7</v>
      </c>
      <c r="E64" s="15"/>
      <c r="F64" s="15" t="s">
        <v>22</v>
      </c>
      <c r="G64" s="19">
        <f t="shared" si="2"/>
        <v>3.08</v>
      </c>
      <c r="H64" s="19">
        <f t="shared" si="3"/>
        <v>2.84</v>
      </c>
      <c r="I64" s="19"/>
      <c r="J64" s="19"/>
      <c r="K64" s="19"/>
      <c r="L64" s="19"/>
      <c r="M64" s="19"/>
      <c r="N64" s="36">
        <f t="shared" si="4"/>
        <v>5.92</v>
      </c>
      <c r="O64" s="36">
        <f t="shared" si="1"/>
        <v>0.23596194419731639</v>
      </c>
      <c r="P64" s="37">
        <v>8</v>
      </c>
      <c r="Q64" s="37">
        <v>10</v>
      </c>
      <c r="R64" s="37">
        <v>9</v>
      </c>
      <c r="S64" s="37">
        <v>9</v>
      </c>
      <c r="T64" s="37">
        <v>9</v>
      </c>
      <c r="U64" s="37">
        <v>9</v>
      </c>
      <c r="V64" s="37">
        <v>9</v>
      </c>
      <c r="W64" s="38" t="str">
        <f t="shared" si="5"/>
        <v>N</v>
      </c>
      <c r="X64" s="64">
        <f t="shared" si="6"/>
        <v>0</v>
      </c>
      <c r="Y64" s="64" t="str">
        <f t="shared" si="7"/>
        <v>0-4.9%</v>
      </c>
      <c r="Z64" s="8" t="s">
        <v>108</v>
      </c>
      <c r="AB64" s="32">
        <v>3080</v>
      </c>
      <c r="AC64" s="32">
        <v>2840</v>
      </c>
      <c r="AD64" s="32"/>
      <c r="AE64" s="32"/>
      <c r="AF64" s="32"/>
      <c r="AG64" s="32"/>
      <c r="AH64" s="32"/>
    </row>
    <row r="65" spans="1:34" ht="24" customHeight="1" x14ac:dyDescent="0.25">
      <c r="A65" s="10">
        <v>36</v>
      </c>
      <c r="B65" s="9">
        <v>0.45555555555555555</v>
      </c>
      <c r="C65" s="5" t="s">
        <v>20</v>
      </c>
      <c r="D65" s="5">
        <f t="shared" si="0"/>
        <v>7</v>
      </c>
      <c r="E65" s="15"/>
      <c r="F65" s="15" t="s">
        <v>22</v>
      </c>
      <c r="G65" s="19">
        <f t="shared" si="2"/>
        <v>6.82</v>
      </c>
      <c r="H65" s="19">
        <f t="shared" si="3"/>
        <v>12.32</v>
      </c>
      <c r="I65" s="19"/>
      <c r="J65" s="19"/>
      <c r="K65" s="19"/>
      <c r="L65" s="19"/>
      <c r="M65" s="19"/>
      <c r="N65" s="36">
        <f t="shared" si="4"/>
        <v>19.14</v>
      </c>
      <c r="O65" s="36">
        <f t="shared" si="1"/>
        <v>46.358885437776081</v>
      </c>
      <c r="P65" s="37">
        <v>8</v>
      </c>
      <c r="Q65" s="37">
        <v>10</v>
      </c>
      <c r="R65" s="37">
        <v>9</v>
      </c>
      <c r="S65" s="37">
        <v>9</v>
      </c>
      <c r="T65" s="37">
        <v>9</v>
      </c>
      <c r="U65" s="37">
        <v>9</v>
      </c>
      <c r="V65" s="37">
        <v>9</v>
      </c>
      <c r="W65" s="38" t="str">
        <f t="shared" si="5"/>
        <v>Y</v>
      </c>
      <c r="X65" s="64">
        <f t="shared" si="6"/>
        <v>0.23200000000000004</v>
      </c>
      <c r="Y65" s="64" t="str">
        <f t="shared" si="7"/>
        <v>5-25%</v>
      </c>
      <c r="Z65" s="8" t="s">
        <v>121</v>
      </c>
      <c r="AB65" s="32">
        <v>6820</v>
      </c>
      <c r="AC65" s="32">
        <v>12320</v>
      </c>
      <c r="AD65" s="32"/>
      <c r="AE65" s="32"/>
      <c r="AF65" s="32"/>
      <c r="AG65" s="32"/>
      <c r="AH65" s="32"/>
    </row>
    <row r="66" spans="1:34" ht="24" customHeight="1" x14ac:dyDescent="0.25">
      <c r="A66" s="10">
        <v>37</v>
      </c>
      <c r="B66" s="9">
        <v>0.45763888888888887</v>
      </c>
      <c r="C66" s="5" t="s">
        <v>20</v>
      </c>
      <c r="D66" s="5">
        <f t="shared" si="0"/>
        <v>7</v>
      </c>
      <c r="E66" s="15"/>
      <c r="F66" s="15" t="s">
        <v>22</v>
      </c>
      <c r="G66" s="19">
        <f t="shared" si="2"/>
        <v>7.96</v>
      </c>
      <c r="H66" s="19">
        <f t="shared" si="3"/>
        <v>8.08</v>
      </c>
      <c r="I66" s="19"/>
      <c r="J66" s="19"/>
      <c r="K66" s="19"/>
      <c r="L66" s="19"/>
      <c r="M66" s="19"/>
      <c r="N66" s="36">
        <f t="shared" si="4"/>
        <v>16.04</v>
      </c>
      <c r="O66" s="36">
        <f t="shared" si="1"/>
        <v>20.932154103429596</v>
      </c>
      <c r="P66" s="37">
        <v>8</v>
      </c>
      <c r="Q66" s="37">
        <v>10</v>
      </c>
      <c r="R66" s="37">
        <v>9</v>
      </c>
      <c r="S66" s="37">
        <v>9</v>
      </c>
      <c r="T66" s="37">
        <v>9</v>
      </c>
      <c r="U66" s="37">
        <v>9</v>
      </c>
      <c r="V66" s="37">
        <v>9</v>
      </c>
      <c r="W66" s="38" t="str">
        <f t="shared" si="5"/>
        <v>N</v>
      </c>
      <c r="X66" s="64">
        <f t="shared" si="6"/>
        <v>0</v>
      </c>
      <c r="Y66" s="64" t="str">
        <f t="shared" si="7"/>
        <v>0-4.9%</v>
      </c>
      <c r="Z66" s="8" t="s">
        <v>34</v>
      </c>
      <c r="AB66" s="32">
        <v>7960</v>
      </c>
      <c r="AC66" s="32">
        <v>8080</v>
      </c>
      <c r="AD66" s="32"/>
      <c r="AE66" s="32"/>
      <c r="AF66" s="32"/>
      <c r="AG66" s="32"/>
      <c r="AH66" s="32"/>
    </row>
    <row r="67" spans="1:34" ht="24" customHeight="1" x14ac:dyDescent="0.25">
      <c r="A67" s="10">
        <v>40</v>
      </c>
      <c r="B67" s="9">
        <v>0.46666666666666662</v>
      </c>
      <c r="C67" s="5" t="s">
        <v>20</v>
      </c>
      <c r="D67" s="5">
        <f t="shared" si="0"/>
        <v>7</v>
      </c>
      <c r="E67" s="15"/>
      <c r="F67" s="15" t="s">
        <v>22</v>
      </c>
      <c r="G67" s="19">
        <f t="shared" si="2"/>
        <v>3.2</v>
      </c>
      <c r="H67" s="19">
        <f t="shared" si="3"/>
        <v>4</v>
      </c>
      <c r="I67" s="19"/>
      <c r="J67" s="19"/>
      <c r="K67" s="19"/>
      <c r="L67" s="19"/>
      <c r="M67" s="19"/>
      <c r="N67" s="36">
        <f t="shared" si="4"/>
        <v>7.2</v>
      </c>
      <c r="O67" s="36">
        <f t="shared" si="1"/>
        <v>0.56936467600098817</v>
      </c>
      <c r="P67" s="37">
        <v>8</v>
      </c>
      <c r="Q67" s="37">
        <v>10</v>
      </c>
      <c r="R67" s="37">
        <v>9</v>
      </c>
      <c r="S67" s="37">
        <v>9</v>
      </c>
      <c r="T67" s="37">
        <v>9</v>
      </c>
      <c r="U67" s="37">
        <v>9</v>
      </c>
      <c r="V67" s="37">
        <v>9</v>
      </c>
      <c r="W67" s="38" t="str">
        <f t="shared" si="5"/>
        <v>N</v>
      </c>
      <c r="X67" s="64">
        <f t="shared" si="6"/>
        <v>0</v>
      </c>
      <c r="Y67" s="64" t="str">
        <f t="shared" si="7"/>
        <v>0-4.9%</v>
      </c>
      <c r="Z67" s="8" t="s">
        <v>108</v>
      </c>
      <c r="AB67" s="32">
        <v>3200</v>
      </c>
      <c r="AC67" s="32">
        <v>4000</v>
      </c>
      <c r="AD67" s="32"/>
      <c r="AE67" s="32"/>
      <c r="AF67" s="32"/>
      <c r="AG67" s="32"/>
      <c r="AH67" s="32"/>
    </row>
    <row r="68" spans="1:34" ht="24" customHeight="1" x14ac:dyDescent="0.25">
      <c r="A68" s="10">
        <v>43</v>
      </c>
      <c r="B68" s="9">
        <v>0.47013888888888888</v>
      </c>
      <c r="C68" s="5" t="s">
        <v>20</v>
      </c>
      <c r="D68" s="5">
        <f t="shared" si="0"/>
        <v>7</v>
      </c>
      <c r="E68" s="15"/>
      <c r="F68" s="15" t="s">
        <v>22</v>
      </c>
      <c r="G68" s="19">
        <f t="shared" si="2"/>
        <v>3.96</v>
      </c>
      <c r="H68" s="19">
        <f t="shared" si="3"/>
        <v>4</v>
      </c>
      <c r="I68" s="19"/>
      <c r="J68" s="19"/>
      <c r="K68" s="19"/>
      <c r="L68" s="19"/>
      <c r="M68" s="19"/>
      <c r="N68" s="36">
        <f t="shared" si="4"/>
        <v>7.96</v>
      </c>
      <c r="O68" s="36">
        <f t="shared" si="1"/>
        <v>0.89434089601420053</v>
      </c>
      <c r="P68" s="37">
        <v>8</v>
      </c>
      <c r="Q68" s="37">
        <v>10</v>
      </c>
      <c r="R68" s="37">
        <v>9</v>
      </c>
      <c r="S68" s="37">
        <v>9</v>
      </c>
      <c r="T68" s="37">
        <v>9</v>
      </c>
      <c r="U68" s="37">
        <v>9</v>
      </c>
      <c r="V68" s="37">
        <v>9</v>
      </c>
      <c r="W68" s="38" t="str">
        <f t="shared" si="5"/>
        <v>N</v>
      </c>
      <c r="X68" s="64">
        <f t="shared" si="6"/>
        <v>0</v>
      </c>
      <c r="Y68" s="64" t="str">
        <f t="shared" si="7"/>
        <v>0-4.9%</v>
      </c>
      <c r="Z68" s="8" t="s">
        <v>108</v>
      </c>
      <c r="AB68" s="32">
        <v>3960</v>
      </c>
      <c r="AC68" s="32">
        <v>4000</v>
      </c>
      <c r="AD68" s="32"/>
      <c r="AE68" s="32"/>
      <c r="AF68" s="32"/>
      <c r="AG68" s="32"/>
      <c r="AH68" s="32"/>
    </row>
    <row r="69" spans="1:34" ht="24" customHeight="1" x14ac:dyDescent="0.25">
      <c r="A69" s="10">
        <v>44</v>
      </c>
      <c r="B69" s="9">
        <v>0.47083333333333338</v>
      </c>
      <c r="C69" s="5" t="s">
        <v>20</v>
      </c>
      <c r="D69" s="5">
        <f t="shared" si="0"/>
        <v>7</v>
      </c>
      <c r="E69" s="15"/>
      <c r="F69" s="15" t="s">
        <v>22</v>
      </c>
      <c r="G69" s="19">
        <f t="shared" si="2"/>
        <v>4.58</v>
      </c>
      <c r="H69" s="19">
        <f t="shared" si="3"/>
        <v>3.7</v>
      </c>
      <c r="I69" s="19"/>
      <c r="J69" s="19"/>
      <c r="K69" s="19"/>
      <c r="L69" s="19"/>
      <c r="M69" s="19"/>
      <c r="N69" s="36">
        <f t="shared" si="4"/>
        <v>8.2800000000000011</v>
      </c>
      <c r="O69" s="36">
        <f t="shared" si="1"/>
        <v>1.067900527756124</v>
      </c>
      <c r="P69" s="37">
        <v>8</v>
      </c>
      <c r="Q69" s="37">
        <v>10</v>
      </c>
      <c r="R69" s="37">
        <v>9</v>
      </c>
      <c r="S69" s="37">
        <v>9</v>
      </c>
      <c r="T69" s="37">
        <v>9</v>
      </c>
      <c r="U69" s="37">
        <v>9</v>
      </c>
      <c r="V69" s="37">
        <v>9</v>
      </c>
      <c r="W69" s="38" t="str">
        <f t="shared" si="5"/>
        <v>N</v>
      </c>
      <c r="X69" s="64">
        <f t="shared" si="6"/>
        <v>0</v>
      </c>
      <c r="Y69" s="64" t="str">
        <f t="shared" si="7"/>
        <v>0-4.9%</v>
      </c>
      <c r="Z69" s="8" t="s">
        <v>108</v>
      </c>
      <c r="AB69" s="32">
        <v>4580</v>
      </c>
      <c r="AC69" s="32">
        <v>3700</v>
      </c>
      <c r="AD69" s="32"/>
      <c r="AE69" s="32"/>
      <c r="AF69" s="32"/>
      <c r="AG69" s="32"/>
      <c r="AH69" s="32"/>
    </row>
    <row r="70" spans="1:34" ht="24" customHeight="1" x14ac:dyDescent="0.25">
      <c r="A70" s="10">
        <v>45</v>
      </c>
      <c r="B70" s="9">
        <v>0.47222222222222227</v>
      </c>
      <c r="C70" s="5" t="s">
        <v>20</v>
      </c>
      <c r="D70" s="5">
        <f t="shared" si="0"/>
        <v>7</v>
      </c>
      <c r="E70" s="15"/>
      <c r="F70" s="15" t="s">
        <v>22</v>
      </c>
      <c r="G70" s="19">
        <f t="shared" si="2"/>
        <v>3.52</v>
      </c>
      <c r="H70" s="19">
        <f t="shared" si="3"/>
        <v>3.8</v>
      </c>
      <c r="I70" s="19"/>
      <c r="J70" s="19"/>
      <c r="K70" s="19"/>
      <c r="L70" s="19"/>
      <c r="M70" s="19"/>
      <c r="N70" s="36">
        <f t="shared" si="4"/>
        <v>7.32</v>
      </c>
      <c r="O70" s="36">
        <f t="shared" si="1"/>
        <v>0.61332991863074915</v>
      </c>
      <c r="P70" s="37">
        <v>8</v>
      </c>
      <c r="Q70" s="37">
        <v>10</v>
      </c>
      <c r="R70" s="37">
        <v>9</v>
      </c>
      <c r="S70" s="37">
        <v>9</v>
      </c>
      <c r="T70" s="37">
        <v>9</v>
      </c>
      <c r="U70" s="37">
        <v>9</v>
      </c>
      <c r="V70" s="37">
        <v>9</v>
      </c>
      <c r="W70" s="38" t="str">
        <f t="shared" si="5"/>
        <v>N</v>
      </c>
      <c r="X70" s="64">
        <f t="shared" si="6"/>
        <v>0</v>
      </c>
      <c r="Y70" s="64" t="str">
        <f t="shared" si="7"/>
        <v>0-4.9%</v>
      </c>
      <c r="Z70" s="8" t="s">
        <v>108</v>
      </c>
      <c r="AB70" s="32">
        <v>3520</v>
      </c>
      <c r="AC70" s="32">
        <v>3800</v>
      </c>
      <c r="AD70" s="32"/>
      <c r="AE70" s="32"/>
      <c r="AF70" s="32"/>
      <c r="AG70" s="32"/>
      <c r="AH70" s="32"/>
    </row>
    <row r="71" spans="1:34" ht="24" customHeight="1" x14ac:dyDescent="0.25">
      <c r="A71" s="10">
        <v>49</v>
      </c>
      <c r="B71" s="9">
        <v>0.4993055555555555</v>
      </c>
      <c r="C71" s="5" t="s">
        <v>20</v>
      </c>
      <c r="D71" s="5">
        <f t="shared" ref="D71:D134" si="8">IF(COUNT(G71:M71)&gt;3,10,IF(COUNT(G71:M71)&gt;2,9,7))</f>
        <v>7</v>
      </c>
      <c r="E71" s="15"/>
      <c r="F71" s="15" t="s">
        <v>22</v>
      </c>
      <c r="G71" s="19">
        <f t="shared" si="2"/>
        <v>3.68</v>
      </c>
      <c r="H71" s="19">
        <f t="shared" si="3"/>
        <v>2.54</v>
      </c>
      <c r="I71" s="19"/>
      <c r="J71" s="19"/>
      <c r="K71" s="19"/>
      <c r="L71" s="19"/>
      <c r="M71" s="19"/>
      <c r="N71" s="36">
        <f t="shared" si="4"/>
        <v>6.2200000000000006</v>
      </c>
      <c r="O71" s="36">
        <f t="shared" ref="O71:O134" si="9">(N71/8.16)^4.5</f>
        <v>0.2947481016842074</v>
      </c>
      <c r="P71" s="37">
        <v>8</v>
      </c>
      <c r="Q71" s="37">
        <v>10</v>
      </c>
      <c r="R71" s="37">
        <v>9</v>
      </c>
      <c r="S71" s="37">
        <v>9</v>
      </c>
      <c r="T71" s="37">
        <v>9</v>
      </c>
      <c r="U71" s="37">
        <v>9</v>
      </c>
      <c r="V71" s="37">
        <v>9</v>
      </c>
      <c r="W71" s="38" t="str">
        <f t="shared" si="5"/>
        <v>N</v>
      </c>
      <c r="X71" s="64">
        <f t="shared" si="6"/>
        <v>0</v>
      </c>
      <c r="Y71" s="64" t="str">
        <f t="shared" si="7"/>
        <v>0-4.9%</v>
      </c>
      <c r="Z71" s="8" t="s">
        <v>127</v>
      </c>
      <c r="AB71" s="32">
        <v>3680</v>
      </c>
      <c r="AC71" s="32">
        <v>2540</v>
      </c>
      <c r="AD71" s="32"/>
      <c r="AE71" s="32"/>
      <c r="AF71" s="32"/>
      <c r="AG71" s="32"/>
      <c r="AH71" s="32"/>
    </row>
    <row r="72" spans="1:34" ht="24" customHeight="1" x14ac:dyDescent="0.25">
      <c r="A72" s="10">
        <v>50</v>
      </c>
      <c r="B72" s="9">
        <v>0.5</v>
      </c>
      <c r="C72" s="5" t="s">
        <v>20</v>
      </c>
      <c r="D72" s="5">
        <f t="shared" si="8"/>
        <v>7</v>
      </c>
      <c r="E72" s="15"/>
      <c r="F72" s="15" t="s">
        <v>22</v>
      </c>
      <c r="G72" s="19">
        <f t="shared" ref="G72:G135" si="10">AB72/1000</f>
        <v>3.02</v>
      </c>
      <c r="H72" s="19">
        <f t="shared" ref="H72:I135" si="11">AC72/1000</f>
        <v>5.12</v>
      </c>
      <c r="I72" s="19"/>
      <c r="J72" s="19"/>
      <c r="K72" s="19"/>
      <c r="L72" s="19"/>
      <c r="M72" s="19"/>
      <c r="N72" s="36">
        <f t="shared" ref="N72:N135" si="12">SUM(G72:M72)</f>
        <v>8.14</v>
      </c>
      <c r="O72" s="36">
        <f t="shared" si="9"/>
        <v>0.98901779922518473</v>
      </c>
      <c r="P72" s="37">
        <v>8</v>
      </c>
      <c r="Q72" s="37">
        <v>10</v>
      </c>
      <c r="R72" s="37">
        <v>9</v>
      </c>
      <c r="S72" s="37">
        <v>9</v>
      </c>
      <c r="T72" s="37">
        <v>9</v>
      </c>
      <c r="U72" s="37">
        <v>9</v>
      </c>
      <c r="V72" s="37">
        <v>9</v>
      </c>
      <c r="W72" s="38" t="str">
        <f t="shared" ref="W72:W135" si="13">IF(G72&gt;P72,"Y",IF(H72&gt;Q72,"Y",IF(I72&gt;R72,"Y",IF(J72&gt;S72,"Y",IF(K72&gt;T72,"Y",IF(L72&gt;U72,"Y",IF(M72&gt;V72,"Y","N")))))))</f>
        <v>N</v>
      </c>
      <c r="X72" s="64">
        <f t="shared" ref="X72:X135" si="14">IF(W72="Y",MAX((G72-P72),(H72-Q72),(I72-R72),(J72-S72),(K72-T72),(L72-U72),(M72-V72))/10,0)</f>
        <v>0</v>
      </c>
      <c r="Y72" s="64" t="str">
        <f t="shared" ref="Y72:Y135" si="15">IF(X72&lt;5%,"0-4.9%",IF(X72&lt;25%,"5-25%",IF(X72&lt;50%,"25-50%","Over 50%")))</f>
        <v>0-4.9%</v>
      </c>
      <c r="Z72" s="8" t="s">
        <v>127</v>
      </c>
      <c r="AB72" s="32">
        <v>3020</v>
      </c>
      <c r="AC72" s="32">
        <v>5120</v>
      </c>
      <c r="AD72" s="32"/>
      <c r="AE72" s="32"/>
      <c r="AF72" s="32"/>
      <c r="AG72" s="32"/>
      <c r="AH72" s="32"/>
    </row>
    <row r="73" spans="1:34" ht="24" customHeight="1" x14ac:dyDescent="0.25">
      <c r="A73" s="10">
        <v>55</v>
      </c>
      <c r="B73" s="9">
        <v>0.52013888888888882</v>
      </c>
      <c r="C73" s="5" t="s">
        <v>20</v>
      </c>
      <c r="D73" s="5">
        <f t="shared" si="8"/>
        <v>7</v>
      </c>
      <c r="E73" s="15"/>
      <c r="F73" s="15" t="s">
        <v>22</v>
      </c>
      <c r="G73" s="19">
        <f t="shared" si="10"/>
        <v>3.4</v>
      </c>
      <c r="H73" s="19">
        <f t="shared" si="11"/>
        <v>3.3</v>
      </c>
      <c r="I73" s="19"/>
      <c r="J73" s="19"/>
      <c r="K73" s="19"/>
      <c r="L73" s="19"/>
      <c r="M73" s="19"/>
      <c r="N73" s="36">
        <f t="shared" si="12"/>
        <v>6.6999999999999993</v>
      </c>
      <c r="O73" s="36">
        <f t="shared" si="9"/>
        <v>0.41184224987507018</v>
      </c>
      <c r="P73" s="37">
        <v>8</v>
      </c>
      <c r="Q73" s="37">
        <v>10</v>
      </c>
      <c r="R73" s="37">
        <v>9</v>
      </c>
      <c r="S73" s="37">
        <v>9</v>
      </c>
      <c r="T73" s="37">
        <v>9</v>
      </c>
      <c r="U73" s="37">
        <v>9</v>
      </c>
      <c r="V73" s="37">
        <v>9</v>
      </c>
      <c r="W73" s="38" t="str">
        <f t="shared" si="13"/>
        <v>N</v>
      </c>
      <c r="X73" s="64">
        <f t="shared" si="14"/>
        <v>0</v>
      </c>
      <c r="Y73" s="64" t="str">
        <f t="shared" si="15"/>
        <v>0-4.9%</v>
      </c>
      <c r="Z73" s="8" t="s">
        <v>108</v>
      </c>
      <c r="AB73" s="32">
        <v>3400</v>
      </c>
      <c r="AC73" s="32">
        <v>3300</v>
      </c>
      <c r="AD73" s="32"/>
      <c r="AE73" s="32"/>
      <c r="AF73" s="32"/>
      <c r="AG73" s="32"/>
      <c r="AH73" s="32"/>
    </row>
    <row r="74" spans="1:34" ht="24" customHeight="1" x14ac:dyDescent="0.25">
      <c r="A74" s="10">
        <v>57</v>
      </c>
      <c r="B74" s="9">
        <v>0.52777777777777779</v>
      </c>
      <c r="C74" s="5" t="s">
        <v>20</v>
      </c>
      <c r="D74" s="5">
        <f t="shared" si="8"/>
        <v>7</v>
      </c>
      <c r="E74" s="15"/>
      <c r="F74" s="15" t="s">
        <v>22</v>
      </c>
      <c r="G74" s="19">
        <f t="shared" si="10"/>
        <v>6.2</v>
      </c>
      <c r="H74" s="19">
        <f t="shared" si="11"/>
        <v>3.6</v>
      </c>
      <c r="I74" s="19"/>
      <c r="J74" s="19"/>
      <c r="K74" s="19"/>
      <c r="L74" s="19"/>
      <c r="M74" s="19"/>
      <c r="N74" s="36">
        <f t="shared" si="12"/>
        <v>9.8000000000000007</v>
      </c>
      <c r="O74" s="36">
        <f t="shared" si="9"/>
        <v>2.2798780966429457</v>
      </c>
      <c r="P74" s="37">
        <v>8</v>
      </c>
      <c r="Q74" s="37">
        <v>10</v>
      </c>
      <c r="R74" s="37">
        <v>9</v>
      </c>
      <c r="S74" s="37">
        <v>9</v>
      </c>
      <c r="T74" s="37">
        <v>9</v>
      </c>
      <c r="U74" s="37">
        <v>9</v>
      </c>
      <c r="V74" s="37">
        <v>9</v>
      </c>
      <c r="W74" s="38" t="str">
        <f t="shared" si="13"/>
        <v>N</v>
      </c>
      <c r="X74" s="64">
        <f t="shared" si="14"/>
        <v>0</v>
      </c>
      <c r="Y74" s="64" t="str">
        <f t="shared" si="15"/>
        <v>0-4.9%</v>
      </c>
      <c r="Z74" s="8" t="s">
        <v>108</v>
      </c>
      <c r="AB74" s="32">
        <v>6200</v>
      </c>
      <c r="AC74" s="32">
        <v>3600</v>
      </c>
      <c r="AD74" s="32"/>
      <c r="AE74" s="32"/>
      <c r="AF74" s="32"/>
      <c r="AG74" s="32"/>
      <c r="AH74" s="32"/>
    </row>
    <row r="75" spans="1:34" ht="24" customHeight="1" x14ac:dyDescent="0.25">
      <c r="A75" s="10">
        <v>59</v>
      </c>
      <c r="B75" s="9">
        <v>0.52916666666666667</v>
      </c>
      <c r="C75" s="5" t="s">
        <v>20</v>
      </c>
      <c r="D75" s="5">
        <f t="shared" si="8"/>
        <v>7</v>
      </c>
      <c r="E75" s="15"/>
      <c r="F75" s="15" t="s">
        <v>22</v>
      </c>
      <c r="G75" s="19">
        <f t="shared" si="10"/>
        <v>3.12</v>
      </c>
      <c r="H75" s="19">
        <f t="shared" si="11"/>
        <v>3.2</v>
      </c>
      <c r="I75" s="19"/>
      <c r="J75" s="19"/>
      <c r="K75" s="19"/>
      <c r="L75" s="19"/>
      <c r="M75" s="19"/>
      <c r="N75" s="36">
        <f t="shared" si="12"/>
        <v>6.32</v>
      </c>
      <c r="O75" s="36">
        <f t="shared" si="9"/>
        <v>0.31668036576601688</v>
      </c>
      <c r="P75" s="37">
        <v>8</v>
      </c>
      <c r="Q75" s="37">
        <v>10</v>
      </c>
      <c r="R75" s="37">
        <v>9</v>
      </c>
      <c r="S75" s="37">
        <v>9</v>
      </c>
      <c r="T75" s="37">
        <v>9</v>
      </c>
      <c r="U75" s="37">
        <v>9</v>
      </c>
      <c r="V75" s="37">
        <v>9</v>
      </c>
      <c r="W75" s="38" t="str">
        <f t="shared" si="13"/>
        <v>N</v>
      </c>
      <c r="X75" s="64">
        <f t="shared" si="14"/>
        <v>0</v>
      </c>
      <c r="Y75" s="64" t="str">
        <f t="shared" si="15"/>
        <v>0-4.9%</v>
      </c>
      <c r="Z75" s="8" t="s">
        <v>108</v>
      </c>
      <c r="AB75" s="32">
        <v>3120</v>
      </c>
      <c r="AC75" s="32">
        <v>3200</v>
      </c>
      <c r="AD75" s="32"/>
      <c r="AE75" s="32"/>
      <c r="AF75" s="32"/>
      <c r="AG75" s="32"/>
      <c r="AH75" s="32"/>
    </row>
    <row r="76" spans="1:34" ht="24" customHeight="1" x14ac:dyDescent="0.25">
      <c r="A76" s="10">
        <v>60</v>
      </c>
      <c r="B76" s="9">
        <v>0.53194444444444444</v>
      </c>
      <c r="C76" s="5" t="s">
        <v>20</v>
      </c>
      <c r="D76" s="5">
        <f t="shared" si="8"/>
        <v>7</v>
      </c>
      <c r="E76" s="15"/>
      <c r="F76" s="15" t="s">
        <v>22</v>
      </c>
      <c r="G76" s="19">
        <f t="shared" si="10"/>
        <v>2.96</v>
      </c>
      <c r="H76" s="19">
        <f t="shared" si="11"/>
        <v>3.88</v>
      </c>
      <c r="I76" s="19"/>
      <c r="J76" s="19"/>
      <c r="K76" s="19"/>
      <c r="L76" s="19"/>
      <c r="M76" s="19"/>
      <c r="N76" s="36">
        <f t="shared" si="12"/>
        <v>6.84</v>
      </c>
      <c r="O76" s="36">
        <f t="shared" si="9"/>
        <v>0.45200864734574792</v>
      </c>
      <c r="P76" s="37">
        <v>8</v>
      </c>
      <c r="Q76" s="37">
        <v>10</v>
      </c>
      <c r="R76" s="37">
        <v>9</v>
      </c>
      <c r="S76" s="37">
        <v>9</v>
      </c>
      <c r="T76" s="37">
        <v>9</v>
      </c>
      <c r="U76" s="37">
        <v>9</v>
      </c>
      <c r="V76" s="37">
        <v>9</v>
      </c>
      <c r="W76" s="38" t="str">
        <f t="shared" si="13"/>
        <v>N</v>
      </c>
      <c r="X76" s="64">
        <f t="shared" si="14"/>
        <v>0</v>
      </c>
      <c r="Y76" s="64" t="str">
        <f t="shared" si="15"/>
        <v>0-4.9%</v>
      </c>
      <c r="Z76" s="8" t="s">
        <v>108</v>
      </c>
      <c r="AB76" s="32">
        <v>2960</v>
      </c>
      <c r="AC76" s="32">
        <v>3880</v>
      </c>
      <c r="AD76" s="32"/>
      <c r="AE76" s="32"/>
      <c r="AF76" s="32"/>
      <c r="AG76" s="32"/>
      <c r="AH76" s="32"/>
    </row>
    <row r="77" spans="1:34" ht="24" customHeight="1" x14ac:dyDescent="0.25">
      <c r="A77" s="10">
        <v>62</v>
      </c>
      <c r="B77" s="9">
        <v>0.53611111111111109</v>
      </c>
      <c r="C77" s="5" t="s">
        <v>20</v>
      </c>
      <c r="D77" s="5">
        <f t="shared" si="8"/>
        <v>7</v>
      </c>
      <c r="E77" s="15"/>
      <c r="F77" s="15" t="s">
        <v>22</v>
      </c>
      <c r="G77" s="19">
        <f t="shared" si="10"/>
        <v>8.84</v>
      </c>
      <c r="H77" s="19">
        <f t="shared" si="11"/>
        <v>13.52</v>
      </c>
      <c r="I77" s="19"/>
      <c r="J77" s="19"/>
      <c r="K77" s="19"/>
      <c r="L77" s="19"/>
      <c r="M77" s="19"/>
      <c r="N77" s="36">
        <f t="shared" si="12"/>
        <v>22.36</v>
      </c>
      <c r="O77" s="36">
        <f t="shared" si="9"/>
        <v>93.329165383530423</v>
      </c>
      <c r="P77" s="37">
        <v>8</v>
      </c>
      <c r="Q77" s="37">
        <v>10</v>
      </c>
      <c r="R77" s="37">
        <v>9</v>
      </c>
      <c r="S77" s="37">
        <v>9</v>
      </c>
      <c r="T77" s="37">
        <v>9</v>
      </c>
      <c r="U77" s="37">
        <v>9</v>
      </c>
      <c r="V77" s="37">
        <v>9</v>
      </c>
      <c r="W77" s="38" t="str">
        <f t="shared" si="13"/>
        <v>Y</v>
      </c>
      <c r="X77" s="64">
        <f t="shared" si="14"/>
        <v>0.35199999999999998</v>
      </c>
      <c r="Y77" s="64" t="str">
        <f t="shared" si="15"/>
        <v>25-50%</v>
      </c>
      <c r="Z77" s="8" t="s">
        <v>34</v>
      </c>
      <c r="AB77" s="32">
        <v>8840</v>
      </c>
      <c r="AC77" s="32">
        <v>13520</v>
      </c>
      <c r="AD77" s="32"/>
      <c r="AE77" s="32"/>
      <c r="AF77" s="32"/>
      <c r="AG77" s="32"/>
      <c r="AH77" s="32"/>
    </row>
    <row r="78" spans="1:34" ht="24" customHeight="1" x14ac:dyDescent="0.25">
      <c r="A78" s="10">
        <v>63</v>
      </c>
      <c r="B78" s="9">
        <v>0.53680555555555554</v>
      </c>
      <c r="C78" s="5" t="s">
        <v>20</v>
      </c>
      <c r="D78" s="5">
        <f t="shared" si="8"/>
        <v>7</v>
      </c>
      <c r="E78" s="15"/>
      <c r="F78" s="15" t="s">
        <v>22</v>
      </c>
      <c r="G78" s="19">
        <f t="shared" si="10"/>
        <v>3.36</v>
      </c>
      <c r="H78" s="19">
        <f t="shared" si="11"/>
        <v>3.4</v>
      </c>
      <c r="I78" s="19"/>
      <c r="J78" s="19"/>
      <c r="K78" s="19"/>
      <c r="L78" s="19"/>
      <c r="M78" s="19"/>
      <c r="N78" s="36">
        <f t="shared" si="12"/>
        <v>6.76</v>
      </c>
      <c r="O78" s="36">
        <f t="shared" si="9"/>
        <v>0.4287009218059048</v>
      </c>
      <c r="P78" s="37">
        <v>8</v>
      </c>
      <c r="Q78" s="37">
        <v>10</v>
      </c>
      <c r="R78" s="37">
        <v>9</v>
      </c>
      <c r="S78" s="37">
        <v>9</v>
      </c>
      <c r="T78" s="37">
        <v>9</v>
      </c>
      <c r="U78" s="37">
        <v>9</v>
      </c>
      <c r="V78" s="37">
        <v>9</v>
      </c>
      <c r="W78" s="38" t="str">
        <f t="shared" si="13"/>
        <v>N</v>
      </c>
      <c r="X78" s="64">
        <f t="shared" si="14"/>
        <v>0</v>
      </c>
      <c r="Y78" s="64" t="str">
        <f t="shared" si="15"/>
        <v>0-4.9%</v>
      </c>
      <c r="Z78" s="8" t="s">
        <v>108</v>
      </c>
      <c r="AB78" s="32">
        <v>3360</v>
      </c>
      <c r="AC78" s="32">
        <v>3400</v>
      </c>
      <c r="AD78" s="32"/>
      <c r="AE78" s="32"/>
      <c r="AF78" s="32"/>
      <c r="AG78" s="32"/>
      <c r="AH78" s="32"/>
    </row>
    <row r="79" spans="1:34" ht="24" customHeight="1" x14ac:dyDescent="0.25">
      <c r="A79" s="10">
        <v>64</v>
      </c>
      <c r="B79" s="9">
        <v>0.53819444444444442</v>
      </c>
      <c r="C79" s="5" t="s">
        <v>20</v>
      </c>
      <c r="D79" s="5">
        <f t="shared" si="8"/>
        <v>7</v>
      </c>
      <c r="E79" s="15"/>
      <c r="F79" s="15" t="s">
        <v>22</v>
      </c>
      <c r="G79" s="19">
        <f t="shared" si="10"/>
        <v>3.24</v>
      </c>
      <c r="H79" s="19">
        <f t="shared" si="11"/>
        <v>3.04</v>
      </c>
      <c r="I79" s="19"/>
      <c r="J79" s="19"/>
      <c r="K79" s="19"/>
      <c r="L79" s="19"/>
      <c r="M79" s="19"/>
      <c r="N79" s="36">
        <f t="shared" si="12"/>
        <v>6.28</v>
      </c>
      <c r="O79" s="36">
        <f t="shared" si="9"/>
        <v>0.30776036078926305</v>
      </c>
      <c r="P79" s="37">
        <v>8</v>
      </c>
      <c r="Q79" s="37">
        <v>10</v>
      </c>
      <c r="R79" s="37">
        <v>9</v>
      </c>
      <c r="S79" s="37">
        <v>9</v>
      </c>
      <c r="T79" s="37">
        <v>9</v>
      </c>
      <c r="U79" s="37">
        <v>9</v>
      </c>
      <c r="V79" s="37">
        <v>9</v>
      </c>
      <c r="W79" s="38" t="str">
        <f t="shared" si="13"/>
        <v>N</v>
      </c>
      <c r="X79" s="64">
        <f t="shared" si="14"/>
        <v>0</v>
      </c>
      <c r="Y79" s="64" t="str">
        <f t="shared" si="15"/>
        <v>0-4.9%</v>
      </c>
      <c r="Z79" s="8" t="s">
        <v>108</v>
      </c>
      <c r="AB79" s="32">
        <v>3240</v>
      </c>
      <c r="AC79" s="32">
        <v>3040</v>
      </c>
      <c r="AD79" s="32"/>
      <c r="AE79" s="32"/>
      <c r="AF79" s="32"/>
      <c r="AG79" s="32"/>
      <c r="AH79" s="32"/>
    </row>
    <row r="80" spans="1:34" ht="24" customHeight="1" x14ac:dyDescent="0.25">
      <c r="A80" s="10">
        <v>66</v>
      </c>
      <c r="B80" s="9">
        <v>4.7222222222222221E-2</v>
      </c>
      <c r="C80" s="5" t="s">
        <v>20</v>
      </c>
      <c r="D80" s="5">
        <f t="shared" si="8"/>
        <v>7</v>
      </c>
      <c r="E80" s="15"/>
      <c r="F80" s="15" t="s">
        <v>22</v>
      </c>
      <c r="G80" s="19">
        <f t="shared" si="10"/>
        <v>5.0599999999999996</v>
      </c>
      <c r="H80" s="19">
        <f t="shared" si="11"/>
        <v>11.78</v>
      </c>
      <c r="I80" s="19"/>
      <c r="J80" s="19"/>
      <c r="K80" s="19"/>
      <c r="L80" s="19"/>
      <c r="M80" s="19"/>
      <c r="N80" s="36">
        <f t="shared" si="12"/>
        <v>16.84</v>
      </c>
      <c r="O80" s="36">
        <f t="shared" si="9"/>
        <v>26.057555884027202</v>
      </c>
      <c r="P80" s="37">
        <v>8</v>
      </c>
      <c r="Q80" s="37">
        <v>10</v>
      </c>
      <c r="R80" s="37">
        <v>9</v>
      </c>
      <c r="S80" s="37">
        <v>9</v>
      </c>
      <c r="T80" s="37">
        <v>9</v>
      </c>
      <c r="U80" s="37">
        <v>9</v>
      </c>
      <c r="V80" s="37">
        <v>9</v>
      </c>
      <c r="W80" s="38" t="str">
        <f t="shared" si="13"/>
        <v>Y</v>
      </c>
      <c r="X80" s="64">
        <f t="shared" si="14"/>
        <v>0.17799999999999994</v>
      </c>
      <c r="Y80" s="64" t="str">
        <f t="shared" si="15"/>
        <v>5-25%</v>
      </c>
      <c r="Z80" s="8" t="s">
        <v>34</v>
      </c>
      <c r="AB80" s="32">
        <v>5060</v>
      </c>
      <c r="AC80" s="32">
        <v>11780</v>
      </c>
      <c r="AD80" s="32"/>
      <c r="AE80" s="32"/>
      <c r="AF80" s="32"/>
      <c r="AG80" s="32"/>
      <c r="AH80" s="32"/>
    </row>
    <row r="81" spans="1:34" ht="24" customHeight="1" x14ac:dyDescent="0.25">
      <c r="A81" s="10">
        <v>67</v>
      </c>
      <c r="B81" s="9">
        <v>5.486111111111111E-2</v>
      </c>
      <c r="C81" s="5" t="s">
        <v>20</v>
      </c>
      <c r="D81" s="5">
        <f t="shared" si="8"/>
        <v>7</v>
      </c>
      <c r="E81" s="15"/>
      <c r="F81" s="15" t="s">
        <v>22</v>
      </c>
      <c r="G81" s="19">
        <f t="shared" si="10"/>
        <v>5.18</v>
      </c>
      <c r="H81" s="19">
        <f t="shared" si="11"/>
        <v>10.68</v>
      </c>
      <c r="I81" s="19"/>
      <c r="J81" s="19"/>
      <c r="K81" s="19"/>
      <c r="L81" s="19"/>
      <c r="M81" s="19"/>
      <c r="N81" s="36">
        <f t="shared" si="12"/>
        <v>15.86</v>
      </c>
      <c r="O81" s="36">
        <f t="shared" si="9"/>
        <v>19.895671838818195</v>
      </c>
      <c r="P81" s="37">
        <v>8</v>
      </c>
      <c r="Q81" s="37">
        <v>10</v>
      </c>
      <c r="R81" s="37">
        <v>9</v>
      </c>
      <c r="S81" s="37">
        <v>9</v>
      </c>
      <c r="T81" s="37">
        <v>9</v>
      </c>
      <c r="U81" s="37">
        <v>9</v>
      </c>
      <c r="V81" s="37">
        <v>9</v>
      </c>
      <c r="W81" s="38" t="str">
        <f t="shared" si="13"/>
        <v>Y</v>
      </c>
      <c r="X81" s="64">
        <f t="shared" si="14"/>
        <v>6.7999999999999977E-2</v>
      </c>
      <c r="Y81" s="64" t="str">
        <f t="shared" si="15"/>
        <v>5-25%</v>
      </c>
      <c r="Z81" s="8" t="s">
        <v>124</v>
      </c>
      <c r="AB81" s="32">
        <v>5180</v>
      </c>
      <c r="AC81" s="32">
        <v>10680</v>
      </c>
      <c r="AD81" s="32"/>
      <c r="AE81" s="32"/>
      <c r="AF81" s="32"/>
      <c r="AG81" s="32"/>
      <c r="AH81" s="32"/>
    </row>
    <row r="82" spans="1:34" ht="24" customHeight="1" x14ac:dyDescent="0.25">
      <c r="A82" s="10">
        <v>68</v>
      </c>
      <c r="B82" s="9">
        <v>5.7638888888888885E-2</v>
      </c>
      <c r="C82" s="5" t="s">
        <v>20</v>
      </c>
      <c r="D82" s="5">
        <f t="shared" si="8"/>
        <v>7</v>
      </c>
      <c r="E82" s="15"/>
      <c r="F82" s="15" t="s">
        <v>22</v>
      </c>
      <c r="G82" s="19">
        <f t="shared" si="10"/>
        <v>3.4</v>
      </c>
      <c r="H82" s="19">
        <f t="shared" si="11"/>
        <v>3.36</v>
      </c>
      <c r="I82" s="19"/>
      <c r="J82" s="19"/>
      <c r="K82" s="19"/>
      <c r="L82" s="19"/>
      <c r="M82" s="19"/>
      <c r="N82" s="36">
        <f t="shared" si="12"/>
        <v>6.76</v>
      </c>
      <c r="O82" s="36">
        <f t="shared" si="9"/>
        <v>0.4287009218059048</v>
      </c>
      <c r="P82" s="37">
        <v>8</v>
      </c>
      <c r="Q82" s="37">
        <v>10</v>
      </c>
      <c r="R82" s="37">
        <v>9</v>
      </c>
      <c r="S82" s="37">
        <v>9</v>
      </c>
      <c r="T82" s="37">
        <v>9</v>
      </c>
      <c r="U82" s="37">
        <v>9</v>
      </c>
      <c r="V82" s="37">
        <v>9</v>
      </c>
      <c r="W82" s="38" t="str">
        <f t="shared" si="13"/>
        <v>N</v>
      </c>
      <c r="X82" s="64">
        <f t="shared" si="14"/>
        <v>0</v>
      </c>
      <c r="Y82" s="64" t="str">
        <f t="shared" si="15"/>
        <v>0-4.9%</v>
      </c>
      <c r="Z82" s="8" t="s">
        <v>108</v>
      </c>
      <c r="AB82" s="32">
        <v>3400</v>
      </c>
      <c r="AC82" s="32">
        <v>3360</v>
      </c>
      <c r="AD82" s="32"/>
      <c r="AE82" s="32"/>
      <c r="AF82" s="32"/>
      <c r="AG82" s="32"/>
      <c r="AH82" s="32"/>
    </row>
    <row r="83" spans="1:34" ht="24" customHeight="1" x14ac:dyDescent="0.25">
      <c r="A83" s="10">
        <v>69</v>
      </c>
      <c r="B83" s="9">
        <v>5.9027777777777783E-2</v>
      </c>
      <c r="C83" s="5" t="s">
        <v>20</v>
      </c>
      <c r="D83" s="5">
        <f t="shared" si="8"/>
        <v>7</v>
      </c>
      <c r="E83" s="15"/>
      <c r="F83" s="15" t="s">
        <v>22</v>
      </c>
      <c r="G83" s="19">
        <f t="shared" si="10"/>
        <v>3.36</v>
      </c>
      <c r="H83" s="19">
        <f t="shared" si="11"/>
        <v>4.42</v>
      </c>
      <c r="I83" s="19"/>
      <c r="J83" s="19"/>
      <c r="K83" s="19"/>
      <c r="L83" s="19"/>
      <c r="M83" s="19"/>
      <c r="N83" s="36">
        <f t="shared" si="12"/>
        <v>7.7799999999999994</v>
      </c>
      <c r="O83" s="36">
        <f t="shared" si="9"/>
        <v>0.8068679631491561</v>
      </c>
      <c r="P83" s="37">
        <v>8</v>
      </c>
      <c r="Q83" s="37">
        <v>10</v>
      </c>
      <c r="R83" s="37">
        <v>9</v>
      </c>
      <c r="S83" s="37">
        <v>9</v>
      </c>
      <c r="T83" s="37">
        <v>9</v>
      </c>
      <c r="U83" s="37">
        <v>9</v>
      </c>
      <c r="V83" s="37">
        <v>9</v>
      </c>
      <c r="W83" s="38" t="str">
        <f t="shared" si="13"/>
        <v>N</v>
      </c>
      <c r="X83" s="64">
        <f t="shared" si="14"/>
        <v>0</v>
      </c>
      <c r="Y83" s="64" t="str">
        <f t="shared" si="15"/>
        <v>0-4.9%</v>
      </c>
      <c r="Z83" s="8" t="s">
        <v>108</v>
      </c>
      <c r="AB83" s="32">
        <v>3360</v>
      </c>
      <c r="AC83" s="32">
        <v>4420</v>
      </c>
      <c r="AD83" s="32"/>
      <c r="AE83" s="32"/>
      <c r="AF83" s="32"/>
      <c r="AG83" s="32"/>
      <c r="AH83" s="32"/>
    </row>
    <row r="84" spans="1:34" ht="24" customHeight="1" x14ac:dyDescent="0.25">
      <c r="A84" s="10">
        <v>71</v>
      </c>
      <c r="B84" s="9">
        <v>6.3888888888888884E-2</v>
      </c>
      <c r="C84" s="5" t="s">
        <v>20</v>
      </c>
      <c r="D84" s="5">
        <f t="shared" si="8"/>
        <v>7</v>
      </c>
      <c r="E84" s="15"/>
      <c r="F84" s="15" t="s">
        <v>22</v>
      </c>
      <c r="G84" s="19">
        <f t="shared" si="10"/>
        <v>7.44</v>
      </c>
      <c r="H84" s="19">
        <f t="shared" si="11"/>
        <v>10.26</v>
      </c>
      <c r="I84" s="19"/>
      <c r="J84" s="19"/>
      <c r="K84" s="19"/>
      <c r="L84" s="19"/>
      <c r="M84" s="19"/>
      <c r="N84" s="36">
        <f t="shared" si="12"/>
        <v>17.7</v>
      </c>
      <c r="O84" s="36">
        <f t="shared" si="9"/>
        <v>32.604232711383077</v>
      </c>
      <c r="P84" s="37">
        <v>8</v>
      </c>
      <c r="Q84" s="37">
        <v>10</v>
      </c>
      <c r="R84" s="37">
        <v>9</v>
      </c>
      <c r="S84" s="37">
        <v>9</v>
      </c>
      <c r="T84" s="37">
        <v>9</v>
      </c>
      <c r="U84" s="37">
        <v>9</v>
      </c>
      <c r="V84" s="37">
        <v>9</v>
      </c>
      <c r="W84" s="38" t="str">
        <f t="shared" si="13"/>
        <v>Y</v>
      </c>
      <c r="X84" s="64">
        <f t="shared" si="14"/>
        <v>2.5999999999999978E-2</v>
      </c>
      <c r="Y84" s="64" t="str">
        <f t="shared" si="15"/>
        <v>0-4.9%</v>
      </c>
      <c r="Z84" s="8" t="s">
        <v>34</v>
      </c>
      <c r="AB84" s="32">
        <v>7440</v>
      </c>
      <c r="AC84" s="32">
        <v>10260</v>
      </c>
      <c r="AD84" s="32"/>
      <c r="AE84" s="32"/>
      <c r="AF84" s="32"/>
      <c r="AG84" s="32"/>
      <c r="AH84" s="32"/>
    </row>
    <row r="85" spans="1:34" ht="24" customHeight="1" x14ac:dyDescent="0.25">
      <c r="A85" s="10">
        <v>73</v>
      </c>
      <c r="B85" s="9">
        <v>9.7222222222222224E-2</v>
      </c>
      <c r="C85" s="5" t="s">
        <v>20</v>
      </c>
      <c r="D85" s="5">
        <f t="shared" si="8"/>
        <v>7</v>
      </c>
      <c r="E85" s="15"/>
      <c r="F85" s="15" t="s">
        <v>22</v>
      </c>
      <c r="G85" s="19">
        <f t="shared" si="10"/>
        <v>3.5</v>
      </c>
      <c r="H85" s="19">
        <f t="shared" si="11"/>
        <v>4.0199999999999996</v>
      </c>
      <c r="I85" s="19"/>
      <c r="J85" s="19"/>
      <c r="K85" s="19"/>
      <c r="L85" s="19"/>
      <c r="M85" s="19"/>
      <c r="N85" s="36">
        <f t="shared" si="12"/>
        <v>7.52</v>
      </c>
      <c r="O85" s="36">
        <f t="shared" si="9"/>
        <v>0.69242791544135285</v>
      </c>
      <c r="P85" s="37">
        <v>8</v>
      </c>
      <c r="Q85" s="37">
        <v>10</v>
      </c>
      <c r="R85" s="37">
        <v>9</v>
      </c>
      <c r="S85" s="37">
        <v>9</v>
      </c>
      <c r="T85" s="37">
        <v>9</v>
      </c>
      <c r="U85" s="37">
        <v>9</v>
      </c>
      <c r="V85" s="37">
        <v>9</v>
      </c>
      <c r="W85" s="38" t="str">
        <f t="shared" si="13"/>
        <v>N</v>
      </c>
      <c r="X85" s="64">
        <f t="shared" si="14"/>
        <v>0</v>
      </c>
      <c r="Y85" s="64" t="str">
        <f t="shared" si="15"/>
        <v>0-4.9%</v>
      </c>
      <c r="Z85" s="8" t="s">
        <v>108</v>
      </c>
      <c r="AB85" s="32">
        <v>3500</v>
      </c>
      <c r="AC85" s="32">
        <v>4020</v>
      </c>
      <c r="AD85" s="32"/>
      <c r="AE85" s="32"/>
      <c r="AF85" s="32"/>
      <c r="AG85" s="32"/>
      <c r="AH85" s="32"/>
    </row>
    <row r="86" spans="1:34" ht="24" customHeight="1" x14ac:dyDescent="0.25">
      <c r="A86" s="10">
        <v>74</v>
      </c>
      <c r="B86" s="9">
        <v>0.10486111111111111</v>
      </c>
      <c r="C86" s="5" t="s">
        <v>20</v>
      </c>
      <c r="D86" s="5">
        <f t="shared" si="8"/>
        <v>7</v>
      </c>
      <c r="E86" s="15"/>
      <c r="F86" s="15" t="s">
        <v>22</v>
      </c>
      <c r="G86" s="19">
        <f t="shared" si="10"/>
        <v>2.76</v>
      </c>
      <c r="H86" s="19">
        <f t="shared" si="11"/>
        <v>4.6399999999999997</v>
      </c>
      <c r="I86" s="19"/>
      <c r="J86" s="19"/>
      <c r="K86" s="19"/>
      <c r="L86" s="19"/>
      <c r="M86" s="19"/>
      <c r="N86" s="36">
        <f t="shared" si="12"/>
        <v>7.3999999999999995</v>
      </c>
      <c r="O86" s="36">
        <f t="shared" si="9"/>
        <v>0.64407586343775802</v>
      </c>
      <c r="P86" s="37">
        <v>8</v>
      </c>
      <c r="Q86" s="37">
        <v>10</v>
      </c>
      <c r="R86" s="37">
        <v>9</v>
      </c>
      <c r="S86" s="37">
        <v>9</v>
      </c>
      <c r="T86" s="37">
        <v>9</v>
      </c>
      <c r="U86" s="37">
        <v>9</v>
      </c>
      <c r="V86" s="37">
        <v>9</v>
      </c>
      <c r="W86" s="38" t="str">
        <f t="shared" si="13"/>
        <v>N</v>
      </c>
      <c r="X86" s="64">
        <f t="shared" si="14"/>
        <v>0</v>
      </c>
      <c r="Y86" s="64" t="str">
        <f t="shared" si="15"/>
        <v>0-4.9%</v>
      </c>
      <c r="Z86" s="8" t="s">
        <v>108</v>
      </c>
      <c r="AB86" s="32">
        <v>2760</v>
      </c>
      <c r="AC86" s="32">
        <v>4640</v>
      </c>
      <c r="AD86" s="32"/>
      <c r="AE86" s="32"/>
      <c r="AF86" s="32"/>
      <c r="AG86" s="32"/>
      <c r="AH86" s="32"/>
    </row>
    <row r="87" spans="1:34" ht="24" customHeight="1" x14ac:dyDescent="0.25">
      <c r="A87" s="10">
        <v>75</v>
      </c>
      <c r="B87" s="9">
        <v>0.10902777777777778</v>
      </c>
      <c r="C87" s="5" t="s">
        <v>20</v>
      </c>
      <c r="D87" s="5">
        <f t="shared" si="8"/>
        <v>7</v>
      </c>
      <c r="E87" s="15"/>
      <c r="F87" s="15" t="s">
        <v>22</v>
      </c>
      <c r="G87" s="19">
        <f t="shared" si="10"/>
        <v>4.0999999999999996</v>
      </c>
      <c r="H87" s="19">
        <f t="shared" si="11"/>
        <v>4.4800000000000004</v>
      </c>
      <c r="I87" s="19"/>
      <c r="J87" s="19"/>
      <c r="K87" s="19"/>
      <c r="L87" s="19"/>
      <c r="M87" s="19"/>
      <c r="N87" s="36">
        <f t="shared" si="12"/>
        <v>8.58</v>
      </c>
      <c r="O87" s="36">
        <f t="shared" si="9"/>
        <v>1.2533924690300295</v>
      </c>
      <c r="P87" s="37">
        <v>8</v>
      </c>
      <c r="Q87" s="37">
        <v>10</v>
      </c>
      <c r="R87" s="37">
        <v>9</v>
      </c>
      <c r="S87" s="37">
        <v>9</v>
      </c>
      <c r="T87" s="37">
        <v>9</v>
      </c>
      <c r="U87" s="37">
        <v>9</v>
      </c>
      <c r="V87" s="37">
        <v>9</v>
      </c>
      <c r="W87" s="38" t="str">
        <f t="shared" si="13"/>
        <v>N</v>
      </c>
      <c r="X87" s="64">
        <f t="shared" si="14"/>
        <v>0</v>
      </c>
      <c r="Y87" s="64" t="str">
        <f t="shared" si="15"/>
        <v>0-4.9%</v>
      </c>
      <c r="Z87" s="8" t="s">
        <v>108</v>
      </c>
      <c r="AB87" s="32">
        <v>4100</v>
      </c>
      <c r="AC87" s="32">
        <v>4480</v>
      </c>
      <c r="AD87" s="32"/>
      <c r="AE87" s="32"/>
      <c r="AF87" s="32"/>
      <c r="AG87" s="32"/>
      <c r="AH87" s="32"/>
    </row>
    <row r="88" spans="1:34" ht="24" customHeight="1" x14ac:dyDescent="0.25">
      <c r="A88" s="10">
        <v>77</v>
      </c>
      <c r="B88" s="9">
        <v>0.1111111111111111</v>
      </c>
      <c r="C88" s="5" t="s">
        <v>20</v>
      </c>
      <c r="D88" s="5">
        <f t="shared" si="8"/>
        <v>7</v>
      </c>
      <c r="E88" s="15"/>
      <c r="F88" s="15" t="s">
        <v>22</v>
      </c>
      <c r="G88" s="19">
        <f t="shared" si="10"/>
        <v>3.84</v>
      </c>
      <c r="H88" s="19">
        <f t="shared" si="11"/>
        <v>4.32</v>
      </c>
      <c r="I88" s="19"/>
      <c r="J88" s="19"/>
      <c r="K88" s="19"/>
      <c r="L88" s="19"/>
      <c r="M88" s="19"/>
      <c r="N88" s="36">
        <f t="shared" si="12"/>
        <v>8.16</v>
      </c>
      <c r="O88" s="36">
        <f t="shared" si="9"/>
        <v>1</v>
      </c>
      <c r="P88" s="37">
        <v>8</v>
      </c>
      <c r="Q88" s="37">
        <v>10</v>
      </c>
      <c r="R88" s="37">
        <v>9</v>
      </c>
      <c r="S88" s="37">
        <v>9</v>
      </c>
      <c r="T88" s="37">
        <v>9</v>
      </c>
      <c r="U88" s="37">
        <v>9</v>
      </c>
      <c r="V88" s="37">
        <v>9</v>
      </c>
      <c r="W88" s="38" t="str">
        <f t="shared" si="13"/>
        <v>N</v>
      </c>
      <c r="X88" s="64">
        <f t="shared" si="14"/>
        <v>0</v>
      </c>
      <c r="Y88" s="64" t="str">
        <f t="shared" si="15"/>
        <v>0-4.9%</v>
      </c>
      <c r="Z88" s="8" t="s">
        <v>108</v>
      </c>
      <c r="AB88" s="32">
        <v>3840</v>
      </c>
      <c r="AC88" s="32">
        <v>4320</v>
      </c>
      <c r="AD88" s="32"/>
      <c r="AE88" s="32"/>
      <c r="AF88" s="32"/>
      <c r="AG88" s="32"/>
      <c r="AH88" s="32"/>
    </row>
    <row r="89" spans="1:34" ht="24" customHeight="1" x14ac:dyDescent="0.25">
      <c r="A89" s="10">
        <v>78</v>
      </c>
      <c r="B89" s="9">
        <v>0.11527777777777777</v>
      </c>
      <c r="C89" s="5" t="s">
        <v>20</v>
      </c>
      <c r="D89" s="5">
        <f t="shared" si="8"/>
        <v>7</v>
      </c>
      <c r="E89" s="15"/>
      <c r="F89" s="15" t="s">
        <v>22</v>
      </c>
      <c r="G89" s="19">
        <f t="shared" si="10"/>
        <v>3.76</v>
      </c>
      <c r="H89" s="19">
        <f t="shared" si="11"/>
        <v>7.2</v>
      </c>
      <c r="I89" s="19"/>
      <c r="J89" s="19"/>
      <c r="K89" s="19"/>
      <c r="L89" s="19"/>
      <c r="M89" s="19"/>
      <c r="N89" s="36">
        <f t="shared" si="12"/>
        <v>10.96</v>
      </c>
      <c r="O89" s="36">
        <f t="shared" si="9"/>
        <v>3.7717402753445728</v>
      </c>
      <c r="P89" s="37">
        <v>8</v>
      </c>
      <c r="Q89" s="37">
        <v>10</v>
      </c>
      <c r="R89" s="37">
        <v>9</v>
      </c>
      <c r="S89" s="37">
        <v>9</v>
      </c>
      <c r="T89" s="37">
        <v>9</v>
      </c>
      <c r="U89" s="37">
        <v>9</v>
      </c>
      <c r="V89" s="37">
        <v>9</v>
      </c>
      <c r="W89" s="38" t="str">
        <f t="shared" si="13"/>
        <v>N</v>
      </c>
      <c r="X89" s="64">
        <f t="shared" si="14"/>
        <v>0</v>
      </c>
      <c r="Y89" s="64" t="str">
        <f t="shared" si="15"/>
        <v>0-4.9%</v>
      </c>
      <c r="Z89" s="8" t="s">
        <v>34</v>
      </c>
      <c r="AB89" s="32">
        <v>3760</v>
      </c>
      <c r="AC89" s="32">
        <v>7200</v>
      </c>
      <c r="AD89" s="32"/>
      <c r="AE89" s="32"/>
      <c r="AF89" s="32"/>
      <c r="AG89" s="32"/>
      <c r="AH89" s="32"/>
    </row>
    <row r="90" spans="1:34" ht="24" customHeight="1" x14ac:dyDescent="0.25">
      <c r="A90" s="10">
        <v>79</v>
      </c>
      <c r="B90" s="9">
        <v>0.11597222222222221</v>
      </c>
      <c r="C90" s="5" t="s">
        <v>20</v>
      </c>
      <c r="D90" s="5">
        <f t="shared" si="8"/>
        <v>7</v>
      </c>
      <c r="E90" s="15"/>
      <c r="F90" s="15" t="s">
        <v>22</v>
      </c>
      <c r="G90" s="19">
        <f t="shared" si="10"/>
        <v>2.7</v>
      </c>
      <c r="H90" s="19">
        <f t="shared" si="11"/>
        <v>3.28</v>
      </c>
      <c r="I90" s="19"/>
      <c r="J90" s="19"/>
      <c r="K90" s="19"/>
      <c r="L90" s="19"/>
      <c r="M90" s="19"/>
      <c r="N90" s="36">
        <f t="shared" si="12"/>
        <v>5.98</v>
      </c>
      <c r="O90" s="36">
        <f t="shared" si="9"/>
        <v>0.2469162164480998</v>
      </c>
      <c r="P90" s="37">
        <v>8</v>
      </c>
      <c r="Q90" s="37">
        <v>10</v>
      </c>
      <c r="R90" s="37">
        <v>9</v>
      </c>
      <c r="S90" s="37">
        <v>9</v>
      </c>
      <c r="T90" s="37">
        <v>9</v>
      </c>
      <c r="U90" s="37">
        <v>9</v>
      </c>
      <c r="V90" s="37">
        <v>9</v>
      </c>
      <c r="W90" s="38" t="str">
        <f t="shared" si="13"/>
        <v>N</v>
      </c>
      <c r="X90" s="64">
        <f t="shared" si="14"/>
        <v>0</v>
      </c>
      <c r="Y90" s="64" t="str">
        <f t="shared" si="15"/>
        <v>0-4.9%</v>
      </c>
      <c r="Z90" s="8" t="s">
        <v>108</v>
      </c>
      <c r="AB90" s="32">
        <v>2700</v>
      </c>
      <c r="AC90" s="32">
        <v>3280</v>
      </c>
      <c r="AD90" s="32"/>
      <c r="AE90" s="32"/>
      <c r="AF90" s="32"/>
      <c r="AG90" s="32"/>
      <c r="AH90" s="32"/>
    </row>
    <row r="91" spans="1:34" ht="24" customHeight="1" x14ac:dyDescent="0.25">
      <c r="A91" s="10">
        <v>80</v>
      </c>
      <c r="B91" s="9">
        <v>0.13055555555555556</v>
      </c>
      <c r="C91" s="5" t="s">
        <v>20</v>
      </c>
      <c r="D91" s="5">
        <f t="shared" si="8"/>
        <v>7</v>
      </c>
      <c r="E91" s="15"/>
      <c r="F91" s="15" t="s">
        <v>22</v>
      </c>
      <c r="G91" s="19">
        <f t="shared" si="10"/>
        <v>2.96</v>
      </c>
      <c r="H91" s="19">
        <f t="shared" si="11"/>
        <v>4.74</v>
      </c>
      <c r="I91" s="19"/>
      <c r="J91" s="19"/>
      <c r="K91" s="19"/>
      <c r="L91" s="19"/>
      <c r="M91" s="19"/>
      <c r="N91" s="36">
        <f t="shared" si="12"/>
        <v>7.7</v>
      </c>
      <c r="O91" s="36">
        <f t="shared" si="9"/>
        <v>0.77019828790709344</v>
      </c>
      <c r="P91" s="37">
        <v>8</v>
      </c>
      <c r="Q91" s="37">
        <v>10</v>
      </c>
      <c r="R91" s="37">
        <v>9</v>
      </c>
      <c r="S91" s="37">
        <v>9</v>
      </c>
      <c r="T91" s="37">
        <v>9</v>
      </c>
      <c r="U91" s="37">
        <v>9</v>
      </c>
      <c r="V91" s="37">
        <v>9</v>
      </c>
      <c r="W91" s="38" t="str">
        <f t="shared" si="13"/>
        <v>N</v>
      </c>
      <c r="X91" s="64">
        <f t="shared" si="14"/>
        <v>0</v>
      </c>
      <c r="Y91" s="64" t="str">
        <f t="shared" si="15"/>
        <v>0-4.9%</v>
      </c>
      <c r="Z91" s="8" t="s">
        <v>34</v>
      </c>
      <c r="AB91" s="32">
        <v>2960</v>
      </c>
      <c r="AC91" s="32">
        <v>4740</v>
      </c>
      <c r="AD91" s="32"/>
      <c r="AE91" s="32"/>
      <c r="AF91" s="32"/>
      <c r="AG91" s="32"/>
      <c r="AH91" s="32"/>
    </row>
    <row r="92" spans="1:34" ht="24" customHeight="1" x14ac:dyDescent="0.25">
      <c r="A92" s="10">
        <v>2</v>
      </c>
      <c r="B92" s="9">
        <v>0.13958333333333334</v>
      </c>
      <c r="C92" s="5" t="s">
        <v>20</v>
      </c>
      <c r="D92" s="5">
        <f t="shared" si="8"/>
        <v>7</v>
      </c>
      <c r="E92" s="15"/>
      <c r="F92" s="15" t="s">
        <v>22</v>
      </c>
      <c r="G92" s="19">
        <f t="shared" si="10"/>
        <v>3.46</v>
      </c>
      <c r="H92" s="19">
        <f t="shared" si="11"/>
        <v>4.62</v>
      </c>
      <c r="I92" s="19"/>
      <c r="J92" s="19"/>
      <c r="K92" s="19"/>
      <c r="L92" s="19"/>
      <c r="M92" s="19"/>
      <c r="N92" s="36">
        <f t="shared" si="12"/>
        <v>8.08</v>
      </c>
      <c r="O92" s="36">
        <f t="shared" si="9"/>
        <v>0.9566331120790319</v>
      </c>
      <c r="P92" s="37">
        <v>8</v>
      </c>
      <c r="Q92" s="37">
        <v>10</v>
      </c>
      <c r="R92" s="37">
        <v>9</v>
      </c>
      <c r="S92" s="37">
        <v>9</v>
      </c>
      <c r="T92" s="37">
        <v>9</v>
      </c>
      <c r="U92" s="37">
        <v>9</v>
      </c>
      <c r="V92" s="37">
        <v>9</v>
      </c>
      <c r="W92" s="38" t="str">
        <f t="shared" si="13"/>
        <v>N</v>
      </c>
      <c r="X92" s="64">
        <f t="shared" si="14"/>
        <v>0</v>
      </c>
      <c r="Y92" s="64" t="str">
        <f t="shared" si="15"/>
        <v>0-4.9%</v>
      </c>
      <c r="Z92" s="8" t="s">
        <v>34</v>
      </c>
      <c r="AB92" s="32">
        <v>3460</v>
      </c>
      <c r="AC92" s="32">
        <v>4620</v>
      </c>
      <c r="AD92" s="32"/>
      <c r="AE92" s="32"/>
      <c r="AF92" s="32"/>
      <c r="AG92" s="32"/>
      <c r="AH92" s="32"/>
    </row>
    <row r="93" spans="1:34" ht="24" customHeight="1" x14ac:dyDescent="0.25">
      <c r="A93" s="10">
        <v>5</v>
      </c>
      <c r="B93" s="9">
        <v>0.14583333333333334</v>
      </c>
      <c r="C93" s="5" t="s">
        <v>20</v>
      </c>
      <c r="D93" s="5">
        <f t="shared" si="8"/>
        <v>7</v>
      </c>
      <c r="E93" s="15"/>
      <c r="F93" s="15" t="s">
        <v>22</v>
      </c>
      <c r="G93" s="19">
        <f t="shared" si="10"/>
        <v>3</v>
      </c>
      <c r="H93" s="19">
        <f t="shared" si="11"/>
        <v>3.52</v>
      </c>
      <c r="I93" s="19"/>
      <c r="J93" s="19"/>
      <c r="K93" s="19"/>
      <c r="L93" s="19"/>
      <c r="M93" s="19"/>
      <c r="N93" s="36">
        <f t="shared" si="12"/>
        <v>6.52</v>
      </c>
      <c r="O93" s="36">
        <f t="shared" si="9"/>
        <v>0.36434135269160423</v>
      </c>
      <c r="P93" s="37">
        <v>8</v>
      </c>
      <c r="Q93" s="37">
        <v>10</v>
      </c>
      <c r="R93" s="37">
        <v>9</v>
      </c>
      <c r="S93" s="37">
        <v>9</v>
      </c>
      <c r="T93" s="37">
        <v>9</v>
      </c>
      <c r="U93" s="37">
        <v>9</v>
      </c>
      <c r="V93" s="37">
        <v>9</v>
      </c>
      <c r="W93" s="38" t="str">
        <f t="shared" si="13"/>
        <v>N</v>
      </c>
      <c r="X93" s="64">
        <f t="shared" si="14"/>
        <v>0</v>
      </c>
      <c r="Y93" s="64" t="str">
        <f t="shared" si="15"/>
        <v>0-4.9%</v>
      </c>
      <c r="Z93" s="8" t="s">
        <v>108</v>
      </c>
      <c r="AB93" s="32">
        <v>3000</v>
      </c>
      <c r="AC93" s="32">
        <v>3520</v>
      </c>
      <c r="AD93" s="32"/>
      <c r="AE93" s="32"/>
      <c r="AF93" s="32"/>
      <c r="AG93" s="32"/>
      <c r="AH93" s="32"/>
    </row>
    <row r="94" spans="1:34" ht="24" customHeight="1" x14ac:dyDescent="0.25">
      <c r="A94" s="10">
        <v>6</v>
      </c>
      <c r="B94" s="9">
        <v>0.14652777777777778</v>
      </c>
      <c r="C94" s="5" t="s">
        <v>20</v>
      </c>
      <c r="D94" s="5">
        <f t="shared" si="8"/>
        <v>7</v>
      </c>
      <c r="E94" s="15"/>
      <c r="F94" s="15" t="s">
        <v>22</v>
      </c>
      <c r="G94" s="19">
        <f t="shared" si="10"/>
        <v>6.18</v>
      </c>
      <c r="H94" s="19">
        <f t="shared" si="11"/>
        <v>11.76</v>
      </c>
      <c r="I94" s="19"/>
      <c r="J94" s="19"/>
      <c r="K94" s="19"/>
      <c r="L94" s="19"/>
      <c r="M94" s="19"/>
      <c r="N94" s="36">
        <f t="shared" si="12"/>
        <v>17.939999999999998</v>
      </c>
      <c r="O94" s="36">
        <f t="shared" si="9"/>
        <v>34.641386000163386</v>
      </c>
      <c r="P94" s="37">
        <v>8</v>
      </c>
      <c r="Q94" s="37">
        <v>10</v>
      </c>
      <c r="R94" s="37">
        <v>9</v>
      </c>
      <c r="S94" s="37">
        <v>9</v>
      </c>
      <c r="T94" s="37">
        <v>9</v>
      </c>
      <c r="U94" s="37">
        <v>9</v>
      </c>
      <c r="V94" s="37">
        <v>9</v>
      </c>
      <c r="W94" s="38" t="str">
        <f t="shared" si="13"/>
        <v>Y</v>
      </c>
      <c r="X94" s="64">
        <f t="shared" si="14"/>
        <v>0.17599999999999999</v>
      </c>
      <c r="Y94" s="64" t="str">
        <f t="shared" si="15"/>
        <v>5-25%</v>
      </c>
      <c r="Z94" s="8" t="s">
        <v>124</v>
      </c>
      <c r="AB94" s="32">
        <v>6180</v>
      </c>
      <c r="AC94" s="32">
        <v>11760</v>
      </c>
      <c r="AD94" s="32"/>
      <c r="AE94" s="32"/>
      <c r="AF94" s="32"/>
      <c r="AG94" s="32"/>
      <c r="AH94" s="32"/>
    </row>
    <row r="95" spans="1:34" ht="24" customHeight="1" x14ac:dyDescent="0.25">
      <c r="A95" s="10">
        <v>7</v>
      </c>
      <c r="B95" s="9">
        <v>0.14791666666666667</v>
      </c>
      <c r="C95" s="5" t="s">
        <v>20</v>
      </c>
      <c r="D95" s="5">
        <f t="shared" si="8"/>
        <v>7</v>
      </c>
      <c r="E95" s="15"/>
      <c r="F95" s="15" t="s">
        <v>22</v>
      </c>
      <c r="G95" s="19">
        <f t="shared" si="10"/>
        <v>6.28</v>
      </c>
      <c r="H95" s="19">
        <f t="shared" si="11"/>
        <v>10.44</v>
      </c>
      <c r="I95" s="19"/>
      <c r="J95" s="19"/>
      <c r="K95" s="19"/>
      <c r="L95" s="19"/>
      <c r="M95" s="19"/>
      <c r="N95" s="36">
        <f t="shared" si="12"/>
        <v>16.72</v>
      </c>
      <c r="O95" s="36">
        <f t="shared" si="9"/>
        <v>25.232339217295131</v>
      </c>
      <c r="P95" s="37">
        <v>8</v>
      </c>
      <c r="Q95" s="37">
        <v>10</v>
      </c>
      <c r="R95" s="37">
        <v>9</v>
      </c>
      <c r="S95" s="37">
        <v>9</v>
      </c>
      <c r="T95" s="37">
        <v>9</v>
      </c>
      <c r="U95" s="37">
        <v>9</v>
      </c>
      <c r="V95" s="37">
        <v>9</v>
      </c>
      <c r="W95" s="38" t="str">
        <f t="shared" si="13"/>
        <v>Y</v>
      </c>
      <c r="X95" s="64">
        <f t="shared" si="14"/>
        <v>4.3999999999999949E-2</v>
      </c>
      <c r="Y95" s="64" t="str">
        <f t="shared" si="15"/>
        <v>0-4.9%</v>
      </c>
      <c r="Z95" s="8" t="s">
        <v>127</v>
      </c>
      <c r="AB95" s="32">
        <v>6280</v>
      </c>
      <c r="AC95" s="32">
        <v>10440</v>
      </c>
      <c r="AD95" s="32"/>
      <c r="AE95" s="32"/>
      <c r="AF95" s="32"/>
      <c r="AG95" s="32"/>
      <c r="AH95" s="32"/>
    </row>
    <row r="96" spans="1:34" ht="24" customHeight="1" x14ac:dyDescent="0.25">
      <c r="A96" s="10">
        <v>9</v>
      </c>
      <c r="B96" s="9">
        <v>0.15</v>
      </c>
      <c r="C96" s="5" t="s">
        <v>20</v>
      </c>
      <c r="D96" s="5">
        <f t="shared" si="8"/>
        <v>7</v>
      </c>
      <c r="E96" s="15"/>
      <c r="F96" s="15" t="s">
        <v>22</v>
      </c>
      <c r="G96" s="19">
        <f t="shared" si="10"/>
        <v>6.04</v>
      </c>
      <c r="H96" s="19">
        <f t="shared" si="11"/>
        <v>12.4</v>
      </c>
      <c r="I96" s="19"/>
      <c r="J96" s="19"/>
      <c r="K96" s="19"/>
      <c r="L96" s="19"/>
      <c r="M96" s="19"/>
      <c r="N96" s="36">
        <f t="shared" si="12"/>
        <v>18.440000000000001</v>
      </c>
      <c r="O96" s="36">
        <f t="shared" si="9"/>
        <v>39.202919504782301</v>
      </c>
      <c r="P96" s="37">
        <v>8</v>
      </c>
      <c r="Q96" s="37">
        <v>10</v>
      </c>
      <c r="R96" s="37">
        <v>9</v>
      </c>
      <c r="S96" s="37">
        <v>9</v>
      </c>
      <c r="T96" s="37">
        <v>9</v>
      </c>
      <c r="U96" s="37">
        <v>9</v>
      </c>
      <c r="V96" s="37">
        <v>9</v>
      </c>
      <c r="W96" s="38" t="str">
        <f t="shared" si="13"/>
        <v>Y</v>
      </c>
      <c r="X96" s="64">
        <f t="shared" si="14"/>
        <v>0.24000000000000005</v>
      </c>
      <c r="Y96" s="64" t="str">
        <f t="shared" si="15"/>
        <v>5-25%</v>
      </c>
      <c r="Z96" s="8" t="s">
        <v>127</v>
      </c>
      <c r="AB96" s="32">
        <v>6040</v>
      </c>
      <c r="AC96" s="32">
        <v>12400</v>
      </c>
      <c r="AD96" s="32"/>
      <c r="AE96" s="32"/>
      <c r="AF96" s="32"/>
      <c r="AG96" s="32"/>
      <c r="AH96" s="32"/>
    </row>
    <row r="97" spans="1:34" ht="24" customHeight="1" x14ac:dyDescent="0.25">
      <c r="A97" s="10">
        <v>10</v>
      </c>
      <c r="B97" s="9">
        <v>0.15208333333333332</v>
      </c>
      <c r="C97" s="5" t="s">
        <v>20</v>
      </c>
      <c r="D97" s="5">
        <f t="shared" si="8"/>
        <v>7</v>
      </c>
      <c r="E97" s="15"/>
      <c r="F97" s="15" t="s">
        <v>22</v>
      </c>
      <c r="G97" s="19">
        <f t="shared" si="10"/>
        <v>9.06</v>
      </c>
      <c r="H97" s="19">
        <f t="shared" si="11"/>
        <v>13.08</v>
      </c>
      <c r="I97" s="19"/>
      <c r="J97" s="19"/>
      <c r="K97" s="19"/>
      <c r="L97" s="19"/>
      <c r="M97" s="19"/>
      <c r="N97" s="36">
        <f t="shared" si="12"/>
        <v>22.14</v>
      </c>
      <c r="O97" s="36">
        <f t="shared" si="9"/>
        <v>89.26753860819143</v>
      </c>
      <c r="P97" s="37">
        <v>8</v>
      </c>
      <c r="Q97" s="37">
        <v>10</v>
      </c>
      <c r="R97" s="37">
        <v>9</v>
      </c>
      <c r="S97" s="37">
        <v>9</v>
      </c>
      <c r="T97" s="37">
        <v>9</v>
      </c>
      <c r="U97" s="37">
        <v>9</v>
      </c>
      <c r="V97" s="37">
        <v>9</v>
      </c>
      <c r="W97" s="38" t="str">
        <f t="shared" si="13"/>
        <v>Y</v>
      </c>
      <c r="X97" s="64">
        <f t="shared" si="14"/>
        <v>0.308</v>
      </c>
      <c r="Y97" s="64" t="str">
        <f t="shared" si="15"/>
        <v>25-50%</v>
      </c>
      <c r="Z97" s="8" t="s">
        <v>34</v>
      </c>
      <c r="AB97" s="32">
        <v>9060</v>
      </c>
      <c r="AC97" s="32">
        <v>13080</v>
      </c>
      <c r="AD97" s="32"/>
      <c r="AE97" s="32"/>
      <c r="AF97" s="32"/>
      <c r="AG97" s="32"/>
      <c r="AH97" s="32"/>
    </row>
    <row r="98" spans="1:34" ht="24" customHeight="1" x14ac:dyDescent="0.25">
      <c r="A98" s="10">
        <v>14</v>
      </c>
      <c r="B98" s="9">
        <v>0.15902777777777777</v>
      </c>
      <c r="C98" s="5" t="s">
        <v>20</v>
      </c>
      <c r="D98" s="5">
        <f t="shared" si="8"/>
        <v>7</v>
      </c>
      <c r="E98" s="15"/>
      <c r="F98" s="15" t="s">
        <v>22</v>
      </c>
      <c r="G98" s="19">
        <f t="shared" si="10"/>
        <v>7.68</v>
      </c>
      <c r="H98" s="19">
        <f t="shared" si="11"/>
        <v>10.48</v>
      </c>
      <c r="I98" s="19"/>
      <c r="J98" s="19"/>
      <c r="K98" s="19"/>
      <c r="L98" s="19"/>
      <c r="M98" s="19"/>
      <c r="N98" s="36">
        <f t="shared" si="12"/>
        <v>18.16</v>
      </c>
      <c r="O98" s="36">
        <f t="shared" si="9"/>
        <v>36.594480348611206</v>
      </c>
      <c r="P98" s="37">
        <v>8</v>
      </c>
      <c r="Q98" s="37">
        <v>10</v>
      </c>
      <c r="R98" s="37">
        <v>9</v>
      </c>
      <c r="S98" s="37">
        <v>9</v>
      </c>
      <c r="T98" s="37">
        <v>9</v>
      </c>
      <c r="U98" s="37">
        <v>9</v>
      </c>
      <c r="V98" s="37">
        <v>9</v>
      </c>
      <c r="W98" s="38" t="str">
        <f t="shared" si="13"/>
        <v>Y</v>
      </c>
      <c r="X98" s="64">
        <f t="shared" si="14"/>
        <v>4.8000000000000043E-2</v>
      </c>
      <c r="Y98" s="64" t="str">
        <f t="shared" si="15"/>
        <v>0-4.9%</v>
      </c>
      <c r="Z98" s="8" t="s">
        <v>121</v>
      </c>
      <c r="AB98" s="32">
        <v>7680</v>
      </c>
      <c r="AC98" s="32">
        <v>10480</v>
      </c>
      <c r="AD98" s="32"/>
      <c r="AE98" s="32"/>
      <c r="AF98" s="32"/>
      <c r="AG98" s="32"/>
      <c r="AH98" s="32"/>
    </row>
    <row r="99" spans="1:34" ht="24" customHeight="1" x14ac:dyDescent="0.25">
      <c r="A99" s="10">
        <v>16</v>
      </c>
      <c r="B99" s="9">
        <v>0.16944444444444443</v>
      </c>
      <c r="C99" s="5" t="s">
        <v>20</v>
      </c>
      <c r="D99" s="5">
        <f t="shared" si="8"/>
        <v>7</v>
      </c>
      <c r="E99" s="15"/>
      <c r="F99" s="23" t="s">
        <v>22</v>
      </c>
      <c r="G99" s="19">
        <f t="shared" si="10"/>
        <v>6.5</v>
      </c>
      <c r="H99" s="19">
        <f t="shared" si="11"/>
        <v>10.94</v>
      </c>
      <c r="I99" s="19"/>
      <c r="J99" s="19"/>
      <c r="K99" s="19"/>
      <c r="L99" s="19"/>
      <c r="M99" s="19"/>
      <c r="N99" s="36">
        <f t="shared" si="12"/>
        <v>17.439999999999998</v>
      </c>
      <c r="O99" s="36">
        <f t="shared" si="9"/>
        <v>30.503765126705819</v>
      </c>
      <c r="P99" s="37">
        <v>8</v>
      </c>
      <c r="Q99" s="37">
        <v>10</v>
      </c>
      <c r="R99" s="37">
        <v>9</v>
      </c>
      <c r="S99" s="37">
        <v>9</v>
      </c>
      <c r="T99" s="37">
        <v>9</v>
      </c>
      <c r="U99" s="37">
        <v>9</v>
      </c>
      <c r="V99" s="37">
        <v>9</v>
      </c>
      <c r="W99" s="38" t="str">
        <f t="shared" si="13"/>
        <v>Y</v>
      </c>
      <c r="X99" s="64">
        <f t="shared" si="14"/>
        <v>9.3999999999999945E-2</v>
      </c>
      <c r="Y99" s="64" t="str">
        <f t="shared" si="15"/>
        <v>5-25%</v>
      </c>
      <c r="Z99" s="8" t="s">
        <v>34</v>
      </c>
      <c r="AB99" s="32">
        <v>6500</v>
      </c>
      <c r="AC99" s="32">
        <v>10940</v>
      </c>
      <c r="AD99" s="32"/>
      <c r="AE99" s="32"/>
      <c r="AF99" s="32"/>
      <c r="AG99" s="32"/>
      <c r="AH99" s="32"/>
    </row>
    <row r="100" spans="1:34" ht="24" customHeight="1" x14ac:dyDescent="0.25">
      <c r="A100" s="10">
        <v>17</v>
      </c>
      <c r="B100" s="9">
        <v>0.17083333333333331</v>
      </c>
      <c r="C100" s="5" t="s">
        <v>20</v>
      </c>
      <c r="D100" s="5">
        <f t="shared" si="8"/>
        <v>7</v>
      </c>
      <c r="E100" s="15"/>
      <c r="F100" s="15" t="s">
        <v>22</v>
      </c>
      <c r="G100" s="19">
        <f t="shared" si="10"/>
        <v>5.5</v>
      </c>
      <c r="H100" s="19">
        <f t="shared" si="11"/>
        <v>10.72</v>
      </c>
      <c r="I100" s="19"/>
      <c r="J100" s="19"/>
      <c r="K100" s="19"/>
      <c r="L100" s="19"/>
      <c r="M100" s="19"/>
      <c r="N100" s="36">
        <f t="shared" si="12"/>
        <v>16.22</v>
      </c>
      <c r="O100" s="36">
        <f t="shared" si="9"/>
        <v>22.010155460750354</v>
      </c>
      <c r="P100" s="37">
        <v>8</v>
      </c>
      <c r="Q100" s="37">
        <v>10</v>
      </c>
      <c r="R100" s="37">
        <v>9</v>
      </c>
      <c r="S100" s="37">
        <v>9</v>
      </c>
      <c r="T100" s="37">
        <v>9</v>
      </c>
      <c r="U100" s="37">
        <v>9</v>
      </c>
      <c r="V100" s="37">
        <v>9</v>
      </c>
      <c r="W100" s="38" t="str">
        <f t="shared" si="13"/>
        <v>Y</v>
      </c>
      <c r="X100" s="64">
        <f t="shared" si="14"/>
        <v>7.2000000000000064E-2</v>
      </c>
      <c r="Y100" s="64" t="str">
        <f t="shared" si="15"/>
        <v>5-25%</v>
      </c>
      <c r="Z100" s="8" t="s">
        <v>102</v>
      </c>
      <c r="AB100" s="32">
        <v>5500</v>
      </c>
      <c r="AC100" s="32">
        <v>10720</v>
      </c>
      <c r="AD100" s="32"/>
      <c r="AE100" s="32"/>
      <c r="AF100" s="32"/>
      <c r="AG100" s="32"/>
      <c r="AH100" s="32"/>
    </row>
    <row r="101" spans="1:34" ht="24" customHeight="1" x14ac:dyDescent="0.25">
      <c r="A101" s="10">
        <v>20</v>
      </c>
      <c r="B101" s="9">
        <v>0.19444444444444445</v>
      </c>
      <c r="C101" s="5" t="s">
        <v>20</v>
      </c>
      <c r="D101" s="5">
        <f t="shared" si="8"/>
        <v>7</v>
      </c>
      <c r="E101" s="15"/>
      <c r="F101" s="15" t="s">
        <v>22</v>
      </c>
      <c r="G101" s="19">
        <f t="shared" si="10"/>
        <v>7.08</v>
      </c>
      <c r="H101" s="19">
        <f t="shared" si="11"/>
        <v>10.82</v>
      </c>
      <c r="I101" s="19"/>
      <c r="J101" s="19"/>
      <c r="K101" s="19"/>
      <c r="L101" s="19"/>
      <c r="M101" s="19"/>
      <c r="N101" s="36">
        <f t="shared" si="12"/>
        <v>17.899999999999999</v>
      </c>
      <c r="O101" s="36">
        <f t="shared" si="9"/>
        <v>34.295167238837919</v>
      </c>
      <c r="P101" s="37">
        <v>8</v>
      </c>
      <c r="Q101" s="37">
        <v>10</v>
      </c>
      <c r="R101" s="37">
        <v>9</v>
      </c>
      <c r="S101" s="37">
        <v>9</v>
      </c>
      <c r="T101" s="37">
        <v>9</v>
      </c>
      <c r="U101" s="37">
        <v>9</v>
      </c>
      <c r="V101" s="37">
        <v>9</v>
      </c>
      <c r="W101" s="38" t="str">
        <f t="shared" si="13"/>
        <v>Y</v>
      </c>
      <c r="X101" s="64">
        <f t="shared" si="14"/>
        <v>8.2000000000000031E-2</v>
      </c>
      <c r="Y101" s="64" t="str">
        <f t="shared" si="15"/>
        <v>5-25%</v>
      </c>
      <c r="Z101" s="8" t="s">
        <v>117</v>
      </c>
      <c r="AB101" s="32">
        <v>7080</v>
      </c>
      <c r="AC101" s="32">
        <v>10820</v>
      </c>
      <c r="AD101" s="32"/>
      <c r="AE101" s="32"/>
      <c r="AF101" s="32"/>
      <c r="AG101" s="32"/>
      <c r="AH101" s="32"/>
    </row>
    <row r="102" spans="1:34" ht="24" customHeight="1" x14ac:dyDescent="0.25">
      <c r="A102" s="10">
        <v>22</v>
      </c>
      <c r="B102" s="9">
        <v>0.3430555555555555</v>
      </c>
      <c r="C102" s="5" t="s">
        <v>20</v>
      </c>
      <c r="D102" s="5">
        <f t="shared" si="8"/>
        <v>7</v>
      </c>
      <c r="E102" s="15"/>
      <c r="F102" s="15" t="s">
        <v>22</v>
      </c>
      <c r="G102" s="19">
        <f t="shared" si="10"/>
        <v>3.62</v>
      </c>
      <c r="H102" s="19">
        <f t="shared" si="11"/>
        <v>5.52</v>
      </c>
      <c r="I102" s="19"/>
      <c r="J102" s="19"/>
      <c r="K102" s="19"/>
      <c r="L102" s="19"/>
      <c r="M102" s="19"/>
      <c r="N102" s="36">
        <f t="shared" si="12"/>
        <v>9.14</v>
      </c>
      <c r="O102" s="36">
        <f t="shared" si="9"/>
        <v>1.6659124214492662</v>
      </c>
      <c r="P102" s="37">
        <v>8</v>
      </c>
      <c r="Q102" s="37">
        <v>10</v>
      </c>
      <c r="R102" s="37">
        <v>9</v>
      </c>
      <c r="S102" s="37">
        <v>9</v>
      </c>
      <c r="T102" s="37">
        <v>9</v>
      </c>
      <c r="U102" s="37">
        <v>9</v>
      </c>
      <c r="V102" s="37">
        <v>9</v>
      </c>
      <c r="W102" s="38" t="str">
        <f t="shared" si="13"/>
        <v>N</v>
      </c>
      <c r="X102" s="64">
        <f t="shared" si="14"/>
        <v>0</v>
      </c>
      <c r="Y102" s="64" t="str">
        <f t="shared" si="15"/>
        <v>0-4.9%</v>
      </c>
      <c r="Z102" s="8" t="s">
        <v>34</v>
      </c>
      <c r="AB102" s="32">
        <v>3620</v>
      </c>
      <c r="AC102" s="32">
        <v>5520</v>
      </c>
      <c r="AD102" s="32"/>
      <c r="AE102" s="32"/>
      <c r="AF102" s="32"/>
      <c r="AG102" s="32"/>
      <c r="AH102" s="32"/>
    </row>
    <row r="103" spans="1:34" ht="24" customHeight="1" x14ac:dyDescent="0.25">
      <c r="A103" s="10">
        <v>25</v>
      </c>
      <c r="B103" s="9">
        <v>0.34652777777777777</v>
      </c>
      <c r="C103" s="5" t="s">
        <v>20</v>
      </c>
      <c r="D103" s="5">
        <f t="shared" si="8"/>
        <v>7</v>
      </c>
      <c r="E103" s="15"/>
      <c r="F103" s="15" t="s">
        <v>22</v>
      </c>
      <c r="G103" s="19">
        <f t="shared" si="10"/>
        <v>10.6</v>
      </c>
      <c r="H103" s="19">
        <f t="shared" si="11"/>
        <v>11.48</v>
      </c>
      <c r="I103" s="19"/>
      <c r="J103" s="19"/>
      <c r="K103" s="19"/>
      <c r="L103" s="19"/>
      <c r="M103" s="19"/>
      <c r="N103" s="36">
        <f t="shared" si="12"/>
        <v>22.08</v>
      </c>
      <c r="O103" s="36">
        <f t="shared" si="9"/>
        <v>88.184061313204865</v>
      </c>
      <c r="P103" s="37">
        <v>8</v>
      </c>
      <c r="Q103" s="37">
        <v>10</v>
      </c>
      <c r="R103" s="37">
        <v>9</v>
      </c>
      <c r="S103" s="37">
        <v>9</v>
      </c>
      <c r="T103" s="37">
        <v>9</v>
      </c>
      <c r="U103" s="37">
        <v>9</v>
      </c>
      <c r="V103" s="37">
        <v>9</v>
      </c>
      <c r="W103" s="38" t="str">
        <f t="shared" si="13"/>
        <v>Y</v>
      </c>
      <c r="X103" s="64">
        <f t="shared" si="14"/>
        <v>0.25999999999999995</v>
      </c>
      <c r="Y103" s="64" t="str">
        <f t="shared" si="15"/>
        <v>25-50%</v>
      </c>
      <c r="Z103" s="8" t="s">
        <v>121</v>
      </c>
      <c r="AB103" s="32">
        <v>10600</v>
      </c>
      <c r="AC103" s="32">
        <v>11480</v>
      </c>
      <c r="AD103" s="32"/>
      <c r="AE103" s="32"/>
      <c r="AF103" s="32"/>
      <c r="AG103" s="32"/>
      <c r="AH103" s="32"/>
    </row>
    <row r="104" spans="1:34" ht="24" customHeight="1" x14ac:dyDescent="0.25">
      <c r="A104" s="10">
        <v>27</v>
      </c>
      <c r="B104" s="9">
        <v>0.34791666666666665</v>
      </c>
      <c r="C104" s="5" t="s">
        <v>20</v>
      </c>
      <c r="D104" s="5">
        <f t="shared" si="8"/>
        <v>7</v>
      </c>
      <c r="E104" s="15"/>
      <c r="F104" s="15" t="s">
        <v>22</v>
      </c>
      <c r="G104" s="19">
        <f t="shared" si="10"/>
        <v>9.5399999999999991</v>
      </c>
      <c r="H104" s="19">
        <f t="shared" si="11"/>
        <v>5.5</v>
      </c>
      <c r="I104" s="19"/>
      <c r="J104" s="19"/>
      <c r="K104" s="19"/>
      <c r="L104" s="19"/>
      <c r="M104" s="19"/>
      <c r="N104" s="36">
        <f t="shared" si="12"/>
        <v>15.04</v>
      </c>
      <c r="O104" s="36">
        <f t="shared" si="9"/>
        <v>15.667855183726275</v>
      </c>
      <c r="P104" s="37">
        <v>8</v>
      </c>
      <c r="Q104" s="37">
        <v>10</v>
      </c>
      <c r="R104" s="37">
        <v>9</v>
      </c>
      <c r="S104" s="37">
        <v>9</v>
      </c>
      <c r="T104" s="37">
        <v>9</v>
      </c>
      <c r="U104" s="37">
        <v>9</v>
      </c>
      <c r="V104" s="37">
        <v>9</v>
      </c>
      <c r="W104" s="38" t="str">
        <f t="shared" si="13"/>
        <v>Y</v>
      </c>
      <c r="X104" s="64">
        <f t="shared" si="14"/>
        <v>0.15399999999999991</v>
      </c>
      <c r="Y104" s="64" t="str">
        <f t="shared" si="15"/>
        <v>5-25%</v>
      </c>
      <c r="Z104" s="8" t="s">
        <v>34</v>
      </c>
      <c r="AB104" s="32">
        <v>9540</v>
      </c>
      <c r="AC104" s="32">
        <v>5500</v>
      </c>
      <c r="AD104" s="32"/>
      <c r="AE104" s="32"/>
      <c r="AF104" s="32"/>
      <c r="AG104" s="32"/>
      <c r="AH104" s="32"/>
    </row>
    <row r="105" spans="1:34" ht="24" customHeight="1" x14ac:dyDescent="0.25">
      <c r="A105" s="10">
        <v>29</v>
      </c>
      <c r="B105" s="9">
        <v>0.3527777777777778</v>
      </c>
      <c r="C105" s="5" t="s">
        <v>20</v>
      </c>
      <c r="D105" s="5">
        <f t="shared" si="8"/>
        <v>7</v>
      </c>
      <c r="E105" s="15"/>
      <c r="F105" s="15" t="s">
        <v>22</v>
      </c>
      <c r="G105" s="19">
        <f t="shared" si="10"/>
        <v>1.84</v>
      </c>
      <c r="H105" s="19">
        <f t="shared" si="11"/>
        <v>1.86</v>
      </c>
      <c r="I105" s="19"/>
      <c r="J105" s="19"/>
      <c r="K105" s="19"/>
      <c r="L105" s="19"/>
      <c r="M105" s="19"/>
      <c r="N105" s="36">
        <f t="shared" si="12"/>
        <v>3.7</v>
      </c>
      <c r="O105" s="36">
        <f t="shared" si="9"/>
        <v>2.8464400664713729E-2</v>
      </c>
      <c r="P105" s="37">
        <v>8</v>
      </c>
      <c r="Q105" s="37">
        <v>10</v>
      </c>
      <c r="R105" s="37">
        <v>9</v>
      </c>
      <c r="S105" s="37">
        <v>9</v>
      </c>
      <c r="T105" s="37">
        <v>9</v>
      </c>
      <c r="U105" s="37">
        <v>9</v>
      </c>
      <c r="V105" s="37">
        <v>9</v>
      </c>
      <c r="W105" s="38" t="str">
        <f t="shared" si="13"/>
        <v>N</v>
      </c>
      <c r="X105" s="64">
        <f t="shared" si="14"/>
        <v>0</v>
      </c>
      <c r="Y105" s="64" t="str">
        <f t="shared" si="15"/>
        <v>0-4.9%</v>
      </c>
      <c r="Z105" s="8" t="s">
        <v>108</v>
      </c>
      <c r="AB105" s="32">
        <v>1840</v>
      </c>
      <c r="AC105" s="32">
        <v>1860</v>
      </c>
      <c r="AD105" s="32"/>
      <c r="AE105" s="32"/>
      <c r="AF105" s="32"/>
      <c r="AG105" s="32"/>
      <c r="AH105" s="32"/>
    </row>
    <row r="106" spans="1:34" ht="24" customHeight="1" x14ac:dyDescent="0.25">
      <c r="A106" s="10">
        <v>32</v>
      </c>
      <c r="B106" s="9">
        <v>0.36458333333333331</v>
      </c>
      <c r="C106" s="5" t="s">
        <v>20</v>
      </c>
      <c r="D106" s="5">
        <f t="shared" si="8"/>
        <v>7</v>
      </c>
      <c r="E106" s="15"/>
      <c r="F106" s="15" t="s">
        <v>22</v>
      </c>
      <c r="G106" s="19">
        <f t="shared" si="10"/>
        <v>3.4</v>
      </c>
      <c r="H106" s="19">
        <f t="shared" si="11"/>
        <v>5.22</v>
      </c>
      <c r="I106" s="19"/>
      <c r="J106" s="19"/>
      <c r="K106" s="19"/>
      <c r="L106" s="19"/>
      <c r="M106" s="19"/>
      <c r="N106" s="36">
        <f t="shared" si="12"/>
        <v>8.6199999999999992</v>
      </c>
      <c r="O106" s="36">
        <f t="shared" si="9"/>
        <v>1.2799027783696539</v>
      </c>
      <c r="P106" s="37">
        <v>8</v>
      </c>
      <c r="Q106" s="37">
        <v>10</v>
      </c>
      <c r="R106" s="37">
        <v>9</v>
      </c>
      <c r="S106" s="37">
        <v>9</v>
      </c>
      <c r="T106" s="37">
        <v>9</v>
      </c>
      <c r="U106" s="37">
        <v>9</v>
      </c>
      <c r="V106" s="37">
        <v>9</v>
      </c>
      <c r="W106" s="38" t="str">
        <f t="shared" si="13"/>
        <v>N</v>
      </c>
      <c r="X106" s="64">
        <f t="shared" si="14"/>
        <v>0</v>
      </c>
      <c r="Y106" s="64" t="str">
        <f t="shared" si="15"/>
        <v>0-4.9%</v>
      </c>
      <c r="Z106" s="8" t="s">
        <v>108</v>
      </c>
      <c r="AB106" s="32">
        <v>3400</v>
      </c>
      <c r="AC106" s="32">
        <v>5220</v>
      </c>
      <c r="AD106" s="32"/>
      <c r="AE106" s="32"/>
      <c r="AF106" s="32"/>
      <c r="AG106" s="32"/>
      <c r="AH106" s="32"/>
    </row>
    <row r="107" spans="1:34" ht="24" customHeight="1" x14ac:dyDescent="0.25">
      <c r="A107" s="10">
        <v>33</v>
      </c>
      <c r="B107" s="9">
        <v>0.3659722222222222</v>
      </c>
      <c r="C107" s="5" t="s">
        <v>20</v>
      </c>
      <c r="D107" s="5">
        <f t="shared" si="8"/>
        <v>7</v>
      </c>
      <c r="E107" s="15"/>
      <c r="F107" s="15" t="s">
        <v>22</v>
      </c>
      <c r="G107" s="19">
        <f t="shared" si="10"/>
        <v>3.36</v>
      </c>
      <c r="H107" s="19">
        <f t="shared" si="11"/>
        <v>3.46</v>
      </c>
      <c r="I107" s="19"/>
      <c r="J107" s="19"/>
      <c r="K107" s="19"/>
      <c r="L107" s="19"/>
      <c r="M107" s="19"/>
      <c r="N107" s="36">
        <f t="shared" si="12"/>
        <v>6.82</v>
      </c>
      <c r="O107" s="36">
        <f t="shared" si="9"/>
        <v>0.44609152409353986</v>
      </c>
      <c r="P107" s="37">
        <v>8</v>
      </c>
      <c r="Q107" s="37">
        <v>10</v>
      </c>
      <c r="R107" s="37">
        <v>9</v>
      </c>
      <c r="S107" s="37">
        <v>9</v>
      </c>
      <c r="T107" s="37">
        <v>9</v>
      </c>
      <c r="U107" s="37">
        <v>9</v>
      </c>
      <c r="V107" s="37">
        <v>9</v>
      </c>
      <c r="W107" s="38" t="str">
        <f t="shared" si="13"/>
        <v>N</v>
      </c>
      <c r="X107" s="64">
        <f t="shared" si="14"/>
        <v>0</v>
      </c>
      <c r="Y107" s="64" t="str">
        <f t="shared" si="15"/>
        <v>0-4.9%</v>
      </c>
      <c r="Z107" s="8" t="s">
        <v>108</v>
      </c>
      <c r="AB107" s="32">
        <v>3360</v>
      </c>
      <c r="AC107" s="32">
        <v>3460</v>
      </c>
      <c r="AD107" s="32"/>
      <c r="AE107" s="32"/>
      <c r="AF107" s="32"/>
      <c r="AG107" s="32"/>
      <c r="AH107" s="32"/>
    </row>
    <row r="108" spans="1:34" ht="24" customHeight="1" x14ac:dyDescent="0.25">
      <c r="A108" s="10">
        <v>36</v>
      </c>
      <c r="B108" s="9">
        <v>0.37986111111111115</v>
      </c>
      <c r="C108" s="5" t="s">
        <v>20</v>
      </c>
      <c r="D108" s="5">
        <f t="shared" si="8"/>
        <v>7</v>
      </c>
      <c r="E108" s="15"/>
      <c r="F108" s="15" t="s">
        <v>22</v>
      </c>
      <c r="G108" s="19">
        <f t="shared" si="10"/>
        <v>2.92</v>
      </c>
      <c r="H108" s="19">
        <f t="shared" si="11"/>
        <v>2.66</v>
      </c>
      <c r="I108" s="19"/>
      <c r="J108" s="19"/>
      <c r="K108" s="19"/>
      <c r="L108" s="19"/>
      <c r="M108" s="19"/>
      <c r="N108" s="36">
        <f t="shared" si="12"/>
        <v>5.58</v>
      </c>
      <c r="O108" s="36">
        <f t="shared" si="9"/>
        <v>0.18082071443033287</v>
      </c>
      <c r="P108" s="37">
        <v>8</v>
      </c>
      <c r="Q108" s="37">
        <v>10</v>
      </c>
      <c r="R108" s="37">
        <v>9</v>
      </c>
      <c r="S108" s="37">
        <v>9</v>
      </c>
      <c r="T108" s="37">
        <v>9</v>
      </c>
      <c r="U108" s="37">
        <v>9</v>
      </c>
      <c r="V108" s="37">
        <v>9</v>
      </c>
      <c r="W108" s="38" t="str">
        <f t="shared" si="13"/>
        <v>N</v>
      </c>
      <c r="X108" s="64">
        <f t="shared" si="14"/>
        <v>0</v>
      </c>
      <c r="Y108" s="64" t="str">
        <f t="shared" si="15"/>
        <v>0-4.9%</v>
      </c>
      <c r="Z108" s="8" t="s">
        <v>108</v>
      </c>
      <c r="AB108" s="32">
        <v>2920</v>
      </c>
      <c r="AC108" s="32">
        <v>2660</v>
      </c>
      <c r="AD108" s="32"/>
      <c r="AE108" s="32"/>
      <c r="AF108" s="32"/>
      <c r="AG108" s="32"/>
      <c r="AH108" s="32"/>
    </row>
    <row r="109" spans="1:34" ht="24" customHeight="1" x14ac:dyDescent="0.25">
      <c r="A109" s="10">
        <v>39</v>
      </c>
      <c r="B109" s="9">
        <v>0.4069444444444445</v>
      </c>
      <c r="C109" s="5" t="s">
        <v>20</v>
      </c>
      <c r="D109" s="5">
        <f t="shared" si="8"/>
        <v>7</v>
      </c>
      <c r="E109" s="15"/>
      <c r="F109" s="15" t="s">
        <v>22</v>
      </c>
      <c r="G109" s="19">
        <f t="shared" si="10"/>
        <v>7.28</v>
      </c>
      <c r="H109" s="19">
        <f t="shared" si="11"/>
        <v>12.04</v>
      </c>
      <c r="I109" s="19"/>
      <c r="J109" s="19"/>
      <c r="K109" s="19"/>
      <c r="L109" s="19"/>
      <c r="M109" s="19"/>
      <c r="N109" s="36">
        <f t="shared" si="12"/>
        <v>19.32</v>
      </c>
      <c r="O109" s="36">
        <f t="shared" si="9"/>
        <v>48.353324043229883</v>
      </c>
      <c r="P109" s="37">
        <v>8</v>
      </c>
      <c r="Q109" s="37">
        <v>10</v>
      </c>
      <c r="R109" s="37">
        <v>9</v>
      </c>
      <c r="S109" s="37">
        <v>9</v>
      </c>
      <c r="T109" s="37">
        <v>9</v>
      </c>
      <c r="U109" s="37">
        <v>9</v>
      </c>
      <c r="V109" s="37">
        <v>9</v>
      </c>
      <c r="W109" s="38" t="str">
        <f t="shared" si="13"/>
        <v>Y</v>
      </c>
      <c r="X109" s="64">
        <f t="shared" si="14"/>
        <v>0.2039999999999999</v>
      </c>
      <c r="Y109" s="64" t="str">
        <f t="shared" si="15"/>
        <v>5-25%</v>
      </c>
      <c r="Z109" s="8" t="s">
        <v>127</v>
      </c>
      <c r="AB109" s="32">
        <v>7280</v>
      </c>
      <c r="AC109" s="32">
        <v>12040</v>
      </c>
      <c r="AD109" s="32"/>
      <c r="AE109" s="32"/>
      <c r="AF109" s="32"/>
      <c r="AG109" s="32"/>
      <c r="AH109" s="32"/>
    </row>
    <row r="110" spans="1:34" ht="24" customHeight="1" x14ac:dyDescent="0.25">
      <c r="A110" s="10">
        <v>41</v>
      </c>
      <c r="B110" s="9">
        <v>0.41736111111111113</v>
      </c>
      <c r="C110" s="5" t="s">
        <v>20</v>
      </c>
      <c r="D110" s="5">
        <f t="shared" si="8"/>
        <v>7</v>
      </c>
      <c r="E110" s="15"/>
      <c r="F110" s="15" t="s">
        <v>22</v>
      </c>
      <c r="G110" s="19">
        <f t="shared" si="10"/>
        <v>5.64</v>
      </c>
      <c r="H110" s="19">
        <f t="shared" si="11"/>
        <v>11.8</v>
      </c>
      <c r="I110" s="19"/>
      <c r="J110" s="19"/>
      <c r="K110" s="19"/>
      <c r="L110" s="19"/>
      <c r="M110" s="19"/>
      <c r="N110" s="36">
        <f t="shared" si="12"/>
        <v>17.440000000000001</v>
      </c>
      <c r="O110" s="36">
        <f t="shared" si="9"/>
        <v>30.503765126705861</v>
      </c>
      <c r="P110" s="37">
        <v>8</v>
      </c>
      <c r="Q110" s="37">
        <v>10</v>
      </c>
      <c r="R110" s="37">
        <v>9</v>
      </c>
      <c r="S110" s="37">
        <v>9</v>
      </c>
      <c r="T110" s="37">
        <v>9</v>
      </c>
      <c r="U110" s="37">
        <v>9</v>
      </c>
      <c r="V110" s="37">
        <v>9</v>
      </c>
      <c r="W110" s="38" t="str">
        <f t="shared" si="13"/>
        <v>Y</v>
      </c>
      <c r="X110" s="64">
        <f t="shared" si="14"/>
        <v>0.18000000000000008</v>
      </c>
      <c r="Y110" s="64" t="str">
        <f t="shared" si="15"/>
        <v>5-25%</v>
      </c>
      <c r="Z110" s="8" t="s">
        <v>127</v>
      </c>
      <c r="AB110" s="32">
        <v>5640</v>
      </c>
      <c r="AC110" s="32">
        <v>11800</v>
      </c>
      <c r="AD110" s="32"/>
      <c r="AE110" s="32"/>
      <c r="AF110" s="32"/>
      <c r="AG110" s="32"/>
      <c r="AH110" s="32"/>
    </row>
    <row r="111" spans="1:34" ht="24" customHeight="1" x14ac:dyDescent="0.25">
      <c r="A111" s="10">
        <v>45</v>
      </c>
      <c r="B111" s="9">
        <v>0.44027777777777777</v>
      </c>
      <c r="C111" s="5" t="s">
        <v>20</v>
      </c>
      <c r="D111" s="5">
        <f t="shared" si="8"/>
        <v>9</v>
      </c>
      <c r="E111" s="15"/>
      <c r="F111" s="15" t="s">
        <v>29</v>
      </c>
      <c r="G111" s="19">
        <f t="shared" si="10"/>
        <v>10.08</v>
      </c>
      <c r="H111" s="19">
        <f t="shared" si="11"/>
        <v>5.7</v>
      </c>
      <c r="I111" s="19">
        <f t="shared" si="11"/>
        <v>8.56</v>
      </c>
      <c r="J111" s="19"/>
      <c r="K111" s="19"/>
      <c r="L111" s="19"/>
      <c r="M111" s="19"/>
      <c r="N111" s="36">
        <f t="shared" si="12"/>
        <v>24.340000000000003</v>
      </c>
      <c r="O111" s="36">
        <f t="shared" si="9"/>
        <v>136.72151689190576</v>
      </c>
      <c r="P111" s="37">
        <v>8</v>
      </c>
      <c r="Q111" s="37">
        <v>10</v>
      </c>
      <c r="R111" s="37">
        <v>9</v>
      </c>
      <c r="S111" s="37">
        <v>9</v>
      </c>
      <c r="T111" s="37">
        <v>9</v>
      </c>
      <c r="U111" s="37">
        <v>9</v>
      </c>
      <c r="V111" s="37">
        <v>9</v>
      </c>
      <c r="W111" s="38" t="str">
        <f t="shared" si="13"/>
        <v>Y</v>
      </c>
      <c r="X111" s="64">
        <f t="shared" si="14"/>
        <v>0.20800000000000002</v>
      </c>
      <c r="Y111" s="64" t="str">
        <f t="shared" si="15"/>
        <v>5-25%</v>
      </c>
      <c r="Z111" s="8" t="s">
        <v>34</v>
      </c>
      <c r="AB111" s="32">
        <v>10080</v>
      </c>
      <c r="AC111" s="32">
        <v>5700</v>
      </c>
      <c r="AD111" s="54">
        <v>8560</v>
      </c>
      <c r="AE111" s="54"/>
      <c r="AF111" s="54"/>
      <c r="AG111" s="54"/>
      <c r="AH111" s="60"/>
    </row>
    <row r="112" spans="1:34" ht="24" customHeight="1" x14ac:dyDescent="0.25">
      <c r="A112" s="10">
        <v>46</v>
      </c>
      <c r="B112" s="9">
        <v>0.44166666666666665</v>
      </c>
      <c r="C112" s="5" t="s">
        <v>20</v>
      </c>
      <c r="D112" s="5">
        <f t="shared" si="8"/>
        <v>9</v>
      </c>
      <c r="E112" s="15"/>
      <c r="F112" s="15" t="s">
        <v>29</v>
      </c>
      <c r="G112" s="19">
        <f t="shared" si="10"/>
        <v>6.96</v>
      </c>
      <c r="H112" s="19">
        <f t="shared" si="11"/>
        <v>10.96</v>
      </c>
      <c r="I112" s="19">
        <f t="shared" si="11"/>
        <v>6.08</v>
      </c>
      <c r="J112" s="19"/>
      <c r="K112" s="19"/>
      <c r="L112" s="19"/>
      <c r="M112" s="19"/>
      <c r="N112" s="36">
        <f t="shared" si="12"/>
        <v>24</v>
      </c>
      <c r="O112" s="36">
        <f t="shared" si="9"/>
        <v>128.33492859767952</v>
      </c>
      <c r="P112" s="37">
        <v>8</v>
      </c>
      <c r="Q112" s="37">
        <v>10</v>
      </c>
      <c r="R112" s="37">
        <v>9</v>
      </c>
      <c r="S112" s="37">
        <v>9</v>
      </c>
      <c r="T112" s="37">
        <v>9</v>
      </c>
      <c r="U112" s="37">
        <v>9</v>
      </c>
      <c r="V112" s="37">
        <v>9</v>
      </c>
      <c r="W112" s="38" t="str">
        <f t="shared" si="13"/>
        <v>Y</v>
      </c>
      <c r="X112" s="64">
        <f t="shared" si="14"/>
        <v>9.6000000000000085E-2</v>
      </c>
      <c r="Y112" s="64" t="str">
        <f t="shared" si="15"/>
        <v>5-25%</v>
      </c>
      <c r="Z112" s="8" t="s">
        <v>117</v>
      </c>
      <c r="AB112" s="32">
        <v>6960</v>
      </c>
      <c r="AC112" s="32">
        <v>10960</v>
      </c>
      <c r="AD112" s="54">
        <v>6080</v>
      </c>
      <c r="AE112" s="54"/>
      <c r="AF112" s="54"/>
      <c r="AG112" s="54"/>
      <c r="AH112" s="60"/>
    </row>
    <row r="113" spans="1:34" ht="24" customHeight="1" x14ac:dyDescent="0.25">
      <c r="A113" s="10">
        <v>49</v>
      </c>
      <c r="B113" s="9">
        <v>0.44791666666666669</v>
      </c>
      <c r="C113" s="5" t="s">
        <v>20</v>
      </c>
      <c r="D113" s="5">
        <f t="shared" si="8"/>
        <v>9</v>
      </c>
      <c r="E113" s="15"/>
      <c r="F113" s="15" t="s">
        <v>29</v>
      </c>
      <c r="G113" s="19">
        <f t="shared" si="10"/>
        <v>9.1999999999999993</v>
      </c>
      <c r="H113" s="19">
        <f t="shared" si="11"/>
        <v>12.18</v>
      </c>
      <c r="I113" s="19">
        <f t="shared" si="11"/>
        <v>0.76</v>
      </c>
      <c r="J113" s="19"/>
      <c r="K113" s="19"/>
      <c r="L113" s="19"/>
      <c r="M113" s="19"/>
      <c r="N113" s="36">
        <f t="shared" si="12"/>
        <v>22.14</v>
      </c>
      <c r="O113" s="36">
        <f t="shared" si="9"/>
        <v>89.26753860819143</v>
      </c>
      <c r="P113" s="37">
        <v>8</v>
      </c>
      <c r="Q113" s="37">
        <v>10</v>
      </c>
      <c r="R113" s="37">
        <v>9</v>
      </c>
      <c r="S113" s="37">
        <v>9</v>
      </c>
      <c r="T113" s="37">
        <v>9</v>
      </c>
      <c r="U113" s="37">
        <v>9</v>
      </c>
      <c r="V113" s="37">
        <v>9</v>
      </c>
      <c r="W113" s="38" t="str">
        <f t="shared" si="13"/>
        <v>Y</v>
      </c>
      <c r="X113" s="64">
        <f t="shared" si="14"/>
        <v>0.21799999999999997</v>
      </c>
      <c r="Y113" s="64" t="str">
        <f t="shared" si="15"/>
        <v>5-25%</v>
      </c>
      <c r="Z113" s="8" t="s">
        <v>124</v>
      </c>
      <c r="AB113" s="32">
        <v>9200</v>
      </c>
      <c r="AC113" s="32">
        <v>12180</v>
      </c>
      <c r="AD113" s="54">
        <v>760</v>
      </c>
      <c r="AE113" s="54"/>
      <c r="AF113" s="54"/>
      <c r="AG113" s="54"/>
      <c r="AH113" s="60"/>
    </row>
    <row r="114" spans="1:34" ht="24" customHeight="1" x14ac:dyDescent="0.25">
      <c r="A114" s="10">
        <v>50</v>
      </c>
      <c r="B114" s="9">
        <v>0.45</v>
      </c>
      <c r="C114" s="5" t="s">
        <v>20</v>
      </c>
      <c r="D114" s="5">
        <f t="shared" si="8"/>
        <v>9</v>
      </c>
      <c r="E114" s="15"/>
      <c r="F114" s="15" t="s">
        <v>29</v>
      </c>
      <c r="G114" s="19">
        <f t="shared" si="10"/>
        <v>5.98</v>
      </c>
      <c r="H114" s="19">
        <f t="shared" si="11"/>
        <v>14.2</v>
      </c>
      <c r="I114" s="19">
        <f t="shared" si="11"/>
        <v>5.5</v>
      </c>
      <c r="J114" s="19"/>
      <c r="K114" s="19"/>
      <c r="L114" s="19"/>
      <c r="M114" s="19"/>
      <c r="N114" s="36">
        <f t="shared" si="12"/>
        <v>25.68</v>
      </c>
      <c r="O114" s="36">
        <f t="shared" si="9"/>
        <v>174.00906478200326</v>
      </c>
      <c r="P114" s="37">
        <v>8</v>
      </c>
      <c r="Q114" s="37">
        <v>10</v>
      </c>
      <c r="R114" s="37">
        <v>9</v>
      </c>
      <c r="S114" s="37">
        <v>9</v>
      </c>
      <c r="T114" s="37">
        <v>9</v>
      </c>
      <c r="U114" s="37">
        <v>9</v>
      </c>
      <c r="V114" s="37">
        <v>9</v>
      </c>
      <c r="W114" s="38" t="str">
        <f t="shared" si="13"/>
        <v>Y</v>
      </c>
      <c r="X114" s="64">
        <f t="shared" si="14"/>
        <v>0.41999999999999993</v>
      </c>
      <c r="Y114" s="64" t="str">
        <f t="shared" si="15"/>
        <v>25-50%</v>
      </c>
      <c r="Z114" s="8" t="s">
        <v>124</v>
      </c>
      <c r="AB114" s="32">
        <v>5980</v>
      </c>
      <c r="AC114" s="32">
        <v>14200</v>
      </c>
      <c r="AD114" s="54">
        <v>5500</v>
      </c>
      <c r="AE114" s="54"/>
      <c r="AF114" s="54"/>
      <c r="AG114" s="54"/>
      <c r="AH114" s="60"/>
    </row>
    <row r="115" spans="1:34" ht="24" customHeight="1" x14ac:dyDescent="0.25">
      <c r="A115" s="10">
        <v>51</v>
      </c>
      <c r="B115" s="9">
        <v>0.4513888888888889</v>
      </c>
      <c r="C115" s="5" t="s">
        <v>20</v>
      </c>
      <c r="D115" s="5">
        <f t="shared" si="8"/>
        <v>9</v>
      </c>
      <c r="E115" s="15"/>
      <c r="F115" s="15" t="s">
        <v>29</v>
      </c>
      <c r="G115" s="19">
        <f t="shared" si="10"/>
        <v>8.02</v>
      </c>
      <c r="H115" s="19">
        <f t="shared" si="11"/>
        <v>7.66</v>
      </c>
      <c r="I115" s="19">
        <f t="shared" si="11"/>
        <v>10.62</v>
      </c>
      <c r="J115" s="19"/>
      <c r="K115" s="19"/>
      <c r="L115" s="19"/>
      <c r="M115" s="19"/>
      <c r="N115" s="36">
        <f t="shared" si="12"/>
        <v>26.299999999999997</v>
      </c>
      <c r="O115" s="36">
        <f t="shared" si="9"/>
        <v>193.72923066788891</v>
      </c>
      <c r="P115" s="37">
        <v>8</v>
      </c>
      <c r="Q115" s="37">
        <v>10</v>
      </c>
      <c r="R115" s="37">
        <v>9</v>
      </c>
      <c r="S115" s="37">
        <v>9</v>
      </c>
      <c r="T115" s="37">
        <v>9</v>
      </c>
      <c r="U115" s="37">
        <v>9</v>
      </c>
      <c r="V115" s="37">
        <v>9</v>
      </c>
      <c r="W115" s="38" t="str">
        <f t="shared" si="13"/>
        <v>Y</v>
      </c>
      <c r="X115" s="64">
        <f t="shared" si="14"/>
        <v>0.16199999999999992</v>
      </c>
      <c r="Y115" s="64" t="str">
        <f t="shared" si="15"/>
        <v>5-25%</v>
      </c>
      <c r="Z115" s="8" t="s">
        <v>121</v>
      </c>
      <c r="AB115" s="32">
        <v>8020</v>
      </c>
      <c r="AC115" s="32">
        <v>7660</v>
      </c>
      <c r="AD115" s="54">
        <v>10620</v>
      </c>
      <c r="AE115" s="54"/>
      <c r="AF115" s="54"/>
      <c r="AG115" s="54"/>
      <c r="AH115" s="60"/>
    </row>
    <row r="116" spans="1:34" ht="24" customHeight="1" x14ac:dyDescent="0.25">
      <c r="A116" s="10">
        <v>53</v>
      </c>
      <c r="B116" s="9">
        <v>0.45555555555555555</v>
      </c>
      <c r="C116" s="5" t="s">
        <v>20</v>
      </c>
      <c r="D116" s="5">
        <f t="shared" si="8"/>
        <v>9</v>
      </c>
      <c r="E116" s="15"/>
      <c r="F116" s="15" t="s">
        <v>29</v>
      </c>
      <c r="G116" s="19">
        <f t="shared" si="10"/>
        <v>4.92</v>
      </c>
      <c r="H116" s="19">
        <f t="shared" si="11"/>
        <v>5.44</v>
      </c>
      <c r="I116" s="19">
        <f t="shared" si="11"/>
        <v>4.5999999999999996</v>
      </c>
      <c r="J116" s="19"/>
      <c r="K116" s="19"/>
      <c r="L116" s="19"/>
      <c r="M116" s="19"/>
      <c r="N116" s="36">
        <f t="shared" si="12"/>
        <v>14.959999999999999</v>
      </c>
      <c r="O116" s="36">
        <f t="shared" si="9"/>
        <v>15.29630224823496</v>
      </c>
      <c r="P116" s="37">
        <v>8</v>
      </c>
      <c r="Q116" s="37">
        <v>10</v>
      </c>
      <c r="R116" s="37">
        <v>9</v>
      </c>
      <c r="S116" s="37">
        <v>9</v>
      </c>
      <c r="T116" s="37">
        <v>9</v>
      </c>
      <c r="U116" s="37">
        <v>9</v>
      </c>
      <c r="V116" s="37">
        <v>9</v>
      </c>
      <c r="W116" s="38" t="str">
        <f t="shared" si="13"/>
        <v>N</v>
      </c>
      <c r="X116" s="64">
        <f t="shared" si="14"/>
        <v>0</v>
      </c>
      <c r="Y116" s="64" t="str">
        <f t="shared" si="15"/>
        <v>0-4.9%</v>
      </c>
      <c r="Z116" s="8" t="s">
        <v>108</v>
      </c>
      <c r="AB116" s="32">
        <v>4920</v>
      </c>
      <c r="AC116" s="32">
        <v>5440</v>
      </c>
      <c r="AD116" s="54">
        <v>4600</v>
      </c>
      <c r="AE116" s="54"/>
      <c r="AF116" s="54"/>
      <c r="AG116" s="54"/>
      <c r="AH116" s="60"/>
    </row>
    <row r="117" spans="1:34" ht="24" customHeight="1" x14ac:dyDescent="0.25">
      <c r="A117" s="10">
        <v>56</v>
      </c>
      <c r="B117" s="9">
        <v>0.46388888888888885</v>
      </c>
      <c r="C117" s="5" t="s">
        <v>20</v>
      </c>
      <c r="D117" s="5">
        <f t="shared" si="8"/>
        <v>9</v>
      </c>
      <c r="E117" s="15"/>
      <c r="F117" s="15" t="s">
        <v>29</v>
      </c>
      <c r="G117" s="19">
        <f t="shared" si="10"/>
        <v>10.06</v>
      </c>
      <c r="H117" s="19">
        <f t="shared" si="11"/>
        <v>8.68</v>
      </c>
      <c r="I117" s="19">
        <f t="shared" si="11"/>
        <v>4.5999999999999996</v>
      </c>
      <c r="J117" s="19"/>
      <c r="K117" s="19"/>
      <c r="L117" s="19"/>
      <c r="M117" s="19"/>
      <c r="N117" s="36">
        <f t="shared" si="12"/>
        <v>23.340000000000003</v>
      </c>
      <c r="O117" s="36">
        <f t="shared" si="9"/>
        <v>113.20044088109017</v>
      </c>
      <c r="P117" s="37">
        <v>8</v>
      </c>
      <c r="Q117" s="37">
        <v>10</v>
      </c>
      <c r="R117" s="37">
        <v>9</v>
      </c>
      <c r="S117" s="37">
        <v>9</v>
      </c>
      <c r="T117" s="37">
        <v>9</v>
      </c>
      <c r="U117" s="37">
        <v>9</v>
      </c>
      <c r="V117" s="37">
        <v>9</v>
      </c>
      <c r="W117" s="38" t="str">
        <f t="shared" si="13"/>
        <v>Y</v>
      </c>
      <c r="X117" s="64">
        <f t="shared" si="14"/>
        <v>0.20600000000000004</v>
      </c>
      <c r="Y117" s="64" t="str">
        <f t="shared" si="15"/>
        <v>5-25%</v>
      </c>
      <c r="Z117" s="8" t="s">
        <v>34</v>
      </c>
      <c r="AB117" s="32">
        <v>10060</v>
      </c>
      <c r="AC117" s="32">
        <v>8680</v>
      </c>
      <c r="AD117" s="54">
        <v>4600</v>
      </c>
      <c r="AE117" s="54"/>
      <c r="AF117" s="54"/>
      <c r="AG117" s="54"/>
      <c r="AH117" s="60"/>
    </row>
    <row r="118" spans="1:34" ht="24" customHeight="1" x14ac:dyDescent="0.25">
      <c r="A118" s="10">
        <v>57</v>
      </c>
      <c r="B118" s="9">
        <v>0.46527777777777773</v>
      </c>
      <c r="C118" s="5" t="s">
        <v>20</v>
      </c>
      <c r="D118" s="5">
        <f t="shared" si="8"/>
        <v>9</v>
      </c>
      <c r="E118" s="15"/>
      <c r="F118" s="15" t="s">
        <v>29</v>
      </c>
      <c r="G118" s="19">
        <f t="shared" si="10"/>
        <v>10.66</v>
      </c>
      <c r="H118" s="19">
        <f t="shared" si="11"/>
        <v>11.18</v>
      </c>
      <c r="I118" s="19">
        <f t="shared" si="11"/>
        <v>4.68</v>
      </c>
      <c r="J118" s="19"/>
      <c r="K118" s="19"/>
      <c r="L118" s="19"/>
      <c r="M118" s="19"/>
      <c r="N118" s="36">
        <f t="shared" si="12"/>
        <v>26.52</v>
      </c>
      <c r="O118" s="36">
        <f t="shared" si="9"/>
        <v>201.12919917681052</v>
      </c>
      <c r="P118" s="37">
        <v>8</v>
      </c>
      <c r="Q118" s="37">
        <v>10</v>
      </c>
      <c r="R118" s="37">
        <v>9</v>
      </c>
      <c r="S118" s="37">
        <v>9</v>
      </c>
      <c r="T118" s="37">
        <v>9</v>
      </c>
      <c r="U118" s="37">
        <v>9</v>
      </c>
      <c r="V118" s="37">
        <v>9</v>
      </c>
      <c r="W118" s="38" t="str">
        <f t="shared" si="13"/>
        <v>Y</v>
      </c>
      <c r="X118" s="64">
        <f t="shared" si="14"/>
        <v>0.26600000000000001</v>
      </c>
      <c r="Y118" s="64" t="str">
        <f t="shared" si="15"/>
        <v>25-50%</v>
      </c>
      <c r="Z118" s="8" t="s">
        <v>34</v>
      </c>
      <c r="AB118" s="32">
        <v>10660</v>
      </c>
      <c r="AC118" s="32">
        <v>11180</v>
      </c>
      <c r="AD118" s="54">
        <v>4680</v>
      </c>
      <c r="AE118" s="54"/>
      <c r="AF118" s="54"/>
      <c r="AG118" s="54"/>
      <c r="AH118" s="60"/>
    </row>
    <row r="119" spans="1:34" ht="24" customHeight="1" x14ac:dyDescent="0.25">
      <c r="A119" s="10">
        <v>58</v>
      </c>
      <c r="B119" s="9">
        <v>0.46597222222222223</v>
      </c>
      <c r="C119" s="5" t="s">
        <v>20</v>
      </c>
      <c r="D119" s="5">
        <f t="shared" si="8"/>
        <v>9</v>
      </c>
      <c r="E119" s="15"/>
      <c r="F119" s="15" t="s">
        <v>29</v>
      </c>
      <c r="G119" s="19">
        <f t="shared" si="10"/>
        <v>6.4</v>
      </c>
      <c r="H119" s="19">
        <f t="shared" si="11"/>
        <v>10.25</v>
      </c>
      <c r="I119" s="19">
        <f t="shared" si="11"/>
        <v>4.5199999999999996</v>
      </c>
      <c r="J119" s="19"/>
      <c r="K119" s="19"/>
      <c r="L119" s="19"/>
      <c r="M119" s="19"/>
      <c r="N119" s="36">
        <f t="shared" si="12"/>
        <v>21.169999999999998</v>
      </c>
      <c r="O119" s="36">
        <f t="shared" si="9"/>
        <v>72.968958360019457</v>
      </c>
      <c r="P119" s="37">
        <v>8</v>
      </c>
      <c r="Q119" s="37">
        <v>10</v>
      </c>
      <c r="R119" s="37">
        <v>9</v>
      </c>
      <c r="S119" s="37">
        <v>9</v>
      </c>
      <c r="T119" s="37">
        <v>9</v>
      </c>
      <c r="U119" s="37">
        <v>9</v>
      </c>
      <c r="V119" s="37">
        <v>9</v>
      </c>
      <c r="W119" s="38" t="str">
        <f t="shared" si="13"/>
        <v>Y</v>
      </c>
      <c r="X119" s="64">
        <f t="shared" si="14"/>
        <v>2.5000000000000001E-2</v>
      </c>
      <c r="Y119" s="64" t="str">
        <f t="shared" si="15"/>
        <v>0-4.9%</v>
      </c>
      <c r="Z119" s="8" t="s">
        <v>124</v>
      </c>
      <c r="AB119" s="32">
        <v>6400</v>
      </c>
      <c r="AC119" s="32">
        <v>10250</v>
      </c>
      <c r="AD119" s="54">
        <v>4520</v>
      </c>
      <c r="AE119" s="54"/>
      <c r="AF119" s="54"/>
      <c r="AG119" s="54"/>
      <c r="AH119" s="60"/>
    </row>
    <row r="120" spans="1:34" ht="24" customHeight="1" x14ac:dyDescent="0.25">
      <c r="A120" s="10">
        <v>59</v>
      </c>
      <c r="B120" s="9">
        <v>0.4680555555555555</v>
      </c>
      <c r="C120" s="5" t="s">
        <v>20</v>
      </c>
      <c r="D120" s="5">
        <f t="shared" si="8"/>
        <v>9</v>
      </c>
      <c r="E120" s="15"/>
      <c r="F120" s="15" t="s">
        <v>29</v>
      </c>
      <c r="G120" s="19">
        <f t="shared" si="10"/>
        <v>3.18</v>
      </c>
      <c r="H120" s="19">
        <f t="shared" si="11"/>
        <v>3.18</v>
      </c>
      <c r="I120" s="19">
        <f t="shared" si="11"/>
        <v>3.96</v>
      </c>
      <c r="J120" s="19"/>
      <c r="K120" s="19"/>
      <c r="L120" s="19"/>
      <c r="M120" s="19"/>
      <c r="N120" s="36">
        <f t="shared" si="12"/>
        <v>10.32</v>
      </c>
      <c r="O120" s="36">
        <f t="shared" si="9"/>
        <v>2.8770865278785451</v>
      </c>
      <c r="P120" s="37">
        <v>8</v>
      </c>
      <c r="Q120" s="37">
        <v>10</v>
      </c>
      <c r="R120" s="37">
        <v>9</v>
      </c>
      <c r="S120" s="37">
        <v>9</v>
      </c>
      <c r="T120" s="37">
        <v>9</v>
      </c>
      <c r="U120" s="37">
        <v>9</v>
      </c>
      <c r="V120" s="37">
        <v>9</v>
      </c>
      <c r="W120" s="38" t="str">
        <f t="shared" si="13"/>
        <v>N</v>
      </c>
      <c r="X120" s="64">
        <f t="shared" si="14"/>
        <v>0</v>
      </c>
      <c r="Y120" s="64" t="str">
        <f t="shared" si="15"/>
        <v>0-4.9%</v>
      </c>
      <c r="Z120" s="8" t="s">
        <v>108</v>
      </c>
      <c r="AB120" s="32">
        <v>3180</v>
      </c>
      <c r="AC120" s="32">
        <v>3180</v>
      </c>
      <c r="AD120" s="54">
        <v>3960</v>
      </c>
      <c r="AE120" s="54"/>
      <c r="AF120" s="54"/>
      <c r="AG120" s="54"/>
      <c r="AH120" s="60"/>
    </row>
    <row r="121" spans="1:34" ht="24" customHeight="1" x14ac:dyDescent="0.25">
      <c r="A121" s="10">
        <v>60</v>
      </c>
      <c r="B121" s="9">
        <v>0.47152777777777777</v>
      </c>
      <c r="C121" s="5" t="s">
        <v>20</v>
      </c>
      <c r="D121" s="5">
        <f t="shared" si="8"/>
        <v>9</v>
      </c>
      <c r="E121" s="15"/>
      <c r="F121" s="15" t="s">
        <v>29</v>
      </c>
      <c r="G121" s="19">
        <f t="shared" si="10"/>
        <v>2.74</v>
      </c>
      <c r="H121" s="19">
        <f t="shared" si="11"/>
        <v>8.66</v>
      </c>
      <c r="I121" s="19">
        <f t="shared" si="11"/>
        <v>5.86</v>
      </c>
      <c r="J121" s="19"/>
      <c r="K121" s="19"/>
      <c r="L121" s="19"/>
      <c r="M121" s="19"/>
      <c r="N121" s="36">
        <f t="shared" si="12"/>
        <v>17.260000000000002</v>
      </c>
      <c r="O121" s="36">
        <f t="shared" si="9"/>
        <v>29.112389077109945</v>
      </c>
      <c r="P121" s="37">
        <v>8</v>
      </c>
      <c r="Q121" s="37">
        <v>10</v>
      </c>
      <c r="R121" s="37">
        <v>9</v>
      </c>
      <c r="S121" s="37">
        <v>9</v>
      </c>
      <c r="T121" s="37">
        <v>9</v>
      </c>
      <c r="U121" s="37">
        <v>9</v>
      </c>
      <c r="V121" s="37">
        <v>9</v>
      </c>
      <c r="W121" s="38" t="str">
        <f t="shared" si="13"/>
        <v>N</v>
      </c>
      <c r="X121" s="64">
        <f t="shared" si="14"/>
        <v>0</v>
      </c>
      <c r="Y121" s="64" t="str">
        <f t="shared" si="15"/>
        <v>0-4.9%</v>
      </c>
      <c r="Z121" s="8" t="s">
        <v>121</v>
      </c>
      <c r="AB121" s="32">
        <v>2740</v>
      </c>
      <c r="AC121" s="32">
        <v>8660</v>
      </c>
      <c r="AD121" s="54">
        <v>5860</v>
      </c>
      <c r="AE121" s="54"/>
      <c r="AF121" s="54"/>
      <c r="AG121" s="54"/>
      <c r="AH121" s="54"/>
    </row>
    <row r="122" spans="1:34" ht="24" customHeight="1" x14ac:dyDescent="0.25">
      <c r="A122" s="10">
        <v>61</v>
      </c>
      <c r="B122" s="9">
        <v>0.47361111111111115</v>
      </c>
      <c r="C122" s="5" t="s">
        <v>20</v>
      </c>
      <c r="D122" s="5">
        <f t="shared" si="8"/>
        <v>9</v>
      </c>
      <c r="E122" s="15"/>
      <c r="F122" s="15" t="s">
        <v>29</v>
      </c>
      <c r="G122" s="19">
        <f t="shared" si="10"/>
        <v>5.9</v>
      </c>
      <c r="H122" s="19">
        <f t="shared" si="11"/>
        <v>12.08</v>
      </c>
      <c r="I122" s="19">
        <f t="shared" si="11"/>
        <v>4.18</v>
      </c>
      <c r="J122" s="19"/>
      <c r="K122" s="19"/>
      <c r="L122" s="19"/>
      <c r="M122" s="19"/>
      <c r="N122" s="36">
        <f t="shared" si="12"/>
        <v>22.16</v>
      </c>
      <c r="O122" s="36">
        <f t="shared" si="9"/>
        <v>89.63098886586593</v>
      </c>
      <c r="P122" s="37">
        <v>8</v>
      </c>
      <c r="Q122" s="37">
        <v>10</v>
      </c>
      <c r="R122" s="37">
        <v>9</v>
      </c>
      <c r="S122" s="37">
        <v>9</v>
      </c>
      <c r="T122" s="37">
        <v>9</v>
      </c>
      <c r="U122" s="37">
        <v>9</v>
      </c>
      <c r="V122" s="37">
        <v>9</v>
      </c>
      <c r="W122" s="38" t="str">
        <f t="shared" si="13"/>
        <v>Y</v>
      </c>
      <c r="X122" s="64">
        <f t="shared" si="14"/>
        <v>0.20800000000000002</v>
      </c>
      <c r="Y122" s="64" t="str">
        <f t="shared" si="15"/>
        <v>5-25%</v>
      </c>
      <c r="Z122" s="8" t="s">
        <v>34</v>
      </c>
      <c r="AB122" s="32">
        <v>5900</v>
      </c>
      <c r="AC122" s="32">
        <v>12080</v>
      </c>
      <c r="AD122" s="54">
        <v>4180</v>
      </c>
      <c r="AE122" s="54"/>
      <c r="AF122" s="54"/>
      <c r="AG122" s="54"/>
      <c r="AH122" s="54"/>
    </row>
    <row r="123" spans="1:34" ht="24" customHeight="1" x14ac:dyDescent="0.25">
      <c r="A123" s="10">
        <v>71</v>
      </c>
      <c r="B123" s="9">
        <v>0.48958333333333331</v>
      </c>
      <c r="C123" s="5" t="s">
        <v>20</v>
      </c>
      <c r="D123" s="5">
        <f t="shared" si="8"/>
        <v>9</v>
      </c>
      <c r="E123" s="15"/>
      <c r="F123" s="15" t="s">
        <v>29</v>
      </c>
      <c r="G123" s="19">
        <f t="shared" si="10"/>
        <v>10.8</v>
      </c>
      <c r="H123" s="19">
        <f t="shared" si="11"/>
        <v>7.2</v>
      </c>
      <c r="I123" s="19">
        <f t="shared" si="11"/>
        <v>5.18</v>
      </c>
      <c r="J123" s="19"/>
      <c r="K123" s="19"/>
      <c r="L123" s="19"/>
      <c r="M123" s="19"/>
      <c r="N123" s="36">
        <f t="shared" si="12"/>
        <v>23.18</v>
      </c>
      <c r="O123" s="36">
        <f t="shared" si="9"/>
        <v>109.75005029348405</v>
      </c>
      <c r="P123" s="37">
        <v>8</v>
      </c>
      <c r="Q123" s="37">
        <v>10</v>
      </c>
      <c r="R123" s="37">
        <v>9</v>
      </c>
      <c r="S123" s="37">
        <v>9</v>
      </c>
      <c r="T123" s="37">
        <v>9</v>
      </c>
      <c r="U123" s="37">
        <v>9</v>
      </c>
      <c r="V123" s="37">
        <v>9</v>
      </c>
      <c r="W123" s="38" t="str">
        <f t="shared" si="13"/>
        <v>Y</v>
      </c>
      <c r="X123" s="64">
        <f t="shared" si="14"/>
        <v>0.28000000000000008</v>
      </c>
      <c r="Y123" s="64" t="str">
        <f t="shared" si="15"/>
        <v>25-50%</v>
      </c>
      <c r="Z123" s="8" t="s">
        <v>34</v>
      </c>
      <c r="AB123" s="32">
        <v>10800</v>
      </c>
      <c r="AC123" s="32">
        <v>7200</v>
      </c>
      <c r="AD123" s="54">
        <v>5180</v>
      </c>
      <c r="AE123" s="54"/>
      <c r="AF123" s="54"/>
      <c r="AG123" s="54"/>
      <c r="AH123" s="54"/>
    </row>
    <row r="124" spans="1:34" ht="24" customHeight="1" x14ac:dyDescent="0.25">
      <c r="A124" s="10">
        <v>72</v>
      </c>
      <c r="B124" s="9">
        <v>0.48958333333333331</v>
      </c>
      <c r="C124" s="5" t="s">
        <v>20</v>
      </c>
      <c r="D124" s="5">
        <f t="shared" si="8"/>
        <v>9</v>
      </c>
      <c r="E124" s="15"/>
      <c r="F124" s="15" t="s">
        <v>29</v>
      </c>
      <c r="G124" s="19">
        <f t="shared" si="10"/>
        <v>7.86</v>
      </c>
      <c r="H124" s="19">
        <f t="shared" si="11"/>
        <v>13.48</v>
      </c>
      <c r="I124" s="19">
        <f t="shared" si="11"/>
        <v>12</v>
      </c>
      <c r="J124" s="19"/>
      <c r="K124" s="19"/>
      <c r="L124" s="19"/>
      <c r="M124" s="19"/>
      <c r="N124" s="36">
        <f t="shared" si="12"/>
        <v>33.340000000000003</v>
      </c>
      <c r="O124" s="36">
        <f t="shared" si="9"/>
        <v>563.2996291567365</v>
      </c>
      <c r="P124" s="37">
        <v>8</v>
      </c>
      <c r="Q124" s="37">
        <v>10</v>
      </c>
      <c r="R124" s="37">
        <v>9</v>
      </c>
      <c r="S124" s="37">
        <v>9</v>
      </c>
      <c r="T124" s="37">
        <v>9</v>
      </c>
      <c r="U124" s="37">
        <v>9</v>
      </c>
      <c r="V124" s="37">
        <v>9</v>
      </c>
      <c r="W124" s="38" t="str">
        <f t="shared" si="13"/>
        <v>Y</v>
      </c>
      <c r="X124" s="64">
        <f t="shared" si="14"/>
        <v>0.34800000000000003</v>
      </c>
      <c r="Y124" s="64" t="str">
        <f t="shared" si="15"/>
        <v>25-50%</v>
      </c>
      <c r="Z124" s="8" t="s">
        <v>127</v>
      </c>
      <c r="AB124" s="32">
        <v>7860</v>
      </c>
      <c r="AC124" s="32">
        <v>13480</v>
      </c>
      <c r="AD124" s="54">
        <v>12000</v>
      </c>
      <c r="AE124" s="54"/>
      <c r="AF124" s="54"/>
      <c r="AG124" s="54"/>
      <c r="AH124" s="54"/>
    </row>
    <row r="125" spans="1:34" ht="24" customHeight="1" x14ac:dyDescent="0.25">
      <c r="A125" s="10">
        <v>74</v>
      </c>
      <c r="B125" s="9">
        <v>0.49305555555555558</v>
      </c>
      <c r="C125" s="5" t="s">
        <v>20</v>
      </c>
      <c r="D125" s="5">
        <f t="shared" si="8"/>
        <v>9</v>
      </c>
      <c r="E125" s="15"/>
      <c r="F125" s="15" t="s">
        <v>29</v>
      </c>
      <c r="G125" s="19">
        <f t="shared" si="10"/>
        <v>8.56</v>
      </c>
      <c r="H125" s="19">
        <f t="shared" si="11"/>
        <v>10.54</v>
      </c>
      <c r="I125" s="19">
        <f t="shared" si="11"/>
        <v>6.4</v>
      </c>
      <c r="J125" s="19"/>
      <c r="K125" s="19"/>
      <c r="L125" s="19"/>
      <c r="M125" s="19"/>
      <c r="N125" s="36">
        <f t="shared" si="12"/>
        <v>25.5</v>
      </c>
      <c r="O125" s="36">
        <f t="shared" si="9"/>
        <v>168.58739404357613</v>
      </c>
      <c r="P125" s="37">
        <v>8</v>
      </c>
      <c r="Q125" s="37">
        <v>10</v>
      </c>
      <c r="R125" s="37">
        <v>9</v>
      </c>
      <c r="S125" s="37">
        <v>9</v>
      </c>
      <c r="T125" s="37">
        <v>9</v>
      </c>
      <c r="U125" s="37">
        <v>9</v>
      </c>
      <c r="V125" s="37">
        <v>9</v>
      </c>
      <c r="W125" s="38" t="str">
        <f t="shared" si="13"/>
        <v>Y</v>
      </c>
      <c r="X125" s="64">
        <f t="shared" si="14"/>
        <v>5.600000000000005E-2</v>
      </c>
      <c r="Y125" s="64" t="str">
        <f t="shared" si="15"/>
        <v>5-25%</v>
      </c>
      <c r="Z125" s="8" t="s">
        <v>34</v>
      </c>
      <c r="AB125" s="32">
        <v>8560</v>
      </c>
      <c r="AC125" s="32">
        <v>10540</v>
      </c>
      <c r="AD125" s="54">
        <v>6400</v>
      </c>
      <c r="AE125" s="54"/>
      <c r="AF125" s="54"/>
      <c r="AG125" s="54"/>
      <c r="AH125" s="54"/>
    </row>
    <row r="126" spans="1:34" ht="24" customHeight="1" x14ac:dyDescent="0.25">
      <c r="A126" s="10">
        <v>77</v>
      </c>
      <c r="B126" s="9"/>
      <c r="C126" s="5" t="s">
        <v>20</v>
      </c>
      <c r="D126" s="5">
        <f t="shared" si="8"/>
        <v>9</v>
      </c>
      <c r="E126" s="15"/>
      <c r="F126" s="15" t="s">
        <v>29</v>
      </c>
      <c r="G126" s="19">
        <f t="shared" si="10"/>
        <v>5.18</v>
      </c>
      <c r="H126" s="19">
        <f t="shared" si="11"/>
        <v>14.92</v>
      </c>
      <c r="I126" s="19">
        <f t="shared" si="11"/>
        <v>7.28</v>
      </c>
      <c r="J126" s="19"/>
      <c r="K126" s="19"/>
      <c r="L126" s="19"/>
      <c r="M126" s="19"/>
      <c r="N126" s="36">
        <f t="shared" si="12"/>
        <v>27.380000000000003</v>
      </c>
      <c r="O126" s="36">
        <f t="shared" si="9"/>
        <v>232.19067961300217</v>
      </c>
      <c r="P126" s="37">
        <v>8</v>
      </c>
      <c r="Q126" s="37">
        <v>10</v>
      </c>
      <c r="R126" s="37">
        <v>9</v>
      </c>
      <c r="S126" s="37">
        <v>9</v>
      </c>
      <c r="T126" s="37">
        <v>9</v>
      </c>
      <c r="U126" s="37">
        <v>9</v>
      </c>
      <c r="V126" s="37">
        <v>9</v>
      </c>
      <c r="W126" s="38" t="str">
        <f t="shared" si="13"/>
        <v>Y</v>
      </c>
      <c r="X126" s="64">
        <f t="shared" si="14"/>
        <v>0.49199999999999999</v>
      </c>
      <c r="Y126" s="64" t="str">
        <f t="shared" si="15"/>
        <v>25-50%</v>
      </c>
      <c r="Z126" s="8" t="s">
        <v>117</v>
      </c>
      <c r="AB126" s="32">
        <v>5180</v>
      </c>
      <c r="AC126" s="32">
        <v>14920</v>
      </c>
      <c r="AD126" s="54">
        <v>7280</v>
      </c>
      <c r="AE126" s="54"/>
      <c r="AF126" s="54"/>
      <c r="AG126" s="54"/>
      <c r="AH126" s="54"/>
    </row>
    <row r="127" spans="1:34" ht="24" customHeight="1" x14ac:dyDescent="0.25">
      <c r="A127" s="10">
        <v>79</v>
      </c>
      <c r="B127" s="9">
        <v>0.50416666666666665</v>
      </c>
      <c r="C127" s="5" t="s">
        <v>20</v>
      </c>
      <c r="D127" s="5">
        <f t="shared" si="8"/>
        <v>9</v>
      </c>
      <c r="E127" s="15"/>
      <c r="F127" s="15" t="s">
        <v>29</v>
      </c>
      <c r="G127" s="19">
        <f t="shared" si="10"/>
        <v>3.62</v>
      </c>
      <c r="H127" s="19">
        <f t="shared" si="11"/>
        <v>4</v>
      </c>
      <c r="I127" s="19">
        <f t="shared" si="11"/>
        <v>4</v>
      </c>
      <c r="J127" s="19"/>
      <c r="K127" s="19"/>
      <c r="L127" s="19"/>
      <c r="M127" s="19"/>
      <c r="N127" s="36">
        <f t="shared" si="12"/>
        <v>11.620000000000001</v>
      </c>
      <c r="O127" s="36">
        <f t="shared" si="9"/>
        <v>4.9070655771303544</v>
      </c>
      <c r="P127" s="37">
        <v>8</v>
      </c>
      <c r="Q127" s="37">
        <v>10</v>
      </c>
      <c r="R127" s="37">
        <v>9</v>
      </c>
      <c r="S127" s="37">
        <v>9</v>
      </c>
      <c r="T127" s="37">
        <v>9</v>
      </c>
      <c r="U127" s="37">
        <v>9</v>
      </c>
      <c r="V127" s="37">
        <v>9</v>
      </c>
      <c r="W127" s="38" t="str">
        <f t="shared" si="13"/>
        <v>N</v>
      </c>
      <c r="X127" s="64">
        <f t="shared" si="14"/>
        <v>0</v>
      </c>
      <c r="Y127" s="64" t="str">
        <f t="shared" si="15"/>
        <v>0-4.9%</v>
      </c>
      <c r="Z127" s="8" t="s">
        <v>108</v>
      </c>
      <c r="AB127" s="32">
        <v>3620</v>
      </c>
      <c r="AC127" s="32">
        <v>4000</v>
      </c>
      <c r="AD127" s="54">
        <v>4000</v>
      </c>
      <c r="AE127" s="54"/>
      <c r="AF127" s="54"/>
      <c r="AG127" s="54"/>
      <c r="AH127" s="54"/>
    </row>
    <row r="128" spans="1:34" ht="24" customHeight="1" x14ac:dyDescent="0.25">
      <c r="A128" s="10">
        <v>80</v>
      </c>
      <c r="B128" s="9">
        <v>0.50486111111111109</v>
      </c>
      <c r="C128" s="5" t="s">
        <v>20</v>
      </c>
      <c r="D128" s="5">
        <f t="shared" si="8"/>
        <v>9</v>
      </c>
      <c r="E128" s="15"/>
      <c r="F128" s="15" t="s">
        <v>29</v>
      </c>
      <c r="G128" s="19">
        <f t="shared" si="10"/>
        <v>8.07</v>
      </c>
      <c r="H128" s="19">
        <f t="shared" si="11"/>
        <v>12.14</v>
      </c>
      <c r="I128" s="19">
        <f t="shared" si="11"/>
        <v>4.6399999999999997</v>
      </c>
      <c r="J128" s="19"/>
      <c r="K128" s="19"/>
      <c r="L128" s="19"/>
      <c r="M128" s="19"/>
      <c r="N128" s="36">
        <f t="shared" si="12"/>
        <v>24.85</v>
      </c>
      <c r="O128" s="36">
        <f t="shared" si="9"/>
        <v>150.09390417408295</v>
      </c>
      <c r="P128" s="37">
        <v>8</v>
      </c>
      <c r="Q128" s="37">
        <v>10</v>
      </c>
      <c r="R128" s="37">
        <v>9</v>
      </c>
      <c r="S128" s="37">
        <v>9</v>
      </c>
      <c r="T128" s="37">
        <v>9</v>
      </c>
      <c r="U128" s="37">
        <v>9</v>
      </c>
      <c r="V128" s="37">
        <v>9</v>
      </c>
      <c r="W128" s="38" t="str">
        <f t="shared" si="13"/>
        <v>Y</v>
      </c>
      <c r="X128" s="64">
        <f t="shared" si="14"/>
        <v>0.21400000000000005</v>
      </c>
      <c r="Y128" s="64" t="str">
        <f t="shared" si="15"/>
        <v>5-25%</v>
      </c>
      <c r="Z128" s="8" t="s">
        <v>34</v>
      </c>
      <c r="AB128" s="32">
        <v>8070</v>
      </c>
      <c r="AC128" s="32">
        <v>12140</v>
      </c>
      <c r="AD128" s="54">
        <v>4640</v>
      </c>
      <c r="AE128" s="54"/>
      <c r="AF128" s="54"/>
      <c r="AG128" s="54"/>
      <c r="AH128" s="54"/>
    </row>
    <row r="129" spans="1:34" ht="24" customHeight="1" x14ac:dyDescent="0.25">
      <c r="A129" s="10">
        <v>81</v>
      </c>
      <c r="B129" s="9">
        <v>0.50763888888888886</v>
      </c>
      <c r="C129" s="5" t="s">
        <v>20</v>
      </c>
      <c r="D129" s="5">
        <f t="shared" si="8"/>
        <v>9</v>
      </c>
      <c r="E129" s="15"/>
      <c r="F129" s="15" t="s">
        <v>29</v>
      </c>
      <c r="G129" s="19">
        <f t="shared" si="10"/>
        <v>9.9499999999999993</v>
      </c>
      <c r="H129" s="19">
        <f t="shared" si="11"/>
        <v>10.74</v>
      </c>
      <c r="I129" s="19">
        <f t="shared" si="11"/>
        <v>3.06</v>
      </c>
      <c r="J129" s="19"/>
      <c r="K129" s="19"/>
      <c r="L129" s="19"/>
      <c r="M129" s="19"/>
      <c r="N129" s="36">
        <f t="shared" si="12"/>
        <v>23.749999999999996</v>
      </c>
      <c r="O129" s="36">
        <f t="shared" si="9"/>
        <v>122.42794180800888</v>
      </c>
      <c r="P129" s="37">
        <v>8</v>
      </c>
      <c r="Q129" s="37">
        <v>10</v>
      </c>
      <c r="R129" s="37">
        <v>9</v>
      </c>
      <c r="S129" s="37">
        <v>9</v>
      </c>
      <c r="T129" s="37">
        <v>9</v>
      </c>
      <c r="U129" s="37">
        <v>9</v>
      </c>
      <c r="V129" s="37">
        <v>9</v>
      </c>
      <c r="W129" s="38" t="str">
        <f t="shared" si="13"/>
        <v>Y</v>
      </c>
      <c r="X129" s="64">
        <f t="shared" si="14"/>
        <v>0.19499999999999992</v>
      </c>
      <c r="Y129" s="64" t="str">
        <f t="shared" si="15"/>
        <v>5-25%</v>
      </c>
      <c r="Z129" s="8" t="s">
        <v>34</v>
      </c>
      <c r="AB129" s="32">
        <v>9950</v>
      </c>
      <c r="AC129" s="32">
        <v>10740</v>
      </c>
      <c r="AD129" s="54">
        <v>3060</v>
      </c>
      <c r="AE129" s="54"/>
      <c r="AF129" s="54"/>
      <c r="AG129" s="54"/>
      <c r="AH129" s="54"/>
    </row>
    <row r="130" spans="1:34" s="59" customFormat="1" ht="24" customHeight="1" x14ac:dyDescent="0.25">
      <c r="A130" s="50">
        <v>26</v>
      </c>
      <c r="B130" s="51">
        <v>0.46527777777777773</v>
      </c>
      <c r="C130" s="52" t="s">
        <v>20</v>
      </c>
      <c r="D130" s="52">
        <f t="shared" si="8"/>
        <v>9</v>
      </c>
      <c r="E130" s="53"/>
      <c r="F130" s="15" t="s">
        <v>29</v>
      </c>
      <c r="G130" s="19">
        <f t="shared" si="10"/>
        <v>8.64</v>
      </c>
      <c r="H130" s="19">
        <f t="shared" si="11"/>
        <v>14.8</v>
      </c>
      <c r="I130" s="19">
        <f t="shared" si="11"/>
        <v>7.4</v>
      </c>
      <c r="J130" s="19"/>
      <c r="K130" s="19"/>
      <c r="L130" s="19"/>
      <c r="M130" s="19"/>
      <c r="N130" s="36">
        <f t="shared" si="12"/>
        <v>30.840000000000003</v>
      </c>
      <c r="O130" s="56">
        <f t="shared" si="9"/>
        <v>396.65136011042097</v>
      </c>
      <c r="P130" s="57">
        <v>8</v>
      </c>
      <c r="Q130" s="57">
        <v>10</v>
      </c>
      <c r="R130" s="57">
        <v>9</v>
      </c>
      <c r="S130" s="57">
        <v>9</v>
      </c>
      <c r="T130" s="57">
        <v>9</v>
      </c>
      <c r="U130" s="57">
        <v>9</v>
      </c>
      <c r="V130" s="57">
        <v>9</v>
      </c>
      <c r="W130" s="38" t="str">
        <f t="shared" si="13"/>
        <v>Y</v>
      </c>
      <c r="X130" s="64">
        <f t="shared" si="14"/>
        <v>0.48000000000000009</v>
      </c>
      <c r="Y130" s="64" t="str">
        <f t="shared" si="15"/>
        <v>25-50%</v>
      </c>
      <c r="Z130" s="58" t="s">
        <v>127</v>
      </c>
      <c r="AB130" s="54">
        <v>8640</v>
      </c>
      <c r="AC130" s="54">
        <v>14800</v>
      </c>
      <c r="AD130" s="54">
        <v>7400</v>
      </c>
      <c r="AE130" s="54"/>
      <c r="AF130" s="54"/>
      <c r="AG130" s="54"/>
      <c r="AH130" s="54"/>
    </row>
    <row r="131" spans="1:34" s="59" customFormat="1" ht="24" customHeight="1" x14ac:dyDescent="0.25">
      <c r="A131" s="50">
        <v>30</v>
      </c>
      <c r="B131" s="51">
        <v>0.4680555555555555</v>
      </c>
      <c r="C131" s="52" t="s">
        <v>20</v>
      </c>
      <c r="D131" s="52">
        <f t="shared" si="8"/>
        <v>9</v>
      </c>
      <c r="E131" s="53"/>
      <c r="F131" s="15" t="s">
        <v>29</v>
      </c>
      <c r="G131" s="19">
        <f t="shared" si="10"/>
        <v>7.56</v>
      </c>
      <c r="H131" s="19">
        <f t="shared" si="11"/>
        <v>7.08</v>
      </c>
      <c r="I131" s="19">
        <f t="shared" si="11"/>
        <v>4.0199999999999996</v>
      </c>
      <c r="J131" s="19"/>
      <c r="K131" s="19"/>
      <c r="L131" s="19"/>
      <c r="M131" s="19"/>
      <c r="N131" s="36">
        <f t="shared" si="12"/>
        <v>18.66</v>
      </c>
      <c r="O131" s="56">
        <f t="shared" si="9"/>
        <v>41.352013691673477</v>
      </c>
      <c r="P131" s="57">
        <v>8</v>
      </c>
      <c r="Q131" s="57">
        <v>10</v>
      </c>
      <c r="R131" s="57">
        <v>9</v>
      </c>
      <c r="S131" s="57">
        <v>9</v>
      </c>
      <c r="T131" s="57">
        <v>9</v>
      </c>
      <c r="U131" s="57">
        <v>9</v>
      </c>
      <c r="V131" s="57">
        <v>9</v>
      </c>
      <c r="W131" s="38" t="str">
        <f t="shared" si="13"/>
        <v>N</v>
      </c>
      <c r="X131" s="64">
        <f t="shared" si="14"/>
        <v>0</v>
      </c>
      <c r="Y131" s="64" t="str">
        <f t="shared" si="15"/>
        <v>0-4.9%</v>
      </c>
      <c r="Z131" s="58" t="s">
        <v>34</v>
      </c>
      <c r="AB131" s="54">
        <v>7560</v>
      </c>
      <c r="AC131" s="54">
        <v>7080</v>
      </c>
      <c r="AD131" s="54">
        <v>4020</v>
      </c>
      <c r="AE131" s="54"/>
      <c r="AF131" s="54"/>
      <c r="AG131" s="54"/>
      <c r="AH131" s="54"/>
    </row>
    <row r="132" spans="1:34" s="59" customFormat="1" ht="24" customHeight="1" x14ac:dyDescent="0.25">
      <c r="A132" s="50">
        <v>34</v>
      </c>
      <c r="B132" s="51">
        <v>0.48402777777777778</v>
      </c>
      <c r="C132" s="52" t="s">
        <v>20</v>
      </c>
      <c r="D132" s="52">
        <f t="shared" si="8"/>
        <v>9</v>
      </c>
      <c r="E132" s="53"/>
      <c r="F132" s="15" t="s">
        <v>29</v>
      </c>
      <c r="G132" s="19">
        <f t="shared" si="10"/>
        <v>3.14</v>
      </c>
      <c r="H132" s="19">
        <f t="shared" si="11"/>
        <v>4.9000000000000004</v>
      </c>
      <c r="I132" s="19">
        <f t="shared" si="11"/>
        <v>6.16</v>
      </c>
      <c r="J132" s="19"/>
      <c r="K132" s="19"/>
      <c r="L132" s="19"/>
      <c r="M132" s="19"/>
      <c r="N132" s="36">
        <f t="shared" si="12"/>
        <v>14.200000000000001</v>
      </c>
      <c r="O132" s="56">
        <f t="shared" si="9"/>
        <v>12.097394276236576</v>
      </c>
      <c r="P132" s="57">
        <v>8</v>
      </c>
      <c r="Q132" s="57">
        <v>10</v>
      </c>
      <c r="R132" s="57">
        <v>9</v>
      </c>
      <c r="S132" s="57">
        <v>9</v>
      </c>
      <c r="T132" s="57">
        <v>9</v>
      </c>
      <c r="U132" s="57">
        <v>9</v>
      </c>
      <c r="V132" s="57">
        <v>9</v>
      </c>
      <c r="W132" s="38" t="str">
        <f t="shared" si="13"/>
        <v>N</v>
      </c>
      <c r="X132" s="64">
        <f t="shared" si="14"/>
        <v>0</v>
      </c>
      <c r="Y132" s="64" t="str">
        <f t="shared" si="15"/>
        <v>0-4.9%</v>
      </c>
      <c r="Z132" s="58" t="s">
        <v>108</v>
      </c>
      <c r="AB132" s="54">
        <v>3140</v>
      </c>
      <c r="AC132" s="54">
        <v>4900</v>
      </c>
      <c r="AD132" s="54">
        <v>6160</v>
      </c>
      <c r="AE132" s="54"/>
      <c r="AF132" s="54"/>
      <c r="AG132" s="54"/>
      <c r="AH132" s="54"/>
    </row>
    <row r="133" spans="1:34" s="59" customFormat="1" ht="24" customHeight="1" x14ac:dyDescent="0.25">
      <c r="A133" s="50">
        <v>46</v>
      </c>
      <c r="B133" s="51">
        <v>0.52847222222222223</v>
      </c>
      <c r="C133" s="52" t="s">
        <v>20</v>
      </c>
      <c r="D133" s="52">
        <f t="shared" si="8"/>
        <v>9</v>
      </c>
      <c r="E133" s="53"/>
      <c r="F133" s="15" t="s">
        <v>29</v>
      </c>
      <c r="G133" s="19">
        <f t="shared" si="10"/>
        <v>9.9600000000000009</v>
      </c>
      <c r="H133" s="19">
        <f t="shared" si="11"/>
        <v>15.08</v>
      </c>
      <c r="I133" s="19">
        <f t="shared" si="11"/>
        <v>6.88</v>
      </c>
      <c r="J133" s="19"/>
      <c r="K133" s="19"/>
      <c r="L133" s="19"/>
      <c r="M133" s="19"/>
      <c r="N133" s="36">
        <f t="shared" si="12"/>
        <v>31.919999999999998</v>
      </c>
      <c r="O133" s="56">
        <f t="shared" si="9"/>
        <v>463.10264094571102</v>
      </c>
      <c r="P133" s="57">
        <v>8</v>
      </c>
      <c r="Q133" s="57">
        <v>10</v>
      </c>
      <c r="R133" s="57">
        <v>9</v>
      </c>
      <c r="S133" s="57">
        <v>9</v>
      </c>
      <c r="T133" s="57">
        <v>9</v>
      </c>
      <c r="U133" s="57">
        <v>9</v>
      </c>
      <c r="V133" s="57">
        <v>9</v>
      </c>
      <c r="W133" s="38" t="str">
        <f t="shared" si="13"/>
        <v>Y</v>
      </c>
      <c r="X133" s="64">
        <f t="shared" si="14"/>
        <v>0.50800000000000001</v>
      </c>
      <c r="Y133" s="64" t="str">
        <f t="shared" si="15"/>
        <v>Over 50%</v>
      </c>
      <c r="Z133" s="58" t="s">
        <v>34</v>
      </c>
      <c r="AB133" s="54">
        <v>9960</v>
      </c>
      <c r="AC133" s="54">
        <v>15080</v>
      </c>
      <c r="AD133" s="54">
        <v>6880</v>
      </c>
      <c r="AE133" s="54"/>
      <c r="AF133" s="54"/>
      <c r="AG133" s="54"/>
      <c r="AH133" s="54"/>
    </row>
    <row r="134" spans="1:34" s="59" customFormat="1" ht="24" customHeight="1" x14ac:dyDescent="0.25">
      <c r="A134" s="50">
        <v>47</v>
      </c>
      <c r="B134" s="51">
        <v>0.52916666666666667</v>
      </c>
      <c r="C134" s="52" t="s">
        <v>20</v>
      </c>
      <c r="D134" s="52">
        <f t="shared" si="8"/>
        <v>9</v>
      </c>
      <c r="E134" s="53"/>
      <c r="F134" s="15" t="s">
        <v>29</v>
      </c>
      <c r="G134" s="19">
        <f t="shared" si="10"/>
        <v>6.78</v>
      </c>
      <c r="H134" s="19">
        <f t="shared" si="11"/>
        <v>10.84</v>
      </c>
      <c r="I134" s="19">
        <f t="shared" si="11"/>
        <v>3.42</v>
      </c>
      <c r="J134" s="19"/>
      <c r="K134" s="19"/>
      <c r="L134" s="19"/>
      <c r="M134" s="19"/>
      <c r="N134" s="36">
        <f t="shared" si="12"/>
        <v>21.04</v>
      </c>
      <c r="O134" s="56">
        <f t="shared" si="9"/>
        <v>70.974132879710098</v>
      </c>
      <c r="P134" s="57">
        <v>8</v>
      </c>
      <c r="Q134" s="57">
        <v>10</v>
      </c>
      <c r="R134" s="57">
        <v>9</v>
      </c>
      <c r="S134" s="57">
        <v>9</v>
      </c>
      <c r="T134" s="57">
        <v>9</v>
      </c>
      <c r="U134" s="57">
        <v>9</v>
      </c>
      <c r="V134" s="57">
        <v>9</v>
      </c>
      <c r="W134" s="38" t="str">
        <f t="shared" si="13"/>
        <v>Y</v>
      </c>
      <c r="X134" s="64">
        <f t="shared" si="14"/>
        <v>8.3999999999999991E-2</v>
      </c>
      <c r="Y134" s="64" t="str">
        <f t="shared" si="15"/>
        <v>5-25%</v>
      </c>
      <c r="Z134" s="8" t="s">
        <v>121</v>
      </c>
      <c r="AB134" s="54">
        <v>6780</v>
      </c>
      <c r="AC134" s="54">
        <v>10840</v>
      </c>
      <c r="AD134" s="54">
        <v>3420</v>
      </c>
      <c r="AE134" s="54"/>
      <c r="AF134" s="54"/>
      <c r="AG134" s="54"/>
      <c r="AH134" s="54"/>
    </row>
    <row r="135" spans="1:34" s="59" customFormat="1" ht="24" customHeight="1" x14ac:dyDescent="0.25">
      <c r="A135" s="50">
        <v>48</v>
      </c>
      <c r="B135" s="51">
        <v>0.53194444444444444</v>
      </c>
      <c r="C135" s="52" t="s">
        <v>20</v>
      </c>
      <c r="D135" s="52">
        <f t="shared" ref="D135:D198" si="16">IF(COUNT(G135:M135)&gt;3,10,IF(COUNT(G135:M135)&gt;2,9,7))</f>
        <v>9</v>
      </c>
      <c r="E135" s="53"/>
      <c r="F135" s="15" t="s">
        <v>29</v>
      </c>
      <c r="G135" s="19">
        <f t="shared" si="10"/>
        <v>6</v>
      </c>
      <c r="H135" s="19">
        <f t="shared" si="11"/>
        <v>4.4800000000000004</v>
      </c>
      <c r="I135" s="19">
        <f t="shared" si="11"/>
        <v>6.3</v>
      </c>
      <c r="J135" s="19"/>
      <c r="K135" s="19"/>
      <c r="L135" s="19"/>
      <c r="M135" s="19"/>
      <c r="N135" s="36">
        <f t="shared" si="12"/>
        <v>16.78</v>
      </c>
      <c r="O135" s="56">
        <f t="shared" ref="O135:O198" si="17">(N135/8.16)^4.5</f>
        <v>25.642365712740062</v>
      </c>
      <c r="P135" s="57">
        <v>8</v>
      </c>
      <c r="Q135" s="57">
        <v>10</v>
      </c>
      <c r="R135" s="57">
        <v>9</v>
      </c>
      <c r="S135" s="57">
        <v>9</v>
      </c>
      <c r="T135" s="57">
        <v>9</v>
      </c>
      <c r="U135" s="57">
        <v>9</v>
      </c>
      <c r="V135" s="57">
        <v>9</v>
      </c>
      <c r="W135" s="38" t="str">
        <f t="shared" si="13"/>
        <v>N</v>
      </c>
      <c r="X135" s="64">
        <f t="shared" si="14"/>
        <v>0</v>
      </c>
      <c r="Y135" s="64" t="str">
        <f t="shared" si="15"/>
        <v>0-4.9%</v>
      </c>
      <c r="Z135" s="58" t="s">
        <v>108</v>
      </c>
      <c r="AB135" s="54">
        <v>6000</v>
      </c>
      <c r="AC135" s="54">
        <v>4480</v>
      </c>
      <c r="AD135" s="54">
        <v>6300</v>
      </c>
      <c r="AE135" s="54"/>
      <c r="AF135" s="54"/>
      <c r="AG135" s="54"/>
      <c r="AH135" s="54"/>
    </row>
    <row r="136" spans="1:34" s="59" customFormat="1" ht="24" customHeight="1" x14ac:dyDescent="0.25">
      <c r="A136" s="50">
        <v>57</v>
      </c>
      <c r="B136" s="51">
        <v>5.9027777777777783E-2</v>
      </c>
      <c r="C136" s="52" t="s">
        <v>20</v>
      </c>
      <c r="D136" s="52">
        <f t="shared" si="16"/>
        <v>9</v>
      </c>
      <c r="E136" s="53"/>
      <c r="F136" s="15" t="s">
        <v>29</v>
      </c>
      <c r="G136" s="19">
        <f t="shared" ref="G136:G199" si="18">AB136/1000</f>
        <v>6.5</v>
      </c>
      <c r="H136" s="19">
        <f t="shared" ref="H136:J199" si="19">AC136/1000</f>
        <v>6.1</v>
      </c>
      <c r="I136" s="19">
        <f t="shared" si="19"/>
        <v>4.1399999999999997</v>
      </c>
      <c r="J136" s="19"/>
      <c r="K136" s="19"/>
      <c r="L136" s="19"/>
      <c r="M136" s="19"/>
      <c r="N136" s="36">
        <f t="shared" ref="N136:N199" si="20">SUM(G136:M136)</f>
        <v>16.739999999999998</v>
      </c>
      <c r="O136" s="56">
        <f t="shared" si="17"/>
        <v>25.368443820793374</v>
      </c>
      <c r="P136" s="57">
        <v>8</v>
      </c>
      <c r="Q136" s="57">
        <v>10</v>
      </c>
      <c r="R136" s="57">
        <v>9</v>
      </c>
      <c r="S136" s="57">
        <v>9</v>
      </c>
      <c r="T136" s="57">
        <v>9</v>
      </c>
      <c r="U136" s="57">
        <v>9</v>
      </c>
      <c r="V136" s="57">
        <v>9</v>
      </c>
      <c r="W136" s="38" t="str">
        <f t="shared" ref="W136:W199" si="21">IF(G136&gt;P136,"Y",IF(H136&gt;Q136,"Y",IF(I136&gt;R136,"Y",IF(J136&gt;S136,"Y",IF(K136&gt;T136,"Y",IF(L136&gt;U136,"Y",IF(M136&gt;V136,"Y","N")))))))</f>
        <v>N</v>
      </c>
      <c r="X136" s="64">
        <f t="shared" ref="X136:X199" si="22">IF(W136="Y",MAX((G136-P136),(H136-Q136),(I136-R136),(J136-S136),(K136-T136),(L136-U136),(M136-V136))/10,0)</f>
        <v>0</v>
      </c>
      <c r="Y136" s="64" t="str">
        <f t="shared" ref="Y136:Y199" si="23">IF(X136&lt;5%,"0-4.9%",IF(X136&lt;25%,"5-25%",IF(X136&lt;50%,"25-50%","Over 50%")))</f>
        <v>0-4.9%</v>
      </c>
      <c r="Z136" s="58" t="s">
        <v>34</v>
      </c>
      <c r="AB136" s="54">
        <v>6500</v>
      </c>
      <c r="AC136" s="54">
        <v>6100</v>
      </c>
      <c r="AD136" s="54">
        <v>4140</v>
      </c>
      <c r="AE136" s="54"/>
      <c r="AF136" s="54"/>
      <c r="AG136" s="54"/>
      <c r="AH136" s="54"/>
    </row>
    <row r="137" spans="1:34" s="59" customFormat="1" ht="24" customHeight="1" x14ac:dyDescent="0.25">
      <c r="A137" s="50">
        <v>63</v>
      </c>
      <c r="B137" s="51">
        <v>0.10902777777777778</v>
      </c>
      <c r="C137" s="52" t="s">
        <v>20</v>
      </c>
      <c r="D137" s="52">
        <f t="shared" si="16"/>
        <v>9</v>
      </c>
      <c r="E137" s="53"/>
      <c r="F137" s="15" t="s">
        <v>29</v>
      </c>
      <c r="G137" s="19">
        <f t="shared" si="18"/>
        <v>5.86</v>
      </c>
      <c r="H137" s="19">
        <f t="shared" si="19"/>
        <v>4.9000000000000004</v>
      </c>
      <c r="I137" s="19">
        <f t="shared" si="19"/>
        <v>9.18</v>
      </c>
      <c r="J137" s="19"/>
      <c r="K137" s="19"/>
      <c r="L137" s="19"/>
      <c r="M137" s="19"/>
      <c r="N137" s="36">
        <f t="shared" si="20"/>
        <v>19.940000000000001</v>
      </c>
      <c r="O137" s="56">
        <f t="shared" si="17"/>
        <v>55.738782537749088</v>
      </c>
      <c r="P137" s="57">
        <v>8</v>
      </c>
      <c r="Q137" s="57">
        <v>10</v>
      </c>
      <c r="R137" s="57">
        <v>9</v>
      </c>
      <c r="S137" s="57">
        <v>9</v>
      </c>
      <c r="T137" s="57">
        <v>9</v>
      </c>
      <c r="U137" s="57">
        <v>9</v>
      </c>
      <c r="V137" s="57">
        <v>9</v>
      </c>
      <c r="W137" s="38" t="str">
        <f t="shared" si="21"/>
        <v>Y</v>
      </c>
      <c r="X137" s="64">
        <f t="shared" si="22"/>
        <v>1.7999999999999971E-2</v>
      </c>
      <c r="Y137" s="64" t="str">
        <f t="shared" si="23"/>
        <v>0-4.9%</v>
      </c>
      <c r="Z137" s="58" t="s">
        <v>108</v>
      </c>
      <c r="AB137" s="54">
        <v>5860</v>
      </c>
      <c r="AC137" s="54">
        <v>4900</v>
      </c>
      <c r="AD137" s="54">
        <v>9180</v>
      </c>
      <c r="AE137" s="54"/>
      <c r="AF137" s="54"/>
      <c r="AG137" s="54"/>
      <c r="AH137" s="54"/>
    </row>
    <row r="138" spans="1:34" s="59" customFormat="1" ht="24" customHeight="1" x14ac:dyDescent="0.25">
      <c r="A138" s="50">
        <v>72</v>
      </c>
      <c r="B138" s="51">
        <v>0.14444444444444446</v>
      </c>
      <c r="C138" s="52" t="s">
        <v>20</v>
      </c>
      <c r="D138" s="52">
        <f t="shared" si="16"/>
        <v>9</v>
      </c>
      <c r="E138" s="53"/>
      <c r="F138" s="15" t="s">
        <v>29</v>
      </c>
      <c r="G138" s="19">
        <f t="shared" si="18"/>
        <v>5.58</v>
      </c>
      <c r="H138" s="19">
        <f t="shared" si="19"/>
        <v>5.42</v>
      </c>
      <c r="I138" s="19">
        <f t="shared" si="19"/>
        <v>6.98</v>
      </c>
      <c r="J138" s="19"/>
      <c r="K138" s="19"/>
      <c r="L138" s="19"/>
      <c r="M138" s="19"/>
      <c r="N138" s="36">
        <f t="shared" si="20"/>
        <v>17.98</v>
      </c>
      <c r="O138" s="56">
        <f t="shared" si="17"/>
        <v>34.99031714813691</v>
      </c>
      <c r="P138" s="57">
        <v>8</v>
      </c>
      <c r="Q138" s="57">
        <v>10</v>
      </c>
      <c r="R138" s="57">
        <v>9</v>
      </c>
      <c r="S138" s="57">
        <v>9</v>
      </c>
      <c r="T138" s="57">
        <v>9</v>
      </c>
      <c r="U138" s="57">
        <v>9</v>
      </c>
      <c r="V138" s="57">
        <v>9</v>
      </c>
      <c r="W138" s="38" t="str">
        <f t="shared" si="21"/>
        <v>N</v>
      </c>
      <c r="X138" s="64">
        <f t="shared" si="22"/>
        <v>0</v>
      </c>
      <c r="Y138" s="64" t="str">
        <f t="shared" si="23"/>
        <v>0-4.9%</v>
      </c>
      <c r="Z138" s="58" t="s">
        <v>108</v>
      </c>
      <c r="AB138" s="54">
        <v>5580</v>
      </c>
      <c r="AC138" s="54">
        <v>5420</v>
      </c>
      <c r="AD138" s="54">
        <v>6980</v>
      </c>
      <c r="AE138" s="54"/>
      <c r="AF138" s="54"/>
      <c r="AG138" s="54"/>
      <c r="AH138" s="54"/>
    </row>
    <row r="139" spans="1:34" s="59" customFormat="1" ht="24" customHeight="1" x14ac:dyDescent="0.25">
      <c r="A139" s="50">
        <v>80</v>
      </c>
      <c r="B139" s="51">
        <v>0.15347222222222223</v>
      </c>
      <c r="C139" s="52" t="s">
        <v>20</v>
      </c>
      <c r="D139" s="52">
        <f t="shared" si="16"/>
        <v>9</v>
      </c>
      <c r="E139" s="53"/>
      <c r="F139" s="15" t="s">
        <v>29</v>
      </c>
      <c r="G139" s="19">
        <f t="shared" si="18"/>
        <v>6.3</v>
      </c>
      <c r="H139" s="19">
        <f t="shared" si="19"/>
        <v>3.96</v>
      </c>
      <c r="I139" s="19">
        <f t="shared" si="19"/>
        <v>10.4</v>
      </c>
      <c r="J139" s="19"/>
      <c r="K139" s="19"/>
      <c r="L139" s="19"/>
      <c r="M139" s="19"/>
      <c r="N139" s="36">
        <f t="shared" si="20"/>
        <v>20.66</v>
      </c>
      <c r="O139" s="56">
        <f t="shared" si="17"/>
        <v>65.385389163601346</v>
      </c>
      <c r="P139" s="57">
        <v>8</v>
      </c>
      <c r="Q139" s="57">
        <v>10</v>
      </c>
      <c r="R139" s="57">
        <v>9</v>
      </c>
      <c r="S139" s="57">
        <v>9</v>
      </c>
      <c r="T139" s="57">
        <v>9</v>
      </c>
      <c r="U139" s="57">
        <v>9</v>
      </c>
      <c r="V139" s="57">
        <v>9</v>
      </c>
      <c r="W139" s="38" t="str">
        <f t="shared" si="21"/>
        <v>Y</v>
      </c>
      <c r="X139" s="64">
        <f t="shared" si="22"/>
        <v>0.14000000000000004</v>
      </c>
      <c r="Y139" s="64" t="str">
        <f t="shared" si="23"/>
        <v>5-25%</v>
      </c>
      <c r="Z139" s="58" t="s">
        <v>108</v>
      </c>
      <c r="AB139" s="54">
        <v>6300</v>
      </c>
      <c r="AC139" s="54">
        <v>3960</v>
      </c>
      <c r="AD139" s="54">
        <v>10400</v>
      </c>
      <c r="AE139" s="54"/>
      <c r="AF139" s="54"/>
      <c r="AG139" s="54"/>
      <c r="AH139" s="54"/>
    </row>
    <row r="140" spans="1:34" s="59" customFormat="1" ht="24" customHeight="1" x14ac:dyDescent="0.25">
      <c r="A140" s="50">
        <v>1</v>
      </c>
      <c r="B140" s="51">
        <v>0.15902777777777777</v>
      </c>
      <c r="C140" s="52" t="s">
        <v>20</v>
      </c>
      <c r="D140" s="52">
        <f t="shared" si="16"/>
        <v>9</v>
      </c>
      <c r="E140" s="53"/>
      <c r="F140" s="15" t="s">
        <v>29</v>
      </c>
      <c r="G140" s="19">
        <f t="shared" si="18"/>
        <v>7.06</v>
      </c>
      <c r="H140" s="19">
        <f t="shared" si="19"/>
        <v>6.02</v>
      </c>
      <c r="I140" s="19">
        <f t="shared" si="19"/>
        <v>10.16</v>
      </c>
      <c r="J140" s="19"/>
      <c r="K140" s="19"/>
      <c r="L140" s="19"/>
      <c r="M140" s="19"/>
      <c r="N140" s="36">
        <f t="shared" si="20"/>
        <v>23.24</v>
      </c>
      <c r="O140" s="56">
        <f t="shared" si="17"/>
        <v>111.03421905011045</v>
      </c>
      <c r="P140" s="57">
        <v>8</v>
      </c>
      <c r="Q140" s="57">
        <v>10</v>
      </c>
      <c r="R140" s="57">
        <v>9</v>
      </c>
      <c r="S140" s="57">
        <v>9</v>
      </c>
      <c r="T140" s="57">
        <v>9</v>
      </c>
      <c r="U140" s="57">
        <v>9</v>
      </c>
      <c r="V140" s="57">
        <v>9</v>
      </c>
      <c r="W140" s="38" t="str">
        <f t="shared" si="21"/>
        <v>Y</v>
      </c>
      <c r="X140" s="64">
        <f t="shared" si="22"/>
        <v>0.11600000000000002</v>
      </c>
      <c r="Y140" s="64" t="str">
        <f t="shared" si="23"/>
        <v>5-25%</v>
      </c>
      <c r="Z140" s="58" t="s">
        <v>108</v>
      </c>
      <c r="AB140" s="54">
        <v>7060</v>
      </c>
      <c r="AC140" s="54">
        <v>6020</v>
      </c>
      <c r="AD140" s="54">
        <v>10160</v>
      </c>
      <c r="AE140" s="54"/>
      <c r="AF140" s="54"/>
      <c r="AG140" s="54"/>
      <c r="AH140" s="54"/>
    </row>
    <row r="141" spans="1:34" s="59" customFormat="1" ht="24" customHeight="1" x14ac:dyDescent="0.25">
      <c r="A141" s="50">
        <v>15</v>
      </c>
      <c r="B141" s="51">
        <v>0.34861111111111115</v>
      </c>
      <c r="C141" s="52" t="s">
        <v>20</v>
      </c>
      <c r="D141" s="52">
        <f t="shared" si="16"/>
        <v>9</v>
      </c>
      <c r="E141" s="53"/>
      <c r="F141" s="15" t="s">
        <v>29</v>
      </c>
      <c r="G141" s="19">
        <f t="shared" si="18"/>
        <v>5.4</v>
      </c>
      <c r="H141" s="19">
        <f t="shared" si="19"/>
        <v>5.12</v>
      </c>
      <c r="I141" s="19">
        <f t="shared" si="19"/>
        <v>4.24</v>
      </c>
      <c r="J141" s="19"/>
      <c r="K141" s="19"/>
      <c r="L141" s="19"/>
      <c r="M141" s="19"/>
      <c r="N141" s="36">
        <f t="shared" si="20"/>
        <v>14.76</v>
      </c>
      <c r="O141" s="56">
        <f t="shared" si="17"/>
        <v>14.397360999787077</v>
      </c>
      <c r="P141" s="57">
        <v>8</v>
      </c>
      <c r="Q141" s="57">
        <v>10</v>
      </c>
      <c r="R141" s="57">
        <v>9</v>
      </c>
      <c r="S141" s="57">
        <v>9</v>
      </c>
      <c r="T141" s="57">
        <v>9</v>
      </c>
      <c r="U141" s="57">
        <v>9</v>
      </c>
      <c r="V141" s="57">
        <v>9</v>
      </c>
      <c r="W141" s="38" t="str">
        <f t="shared" si="21"/>
        <v>N</v>
      </c>
      <c r="X141" s="64">
        <f t="shared" si="22"/>
        <v>0</v>
      </c>
      <c r="Y141" s="64" t="str">
        <f t="shared" si="23"/>
        <v>0-4.9%</v>
      </c>
      <c r="Z141" s="58" t="s">
        <v>108</v>
      </c>
      <c r="AB141" s="54">
        <v>5400</v>
      </c>
      <c r="AC141" s="54">
        <v>5120</v>
      </c>
      <c r="AD141" s="54">
        <v>4240</v>
      </c>
      <c r="AE141" s="54"/>
      <c r="AF141" s="54"/>
      <c r="AG141" s="54"/>
      <c r="AH141" s="54"/>
    </row>
    <row r="142" spans="1:34" s="59" customFormat="1" ht="24" customHeight="1" x14ac:dyDescent="0.25">
      <c r="A142" s="50">
        <v>26</v>
      </c>
      <c r="B142" s="51">
        <v>0.4145833333333333</v>
      </c>
      <c r="C142" s="52" t="s">
        <v>20</v>
      </c>
      <c r="D142" s="52">
        <f t="shared" si="16"/>
        <v>9</v>
      </c>
      <c r="E142" s="53"/>
      <c r="F142" s="15" t="s">
        <v>29</v>
      </c>
      <c r="G142" s="19">
        <f t="shared" si="18"/>
        <v>5.36</v>
      </c>
      <c r="H142" s="19">
        <f t="shared" si="19"/>
        <v>4.3600000000000003</v>
      </c>
      <c r="I142" s="19">
        <f t="shared" si="19"/>
        <v>10.32</v>
      </c>
      <c r="J142" s="19"/>
      <c r="K142" s="19"/>
      <c r="L142" s="19"/>
      <c r="M142" s="19"/>
      <c r="N142" s="36">
        <f t="shared" si="20"/>
        <v>20.04</v>
      </c>
      <c r="O142" s="56">
        <f t="shared" si="17"/>
        <v>57.007764769482982</v>
      </c>
      <c r="P142" s="57">
        <v>8</v>
      </c>
      <c r="Q142" s="57">
        <v>10</v>
      </c>
      <c r="R142" s="57">
        <v>9</v>
      </c>
      <c r="S142" s="57">
        <v>9</v>
      </c>
      <c r="T142" s="57">
        <v>9</v>
      </c>
      <c r="U142" s="57">
        <v>9</v>
      </c>
      <c r="V142" s="57">
        <v>9</v>
      </c>
      <c r="W142" s="38" t="str">
        <f t="shared" si="21"/>
        <v>Y</v>
      </c>
      <c r="X142" s="64">
        <f t="shared" si="22"/>
        <v>0.13200000000000003</v>
      </c>
      <c r="Y142" s="64" t="str">
        <f t="shared" si="23"/>
        <v>5-25%</v>
      </c>
      <c r="Z142" s="58" t="s">
        <v>108</v>
      </c>
      <c r="AB142" s="54">
        <v>5360</v>
      </c>
      <c r="AC142" s="54">
        <v>4360</v>
      </c>
      <c r="AD142" s="54">
        <v>10320</v>
      </c>
      <c r="AE142" s="54"/>
      <c r="AF142" s="54"/>
      <c r="AG142" s="54"/>
      <c r="AH142" s="54"/>
    </row>
    <row r="143" spans="1:34" s="59" customFormat="1" ht="24" customHeight="1" x14ac:dyDescent="0.25">
      <c r="A143" s="50">
        <v>30</v>
      </c>
      <c r="B143" s="51">
        <v>0.4236111111111111</v>
      </c>
      <c r="C143" s="52" t="s">
        <v>20</v>
      </c>
      <c r="D143" s="52">
        <f t="shared" si="16"/>
        <v>9</v>
      </c>
      <c r="E143" s="53"/>
      <c r="F143" s="15" t="s">
        <v>29</v>
      </c>
      <c r="G143" s="19">
        <f t="shared" si="18"/>
        <v>7.16</v>
      </c>
      <c r="H143" s="19">
        <f t="shared" si="19"/>
        <v>11.76</v>
      </c>
      <c r="I143" s="19">
        <f t="shared" si="19"/>
        <v>10.92</v>
      </c>
      <c r="J143" s="19"/>
      <c r="K143" s="19"/>
      <c r="L143" s="19"/>
      <c r="M143" s="19"/>
      <c r="N143" s="36">
        <f t="shared" si="20"/>
        <v>29.840000000000003</v>
      </c>
      <c r="O143" s="56">
        <f t="shared" si="17"/>
        <v>341.97075736219233</v>
      </c>
      <c r="P143" s="57">
        <v>8</v>
      </c>
      <c r="Q143" s="57">
        <v>10</v>
      </c>
      <c r="R143" s="57">
        <v>9</v>
      </c>
      <c r="S143" s="57">
        <v>9</v>
      </c>
      <c r="T143" s="57">
        <v>9</v>
      </c>
      <c r="U143" s="57">
        <v>9</v>
      </c>
      <c r="V143" s="57">
        <v>9</v>
      </c>
      <c r="W143" s="38" t="str">
        <f t="shared" si="21"/>
        <v>Y</v>
      </c>
      <c r="X143" s="64">
        <f t="shared" si="22"/>
        <v>0.192</v>
      </c>
      <c r="Y143" s="64" t="str">
        <f t="shared" si="23"/>
        <v>5-25%</v>
      </c>
      <c r="Z143" s="8" t="s">
        <v>121</v>
      </c>
      <c r="AB143" s="54">
        <v>7160</v>
      </c>
      <c r="AC143" s="54">
        <v>11760</v>
      </c>
      <c r="AD143" s="54">
        <v>10920</v>
      </c>
      <c r="AE143" s="54"/>
      <c r="AF143" s="54"/>
      <c r="AG143" s="54"/>
      <c r="AH143" s="54"/>
    </row>
    <row r="144" spans="1:34" s="59" customFormat="1" ht="24" customHeight="1" x14ac:dyDescent="0.25">
      <c r="A144" s="50">
        <v>31</v>
      </c>
      <c r="B144" s="51">
        <v>0.42430555555555555</v>
      </c>
      <c r="C144" s="52" t="s">
        <v>20</v>
      </c>
      <c r="D144" s="52">
        <f t="shared" si="16"/>
        <v>9</v>
      </c>
      <c r="E144" s="53"/>
      <c r="F144" s="15" t="s">
        <v>29</v>
      </c>
      <c r="G144" s="19">
        <f t="shared" si="18"/>
        <v>8.86</v>
      </c>
      <c r="H144" s="19">
        <f t="shared" si="19"/>
        <v>5.0599999999999996</v>
      </c>
      <c r="I144" s="19">
        <f t="shared" si="19"/>
        <v>10.9</v>
      </c>
      <c r="J144" s="19"/>
      <c r="K144" s="19"/>
      <c r="L144" s="19"/>
      <c r="M144" s="19"/>
      <c r="N144" s="36">
        <f t="shared" si="20"/>
        <v>24.82</v>
      </c>
      <c r="O144" s="56">
        <f t="shared" si="17"/>
        <v>149.28022563733401</v>
      </c>
      <c r="P144" s="57">
        <v>8</v>
      </c>
      <c r="Q144" s="57">
        <v>10</v>
      </c>
      <c r="R144" s="57">
        <v>9</v>
      </c>
      <c r="S144" s="57">
        <v>9</v>
      </c>
      <c r="T144" s="57">
        <v>9</v>
      </c>
      <c r="U144" s="57">
        <v>9</v>
      </c>
      <c r="V144" s="57">
        <v>9</v>
      </c>
      <c r="W144" s="38" t="str">
        <f t="shared" si="21"/>
        <v>Y</v>
      </c>
      <c r="X144" s="64">
        <f t="shared" si="22"/>
        <v>0.19000000000000003</v>
      </c>
      <c r="Y144" s="64" t="str">
        <f t="shared" si="23"/>
        <v>5-25%</v>
      </c>
      <c r="Z144" s="8" t="s">
        <v>121</v>
      </c>
      <c r="AB144" s="54">
        <v>8860</v>
      </c>
      <c r="AC144" s="54">
        <v>5060</v>
      </c>
      <c r="AD144" s="54">
        <v>10900</v>
      </c>
      <c r="AE144" s="54"/>
      <c r="AF144" s="54"/>
      <c r="AG144" s="54"/>
      <c r="AH144" s="54"/>
    </row>
    <row r="145" spans="1:34" s="59" customFormat="1" ht="24" customHeight="1" x14ac:dyDescent="0.25">
      <c r="A145" s="50">
        <v>38</v>
      </c>
      <c r="B145" s="51">
        <v>0.46527777777777773</v>
      </c>
      <c r="C145" s="52" t="s">
        <v>20</v>
      </c>
      <c r="D145" s="52">
        <f t="shared" si="16"/>
        <v>9</v>
      </c>
      <c r="E145" s="53"/>
      <c r="F145" s="15" t="s">
        <v>29</v>
      </c>
      <c r="G145" s="19">
        <f t="shared" si="18"/>
        <v>8.06</v>
      </c>
      <c r="H145" s="19">
        <f t="shared" si="19"/>
        <v>8.01</v>
      </c>
      <c r="I145" s="19">
        <f t="shared" si="19"/>
        <v>14.26</v>
      </c>
      <c r="J145" s="19"/>
      <c r="K145" s="19"/>
      <c r="L145" s="19"/>
      <c r="M145" s="19"/>
      <c r="N145" s="36">
        <f t="shared" si="20"/>
        <v>30.33</v>
      </c>
      <c r="O145" s="56">
        <f t="shared" si="17"/>
        <v>367.97654041335534</v>
      </c>
      <c r="P145" s="57">
        <v>8</v>
      </c>
      <c r="Q145" s="57">
        <v>10</v>
      </c>
      <c r="R145" s="57">
        <v>9</v>
      </c>
      <c r="S145" s="57">
        <v>9</v>
      </c>
      <c r="T145" s="57">
        <v>9</v>
      </c>
      <c r="U145" s="57">
        <v>9</v>
      </c>
      <c r="V145" s="57">
        <v>9</v>
      </c>
      <c r="W145" s="38" t="str">
        <f t="shared" si="21"/>
        <v>Y</v>
      </c>
      <c r="X145" s="64">
        <f t="shared" si="22"/>
        <v>0.52600000000000002</v>
      </c>
      <c r="Y145" s="64" t="str">
        <f t="shared" si="23"/>
        <v>Over 50%</v>
      </c>
      <c r="Z145" s="58" t="s">
        <v>125</v>
      </c>
      <c r="AB145" s="54">
        <v>8060</v>
      </c>
      <c r="AC145" s="54">
        <v>8010</v>
      </c>
      <c r="AD145" s="54">
        <v>14260</v>
      </c>
      <c r="AE145" s="54"/>
      <c r="AF145" s="54"/>
      <c r="AG145" s="54"/>
      <c r="AH145" s="54"/>
    </row>
    <row r="146" spans="1:34" s="59" customFormat="1" ht="24" customHeight="1" x14ac:dyDescent="0.25">
      <c r="A146" s="50">
        <v>41</v>
      </c>
      <c r="B146" s="51">
        <v>0.46736111111111112</v>
      </c>
      <c r="C146" s="52" t="s">
        <v>20</v>
      </c>
      <c r="D146" s="52">
        <f t="shared" si="16"/>
        <v>10</v>
      </c>
      <c r="E146" s="53"/>
      <c r="F146" s="53" t="s">
        <v>49</v>
      </c>
      <c r="G146" s="19">
        <f t="shared" si="18"/>
        <v>6.08</v>
      </c>
      <c r="H146" s="19">
        <f t="shared" si="19"/>
        <v>3.94</v>
      </c>
      <c r="I146" s="19">
        <f t="shared" si="19"/>
        <v>3</v>
      </c>
      <c r="J146" s="19">
        <f t="shared" si="19"/>
        <v>4.5</v>
      </c>
      <c r="K146" s="19">
        <f t="shared" ref="K146:K163" si="24">AF146/1000</f>
        <v>3</v>
      </c>
      <c r="L146" s="19"/>
      <c r="M146" s="19"/>
      <c r="N146" s="36">
        <f t="shared" si="20"/>
        <v>20.52</v>
      </c>
      <c r="O146" s="56">
        <f t="shared" si="17"/>
        <v>63.415057355728756</v>
      </c>
      <c r="P146" s="57">
        <v>8</v>
      </c>
      <c r="Q146" s="57">
        <v>10</v>
      </c>
      <c r="R146" s="57">
        <v>9</v>
      </c>
      <c r="S146" s="57">
        <v>9</v>
      </c>
      <c r="T146" s="57">
        <v>9</v>
      </c>
      <c r="U146" s="57">
        <v>9</v>
      </c>
      <c r="V146" s="57">
        <v>9</v>
      </c>
      <c r="W146" s="38" t="str">
        <f t="shared" si="21"/>
        <v>N</v>
      </c>
      <c r="X146" s="64">
        <f t="shared" si="22"/>
        <v>0</v>
      </c>
      <c r="Y146" s="64" t="str">
        <f t="shared" si="23"/>
        <v>0-4.9%</v>
      </c>
      <c r="Z146" s="58" t="s">
        <v>108</v>
      </c>
      <c r="AB146" s="54">
        <v>6080</v>
      </c>
      <c r="AC146" s="54">
        <v>3940</v>
      </c>
      <c r="AD146" s="54">
        <v>3000</v>
      </c>
      <c r="AE146" s="54">
        <v>4500</v>
      </c>
      <c r="AF146" s="54">
        <v>3000</v>
      </c>
      <c r="AG146" s="54"/>
      <c r="AH146" s="55"/>
    </row>
    <row r="147" spans="1:34" s="59" customFormat="1" ht="24" customHeight="1" x14ac:dyDescent="0.25">
      <c r="A147" s="50">
        <v>42</v>
      </c>
      <c r="B147" s="51">
        <v>0.4680555555555555</v>
      </c>
      <c r="C147" s="52" t="s">
        <v>20</v>
      </c>
      <c r="D147" s="52">
        <f t="shared" si="16"/>
        <v>10</v>
      </c>
      <c r="E147" s="53"/>
      <c r="F147" s="53" t="s">
        <v>24</v>
      </c>
      <c r="G147" s="19">
        <f t="shared" si="18"/>
        <v>4.12</v>
      </c>
      <c r="H147" s="19">
        <f t="shared" si="19"/>
        <v>4.96</v>
      </c>
      <c r="I147" s="19">
        <f t="shared" si="19"/>
        <v>11.52</v>
      </c>
      <c r="J147" s="19">
        <f t="shared" si="19"/>
        <v>15.56</v>
      </c>
      <c r="K147" s="19">
        <f t="shared" si="24"/>
        <v>14.72</v>
      </c>
      <c r="L147" s="19">
        <f t="shared" ref="L147:M163" si="25">AG147/1000</f>
        <v>18.46</v>
      </c>
      <c r="M147" s="19"/>
      <c r="N147" s="36">
        <f t="shared" si="20"/>
        <v>69.34</v>
      </c>
      <c r="O147" s="56">
        <f t="shared" si="17"/>
        <v>15199.228831291763</v>
      </c>
      <c r="P147" s="57">
        <v>8</v>
      </c>
      <c r="Q147" s="57">
        <v>10</v>
      </c>
      <c r="R147" s="57">
        <v>9</v>
      </c>
      <c r="S147" s="57">
        <v>9</v>
      </c>
      <c r="T147" s="57">
        <v>9</v>
      </c>
      <c r="U147" s="57">
        <v>9</v>
      </c>
      <c r="V147" s="57">
        <v>9</v>
      </c>
      <c r="W147" s="38" t="str">
        <f t="shared" si="21"/>
        <v>Y</v>
      </c>
      <c r="X147" s="64">
        <f t="shared" si="22"/>
        <v>0.94600000000000006</v>
      </c>
      <c r="Y147" s="64" t="str">
        <f t="shared" si="23"/>
        <v>Over 50%</v>
      </c>
      <c r="Z147" s="58" t="s">
        <v>108</v>
      </c>
      <c r="AB147" s="54">
        <v>4120</v>
      </c>
      <c r="AC147" s="54">
        <v>4960</v>
      </c>
      <c r="AD147" s="54">
        <v>11520</v>
      </c>
      <c r="AE147" s="54">
        <v>15560</v>
      </c>
      <c r="AF147" s="54">
        <v>14720</v>
      </c>
      <c r="AG147" s="54">
        <v>18460</v>
      </c>
      <c r="AH147" s="60"/>
    </row>
    <row r="148" spans="1:34" s="59" customFormat="1" ht="24" customHeight="1" x14ac:dyDescent="0.25">
      <c r="A148" s="50">
        <v>48</v>
      </c>
      <c r="B148" s="51">
        <v>0.49652777777777773</v>
      </c>
      <c r="C148" s="52" t="s">
        <v>20</v>
      </c>
      <c r="D148" s="52">
        <f t="shared" si="16"/>
        <v>10</v>
      </c>
      <c r="E148" s="53"/>
      <c r="F148" s="53" t="s">
        <v>24</v>
      </c>
      <c r="G148" s="19">
        <f t="shared" si="18"/>
        <v>5.92</v>
      </c>
      <c r="H148" s="19">
        <f t="shared" si="19"/>
        <v>3.42</v>
      </c>
      <c r="I148" s="19">
        <f t="shared" si="19"/>
        <v>12.78</v>
      </c>
      <c r="J148" s="19">
        <f t="shared" si="19"/>
        <v>17.96</v>
      </c>
      <c r="K148" s="19">
        <f t="shared" si="24"/>
        <v>13.94</v>
      </c>
      <c r="L148" s="19">
        <f t="shared" si="25"/>
        <v>13.54</v>
      </c>
      <c r="M148" s="19"/>
      <c r="N148" s="36">
        <f t="shared" si="20"/>
        <v>67.56</v>
      </c>
      <c r="O148" s="56">
        <f t="shared" si="17"/>
        <v>13520.653082326622</v>
      </c>
      <c r="P148" s="57">
        <v>8</v>
      </c>
      <c r="Q148" s="57">
        <v>10</v>
      </c>
      <c r="R148" s="57">
        <v>9</v>
      </c>
      <c r="S148" s="57">
        <v>9</v>
      </c>
      <c r="T148" s="57">
        <v>9</v>
      </c>
      <c r="U148" s="57">
        <v>9</v>
      </c>
      <c r="V148" s="57">
        <v>9</v>
      </c>
      <c r="W148" s="38" t="str">
        <f t="shared" si="21"/>
        <v>Y</v>
      </c>
      <c r="X148" s="64">
        <f t="shared" si="22"/>
        <v>0.89600000000000013</v>
      </c>
      <c r="Y148" s="64" t="str">
        <f t="shared" si="23"/>
        <v>Over 50%</v>
      </c>
      <c r="Z148" s="58" t="s">
        <v>108</v>
      </c>
      <c r="AB148" s="54">
        <v>5920</v>
      </c>
      <c r="AC148" s="54">
        <v>3420</v>
      </c>
      <c r="AD148" s="32">
        <v>12780</v>
      </c>
      <c r="AE148" s="32">
        <v>17960</v>
      </c>
      <c r="AF148" s="32">
        <v>13940</v>
      </c>
      <c r="AG148" s="32">
        <v>13540</v>
      </c>
      <c r="AH148" s="13"/>
    </row>
    <row r="149" spans="1:34" s="59" customFormat="1" ht="24" customHeight="1" x14ac:dyDescent="0.25">
      <c r="A149" s="50">
        <v>52</v>
      </c>
      <c r="B149" s="51">
        <v>0.51041666666666663</v>
      </c>
      <c r="C149" s="52" t="s">
        <v>21</v>
      </c>
      <c r="D149" s="52">
        <f t="shared" si="16"/>
        <v>10</v>
      </c>
      <c r="E149" s="53"/>
      <c r="F149" s="53" t="s">
        <v>24</v>
      </c>
      <c r="G149" s="19">
        <f t="shared" si="18"/>
        <v>6.7</v>
      </c>
      <c r="H149" s="19">
        <f t="shared" si="19"/>
        <v>7.96</v>
      </c>
      <c r="I149" s="19">
        <f t="shared" si="19"/>
        <v>14.6</v>
      </c>
      <c r="J149" s="19">
        <f t="shared" si="19"/>
        <v>15.2</v>
      </c>
      <c r="K149" s="19">
        <f t="shared" si="24"/>
        <v>12.7</v>
      </c>
      <c r="L149" s="19">
        <f t="shared" si="25"/>
        <v>15.62</v>
      </c>
      <c r="M149" s="19"/>
      <c r="N149" s="36">
        <f t="shared" si="20"/>
        <v>72.78</v>
      </c>
      <c r="O149" s="56">
        <f t="shared" si="17"/>
        <v>18899.421732884643</v>
      </c>
      <c r="P149" s="57">
        <v>8</v>
      </c>
      <c r="Q149" s="57">
        <v>10</v>
      </c>
      <c r="R149" s="57">
        <v>9</v>
      </c>
      <c r="S149" s="57">
        <v>9</v>
      </c>
      <c r="T149" s="57">
        <v>9</v>
      </c>
      <c r="U149" s="57">
        <v>9</v>
      </c>
      <c r="V149" s="57">
        <v>9</v>
      </c>
      <c r="W149" s="38" t="str">
        <f t="shared" si="21"/>
        <v>Y</v>
      </c>
      <c r="X149" s="64">
        <f t="shared" si="22"/>
        <v>0.66199999999999992</v>
      </c>
      <c r="Y149" s="64" t="str">
        <f t="shared" si="23"/>
        <v>Over 50%</v>
      </c>
      <c r="Z149" s="58" t="s">
        <v>34</v>
      </c>
      <c r="AB149" s="54">
        <v>6700</v>
      </c>
      <c r="AC149" s="54">
        <v>7960</v>
      </c>
      <c r="AD149" s="32">
        <v>14600</v>
      </c>
      <c r="AE149" s="32">
        <v>15200</v>
      </c>
      <c r="AF149" s="32">
        <v>12700</v>
      </c>
      <c r="AG149" s="32">
        <v>15620</v>
      </c>
      <c r="AH149" s="13"/>
    </row>
    <row r="150" spans="1:34" s="59" customFormat="1" ht="24" customHeight="1" x14ac:dyDescent="0.25">
      <c r="A150" s="50">
        <v>53</v>
      </c>
      <c r="B150" s="51">
        <v>0.5131944444444444</v>
      </c>
      <c r="C150" s="52" t="s">
        <v>20</v>
      </c>
      <c r="D150" s="52">
        <f t="shared" si="16"/>
        <v>10</v>
      </c>
      <c r="E150" s="53"/>
      <c r="F150" s="53" t="s">
        <v>49</v>
      </c>
      <c r="G150" s="19">
        <f t="shared" si="18"/>
        <v>3.8</v>
      </c>
      <c r="H150" s="19">
        <f t="shared" si="19"/>
        <v>3.92</v>
      </c>
      <c r="I150" s="19">
        <f t="shared" si="19"/>
        <v>8.52</v>
      </c>
      <c r="J150" s="19">
        <f t="shared" si="19"/>
        <v>11.88</v>
      </c>
      <c r="K150" s="19">
        <f t="shared" si="24"/>
        <v>11.58</v>
      </c>
      <c r="L150" s="19"/>
      <c r="M150" s="19"/>
      <c r="N150" s="36">
        <f t="shared" si="20"/>
        <v>39.699999999999996</v>
      </c>
      <c r="O150" s="56">
        <f t="shared" si="17"/>
        <v>1235.8096041808476</v>
      </c>
      <c r="P150" s="57">
        <v>8</v>
      </c>
      <c r="Q150" s="57">
        <v>10</v>
      </c>
      <c r="R150" s="57">
        <v>9</v>
      </c>
      <c r="S150" s="57">
        <v>9</v>
      </c>
      <c r="T150" s="57">
        <v>9</v>
      </c>
      <c r="U150" s="57">
        <v>9</v>
      </c>
      <c r="V150" s="57">
        <v>9</v>
      </c>
      <c r="W150" s="38" t="str">
        <f t="shared" si="21"/>
        <v>Y</v>
      </c>
      <c r="X150" s="64">
        <f t="shared" si="22"/>
        <v>0.28800000000000009</v>
      </c>
      <c r="Y150" s="64" t="str">
        <f t="shared" si="23"/>
        <v>25-50%</v>
      </c>
      <c r="Z150" s="58" t="s">
        <v>108</v>
      </c>
      <c r="AB150" s="54">
        <v>3800</v>
      </c>
      <c r="AC150" s="54">
        <v>3920</v>
      </c>
      <c r="AD150" s="32">
        <v>8520</v>
      </c>
      <c r="AE150" s="32">
        <v>11880</v>
      </c>
      <c r="AF150" s="32">
        <v>11580</v>
      </c>
      <c r="AG150" s="32"/>
      <c r="AH150" s="13"/>
    </row>
    <row r="151" spans="1:34" s="59" customFormat="1" ht="24" customHeight="1" x14ac:dyDescent="0.25">
      <c r="A151" s="50">
        <v>56</v>
      </c>
      <c r="B151" s="51">
        <v>0.52638888888888891</v>
      </c>
      <c r="C151" s="52" t="s">
        <v>20</v>
      </c>
      <c r="D151" s="52">
        <f t="shared" si="16"/>
        <v>10</v>
      </c>
      <c r="E151" s="53"/>
      <c r="F151" s="53" t="s">
        <v>24</v>
      </c>
      <c r="G151" s="19">
        <f t="shared" si="18"/>
        <v>4.0999999999999996</v>
      </c>
      <c r="H151" s="19">
        <f t="shared" si="19"/>
        <v>5.0599999999999996</v>
      </c>
      <c r="I151" s="19">
        <f t="shared" si="19"/>
        <v>5.84</v>
      </c>
      <c r="J151" s="19">
        <f t="shared" si="19"/>
        <v>3.44</v>
      </c>
      <c r="K151" s="19">
        <f t="shared" si="24"/>
        <v>2.58</v>
      </c>
      <c r="L151" s="19">
        <f t="shared" si="25"/>
        <v>5.0999999999999996</v>
      </c>
      <c r="M151" s="19"/>
      <c r="N151" s="36">
        <f t="shared" si="20"/>
        <v>26.120000000000005</v>
      </c>
      <c r="O151" s="56">
        <f t="shared" si="17"/>
        <v>187.83372114067831</v>
      </c>
      <c r="P151" s="57">
        <v>8</v>
      </c>
      <c r="Q151" s="57">
        <v>10</v>
      </c>
      <c r="R151" s="57">
        <v>9</v>
      </c>
      <c r="S151" s="57">
        <v>9</v>
      </c>
      <c r="T151" s="57">
        <v>9</v>
      </c>
      <c r="U151" s="57">
        <v>9</v>
      </c>
      <c r="V151" s="57">
        <v>9</v>
      </c>
      <c r="W151" s="38" t="str">
        <f t="shared" si="21"/>
        <v>N</v>
      </c>
      <c r="X151" s="64">
        <f t="shared" si="22"/>
        <v>0</v>
      </c>
      <c r="Y151" s="64" t="str">
        <f t="shared" si="23"/>
        <v>0-4.9%</v>
      </c>
      <c r="Z151" s="58" t="s">
        <v>34</v>
      </c>
      <c r="AB151" s="54">
        <v>4100</v>
      </c>
      <c r="AC151" s="54">
        <v>5060</v>
      </c>
      <c r="AD151" s="32">
        <v>5840</v>
      </c>
      <c r="AE151" s="32">
        <v>3440</v>
      </c>
      <c r="AF151" s="32">
        <v>2580</v>
      </c>
      <c r="AG151" s="32">
        <v>5100</v>
      </c>
      <c r="AH151" s="13"/>
    </row>
    <row r="152" spans="1:34" s="59" customFormat="1" ht="24" customHeight="1" x14ac:dyDescent="0.25">
      <c r="A152" s="50">
        <v>58</v>
      </c>
      <c r="B152" s="51">
        <v>0.52847222222222223</v>
      </c>
      <c r="C152" s="52" t="s">
        <v>20</v>
      </c>
      <c r="D152" s="52">
        <f t="shared" si="16"/>
        <v>10</v>
      </c>
      <c r="E152" s="53"/>
      <c r="F152" s="53" t="s">
        <v>135</v>
      </c>
      <c r="G152" s="19">
        <f t="shared" si="18"/>
        <v>8.09</v>
      </c>
      <c r="H152" s="19">
        <f t="shared" si="19"/>
        <v>10.26</v>
      </c>
      <c r="I152" s="19">
        <f t="shared" si="19"/>
        <v>3.04</v>
      </c>
      <c r="J152" s="19">
        <f t="shared" si="19"/>
        <v>2.06</v>
      </c>
      <c r="K152" s="19">
        <f t="shared" si="24"/>
        <v>4.0199999999999996</v>
      </c>
      <c r="L152" s="19">
        <f t="shared" si="25"/>
        <v>3.02</v>
      </c>
      <c r="M152" s="19">
        <f t="shared" si="25"/>
        <v>4.9000000000000004</v>
      </c>
      <c r="N152" s="36">
        <f t="shared" si="20"/>
        <v>35.39</v>
      </c>
      <c r="O152" s="56">
        <f t="shared" si="17"/>
        <v>736.81221571108813</v>
      </c>
      <c r="P152" s="57">
        <v>8</v>
      </c>
      <c r="Q152" s="57">
        <v>10</v>
      </c>
      <c r="R152" s="57">
        <v>9</v>
      </c>
      <c r="S152" s="57">
        <v>9</v>
      </c>
      <c r="T152" s="57">
        <v>9</v>
      </c>
      <c r="U152" s="57">
        <v>9</v>
      </c>
      <c r="V152" s="57">
        <v>9</v>
      </c>
      <c r="W152" s="38" t="str">
        <f t="shared" si="21"/>
        <v>Y</v>
      </c>
      <c r="X152" s="64">
        <f t="shared" si="22"/>
        <v>2.5999999999999978E-2</v>
      </c>
      <c r="Y152" s="64" t="str">
        <f t="shared" si="23"/>
        <v>0-4.9%</v>
      </c>
      <c r="Z152" s="58" t="s">
        <v>34</v>
      </c>
      <c r="AB152" s="54">
        <v>8090</v>
      </c>
      <c r="AC152" s="54">
        <v>10260</v>
      </c>
      <c r="AD152" s="32">
        <v>3040</v>
      </c>
      <c r="AE152" s="32">
        <v>2060</v>
      </c>
      <c r="AF152" s="32">
        <v>4020</v>
      </c>
      <c r="AG152" s="32">
        <v>3020</v>
      </c>
      <c r="AH152" s="13">
        <v>4900</v>
      </c>
    </row>
    <row r="153" spans="1:34" s="59" customFormat="1" ht="24" customHeight="1" x14ac:dyDescent="0.25">
      <c r="A153" s="50">
        <v>8</v>
      </c>
      <c r="B153" s="51">
        <v>0.14930555555555555</v>
      </c>
      <c r="C153" s="52" t="s">
        <v>20</v>
      </c>
      <c r="D153" s="52">
        <f t="shared" si="16"/>
        <v>10</v>
      </c>
      <c r="E153" s="53"/>
      <c r="F153" s="53" t="s">
        <v>24</v>
      </c>
      <c r="G153" s="19">
        <f t="shared" si="18"/>
        <v>3.96</v>
      </c>
      <c r="H153" s="19">
        <f t="shared" si="19"/>
        <v>3.52</v>
      </c>
      <c r="I153" s="19">
        <f t="shared" si="19"/>
        <v>6.08</v>
      </c>
      <c r="J153" s="19">
        <f t="shared" si="19"/>
        <v>8.06</v>
      </c>
      <c r="K153" s="19">
        <f t="shared" si="24"/>
        <v>7.08</v>
      </c>
      <c r="L153" s="19">
        <f t="shared" si="25"/>
        <v>8.06</v>
      </c>
      <c r="M153" s="19"/>
      <c r="N153" s="36">
        <f t="shared" si="20"/>
        <v>36.760000000000005</v>
      </c>
      <c r="O153" s="56">
        <f t="shared" si="17"/>
        <v>874.14614733044641</v>
      </c>
      <c r="P153" s="57">
        <v>8</v>
      </c>
      <c r="Q153" s="57">
        <v>10</v>
      </c>
      <c r="R153" s="57">
        <v>9</v>
      </c>
      <c r="S153" s="57">
        <v>9</v>
      </c>
      <c r="T153" s="57">
        <v>9</v>
      </c>
      <c r="U153" s="57">
        <v>9</v>
      </c>
      <c r="V153" s="57">
        <v>9</v>
      </c>
      <c r="W153" s="38" t="str">
        <f t="shared" si="21"/>
        <v>N</v>
      </c>
      <c r="X153" s="64">
        <f t="shared" si="22"/>
        <v>0</v>
      </c>
      <c r="Y153" s="64" t="str">
        <f t="shared" si="23"/>
        <v>0-4.9%</v>
      </c>
      <c r="Z153" s="58" t="s">
        <v>108</v>
      </c>
      <c r="AB153" s="54">
        <v>3960</v>
      </c>
      <c r="AC153" s="54">
        <v>3520</v>
      </c>
      <c r="AD153" s="32">
        <v>6080</v>
      </c>
      <c r="AE153" s="32">
        <v>8060</v>
      </c>
      <c r="AF153" s="32">
        <v>7080</v>
      </c>
      <c r="AG153" s="32">
        <v>8060</v>
      </c>
      <c r="AH153" s="13"/>
    </row>
    <row r="154" spans="1:34" s="59" customFormat="1" ht="24" customHeight="1" x14ac:dyDescent="0.25">
      <c r="A154" s="50">
        <v>11</v>
      </c>
      <c r="B154" s="51">
        <v>0.15277777777777776</v>
      </c>
      <c r="C154" s="52" t="s">
        <v>20</v>
      </c>
      <c r="D154" s="52">
        <f t="shared" si="16"/>
        <v>10</v>
      </c>
      <c r="E154" s="53"/>
      <c r="F154" s="53" t="s">
        <v>24</v>
      </c>
      <c r="G154" s="19">
        <f t="shared" si="18"/>
        <v>8.68</v>
      </c>
      <c r="H154" s="19">
        <f t="shared" si="19"/>
        <v>11.2</v>
      </c>
      <c r="I154" s="19">
        <f t="shared" si="19"/>
        <v>6.04</v>
      </c>
      <c r="J154" s="19">
        <f t="shared" si="19"/>
        <v>7.04</v>
      </c>
      <c r="K154" s="19">
        <f t="shared" si="24"/>
        <v>7.05</v>
      </c>
      <c r="L154" s="19">
        <f t="shared" si="25"/>
        <v>7.04</v>
      </c>
      <c r="M154" s="19"/>
      <c r="N154" s="36">
        <f t="shared" si="20"/>
        <v>47.05</v>
      </c>
      <c r="O154" s="56">
        <f t="shared" si="17"/>
        <v>2654.0714515703448</v>
      </c>
      <c r="P154" s="57">
        <v>8</v>
      </c>
      <c r="Q154" s="57">
        <v>10</v>
      </c>
      <c r="R154" s="57">
        <v>9</v>
      </c>
      <c r="S154" s="57">
        <v>9</v>
      </c>
      <c r="T154" s="57">
        <v>9</v>
      </c>
      <c r="U154" s="57">
        <v>9</v>
      </c>
      <c r="V154" s="57">
        <v>9</v>
      </c>
      <c r="W154" s="38" t="str">
        <f t="shared" si="21"/>
        <v>Y</v>
      </c>
      <c r="X154" s="64">
        <f t="shared" si="22"/>
        <v>0.11999999999999993</v>
      </c>
      <c r="Y154" s="64" t="str">
        <f t="shared" si="23"/>
        <v>5-25%</v>
      </c>
      <c r="Z154" s="58" t="s">
        <v>125</v>
      </c>
      <c r="AB154" s="54">
        <v>8680</v>
      </c>
      <c r="AC154" s="54">
        <v>11200</v>
      </c>
      <c r="AD154" s="32">
        <v>6040</v>
      </c>
      <c r="AE154" s="32">
        <v>7040</v>
      </c>
      <c r="AF154" s="32">
        <v>7050</v>
      </c>
      <c r="AG154" s="32">
        <v>7040</v>
      </c>
      <c r="AH154" s="13"/>
    </row>
    <row r="155" spans="1:34" s="59" customFormat="1" ht="24" customHeight="1" x14ac:dyDescent="0.25">
      <c r="A155" s="50">
        <v>15</v>
      </c>
      <c r="B155" s="51">
        <v>0.16388888888888889</v>
      </c>
      <c r="C155" s="52" t="s">
        <v>20</v>
      </c>
      <c r="D155" s="52">
        <f t="shared" si="16"/>
        <v>10</v>
      </c>
      <c r="E155" s="53"/>
      <c r="F155" s="53" t="s">
        <v>24</v>
      </c>
      <c r="G155" s="19">
        <f t="shared" si="18"/>
        <v>5.96</v>
      </c>
      <c r="H155" s="19">
        <f t="shared" si="19"/>
        <v>5.94</v>
      </c>
      <c r="I155" s="19">
        <f t="shared" si="19"/>
        <v>4.5199999999999996</v>
      </c>
      <c r="J155" s="19">
        <f t="shared" si="19"/>
        <v>4.5</v>
      </c>
      <c r="K155" s="19">
        <f t="shared" si="24"/>
        <v>4.16</v>
      </c>
      <c r="L155" s="19">
        <f t="shared" si="25"/>
        <v>4.04</v>
      </c>
      <c r="M155" s="19"/>
      <c r="N155" s="36">
        <f t="shared" si="20"/>
        <v>29.12</v>
      </c>
      <c r="O155" s="56">
        <f t="shared" si="17"/>
        <v>306.37650207998678</v>
      </c>
      <c r="P155" s="57">
        <v>8</v>
      </c>
      <c r="Q155" s="57">
        <v>10</v>
      </c>
      <c r="R155" s="57">
        <v>9</v>
      </c>
      <c r="S155" s="57">
        <v>9</v>
      </c>
      <c r="T155" s="57">
        <v>9</v>
      </c>
      <c r="U155" s="57">
        <v>9</v>
      </c>
      <c r="V155" s="57">
        <v>9</v>
      </c>
      <c r="W155" s="38" t="str">
        <f t="shared" si="21"/>
        <v>N</v>
      </c>
      <c r="X155" s="64">
        <f t="shared" si="22"/>
        <v>0</v>
      </c>
      <c r="Y155" s="64" t="str">
        <f t="shared" si="23"/>
        <v>0-4.9%</v>
      </c>
      <c r="Z155" s="58" t="s">
        <v>34</v>
      </c>
      <c r="AB155" s="54">
        <v>5960</v>
      </c>
      <c r="AC155" s="54">
        <v>5940</v>
      </c>
      <c r="AD155" s="32">
        <v>4520</v>
      </c>
      <c r="AE155" s="32">
        <v>4500</v>
      </c>
      <c r="AF155" s="32">
        <v>4160</v>
      </c>
      <c r="AG155" s="32">
        <v>4040</v>
      </c>
      <c r="AH155" s="13"/>
    </row>
    <row r="156" spans="1:34" s="59" customFormat="1" ht="24" customHeight="1" x14ac:dyDescent="0.25">
      <c r="A156" s="50">
        <v>19</v>
      </c>
      <c r="B156" s="51">
        <v>0.19236111111111112</v>
      </c>
      <c r="C156" s="52" t="s">
        <v>20</v>
      </c>
      <c r="D156" s="52">
        <f t="shared" si="16"/>
        <v>10</v>
      </c>
      <c r="E156" s="53"/>
      <c r="F156" s="53" t="s">
        <v>24</v>
      </c>
      <c r="G156" s="19">
        <f t="shared" si="18"/>
        <v>6.26</v>
      </c>
      <c r="H156" s="19">
        <f t="shared" si="19"/>
        <v>10.02</v>
      </c>
      <c r="I156" s="19">
        <f t="shared" si="19"/>
        <v>7.08</v>
      </c>
      <c r="J156" s="19">
        <f t="shared" si="19"/>
        <v>6.04</v>
      </c>
      <c r="K156" s="19">
        <f t="shared" si="24"/>
        <v>6.04</v>
      </c>
      <c r="L156" s="19">
        <f t="shared" si="25"/>
        <v>7.04</v>
      </c>
      <c r="M156" s="19"/>
      <c r="N156" s="36">
        <f t="shared" si="20"/>
        <v>42.48</v>
      </c>
      <c r="O156" s="56">
        <f t="shared" si="17"/>
        <v>1675.8092062509754</v>
      </c>
      <c r="P156" s="57">
        <v>8</v>
      </c>
      <c r="Q156" s="57">
        <v>10</v>
      </c>
      <c r="R156" s="57">
        <v>9</v>
      </c>
      <c r="S156" s="57">
        <v>9</v>
      </c>
      <c r="T156" s="57">
        <v>9</v>
      </c>
      <c r="U156" s="57">
        <v>9</v>
      </c>
      <c r="V156" s="57">
        <v>9</v>
      </c>
      <c r="W156" s="38" t="str">
        <f t="shared" si="21"/>
        <v>Y</v>
      </c>
      <c r="X156" s="64">
        <f t="shared" si="22"/>
        <v>1.9999999999999575E-3</v>
      </c>
      <c r="Y156" s="64" t="str">
        <f t="shared" si="23"/>
        <v>0-4.9%</v>
      </c>
      <c r="Z156" s="58" t="s">
        <v>127</v>
      </c>
      <c r="AB156" s="54">
        <v>6260</v>
      </c>
      <c r="AC156" s="54">
        <v>10020</v>
      </c>
      <c r="AD156" s="32">
        <v>7080</v>
      </c>
      <c r="AE156" s="32">
        <v>6040</v>
      </c>
      <c r="AF156" s="32">
        <v>6040</v>
      </c>
      <c r="AG156" s="32">
        <v>7040</v>
      </c>
      <c r="AH156" s="13"/>
    </row>
    <row r="157" spans="1:34" s="59" customFormat="1" ht="24" customHeight="1" x14ac:dyDescent="0.25">
      <c r="A157" s="50">
        <v>28</v>
      </c>
      <c r="B157" s="51">
        <v>0.35069444444444442</v>
      </c>
      <c r="C157" s="52" t="s">
        <v>20</v>
      </c>
      <c r="D157" s="52">
        <f t="shared" si="16"/>
        <v>10</v>
      </c>
      <c r="E157" s="53"/>
      <c r="F157" s="53" t="s">
        <v>24</v>
      </c>
      <c r="G157" s="19">
        <f t="shared" si="18"/>
        <v>9.82</v>
      </c>
      <c r="H157" s="19">
        <f t="shared" si="19"/>
        <v>6.5</v>
      </c>
      <c r="I157" s="19">
        <f t="shared" si="19"/>
        <v>4.74</v>
      </c>
      <c r="J157" s="19">
        <f t="shared" si="19"/>
        <v>4.2</v>
      </c>
      <c r="K157" s="19">
        <f t="shared" si="24"/>
        <v>4.5599999999999996</v>
      </c>
      <c r="L157" s="19">
        <f t="shared" si="25"/>
        <v>4.0599999999999996</v>
      </c>
      <c r="M157" s="19"/>
      <c r="N157" s="36">
        <f t="shared" si="20"/>
        <v>33.880000000000003</v>
      </c>
      <c r="O157" s="56">
        <f t="shared" si="17"/>
        <v>605.53547767312591</v>
      </c>
      <c r="P157" s="57">
        <v>8</v>
      </c>
      <c r="Q157" s="57">
        <v>10</v>
      </c>
      <c r="R157" s="57">
        <v>9</v>
      </c>
      <c r="S157" s="57">
        <v>9</v>
      </c>
      <c r="T157" s="57">
        <v>9</v>
      </c>
      <c r="U157" s="57">
        <v>9</v>
      </c>
      <c r="V157" s="57">
        <v>9</v>
      </c>
      <c r="W157" s="38" t="str">
        <f t="shared" si="21"/>
        <v>Y</v>
      </c>
      <c r="X157" s="64">
        <f t="shared" si="22"/>
        <v>0.18200000000000002</v>
      </c>
      <c r="Y157" s="64" t="str">
        <f t="shared" si="23"/>
        <v>5-25%</v>
      </c>
      <c r="Z157" s="58" t="s">
        <v>124</v>
      </c>
      <c r="AB157" s="54">
        <v>9820</v>
      </c>
      <c r="AC157" s="54">
        <v>6500</v>
      </c>
      <c r="AD157" s="32">
        <v>4740</v>
      </c>
      <c r="AE157" s="32">
        <v>4200</v>
      </c>
      <c r="AF157" s="32">
        <v>4560</v>
      </c>
      <c r="AG157" s="32">
        <v>4060</v>
      </c>
      <c r="AH157" s="13"/>
    </row>
    <row r="158" spans="1:34" s="59" customFormat="1" ht="24" customHeight="1" x14ac:dyDescent="0.25">
      <c r="A158" s="50">
        <v>31</v>
      </c>
      <c r="B158" s="51">
        <v>0.35902777777777778</v>
      </c>
      <c r="C158" s="52" t="s">
        <v>20</v>
      </c>
      <c r="D158" s="52">
        <f t="shared" si="16"/>
        <v>10</v>
      </c>
      <c r="E158" s="53"/>
      <c r="F158" s="53" t="s">
        <v>24</v>
      </c>
      <c r="G158" s="19">
        <f t="shared" si="18"/>
        <v>8.36</v>
      </c>
      <c r="H158" s="19">
        <f t="shared" si="19"/>
        <v>10.84</v>
      </c>
      <c r="I158" s="19">
        <f t="shared" si="19"/>
        <v>6.02</v>
      </c>
      <c r="J158" s="19">
        <f t="shared" si="19"/>
        <v>8.08</v>
      </c>
      <c r="K158" s="19">
        <f t="shared" si="24"/>
        <v>7.84</v>
      </c>
      <c r="L158" s="19">
        <f t="shared" si="25"/>
        <v>9.0399999999999991</v>
      </c>
      <c r="M158" s="19"/>
      <c r="N158" s="36">
        <f t="shared" si="20"/>
        <v>50.18</v>
      </c>
      <c r="O158" s="56">
        <f t="shared" si="17"/>
        <v>3546.3552815941234</v>
      </c>
      <c r="P158" s="57">
        <v>8</v>
      </c>
      <c r="Q158" s="57">
        <v>10</v>
      </c>
      <c r="R158" s="57">
        <v>9</v>
      </c>
      <c r="S158" s="57">
        <v>9</v>
      </c>
      <c r="T158" s="57">
        <v>9</v>
      </c>
      <c r="U158" s="57">
        <v>9</v>
      </c>
      <c r="V158" s="57">
        <v>9</v>
      </c>
      <c r="W158" s="38" t="str">
        <f t="shared" si="21"/>
        <v>Y</v>
      </c>
      <c r="X158" s="64">
        <f t="shared" si="22"/>
        <v>8.3999999999999991E-2</v>
      </c>
      <c r="Y158" s="64" t="str">
        <f t="shared" si="23"/>
        <v>5-25%</v>
      </c>
      <c r="Z158" s="58" t="s">
        <v>127</v>
      </c>
      <c r="AB158" s="54">
        <v>8360</v>
      </c>
      <c r="AC158" s="54">
        <v>10840</v>
      </c>
      <c r="AD158" s="32">
        <v>6020</v>
      </c>
      <c r="AE158" s="32">
        <v>8080</v>
      </c>
      <c r="AF158" s="32">
        <v>7840</v>
      </c>
      <c r="AG158" s="32">
        <v>9040</v>
      </c>
      <c r="AH158" s="13"/>
    </row>
    <row r="159" spans="1:34" s="59" customFormat="1" ht="24" customHeight="1" x14ac:dyDescent="0.25">
      <c r="A159" s="50">
        <v>35</v>
      </c>
      <c r="B159" s="51">
        <v>0.37847222222222227</v>
      </c>
      <c r="C159" s="52" t="s">
        <v>20</v>
      </c>
      <c r="D159" s="52">
        <f t="shared" si="16"/>
        <v>10</v>
      </c>
      <c r="E159" s="53"/>
      <c r="F159" s="53" t="s">
        <v>135</v>
      </c>
      <c r="G159" s="19">
        <f t="shared" si="18"/>
        <v>10.14</v>
      </c>
      <c r="H159" s="19">
        <f t="shared" si="19"/>
        <v>13.1</v>
      </c>
      <c r="I159" s="19">
        <f t="shared" si="19"/>
        <v>6.08</v>
      </c>
      <c r="J159" s="19">
        <f t="shared" si="19"/>
        <v>8.0399999999999991</v>
      </c>
      <c r="K159" s="19">
        <f t="shared" si="24"/>
        <v>8.06</v>
      </c>
      <c r="L159" s="19">
        <f t="shared" si="25"/>
        <v>9.0399999999999991</v>
      </c>
      <c r="M159" s="19">
        <f t="shared" si="25"/>
        <v>7.04</v>
      </c>
      <c r="N159" s="36">
        <f t="shared" si="20"/>
        <v>61.5</v>
      </c>
      <c r="O159" s="56">
        <f t="shared" si="17"/>
        <v>8857.9312779618849</v>
      </c>
      <c r="P159" s="57">
        <v>8</v>
      </c>
      <c r="Q159" s="57">
        <v>10</v>
      </c>
      <c r="R159" s="57">
        <v>9</v>
      </c>
      <c r="S159" s="57">
        <v>9</v>
      </c>
      <c r="T159" s="57">
        <v>9</v>
      </c>
      <c r="U159" s="57">
        <v>9</v>
      </c>
      <c r="V159" s="57">
        <v>9</v>
      </c>
      <c r="W159" s="38" t="str">
        <f t="shared" si="21"/>
        <v>Y</v>
      </c>
      <c r="X159" s="64">
        <f t="shared" si="22"/>
        <v>0.30999999999999994</v>
      </c>
      <c r="Y159" s="64" t="str">
        <f t="shared" si="23"/>
        <v>25-50%</v>
      </c>
      <c r="Z159" s="58" t="s">
        <v>124</v>
      </c>
      <c r="AB159" s="54">
        <v>10140</v>
      </c>
      <c r="AC159" s="54">
        <v>13100</v>
      </c>
      <c r="AD159" s="32">
        <v>6080</v>
      </c>
      <c r="AE159" s="32">
        <v>8040</v>
      </c>
      <c r="AF159" s="32">
        <v>8060</v>
      </c>
      <c r="AG159" s="32">
        <v>9040</v>
      </c>
      <c r="AH159" s="13">
        <v>7040</v>
      </c>
    </row>
    <row r="160" spans="1:34" s="59" customFormat="1" ht="24" customHeight="1" x14ac:dyDescent="0.25">
      <c r="A160" s="50">
        <v>40</v>
      </c>
      <c r="B160" s="51">
        <v>0.41180555555555554</v>
      </c>
      <c r="C160" s="52" t="s">
        <v>20</v>
      </c>
      <c r="D160" s="52">
        <f t="shared" si="16"/>
        <v>10</v>
      </c>
      <c r="E160" s="53"/>
      <c r="F160" s="53" t="s">
        <v>24</v>
      </c>
      <c r="G160" s="19">
        <f t="shared" si="18"/>
        <v>7.18</v>
      </c>
      <c r="H160" s="19">
        <f t="shared" si="19"/>
        <v>10.6</v>
      </c>
      <c r="I160" s="19">
        <f t="shared" si="19"/>
        <v>3.26</v>
      </c>
      <c r="J160" s="19">
        <f t="shared" si="19"/>
        <v>3.58</v>
      </c>
      <c r="K160" s="19">
        <f t="shared" si="24"/>
        <v>4.5999999999999996</v>
      </c>
      <c r="L160" s="19">
        <f t="shared" si="25"/>
        <v>4.8600000000000003</v>
      </c>
      <c r="M160" s="19"/>
      <c r="N160" s="36">
        <f t="shared" si="20"/>
        <v>34.08</v>
      </c>
      <c r="O160" s="56">
        <f t="shared" si="17"/>
        <v>621.78812423600596</v>
      </c>
      <c r="P160" s="57">
        <v>8</v>
      </c>
      <c r="Q160" s="57">
        <v>10</v>
      </c>
      <c r="R160" s="57">
        <v>9</v>
      </c>
      <c r="S160" s="57">
        <v>9</v>
      </c>
      <c r="T160" s="57">
        <v>9</v>
      </c>
      <c r="U160" s="57">
        <v>9</v>
      </c>
      <c r="V160" s="57">
        <v>9</v>
      </c>
      <c r="W160" s="38" t="str">
        <f t="shared" si="21"/>
        <v>Y</v>
      </c>
      <c r="X160" s="64">
        <f t="shared" si="22"/>
        <v>5.9999999999999963E-2</v>
      </c>
      <c r="Y160" s="64" t="str">
        <f t="shared" si="23"/>
        <v>5-25%</v>
      </c>
      <c r="Z160" s="58" t="s">
        <v>127</v>
      </c>
      <c r="AB160" s="54">
        <v>7180</v>
      </c>
      <c r="AC160" s="54">
        <v>10600</v>
      </c>
      <c r="AD160" s="32">
        <v>3260</v>
      </c>
      <c r="AE160" s="32">
        <v>3580</v>
      </c>
      <c r="AF160" s="32">
        <v>4600</v>
      </c>
      <c r="AG160" s="32">
        <v>4860</v>
      </c>
      <c r="AH160" s="13"/>
    </row>
    <row r="161" spans="1:34" s="59" customFormat="1" ht="24" customHeight="1" x14ac:dyDescent="0.25">
      <c r="A161" s="50">
        <v>43</v>
      </c>
      <c r="B161" s="51">
        <v>0.42708333333333331</v>
      </c>
      <c r="C161" s="52" t="s">
        <v>20</v>
      </c>
      <c r="D161" s="52">
        <f t="shared" si="16"/>
        <v>10</v>
      </c>
      <c r="E161" s="53"/>
      <c r="F161" s="53" t="s">
        <v>135</v>
      </c>
      <c r="G161" s="19">
        <f t="shared" si="18"/>
        <v>5.96</v>
      </c>
      <c r="H161" s="19">
        <f t="shared" si="19"/>
        <v>10.26</v>
      </c>
      <c r="I161" s="19">
        <f t="shared" si="19"/>
        <v>6.36</v>
      </c>
      <c r="J161" s="19">
        <f t="shared" si="19"/>
        <v>5.0999999999999996</v>
      </c>
      <c r="K161" s="19">
        <f t="shared" si="24"/>
        <v>3.96</v>
      </c>
      <c r="L161" s="19">
        <f t="shared" si="25"/>
        <v>3.96</v>
      </c>
      <c r="M161" s="19">
        <f t="shared" si="25"/>
        <v>4.2</v>
      </c>
      <c r="N161" s="36">
        <f t="shared" si="20"/>
        <v>39.800000000000004</v>
      </c>
      <c r="O161" s="56">
        <f t="shared" si="17"/>
        <v>1249.8793990911402</v>
      </c>
      <c r="P161" s="57">
        <v>8</v>
      </c>
      <c r="Q161" s="57">
        <v>10</v>
      </c>
      <c r="R161" s="57">
        <v>9</v>
      </c>
      <c r="S161" s="57">
        <v>9</v>
      </c>
      <c r="T161" s="57">
        <v>9</v>
      </c>
      <c r="U161" s="57">
        <v>9</v>
      </c>
      <c r="V161" s="57">
        <v>9</v>
      </c>
      <c r="W161" s="38" t="str">
        <f t="shared" si="21"/>
        <v>Y</v>
      </c>
      <c r="X161" s="64">
        <f t="shared" si="22"/>
        <v>2.5999999999999978E-2</v>
      </c>
      <c r="Y161" s="64" t="str">
        <f t="shared" si="23"/>
        <v>0-4.9%</v>
      </c>
      <c r="Z161" s="58" t="s">
        <v>124</v>
      </c>
      <c r="AB161" s="54">
        <v>5960</v>
      </c>
      <c r="AC161" s="54">
        <v>10260</v>
      </c>
      <c r="AD161" s="32">
        <v>6360</v>
      </c>
      <c r="AE161" s="32">
        <v>5100</v>
      </c>
      <c r="AF161" s="32">
        <v>3960</v>
      </c>
      <c r="AG161" s="32">
        <v>3960</v>
      </c>
      <c r="AH161" s="13">
        <v>4200</v>
      </c>
    </row>
    <row r="162" spans="1:34" s="59" customFormat="1" ht="24" customHeight="1" x14ac:dyDescent="0.25">
      <c r="A162" s="50">
        <v>47</v>
      </c>
      <c r="B162" s="51">
        <v>0.4465277777777778</v>
      </c>
      <c r="C162" s="52" t="s">
        <v>20</v>
      </c>
      <c r="D162" s="52">
        <f t="shared" si="16"/>
        <v>10</v>
      </c>
      <c r="E162" s="53"/>
      <c r="F162" s="53" t="s">
        <v>24</v>
      </c>
      <c r="G162" s="19">
        <f t="shared" si="18"/>
        <v>9.66</v>
      </c>
      <c r="H162" s="19">
        <f t="shared" si="19"/>
        <v>10.56</v>
      </c>
      <c r="I162" s="19">
        <f t="shared" si="19"/>
        <v>10.98</v>
      </c>
      <c r="J162" s="19">
        <f t="shared" si="19"/>
        <v>10.64</v>
      </c>
      <c r="K162" s="19">
        <f t="shared" si="24"/>
        <v>9.8800000000000008</v>
      </c>
      <c r="L162" s="19">
        <f t="shared" si="25"/>
        <v>9.84</v>
      </c>
      <c r="M162" s="19"/>
      <c r="N162" s="36">
        <f t="shared" si="20"/>
        <v>61.56</v>
      </c>
      <c r="O162" s="56">
        <f t="shared" si="17"/>
        <v>8896.8862057063507</v>
      </c>
      <c r="P162" s="57">
        <v>8</v>
      </c>
      <c r="Q162" s="57">
        <v>10</v>
      </c>
      <c r="R162" s="57">
        <v>9</v>
      </c>
      <c r="S162" s="57">
        <v>9</v>
      </c>
      <c r="T162" s="57">
        <v>9</v>
      </c>
      <c r="U162" s="57">
        <v>9</v>
      </c>
      <c r="V162" s="57">
        <v>9</v>
      </c>
      <c r="W162" s="38" t="str">
        <f t="shared" si="21"/>
        <v>Y</v>
      </c>
      <c r="X162" s="64">
        <f t="shared" si="22"/>
        <v>0.19800000000000004</v>
      </c>
      <c r="Y162" s="64" t="str">
        <f t="shared" si="23"/>
        <v>5-25%</v>
      </c>
      <c r="Z162" s="58" t="s">
        <v>127</v>
      </c>
      <c r="AB162" s="54">
        <v>9660</v>
      </c>
      <c r="AC162" s="54">
        <v>10560</v>
      </c>
      <c r="AD162" s="32">
        <v>10980</v>
      </c>
      <c r="AE162" s="32">
        <v>10640</v>
      </c>
      <c r="AF162" s="32">
        <v>9880</v>
      </c>
      <c r="AG162" s="32">
        <v>9840</v>
      </c>
      <c r="AH162" s="13"/>
    </row>
    <row r="163" spans="1:34" s="59" customFormat="1" ht="24" customHeight="1" x14ac:dyDescent="0.25">
      <c r="A163" s="50">
        <v>62</v>
      </c>
      <c r="B163" s="51">
        <v>0.47500000000000003</v>
      </c>
      <c r="C163" s="52" t="s">
        <v>20</v>
      </c>
      <c r="D163" s="52">
        <f t="shared" si="16"/>
        <v>10</v>
      </c>
      <c r="E163" s="53"/>
      <c r="F163" s="53" t="s">
        <v>24</v>
      </c>
      <c r="G163" s="19">
        <f t="shared" si="18"/>
        <v>9.98</v>
      </c>
      <c r="H163" s="19">
        <f t="shared" si="19"/>
        <v>10.24</v>
      </c>
      <c r="I163" s="19">
        <f t="shared" si="19"/>
        <v>6.12</v>
      </c>
      <c r="J163" s="19">
        <f t="shared" si="19"/>
        <v>0.82</v>
      </c>
      <c r="K163" s="19">
        <f t="shared" si="24"/>
        <v>0</v>
      </c>
      <c r="L163" s="19">
        <f t="shared" si="25"/>
        <v>0</v>
      </c>
      <c r="M163" s="19"/>
      <c r="N163" s="36">
        <f t="shared" si="20"/>
        <v>27.16</v>
      </c>
      <c r="O163" s="56">
        <f t="shared" si="17"/>
        <v>223.91244428474135</v>
      </c>
      <c r="P163" s="57">
        <v>8</v>
      </c>
      <c r="Q163" s="57">
        <v>10</v>
      </c>
      <c r="R163" s="57">
        <v>9</v>
      </c>
      <c r="S163" s="57">
        <v>9</v>
      </c>
      <c r="T163" s="57">
        <v>9</v>
      </c>
      <c r="U163" s="57">
        <v>9</v>
      </c>
      <c r="V163" s="57">
        <v>9</v>
      </c>
      <c r="W163" s="38" t="str">
        <f t="shared" si="21"/>
        <v>Y</v>
      </c>
      <c r="X163" s="64">
        <f t="shared" si="22"/>
        <v>0.19800000000000004</v>
      </c>
      <c r="Y163" s="64" t="str">
        <f t="shared" si="23"/>
        <v>5-25%</v>
      </c>
      <c r="Z163" s="58" t="s">
        <v>127</v>
      </c>
      <c r="AB163" s="54">
        <v>9980</v>
      </c>
      <c r="AC163" s="54">
        <v>10240</v>
      </c>
      <c r="AD163" s="32">
        <v>6120</v>
      </c>
      <c r="AE163" s="32">
        <v>820</v>
      </c>
      <c r="AF163" s="32"/>
      <c r="AG163" s="32"/>
      <c r="AH163" s="13"/>
    </row>
    <row r="164" spans="1:34" s="59" customFormat="1" ht="24" customHeight="1" x14ac:dyDescent="0.25">
      <c r="A164" s="50">
        <v>76</v>
      </c>
      <c r="B164" s="51">
        <v>0.50138888888888888</v>
      </c>
      <c r="C164" s="52" t="s">
        <v>20</v>
      </c>
      <c r="D164" s="52">
        <f t="shared" si="16"/>
        <v>10</v>
      </c>
      <c r="E164" s="53"/>
      <c r="F164" s="53" t="s">
        <v>24</v>
      </c>
      <c r="G164" s="19">
        <f t="shared" si="18"/>
        <v>8.98</v>
      </c>
      <c r="H164" s="19">
        <f t="shared" si="19"/>
        <v>14</v>
      </c>
      <c r="I164" s="19">
        <f t="shared" si="19"/>
        <v>15.12</v>
      </c>
      <c r="J164" s="19">
        <f t="shared" ref="J164:J171" si="26">AE164/1000</f>
        <v>11.04</v>
      </c>
      <c r="K164" s="19">
        <f t="shared" ref="K164:K171" si="27">AF164/1000</f>
        <v>9.0399999999999991</v>
      </c>
      <c r="L164" s="19">
        <f t="shared" ref="L164:L171" si="28">AG164/1000</f>
        <v>10.48</v>
      </c>
      <c r="M164" s="19"/>
      <c r="N164" s="36">
        <f t="shared" si="20"/>
        <v>68.66</v>
      </c>
      <c r="O164" s="56">
        <f t="shared" si="17"/>
        <v>14539.898724212802</v>
      </c>
      <c r="P164" s="57">
        <v>8</v>
      </c>
      <c r="Q164" s="57">
        <v>10</v>
      </c>
      <c r="R164" s="57">
        <v>9</v>
      </c>
      <c r="S164" s="57">
        <v>9</v>
      </c>
      <c r="T164" s="57">
        <v>9</v>
      </c>
      <c r="U164" s="57">
        <v>9</v>
      </c>
      <c r="V164" s="57">
        <v>9</v>
      </c>
      <c r="W164" s="38" t="str">
        <f t="shared" si="21"/>
        <v>Y</v>
      </c>
      <c r="X164" s="64">
        <f t="shared" si="22"/>
        <v>0.61199999999999988</v>
      </c>
      <c r="Y164" s="64" t="str">
        <f t="shared" si="23"/>
        <v>Over 50%</v>
      </c>
      <c r="Z164" s="8" t="s">
        <v>121</v>
      </c>
      <c r="AB164" s="54">
        <v>8980</v>
      </c>
      <c r="AC164" s="54">
        <v>14000</v>
      </c>
      <c r="AD164" s="32">
        <v>15120</v>
      </c>
      <c r="AE164" s="32">
        <v>11040</v>
      </c>
      <c r="AF164" s="32">
        <v>9040</v>
      </c>
      <c r="AG164" s="32">
        <v>10480</v>
      </c>
      <c r="AH164" s="13"/>
    </row>
    <row r="165" spans="1:34" s="59" customFormat="1" ht="24" customHeight="1" x14ac:dyDescent="0.25">
      <c r="A165" s="50">
        <v>3</v>
      </c>
      <c r="B165" s="51">
        <v>0.34861111111111115</v>
      </c>
      <c r="C165" s="52" t="s">
        <v>20</v>
      </c>
      <c r="D165" s="52">
        <f t="shared" si="16"/>
        <v>10</v>
      </c>
      <c r="E165" s="53"/>
      <c r="F165" s="53" t="s">
        <v>23</v>
      </c>
      <c r="G165" s="19">
        <f t="shared" si="18"/>
        <v>7.42</v>
      </c>
      <c r="H165" s="19">
        <f t="shared" si="19"/>
        <v>3.96</v>
      </c>
      <c r="I165" s="19">
        <f t="shared" si="19"/>
        <v>10.119999999999999</v>
      </c>
      <c r="J165" s="19">
        <f t="shared" si="26"/>
        <v>9.06</v>
      </c>
      <c r="K165" s="19">
        <f t="shared" si="27"/>
        <v>9.48</v>
      </c>
      <c r="L165" s="19">
        <f t="shared" si="28"/>
        <v>11.54</v>
      </c>
      <c r="M165" s="19"/>
      <c r="N165" s="36">
        <f t="shared" si="20"/>
        <v>51.580000000000005</v>
      </c>
      <c r="O165" s="56">
        <f t="shared" si="17"/>
        <v>4013.8423022340503</v>
      </c>
      <c r="P165" s="57">
        <v>8</v>
      </c>
      <c r="Q165" s="57">
        <v>10</v>
      </c>
      <c r="R165" s="57">
        <v>9</v>
      </c>
      <c r="S165" s="57">
        <v>9</v>
      </c>
      <c r="T165" s="57">
        <v>9</v>
      </c>
      <c r="U165" s="57">
        <v>9</v>
      </c>
      <c r="V165" s="57">
        <v>9</v>
      </c>
      <c r="W165" s="38" t="str">
        <f t="shared" si="21"/>
        <v>Y</v>
      </c>
      <c r="X165" s="64">
        <f t="shared" si="22"/>
        <v>0.25399999999999989</v>
      </c>
      <c r="Y165" s="64" t="str">
        <f t="shared" si="23"/>
        <v>25-50%</v>
      </c>
      <c r="Z165" s="58" t="s">
        <v>108</v>
      </c>
      <c r="AB165" s="54">
        <v>7420</v>
      </c>
      <c r="AC165" s="54">
        <v>3960</v>
      </c>
      <c r="AD165" s="32">
        <v>10120</v>
      </c>
      <c r="AE165" s="32">
        <v>9060</v>
      </c>
      <c r="AF165" s="32">
        <v>9480</v>
      </c>
      <c r="AG165" s="32">
        <v>11540</v>
      </c>
      <c r="AH165" s="13"/>
    </row>
    <row r="166" spans="1:34" s="59" customFormat="1" ht="24" customHeight="1" x14ac:dyDescent="0.25">
      <c r="A166" s="50">
        <v>7</v>
      </c>
      <c r="B166" s="51">
        <v>0.3576388888888889</v>
      </c>
      <c r="C166" s="52" t="s">
        <v>20</v>
      </c>
      <c r="D166" s="52">
        <f t="shared" si="16"/>
        <v>10</v>
      </c>
      <c r="E166" s="53"/>
      <c r="F166" s="53" t="s">
        <v>24</v>
      </c>
      <c r="G166" s="19">
        <f t="shared" si="18"/>
        <v>8.1199999999999992</v>
      </c>
      <c r="H166" s="19">
        <f t="shared" si="19"/>
        <v>12.44</v>
      </c>
      <c r="I166" s="19">
        <f t="shared" si="19"/>
        <v>13.68</v>
      </c>
      <c r="J166" s="19">
        <f t="shared" si="26"/>
        <v>12.02</v>
      </c>
      <c r="K166" s="19">
        <f t="shared" si="27"/>
        <v>0</v>
      </c>
      <c r="L166" s="19">
        <f t="shared" si="28"/>
        <v>0</v>
      </c>
      <c r="M166" s="19"/>
      <c r="N166" s="36">
        <f t="shared" si="20"/>
        <v>46.259999999999991</v>
      </c>
      <c r="O166" s="56">
        <f t="shared" si="17"/>
        <v>2459.3458900677874</v>
      </c>
      <c r="P166" s="57">
        <v>8</v>
      </c>
      <c r="Q166" s="57">
        <v>10</v>
      </c>
      <c r="R166" s="57">
        <v>9</v>
      </c>
      <c r="S166" s="57">
        <v>9</v>
      </c>
      <c r="T166" s="57">
        <v>9</v>
      </c>
      <c r="U166" s="57">
        <v>9</v>
      </c>
      <c r="V166" s="57">
        <v>9</v>
      </c>
      <c r="W166" s="38" t="str">
        <f t="shared" si="21"/>
        <v>Y</v>
      </c>
      <c r="X166" s="64">
        <f t="shared" si="22"/>
        <v>0.46799999999999997</v>
      </c>
      <c r="Y166" s="64" t="str">
        <f t="shared" si="23"/>
        <v>25-50%</v>
      </c>
      <c r="Z166" s="58" t="s">
        <v>127</v>
      </c>
      <c r="AB166" s="54">
        <v>8120</v>
      </c>
      <c r="AC166" s="54">
        <v>12440</v>
      </c>
      <c r="AD166" s="32">
        <v>13680</v>
      </c>
      <c r="AE166" s="32">
        <v>12020</v>
      </c>
      <c r="AF166" s="32"/>
      <c r="AG166" s="32"/>
      <c r="AH166" s="13"/>
    </row>
    <row r="167" spans="1:34" ht="24" customHeight="1" x14ac:dyDescent="0.25">
      <c r="A167" s="10">
        <v>14</v>
      </c>
      <c r="B167" s="9">
        <v>0.4145833333333333</v>
      </c>
      <c r="C167" s="5" t="s">
        <v>20</v>
      </c>
      <c r="D167" s="5">
        <f t="shared" si="16"/>
        <v>10</v>
      </c>
      <c r="E167" s="15"/>
      <c r="F167" s="15" t="s">
        <v>24</v>
      </c>
      <c r="G167" s="19">
        <f t="shared" si="18"/>
        <v>8.92</v>
      </c>
      <c r="H167" s="19">
        <f t="shared" si="19"/>
        <v>13.58</v>
      </c>
      <c r="I167" s="19">
        <f t="shared" si="19"/>
        <v>4.0199999999999996</v>
      </c>
      <c r="J167" s="19">
        <f t="shared" si="26"/>
        <v>3.64</v>
      </c>
      <c r="K167" s="19">
        <f t="shared" si="27"/>
        <v>2.7</v>
      </c>
      <c r="L167" s="19">
        <f t="shared" si="28"/>
        <v>3.78</v>
      </c>
      <c r="M167" s="19"/>
      <c r="N167" s="36">
        <f t="shared" si="20"/>
        <v>36.64</v>
      </c>
      <c r="O167" s="36">
        <f t="shared" si="17"/>
        <v>861.37820350888751</v>
      </c>
      <c r="P167" s="37">
        <v>8</v>
      </c>
      <c r="Q167" s="37">
        <v>10</v>
      </c>
      <c r="R167" s="37">
        <v>9</v>
      </c>
      <c r="S167" s="37">
        <v>9</v>
      </c>
      <c r="T167" s="37">
        <v>9</v>
      </c>
      <c r="U167" s="37">
        <v>9</v>
      </c>
      <c r="V167" s="37">
        <v>9</v>
      </c>
      <c r="W167" s="38" t="str">
        <f t="shared" si="21"/>
        <v>Y</v>
      </c>
      <c r="X167" s="64">
        <f t="shared" si="22"/>
        <v>0.35799999999999998</v>
      </c>
      <c r="Y167" s="64" t="str">
        <f t="shared" si="23"/>
        <v>25-50%</v>
      </c>
      <c r="Z167" s="8" t="s">
        <v>121</v>
      </c>
      <c r="AB167" s="32">
        <v>8920</v>
      </c>
      <c r="AC167" s="32">
        <v>13580</v>
      </c>
      <c r="AD167" s="32">
        <v>4020</v>
      </c>
      <c r="AE167" s="32">
        <v>3640</v>
      </c>
      <c r="AF167" s="32">
        <v>2700</v>
      </c>
      <c r="AG167" s="32">
        <v>3780</v>
      </c>
      <c r="AH167" s="13"/>
    </row>
    <row r="168" spans="1:34" ht="24" customHeight="1" x14ac:dyDescent="0.25">
      <c r="A168" s="10">
        <v>20</v>
      </c>
      <c r="B168" s="9">
        <v>0.43055555555555558</v>
      </c>
      <c r="C168" s="5" t="s">
        <v>20</v>
      </c>
      <c r="D168" s="5">
        <f t="shared" si="16"/>
        <v>10</v>
      </c>
      <c r="E168" s="15"/>
      <c r="F168" s="15" t="s">
        <v>25</v>
      </c>
      <c r="G168" s="19">
        <f t="shared" si="18"/>
        <v>6.8</v>
      </c>
      <c r="H168" s="19">
        <f t="shared" si="19"/>
        <v>9.1999999999999993</v>
      </c>
      <c r="I168" s="19">
        <f t="shared" si="19"/>
        <v>5.54</v>
      </c>
      <c r="J168" s="19">
        <f t="shared" si="26"/>
        <v>3.08</v>
      </c>
      <c r="K168" s="19">
        <f t="shared" si="27"/>
        <v>2.48</v>
      </c>
      <c r="L168" s="19">
        <f t="shared" si="28"/>
        <v>3.68</v>
      </c>
      <c r="M168" s="19"/>
      <c r="N168" s="36">
        <f t="shared" si="20"/>
        <v>30.779999999999998</v>
      </c>
      <c r="O168" s="36">
        <f t="shared" si="17"/>
        <v>393.19053546875102</v>
      </c>
      <c r="P168" s="37">
        <v>8</v>
      </c>
      <c r="Q168" s="37">
        <v>10</v>
      </c>
      <c r="R168" s="37">
        <v>9</v>
      </c>
      <c r="S168" s="37">
        <v>9</v>
      </c>
      <c r="T168" s="37">
        <v>9</v>
      </c>
      <c r="U168" s="37">
        <v>9</v>
      </c>
      <c r="V168" s="37">
        <v>9</v>
      </c>
      <c r="W168" s="38" t="str">
        <f t="shared" si="21"/>
        <v>N</v>
      </c>
      <c r="X168" s="64">
        <f t="shared" si="22"/>
        <v>0</v>
      </c>
      <c r="Y168" s="64" t="str">
        <f t="shared" si="23"/>
        <v>0-4.9%</v>
      </c>
      <c r="Z168" s="8" t="s">
        <v>121</v>
      </c>
      <c r="AB168" s="32">
        <v>6800</v>
      </c>
      <c r="AC168" s="32">
        <v>9200</v>
      </c>
      <c r="AD168" s="32">
        <v>5540</v>
      </c>
      <c r="AE168" s="32">
        <v>3080</v>
      </c>
      <c r="AF168" s="32">
        <v>2480</v>
      </c>
      <c r="AG168" s="32">
        <v>3680</v>
      </c>
      <c r="AH168" s="13"/>
    </row>
    <row r="169" spans="1:34" ht="24" customHeight="1" x14ac:dyDescent="0.25">
      <c r="A169" s="10">
        <v>22</v>
      </c>
      <c r="B169" s="9">
        <v>0.44791666666666669</v>
      </c>
      <c r="C169" s="5" t="s">
        <v>20</v>
      </c>
      <c r="D169" s="5">
        <f t="shared" si="16"/>
        <v>10</v>
      </c>
      <c r="E169" s="15"/>
      <c r="F169" s="15" t="s">
        <v>26</v>
      </c>
      <c r="G169" s="19">
        <f t="shared" si="18"/>
        <v>7.08</v>
      </c>
      <c r="H169" s="19">
        <f t="shared" si="19"/>
        <v>11.5</v>
      </c>
      <c r="I169" s="19">
        <f t="shared" si="19"/>
        <v>12.46</v>
      </c>
      <c r="J169" s="19">
        <f t="shared" si="26"/>
        <v>10.28</v>
      </c>
      <c r="K169" s="19"/>
      <c r="L169" s="19"/>
      <c r="M169" s="19"/>
      <c r="N169" s="36">
        <f t="shared" si="20"/>
        <v>41.32</v>
      </c>
      <c r="O169" s="36">
        <f t="shared" si="17"/>
        <v>1479.5024661793259</v>
      </c>
      <c r="P169" s="37">
        <v>8</v>
      </c>
      <c r="Q169" s="37">
        <v>10</v>
      </c>
      <c r="R169" s="37">
        <v>9</v>
      </c>
      <c r="S169" s="37">
        <v>9</v>
      </c>
      <c r="T169" s="37">
        <v>9</v>
      </c>
      <c r="U169" s="37">
        <v>9</v>
      </c>
      <c r="V169" s="37">
        <v>9</v>
      </c>
      <c r="W169" s="38" t="str">
        <f t="shared" si="21"/>
        <v>Y</v>
      </c>
      <c r="X169" s="64">
        <f t="shared" si="22"/>
        <v>0.34600000000000009</v>
      </c>
      <c r="Y169" s="64" t="str">
        <f t="shared" si="23"/>
        <v>25-50%</v>
      </c>
      <c r="Z169" s="8" t="s">
        <v>127</v>
      </c>
      <c r="AB169" s="32">
        <v>7080</v>
      </c>
      <c r="AC169" s="32">
        <v>11500</v>
      </c>
      <c r="AD169" s="32">
        <v>12460</v>
      </c>
      <c r="AE169" s="32">
        <v>10280</v>
      </c>
      <c r="AF169" s="32"/>
      <c r="AG169" s="32"/>
      <c r="AH169" s="13"/>
    </row>
    <row r="170" spans="1:34" ht="24" customHeight="1" x14ac:dyDescent="0.25">
      <c r="A170" s="10">
        <v>23</v>
      </c>
      <c r="B170" s="9">
        <v>0.45416666666666666</v>
      </c>
      <c r="C170" s="5" t="s">
        <v>20</v>
      </c>
      <c r="D170" s="5">
        <f t="shared" si="16"/>
        <v>10</v>
      </c>
      <c r="E170" s="15"/>
      <c r="F170" s="15" t="s">
        <v>27</v>
      </c>
      <c r="G170" s="19">
        <f t="shared" si="18"/>
        <v>6.2</v>
      </c>
      <c r="H170" s="19">
        <f t="shared" si="19"/>
        <v>3.34</v>
      </c>
      <c r="I170" s="19">
        <f t="shared" si="19"/>
        <v>12.64</v>
      </c>
      <c r="J170" s="19">
        <f t="shared" si="26"/>
        <v>8.08</v>
      </c>
      <c r="K170" s="19"/>
      <c r="L170" s="19"/>
      <c r="M170" s="19"/>
      <c r="N170" s="36">
        <f t="shared" si="20"/>
        <v>30.259999999999998</v>
      </c>
      <c r="O170" s="36">
        <f t="shared" si="17"/>
        <v>364.17023148511703</v>
      </c>
      <c r="P170" s="37">
        <v>8</v>
      </c>
      <c r="Q170" s="37">
        <v>10</v>
      </c>
      <c r="R170" s="37">
        <v>9</v>
      </c>
      <c r="S170" s="37">
        <v>9</v>
      </c>
      <c r="T170" s="37">
        <v>9</v>
      </c>
      <c r="U170" s="37">
        <v>9</v>
      </c>
      <c r="V170" s="37">
        <v>9</v>
      </c>
      <c r="W170" s="38" t="str">
        <f t="shared" si="21"/>
        <v>Y</v>
      </c>
      <c r="X170" s="64">
        <f t="shared" si="22"/>
        <v>0.36400000000000005</v>
      </c>
      <c r="Y170" s="64" t="str">
        <f t="shared" si="23"/>
        <v>25-50%</v>
      </c>
      <c r="Z170" s="8" t="s">
        <v>108</v>
      </c>
      <c r="AB170" s="32">
        <v>6200</v>
      </c>
      <c r="AC170" s="32">
        <v>3340</v>
      </c>
      <c r="AD170" s="32">
        <v>12640</v>
      </c>
      <c r="AE170" s="32">
        <v>8080</v>
      </c>
      <c r="AF170" s="32"/>
      <c r="AG170" s="32"/>
      <c r="AH170" s="13"/>
    </row>
    <row r="171" spans="1:34" ht="24" customHeight="1" x14ac:dyDescent="0.25">
      <c r="A171" s="10">
        <v>24</v>
      </c>
      <c r="B171" s="9">
        <v>0.45555555555555555</v>
      </c>
      <c r="C171" s="5" t="s">
        <v>20</v>
      </c>
      <c r="D171" s="5">
        <f t="shared" si="16"/>
        <v>10</v>
      </c>
      <c r="E171" s="15"/>
      <c r="F171" s="15" t="s">
        <v>28</v>
      </c>
      <c r="G171" s="19">
        <f t="shared" si="18"/>
        <v>4.26</v>
      </c>
      <c r="H171" s="19">
        <f t="shared" si="19"/>
        <v>8.02</v>
      </c>
      <c r="I171" s="19">
        <f t="shared" si="19"/>
        <v>4.0599999999999996</v>
      </c>
      <c r="J171" s="19">
        <f t="shared" si="26"/>
        <v>5.04</v>
      </c>
      <c r="K171" s="19">
        <f t="shared" si="27"/>
        <v>4.08</v>
      </c>
      <c r="L171" s="19">
        <f t="shared" si="28"/>
        <v>4.92</v>
      </c>
      <c r="M171" s="13"/>
      <c r="N171" s="36">
        <f t="shared" si="20"/>
        <v>30.380000000000003</v>
      </c>
      <c r="O171" s="36">
        <f t="shared" si="17"/>
        <v>370.71422281059216</v>
      </c>
      <c r="P171" s="37">
        <v>8</v>
      </c>
      <c r="Q171" s="37">
        <v>10</v>
      </c>
      <c r="R171" s="37">
        <v>9</v>
      </c>
      <c r="S171" s="37">
        <v>9</v>
      </c>
      <c r="T171" s="37">
        <v>9</v>
      </c>
      <c r="U171" s="37">
        <v>9</v>
      </c>
      <c r="V171" s="37">
        <v>9</v>
      </c>
      <c r="W171" s="38" t="str">
        <f t="shared" si="21"/>
        <v>N</v>
      </c>
      <c r="X171" s="64">
        <f t="shared" si="22"/>
        <v>0</v>
      </c>
      <c r="Y171" s="64" t="str">
        <f t="shared" si="23"/>
        <v>0-4.9%</v>
      </c>
      <c r="Z171" s="8" t="s">
        <v>108</v>
      </c>
      <c r="AB171" s="32">
        <v>4260</v>
      </c>
      <c r="AC171" s="32">
        <v>8020</v>
      </c>
      <c r="AD171" s="32">
        <v>4060</v>
      </c>
      <c r="AE171" s="32">
        <v>5040</v>
      </c>
      <c r="AF171" s="32">
        <v>4080</v>
      </c>
      <c r="AG171" s="32">
        <v>4920</v>
      </c>
      <c r="AH171" s="13"/>
    </row>
    <row r="172" spans="1:34" ht="24" customHeight="1" x14ac:dyDescent="0.25">
      <c r="A172" s="10">
        <v>28</v>
      </c>
      <c r="B172" s="9">
        <v>0.46666666666666662</v>
      </c>
      <c r="C172" s="5" t="s">
        <v>20</v>
      </c>
      <c r="D172" s="5">
        <f t="shared" si="16"/>
        <v>10</v>
      </c>
      <c r="E172" s="15"/>
      <c r="F172" s="15" t="s">
        <v>24</v>
      </c>
      <c r="G172" s="19">
        <f t="shared" si="18"/>
        <v>6.72</v>
      </c>
      <c r="H172" s="19">
        <f t="shared" si="19"/>
        <v>10.119999999999999</v>
      </c>
      <c r="I172" s="19">
        <f t="shared" si="19"/>
        <v>5.24</v>
      </c>
      <c r="J172" s="19">
        <f t="shared" ref="J172:J230" si="29">AE172/1000</f>
        <v>4.42</v>
      </c>
      <c r="K172" s="19">
        <f t="shared" ref="K172:K230" si="30">AF172/1000</f>
        <v>3.34</v>
      </c>
      <c r="L172" s="19">
        <f t="shared" ref="L172:M230" si="31">AG172/1000</f>
        <v>3.4</v>
      </c>
      <c r="M172" s="13"/>
      <c r="N172" s="36">
        <f t="shared" si="20"/>
        <v>33.24</v>
      </c>
      <c r="O172" s="36">
        <f t="shared" si="17"/>
        <v>555.73641302683109</v>
      </c>
      <c r="P172" s="37">
        <v>8</v>
      </c>
      <c r="Q172" s="37">
        <v>10</v>
      </c>
      <c r="R172" s="37">
        <v>9</v>
      </c>
      <c r="S172" s="37">
        <v>9</v>
      </c>
      <c r="T172" s="37">
        <v>9</v>
      </c>
      <c r="U172" s="37">
        <v>9</v>
      </c>
      <c r="V172" s="37">
        <v>9</v>
      </c>
      <c r="W172" s="38" t="str">
        <f t="shared" si="21"/>
        <v>Y</v>
      </c>
      <c r="X172" s="64">
        <f t="shared" si="22"/>
        <v>1.1999999999999922E-2</v>
      </c>
      <c r="Y172" s="64" t="str">
        <f t="shared" si="23"/>
        <v>0-4.9%</v>
      </c>
      <c r="Z172" s="8" t="s">
        <v>127</v>
      </c>
      <c r="AB172" s="32">
        <v>6720</v>
      </c>
      <c r="AC172" s="32">
        <v>10120</v>
      </c>
      <c r="AD172" s="32">
        <v>5240</v>
      </c>
      <c r="AE172" s="32">
        <v>4420</v>
      </c>
      <c r="AF172" s="32">
        <v>3340</v>
      </c>
      <c r="AG172" s="32">
        <v>3400</v>
      </c>
      <c r="AH172" s="13"/>
    </row>
    <row r="173" spans="1:34" ht="24" customHeight="1" x14ac:dyDescent="0.25">
      <c r="A173" s="10">
        <v>29</v>
      </c>
      <c r="B173" s="9">
        <v>0.46736111111111112</v>
      </c>
      <c r="C173" s="5" t="s">
        <v>20</v>
      </c>
      <c r="D173" s="5">
        <f t="shared" si="16"/>
        <v>10</v>
      </c>
      <c r="E173" s="15"/>
      <c r="F173" s="15" t="s">
        <v>24</v>
      </c>
      <c r="G173" s="19">
        <f t="shared" si="18"/>
        <v>7.58</v>
      </c>
      <c r="H173" s="19">
        <f t="shared" si="19"/>
        <v>6.08</v>
      </c>
      <c r="I173" s="19">
        <f t="shared" si="19"/>
        <v>3.14</v>
      </c>
      <c r="J173" s="19">
        <f t="shared" si="29"/>
        <v>3.74</v>
      </c>
      <c r="K173" s="19">
        <f t="shared" si="30"/>
        <v>3.12</v>
      </c>
      <c r="L173" s="19">
        <f t="shared" si="31"/>
        <v>3.66</v>
      </c>
      <c r="M173" s="13"/>
      <c r="N173" s="36">
        <f t="shared" si="20"/>
        <v>27.32</v>
      </c>
      <c r="O173" s="36">
        <f t="shared" si="17"/>
        <v>229.9097626809822</v>
      </c>
      <c r="P173" s="37">
        <v>8</v>
      </c>
      <c r="Q173" s="37">
        <v>10</v>
      </c>
      <c r="R173" s="37">
        <v>9</v>
      </c>
      <c r="S173" s="37">
        <v>9</v>
      </c>
      <c r="T173" s="37">
        <v>9</v>
      </c>
      <c r="U173" s="37">
        <v>9</v>
      </c>
      <c r="V173" s="37">
        <v>9</v>
      </c>
      <c r="W173" s="38" t="str">
        <f t="shared" si="21"/>
        <v>N</v>
      </c>
      <c r="X173" s="64">
        <f t="shared" si="22"/>
        <v>0</v>
      </c>
      <c r="Y173" s="64" t="str">
        <f t="shared" si="23"/>
        <v>0-4.9%</v>
      </c>
      <c r="Z173" s="8" t="s">
        <v>127</v>
      </c>
      <c r="AB173" s="32">
        <v>7580</v>
      </c>
      <c r="AC173" s="32">
        <v>6080</v>
      </c>
      <c r="AD173" s="32">
        <v>3140</v>
      </c>
      <c r="AE173" s="32">
        <v>3740</v>
      </c>
      <c r="AF173" s="32">
        <v>3120</v>
      </c>
      <c r="AG173" s="32">
        <v>3660</v>
      </c>
      <c r="AH173" s="13"/>
    </row>
    <row r="174" spans="1:34" ht="24" customHeight="1" x14ac:dyDescent="0.25">
      <c r="A174" s="10">
        <v>31</v>
      </c>
      <c r="B174" s="9">
        <v>0.47013888888888888</v>
      </c>
      <c r="C174" s="5" t="s">
        <v>20</v>
      </c>
      <c r="D174" s="5">
        <f t="shared" si="16"/>
        <v>10</v>
      </c>
      <c r="E174" s="15"/>
      <c r="F174" s="15" t="s">
        <v>24</v>
      </c>
      <c r="G174" s="19">
        <f t="shared" si="18"/>
        <v>7.78</v>
      </c>
      <c r="H174" s="19">
        <f t="shared" si="19"/>
        <v>5.0999999999999996</v>
      </c>
      <c r="I174" s="19">
        <f t="shared" si="19"/>
        <v>14.8</v>
      </c>
      <c r="J174" s="19">
        <f t="shared" si="29"/>
        <v>14.28</v>
      </c>
      <c r="K174" s="19">
        <f t="shared" si="30"/>
        <v>0</v>
      </c>
      <c r="L174" s="19">
        <f t="shared" si="31"/>
        <v>0</v>
      </c>
      <c r="M174" s="13"/>
      <c r="N174" s="36">
        <f t="shared" si="20"/>
        <v>41.96</v>
      </c>
      <c r="O174" s="36">
        <f t="shared" si="17"/>
        <v>1585.455085808881</v>
      </c>
      <c r="P174" s="37">
        <v>8</v>
      </c>
      <c r="Q174" s="37">
        <v>10</v>
      </c>
      <c r="R174" s="37">
        <v>9</v>
      </c>
      <c r="S174" s="37">
        <v>9</v>
      </c>
      <c r="T174" s="37">
        <v>9</v>
      </c>
      <c r="U174" s="37">
        <v>9</v>
      </c>
      <c r="V174" s="37">
        <v>9</v>
      </c>
      <c r="W174" s="38" t="str">
        <f t="shared" si="21"/>
        <v>Y</v>
      </c>
      <c r="X174" s="64">
        <f t="shared" si="22"/>
        <v>0.58000000000000007</v>
      </c>
      <c r="Y174" s="64" t="str">
        <f t="shared" si="23"/>
        <v>Over 50%</v>
      </c>
      <c r="Z174" s="8" t="s">
        <v>108</v>
      </c>
      <c r="AB174" s="32">
        <v>7780</v>
      </c>
      <c r="AC174" s="32">
        <v>5100</v>
      </c>
      <c r="AD174" s="32">
        <v>14800</v>
      </c>
      <c r="AE174" s="32">
        <v>14280</v>
      </c>
      <c r="AF174" s="32"/>
      <c r="AG174" s="32"/>
      <c r="AH174" s="13"/>
    </row>
    <row r="175" spans="1:34" ht="24" customHeight="1" x14ac:dyDescent="0.25">
      <c r="A175" s="10">
        <v>32</v>
      </c>
      <c r="B175" s="9">
        <v>0.47083333333333338</v>
      </c>
      <c r="C175" s="5" t="s">
        <v>20</v>
      </c>
      <c r="D175" s="5">
        <f t="shared" si="16"/>
        <v>10</v>
      </c>
      <c r="E175" s="15"/>
      <c r="F175" s="15" t="s">
        <v>25</v>
      </c>
      <c r="G175" s="19">
        <f t="shared" si="18"/>
        <v>8.8800000000000008</v>
      </c>
      <c r="H175" s="19">
        <f t="shared" si="19"/>
        <v>3.86</v>
      </c>
      <c r="I175" s="19">
        <f t="shared" si="19"/>
        <v>10.98</v>
      </c>
      <c r="J175" s="19">
        <f t="shared" si="29"/>
        <v>10.98</v>
      </c>
      <c r="K175" s="19">
        <f t="shared" si="30"/>
        <v>10.14</v>
      </c>
      <c r="L175" s="19">
        <f t="shared" si="31"/>
        <v>9.16</v>
      </c>
      <c r="M175" s="13"/>
      <c r="N175" s="36">
        <f t="shared" si="20"/>
        <v>54</v>
      </c>
      <c r="O175" s="36">
        <f t="shared" si="17"/>
        <v>4933.6257804455681</v>
      </c>
      <c r="P175" s="37">
        <v>8</v>
      </c>
      <c r="Q175" s="37">
        <v>10</v>
      </c>
      <c r="R175" s="37">
        <v>9</v>
      </c>
      <c r="S175" s="37">
        <v>9</v>
      </c>
      <c r="T175" s="37">
        <v>9</v>
      </c>
      <c r="U175" s="37">
        <v>9</v>
      </c>
      <c r="V175" s="37">
        <v>9</v>
      </c>
      <c r="W175" s="38" t="str">
        <f t="shared" si="21"/>
        <v>Y</v>
      </c>
      <c r="X175" s="64">
        <f t="shared" si="22"/>
        <v>0.19800000000000004</v>
      </c>
      <c r="Y175" s="64" t="str">
        <f t="shared" si="23"/>
        <v>5-25%</v>
      </c>
      <c r="Z175" s="8" t="s">
        <v>127</v>
      </c>
      <c r="AB175" s="32">
        <v>8880</v>
      </c>
      <c r="AC175" s="32">
        <v>3860</v>
      </c>
      <c r="AD175" s="32">
        <v>10980</v>
      </c>
      <c r="AE175" s="32">
        <v>10980</v>
      </c>
      <c r="AF175" s="32">
        <v>10140</v>
      </c>
      <c r="AG175" s="32">
        <v>9160</v>
      </c>
      <c r="AH175" s="13"/>
    </row>
    <row r="176" spans="1:34" ht="24" customHeight="1" x14ac:dyDescent="0.25">
      <c r="A176" s="10">
        <v>35</v>
      </c>
      <c r="B176" s="9">
        <v>0.48680555555555555</v>
      </c>
      <c r="C176" s="5" t="s">
        <v>20</v>
      </c>
      <c r="D176" s="5">
        <f t="shared" si="16"/>
        <v>10</v>
      </c>
      <c r="E176" s="15"/>
      <c r="F176" s="15" t="s">
        <v>24</v>
      </c>
      <c r="G176" s="19">
        <f t="shared" si="18"/>
        <v>6.82</v>
      </c>
      <c r="H176" s="19">
        <f t="shared" si="19"/>
        <v>5.12</v>
      </c>
      <c r="I176" s="19">
        <f t="shared" si="19"/>
        <v>3.84</v>
      </c>
      <c r="J176" s="19">
        <f t="shared" si="29"/>
        <v>1.06</v>
      </c>
      <c r="K176" s="19">
        <f t="shared" si="30"/>
        <v>4.08</v>
      </c>
      <c r="L176" s="19">
        <f t="shared" si="31"/>
        <v>4.0599999999999996</v>
      </c>
      <c r="M176" s="13"/>
      <c r="N176" s="36">
        <f t="shared" si="20"/>
        <v>24.98</v>
      </c>
      <c r="O176" s="36">
        <f t="shared" si="17"/>
        <v>153.65979122335739</v>
      </c>
      <c r="P176" s="37">
        <v>8</v>
      </c>
      <c r="Q176" s="37">
        <v>10</v>
      </c>
      <c r="R176" s="37">
        <v>9</v>
      </c>
      <c r="S176" s="37">
        <v>9</v>
      </c>
      <c r="T176" s="37">
        <v>9</v>
      </c>
      <c r="U176" s="37">
        <v>9</v>
      </c>
      <c r="V176" s="37">
        <v>9</v>
      </c>
      <c r="W176" s="38" t="str">
        <f t="shared" si="21"/>
        <v>N</v>
      </c>
      <c r="X176" s="64">
        <f t="shared" si="22"/>
        <v>0</v>
      </c>
      <c r="Y176" s="64" t="str">
        <f t="shared" si="23"/>
        <v>0-4.9%</v>
      </c>
      <c r="Z176" s="8" t="s">
        <v>108</v>
      </c>
      <c r="AB176" s="32">
        <v>6820</v>
      </c>
      <c r="AC176" s="32">
        <v>5120</v>
      </c>
      <c r="AD176" s="32">
        <v>3840</v>
      </c>
      <c r="AE176" s="32">
        <v>1060</v>
      </c>
      <c r="AF176" s="32">
        <v>4080</v>
      </c>
      <c r="AG176" s="32">
        <v>4060</v>
      </c>
      <c r="AH176" s="13"/>
    </row>
    <row r="177" spans="1:34" ht="24" customHeight="1" x14ac:dyDescent="0.25">
      <c r="A177" s="10">
        <v>36</v>
      </c>
      <c r="B177" s="9">
        <v>0.49652777777777773</v>
      </c>
      <c r="C177" s="5" t="s">
        <v>20</v>
      </c>
      <c r="D177" s="5">
        <f t="shared" si="16"/>
        <v>10</v>
      </c>
      <c r="E177" s="15"/>
      <c r="F177" s="15" t="s">
        <v>24</v>
      </c>
      <c r="G177" s="19">
        <f t="shared" si="18"/>
        <v>7.78</v>
      </c>
      <c r="H177" s="19">
        <f t="shared" si="19"/>
        <v>7.08</v>
      </c>
      <c r="I177" s="19">
        <f t="shared" si="19"/>
        <v>4.7</v>
      </c>
      <c r="J177" s="19">
        <f t="shared" si="29"/>
        <v>3.56</v>
      </c>
      <c r="K177" s="19">
        <f t="shared" si="30"/>
        <v>3.78</v>
      </c>
      <c r="L177" s="19">
        <f t="shared" si="31"/>
        <v>3.44</v>
      </c>
      <c r="M177" s="13"/>
      <c r="N177" s="36">
        <f t="shared" si="20"/>
        <v>30.34</v>
      </c>
      <c r="O177" s="36">
        <f t="shared" si="17"/>
        <v>368.52281476980284</v>
      </c>
      <c r="P177" s="37">
        <v>8</v>
      </c>
      <c r="Q177" s="37">
        <v>10</v>
      </c>
      <c r="R177" s="37">
        <v>9</v>
      </c>
      <c r="S177" s="37">
        <v>9</v>
      </c>
      <c r="T177" s="37">
        <v>9</v>
      </c>
      <c r="U177" s="37">
        <v>9</v>
      </c>
      <c r="V177" s="37">
        <v>9</v>
      </c>
      <c r="W177" s="38" t="str">
        <f t="shared" si="21"/>
        <v>N</v>
      </c>
      <c r="X177" s="64">
        <f t="shared" si="22"/>
        <v>0</v>
      </c>
      <c r="Y177" s="64" t="str">
        <f t="shared" si="23"/>
        <v>0-4.9%</v>
      </c>
      <c r="Z177" s="8" t="s">
        <v>117</v>
      </c>
      <c r="AB177" s="32">
        <v>7780</v>
      </c>
      <c r="AC177" s="32">
        <v>7080</v>
      </c>
      <c r="AD177" s="32">
        <v>4700</v>
      </c>
      <c r="AE177" s="32">
        <v>3560</v>
      </c>
      <c r="AF177" s="32">
        <v>3780</v>
      </c>
      <c r="AG177" s="32">
        <v>3440</v>
      </c>
      <c r="AH177" s="32"/>
    </row>
    <row r="178" spans="1:34" ht="24" customHeight="1" x14ac:dyDescent="0.25">
      <c r="A178" s="10">
        <v>38</v>
      </c>
      <c r="B178" s="9">
        <v>0.5</v>
      </c>
      <c r="C178" s="5" t="s">
        <v>20</v>
      </c>
      <c r="D178" s="5">
        <f t="shared" si="16"/>
        <v>10</v>
      </c>
      <c r="E178" s="15"/>
      <c r="F178" s="15" t="s">
        <v>28</v>
      </c>
      <c r="G178" s="19">
        <f t="shared" si="18"/>
        <v>9.74</v>
      </c>
      <c r="H178" s="19">
        <f t="shared" si="19"/>
        <v>6.08</v>
      </c>
      <c r="I178" s="19">
        <f t="shared" si="19"/>
        <v>6.22</v>
      </c>
      <c r="J178" s="19">
        <f t="shared" si="29"/>
        <v>6</v>
      </c>
      <c r="K178" s="19">
        <f t="shared" si="30"/>
        <v>5.98</v>
      </c>
      <c r="L178" s="19"/>
      <c r="M178" s="19"/>
      <c r="N178" s="36">
        <f t="shared" si="20"/>
        <v>34.019999999999996</v>
      </c>
      <c r="O178" s="36">
        <f t="shared" si="17"/>
        <v>616.87714103798453</v>
      </c>
      <c r="P178" s="37">
        <v>8</v>
      </c>
      <c r="Q178" s="37">
        <v>10</v>
      </c>
      <c r="R178" s="37">
        <v>9</v>
      </c>
      <c r="S178" s="37">
        <v>9</v>
      </c>
      <c r="T178" s="37">
        <v>9</v>
      </c>
      <c r="U178" s="37">
        <v>9</v>
      </c>
      <c r="V178" s="37">
        <v>9</v>
      </c>
      <c r="W178" s="38" t="str">
        <f t="shared" si="21"/>
        <v>Y</v>
      </c>
      <c r="X178" s="64">
        <f t="shared" si="22"/>
        <v>0.17400000000000002</v>
      </c>
      <c r="Y178" s="64" t="str">
        <f t="shared" si="23"/>
        <v>5-25%</v>
      </c>
      <c r="Z178" s="8" t="s">
        <v>127</v>
      </c>
      <c r="AB178" s="32">
        <v>9740</v>
      </c>
      <c r="AC178" s="32">
        <v>6080</v>
      </c>
      <c r="AD178" s="32">
        <v>6220</v>
      </c>
      <c r="AE178" s="32">
        <v>6000</v>
      </c>
      <c r="AF178" s="32">
        <v>5980</v>
      </c>
      <c r="AG178" s="32"/>
      <c r="AH178" s="32"/>
    </row>
    <row r="179" spans="1:34" ht="24" customHeight="1" x14ac:dyDescent="0.25">
      <c r="A179" s="10">
        <v>42</v>
      </c>
      <c r="B179" s="9">
        <v>0.5180555555555556</v>
      </c>
      <c r="C179" s="5" t="s">
        <v>20</v>
      </c>
      <c r="D179" s="5">
        <f t="shared" si="16"/>
        <v>10</v>
      </c>
      <c r="E179" s="15"/>
      <c r="F179" s="23" t="s">
        <v>24</v>
      </c>
      <c r="G179" s="19">
        <f t="shared" si="18"/>
        <v>8.02</v>
      </c>
      <c r="H179" s="19">
        <f t="shared" si="19"/>
        <v>6.26</v>
      </c>
      <c r="I179" s="19">
        <f t="shared" si="19"/>
        <v>3</v>
      </c>
      <c r="J179" s="19">
        <f t="shared" si="29"/>
        <v>3.78</v>
      </c>
      <c r="K179" s="19">
        <f t="shared" si="30"/>
        <v>3.12</v>
      </c>
      <c r="L179" s="19">
        <f t="shared" si="31"/>
        <v>3.04</v>
      </c>
      <c r="M179" s="13"/>
      <c r="N179" s="36">
        <f t="shared" si="20"/>
        <v>27.220000000000002</v>
      </c>
      <c r="O179" s="36">
        <f t="shared" si="17"/>
        <v>226.14699927830449</v>
      </c>
      <c r="P179" s="37">
        <v>8</v>
      </c>
      <c r="Q179" s="37">
        <v>10</v>
      </c>
      <c r="R179" s="37">
        <v>9</v>
      </c>
      <c r="S179" s="37">
        <v>9</v>
      </c>
      <c r="T179" s="37">
        <v>9</v>
      </c>
      <c r="U179" s="37">
        <v>9</v>
      </c>
      <c r="V179" s="37">
        <v>9</v>
      </c>
      <c r="W179" s="38" t="str">
        <f t="shared" si="21"/>
        <v>Y</v>
      </c>
      <c r="X179" s="64">
        <f t="shared" si="22"/>
        <v>1.9999999999999575E-3</v>
      </c>
      <c r="Y179" s="64" t="str">
        <f t="shared" si="23"/>
        <v>0-4.9%</v>
      </c>
      <c r="Z179" s="8" t="s">
        <v>108</v>
      </c>
      <c r="AB179" s="32">
        <v>8020</v>
      </c>
      <c r="AC179" s="32">
        <v>6260</v>
      </c>
      <c r="AD179" s="32">
        <v>3000</v>
      </c>
      <c r="AE179" s="32">
        <v>3780</v>
      </c>
      <c r="AF179" s="32">
        <v>3120</v>
      </c>
      <c r="AG179" s="32">
        <v>3040</v>
      </c>
      <c r="AH179" s="32"/>
    </row>
    <row r="180" spans="1:34" ht="24" customHeight="1" x14ac:dyDescent="0.25">
      <c r="A180" s="10">
        <v>43</v>
      </c>
      <c r="B180" s="9">
        <v>0.52013888888888882</v>
      </c>
      <c r="C180" s="5" t="s">
        <v>20</v>
      </c>
      <c r="D180" s="5">
        <f t="shared" si="16"/>
        <v>10</v>
      </c>
      <c r="E180" s="15"/>
      <c r="F180" s="15" t="s">
        <v>28</v>
      </c>
      <c r="G180" s="19">
        <f t="shared" si="18"/>
        <v>7.54</v>
      </c>
      <c r="H180" s="19">
        <f t="shared" si="19"/>
        <v>5.92</v>
      </c>
      <c r="I180" s="19">
        <f t="shared" si="19"/>
        <v>4.8600000000000003</v>
      </c>
      <c r="J180" s="19">
        <f t="shared" si="29"/>
        <v>3.34</v>
      </c>
      <c r="K180" s="19">
        <f t="shared" si="30"/>
        <v>4.0199999999999996</v>
      </c>
      <c r="L180" s="19">
        <f t="shared" si="31"/>
        <v>3.86</v>
      </c>
      <c r="M180" s="19"/>
      <c r="N180" s="36">
        <f t="shared" si="20"/>
        <v>29.54</v>
      </c>
      <c r="O180" s="36">
        <f t="shared" si="17"/>
        <v>326.76948601277758</v>
      </c>
      <c r="P180" s="37">
        <v>8</v>
      </c>
      <c r="Q180" s="37">
        <v>10</v>
      </c>
      <c r="R180" s="37">
        <v>9</v>
      </c>
      <c r="S180" s="37">
        <v>9</v>
      </c>
      <c r="T180" s="37">
        <v>9</v>
      </c>
      <c r="U180" s="37">
        <v>9</v>
      </c>
      <c r="V180" s="37">
        <v>9</v>
      </c>
      <c r="W180" s="38" t="str">
        <f t="shared" si="21"/>
        <v>N</v>
      </c>
      <c r="X180" s="64">
        <f t="shared" si="22"/>
        <v>0</v>
      </c>
      <c r="Y180" s="64" t="str">
        <f t="shared" si="23"/>
        <v>0-4.9%</v>
      </c>
      <c r="Z180" s="8" t="s">
        <v>108</v>
      </c>
      <c r="AB180" s="32">
        <v>7540</v>
      </c>
      <c r="AC180" s="32">
        <v>5920</v>
      </c>
      <c r="AD180" s="32">
        <v>4860</v>
      </c>
      <c r="AE180" s="32">
        <v>3340</v>
      </c>
      <c r="AF180" s="32">
        <v>4020</v>
      </c>
      <c r="AG180" s="32">
        <v>3860</v>
      </c>
      <c r="AH180" s="32"/>
    </row>
    <row r="181" spans="1:34" ht="24" customHeight="1" x14ac:dyDescent="0.25">
      <c r="A181" s="10">
        <v>44</v>
      </c>
      <c r="B181" s="9">
        <v>0.52638888888888891</v>
      </c>
      <c r="C181" s="5" t="s">
        <v>20</v>
      </c>
      <c r="D181" s="5">
        <f t="shared" si="16"/>
        <v>10</v>
      </c>
      <c r="E181" s="15"/>
      <c r="F181" s="15" t="s">
        <v>24</v>
      </c>
      <c r="G181" s="19">
        <f t="shared" si="18"/>
        <v>8.14</v>
      </c>
      <c r="H181" s="19">
        <f t="shared" si="19"/>
        <v>11.78</v>
      </c>
      <c r="I181" s="19">
        <f t="shared" si="19"/>
        <v>7.98</v>
      </c>
      <c r="J181" s="19">
        <f t="shared" si="29"/>
        <v>6.62</v>
      </c>
      <c r="K181" s="19">
        <f t="shared" si="30"/>
        <v>7</v>
      </c>
      <c r="L181" s="19"/>
      <c r="M181" s="13"/>
      <c r="N181" s="36">
        <f t="shared" si="20"/>
        <v>41.52</v>
      </c>
      <c r="O181" s="36">
        <f t="shared" si="17"/>
        <v>1512.0019016856318</v>
      </c>
      <c r="P181" s="37">
        <v>8</v>
      </c>
      <c r="Q181" s="37">
        <v>10</v>
      </c>
      <c r="R181" s="37">
        <v>9</v>
      </c>
      <c r="S181" s="37">
        <v>9</v>
      </c>
      <c r="T181" s="37">
        <v>9</v>
      </c>
      <c r="U181" s="37">
        <v>9</v>
      </c>
      <c r="V181" s="37">
        <v>9</v>
      </c>
      <c r="W181" s="38" t="str">
        <f t="shared" si="21"/>
        <v>Y</v>
      </c>
      <c r="X181" s="64">
        <f t="shared" si="22"/>
        <v>0.17799999999999994</v>
      </c>
      <c r="Y181" s="64" t="str">
        <f t="shared" si="23"/>
        <v>5-25%</v>
      </c>
      <c r="Z181" s="8" t="s">
        <v>127</v>
      </c>
      <c r="AB181" s="32">
        <v>8140</v>
      </c>
      <c r="AC181" s="32">
        <v>11780</v>
      </c>
      <c r="AD181" s="32">
        <v>7980</v>
      </c>
      <c r="AE181" s="32">
        <v>6620</v>
      </c>
      <c r="AF181" s="32">
        <v>7000</v>
      </c>
      <c r="AG181" s="32"/>
      <c r="AH181" s="32"/>
    </row>
    <row r="182" spans="1:34" ht="24" customHeight="1" x14ac:dyDescent="0.25">
      <c r="A182" s="10">
        <v>45</v>
      </c>
      <c r="B182" s="9">
        <v>0.52777777777777779</v>
      </c>
      <c r="C182" s="5" t="s">
        <v>20</v>
      </c>
      <c r="D182" s="5">
        <f t="shared" si="16"/>
        <v>10</v>
      </c>
      <c r="E182" s="15"/>
      <c r="F182" s="15" t="s">
        <v>30</v>
      </c>
      <c r="G182" s="19">
        <f t="shared" si="18"/>
        <v>5.8</v>
      </c>
      <c r="H182" s="19">
        <f t="shared" si="19"/>
        <v>5.82</v>
      </c>
      <c r="I182" s="19">
        <f t="shared" si="19"/>
        <v>11.48</v>
      </c>
      <c r="J182" s="19">
        <f t="shared" si="29"/>
        <v>6.82</v>
      </c>
      <c r="K182" s="19"/>
      <c r="L182" s="19"/>
      <c r="M182" s="13"/>
      <c r="N182" s="36">
        <f t="shared" si="20"/>
        <v>29.92</v>
      </c>
      <c r="O182" s="36">
        <f t="shared" si="17"/>
        <v>346.11580949779142</v>
      </c>
      <c r="P182" s="37">
        <v>8</v>
      </c>
      <c r="Q182" s="37">
        <v>10</v>
      </c>
      <c r="R182" s="37">
        <v>9</v>
      </c>
      <c r="S182" s="37">
        <v>9</v>
      </c>
      <c r="T182" s="37">
        <v>9</v>
      </c>
      <c r="U182" s="37">
        <v>9</v>
      </c>
      <c r="V182" s="37">
        <v>9</v>
      </c>
      <c r="W182" s="38" t="str">
        <f t="shared" si="21"/>
        <v>Y</v>
      </c>
      <c r="X182" s="64">
        <f t="shared" si="22"/>
        <v>0.24800000000000005</v>
      </c>
      <c r="Y182" s="64" t="str">
        <f t="shared" si="23"/>
        <v>5-25%</v>
      </c>
      <c r="Z182" s="8" t="s">
        <v>108</v>
      </c>
      <c r="AB182" s="32">
        <v>5800</v>
      </c>
      <c r="AC182" s="32">
        <v>5820</v>
      </c>
      <c r="AD182" s="32">
        <v>11480</v>
      </c>
      <c r="AE182" s="32">
        <v>6820</v>
      </c>
      <c r="AF182" s="32"/>
      <c r="AG182" s="32"/>
      <c r="AH182" s="32"/>
    </row>
    <row r="183" spans="1:34" ht="24" customHeight="1" x14ac:dyDescent="0.25">
      <c r="A183" s="10">
        <v>49</v>
      </c>
      <c r="B183" s="9">
        <v>0.53541666666666665</v>
      </c>
      <c r="C183" s="5" t="s">
        <v>21</v>
      </c>
      <c r="D183" s="5">
        <f t="shared" si="16"/>
        <v>10</v>
      </c>
      <c r="E183" s="15"/>
      <c r="F183" s="15" t="s">
        <v>24</v>
      </c>
      <c r="G183" s="19">
        <f t="shared" si="18"/>
        <v>8.64</v>
      </c>
      <c r="H183" s="19">
        <f t="shared" si="19"/>
        <v>10.86</v>
      </c>
      <c r="I183" s="19">
        <f t="shared" si="19"/>
        <v>5.52</v>
      </c>
      <c r="J183" s="19">
        <f t="shared" si="29"/>
        <v>5.72</v>
      </c>
      <c r="K183" s="19">
        <f t="shared" si="30"/>
        <v>1.98</v>
      </c>
      <c r="L183" s="19"/>
      <c r="M183" s="13"/>
      <c r="N183" s="36">
        <f t="shared" si="20"/>
        <v>32.72</v>
      </c>
      <c r="O183" s="36">
        <f t="shared" si="17"/>
        <v>517.67132979422047</v>
      </c>
      <c r="P183" s="37">
        <v>8</v>
      </c>
      <c r="Q183" s="37">
        <v>10</v>
      </c>
      <c r="R183" s="37">
        <v>9</v>
      </c>
      <c r="S183" s="37">
        <v>9</v>
      </c>
      <c r="T183" s="37">
        <v>9</v>
      </c>
      <c r="U183" s="37">
        <v>9</v>
      </c>
      <c r="V183" s="37">
        <v>9</v>
      </c>
      <c r="W183" s="38" t="str">
        <f t="shared" si="21"/>
        <v>Y</v>
      </c>
      <c r="X183" s="64">
        <f t="shared" si="22"/>
        <v>8.5999999999999938E-2</v>
      </c>
      <c r="Y183" s="64" t="str">
        <f t="shared" si="23"/>
        <v>5-25%</v>
      </c>
      <c r="Z183" s="8" t="s">
        <v>102</v>
      </c>
      <c r="AB183" s="32">
        <v>8640</v>
      </c>
      <c r="AC183" s="32">
        <v>10860</v>
      </c>
      <c r="AD183" s="32">
        <v>5520</v>
      </c>
      <c r="AE183" s="32">
        <v>5720</v>
      </c>
      <c r="AF183" s="32">
        <v>1980</v>
      </c>
      <c r="AG183" s="32"/>
      <c r="AH183" s="32"/>
    </row>
    <row r="184" spans="1:34" ht="24" customHeight="1" x14ac:dyDescent="0.25">
      <c r="A184" s="10">
        <v>50</v>
      </c>
      <c r="B184" s="9">
        <v>0.53611111111111109</v>
      </c>
      <c r="C184" s="5" t="s">
        <v>21</v>
      </c>
      <c r="D184" s="5">
        <f t="shared" si="16"/>
        <v>10</v>
      </c>
      <c r="E184" s="15"/>
      <c r="F184" s="15" t="s">
        <v>25</v>
      </c>
      <c r="G184" s="19">
        <f t="shared" si="18"/>
        <v>7.62</v>
      </c>
      <c r="H184" s="19">
        <f t="shared" si="19"/>
        <v>5.52</v>
      </c>
      <c r="I184" s="19">
        <f t="shared" si="19"/>
        <v>13.46</v>
      </c>
      <c r="J184" s="19">
        <f t="shared" si="29"/>
        <v>10.46</v>
      </c>
      <c r="K184" s="19"/>
      <c r="L184" s="19"/>
      <c r="M184" s="13"/>
      <c r="N184" s="36">
        <f t="shared" si="20"/>
        <v>37.06</v>
      </c>
      <c r="O184" s="36">
        <f t="shared" si="17"/>
        <v>906.71051670508325</v>
      </c>
      <c r="P184" s="37">
        <v>8</v>
      </c>
      <c r="Q184" s="37">
        <v>10</v>
      </c>
      <c r="R184" s="37">
        <v>9</v>
      </c>
      <c r="S184" s="37">
        <v>9</v>
      </c>
      <c r="T184" s="37">
        <v>9</v>
      </c>
      <c r="U184" s="37">
        <v>9</v>
      </c>
      <c r="V184" s="37">
        <v>9</v>
      </c>
      <c r="W184" s="38" t="str">
        <f t="shared" si="21"/>
        <v>Y</v>
      </c>
      <c r="X184" s="64">
        <f t="shared" si="22"/>
        <v>0.44600000000000006</v>
      </c>
      <c r="Y184" s="64" t="str">
        <f t="shared" si="23"/>
        <v>25-50%</v>
      </c>
      <c r="Z184" s="8" t="s">
        <v>102</v>
      </c>
      <c r="AB184" s="32">
        <v>7620</v>
      </c>
      <c r="AC184" s="32">
        <v>5520</v>
      </c>
      <c r="AD184" s="32">
        <v>13460</v>
      </c>
      <c r="AE184" s="32">
        <v>10460</v>
      </c>
      <c r="AF184" s="32"/>
      <c r="AG184" s="32"/>
      <c r="AH184" s="32"/>
    </row>
    <row r="185" spans="1:34" ht="24" customHeight="1" x14ac:dyDescent="0.25">
      <c r="A185" s="10">
        <v>51</v>
      </c>
      <c r="B185" s="9">
        <v>0.53680555555555554</v>
      </c>
      <c r="C185" s="5" t="s">
        <v>20</v>
      </c>
      <c r="D185" s="5">
        <f t="shared" si="16"/>
        <v>10</v>
      </c>
      <c r="E185" s="15"/>
      <c r="F185" s="15" t="s">
        <v>32</v>
      </c>
      <c r="G185" s="19">
        <f t="shared" si="18"/>
        <v>10.34</v>
      </c>
      <c r="H185" s="19">
        <f t="shared" si="19"/>
        <v>11.48</v>
      </c>
      <c r="I185" s="19">
        <f t="shared" si="19"/>
        <v>4.34</v>
      </c>
      <c r="J185" s="19">
        <f t="shared" si="29"/>
        <v>5.66</v>
      </c>
      <c r="K185" s="19">
        <f t="shared" si="30"/>
        <v>3.62</v>
      </c>
      <c r="L185" s="19">
        <f t="shared" si="31"/>
        <v>3.6</v>
      </c>
      <c r="M185" s="13"/>
      <c r="N185" s="36">
        <f t="shared" si="20"/>
        <v>39.04</v>
      </c>
      <c r="O185" s="36">
        <f t="shared" si="17"/>
        <v>1146.0100496449681</v>
      </c>
      <c r="P185" s="37">
        <v>8</v>
      </c>
      <c r="Q185" s="37">
        <v>10</v>
      </c>
      <c r="R185" s="37">
        <v>9</v>
      </c>
      <c r="S185" s="37">
        <v>9</v>
      </c>
      <c r="T185" s="37">
        <v>9</v>
      </c>
      <c r="U185" s="37">
        <v>9</v>
      </c>
      <c r="V185" s="37">
        <v>9</v>
      </c>
      <c r="W185" s="38" t="str">
        <f t="shared" si="21"/>
        <v>Y</v>
      </c>
      <c r="X185" s="64">
        <f t="shared" si="22"/>
        <v>0.23399999999999999</v>
      </c>
      <c r="Y185" s="64" t="str">
        <f t="shared" si="23"/>
        <v>5-25%</v>
      </c>
      <c r="Z185" s="8" t="s">
        <v>127</v>
      </c>
      <c r="AB185" s="32">
        <v>10340</v>
      </c>
      <c r="AC185" s="32">
        <v>11480</v>
      </c>
      <c r="AD185" s="32">
        <v>4340</v>
      </c>
      <c r="AE185" s="32">
        <v>5660</v>
      </c>
      <c r="AF185" s="32">
        <v>3620</v>
      </c>
      <c r="AG185" s="32">
        <v>3600</v>
      </c>
      <c r="AH185" s="32"/>
    </row>
    <row r="186" spans="1:34" ht="24" customHeight="1" x14ac:dyDescent="0.25">
      <c r="A186" s="10">
        <v>52</v>
      </c>
      <c r="B186" s="9">
        <v>0.53819444444444442</v>
      </c>
      <c r="C186" s="5" t="s">
        <v>20</v>
      </c>
      <c r="D186" s="5">
        <f t="shared" si="16"/>
        <v>10</v>
      </c>
      <c r="E186" s="15"/>
      <c r="F186" s="15" t="s">
        <v>23</v>
      </c>
      <c r="G186" s="19">
        <f t="shared" si="18"/>
        <v>6.68</v>
      </c>
      <c r="H186" s="19">
        <f t="shared" si="19"/>
        <v>4.78</v>
      </c>
      <c r="I186" s="19">
        <f t="shared" si="19"/>
        <v>10.48</v>
      </c>
      <c r="J186" s="19">
        <f t="shared" si="29"/>
        <v>10.92</v>
      </c>
      <c r="K186" s="19">
        <f t="shared" si="30"/>
        <v>10.199999999999999</v>
      </c>
      <c r="L186" s="19">
        <f t="shared" si="31"/>
        <v>10.3</v>
      </c>
      <c r="M186" s="13"/>
      <c r="N186" s="36">
        <f t="shared" si="20"/>
        <v>53.36</v>
      </c>
      <c r="O186" s="36">
        <f t="shared" si="17"/>
        <v>4675.9028535980669</v>
      </c>
      <c r="P186" s="37">
        <v>8</v>
      </c>
      <c r="Q186" s="37">
        <v>10</v>
      </c>
      <c r="R186" s="37">
        <v>9</v>
      </c>
      <c r="S186" s="37">
        <v>9</v>
      </c>
      <c r="T186" s="37">
        <v>9</v>
      </c>
      <c r="U186" s="37">
        <v>9</v>
      </c>
      <c r="V186" s="37">
        <v>9</v>
      </c>
      <c r="W186" s="38" t="str">
        <f t="shared" si="21"/>
        <v>Y</v>
      </c>
      <c r="X186" s="64">
        <f t="shared" si="22"/>
        <v>0.192</v>
      </c>
      <c r="Y186" s="64" t="str">
        <f t="shared" si="23"/>
        <v>5-25%</v>
      </c>
      <c r="Z186" s="8" t="s">
        <v>108</v>
      </c>
      <c r="AB186" s="32">
        <v>6680</v>
      </c>
      <c r="AC186" s="32">
        <v>4780</v>
      </c>
      <c r="AD186" s="32">
        <v>10480</v>
      </c>
      <c r="AE186" s="32">
        <v>10920</v>
      </c>
      <c r="AF186" s="32">
        <v>10200</v>
      </c>
      <c r="AG186" s="32">
        <v>10300</v>
      </c>
      <c r="AH186" s="32"/>
    </row>
    <row r="187" spans="1:34" ht="24" customHeight="1" x14ac:dyDescent="0.25">
      <c r="A187" s="10">
        <v>53</v>
      </c>
      <c r="B187" s="9">
        <v>4.5833333333333337E-2</v>
      </c>
      <c r="C187" s="5" t="s">
        <v>20</v>
      </c>
      <c r="D187" s="5">
        <f t="shared" si="16"/>
        <v>10</v>
      </c>
      <c r="E187" s="15"/>
      <c r="F187" s="15" t="s">
        <v>25</v>
      </c>
      <c r="G187" s="19">
        <f t="shared" si="18"/>
        <v>6.2</v>
      </c>
      <c r="H187" s="19">
        <f t="shared" si="19"/>
        <v>3.56</v>
      </c>
      <c r="I187" s="19">
        <f t="shared" si="19"/>
        <v>10.199999999999999</v>
      </c>
      <c r="J187" s="19">
        <f t="shared" si="29"/>
        <v>7.34</v>
      </c>
      <c r="K187" s="19">
        <f t="shared" si="30"/>
        <v>5.36</v>
      </c>
      <c r="L187" s="19">
        <f t="shared" si="31"/>
        <v>6.36</v>
      </c>
      <c r="M187" s="13"/>
      <c r="N187" s="36">
        <f t="shared" si="20"/>
        <v>39.020000000000003</v>
      </c>
      <c r="O187" s="36">
        <f t="shared" si="17"/>
        <v>1143.3704882611507</v>
      </c>
      <c r="P187" s="37">
        <v>8</v>
      </c>
      <c r="Q187" s="37">
        <v>10</v>
      </c>
      <c r="R187" s="37">
        <v>9</v>
      </c>
      <c r="S187" s="37">
        <v>9</v>
      </c>
      <c r="T187" s="37">
        <v>9</v>
      </c>
      <c r="U187" s="37">
        <v>9</v>
      </c>
      <c r="V187" s="37">
        <v>9</v>
      </c>
      <c r="W187" s="38" t="str">
        <f t="shared" si="21"/>
        <v>Y</v>
      </c>
      <c r="X187" s="64">
        <f t="shared" si="22"/>
        <v>0.11999999999999993</v>
      </c>
      <c r="Y187" s="64" t="str">
        <f t="shared" si="23"/>
        <v>5-25%</v>
      </c>
      <c r="Z187" s="8" t="s">
        <v>108</v>
      </c>
      <c r="AB187" s="32">
        <v>6200</v>
      </c>
      <c r="AC187" s="32">
        <v>3560</v>
      </c>
      <c r="AD187" s="32">
        <v>10200</v>
      </c>
      <c r="AE187" s="32">
        <v>7340</v>
      </c>
      <c r="AF187" s="32">
        <v>5360</v>
      </c>
      <c r="AG187" s="32">
        <v>6360</v>
      </c>
      <c r="AH187" s="32"/>
    </row>
    <row r="188" spans="1:34" ht="24" customHeight="1" x14ac:dyDescent="0.25">
      <c r="A188" s="10">
        <v>54</v>
      </c>
      <c r="B188" s="9">
        <v>4.7222222222222221E-2</v>
      </c>
      <c r="C188" s="5" t="s">
        <v>20</v>
      </c>
      <c r="D188" s="5">
        <f t="shared" si="16"/>
        <v>10</v>
      </c>
      <c r="E188" s="15"/>
      <c r="F188" s="15" t="s">
        <v>32</v>
      </c>
      <c r="G188" s="19">
        <f t="shared" si="18"/>
        <v>11.2</v>
      </c>
      <c r="H188" s="19">
        <f t="shared" si="19"/>
        <v>8.84</v>
      </c>
      <c r="I188" s="19">
        <f t="shared" si="19"/>
        <v>1.22</v>
      </c>
      <c r="J188" s="19">
        <f t="shared" si="29"/>
        <v>1.22</v>
      </c>
      <c r="K188" s="19"/>
      <c r="L188" s="19"/>
      <c r="M188" s="13"/>
      <c r="N188" s="36">
        <f t="shared" si="20"/>
        <v>22.479999999999997</v>
      </c>
      <c r="O188" s="36">
        <f t="shared" si="17"/>
        <v>95.604352974100124</v>
      </c>
      <c r="P188" s="37">
        <v>8</v>
      </c>
      <c r="Q188" s="37">
        <v>10</v>
      </c>
      <c r="R188" s="37">
        <v>9</v>
      </c>
      <c r="S188" s="37">
        <v>9</v>
      </c>
      <c r="T188" s="37">
        <v>9</v>
      </c>
      <c r="U188" s="37">
        <v>9</v>
      </c>
      <c r="V188" s="37">
        <v>9</v>
      </c>
      <c r="W188" s="38" t="str">
        <f t="shared" si="21"/>
        <v>Y</v>
      </c>
      <c r="X188" s="64">
        <f t="shared" si="22"/>
        <v>0.31999999999999995</v>
      </c>
      <c r="Y188" s="64" t="str">
        <f t="shared" si="23"/>
        <v>25-50%</v>
      </c>
      <c r="Z188" s="8" t="s">
        <v>121</v>
      </c>
      <c r="AB188" s="32">
        <v>11200</v>
      </c>
      <c r="AC188" s="32">
        <v>8840</v>
      </c>
      <c r="AD188" s="32">
        <v>1220</v>
      </c>
      <c r="AE188" s="32">
        <v>1220</v>
      </c>
      <c r="AF188" s="32"/>
      <c r="AG188" s="32"/>
      <c r="AH188" s="32"/>
    </row>
    <row r="189" spans="1:34" ht="24" customHeight="1" x14ac:dyDescent="0.25">
      <c r="A189" s="10">
        <v>56</v>
      </c>
      <c r="B189" s="9">
        <v>5.7638888888888885E-2</v>
      </c>
      <c r="C189" s="5" t="s">
        <v>20</v>
      </c>
      <c r="D189" s="5">
        <f t="shared" si="16"/>
        <v>10</v>
      </c>
      <c r="E189" s="15"/>
      <c r="F189" s="15" t="s">
        <v>32</v>
      </c>
      <c r="G189" s="19">
        <f t="shared" si="18"/>
        <v>10.96</v>
      </c>
      <c r="H189" s="19">
        <f t="shared" si="19"/>
        <v>9.24</v>
      </c>
      <c r="I189" s="19">
        <f t="shared" si="19"/>
        <v>10.16</v>
      </c>
      <c r="J189" s="19">
        <f t="shared" si="29"/>
        <v>8.6</v>
      </c>
      <c r="K189" s="19">
        <f t="shared" si="30"/>
        <v>9.58</v>
      </c>
      <c r="L189" s="19">
        <f t="shared" si="31"/>
        <v>9.7799999999999994</v>
      </c>
      <c r="M189" s="13"/>
      <c r="N189" s="36">
        <f t="shared" si="20"/>
        <v>58.32</v>
      </c>
      <c r="O189" s="36">
        <f t="shared" si="17"/>
        <v>6975.464045237698</v>
      </c>
      <c r="P189" s="37">
        <v>8</v>
      </c>
      <c r="Q189" s="37">
        <v>10</v>
      </c>
      <c r="R189" s="37">
        <v>9</v>
      </c>
      <c r="S189" s="37">
        <v>9</v>
      </c>
      <c r="T189" s="37">
        <v>9</v>
      </c>
      <c r="U189" s="37">
        <v>9</v>
      </c>
      <c r="V189" s="37">
        <v>9</v>
      </c>
      <c r="W189" s="38" t="str">
        <f t="shared" si="21"/>
        <v>Y</v>
      </c>
      <c r="X189" s="64">
        <f t="shared" si="22"/>
        <v>0.2960000000000001</v>
      </c>
      <c r="Y189" s="64" t="str">
        <f t="shared" si="23"/>
        <v>25-50%</v>
      </c>
      <c r="Z189" s="8" t="s">
        <v>127</v>
      </c>
      <c r="AB189" s="32">
        <v>10960</v>
      </c>
      <c r="AC189" s="32">
        <v>9240</v>
      </c>
      <c r="AD189" s="32">
        <v>10160</v>
      </c>
      <c r="AE189" s="32">
        <v>8600</v>
      </c>
      <c r="AF189" s="32">
        <v>9580</v>
      </c>
      <c r="AG189" s="32">
        <v>9780</v>
      </c>
      <c r="AH189" s="32"/>
    </row>
    <row r="190" spans="1:34" ht="24" customHeight="1" x14ac:dyDescent="0.25">
      <c r="A190" s="10">
        <v>59</v>
      </c>
      <c r="B190" s="9">
        <v>6.3888888888888884E-2</v>
      </c>
      <c r="C190" s="5" t="s">
        <v>20</v>
      </c>
      <c r="D190" s="5">
        <f t="shared" si="16"/>
        <v>10</v>
      </c>
      <c r="E190" s="15"/>
      <c r="F190" s="15" t="s">
        <v>24</v>
      </c>
      <c r="G190" s="19">
        <f t="shared" si="18"/>
        <v>7.06</v>
      </c>
      <c r="H190" s="19">
        <f t="shared" si="19"/>
        <v>5.0599999999999996</v>
      </c>
      <c r="I190" s="19">
        <f t="shared" si="19"/>
        <v>8.6999999999999993</v>
      </c>
      <c r="J190" s="19">
        <f t="shared" si="29"/>
        <v>10.32</v>
      </c>
      <c r="K190" s="19">
        <f t="shared" si="30"/>
        <v>10.42</v>
      </c>
      <c r="L190" s="19">
        <f t="shared" si="31"/>
        <v>8.6999999999999993</v>
      </c>
      <c r="M190" s="13"/>
      <c r="N190" s="36">
        <f t="shared" si="20"/>
        <v>50.260000000000005</v>
      </c>
      <c r="O190" s="36">
        <f t="shared" si="17"/>
        <v>3571.8685247117774</v>
      </c>
      <c r="P190" s="37">
        <v>8</v>
      </c>
      <c r="Q190" s="37">
        <v>10</v>
      </c>
      <c r="R190" s="37">
        <v>9</v>
      </c>
      <c r="S190" s="37">
        <v>9</v>
      </c>
      <c r="T190" s="37">
        <v>9</v>
      </c>
      <c r="U190" s="37">
        <v>9</v>
      </c>
      <c r="V190" s="37">
        <v>9</v>
      </c>
      <c r="W190" s="38" t="str">
        <f t="shared" si="21"/>
        <v>Y</v>
      </c>
      <c r="X190" s="64">
        <f t="shared" si="22"/>
        <v>0.14199999999999999</v>
      </c>
      <c r="Y190" s="64" t="str">
        <f t="shared" si="23"/>
        <v>5-25%</v>
      </c>
      <c r="Z190" s="8" t="s">
        <v>108</v>
      </c>
      <c r="AB190" s="32">
        <v>7060</v>
      </c>
      <c r="AC190" s="32">
        <v>5060</v>
      </c>
      <c r="AD190" s="32">
        <v>8700</v>
      </c>
      <c r="AE190" s="32">
        <v>10320</v>
      </c>
      <c r="AF190" s="32">
        <v>10420</v>
      </c>
      <c r="AG190" s="32">
        <v>8700</v>
      </c>
      <c r="AH190" s="32">
        <v>7700</v>
      </c>
    </row>
    <row r="191" spans="1:34" ht="24" customHeight="1" x14ac:dyDescent="0.25">
      <c r="A191" s="10">
        <v>60</v>
      </c>
      <c r="B191" s="9">
        <v>7.5694444444444439E-2</v>
      </c>
      <c r="C191" s="5" t="s">
        <v>20</v>
      </c>
      <c r="D191" s="5">
        <f t="shared" si="16"/>
        <v>10</v>
      </c>
      <c r="E191" s="15"/>
      <c r="F191" s="15" t="s">
        <v>25</v>
      </c>
      <c r="G191" s="19">
        <f t="shared" si="18"/>
        <v>7.2</v>
      </c>
      <c r="H191" s="19">
        <f t="shared" si="19"/>
        <v>3.2</v>
      </c>
      <c r="I191" s="19">
        <f t="shared" si="19"/>
        <v>5.36</v>
      </c>
      <c r="J191" s="19">
        <f t="shared" si="29"/>
        <v>3.42</v>
      </c>
      <c r="K191" s="19">
        <f t="shared" si="30"/>
        <v>2.46</v>
      </c>
      <c r="L191" s="19">
        <f t="shared" si="31"/>
        <v>3.94</v>
      </c>
      <c r="M191" s="13"/>
      <c r="N191" s="36">
        <f t="shared" si="20"/>
        <v>25.580000000000002</v>
      </c>
      <c r="O191" s="36">
        <f t="shared" si="17"/>
        <v>170.98055255490311</v>
      </c>
      <c r="P191" s="37">
        <v>8</v>
      </c>
      <c r="Q191" s="37">
        <v>10</v>
      </c>
      <c r="R191" s="37">
        <v>9</v>
      </c>
      <c r="S191" s="37">
        <v>9</v>
      </c>
      <c r="T191" s="37">
        <v>9</v>
      </c>
      <c r="U191" s="37">
        <v>9</v>
      </c>
      <c r="V191" s="37">
        <v>9</v>
      </c>
      <c r="W191" s="38" t="str">
        <f t="shared" si="21"/>
        <v>N</v>
      </c>
      <c r="X191" s="64">
        <f t="shared" si="22"/>
        <v>0</v>
      </c>
      <c r="Y191" s="64" t="str">
        <f t="shared" si="23"/>
        <v>0-4.9%</v>
      </c>
      <c r="Z191" s="8" t="s">
        <v>108</v>
      </c>
      <c r="AB191" s="32">
        <v>7200</v>
      </c>
      <c r="AC191" s="32">
        <v>3200</v>
      </c>
      <c r="AD191" s="32">
        <v>5360</v>
      </c>
      <c r="AE191" s="32">
        <v>3420</v>
      </c>
      <c r="AF191" s="32">
        <v>2460</v>
      </c>
      <c r="AG191" s="32">
        <v>3940</v>
      </c>
      <c r="AH191" s="32"/>
    </row>
    <row r="192" spans="1:34" ht="24" customHeight="1" x14ac:dyDescent="0.25">
      <c r="A192" s="10">
        <v>68</v>
      </c>
      <c r="B192" s="9">
        <v>0.13055555555555556</v>
      </c>
      <c r="C192" s="5" t="s">
        <v>20</v>
      </c>
      <c r="D192" s="5">
        <f t="shared" si="16"/>
        <v>10</v>
      </c>
      <c r="E192" s="15"/>
      <c r="F192" s="15" t="s">
        <v>24</v>
      </c>
      <c r="G192" s="19">
        <f t="shared" si="18"/>
        <v>6.34</v>
      </c>
      <c r="H192" s="19">
        <f t="shared" si="19"/>
        <v>6.96</v>
      </c>
      <c r="I192" s="19">
        <f t="shared" si="19"/>
        <v>9.08</v>
      </c>
      <c r="J192" s="19">
        <f t="shared" si="29"/>
        <v>8.6</v>
      </c>
      <c r="K192" s="19">
        <f t="shared" si="30"/>
        <v>9.06</v>
      </c>
      <c r="L192" s="19">
        <f t="shared" si="31"/>
        <v>10.6</v>
      </c>
      <c r="M192" s="13"/>
      <c r="N192" s="36">
        <f t="shared" si="20"/>
        <v>50.640000000000008</v>
      </c>
      <c r="O192" s="36">
        <f t="shared" si="17"/>
        <v>3695.0125869919107</v>
      </c>
      <c r="P192" s="37">
        <v>8</v>
      </c>
      <c r="Q192" s="37">
        <v>10</v>
      </c>
      <c r="R192" s="37">
        <v>9</v>
      </c>
      <c r="S192" s="37">
        <v>9</v>
      </c>
      <c r="T192" s="37">
        <v>9</v>
      </c>
      <c r="U192" s="37">
        <v>9</v>
      </c>
      <c r="V192" s="37">
        <v>9</v>
      </c>
      <c r="W192" s="38" t="str">
        <f t="shared" si="21"/>
        <v>Y</v>
      </c>
      <c r="X192" s="64">
        <f t="shared" si="22"/>
        <v>0.15999999999999998</v>
      </c>
      <c r="Y192" s="64" t="str">
        <f t="shared" si="23"/>
        <v>5-25%</v>
      </c>
      <c r="Z192" s="8" t="s">
        <v>108</v>
      </c>
      <c r="AB192" s="32">
        <v>6340</v>
      </c>
      <c r="AC192" s="32">
        <v>6960</v>
      </c>
      <c r="AD192" s="32">
        <v>9080</v>
      </c>
      <c r="AE192" s="32">
        <v>8600</v>
      </c>
      <c r="AF192" s="32">
        <v>9060</v>
      </c>
      <c r="AG192" s="32">
        <v>10600</v>
      </c>
      <c r="AH192" s="32"/>
    </row>
    <row r="193" spans="1:34" ht="24" customHeight="1" x14ac:dyDescent="0.25">
      <c r="A193" s="10">
        <v>76</v>
      </c>
      <c r="B193" s="9">
        <v>0.14930555555555555</v>
      </c>
      <c r="C193" s="5" t="s">
        <v>20</v>
      </c>
      <c r="D193" s="5">
        <f t="shared" si="16"/>
        <v>10</v>
      </c>
      <c r="E193" s="15"/>
      <c r="F193" s="15" t="s">
        <v>32</v>
      </c>
      <c r="G193" s="19">
        <f t="shared" si="18"/>
        <v>9.84</v>
      </c>
      <c r="H193" s="19">
        <f t="shared" si="19"/>
        <v>10.98</v>
      </c>
      <c r="I193" s="19">
        <f t="shared" si="19"/>
        <v>11</v>
      </c>
      <c r="J193" s="19">
        <f t="shared" si="29"/>
        <v>12.06</v>
      </c>
      <c r="K193" s="19"/>
      <c r="L193" s="19"/>
      <c r="M193" s="13"/>
      <c r="N193" s="36">
        <f t="shared" si="20"/>
        <v>43.88</v>
      </c>
      <c r="O193" s="36">
        <f t="shared" si="17"/>
        <v>1939.0726046875945</v>
      </c>
      <c r="P193" s="37">
        <v>8</v>
      </c>
      <c r="Q193" s="37">
        <v>10</v>
      </c>
      <c r="R193" s="37">
        <v>9</v>
      </c>
      <c r="S193" s="37">
        <v>9</v>
      </c>
      <c r="T193" s="37">
        <v>9</v>
      </c>
      <c r="U193" s="37">
        <v>9</v>
      </c>
      <c r="V193" s="37">
        <v>9</v>
      </c>
      <c r="W193" s="38" t="str">
        <f t="shared" si="21"/>
        <v>Y</v>
      </c>
      <c r="X193" s="64">
        <f t="shared" si="22"/>
        <v>0.30600000000000005</v>
      </c>
      <c r="Y193" s="64" t="str">
        <f t="shared" si="23"/>
        <v>25-50%</v>
      </c>
      <c r="Z193" s="8" t="s">
        <v>121</v>
      </c>
      <c r="AB193" s="32">
        <v>9840</v>
      </c>
      <c r="AC193" s="32">
        <v>10980</v>
      </c>
      <c r="AD193" s="32">
        <v>11000</v>
      </c>
      <c r="AE193" s="32">
        <v>12060</v>
      </c>
      <c r="AF193" s="32"/>
      <c r="AG193" s="32"/>
      <c r="AH193" s="32"/>
    </row>
    <row r="194" spans="1:34" ht="24" customHeight="1" x14ac:dyDescent="0.25">
      <c r="A194" s="10">
        <v>78</v>
      </c>
      <c r="B194" s="9">
        <v>0.15208333333333332</v>
      </c>
      <c r="C194" s="5" t="s">
        <v>20</v>
      </c>
      <c r="D194" s="5">
        <f t="shared" si="16"/>
        <v>10</v>
      </c>
      <c r="E194" s="15"/>
      <c r="F194" s="15" t="s">
        <v>33</v>
      </c>
      <c r="G194" s="19">
        <f t="shared" si="18"/>
        <v>9.18</v>
      </c>
      <c r="H194" s="19">
        <f t="shared" si="19"/>
        <v>11.8</v>
      </c>
      <c r="I194" s="19">
        <f t="shared" si="19"/>
        <v>8.92</v>
      </c>
      <c r="J194" s="19">
        <f t="shared" si="29"/>
        <v>12.04</v>
      </c>
      <c r="K194" s="19">
        <f t="shared" si="30"/>
        <v>9.06</v>
      </c>
      <c r="L194" s="19">
        <f t="shared" si="31"/>
        <v>9.02</v>
      </c>
      <c r="M194" s="13"/>
      <c r="N194" s="36">
        <f t="shared" si="20"/>
        <v>60.019999999999996</v>
      </c>
      <c r="O194" s="36">
        <f t="shared" si="17"/>
        <v>7938.276932438016</v>
      </c>
      <c r="P194" s="37">
        <v>8</v>
      </c>
      <c r="Q194" s="37">
        <v>10</v>
      </c>
      <c r="R194" s="37">
        <v>9</v>
      </c>
      <c r="S194" s="37">
        <v>9</v>
      </c>
      <c r="T194" s="37">
        <v>9</v>
      </c>
      <c r="U194" s="37">
        <v>9</v>
      </c>
      <c r="V194" s="37">
        <v>9</v>
      </c>
      <c r="W194" s="38" t="str">
        <f t="shared" si="21"/>
        <v>Y</v>
      </c>
      <c r="X194" s="64">
        <f t="shared" si="22"/>
        <v>0.30399999999999994</v>
      </c>
      <c r="Y194" s="64" t="str">
        <f t="shared" si="23"/>
        <v>25-50%</v>
      </c>
      <c r="Z194" s="8" t="s">
        <v>127</v>
      </c>
      <c r="AB194" s="32">
        <v>9180</v>
      </c>
      <c r="AC194" s="32">
        <v>11800</v>
      </c>
      <c r="AD194" s="32">
        <v>8920</v>
      </c>
      <c r="AE194" s="32">
        <v>12040</v>
      </c>
      <c r="AF194" s="32">
        <v>9060</v>
      </c>
      <c r="AG194" s="32">
        <v>9020</v>
      </c>
      <c r="AH194" s="32"/>
    </row>
    <row r="195" spans="1:34" ht="24" customHeight="1" x14ac:dyDescent="0.25">
      <c r="A195" s="10">
        <v>81</v>
      </c>
      <c r="B195" s="9">
        <v>0.15555555555555556</v>
      </c>
      <c r="C195" s="5" t="s">
        <v>20</v>
      </c>
      <c r="D195" s="5">
        <f t="shared" si="16"/>
        <v>10</v>
      </c>
      <c r="E195" s="15"/>
      <c r="F195" s="15" t="s">
        <v>24</v>
      </c>
      <c r="G195" s="19">
        <f t="shared" si="18"/>
        <v>6.34</v>
      </c>
      <c r="H195" s="19">
        <f t="shared" si="19"/>
        <v>4.22</v>
      </c>
      <c r="I195" s="19">
        <f t="shared" si="19"/>
        <v>3.06</v>
      </c>
      <c r="J195" s="19">
        <f t="shared" si="29"/>
        <v>3.6</v>
      </c>
      <c r="K195" s="19">
        <f t="shared" si="30"/>
        <v>3.4</v>
      </c>
      <c r="L195" s="19"/>
      <c r="M195" s="13"/>
      <c r="N195" s="36">
        <f t="shared" si="20"/>
        <v>20.619999999999997</v>
      </c>
      <c r="O195" s="36">
        <f t="shared" si="17"/>
        <v>64.817646787890709</v>
      </c>
      <c r="P195" s="37">
        <v>8</v>
      </c>
      <c r="Q195" s="37">
        <v>10</v>
      </c>
      <c r="R195" s="37">
        <v>9</v>
      </c>
      <c r="S195" s="37">
        <v>9</v>
      </c>
      <c r="T195" s="37">
        <v>9</v>
      </c>
      <c r="U195" s="37">
        <v>9</v>
      </c>
      <c r="V195" s="37">
        <v>9</v>
      </c>
      <c r="W195" s="38" t="str">
        <f t="shared" si="21"/>
        <v>N</v>
      </c>
      <c r="X195" s="64">
        <f t="shared" si="22"/>
        <v>0</v>
      </c>
      <c r="Y195" s="64" t="str">
        <f t="shared" si="23"/>
        <v>0-4.9%</v>
      </c>
      <c r="Z195" s="8" t="s">
        <v>108</v>
      </c>
      <c r="AB195" s="32">
        <v>6340</v>
      </c>
      <c r="AC195" s="32">
        <v>4220</v>
      </c>
      <c r="AD195" s="32">
        <v>3060</v>
      </c>
      <c r="AE195" s="32">
        <v>3600</v>
      </c>
      <c r="AF195" s="32">
        <v>3400</v>
      </c>
      <c r="AG195" s="32"/>
      <c r="AH195" s="32"/>
    </row>
    <row r="196" spans="1:34" ht="24" customHeight="1" x14ac:dyDescent="0.25">
      <c r="A196" s="10">
        <v>2</v>
      </c>
      <c r="B196" s="9">
        <v>0.16388888888888889</v>
      </c>
      <c r="C196" s="5" t="s">
        <v>21</v>
      </c>
      <c r="D196" s="5">
        <f t="shared" si="16"/>
        <v>10</v>
      </c>
      <c r="E196" s="15"/>
      <c r="F196" s="15" t="s">
        <v>24</v>
      </c>
      <c r="G196" s="19">
        <f t="shared" si="18"/>
        <v>7.08</v>
      </c>
      <c r="H196" s="19">
        <f t="shared" si="19"/>
        <v>4.8</v>
      </c>
      <c r="I196" s="19">
        <f t="shared" si="19"/>
        <v>11.88</v>
      </c>
      <c r="J196" s="19">
        <f t="shared" si="29"/>
        <v>12.48</v>
      </c>
      <c r="K196" s="19"/>
      <c r="L196" s="19"/>
      <c r="M196" s="32"/>
      <c r="N196" s="36">
        <f t="shared" si="20"/>
        <v>36.239999999999995</v>
      </c>
      <c r="O196" s="36">
        <f t="shared" si="17"/>
        <v>819.86271449517437</v>
      </c>
      <c r="P196" s="37">
        <v>8</v>
      </c>
      <c r="Q196" s="37">
        <v>10</v>
      </c>
      <c r="R196" s="37">
        <v>9</v>
      </c>
      <c r="S196" s="37">
        <v>9</v>
      </c>
      <c r="T196" s="37">
        <v>9</v>
      </c>
      <c r="U196" s="37">
        <v>9</v>
      </c>
      <c r="V196" s="37">
        <v>9</v>
      </c>
      <c r="W196" s="38" t="str">
        <f t="shared" si="21"/>
        <v>Y</v>
      </c>
      <c r="X196" s="64">
        <f t="shared" si="22"/>
        <v>0.34800000000000003</v>
      </c>
      <c r="Y196" s="64" t="str">
        <f t="shared" si="23"/>
        <v>25-50%</v>
      </c>
      <c r="Z196" s="8" t="s">
        <v>108</v>
      </c>
      <c r="AB196" s="32">
        <v>7080</v>
      </c>
      <c r="AC196" s="32">
        <v>4800</v>
      </c>
      <c r="AD196" s="32">
        <v>11880</v>
      </c>
      <c r="AE196" s="32">
        <v>12480</v>
      </c>
      <c r="AF196" s="32"/>
      <c r="AG196" s="32"/>
      <c r="AH196" s="32"/>
    </row>
    <row r="197" spans="1:34" ht="24" customHeight="1" x14ac:dyDescent="0.25">
      <c r="A197" s="10">
        <v>3</v>
      </c>
      <c r="B197" s="9">
        <v>0.16944444444444443</v>
      </c>
      <c r="C197" s="5" t="s">
        <v>20</v>
      </c>
      <c r="D197" s="5">
        <f t="shared" si="16"/>
        <v>10</v>
      </c>
      <c r="E197" s="15"/>
      <c r="F197" s="15" t="s">
        <v>43</v>
      </c>
      <c r="G197" s="19">
        <f t="shared" si="18"/>
        <v>3.88</v>
      </c>
      <c r="H197" s="19">
        <f t="shared" si="19"/>
        <v>6.58</v>
      </c>
      <c r="I197" s="19">
        <f t="shared" si="19"/>
        <v>3.08</v>
      </c>
      <c r="J197" s="19">
        <f t="shared" si="29"/>
        <v>2.82</v>
      </c>
      <c r="K197" s="19">
        <f t="shared" si="30"/>
        <v>3.02</v>
      </c>
      <c r="L197" s="19"/>
      <c r="M197" s="32"/>
      <c r="N197" s="36">
        <f t="shared" si="20"/>
        <v>19.38</v>
      </c>
      <c r="O197" s="36">
        <f t="shared" si="17"/>
        <v>49.032751298884264</v>
      </c>
      <c r="P197" s="37">
        <v>8</v>
      </c>
      <c r="Q197" s="37">
        <v>10</v>
      </c>
      <c r="R197" s="37">
        <v>9</v>
      </c>
      <c r="S197" s="37">
        <v>9</v>
      </c>
      <c r="T197" s="37">
        <v>9</v>
      </c>
      <c r="U197" s="37">
        <v>9</v>
      </c>
      <c r="V197" s="37">
        <v>9</v>
      </c>
      <c r="W197" s="38" t="str">
        <f t="shared" si="21"/>
        <v>N</v>
      </c>
      <c r="X197" s="64">
        <f t="shared" si="22"/>
        <v>0</v>
      </c>
      <c r="Y197" s="64" t="str">
        <f t="shared" si="23"/>
        <v>0-4.9%</v>
      </c>
      <c r="Z197" s="8" t="s">
        <v>108</v>
      </c>
      <c r="AB197" s="32">
        <v>3880</v>
      </c>
      <c r="AC197" s="32">
        <v>6580</v>
      </c>
      <c r="AD197" s="32">
        <v>3080</v>
      </c>
      <c r="AE197" s="32">
        <v>2820</v>
      </c>
      <c r="AF197" s="32">
        <v>3020</v>
      </c>
      <c r="AG197" s="32"/>
      <c r="AH197" s="32"/>
    </row>
    <row r="198" spans="1:34" ht="24" customHeight="1" x14ac:dyDescent="0.25">
      <c r="A198" s="10">
        <v>4</v>
      </c>
      <c r="B198" s="9">
        <v>0.17083333333333331</v>
      </c>
      <c r="C198" s="5" t="s">
        <v>21</v>
      </c>
      <c r="D198" s="5">
        <f t="shared" si="16"/>
        <v>10</v>
      </c>
      <c r="E198" s="15"/>
      <c r="F198" s="15" t="s">
        <v>24</v>
      </c>
      <c r="G198" s="19">
        <f t="shared" si="18"/>
        <v>6.84</v>
      </c>
      <c r="H198" s="19">
        <f t="shared" si="19"/>
        <v>4.8600000000000003</v>
      </c>
      <c r="I198" s="19">
        <f t="shared" si="19"/>
        <v>4.4400000000000004</v>
      </c>
      <c r="J198" s="19">
        <f t="shared" si="29"/>
        <v>3.46</v>
      </c>
      <c r="K198" s="19">
        <f t="shared" si="30"/>
        <v>2.98</v>
      </c>
      <c r="L198" s="19">
        <f t="shared" si="31"/>
        <v>3.4</v>
      </c>
      <c r="M198" s="32"/>
      <c r="N198" s="36">
        <f t="shared" si="20"/>
        <v>25.98</v>
      </c>
      <c r="O198" s="36">
        <f t="shared" si="17"/>
        <v>183.34558052649223</v>
      </c>
      <c r="P198" s="37">
        <v>8</v>
      </c>
      <c r="Q198" s="37">
        <v>10</v>
      </c>
      <c r="R198" s="37">
        <v>9</v>
      </c>
      <c r="S198" s="37">
        <v>9</v>
      </c>
      <c r="T198" s="37">
        <v>9</v>
      </c>
      <c r="U198" s="37">
        <v>9</v>
      </c>
      <c r="V198" s="37">
        <v>9</v>
      </c>
      <c r="W198" s="38" t="str">
        <f t="shared" si="21"/>
        <v>N</v>
      </c>
      <c r="X198" s="64">
        <f t="shared" si="22"/>
        <v>0</v>
      </c>
      <c r="Y198" s="64" t="str">
        <f t="shared" si="23"/>
        <v>0-4.9%</v>
      </c>
      <c r="Z198" s="8" t="s">
        <v>108</v>
      </c>
      <c r="AB198" s="32">
        <v>6840</v>
      </c>
      <c r="AC198" s="32">
        <v>4860</v>
      </c>
      <c r="AD198" s="32">
        <v>4440</v>
      </c>
      <c r="AE198" s="32">
        <v>3460</v>
      </c>
      <c r="AF198" s="32">
        <v>2980</v>
      </c>
      <c r="AG198" s="32">
        <v>3400</v>
      </c>
      <c r="AH198" s="32"/>
    </row>
    <row r="199" spans="1:34" ht="24" customHeight="1" x14ac:dyDescent="0.25">
      <c r="A199" s="10">
        <v>5</v>
      </c>
      <c r="B199" s="9">
        <v>0.17430555555555557</v>
      </c>
      <c r="C199" s="5" t="s">
        <v>21</v>
      </c>
      <c r="D199" s="5">
        <f t="shared" ref="D199:D230" si="32">IF(COUNT(G199:M199)&gt;3,10,IF(COUNT(G199:M199)&gt;2,9,7))</f>
        <v>10</v>
      </c>
      <c r="E199" s="15"/>
      <c r="F199" s="15" t="s">
        <v>24</v>
      </c>
      <c r="G199" s="19">
        <f t="shared" si="18"/>
        <v>7.32</v>
      </c>
      <c r="H199" s="19">
        <f t="shared" si="19"/>
        <v>4.9400000000000004</v>
      </c>
      <c r="I199" s="19">
        <f t="shared" si="19"/>
        <v>8.58</v>
      </c>
      <c r="J199" s="19">
        <f t="shared" si="29"/>
        <v>4.4400000000000004</v>
      </c>
      <c r="K199" s="19">
        <f t="shared" si="30"/>
        <v>3.76</v>
      </c>
      <c r="L199" s="19">
        <f t="shared" si="31"/>
        <v>3.2</v>
      </c>
      <c r="M199" s="32"/>
      <c r="N199" s="36">
        <f t="shared" si="20"/>
        <v>32.240000000000009</v>
      </c>
      <c r="O199" s="36">
        <f t="shared" ref="O199:O230" si="33">(N199/8.16)^4.5</f>
        <v>484.36408660842301</v>
      </c>
      <c r="P199" s="37">
        <v>8</v>
      </c>
      <c r="Q199" s="37">
        <v>10</v>
      </c>
      <c r="R199" s="37">
        <v>9</v>
      </c>
      <c r="S199" s="37">
        <v>9</v>
      </c>
      <c r="T199" s="37">
        <v>9</v>
      </c>
      <c r="U199" s="37">
        <v>9</v>
      </c>
      <c r="V199" s="37">
        <v>9</v>
      </c>
      <c r="W199" s="38" t="str">
        <f t="shared" si="21"/>
        <v>N</v>
      </c>
      <c r="X199" s="64">
        <f t="shared" si="22"/>
        <v>0</v>
      </c>
      <c r="Y199" s="64" t="str">
        <f t="shared" si="23"/>
        <v>0-4.9%</v>
      </c>
      <c r="Z199" s="8" t="s">
        <v>108</v>
      </c>
      <c r="AB199" s="32">
        <v>7320</v>
      </c>
      <c r="AC199" s="32">
        <v>4940</v>
      </c>
      <c r="AD199" s="32">
        <v>8580</v>
      </c>
      <c r="AE199" s="32">
        <v>4440</v>
      </c>
      <c r="AF199" s="32">
        <v>3760</v>
      </c>
      <c r="AG199" s="32">
        <v>3200</v>
      </c>
      <c r="AH199" s="32"/>
    </row>
    <row r="200" spans="1:34" ht="24" customHeight="1" x14ac:dyDescent="0.25">
      <c r="A200" s="10">
        <v>6</v>
      </c>
      <c r="B200" s="9">
        <v>0.19236111111111112</v>
      </c>
      <c r="C200" s="5" t="s">
        <v>20</v>
      </c>
      <c r="D200" s="5">
        <f t="shared" si="32"/>
        <v>10</v>
      </c>
      <c r="E200" s="15"/>
      <c r="F200" s="15" t="s">
        <v>43</v>
      </c>
      <c r="G200" s="19">
        <f t="shared" ref="G200:G230" si="34">AB200/1000</f>
        <v>6</v>
      </c>
      <c r="H200" s="19">
        <f t="shared" ref="H200:I230" si="35">AC200/1000</f>
        <v>4.0999999999999996</v>
      </c>
      <c r="I200" s="19">
        <f t="shared" si="35"/>
        <v>10.74</v>
      </c>
      <c r="J200" s="19">
        <f t="shared" si="29"/>
        <v>15.24</v>
      </c>
      <c r="K200" s="19">
        <f t="shared" si="30"/>
        <v>10.9</v>
      </c>
      <c r="L200" s="19">
        <f t="shared" si="31"/>
        <v>10.52</v>
      </c>
      <c r="M200" s="32"/>
      <c r="N200" s="36">
        <f t="shared" ref="N200:N230" si="36">SUM(G200:M200)</f>
        <v>57.5</v>
      </c>
      <c r="O200" s="36">
        <f t="shared" si="33"/>
        <v>6544.8483304066249</v>
      </c>
      <c r="P200" s="37">
        <v>8</v>
      </c>
      <c r="Q200" s="37">
        <v>10</v>
      </c>
      <c r="R200" s="37">
        <v>9</v>
      </c>
      <c r="S200" s="37">
        <v>9</v>
      </c>
      <c r="T200" s="37">
        <v>9</v>
      </c>
      <c r="U200" s="37">
        <v>9</v>
      </c>
      <c r="V200" s="37">
        <v>9</v>
      </c>
      <c r="W200" s="38" t="str">
        <f t="shared" ref="W200:W230" si="37">IF(G200&gt;P200,"Y",IF(H200&gt;Q200,"Y",IF(I200&gt;R200,"Y",IF(J200&gt;S200,"Y",IF(K200&gt;T200,"Y",IF(L200&gt;U200,"Y",IF(M200&gt;V200,"Y","N")))))))</f>
        <v>Y</v>
      </c>
      <c r="X200" s="64">
        <f t="shared" ref="X200:X230" si="38">IF(W200="Y",MAX((G200-P200),(H200-Q200),(I200-R200),(J200-S200),(K200-T200),(L200-U200),(M200-V200))/10,0)</f>
        <v>0.624</v>
      </c>
      <c r="Y200" s="64" t="str">
        <f t="shared" ref="Y200:Y230" si="39">IF(X200&lt;5%,"0-4.9%",IF(X200&lt;25%,"5-25%",IF(X200&lt;50%,"25-50%","Over 50%")))</f>
        <v>Over 50%</v>
      </c>
      <c r="Z200" s="8" t="s">
        <v>121</v>
      </c>
      <c r="AB200" s="32">
        <v>6000</v>
      </c>
      <c r="AC200" s="32">
        <v>4100</v>
      </c>
      <c r="AD200" s="32">
        <v>10740</v>
      </c>
      <c r="AE200" s="32">
        <v>15240</v>
      </c>
      <c r="AF200" s="32">
        <v>10900</v>
      </c>
      <c r="AG200" s="32">
        <v>10520</v>
      </c>
      <c r="AH200" s="32"/>
    </row>
    <row r="201" spans="1:34" ht="24" customHeight="1" x14ac:dyDescent="0.25">
      <c r="A201" s="10">
        <v>8</v>
      </c>
      <c r="B201" s="9">
        <v>0.20347222222222219</v>
      </c>
      <c r="C201" s="5" t="s">
        <v>20</v>
      </c>
      <c r="D201" s="5">
        <f t="shared" si="32"/>
        <v>10</v>
      </c>
      <c r="E201" s="15"/>
      <c r="F201" s="15" t="s">
        <v>32</v>
      </c>
      <c r="G201" s="19">
        <f t="shared" si="34"/>
        <v>5.66</v>
      </c>
      <c r="H201" s="19">
        <f t="shared" si="35"/>
        <v>5.8</v>
      </c>
      <c r="I201" s="19">
        <f t="shared" si="35"/>
        <v>10.48</v>
      </c>
      <c r="J201" s="19">
        <f t="shared" si="29"/>
        <v>15.24</v>
      </c>
      <c r="K201" s="19">
        <f t="shared" si="30"/>
        <v>10.72</v>
      </c>
      <c r="L201" s="19">
        <f t="shared" si="31"/>
        <v>10.68</v>
      </c>
      <c r="M201" s="32"/>
      <c r="N201" s="36">
        <f t="shared" si="36"/>
        <v>58.58</v>
      </c>
      <c r="O201" s="36">
        <f t="shared" si="33"/>
        <v>7116.4997537363133</v>
      </c>
      <c r="P201" s="37">
        <v>8</v>
      </c>
      <c r="Q201" s="37">
        <v>10</v>
      </c>
      <c r="R201" s="37">
        <v>9</v>
      </c>
      <c r="S201" s="37">
        <v>9</v>
      </c>
      <c r="T201" s="37">
        <v>9</v>
      </c>
      <c r="U201" s="37">
        <v>9</v>
      </c>
      <c r="V201" s="37">
        <v>9</v>
      </c>
      <c r="W201" s="38" t="str">
        <f t="shared" si="37"/>
        <v>Y</v>
      </c>
      <c r="X201" s="64">
        <f t="shared" si="38"/>
        <v>0.624</v>
      </c>
      <c r="Y201" s="64" t="str">
        <f t="shared" si="39"/>
        <v>Over 50%</v>
      </c>
      <c r="Z201" s="8" t="s">
        <v>121</v>
      </c>
      <c r="AB201" s="32">
        <v>5660</v>
      </c>
      <c r="AC201" s="32">
        <v>5800</v>
      </c>
      <c r="AD201" s="32">
        <v>10480</v>
      </c>
      <c r="AE201" s="32">
        <v>15240</v>
      </c>
      <c r="AF201" s="32">
        <v>10720</v>
      </c>
      <c r="AG201" s="32">
        <v>10680</v>
      </c>
      <c r="AH201" s="32"/>
    </row>
    <row r="202" spans="1:34" ht="24" customHeight="1" x14ac:dyDescent="0.25">
      <c r="A202" s="10">
        <v>11</v>
      </c>
      <c r="B202" s="9">
        <v>0.3125</v>
      </c>
      <c r="C202" s="5" t="s">
        <v>20</v>
      </c>
      <c r="D202" s="5">
        <f t="shared" si="32"/>
        <v>10</v>
      </c>
      <c r="E202" s="15"/>
      <c r="F202" s="15" t="s">
        <v>43</v>
      </c>
      <c r="G202" s="19">
        <f t="shared" si="34"/>
        <v>4.74</v>
      </c>
      <c r="H202" s="19">
        <f t="shared" si="35"/>
        <v>5</v>
      </c>
      <c r="I202" s="19">
        <f t="shared" si="35"/>
        <v>4.54</v>
      </c>
      <c r="J202" s="19">
        <f t="shared" si="29"/>
        <v>4.4400000000000004</v>
      </c>
      <c r="K202" s="19">
        <f t="shared" si="30"/>
        <v>1.22</v>
      </c>
      <c r="L202" s="19"/>
      <c r="M202" s="32"/>
      <c r="N202" s="36">
        <f t="shared" si="36"/>
        <v>19.940000000000001</v>
      </c>
      <c r="O202" s="36">
        <f t="shared" si="33"/>
        <v>55.738782537749088</v>
      </c>
      <c r="P202" s="37">
        <v>8</v>
      </c>
      <c r="Q202" s="37">
        <v>10</v>
      </c>
      <c r="R202" s="37">
        <v>9</v>
      </c>
      <c r="S202" s="37">
        <v>9</v>
      </c>
      <c r="T202" s="37">
        <v>9</v>
      </c>
      <c r="U202" s="37">
        <v>9</v>
      </c>
      <c r="V202" s="37">
        <v>9</v>
      </c>
      <c r="W202" s="38" t="str">
        <f t="shared" si="37"/>
        <v>N</v>
      </c>
      <c r="X202" s="64">
        <f t="shared" si="38"/>
        <v>0</v>
      </c>
      <c r="Y202" s="64" t="str">
        <f t="shared" si="39"/>
        <v>0-4.9%</v>
      </c>
      <c r="Z202" s="8" t="s">
        <v>108</v>
      </c>
      <c r="AB202" s="32">
        <v>4740</v>
      </c>
      <c r="AC202" s="32">
        <v>5000</v>
      </c>
      <c r="AD202" s="32">
        <v>4540</v>
      </c>
      <c r="AE202" s="32">
        <v>4440</v>
      </c>
      <c r="AF202" s="32">
        <v>1220</v>
      </c>
      <c r="AG202" s="32"/>
      <c r="AH202" s="32"/>
    </row>
    <row r="203" spans="1:34" ht="24" customHeight="1" x14ac:dyDescent="0.25">
      <c r="A203" s="10">
        <v>18</v>
      </c>
      <c r="B203" s="9">
        <v>0.35625000000000001</v>
      </c>
      <c r="C203" s="5" t="s">
        <v>20</v>
      </c>
      <c r="D203" s="5">
        <f t="shared" si="32"/>
        <v>10</v>
      </c>
      <c r="E203" s="15"/>
      <c r="F203" s="15" t="s">
        <v>32</v>
      </c>
      <c r="G203" s="19">
        <f t="shared" si="34"/>
        <v>8.24</v>
      </c>
      <c r="H203" s="19">
        <f t="shared" si="35"/>
        <v>8.3800000000000008</v>
      </c>
      <c r="I203" s="19">
        <f t="shared" si="35"/>
        <v>5.0199999999999996</v>
      </c>
      <c r="J203" s="19">
        <f t="shared" si="29"/>
        <v>3.66</v>
      </c>
      <c r="K203" s="19">
        <f t="shared" si="30"/>
        <v>3.04</v>
      </c>
      <c r="L203" s="19">
        <f t="shared" si="31"/>
        <v>4.82</v>
      </c>
      <c r="M203" s="32"/>
      <c r="N203" s="36">
        <f t="shared" si="36"/>
        <v>33.159999999999997</v>
      </c>
      <c r="O203" s="36">
        <f t="shared" si="33"/>
        <v>549.74290627791459</v>
      </c>
      <c r="P203" s="37">
        <v>8</v>
      </c>
      <c r="Q203" s="37">
        <v>10</v>
      </c>
      <c r="R203" s="37">
        <v>9</v>
      </c>
      <c r="S203" s="37">
        <v>9</v>
      </c>
      <c r="T203" s="37">
        <v>9</v>
      </c>
      <c r="U203" s="37">
        <v>9</v>
      </c>
      <c r="V203" s="37">
        <v>9</v>
      </c>
      <c r="W203" s="38" t="str">
        <f t="shared" si="37"/>
        <v>Y</v>
      </c>
      <c r="X203" s="64">
        <f t="shared" si="38"/>
        <v>2.4000000000000021E-2</v>
      </c>
      <c r="Y203" s="64" t="str">
        <f t="shared" si="39"/>
        <v>0-4.9%</v>
      </c>
      <c r="Z203" s="8" t="s">
        <v>124</v>
      </c>
      <c r="AB203" s="32">
        <v>8240</v>
      </c>
      <c r="AC203" s="32">
        <v>8380</v>
      </c>
      <c r="AD203" s="32">
        <v>5020</v>
      </c>
      <c r="AE203" s="32">
        <v>3660</v>
      </c>
      <c r="AF203" s="32">
        <v>3040</v>
      </c>
      <c r="AG203" s="32">
        <v>4820</v>
      </c>
      <c r="AH203" s="32"/>
    </row>
    <row r="204" spans="1:34" ht="24" customHeight="1" x14ac:dyDescent="0.25">
      <c r="A204" s="10">
        <v>19</v>
      </c>
      <c r="B204" s="9">
        <v>0.3576388888888889</v>
      </c>
      <c r="C204" s="5" t="s">
        <v>20</v>
      </c>
      <c r="D204" s="5">
        <f t="shared" si="32"/>
        <v>10</v>
      </c>
      <c r="E204" s="15"/>
      <c r="F204" s="15" t="s">
        <v>24</v>
      </c>
      <c r="G204" s="19">
        <f t="shared" si="34"/>
        <v>7.34</v>
      </c>
      <c r="H204" s="19">
        <f t="shared" si="35"/>
        <v>4.8600000000000003</v>
      </c>
      <c r="I204" s="19">
        <f t="shared" si="35"/>
        <v>14.92</v>
      </c>
      <c r="J204" s="19">
        <f t="shared" si="29"/>
        <v>9.82</v>
      </c>
      <c r="K204" s="19">
        <f t="shared" si="30"/>
        <v>10.24</v>
      </c>
      <c r="L204" s="19">
        <f t="shared" si="31"/>
        <v>11.46</v>
      </c>
      <c r="M204" s="32"/>
      <c r="N204" s="36">
        <f t="shared" si="36"/>
        <v>58.64</v>
      </c>
      <c r="O204" s="36">
        <f t="shared" si="33"/>
        <v>7149.3591243355195</v>
      </c>
      <c r="P204" s="37">
        <v>8</v>
      </c>
      <c r="Q204" s="37">
        <v>10</v>
      </c>
      <c r="R204" s="37">
        <v>9</v>
      </c>
      <c r="S204" s="37">
        <v>9</v>
      </c>
      <c r="T204" s="37">
        <v>9</v>
      </c>
      <c r="U204" s="37">
        <v>9</v>
      </c>
      <c r="V204" s="37">
        <v>9</v>
      </c>
      <c r="W204" s="38" t="str">
        <f t="shared" si="37"/>
        <v>Y</v>
      </c>
      <c r="X204" s="64">
        <f t="shared" si="38"/>
        <v>0.59199999999999997</v>
      </c>
      <c r="Y204" s="64" t="str">
        <f t="shared" si="39"/>
        <v>Over 50%</v>
      </c>
      <c r="Z204" s="8" t="s">
        <v>108</v>
      </c>
      <c r="AB204" s="32">
        <v>7340</v>
      </c>
      <c r="AC204" s="32">
        <v>4860</v>
      </c>
      <c r="AD204" s="32">
        <v>14920</v>
      </c>
      <c r="AE204" s="32">
        <v>9820</v>
      </c>
      <c r="AF204" s="32">
        <v>10240</v>
      </c>
      <c r="AG204" s="32">
        <v>11460</v>
      </c>
      <c r="AH204" s="32"/>
    </row>
    <row r="205" spans="1:34" ht="24" customHeight="1" x14ac:dyDescent="0.25">
      <c r="A205" s="10">
        <v>25</v>
      </c>
      <c r="B205" s="9">
        <v>0.41319444444444442</v>
      </c>
      <c r="C205" s="5" t="s">
        <v>20</v>
      </c>
      <c r="D205" s="5">
        <f t="shared" si="32"/>
        <v>10</v>
      </c>
      <c r="E205" s="15"/>
      <c r="F205" s="15" t="s">
        <v>24</v>
      </c>
      <c r="G205" s="19">
        <f t="shared" si="34"/>
        <v>7.98</v>
      </c>
      <c r="H205" s="19">
        <f t="shared" si="35"/>
        <v>10.29</v>
      </c>
      <c r="I205" s="19">
        <f t="shared" si="35"/>
        <v>12.64</v>
      </c>
      <c r="J205" s="19">
        <f t="shared" si="29"/>
        <v>10.82</v>
      </c>
      <c r="K205" s="19">
        <f t="shared" si="30"/>
        <v>11.22</v>
      </c>
      <c r="L205" s="19">
        <f t="shared" si="31"/>
        <v>12.84</v>
      </c>
      <c r="M205" s="32"/>
      <c r="N205" s="36">
        <f t="shared" si="36"/>
        <v>65.790000000000006</v>
      </c>
      <c r="O205" s="36">
        <f t="shared" si="33"/>
        <v>11998.135834151884</v>
      </c>
      <c r="P205" s="37">
        <v>8</v>
      </c>
      <c r="Q205" s="37">
        <v>10</v>
      </c>
      <c r="R205" s="37">
        <v>9</v>
      </c>
      <c r="S205" s="37">
        <v>9</v>
      </c>
      <c r="T205" s="37">
        <v>9</v>
      </c>
      <c r="U205" s="37">
        <v>9</v>
      </c>
      <c r="V205" s="37">
        <v>9</v>
      </c>
      <c r="W205" s="38" t="str">
        <f t="shared" si="37"/>
        <v>Y</v>
      </c>
      <c r="X205" s="64">
        <f t="shared" si="38"/>
        <v>0.38400000000000001</v>
      </c>
      <c r="Y205" s="64" t="str">
        <f t="shared" si="39"/>
        <v>25-50%</v>
      </c>
      <c r="Z205" s="8" t="s">
        <v>121</v>
      </c>
      <c r="AB205" s="32">
        <v>7980</v>
      </c>
      <c r="AC205" s="32">
        <v>10290</v>
      </c>
      <c r="AD205" s="32">
        <v>12640</v>
      </c>
      <c r="AE205" s="32">
        <v>10820</v>
      </c>
      <c r="AF205" s="32">
        <v>11220</v>
      </c>
      <c r="AG205" s="32">
        <v>12840</v>
      </c>
      <c r="AH205" s="32"/>
    </row>
    <row r="206" spans="1:34" ht="24" customHeight="1" x14ac:dyDescent="0.25">
      <c r="A206" s="10">
        <v>28</v>
      </c>
      <c r="B206" s="9">
        <v>0.42152777777777778</v>
      </c>
      <c r="C206" s="5" t="s">
        <v>21</v>
      </c>
      <c r="D206" s="5">
        <f t="shared" si="32"/>
        <v>10</v>
      </c>
      <c r="E206" s="15"/>
      <c r="F206" s="15" t="s">
        <v>25</v>
      </c>
      <c r="G206" s="19">
        <f t="shared" si="34"/>
        <v>6.28</v>
      </c>
      <c r="H206" s="19">
        <f t="shared" si="35"/>
        <v>9.06</v>
      </c>
      <c r="I206" s="19">
        <f t="shared" si="35"/>
        <v>4.18</v>
      </c>
      <c r="J206" s="19">
        <f t="shared" si="29"/>
        <v>4.78</v>
      </c>
      <c r="K206" s="19">
        <f t="shared" si="30"/>
        <v>2.9</v>
      </c>
      <c r="L206" s="19">
        <f t="shared" si="31"/>
        <v>4.78</v>
      </c>
      <c r="M206" s="32"/>
      <c r="N206" s="36">
        <f t="shared" si="36"/>
        <v>31.98</v>
      </c>
      <c r="O206" s="36">
        <f t="shared" si="33"/>
        <v>467.03276832841965</v>
      </c>
      <c r="P206" s="37">
        <v>8</v>
      </c>
      <c r="Q206" s="37">
        <v>10</v>
      </c>
      <c r="R206" s="37">
        <v>9</v>
      </c>
      <c r="S206" s="37">
        <v>9</v>
      </c>
      <c r="T206" s="37">
        <v>9</v>
      </c>
      <c r="U206" s="37">
        <v>9</v>
      </c>
      <c r="V206" s="37">
        <v>9</v>
      </c>
      <c r="W206" s="38" t="str">
        <f t="shared" si="37"/>
        <v>N</v>
      </c>
      <c r="X206" s="64">
        <f t="shared" si="38"/>
        <v>0</v>
      </c>
      <c r="Y206" s="64" t="str">
        <f t="shared" si="39"/>
        <v>0-4.9%</v>
      </c>
      <c r="Z206" s="8" t="s">
        <v>124</v>
      </c>
      <c r="AB206" s="32">
        <v>6280</v>
      </c>
      <c r="AC206" s="32">
        <v>9060</v>
      </c>
      <c r="AD206" s="32">
        <v>4180</v>
      </c>
      <c r="AE206" s="32">
        <v>4780</v>
      </c>
      <c r="AF206" s="32">
        <v>2900</v>
      </c>
      <c r="AG206" s="32">
        <v>4780</v>
      </c>
      <c r="AH206" s="32"/>
    </row>
    <row r="207" spans="1:34" ht="24" customHeight="1" x14ac:dyDescent="0.25">
      <c r="A207" s="10">
        <v>34</v>
      </c>
      <c r="B207" s="9">
        <v>0.44791666666666669</v>
      </c>
      <c r="C207" s="5" t="s">
        <v>20</v>
      </c>
      <c r="D207" s="5">
        <f t="shared" si="32"/>
        <v>10</v>
      </c>
      <c r="E207" s="15"/>
      <c r="F207" s="15" t="s">
        <v>32</v>
      </c>
      <c r="G207" s="19">
        <f t="shared" si="34"/>
        <v>6.92</v>
      </c>
      <c r="H207" s="19">
        <f t="shared" si="35"/>
        <v>8.32</v>
      </c>
      <c r="I207" s="19">
        <f t="shared" si="35"/>
        <v>16.2</v>
      </c>
      <c r="J207" s="19">
        <f t="shared" si="29"/>
        <v>2.12</v>
      </c>
      <c r="K207" s="19"/>
      <c r="L207" s="19"/>
      <c r="M207" s="32"/>
      <c r="N207" s="36">
        <f t="shared" si="36"/>
        <v>33.559999999999995</v>
      </c>
      <c r="O207" s="36">
        <f t="shared" si="33"/>
        <v>580.22050179660505</v>
      </c>
      <c r="P207" s="37">
        <v>8</v>
      </c>
      <c r="Q207" s="37">
        <v>10</v>
      </c>
      <c r="R207" s="37">
        <v>9</v>
      </c>
      <c r="S207" s="37">
        <v>9</v>
      </c>
      <c r="T207" s="37">
        <v>9</v>
      </c>
      <c r="U207" s="37">
        <v>9</v>
      </c>
      <c r="V207" s="37">
        <v>9</v>
      </c>
      <c r="W207" s="38" t="str">
        <f t="shared" si="37"/>
        <v>Y</v>
      </c>
      <c r="X207" s="64">
        <f t="shared" si="38"/>
        <v>0.72</v>
      </c>
      <c r="Y207" s="64" t="str">
        <f t="shared" si="39"/>
        <v>Over 50%</v>
      </c>
      <c r="Z207" s="8" t="s">
        <v>124</v>
      </c>
      <c r="AB207" s="32">
        <v>6920</v>
      </c>
      <c r="AC207" s="32">
        <v>8320</v>
      </c>
      <c r="AD207" s="32">
        <v>16200</v>
      </c>
      <c r="AE207" s="32">
        <v>2120</v>
      </c>
      <c r="AF207" s="32"/>
      <c r="AG207" s="32"/>
      <c r="AH207" s="32"/>
    </row>
    <row r="208" spans="1:34" ht="24" customHeight="1" x14ac:dyDescent="0.25">
      <c r="A208" s="10">
        <v>39</v>
      </c>
      <c r="B208" s="9">
        <v>0.46597222222222223</v>
      </c>
      <c r="C208" s="5" t="s">
        <v>20</v>
      </c>
      <c r="D208" s="5">
        <f t="shared" si="32"/>
        <v>10</v>
      </c>
      <c r="E208" s="15"/>
      <c r="F208" s="15" t="s">
        <v>24</v>
      </c>
      <c r="G208" s="19">
        <f t="shared" si="34"/>
        <v>7.06</v>
      </c>
      <c r="H208" s="19">
        <f t="shared" si="35"/>
        <v>9.1199999999999992</v>
      </c>
      <c r="I208" s="19">
        <f t="shared" si="35"/>
        <v>4.96</v>
      </c>
      <c r="J208" s="19">
        <f t="shared" si="29"/>
        <v>4.8600000000000003</v>
      </c>
      <c r="K208" s="19">
        <f t="shared" si="30"/>
        <v>3.76</v>
      </c>
      <c r="L208" s="19"/>
      <c r="M208" s="32"/>
      <c r="N208" s="36">
        <f t="shared" si="36"/>
        <v>29.759999999999998</v>
      </c>
      <c r="O208" s="36">
        <f t="shared" si="33"/>
        <v>337.8644178711607</v>
      </c>
      <c r="P208" s="37">
        <v>8</v>
      </c>
      <c r="Q208" s="37">
        <v>10</v>
      </c>
      <c r="R208" s="37">
        <v>9</v>
      </c>
      <c r="S208" s="37">
        <v>9</v>
      </c>
      <c r="T208" s="37">
        <v>9</v>
      </c>
      <c r="U208" s="37">
        <v>9</v>
      </c>
      <c r="V208" s="37">
        <v>9</v>
      </c>
      <c r="W208" s="38" t="str">
        <f t="shared" si="37"/>
        <v>N</v>
      </c>
      <c r="X208" s="64">
        <f t="shared" si="38"/>
        <v>0</v>
      </c>
      <c r="Y208" s="64" t="str">
        <f t="shared" si="39"/>
        <v>0-4.9%</v>
      </c>
      <c r="Z208" s="8" t="s">
        <v>121</v>
      </c>
      <c r="AB208" s="32">
        <v>7060</v>
      </c>
      <c r="AC208" s="32">
        <v>9120</v>
      </c>
      <c r="AD208" s="32">
        <v>4960</v>
      </c>
      <c r="AE208" s="32">
        <v>4860</v>
      </c>
      <c r="AF208" s="32">
        <v>3760</v>
      </c>
      <c r="AG208" s="32"/>
      <c r="AH208" s="32"/>
    </row>
    <row r="209" spans="1:34" ht="24" customHeight="1" x14ac:dyDescent="0.25">
      <c r="A209" s="10">
        <v>46</v>
      </c>
      <c r="B209" s="9">
        <v>0.48402777777777778</v>
      </c>
      <c r="C209" s="5" t="s">
        <v>20</v>
      </c>
      <c r="D209" s="5">
        <f t="shared" si="32"/>
        <v>10</v>
      </c>
      <c r="E209" s="15"/>
      <c r="F209" s="15" t="s">
        <v>28</v>
      </c>
      <c r="G209" s="19">
        <f t="shared" si="34"/>
        <v>9.9</v>
      </c>
      <c r="H209" s="19">
        <f t="shared" si="35"/>
        <v>8.6</v>
      </c>
      <c r="I209" s="19">
        <f t="shared" si="35"/>
        <v>11.18</v>
      </c>
      <c r="J209" s="19">
        <f t="shared" si="29"/>
        <v>19.88</v>
      </c>
      <c r="K209" s="19">
        <f t="shared" si="30"/>
        <v>13.48</v>
      </c>
      <c r="L209" s="19">
        <f t="shared" si="31"/>
        <v>12.8</v>
      </c>
      <c r="M209" s="19">
        <f t="shared" si="31"/>
        <v>0</v>
      </c>
      <c r="N209" s="36">
        <f t="shared" si="36"/>
        <v>75.84</v>
      </c>
      <c r="O209" s="36">
        <f t="shared" si="33"/>
        <v>22747.66087401738</v>
      </c>
      <c r="P209" s="37">
        <v>8</v>
      </c>
      <c r="Q209" s="37">
        <v>10</v>
      </c>
      <c r="R209" s="37">
        <v>9</v>
      </c>
      <c r="S209" s="37">
        <v>9</v>
      </c>
      <c r="T209" s="37">
        <v>9</v>
      </c>
      <c r="U209" s="37">
        <v>9</v>
      </c>
      <c r="V209" s="37">
        <v>9</v>
      </c>
      <c r="W209" s="38" t="str">
        <f t="shared" si="37"/>
        <v>Y</v>
      </c>
      <c r="X209" s="64">
        <f t="shared" si="38"/>
        <v>1.0879999999999999</v>
      </c>
      <c r="Y209" s="64" t="str">
        <f t="shared" si="39"/>
        <v>Over 50%</v>
      </c>
      <c r="Z209" s="8" t="s">
        <v>127</v>
      </c>
      <c r="AB209" s="32">
        <v>9900</v>
      </c>
      <c r="AC209" s="32">
        <v>8600</v>
      </c>
      <c r="AD209" s="32">
        <v>11180</v>
      </c>
      <c r="AE209" s="32">
        <v>19880</v>
      </c>
      <c r="AF209" s="32">
        <v>13480</v>
      </c>
      <c r="AG209" s="32">
        <v>12800</v>
      </c>
      <c r="AH209" s="32"/>
    </row>
    <row r="210" spans="1:34" ht="24" customHeight="1" x14ac:dyDescent="0.25">
      <c r="A210" s="10">
        <v>47</v>
      </c>
      <c r="B210" s="9">
        <v>0.48680555555555555</v>
      </c>
      <c r="C210" s="5" t="s">
        <v>20</v>
      </c>
      <c r="D210" s="5">
        <f t="shared" si="32"/>
        <v>10</v>
      </c>
      <c r="E210" s="15"/>
      <c r="F210" s="15" t="s">
        <v>24</v>
      </c>
      <c r="G210" s="19">
        <f t="shared" si="34"/>
        <v>7.1</v>
      </c>
      <c r="H210" s="19">
        <f t="shared" si="35"/>
        <v>5.6</v>
      </c>
      <c r="I210" s="19">
        <f t="shared" si="35"/>
        <v>11.48</v>
      </c>
      <c r="J210" s="19">
        <f t="shared" si="29"/>
        <v>10.56</v>
      </c>
      <c r="K210" s="19">
        <f t="shared" si="30"/>
        <v>0</v>
      </c>
      <c r="L210" s="19">
        <f t="shared" si="31"/>
        <v>0</v>
      </c>
      <c r="M210" s="32"/>
      <c r="N210" s="36">
        <f t="shared" si="36"/>
        <v>34.74</v>
      </c>
      <c r="O210" s="36">
        <f t="shared" si="33"/>
        <v>677.84195989316561</v>
      </c>
      <c r="P210" s="37">
        <v>8</v>
      </c>
      <c r="Q210" s="37">
        <v>10</v>
      </c>
      <c r="R210" s="37">
        <v>9</v>
      </c>
      <c r="S210" s="37">
        <v>9</v>
      </c>
      <c r="T210" s="37">
        <v>9</v>
      </c>
      <c r="U210" s="37">
        <v>9</v>
      </c>
      <c r="V210" s="37">
        <v>9</v>
      </c>
      <c r="W210" s="38" t="str">
        <f t="shared" si="37"/>
        <v>Y</v>
      </c>
      <c r="X210" s="64">
        <f t="shared" si="38"/>
        <v>0.24800000000000005</v>
      </c>
      <c r="Y210" s="64" t="str">
        <f t="shared" si="39"/>
        <v>5-25%</v>
      </c>
      <c r="Z210" s="8" t="s">
        <v>108</v>
      </c>
      <c r="AB210" s="32">
        <v>7100</v>
      </c>
      <c r="AC210" s="32">
        <v>5600</v>
      </c>
      <c r="AD210" s="32">
        <v>11480</v>
      </c>
      <c r="AE210" s="32">
        <v>10560</v>
      </c>
      <c r="AF210" s="32"/>
      <c r="AG210" s="32"/>
      <c r="AH210" s="32"/>
    </row>
    <row r="211" spans="1:34" ht="24" customHeight="1" x14ac:dyDescent="0.25">
      <c r="A211" s="10">
        <v>51</v>
      </c>
      <c r="B211" s="9">
        <v>0.50069444444444444</v>
      </c>
      <c r="C211" s="5" t="s">
        <v>20</v>
      </c>
      <c r="D211" s="5">
        <f t="shared" si="32"/>
        <v>10</v>
      </c>
      <c r="E211" s="15"/>
      <c r="F211" s="15" t="s">
        <v>24</v>
      </c>
      <c r="G211" s="19">
        <f t="shared" si="34"/>
        <v>8.56</v>
      </c>
      <c r="H211" s="19">
        <f t="shared" si="35"/>
        <v>9.06</v>
      </c>
      <c r="I211" s="19">
        <f t="shared" si="35"/>
        <v>12.38</v>
      </c>
      <c r="J211" s="19">
        <f t="shared" si="29"/>
        <v>12.6</v>
      </c>
      <c r="K211" s="19">
        <f t="shared" si="30"/>
        <v>12.74</v>
      </c>
      <c r="L211" s="19">
        <f t="shared" si="31"/>
        <v>11.78</v>
      </c>
      <c r="M211" s="32"/>
      <c r="N211" s="36">
        <f t="shared" si="36"/>
        <v>67.12</v>
      </c>
      <c r="O211" s="36">
        <f t="shared" si="33"/>
        <v>13128.891244922899</v>
      </c>
      <c r="P211" s="37">
        <v>8</v>
      </c>
      <c r="Q211" s="37">
        <v>10</v>
      </c>
      <c r="R211" s="37">
        <v>9</v>
      </c>
      <c r="S211" s="37">
        <v>9</v>
      </c>
      <c r="T211" s="37">
        <v>9</v>
      </c>
      <c r="U211" s="37">
        <v>9</v>
      </c>
      <c r="V211" s="37">
        <v>9</v>
      </c>
      <c r="W211" s="38" t="str">
        <f t="shared" si="37"/>
        <v>Y</v>
      </c>
      <c r="X211" s="64">
        <f t="shared" si="38"/>
        <v>0.374</v>
      </c>
      <c r="Y211" s="64" t="str">
        <f t="shared" si="39"/>
        <v>25-50%</v>
      </c>
      <c r="Z211" s="8" t="s">
        <v>121</v>
      </c>
      <c r="AB211" s="32">
        <v>8560</v>
      </c>
      <c r="AC211" s="32">
        <v>9060</v>
      </c>
      <c r="AD211" s="32">
        <v>12380</v>
      </c>
      <c r="AE211" s="32">
        <v>12600</v>
      </c>
      <c r="AF211" s="32">
        <v>12740</v>
      </c>
      <c r="AG211" s="32">
        <v>11780</v>
      </c>
      <c r="AH211" s="32"/>
    </row>
    <row r="212" spans="1:34" ht="24" customHeight="1" x14ac:dyDescent="0.25">
      <c r="A212" s="10">
        <v>54</v>
      </c>
      <c r="B212" s="9">
        <v>0.5180555555555556</v>
      </c>
      <c r="C212" s="5" t="s">
        <v>20</v>
      </c>
      <c r="D212" s="5">
        <f t="shared" si="32"/>
        <v>10</v>
      </c>
      <c r="E212" s="15"/>
      <c r="F212" s="15" t="s">
        <v>32</v>
      </c>
      <c r="G212" s="19">
        <f t="shared" si="34"/>
        <v>10.68</v>
      </c>
      <c r="H212" s="19">
        <f t="shared" si="35"/>
        <v>9.08</v>
      </c>
      <c r="I212" s="19">
        <f t="shared" si="35"/>
        <v>10.56</v>
      </c>
      <c r="J212" s="19">
        <f t="shared" si="29"/>
        <v>15.48</v>
      </c>
      <c r="K212" s="19">
        <f t="shared" si="30"/>
        <v>12.26</v>
      </c>
      <c r="L212" s="19">
        <f t="shared" si="31"/>
        <v>13.18</v>
      </c>
      <c r="M212" s="32"/>
      <c r="N212" s="36">
        <f t="shared" si="36"/>
        <v>71.239999999999995</v>
      </c>
      <c r="O212" s="36">
        <f t="shared" si="33"/>
        <v>17165.319213825314</v>
      </c>
      <c r="P212" s="37">
        <v>8</v>
      </c>
      <c r="Q212" s="37">
        <v>10</v>
      </c>
      <c r="R212" s="37">
        <v>9</v>
      </c>
      <c r="S212" s="37">
        <v>9</v>
      </c>
      <c r="T212" s="37">
        <v>9</v>
      </c>
      <c r="U212" s="37">
        <v>9</v>
      </c>
      <c r="V212" s="37">
        <v>9</v>
      </c>
      <c r="W212" s="38" t="str">
        <f t="shared" si="37"/>
        <v>Y</v>
      </c>
      <c r="X212" s="64">
        <f t="shared" si="38"/>
        <v>0.64800000000000002</v>
      </c>
      <c r="Y212" s="64" t="str">
        <f t="shared" si="39"/>
        <v>Over 50%</v>
      </c>
      <c r="Z212" s="8" t="s">
        <v>121</v>
      </c>
      <c r="AB212" s="32">
        <v>10680</v>
      </c>
      <c r="AC212" s="32">
        <v>9080</v>
      </c>
      <c r="AD212" s="32">
        <v>10560</v>
      </c>
      <c r="AE212" s="32">
        <v>15480</v>
      </c>
      <c r="AF212" s="32">
        <v>12260</v>
      </c>
      <c r="AG212" s="32">
        <v>13180</v>
      </c>
      <c r="AH212" s="32"/>
    </row>
    <row r="213" spans="1:34" ht="24" customHeight="1" x14ac:dyDescent="0.25">
      <c r="A213" s="10">
        <v>61</v>
      </c>
      <c r="B213" s="9">
        <v>0.53541666666666665</v>
      </c>
      <c r="C213" s="5" t="s">
        <v>21</v>
      </c>
      <c r="D213" s="5">
        <f t="shared" si="32"/>
        <v>10</v>
      </c>
      <c r="E213" s="15"/>
      <c r="F213" s="15" t="s">
        <v>24</v>
      </c>
      <c r="G213" s="19">
        <f t="shared" si="34"/>
        <v>8.48</v>
      </c>
      <c r="H213" s="19">
        <f t="shared" si="35"/>
        <v>11.04</v>
      </c>
      <c r="I213" s="19">
        <f t="shared" si="35"/>
        <v>7.98</v>
      </c>
      <c r="J213" s="19">
        <f t="shared" si="29"/>
        <v>15.02</v>
      </c>
      <c r="K213" s="19">
        <f t="shared" si="30"/>
        <v>10.6</v>
      </c>
      <c r="L213" s="19">
        <f t="shared" si="31"/>
        <v>10.38</v>
      </c>
      <c r="M213" s="32"/>
      <c r="N213" s="36">
        <f t="shared" si="36"/>
        <v>63.5</v>
      </c>
      <c r="O213" s="36">
        <f t="shared" si="33"/>
        <v>10230.009792223753</v>
      </c>
      <c r="P213" s="37">
        <v>8</v>
      </c>
      <c r="Q213" s="37">
        <v>10</v>
      </c>
      <c r="R213" s="37">
        <v>9</v>
      </c>
      <c r="S213" s="37">
        <v>9</v>
      </c>
      <c r="T213" s="37">
        <v>9</v>
      </c>
      <c r="U213" s="37">
        <v>9</v>
      </c>
      <c r="V213" s="37">
        <v>9</v>
      </c>
      <c r="W213" s="38" t="str">
        <f t="shared" si="37"/>
        <v>Y</v>
      </c>
      <c r="X213" s="64">
        <f t="shared" si="38"/>
        <v>0.60199999999999998</v>
      </c>
      <c r="Y213" s="64" t="str">
        <f t="shared" si="39"/>
        <v>Over 50%</v>
      </c>
      <c r="Z213" s="8" t="s">
        <v>124</v>
      </c>
      <c r="AB213" s="32">
        <v>8480</v>
      </c>
      <c r="AC213" s="32">
        <v>11040</v>
      </c>
      <c r="AD213" s="32">
        <v>7980</v>
      </c>
      <c r="AE213" s="32">
        <v>15020</v>
      </c>
      <c r="AF213" s="32">
        <v>10600</v>
      </c>
      <c r="AG213" s="32">
        <v>10380</v>
      </c>
      <c r="AH213" s="32"/>
    </row>
    <row r="214" spans="1:34" ht="24" customHeight="1" x14ac:dyDescent="0.25">
      <c r="A214" s="10">
        <v>65</v>
      </c>
      <c r="B214" s="9">
        <v>4.5833333333333337E-2</v>
      </c>
      <c r="C214" s="5" t="s">
        <v>20</v>
      </c>
      <c r="D214" s="5">
        <f t="shared" si="32"/>
        <v>10</v>
      </c>
      <c r="E214" s="15"/>
      <c r="F214" s="15" t="s">
        <v>43</v>
      </c>
      <c r="G214" s="19">
        <f t="shared" si="34"/>
        <v>4.5199999999999996</v>
      </c>
      <c r="H214" s="19">
        <f t="shared" si="35"/>
        <v>5.4</v>
      </c>
      <c r="I214" s="19">
        <f t="shared" si="35"/>
        <v>11.1</v>
      </c>
      <c r="J214" s="19">
        <f t="shared" si="29"/>
        <v>10.92</v>
      </c>
      <c r="K214" s="19">
        <f t="shared" si="30"/>
        <v>10.46</v>
      </c>
      <c r="L214" s="19">
        <f t="shared" si="31"/>
        <v>10.28</v>
      </c>
      <c r="M214" s="32"/>
      <c r="N214" s="36">
        <f t="shared" si="36"/>
        <v>52.68</v>
      </c>
      <c r="O214" s="36">
        <f t="shared" si="33"/>
        <v>4413.6738118432959</v>
      </c>
      <c r="P214" s="37">
        <v>8</v>
      </c>
      <c r="Q214" s="37">
        <v>10</v>
      </c>
      <c r="R214" s="37">
        <v>9</v>
      </c>
      <c r="S214" s="37">
        <v>9</v>
      </c>
      <c r="T214" s="37">
        <v>9</v>
      </c>
      <c r="U214" s="37">
        <v>9</v>
      </c>
      <c r="V214" s="37">
        <v>9</v>
      </c>
      <c r="W214" s="38" t="str">
        <f t="shared" si="37"/>
        <v>Y</v>
      </c>
      <c r="X214" s="64">
        <f t="shared" si="38"/>
        <v>0.20999999999999996</v>
      </c>
      <c r="Y214" s="64" t="str">
        <f t="shared" si="39"/>
        <v>5-25%</v>
      </c>
      <c r="Z214" s="8" t="s">
        <v>108</v>
      </c>
      <c r="AB214" s="32">
        <v>4520</v>
      </c>
      <c r="AC214" s="32">
        <v>5400</v>
      </c>
      <c r="AD214" s="32">
        <v>11100</v>
      </c>
      <c r="AE214" s="32">
        <v>10920</v>
      </c>
      <c r="AF214" s="32">
        <v>10460</v>
      </c>
      <c r="AG214" s="32">
        <v>10280</v>
      </c>
      <c r="AH214" s="32"/>
    </row>
    <row r="215" spans="1:34" ht="24" customHeight="1" x14ac:dyDescent="0.25">
      <c r="A215" s="10">
        <v>70</v>
      </c>
      <c r="B215" s="9">
        <v>6.1805555555555558E-2</v>
      </c>
      <c r="C215" s="5" t="s">
        <v>20</v>
      </c>
      <c r="D215" s="5">
        <f t="shared" si="32"/>
        <v>10</v>
      </c>
      <c r="E215" s="15"/>
      <c r="F215" s="15" t="s">
        <v>32</v>
      </c>
      <c r="G215" s="19">
        <f t="shared" si="34"/>
        <v>8.26</v>
      </c>
      <c r="H215" s="19">
        <f t="shared" si="35"/>
        <v>7.24</v>
      </c>
      <c r="I215" s="19">
        <f t="shared" si="35"/>
        <v>10.1</v>
      </c>
      <c r="J215" s="19">
        <f t="shared" si="29"/>
        <v>10.48</v>
      </c>
      <c r="K215" s="19">
        <f t="shared" si="30"/>
        <v>10.199999999999999</v>
      </c>
      <c r="L215" s="19">
        <f t="shared" si="31"/>
        <v>10.14</v>
      </c>
      <c r="M215" s="32"/>
      <c r="N215" s="36">
        <f t="shared" si="36"/>
        <v>56.42</v>
      </c>
      <c r="O215" s="36">
        <f t="shared" si="33"/>
        <v>6009.5666174640282</v>
      </c>
      <c r="P215" s="37">
        <v>8</v>
      </c>
      <c r="Q215" s="37">
        <v>10</v>
      </c>
      <c r="R215" s="37">
        <v>9</v>
      </c>
      <c r="S215" s="37">
        <v>9</v>
      </c>
      <c r="T215" s="37">
        <v>9</v>
      </c>
      <c r="U215" s="37">
        <v>9</v>
      </c>
      <c r="V215" s="37">
        <v>9</v>
      </c>
      <c r="W215" s="38" t="str">
        <f t="shared" si="37"/>
        <v>Y</v>
      </c>
      <c r="X215" s="64">
        <f t="shared" si="38"/>
        <v>0.14800000000000005</v>
      </c>
      <c r="Y215" s="64" t="str">
        <f t="shared" si="39"/>
        <v>5-25%</v>
      </c>
      <c r="Z215" s="8" t="s">
        <v>121</v>
      </c>
      <c r="AB215" s="32">
        <v>8260</v>
      </c>
      <c r="AC215" s="32">
        <v>7240</v>
      </c>
      <c r="AD215" s="32">
        <v>10100</v>
      </c>
      <c r="AE215" s="32">
        <v>10480</v>
      </c>
      <c r="AF215" s="32">
        <v>10200</v>
      </c>
      <c r="AG215" s="32">
        <v>10140</v>
      </c>
      <c r="AH215" s="32"/>
    </row>
    <row r="216" spans="1:34" ht="24" customHeight="1" x14ac:dyDescent="0.25">
      <c r="A216" s="10">
        <v>72</v>
      </c>
      <c r="B216" s="9">
        <v>7.5694444444444439E-2</v>
      </c>
      <c r="C216" s="5" t="s">
        <v>20</v>
      </c>
      <c r="D216" s="5">
        <f t="shared" si="32"/>
        <v>10</v>
      </c>
      <c r="E216" s="15"/>
      <c r="F216" s="15" t="s">
        <v>46</v>
      </c>
      <c r="G216" s="19">
        <f t="shared" si="34"/>
        <v>7.66</v>
      </c>
      <c r="H216" s="19">
        <f t="shared" si="35"/>
        <v>4.8600000000000003</v>
      </c>
      <c r="I216" s="19">
        <f t="shared" si="35"/>
        <v>10.199999999999999</v>
      </c>
      <c r="J216" s="19">
        <f t="shared" si="29"/>
        <v>11</v>
      </c>
      <c r="K216" s="19">
        <f t="shared" si="30"/>
        <v>10.32</v>
      </c>
      <c r="L216" s="19">
        <f t="shared" si="31"/>
        <v>10.3</v>
      </c>
      <c r="M216" s="32"/>
      <c r="N216" s="36">
        <f t="shared" si="36"/>
        <v>54.34</v>
      </c>
      <c r="O216" s="36">
        <f t="shared" si="33"/>
        <v>5074.9601801321996</v>
      </c>
      <c r="P216" s="37">
        <v>8</v>
      </c>
      <c r="Q216" s="37">
        <v>10</v>
      </c>
      <c r="R216" s="37">
        <v>9</v>
      </c>
      <c r="S216" s="37">
        <v>9</v>
      </c>
      <c r="T216" s="37">
        <v>9</v>
      </c>
      <c r="U216" s="37">
        <v>9</v>
      </c>
      <c r="V216" s="37">
        <v>9</v>
      </c>
      <c r="W216" s="38" t="str">
        <f t="shared" si="37"/>
        <v>Y</v>
      </c>
      <c r="X216" s="64">
        <f t="shared" si="38"/>
        <v>0.2</v>
      </c>
      <c r="Y216" s="64" t="str">
        <f t="shared" si="39"/>
        <v>5-25%</v>
      </c>
      <c r="Z216" s="8" t="s">
        <v>108</v>
      </c>
      <c r="AB216" s="32">
        <v>7660</v>
      </c>
      <c r="AC216" s="32">
        <v>4860</v>
      </c>
      <c r="AD216" s="32">
        <v>10200</v>
      </c>
      <c r="AE216" s="32">
        <v>11000</v>
      </c>
      <c r="AF216" s="32">
        <v>10320</v>
      </c>
      <c r="AG216" s="32">
        <v>10300</v>
      </c>
      <c r="AH216" s="32"/>
    </row>
    <row r="217" spans="1:34" ht="24" customHeight="1" x14ac:dyDescent="0.25">
      <c r="A217" s="10">
        <v>76</v>
      </c>
      <c r="B217" s="9">
        <v>0.10972222222222222</v>
      </c>
      <c r="C217" s="5" t="s">
        <v>20</v>
      </c>
      <c r="D217" s="5">
        <f t="shared" si="32"/>
        <v>10</v>
      </c>
      <c r="E217" s="15"/>
      <c r="F217" s="15" t="s">
        <v>24</v>
      </c>
      <c r="G217" s="19">
        <f t="shared" si="34"/>
        <v>7.52</v>
      </c>
      <c r="H217" s="19">
        <f t="shared" si="35"/>
        <v>5.0999999999999996</v>
      </c>
      <c r="I217" s="19">
        <f t="shared" si="35"/>
        <v>10.18</v>
      </c>
      <c r="J217" s="19">
        <f t="shared" si="29"/>
        <v>10.24</v>
      </c>
      <c r="K217" s="19">
        <f t="shared" si="30"/>
        <v>8.0299999999999994</v>
      </c>
      <c r="L217" s="19">
        <f t="shared" si="31"/>
        <v>8.06</v>
      </c>
      <c r="M217" s="32"/>
      <c r="N217" s="36">
        <f t="shared" si="36"/>
        <v>49.13</v>
      </c>
      <c r="O217" s="36">
        <f t="shared" si="33"/>
        <v>3224.4431492449462</v>
      </c>
      <c r="P217" s="37">
        <v>8</v>
      </c>
      <c r="Q217" s="37">
        <v>10</v>
      </c>
      <c r="R217" s="37">
        <v>9</v>
      </c>
      <c r="S217" s="37">
        <v>9</v>
      </c>
      <c r="T217" s="37">
        <v>9</v>
      </c>
      <c r="U217" s="37">
        <v>9</v>
      </c>
      <c r="V217" s="37">
        <v>9</v>
      </c>
      <c r="W217" s="38" t="str">
        <f t="shared" si="37"/>
        <v>Y</v>
      </c>
      <c r="X217" s="64">
        <f t="shared" si="38"/>
        <v>0.12400000000000003</v>
      </c>
      <c r="Y217" s="64" t="str">
        <f t="shared" si="39"/>
        <v>5-25%</v>
      </c>
      <c r="Z217" s="8" t="s">
        <v>108</v>
      </c>
      <c r="AB217" s="32">
        <v>7520</v>
      </c>
      <c r="AC217" s="32">
        <v>5100</v>
      </c>
      <c r="AD217" s="32">
        <v>10180</v>
      </c>
      <c r="AE217" s="32">
        <v>10240</v>
      </c>
      <c r="AF217" s="32">
        <v>8030</v>
      </c>
      <c r="AG217" s="32">
        <v>8060</v>
      </c>
      <c r="AH217" s="32"/>
    </row>
    <row r="218" spans="1:34" ht="24" customHeight="1" x14ac:dyDescent="0.25">
      <c r="A218" s="10">
        <v>1</v>
      </c>
      <c r="B218" s="9">
        <v>0.13472222222222222</v>
      </c>
      <c r="C218" s="5" t="s">
        <v>20</v>
      </c>
      <c r="D218" s="5">
        <f t="shared" si="32"/>
        <v>10</v>
      </c>
      <c r="E218" s="15"/>
      <c r="F218" s="15" t="s">
        <v>27</v>
      </c>
      <c r="G218" s="19">
        <f t="shared" si="34"/>
        <v>5.66</v>
      </c>
      <c r="H218" s="19">
        <f t="shared" si="35"/>
        <v>4.22</v>
      </c>
      <c r="I218" s="19">
        <f t="shared" si="35"/>
        <v>10.119999999999999</v>
      </c>
      <c r="J218" s="19">
        <f t="shared" si="29"/>
        <v>8.06</v>
      </c>
      <c r="K218" s="19">
        <f t="shared" si="30"/>
        <v>9.36</v>
      </c>
      <c r="L218" s="19"/>
      <c r="M218" s="32"/>
      <c r="N218" s="36">
        <f t="shared" si="36"/>
        <v>37.42</v>
      </c>
      <c r="O218" s="36">
        <f t="shared" si="33"/>
        <v>947.02470776879659</v>
      </c>
      <c r="P218" s="37">
        <v>8</v>
      </c>
      <c r="Q218" s="37">
        <v>10</v>
      </c>
      <c r="R218" s="37">
        <v>9</v>
      </c>
      <c r="S218" s="37">
        <v>9</v>
      </c>
      <c r="T218" s="37">
        <v>9</v>
      </c>
      <c r="U218" s="37">
        <v>9</v>
      </c>
      <c r="V218" s="37">
        <v>9</v>
      </c>
      <c r="W218" s="38" t="str">
        <f t="shared" si="37"/>
        <v>Y</v>
      </c>
      <c r="X218" s="64">
        <f t="shared" si="38"/>
        <v>0.11199999999999992</v>
      </c>
      <c r="Y218" s="64" t="str">
        <f t="shared" si="39"/>
        <v>5-25%</v>
      </c>
      <c r="Z218" s="8" t="s">
        <v>108</v>
      </c>
      <c r="AB218" s="32">
        <v>5660</v>
      </c>
      <c r="AC218" s="32">
        <v>4220</v>
      </c>
      <c r="AD218" s="32">
        <v>10120</v>
      </c>
      <c r="AE218" s="32">
        <v>8060</v>
      </c>
      <c r="AF218" s="32">
        <v>9360</v>
      </c>
      <c r="AG218" s="32"/>
      <c r="AH218" s="32"/>
    </row>
    <row r="219" spans="1:34" ht="24" customHeight="1" x14ac:dyDescent="0.25">
      <c r="A219" s="10">
        <v>3</v>
      </c>
      <c r="B219" s="9">
        <v>0.14375000000000002</v>
      </c>
      <c r="C219" s="5" t="s">
        <v>20</v>
      </c>
      <c r="D219" s="5">
        <f t="shared" si="32"/>
        <v>10</v>
      </c>
      <c r="E219" s="15"/>
      <c r="F219" s="15" t="s">
        <v>24</v>
      </c>
      <c r="G219" s="19">
        <f t="shared" si="34"/>
        <v>7.76</v>
      </c>
      <c r="H219" s="19">
        <f t="shared" si="35"/>
        <v>12.08</v>
      </c>
      <c r="I219" s="19">
        <f t="shared" si="35"/>
        <v>5.0199999999999996</v>
      </c>
      <c r="J219" s="19">
        <f t="shared" si="29"/>
        <v>4.32</v>
      </c>
      <c r="K219" s="19">
        <f t="shared" si="30"/>
        <v>4.62</v>
      </c>
      <c r="L219" s="19"/>
      <c r="M219" s="32"/>
      <c r="N219" s="36">
        <f t="shared" si="36"/>
        <v>33.799999999999997</v>
      </c>
      <c r="O219" s="36">
        <f t="shared" si="33"/>
        <v>599.12775198426516</v>
      </c>
      <c r="P219" s="37">
        <v>8</v>
      </c>
      <c r="Q219" s="37">
        <v>10</v>
      </c>
      <c r="R219" s="37">
        <v>9</v>
      </c>
      <c r="S219" s="37">
        <v>9</v>
      </c>
      <c r="T219" s="37">
        <v>9</v>
      </c>
      <c r="U219" s="37">
        <v>9</v>
      </c>
      <c r="V219" s="37">
        <v>9</v>
      </c>
      <c r="W219" s="38" t="str">
        <f t="shared" si="37"/>
        <v>Y</v>
      </c>
      <c r="X219" s="64">
        <f t="shared" si="38"/>
        <v>0.20800000000000002</v>
      </c>
      <c r="Y219" s="64" t="str">
        <f t="shared" si="39"/>
        <v>5-25%</v>
      </c>
      <c r="Z219" s="8" t="s">
        <v>121</v>
      </c>
      <c r="AB219" s="32">
        <v>7760</v>
      </c>
      <c r="AC219" s="32">
        <v>12080</v>
      </c>
      <c r="AD219" s="32">
        <v>5020</v>
      </c>
      <c r="AE219" s="32">
        <v>4320</v>
      </c>
      <c r="AF219" s="32">
        <v>4620</v>
      </c>
      <c r="AG219" s="32"/>
      <c r="AH219" s="32"/>
    </row>
    <row r="220" spans="1:34" ht="24" customHeight="1" x14ac:dyDescent="0.25">
      <c r="A220" s="10">
        <v>4</v>
      </c>
      <c r="B220" s="9">
        <v>0.14444444444444446</v>
      </c>
      <c r="C220" s="5" t="s">
        <v>20</v>
      </c>
      <c r="D220" s="5">
        <f t="shared" si="32"/>
        <v>10</v>
      </c>
      <c r="E220" s="15"/>
      <c r="F220" s="15" t="s">
        <v>24</v>
      </c>
      <c r="G220" s="19">
        <f t="shared" si="34"/>
        <v>7.7</v>
      </c>
      <c r="H220" s="19">
        <f t="shared" si="35"/>
        <v>10.72</v>
      </c>
      <c r="I220" s="19">
        <f t="shared" si="35"/>
        <v>12.52</v>
      </c>
      <c r="J220" s="19">
        <f t="shared" si="29"/>
        <v>10.74</v>
      </c>
      <c r="K220" s="19">
        <f t="shared" si="30"/>
        <v>10.7</v>
      </c>
      <c r="L220" s="19">
        <f t="shared" si="31"/>
        <v>10.56</v>
      </c>
      <c r="M220" s="32"/>
      <c r="N220" s="36">
        <f t="shared" si="36"/>
        <v>62.94</v>
      </c>
      <c r="O220" s="36">
        <f t="shared" si="33"/>
        <v>9830.2510499035743</v>
      </c>
      <c r="P220" s="37">
        <v>8</v>
      </c>
      <c r="Q220" s="37">
        <v>10</v>
      </c>
      <c r="R220" s="37">
        <v>9</v>
      </c>
      <c r="S220" s="37">
        <v>9</v>
      </c>
      <c r="T220" s="37">
        <v>9</v>
      </c>
      <c r="U220" s="37">
        <v>9</v>
      </c>
      <c r="V220" s="37">
        <v>9</v>
      </c>
      <c r="W220" s="38" t="str">
        <f t="shared" si="37"/>
        <v>Y</v>
      </c>
      <c r="X220" s="64">
        <f t="shared" si="38"/>
        <v>0.35199999999999998</v>
      </c>
      <c r="Y220" s="64" t="str">
        <f t="shared" si="39"/>
        <v>25-50%</v>
      </c>
      <c r="Z220" s="8" t="s">
        <v>108</v>
      </c>
      <c r="AB220" s="32">
        <v>7700</v>
      </c>
      <c r="AC220" s="32">
        <v>10720</v>
      </c>
      <c r="AD220" s="32">
        <v>12520</v>
      </c>
      <c r="AE220" s="32">
        <v>10740</v>
      </c>
      <c r="AF220" s="32">
        <v>10700</v>
      </c>
      <c r="AG220" s="32">
        <v>10560</v>
      </c>
      <c r="AH220" s="32"/>
    </row>
    <row r="221" spans="1:34" ht="24" customHeight="1" x14ac:dyDescent="0.25">
      <c r="A221" s="10">
        <v>12</v>
      </c>
      <c r="B221" s="9">
        <v>0.15347222222222223</v>
      </c>
      <c r="C221" s="5" t="s">
        <v>20</v>
      </c>
      <c r="D221" s="5">
        <f t="shared" si="32"/>
        <v>10</v>
      </c>
      <c r="E221" s="15"/>
      <c r="F221" s="15" t="s">
        <v>43</v>
      </c>
      <c r="G221" s="19">
        <f t="shared" si="34"/>
        <v>6.06</v>
      </c>
      <c r="H221" s="19">
        <f t="shared" si="35"/>
        <v>3.02</v>
      </c>
      <c r="I221" s="19">
        <f t="shared" si="35"/>
        <v>4.76</v>
      </c>
      <c r="J221" s="19">
        <f t="shared" si="29"/>
        <v>4.38</v>
      </c>
      <c r="K221" s="19">
        <f t="shared" si="30"/>
        <v>1.38</v>
      </c>
      <c r="L221" s="19"/>
      <c r="M221" s="32"/>
      <c r="N221" s="36">
        <f t="shared" si="36"/>
        <v>19.599999999999998</v>
      </c>
      <c r="O221" s="36">
        <f t="shared" si="33"/>
        <v>51.587752397276937</v>
      </c>
      <c r="P221" s="37">
        <v>8</v>
      </c>
      <c r="Q221" s="37">
        <v>10</v>
      </c>
      <c r="R221" s="37">
        <v>9</v>
      </c>
      <c r="S221" s="37">
        <v>9</v>
      </c>
      <c r="T221" s="37">
        <v>9</v>
      </c>
      <c r="U221" s="37">
        <v>9</v>
      </c>
      <c r="V221" s="37">
        <v>9</v>
      </c>
      <c r="W221" s="38" t="str">
        <f t="shared" si="37"/>
        <v>N</v>
      </c>
      <c r="X221" s="64">
        <f t="shared" si="38"/>
        <v>0</v>
      </c>
      <c r="Y221" s="64" t="str">
        <f t="shared" si="39"/>
        <v>0-4.9%</v>
      </c>
      <c r="Z221" s="8" t="s">
        <v>108</v>
      </c>
      <c r="AB221" s="32">
        <v>6060</v>
      </c>
      <c r="AC221" s="32">
        <v>3020</v>
      </c>
      <c r="AD221" s="32">
        <v>4760</v>
      </c>
      <c r="AE221" s="32">
        <v>4380</v>
      </c>
      <c r="AF221" s="32">
        <v>1380</v>
      </c>
      <c r="AG221" s="32"/>
      <c r="AH221" s="32"/>
    </row>
    <row r="222" spans="1:34" ht="24" customHeight="1" x14ac:dyDescent="0.25">
      <c r="A222" s="10">
        <v>13</v>
      </c>
      <c r="B222" s="9">
        <v>0.15555555555555556</v>
      </c>
      <c r="C222" s="5" t="s">
        <v>20</v>
      </c>
      <c r="D222" s="5">
        <f t="shared" si="32"/>
        <v>10</v>
      </c>
      <c r="E222" s="15"/>
      <c r="F222" s="15" t="s">
        <v>24</v>
      </c>
      <c r="G222" s="19">
        <f t="shared" si="34"/>
        <v>6.92</v>
      </c>
      <c r="H222" s="19">
        <f t="shared" si="35"/>
        <v>5.6</v>
      </c>
      <c r="I222" s="19">
        <f t="shared" si="35"/>
        <v>5.24</v>
      </c>
      <c r="J222" s="19">
        <f t="shared" si="29"/>
        <v>5.42</v>
      </c>
      <c r="K222" s="19">
        <f t="shared" si="30"/>
        <v>5</v>
      </c>
      <c r="L222" s="19">
        <f t="shared" si="31"/>
        <v>5.14</v>
      </c>
      <c r="M222" s="32"/>
      <c r="N222" s="36">
        <f t="shared" si="36"/>
        <v>33.32</v>
      </c>
      <c r="O222" s="36">
        <f t="shared" si="33"/>
        <v>561.78061979702875</v>
      </c>
      <c r="P222" s="37">
        <v>8</v>
      </c>
      <c r="Q222" s="37">
        <v>10</v>
      </c>
      <c r="R222" s="37">
        <v>9</v>
      </c>
      <c r="S222" s="37">
        <v>9</v>
      </c>
      <c r="T222" s="37">
        <v>9</v>
      </c>
      <c r="U222" s="37">
        <v>9</v>
      </c>
      <c r="V222" s="37">
        <v>9</v>
      </c>
      <c r="W222" s="38" t="str">
        <f t="shared" si="37"/>
        <v>N</v>
      </c>
      <c r="X222" s="64">
        <f t="shared" si="38"/>
        <v>0</v>
      </c>
      <c r="Y222" s="64" t="str">
        <f t="shared" si="39"/>
        <v>0-4.9%</v>
      </c>
      <c r="Z222" s="8" t="s">
        <v>108</v>
      </c>
      <c r="AB222" s="32">
        <v>6920</v>
      </c>
      <c r="AC222" s="32">
        <v>5600</v>
      </c>
      <c r="AD222" s="32">
        <v>5240</v>
      </c>
      <c r="AE222" s="32">
        <v>5420</v>
      </c>
      <c r="AF222" s="32">
        <v>5000</v>
      </c>
      <c r="AG222" s="32">
        <v>5140</v>
      </c>
      <c r="AH222" s="32"/>
    </row>
    <row r="223" spans="1:34" ht="24" customHeight="1" x14ac:dyDescent="0.25">
      <c r="A223" s="10">
        <v>18</v>
      </c>
      <c r="B223" s="9">
        <v>0.17430555555555557</v>
      </c>
      <c r="C223" s="5" t="s">
        <v>20</v>
      </c>
      <c r="D223" s="5">
        <f t="shared" si="32"/>
        <v>10</v>
      </c>
      <c r="E223" s="15"/>
      <c r="F223" s="15" t="s">
        <v>25</v>
      </c>
      <c r="G223" s="19">
        <f t="shared" si="34"/>
        <v>8.48</v>
      </c>
      <c r="H223" s="19">
        <f t="shared" si="35"/>
        <v>10.119999999999999</v>
      </c>
      <c r="I223" s="19">
        <f t="shared" si="35"/>
        <v>8.02</v>
      </c>
      <c r="J223" s="19">
        <f t="shared" si="29"/>
        <v>6.08</v>
      </c>
      <c r="K223" s="19">
        <f t="shared" si="30"/>
        <v>8.0399999999999991</v>
      </c>
      <c r="L223" s="19">
        <f t="shared" si="31"/>
        <v>0</v>
      </c>
      <c r="M223" s="32"/>
      <c r="N223" s="36">
        <f t="shared" si="36"/>
        <v>40.74</v>
      </c>
      <c r="O223" s="36">
        <f t="shared" si="33"/>
        <v>1388.317815003616</v>
      </c>
      <c r="P223" s="37">
        <v>8</v>
      </c>
      <c r="Q223" s="37">
        <v>10</v>
      </c>
      <c r="R223" s="37">
        <v>9</v>
      </c>
      <c r="S223" s="37">
        <v>9</v>
      </c>
      <c r="T223" s="37">
        <v>9</v>
      </c>
      <c r="U223" s="37">
        <v>9</v>
      </c>
      <c r="V223" s="37">
        <v>9</v>
      </c>
      <c r="W223" s="38" t="str">
        <f t="shared" si="37"/>
        <v>Y</v>
      </c>
      <c r="X223" s="64">
        <f t="shared" si="38"/>
        <v>4.8000000000000043E-2</v>
      </c>
      <c r="Y223" s="64" t="str">
        <f t="shared" si="39"/>
        <v>0-4.9%</v>
      </c>
      <c r="Z223" s="8" t="s">
        <v>121</v>
      </c>
      <c r="AB223" s="32">
        <v>8480</v>
      </c>
      <c r="AC223" s="32">
        <v>10120</v>
      </c>
      <c r="AD223" s="32">
        <v>8020</v>
      </c>
      <c r="AE223" s="32">
        <v>6080</v>
      </c>
      <c r="AF223" s="32">
        <v>8040</v>
      </c>
      <c r="AG223" s="32"/>
      <c r="AH223" s="32"/>
    </row>
    <row r="224" spans="1:34" ht="24" customHeight="1" x14ac:dyDescent="0.25">
      <c r="A224" s="10">
        <v>21</v>
      </c>
      <c r="B224" s="9">
        <v>0.20347222222222219</v>
      </c>
      <c r="C224" s="5" t="s">
        <v>20</v>
      </c>
      <c r="D224" s="5">
        <f t="shared" si="32"/>
        <v>10</v>
      </c>
      <c r="E224" s="15"/>
      <c r="F224" s="15" t="s">
        <v>27</v>
      </c>
      <c r="G224" s="19">
        <f t="shared" si="34"/>
        <v>9.24</v>
      </c>
      <c r="H224" s="19">
        <f t="shared" si="35"/>
        <v>11.42</v>
      </c>
      <c r="I224" s="19">
        <f t="shared" si="35"/>
        <v>10.38</v>
      </c>
      <c r="J224" s="19">
        <f t="shared" si="29"/>
        <v>10.220000000000001</v>
      </c>
      <c r="K224" s="19">
        <f t="shared" si="30"/>
        <v>10.86</v>
      </c>
      <c r="L224" s="19">
        <f t="shared" si="31"/>
        <v>8.98</v>
      </c>
      <c r="M224" s="32"/>
      <c r="N224" s="36">
        <f t="shared" si="36"/>
        <v>61.099999999999994</v>
      </c>
      <c r="O224" s="36">
        <f t="shared" si="33"/>
        <v>8601.6096850473441</v>
      </c>
      <c r="P224" s="37">
        <v>8</v>
      </c>
      <c r="Q224" s="37">
        <v>10</v>
      </c>
      <c r="R224" s="37">
        <v>9</v>
      </c>
      <c r="S224" s="37">
        <v>9</v>
      </c>
      <c r="T224" s="37">
        <v>9</v>
      </c>
      <c r="U224" s="37">
        <v>9</v>
      </c>
      <c r="V224" s="37">
        <v>9</v>
      </c>
      <c r="W224" s="38" t="str">
        <f t="shared" si="37"/>
        <v>Y</v>
      </c>
      <c r="X224" s="64">
        <f t="shared" si="38"/>
        <v>0.18599999999999994</v>
      </c>
      <c r="Y224" s="64" t="str">
        <f t="shared" si="39"/>
        <v>5-25%</v>
      </c>
      <c r="Z224" s="8" t="s">
        <v>121</v>
      </c>
      <c r="AB224" s="32">
        <v>9240</v>
      </c>
      <c r="AC224" s="32">
        <v>11420</v>
      </c>
      <c r="AD224" s="32">
        <v>10380</v>
      </c>
      <c r="AE224" s="32">
        <v>10220</v>
      </c>
      <c r="AF224" s="32">
        <v>10860</v>
      </c>
      <c r="AG224" s="32">
        <v>8980</v>
      </c>
      <c r="AH224" s="32"/>
    </row>
    <row r="225" spans="1:34" ht="24" customHeight="1" x14ac:dyDescent="0.25">
      <c r="A225" s="10">
        <v>23</v>
      </c>
      <c r="B225" s="9">
        <v>0.34375</v>
      </c>
      <c r="C225" s="5" t="s">
        <v>20</v>
      </c>
      <c r="D225" s="5">
        <f t="shared" si="32"/>
        <v>10</v>
      </c>
      <c r="E225" s="15"/>
      <c r="F225" s="15" t="s">
        <v>24</v>
      </c>
      <c r="G225" s="19">
        <f t="shared" si="34"/>
        <v>7.22</v>
      </c>
      <c r="H225" s="19">
        <f t="shared" si="35"/>
        <v>4.88</v>
      </c>
      <c r="I225" s="19">
        <f t="shared" si="35"/>
        <v>8</v>
      </c>
      <c r="J225" s="19">
        <f t="shared" si="29"/>
        <v>6.5</v>
      </c>
      <c r="K225" s="19"/>
      <c r="L225" s="19"/>
      <c r="M225" s="32"/>
      <c r="N225" s="36">
        <f t="shared" si="36"/>
        <v>26.6</v>
      </c>
      <c r="O225" s="36">
        <f t="shared" si="33"/>
        <v>203.87390921278728</v>
      </c>
      <c r="P225" s="37">
        <v>8</v>
      </c>
      <c r="Q225" s="37">
        <v>10</v>
      </c>
      <c r="R225" s="37">
        <v>9</v>
      </c>
      <c r="S225" s="37">
        <v>9</v>
      </c>
      <c r="T225" s="37">
        <v>9</v>
      </c>
      <c r="U225" s="37">
        <v>9</v>
      </c>
      <c r="V225" s="37">
        <v>9</v>
      </c>
      <c r="W225" s="38" t="str">
        <f t="shared" si="37"/>
        <v>N</v>
      </c>
      <c r="X225" s="64">
        <f t="shared" si="38"/>
        <v>0</v>
      </c>
      <c r="Y225" s="64" t="str">
        <f t="shared" si="39"/>
        <v>0-4.9%</v>
      </c>
      <c r="Z225" s="8" t="s">
        <v>108</v>
      </c>
      <c r="AB225" s="32">
        <v>7220</v>
      </c>
      <c r="AC225" s="32">
        <v>4880</v>
      </c>
      <c r="AD225" s="32">
        <v>8000</v>
      </c>
      <c r="AE225" s="32">
        <v>6500</v>
      </c>
      <c r="AF225" s="32"/>
      <c r="AG225" s="32"/>
      <c r="AH225" s="32"/>
    </row>
    <row r="226" spans="1:34" ht="24" customHeight="1" x14ac:dyDescent="0.25">
      <c r="A226" s="10">
        <v>24</v>
      </c>
      <c r="B226" s="9">
        <v>0.3444444444444445</v>
      </c>
      <c r="C226" s="5" t="s">
        <v>20</v>
      </c>
      <c r="D226" s="5">
        <f t="shared" si="32"/>
        <v>10</v>
      </c>
      <c r="E226" s="15"/>
      <c r="F226" s="15" t="s">
        <v>48</v>
      </c>
      <c r="G226" s="19">
        <f t="shared" si="34"/>
        <v>10.52</v>
      </c>
      <c r="H226" s="19">
        <f t="shared" si="35"/>
        <v>15.5</v>
      </c>
      <c r="I226" s="19">
        <f t="shared" si="35"/>
        <v>0.66</v>
      </c>
      <c r="J226" s="19">
        <f t="shared" si="29"/>
        <v>3.02</v>
      </c>
      <c r="K226" s="19">
        <f t="shared" si="30"/>
        <v>3</v>
      </c>
      <c r="L226" s="19">
        <f t="shared" si="31"/>
        <v>3.38</v>
      </c>
      <c r="M226" s="32"/>
      <c r="N226" s="36">
        <f t="shared" si="36"/>
        <v>36.080000000000005</v>
      </c>
      <c r="O226" s="36">
        <f t="shared" si="33"/>
        <v>803.69943963175103</v>
      </c>
      <c r="P226" s="37">
        <v>8</v>
      </c>
      <c r="Q226" s="37">
        <v>10</v>
      </c>
      <c r="R226" s="37">
        <v>9</v>
      </c>
      <c r="S226" s="37">
        <v>9</v>
      </c>
      <c r="T226" s="37">
        <v>9</v>
      </c>
      <c r="U226" s="37">
        <v>9</v>
      </c>
      <c r="V226" s="37">
        <v>9</v>
      </c>
      <c r="W226" s="38" t="str">
        <f t="shared" si="37"/>
        <v>Y</v>
      </c>
      <c r="X226" s="64">
        <f t="shared" si="38"/>
        <v>0.55000000000000004</v>
      </c>
      <c r="Y226" s="64" t="str">
        <f t="shared" si="39"/>
        <v>Over 50%</v>
      </c>
      <c r="Z226" s="8" t="s">
        <v>124</v>
      </c>
      <c r="AB226" s="32">
        <v>10520</v>
      </c>
      <c r="AC226" s="32">
        <v>15500</v>
      </c>
      <c r="AD226" s="32">
        <v>660</v>
      </c>
      <c r="AE226" s="32">
        <v>3020</v>
      </c>
      <c r="AF226" s="32">
        <v>3000</v>
      </c>
      <c r="AG226" s="32">
        <v>3380</v>
      </c>
      <c r="AH226" s="32"/>
    </row>
    <row r="227" spans="1:34" ht="24" customHeight="1" x14ac:dyDescent="0.25">
      <c r="A227" s="10">
        <v>26</v>
      </c>
      <c r="B227" s="9">
        <v>0.34722222222222227</v>
      </c>
      <c r="C227" s="5" t="s">
        <v>20</v>
      </c>
      <c r="D227" s="5">
        <f t="shared" si="32"/>
        <v>10</v>
      </c>
      <c r="E227" s="15"/>
      <c r="F227" s="15" t="s">
        <v>45</v>
      </c>
      <c r="G227" s="19">
        <f t="shared" si="34"/>
        <v>8.08</v>
      </c>
      <c r="H227" s="19">
        <f t="shared" si="35"/>
        <v>6.66</v>
      </c>
      <c r="I227" s="19">
        <f t="shared" si="35"/>
        <v>9.6</v>
      </c>
      <c r="J227" s="19">
        <f t="shared" si="29"/>
        <v>10.5</v>
      </c>
      <c r="K227" s="19">
        <f t="shared" si="30"/>
        <v>10.74</v>
      </c>
      <c r="L227" s="19">
        <f t="shared" si="31"/>
        <v>10.16</v>
      </c>
      <c r="M227" s="32"/>
      <c r="N227" s="36">
        <f t="shared" si="36"/>
        <v>55.740000000000009</v>
      </c>
      <c r="O227" s="36">
        <f t="shared" si="33"/>
        <v>5690.4370755278323</v>
      </c>
      <c r="P227" s="37">
        <v>8</v>
      </c>
      <c r="Q227" s="37">
        <v>10</v>
      </c>
      <c r="R227" s="37">
        <v>9</v>
      </c>
      <c r="S227" s="37">
        <v>9</v>
      </c>
      <c r="T227" s="37">
        <v>9</v>
      </c>
      <c r="U227" s="37">
        <v>9</v>
      </c>
      <c r="V227" s="37">
        <v>9</v>
      </c>
      <c r="W227" s="38" t="str">
        <f t="shared" si="37"/>
        <v>Y</v>
      </c>
      <c r="X227" s="64">
        <f t="shared" si="38"/>
        <v>0.17400000000000002</v>
      </c>
      <c r="Y227" s="64" t="str">
        <f t="shared" si="39"/>
        <v>5-25%</v>
      </c>
      <c r="Z227" s="8" t="s">
        <v>108</v>
      </c>
      <c r="AB227" s="32">
        <v>8080</v>
      </c>
      <c r="AC227" s="32">
        <v>6660</v>
      </c>
      <c r="AD227" s="32">
        <v>9600</v>
      </c>
      <c r="AE227" s="32">
        <v>10500</v>
      </c>
      <c r="AF227" s="32">
        <v>10740</v>
      </c>
      <c r="AG227" s="32">
        <v>10160</v>
      </c>
      <c r="AH227" s="32"/>
    </row>
    <row r="228" spans="1:34" ht="24" customHeight="1" x14ac:dyDescent="0.25">
      <c r="A228" s="10">
        <v>30</v>
      </c>
      <c r="B228" s="9">
        <v>0.3576388888888889</v>
      </c>
      <c r="C228" s="5" t="s">
        <v>20</v>
      </c>
      <c r="D228" s="5">
        <f t="shared" si="32"/>
        <v>10</v>
      </c>
      <c r="E228" s="15"/>
      <c r="F228" s="15" t="s">
        <v>24</v>
      </c>
      <c r="G228" s="19">
        <f t="shared" si="34"/>
        <v>6.52</v>
      </c>
      <c r="H228" s="19">
        <f t="shared" si="35"/>
        <v>16.399999999999999</v>
      </c>
      <c r="I228" s="19">
        <f t="shared" si="35"/>
        <v>25.3</v>
      </c>
      <c r="J228" s="19">
        <f t="shared" si="29"/>
        <v>25.6</v>
      </c>
      <c r="K228" s="19">
        <f t="shared" si="30"/>
        <v>0</v>
      </c>
      <c r="L228" s="19">
        <f t="shared" si="31"/>
        <v>0</v>
      </c>
      <c r="M228" s="32"/>
      <c r="N228" s="36">
        <f t="shared" si="36"/>
        <v>73.819999999999993</v>
      </c>
      <c r="O228" s="36">
        <f t="shared" si="33"/>
        <v>20145.473034142709</v>
      </c>
      <c r="P228" s="37">
        <v>8</v>
      </c>
      <c r="Q228" s="37">
        <v>10</v>
      </c>
      <c r="R228" s="37">
        <v>9</v>
      </c>
      <c r="S228" s="37">
        <v>9</v>
      </c>
      <c r="T228" s="37">
        <v>9</v>
      </c>
      <c r="U228" s="37">
        <v>9</v>
      </c>
      <c r="V228" s="37">
        <v>9</v>
      </c>
      <c r="W228" s="38" t="str">
        <f t="shared" si="37"/>
        <v>Y</v>
      </c>
      <c r="X228" s="64">
        <f t="shared" si="38"/>
        <v>1.6600000000000001</v>
      </c>
      <c r="Y228" s="64" t="str">
        <f t="shared" si="39"/>
        <v>Over 50%</v>
      </c>
      <c r="Z228" s="8" t="s">
        <v>121</v>
      </c>
      <c r="AB228" s="32">
        <v>6520</v>
      </c>
      <c r="AC228" s="32">
        <v>16400</v>
      </c>
      <c r="AD228" s="32">
        <v>25300</v>
      </c>
      <c r="AE228" s="32">
        <v>25600</v>
      </c>
      <c r="AF228" s="32"/>
      <c r="AG228" s="32"/>
      <c r="AH228" s="32"/>
    </row>
    <row r="229" spans="1:34" ht="24" customHeight="1" x14ac:dyDescent="0.25">
      <c r="A229" s="10">
        <v>34</v>
      </c>
      <c r="B229" s="9">
        <v>0.3743055555555555</v>
      </c>
      <c r="C229" s="5" t="s">
        <v>20</v>
      </c>
      <c r="D229" s="5">
        <f t="shared" si="32"/>
        <v>10</v>
      </c>
      <c r="E229" s="15"/>
      <c r="F229" s="15" t="s">
        <v>32</v>
      </c>
      <c r="G229" s="19">
        <f t="shared" si="34"/>
        <v>9.3800000000000008</v>
      </c>
      <c r="H229" s="19">
        <f t="shared" si="35"/>
        <v>9.76</v>
      </c>
      <c r="I229" s="19">
        <f t="shared" si="35"/>
        <v>3.4</v>
      </c>
      <c r="J229" s="19">
        <f t="shared" si="29"/>
        <v>2.58</v>
      </c>
      <c r="K229" s="19"/>
      <c r="L229" s="19"/>
      <c r="M229" s="32"/>
      <c r="N229" s="36">
        <f t="shared" si="36"/>
        <v>25.119999999999997</v>
      </c>
      <c r="O229" s="36">
        <f t="shared" si="33"/>
        <v>157.57330472410251</v>
      </c>
      <c r="P229" s="37">
        <v>8</v>
      </c>
      <c r="Q229" s="37">
        <v>10</v>
      </c>
      <c r="R229" s="37">
        <v>9</v>
      </c>
      <c r="S229" s="37">
        <v>9</v>
      </c>
      <c r="T229" s="37">
        <v>9</v>
      </c>
      <c r="U229" s="37">
        <v>9</v>
      </c>
      <c r="V229" s="37">
        <v>9</v>
      </c>
      <c r="W229" s="38" t="str">
        <f t="shared" si="37"/>
        <v>Y</v>
      </c>
      <c r="X229" s="64">
        <f t="shared" si="38"/>
        <v>0.13800000000000007</v>
      </c>
      <c r="Y229" s="64" t="str">
        <f t="shared" si="39"/>
        <v>5-25%</v>
      </c>
      <c r="Z229" s="8" t="s">
        <v>127</v>
      </c>
      <c r="AB229" s="32">
        <v>9380</v>
      </c>
      <c r="AC229" s="32">
        <v>9760</v>
      </c>
      <c r="AD229" s="32">
        <v>3400</v>
      </c>
      <c r="AE229" s="32">
        <v>2580</v>
      </c>
      <c r="AF229" s="32"/>
      <c r="AG229" s="32"/>
      <c r="AH229" s="32"/>
    </row>
    <row r="230" spans="1:34" ht="24" customHeight="1" x14ac:dyDescent="0.25">
      <c r="A230" s="10">
        <v>37</v>
      </c>
      <c r="B230" s="9">
        <v>0.3888888888888889</v>
      </c>
      <c r="C230" s="5" t="s">
        <v>20</v>
      </c>
      <c r="D230" s="5">
        <f t="shared" si="32"/>
        <v>10</v>
      </c>
      <c r="E230" s="15"/>
      <c r="F230" s="15" t="s">
        <v>24</v>
      </c>
      <c r="G230" s="19">
        <f t="shared" si="34"/>
        <v>9.92</v>
      </c>
      <c r="H230" s="19">
        <f t="shared" si="35"/>
        <v>13.76</v>
      </c>
      <c r="I230" s="19">
        <f t="shared" si="35"/>
        <v>14.18</v>
      </c>
      <c r="J230" s="19">
        <f t="shared" si="29"/>
        <v>10.8</v>
      </c>
      <c r="K230" s="19">
        <f t="shared" si="30"/>
        <v>8.06</v>
      </c>
      <c r="L230" s="19">
        <f t="shared" si="31"/>
        <v>8.56</v>
      </c>
      <c r="M230" s="32"/>
      <c r="N230" s="36">
        <f t="shared" si="36"/>
        <v>65.28</v>
      </c>
      <c r="O230" s="36">
        <f t="shared" si="33"/>
        <v>11585.237502960377</v>
      </c>
      <c r="P230" s="37">
        <v>8</v>
      </c>
      <c r="Q230" s="37">
        <v>10</v>
      </c>
      <c r="R230" s="37">
        <v>9</v>
      </c>
      <c r="S230" s="37">
        <v>9</v>
      </c>
      <c r="T230" s="37">
        <v>9</v>
      </c>
      <c r="U230" s="37">
        <v>9</v>
      </c>
      <c r="V230" s="37">
        <v>9</v>
      </c>
      <c r="W230" s="38" t="str">
        <f t="shared" si="37"/>
        <v>Y</v>
      </c>
      <c r="X230" s="64">
        <f t="shared" si="38"/>
        <v>0.51800000000000002</v>
      </c>
      <c r="Y230" s="64" t="str">
        <f t="shared" si="39"/>
        <v>Over 50%</v>
      </c>
      <c r="Z230" s="8" t="s">
        <v>117</v>
      </c>
      <c r="AB230" s="32">
        <v>9920</v>
      </c>
      <c r="AC230" s="32">
        <v>13760</v>
      </c>
      <c r="AD230" s="32">
        <v>14180</v>
      </c>
      <c r="AE230" s="32">
        <v>10800</v>
      </c>
      <c r="AF230" s="32">
        <v>8060</v>
      </c>
      <c r="AG230" s="32">
        <v>8560</v>
      </c>
      <c r="AH230" s="32"/>
    </row>
  </sheetData>
  <sortState xmlns:xlrd2="http://schemas.microsoft.com/office/spreadsheetml/2017/richdata2" ref="A7:AB230">
    <sortCondition ref="D7:D230"/>
  </sortState>
  <mergeCells count="18">
    <mergeCell ref="Z5:Z6"/>
    <mergeCell ref="W5:W6"/>
    <mergeCell ref="X5:X6"/>
    <mergeCell ref="Y5:Y6"/>
    <mergeCell ref="P5:V5"/>
    <mergeCell ref="AC5:AH5"/>
    <mergeCell ref="A1:Z1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  <mergeCell ref="O5:O6"/>
  </mergeCells>
  <phoneticPr fontId="15" type="noConversion"/>
  <printOptions horizontalCentered="1"/>
  <pageMargins left="0.7" right="0.7" top="0.75" bottom="0.75" header="0.3" footer="0.3"/>
  <pageSetup paperSize="9" scale="10" orientation="landscape" horizont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187"/>
  <sheetViews>
    <sheetView view="pageBreakPreview" zoomScale="60" zoomScaleNormal="100" workbookViewId="0">
      <pane xSplit="1" ySplit="6" topLeftCell="J112" activePane="bottomRight" state="frozen"/>
      <selection pane="topRight" activeCell="B1" sqref="B1"/>
      <selection pane="bottomLeft" activeCell="A6" sqref="A6"/>
      <selection pane="bottomRight" activeCell="Z186" sqref="Z186"/>
    </sheetView>
  </sheetViews>
  <sheetFormatPr defaultRowHeight="15" x14ac:dyDescent="0.25"/>
  <cols>
    <col min="1" max="1" width="6.140625" customWidth="1"/>
    <col min="2" max="2" width="9.28515625" bestFit="1" customWidth="1"/>
    <col min="3" max="3" width="15.5703125" customWidth="1"/>
    <col min="4" max="4" width="9.42578125" customWidth="1"/>
    <col min="5" max="5" width="9.140625" style="16" customWidth="1"/>
    <col min="6" max="6" width="15.5703125" style="16" customWidth="1"/>
    <col min="7" max="12" width="11" bestFit="1" customWidth="1"/>
    <col min="13" max="13" width="8.85546875" customWidth="1"/>
    <col min="14" max="14" width="13.140625" customWidth="1"/>
    <col min="15" max="25" width="13.28515625" customWidth="1"/>
    <col min="26" max="26" width="29.7109375" bestFit="1" customWidth="1"/>
  </cols>
  <sheetData>
    <row r="1" spans="1:34" ht="18.75" x14ac:dyDescent="0.3">
      <c r="A1" s="81" t="s">
        <v>55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34" x14ac:dyDescent="0.25">
      <c r="A2" s="84" t="s">
        <v>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61"/>
      <c r="Q2" s="61"/>
      <c r="R2" s="61"/>
      <c r="S2" s="61"/>
      <c r="T2" s="61"/>
      <c r="U2" s="61"/>
      <c r="V2" s="61"/>
      <c r="W2" s="61"/>
      <c r="X2" s="61"/>
      <c r="Y2" s="61"/>
    </row>
    <row r="3" spans="1:34" x14ac:dyDescent="0.25">
      <c r="A3" s="2" t="s">
        <v>1</v>
      </c>
      <c r="B3" s="2"/>
      <c r="C3" s="2"/>
      <c r="D3" s="2" t="s">
        <v>2</v>
      </c>
      <c r="E3" s="18"/>
      <c r="F3" s="14" t="s">
        <v>56</v>
      </c>
      <c r="G3" s="2"/>
      <c r="H3" s="3"/>
      <c r="I3" s="2"/>
      <c r="J3" s="2"/>
      <c r="K3" s="2"/>
      <c r="L3" s="2"/>
      <c r="M3" s="3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34" ht="15.75" thickBot="1" x14ac:dyDescent="0.3">
      <c r="A4" s="93">
        <v>43704</v>
      </c>
      <c r="B4" s="93"/>
      <c r="C4" s="2"/>
      <c r="D4" s="6"/>
      <c r="E4" s="18"/>
      <c r="F4" s="14"/>
      <c r="G4" s="2"/>
      <c r="H4" s="22" t="s">
        <v>52</v>
      </c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34" s="1" customFormat="1" ht="14.45" customHeight="1" x14ac:dyDescent="0.25">
      <c r="A5" s="86" t="s">
        <v>3</v>
      </c>
      <c r="B5" s="88" t="s">
        <v>4</v>
      </c>
      <c r="C5" s="85" t="s">
        <v>5</v>
      </c>
      <c r="D5" s="85" t="s">
        <v>16</v>
      </c>
      <c r="E5" s="91" t="s">
        <v>6</v>
      </c>
      <c r="F5" s="91" t="s">
        <v>7</v>
      </c>
      <c r="G5" s="7" t="s">
        <v>17</v>
      </c>
      <c r="H5" s="85" t="s">
        <v>51</v>
      </c>
      <c r="I5" s="85"/>
      <c r="J5" s="85"/>
      <c r="K5" s="85"/>
      <c r="L5" s="85"/>
      <c r="M5" s="85"/>
      <c r="N5" s="85" t="s">
        <v>15</v>
      </c>
      <c r="O5" s="85" t="s">
        <v>18</v>
      </c>
      <c r="P5" s="96" t="s">
        <v>133</v>
      </c>
      <c r="Q5" s="97"/>
      <c r="R5" s="97"/>
      <c r="S5" s="97"/>
      <c r="T5" s="97"/>
      <c r="U5" s="97"/>
      <c r="V5" s="98"/>
      <c r="W5" s="94" t="s">
        <v>57</v>
      </c>
      <c r="X5" s="94" t="s">
        <v>58</v>
      </c>
      <c r="Y5" s="94" t="s">
        <v>134</v>
      </c>
      <c r="Z5" s="82" t="s">
        <v>19</v>
      </c>
      <c r="AB5" s="7" t="s">
        <v>17</v>
      </c>
      <c r="AC5" s="85" t="s">
        <v>51</v>
      </c>
      <c r="AD5" s="85"/>
      <c r="AE5" s="85"/>
      <c r="AF5" s="85"/>
      <c r="AG5" s="85"/>
      <c r="AH5" s="85"/>
    </row>
    <row r="6" spans="1:34" ht="13.9" customHeight="1" thickBot="1" x14ac:dyDescent="0.3">
      <c r="A6" s="87"/>
      <c r="B6" s="89"/>
      <c r="C6" s="90"/>
      <c r="D6" s="90"/>
      <c r="E6" s="92"/>
      <c r="F6" s="92"/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90"/>
      <c r="O6" s="90"/>
      <c r="P6" s="63" t="s">
        <v>8</v>
      </c>
      <c r="Q6" s="62" t="s">
        <v>9</v>
      </c>
      <c r="R6" s="63" t="s">
        <v>10</v>
      </c>
      <c r="S6" s="62" t="s">
        <v>11</v>
      </c>
      <c r="T6" s="63" t="s">
        <v>12</v>
      </c>
      <c r="U6" s="62" t="s">
        <v>13</v>
      </c>
      <c r="V6" s="63" t="s">
        <v>14</v>
      </c>
      <c r="W6" s="95"/>
      <c r="X6" s="95"/>
      <c r="Y6" s="95"/>
      <c r="Z6" s="83"/>
      <c r="AB6" s="20" t="s">
        <v>8</v>
      </c>
      <c r="AC6" s="20" t="s">
        <v>9</v>
      </c>
      <c r="AD6" s="20" t="s">
        <v>10</v>
      </c>
      <c r="AE6" s="20" t="s">
        <v>11</v>
      </c>
      <c r="AF6" s="20" t="s">
        <v>12</v>
      </c>
      <c r="AG6" s="20" t="s">
        <v>13</v>
      </c>
      <c r="AH6" s="20" t="s">
        <v>14</v>
      </c>
    </row>
    <row r="7" spans="1:34" ht="24" customHeight="1" x14ac:dyDescent="0.25">
      <c r="A7" s="10">
        <v>1</v>
      </c>
      <c r="B7" s="9">
        <v>0.33888888888888885</v>
      </c>
      <c r="C7" s="5" t="s">
        <v>20</v>
      </c>
      <c r="D7" s="5">
        <f t="shared" ref="D7:D38" si="0">IF(COUNT(G7:M7)&gt;3,10,IF(COUNT(G7:M7)&gt;2,9,7))</f>
        <v>7</v>
      </c>
      <c r="E7" s="15"/>
      <c r="F7" s="15" t="s">
        <v>22</v>
      </c>
      <c r="G7" s="19">
        <f>AB7/1000</f>
        <v>4.12</v>
      </c>
      <c r="H7" s="19">
        <f>AC7/1000</f>
        <v>10.06</v>
      </c>
      <c r="I7" s="32"/>
      <c r="J7" s="32"/>
      <c r="K7" s="32"/>
      <c r="L7" s="32"/>
      <c r="M7" s="13"/>
      <c r="N7" s="36">
        <f>SUM(G7:M7)</f>
        <v>14.18</v>
      </c>
      <c r="O7" s="36">
        <f t="shared" ref="O7:O38" si="1">(N7/8.16)^4.5</f>
        <v>12.020909413135399</v>
      </c>
      <c r="P7" s="37">
        <v>8</v>
      </c>
      <c r="Q7" s="37">
        <v>10</v>
      </c>
      <c r="R7" s="37">
        <v>9</v>
      </c>
      <c r="S7" s="37">
        <v>9</v>
      </c>
      <c r="T7" s="37">
        <v>9</v>
      </c>
      <c r="U7" s="37">
        <v>9</v>
      </c>
      <c r="V7" s="37">
        <v>9</v>
      </c>
      <c r="W7" s="38" t="str">
        <f>IF(G7&gt;P7,"Y",IF(H7&gt;Q7,"Y",IF(I7&gt;R7,"Y",IF(J7&gt;S7,"Y",IF(K7&gt;T7,"Y",IF(L7&gt;U7,"Y",IF(M7&gt;V7,"Y","N")))))))</f>
        <v>Y</v>
      </c>
      <c r="X7" s="64">
        <f>IF(W7="Y",MAX((G7-P7),(H7-Q7),(I7-R7),(J7-S7),(K7-T7),(L7-U7),(M7-V7))/10,0)</f>
        <v>6.0000000000000496E-3</v>
      </c>
      <c r="Y7" s="64" t="str">
        <f>IF(X7&lt;5%,"0-4.9%",IF(X7&lt;25%,"5-25%",IF(X7&lt;50%,"25-50%","Over 50%")))</f>
        <v>0-4.9%</v>
      </c>
      <c r="Z7" s="71" t="s">
        <v>121</v>
      </c>
      <c r="AB7" s="32">
        <v>4120</v>
      </c>
      <c r="AC7" s="32">
        <v>10060</v>
      </c>
      <c r="AD7" s="32"/>
      <c r="AE7" s="32"/>
      <c r="AF7" s="32"/>
      <c r="AG7" s="32"/>
      <c r="AH7" s="13"/>
    </row>
    <row r="8" spans="1:34" ht="24" customHeight="1" x14ac:dyDescent="0.25">
      <c r="A8" s="10">
        <v>3</v>
      </c>
      <c r="B8" s="9">
        <v>0.40277777777777773</v>
      </c>
      <c r="C8" s="5" t="s">
        <v>20</v>
      </c>
      <c r="D8" s="5">
        <f t="shared" si="0"/>
        <v>7</v>
      </c>
      <c r="E8" s="15"/>
      <c r="F8" s="15" t="s">
        <v>22</v>
      </c>
      <c r="G8" s="19">
        <f t="shared" ref="G8:G71" si="2">AB8/1000</f>
        <v>3.68</v>
      </c>
      <c r="H8" s="19">
        <f t="shared" ref="H8:H71" si="3">AC8/1000</f>
        <v>3.7</v>
      </c>
      <c r="I8" s="32"/>
      <c r="J8" s="32"/>
      <c r="K8" s="32"/>
      <c r="L8" s="32"/>
      <c r="M8" s="13"/>
      <c r="N8" s="36">
        <f t="shared" ref="N8:N71" si="4">SUM(G8:M8)</f>
        <v>7.3800000000000008</v>
      </c>
      <c r="O8" s="36">
        <f t="shared" si="1"/>
        <v>0.63627947463376122</v>
      </c>
      <c r="P8" s="37">
        <v>8</v>
      </c>
      <c r="Q8" s="37">
        <v>10</v>
      </c>
      <c r="R8" s="37">
        <v>9</v>
      </c>
      <c r="S8" s="37">
        <v>9</v>
      </c>
      <c r="T8" s="37">
        <v>9</v>
      </c>
      <c r="U8" s="37">
        <v>9</v>
      </c>
      <c r="V8" s="37">
        <v>9</v>
      </c>
      <c r="W8" s="38" t="str">
        <f t="shared" ref="W8:W71" si="5">IF(G8&gt;P8,"Y",IF(H8&gt;Q8,"Y",IF(I8&gt;R8,"Y",IF(J8&gt;S8,"Y",IF(K8&gt;T8,"Y",IF(L8&gt;U8,"Y",IF(M8&gt;V8,"Y","N")))))))</f>
        <v>N</v>
      </c>
      <c r="X8" s="64">
        <f t="shared" ref="X8:X71" si="6">IF(W8="Y",MAX((G8-P8),(H8-Q8),(I8-R8),(J8-S8),(K8-T8),(L8-U8),(M8-V8))/10,0)</f>
        <v>0</v>
      </c>
      <c r="Y8" s="64" t="str">
        <f t="shared" ref="Y8:Y71" si="7">IF(X8&lt;5%,"0-4.9%",IF(X8&lt;25%,"5-25%",IF(X8&lt;50%,"25-50%","Over 50%")))</f>
        <v>0-4.9%</v>
      </c>
      <c r="Z8" s="75" t="s">
        <v>108</v>
      </c>
      <c r="AB8" s="32">
        <v>3680</v>
      </c>
      <c r="AC8" s="32">
        <v>3700</v>
      </c>
      <c r="AD8" s="32"/>
      <c r="AE8" s="32"/>
      <c r="AF8" s="32"/>
      <c r="AG8" s="32"/>
      <c r="AH8" s="13"/>
    </row>
    <row r="9" spans="1:34" ht="24" customHeight="1" x14ac:dyDescent="0.25">
      <c r="A9" s="10">
        <v>4</v>
      </c>
      <c r="B9" s="9">
        <v>0.40347222222222223</v>
      </c>
      <c r="C9" s="5" t="s">
        <v>20</v>
      </c>
      <c r="D9" s="5">
        <f t="shared" si="0"/>
        <v>7</v>
      </c>
      <c r="E9" s="15"/>
      <c r="F9" s="15" t="s">
        <v>22</v>
      </c>
      <c r="G9" s="19">
        <f t="shared" si="2"/>
        <v>4.8600000000000003</v>
      </c>
      <c r="H9" s="19">
        <f t="shared" si="3"/>
        <v>10.34</v>
      </c>
      <c r="I9" s="32"/>
      <c r="J9" s="32"/>
      <c r="K9" s="32"/>
      <c r="L9" s="32"/>
      <c r="M9" s="13"/>
      <c r="N9" s="36">
        <f t="shared" si="4"/>
        <v>15.2</v>
      </c>
      <c r="O9" s="36">
        <f t="shared" si="1"/>
        <v>16.432000193187157</v>
      </c>
      <c r="P9" s="37">
        <v>8</v>
      </c>
      <c r="Q9" s="37">
        <v>10</v>
      </c>
      <c r="R9" s="37">
        <v>9</v>
      </c>
      <c r="S9" s="37">
        <v>9</v>
      </c>
      <c r="T9" s="37">
        <v>9</v>
      </c>
      <c r="U9" s="37">
        <v>9</v>
      </c>
      <c r="V9" s="37">
        <v>9</v>
      </c>
      <c r="W9" s="38" t="str">
        <f t="shared" si="5"/>
        <v>Y</v>
      </c>
      <c r="X9" s="64">
        <f t="shared" si="6"/>
        <v>3.3999999999999989E-2</v>
      </c>
      <c r="Y9" s="64" t="str">
        <f t="shared" si="7"/>
        <v>0-4.9%</v>
      </c>
      <c r="Z9" s="71" t="s">
        <v>121</v>
      </c>
      <c r="AB9" s="32">
        <v>4860</v>
      </c>
      <c r="AC9" s="32">
        <v>10340</v>
      </c>
      <c r="AD9" s="32"/>
      <c r="AE9" s="32"/>
      <c r="AF9" s="32"/>
      <c r="AG9" s="32"/>
      <c r="AH9" s="13"/>
    </row>
    <row r="10" spans="1:34" ht="24" customHeight="1" x14ac:dyDescent="0.25">
      <c r="A10" s="10">
        <v>6</v>
      </c>
      <c r="B10" s="9">
        <v>0.41319444444444442</v>
      </c>
      <c r="C10" s="5" t="s">
        <v>20</v>
      </c>
      <c r="D10" s="5">
        <f t="shared" si="0"/>
        <v>7</v>
      </c>
      <c r="E10" s="15"/>
      <c r="F10" s="15" t="s">
        <v>22</v>
      </c>
      <c r="G10" s="19">
        <f t="shared" si="2"/>
        <v>4.46</v>
      </c>
      <c r="H10" s="19">
        <f t="shared" si="3"/>
        <v>10.98</v>
      </c>
      <c r="I10" s="32"/>
      <c r="J10" s="32"/>
      <c r="K10" s="32"/>
      <c r="L10" s="32"/>
      <c r="M10" s="13"/>
      <c r="N10" s="36">
        <f t="shared" si="4"/>
        <v>15.440000000000001</v>
      </c>
      <c r="O10" s="36">
        <f t="shared" si="1"/>
        <v>17.632224938540926</v>
      </c>
      <c r="P10" s="37">
        <v>8</v>
      </c>
      <c r="Q10" s="37">
        <v>10</v>
      </c>
      <c r="R10" s="37">
        <v>9</v>
      </c>
      <c r="S10" s="37">
        <v>9</v>
      </c>
      <c r="T10" s="37">
        <v>9</v>
      </c>
      <c r="U10" s="37">
        <v>9</v>
      </c>
      <c r="V10" s="37">
        <v>9</v>
      </c>
      <c r="W10" s="38" t="str">
        <f t="shared" si="5"/>
        <v>Y</v>
      </c>
      <c r="X10" s="64">
        <f t="shared" si="6"/>
        <v>9.8000000000000045E-2</v>
      </c>
      <c r="Y10" s="64" t="str">
        <f t="shared" si="7"/>
        <v>5-25%</v>
      </c>
      <c r="Z10" s="71" t="s">
        <v>121</v>
      </c>
      <c r="AB10" s="32">
        <v>4460</v>
      </c>
      <c r="AC10" s="32">
        <v>10980</v>
      </c>
      <c r="AD10" s="32"/>
      <c r="AE10" s="32"/>
      <c r="AF10" s="32"/>
      <c r="AG10" s="32"/>
      <c r="AH10" s="13"/>
    </row>
    <row r="11" spans="1:34" ht="24" customHeight="1" x14ac:dyDescent="0.25">
      <c r="A11" s="10">
        <v>7</v>
      </c>
      <c r="B11" s="9">
        <v>0.41666666666666669</v>
      </c>
      <c r="C11" s="5" t="s">
        <v>20</v>
      </c>
      <c r="D11" s="5">
        <f t="shared" si="0"/>
        <v>7</v>
      </c>
      <c r="E11" s="15"/>
      <c r="F11" s="15" t="s">
        <v>22</v>
      </c>
      <c r="G11" s="19">
        <f t="shared" si="2"/>
        <v>3.02</v>
      </c>
      <c r="H11" s="19">
        <f t="shared" si="3"/>
        <v>4.4800000000000004</v>
      </c>
      <c r="I11" s="32"/>
      <c r="J11" s="32"/>
      <c r="K11" s="32"/>
      <c r="L11" s="32"/>
      <c r="M11" s="13"/>
      <c r="N11" s="36">
        <f t="shared" si="4"/>
        <v>7.5</v>
      </c>
      <c r="O11" s="36">
        <f t="shared" si="1"/>
        <v>0.68417936380384781</v>
      </c>
      <c r="P11" s="37">
        <v>8</v>
      </c>
      <c r="Q11" s="37">
        <v>10</v>
      </c>
      <c r="R11" s="37">
        <v>9</v>
      </c>
      <c r="S11" s="37">
        <v>9</v>
      </c>
      <c r="T11" s="37">
        <v>9</v>
      </c>
      <c r="U11" s="37">
        <v>9</v>
      </c>
      <c r="V11" s="37">
        <v>9</v>
      </c>
      <c r="W11" s="38" t="str">
        <f t="shared" si="5"/>
        <v>N</v>
      </c>
      <c r="X11" s="64">
        <f t="shared" si="6"/>
        <v>0</v>
      </c>
      <c r="Y11" s="64" t="str">
        <f t="shared" si="7"/>
        <v>0-4.9%</v>
      </c>
      <c r="Z11" s="75" t="s">
        <v>34</v>
      </c>
      <c r="AB11" s="32">
        <v>3020</v>
      </c>
      <c r="AC11" s="32">
        <v>4480</v>
      </c>
      <c r="AD11" s="32"/>
      <c r="AE11" s="32"/>
      <c r="AF11" s="32"/>
      <c r="AG11" s="32"/>
      <c r="AH11" s="13"/>
    </row>
    <row r="12" spans="1:34" ht="24" customHeight="1" x14ac:dyDescent="0.25">
      <c r="A12" s="10">
        <v>8</v>
      </c>
      <c r="B12" s="9">
        <v>0.41736111111111113</v>
      </c>
      <c r="C12" s="5" t="s">
        <v>20</v>
      </c>
      <c r="D12" s="5">
        <f t="shared" si="0"/>
        <v>7</v>
      </c>
      <c r="E12" s="15"/>
      <c r="F12" s="15" t="s">
        <v>22</v>
      </c>
      <c r="G12" s="19">
        <f t="shared" si="2"/>
        <v>4.0999999999999996</v>
      </c>
      <c r="H12" s="19">
        <f t="shared" si="3"/>
        <v>11.66</v>
      </c>
      <c r="I12" s="32"/>
      <c r="J12" s="32"/>
      <c r="K12" s="32"/>
      <c r="L12" s="32"/>
      <c r="M12" s="13"/>
      <c r="N12" s="36">
        <f t="shared" si="4"/>
        <v>15.76</v>
      </c>
      <c r="O12" s="36">
        <f t="shared" si="1"/>
        <v>19.337362774674602</v>
      </c>
      <c r="P12" s="37">
        <v>8</v>
      </c>
      <c r="Q12" s="37">
        <v>10</v>
      </c>
      <c r="R12" s="37">
        <v>9</v>
      </c>
      <c r="S12" s="37">
        <v>9</v>
      </c>
      <c r="T12" s="37">
        <v>9</v>
      </c>
      <c r="U12" s="37">
        <v>9</v>
      </c>
      <c r="V12" s="37">
        <v>9</v>
      </c>
      <c r="W12" s="38" t="str">
        <f t="shared" si="5"/>
        <v>Y</v>
      </c>
      <c r="X12" s="64">
        <f t="shared" si="6"/>
        <v>0.16600000000000001</v>
      </c>
      <c r="Y12" s="64" t="str">
        <f t="shared" si="7"/>
        <v>5-25%</v>
      </c>
      <c r="Z12" s="71" t="s">
        <v>121</v>
      </c>
      <c r="AB12" s="32">
        <v>4100</v>
      </c>
      <c r="AC12" s="32">
        <v>11660</v>
      </c>
      <c r="AD12" s="32"/>
      <c r="AE12" s="32"/>
      <c r="AF12" s="32"/>
      <c r="AG12" s="32"/>
      <c r="AH12" s="13"/>
    </row>
    <row r="13" spans="1:34" ht="24" customHeight="1" x14ac:dyDescent="0.25">
      <c r="A13" s="10">
        <v>9</v>
      </c>
      <c r="B13" s="9">
        <v>0.41944444444444445</v>
      </c>
      <c r="C13" s="5" t="s">
        <v>20</v>
      </c>
      <c r="D13" s="5">
        <f t="shared" si="0"/>
        <v>7</v>
      </c>
      <c r="E13" s="15"/>
      <c r="F13" s="15" t="s">
        <v>22</v>
      </c>
      <c r="G13" s="19">
        <f t="shared" si="2"/>
        <v>8.44</v>
      </c>
      <c r="H13" s="19">
        <f t="shared" si="3"/>
        <v>19.88</v>
      </c>
      <c r="I13" s="32"/>
      <c r="J13" s="32"/>
      <c r="K13" s="32"/>
      <c r="L13" s="32"/>
      <c r="M13" s="13"/>
      <c r="N13" s="36">
        <f t="shared" si="4"/>
        <v>28.32</v>
      </c>
      <c r="O13" s="36">
        <f t="shared" si="1"/>
        <v>270.2799974698525</v>
      </c>
      <c r="P13" s="37">
        <v>8</v>
      </c>
      <c r="Q13" s="37">
        <v>10</v>
      </c>
      <c r="R13" s="37">
        <v>9</v>
      </c>
      <c r="S13" s="37">
        <v>9</v>
      </c>
      <c r="T13" s="37">
        <v>9</v>
      </c>
      <c r="U13" s="37">
        <v>9</v>
      </c>
      <c r="V13" s="37">
        <v>9</v>
      </c>
      <c r="W13" s="38" t="str">
        <f t="shared" si="5"/>
        <v>Y</v>
      </c>
      <c r="X13" s="64">
        <f t="shared" si="6"/>
        <v>0.98799999999999988</v>
      </c>
      <c r="Y13" s="64" t="str">
        <f t="shared" si="7"/>
        <v>Over 50%</v>
      </c>
      <c r="Z13" s="71" t="s">
        <v>121</v>
      </c>
      <c r="AB13" s="32">
        <v>8440</v>
      </c>
      <c r="AC13" s="32">
        <v>19880</v>
      </c>
      <c r="AD13" s="32"/>
      <c r="AE13" s="32"/>
      <c r="AF13" s="32"/>
      <c r="AG13" s="32"/>
      <c r="AH13" s="13"/>
    </row>
    <row r="14" spans="1:34" ht="24" customHeight="1" x14ac:dyDescent="0.25">
      <c r="A14" s="10">
        <v>10</v>
      </c>
      <c r="B14" s="9">
        <v>0.42152777777777778</v>
      </c>
      <c r="C14" s="5" t="s">
        <v>20</v>
      </c>
      <c r="D14" s="5">
        <f t="shared" si="0"/>
        <v>7</v>
      </c>
      <c r="E14" s="15"/>
      <c r="F14" s="15" t="s">
        <v>22</v>
      </c>
      <c r="G14" s="19">
        <f t="shared" si="2"/>
        <v>3.4</v>
      </c>
      <c r="H14" s="19">
        <f t="shared" si="3"/>
        <v>4.6399999999999997</v>
      </c>
      <c r="I14" s="32"/>
      <c r="J14" s="32"/>
      <c r="K14" s="32"/>
      <c r="L14" s="32"/>
      <c r="M14" s="13"/>
      <c r="N14" s="36">
        <f t="shared" si="4"/>
        <v>8.0399999999999991</v>
      </c>
      <c r="O14" s="36">
        <f t="shared" si="1"/>
        <v>0.93550584430646599</v>
      </c>
      <c r="P14" s="37">
        <v>8</v>
      </c>
      <c r="Q14" s="37">
        <v>10</v>
      </c>
      <c r="R14" s="37">
        <v>9</v>
      </c>
      <c r="S14" s="37">
        <v>9</v>
      </c>
      <c r="T14" s="37">
        <v>9</v>
      </c>
      <c r="U14" s="37">
        <v>9</v>
      </c>
      <c r="V14" s="37">
        <v>9</v>
      </c>
      <c r="W14" s="38" t="str">
        <f t="shared" si="5"/>
        <v>N</v>
      </c>
      <c r="X14" s="64">
        <f t="shared" si="6"/>
        <v>0</v>
      </c>
      <c r="Y14" s="64" t="str">
        <f t="shared" si="7"/>
        <v>0-4.9%</v>
      </c>
      <c r="Z14" s="75" t="s">
        <v>127</v>
      </c>
      <c r="AB14" s="32">
        <v>3400</v>
      </c>
      <c r="AC14" s="32">
        <v>4640</v>
      </c>
      <c r="AD14" s="32"/>
      <c r="AE14" s="32"/>
      <c r="AF14" s="32"/>
      <c r="AG14" s="32"/>
      <c r="AH14" s="13"/>
    </row>
    <row r="15" spans="1:34" ht="24" customHeight="1" x14ac:dyDescent="0.25">
      <c r="A15" s="10">
        <v>11</v>
      </c>
      <c r="B15" s="9">
        <v>0.42222222222222222</v>
      </c>
      <c r="C15" s="5" t="s">
        <v>20</v>
      </c>
      <c r="D15" s="5">
        <f t="shared" si="0"/>
        <v>7</v>
      </c>
      <c r="E15" s="15"/>
      <c r="F15" s="15" t="s">
        <v>22</v>
      </c>
      <c r="G15" s="19">
        <f t="shared" si="2"/>
        <v>3.6</v>
      </c>
      <c r="H15" s="19">
        <f t="shared" si="3"/>
        <v>4.8600000000000003</v>
      </c>
      <c r="I15" s="32"/>
      <c r="J15" s="32"/>
      <c r="K15" s="32"/>
      <c r="L15" s="32"/>
      <c r="M15" s="13"/>
      <c r="N15" s="36">
        <f t="shared" si="4"/>
        <v>8.4600000000000009</v>
      </c>
      <c r="O15" s="36">
        <f t="shared" si="1"/>
        <v>1.1764159911395429</v>
      </c>
      <c r="P15" s="37">
        <v>8</v>
      </c>
      <c r="Q15" s="37">
        <v>10</v>
      </c>
      <c r="R15" s="37">
        <v>9</v>
      </c>
      <c r="S15" s="37">
        <v>9</v>
      </c>
      <c r="T15" s="37">
        <v>9</v>
      </c>
      <c r="U15" s="37">
        <v>9</v>
      </c>
      <c r="V15" s="37">
        <v>9</v>
      </c>
      <c r="W15" s="38" t="str">
        <f t="shared" si="5"/>
        <v>N</v>
      </c>
      <c r="X15" s="64">
        <f t="shared" si="6"/>
        <v>0</v>
      </c>
      <c r="Y15" s="64" t="str">
        <f t="shared" si="7"/>
        <v>0-4.9%</v>
      </c>
      <c r="Z15" s="75" t="s">
        <v>108</v>
      </c>
      <c r="AB15" s="32">
        <v>3600</v>
      </c>
      <c r="AC15" s="32">
        <v>4860</v>
      </c>
      <c r="AD15" s="32"/>
      <c r="AE15" s="32"/>
      <c r="AF15" s="32"/>
      <c r="AG15" s="32"/>
      <c r="AH15" s="13"/>
    </row>
    <row r="16" spans="1:34" ht="24" customHeight="1" x14ac:dyDescent="0.25">
      <c r="A16" s="10">
        <v>12</v>
      </c>
      <c r="B16" s="9">
        <v>0.42499999999999999</v>
      </c>
      <c r="C16" s="5" t="s">
        <v>20</v>
      </c>
      <c r="D16" s="5">
        <f t="shared" si="0"/>
        <v>7</v>
      </c>
      <c r="E16" s="15"/>
      <c r="F16" s="15" t="s">
        <v>22</v>
      </c>
      <c r="G16" s="19">
        <f t="shared" si="2"/>
        <v>5.68</v>
      </c>
      <c r="H16" s="19">
        <f t="shared" si="3"/>
        <v>16.02</v>
      </c>
      <c r="I16" s="32"/>
      <c r="J16" s="32"/>
      <c r="K16" s="32"/>
      <c r="L16" s="32"/>
      <c r="M16" s="13"/>
      <c r="N16" s="36">
        <f t="shared" si="4"/>
        <v>21.7</v>
      </c>
      <c r="O16" s="36">
        <f t="shared" si="1"/>
        <v>81.557346599528074</v>
      </c>
      <c r="P16" s="37">
        <v>8</v>
      </c>
      <c r="Q16" s="37">
        <v>10</v>
      </c>
      <c r="R16" s="37">
        <v>9</v>
      </c>
      <c r="S16" s="37">
        <v>9</v>
      </c>
      <c r="T16" s="37">
        <v>9</v>
      </c>
      <c r="U16" s="37">
        <v>9</v>
      </c>
      <c r="V16" s="37">
        <v>9</v>
      </c>
      <c r="W16" s="38" t="str">
        <f t="shared" si="5"/>
        <v>Y</v>
      </c>
      <c r="X16" s="64">
        <f t="shared" si="6"/>
        <v>0.60199999999999998</v>
      </c>
      <c r="Y16" s="64" t="str">
        <f t="shared" si="7"/>
        <v>Over 50%</v>
      </c>
      <c r="Z16" s="71" t="s">
        <v>121</v>
      </c>
      <c r="AB16" s="32">
        <v>5680</v>
      </c>
      <c r="AC16" s="32">
        <v>16020</v>
      </c>
      <c r="AD16" s="32"/>
      <c r="AE16" s="32"/>
      <c r="AF16" s="32"/>
      <c r="AG16" s="32"/>
      <c r="AH16" s="13"/>
    </row>
    <row r="17" spans="1:34" ht="24" customHeight="1" x14ac:dyDescent="0.25">
      <c r="A17" s="10">
        <v>13</v>
      </c>
      <c r="B17" s="9">
        <v>0.42638888888888887</v>
      </c>
      <c r="C17" s="5" t="s">
        <v>20</v>
      </c>
      <c r="D17" s="5">
        <f t="shared" si="0"/>
        <v>7</v>
      </c>
      <c r="E17" s="15"/>
      <c r="F17" s="15" t="s">
        <v>22</v>
      </c>
      <c r="G17" s="19">
        <f t="shared" si="2"/>
        <v>4.3600000000000003</v>
      </c>
      <c r="H17" s="19">
        <f t="shared" si="3"/>
        <v>5.14</v>
      </c>
      <c r="I17" s="32"/>
      <c r="J17" s="32"/>
      <c r="K17" s="32"/>
      <c r="L17" s="32"/>
      <c r="M17" s="13"/>
      <c r="N17" s="36">
        <f t="shared" si="4"/>
        <v>9.5</v>
      </c>
      <c r="O17" s="36">
        <f t="shared" si="1"/>
        <v>1.9822138642424887</v>
      </c>
      <c r="P17" s="37">
        <v>8</v>
      </c>
      <c r="Q17" s="37">
        <v>10</v>
      </c>
      <c r="R17" s="37">
        <v>9</v>
      </c>
      <c r="S17" s="37">
        <v>9</v>
      </c>
      <c r="T17" s="37">
        <v>9</v>
      </c>
      <c r="U17" s="37">
        <v>9</v>
      </c>
      <c r="V17" s="37">
        <v>9</v>
      </c>
      <c r="W17" s="38" t="str">
        <f t="shared" si="5"/>
        <v>N</v>
      </c>
      <c r="X17" s="64">
        <f t="shared" si="6"/>
        <v>0</v>
      </c>
      <c r="Y17" s="64" t="str">
        <f t="shared" si="7"/>
        <v>0-4.9%</v>
      </c>
      <c r="Z17" s="75" t="s">
        <v>108</v>
      </c>
      <c r="AB17" s="32">
        <v>4360</v>
      </c>
      <c r="AC17" s="32">
        <v>5140</v>
      </c>
      <c r="AD17" s="32"/>
      <c r="AE17" s="32"/>
      <c r="AF17" s="32"/>
      <c r="AG17" s="32"/>
      <c r="AH17" s="13"/>
    </row>
    <row r="18" spans="1:34" ht="24" customHeight="1" x14ac:dyDescent="0.25">
      <c r="A18" s="10">
        <v>14</v>
      </c>
      <c r="B18" s="9">
        <v>0.42638888888888887</v>
      </c>
      <c r="C18" s="5" t="s">
        <v>20</v>
      </c>
      <c r="D18" s="5">
        <f t="shared" si="0"/>
        <v>7</v>
      </c>
      <c r="E18" s="15"/>
      <c r="F18" s="15" t="s">
        <v>22</v>
      </c>
      <c r="G18" s="19">
        <f t="shared" si="2"/>
        <v>10.72</v>
      </c>
      <c r="H18" s="19">
        <f t="shared" si="3"/>
        <v>14.66</v>
      </c>
      <c r="I18" s="32"/>
      <c r="J18" s="32"/>
      <c r="K18" s="32"/>
      <c r="L18" s="32"/>
      <c r="M18" s="13"/>
      <c r="N18" s="36">
        <f t="shared" si="4"/>
        <v>25.380000000000003</v>
      </c>
      <c r="O18" s="36">
        <f t="shared" si="1"/>
        <v>165.04659366670512</v>
      </c>
      <c r="P18" s="37">
        <v>8</v>
      </c>
      <c r="Q18" s="37">
        <v>10</v>
      </c>
      <c r="R18" s="37">
        <v>9</v>
      </c>
      <c r="S18" s="37">
        <v>9</v>
      </c>
      <c r="T18" s="37">
        <v>9</v>
      </c>
      <c r="U18" s="37">
        <v>9</v>
      </c>
      <c r="V18" s="37">
        <v>9</v>
      </c>
      <c r="W18" s="38" t="str">
        <f t="shared" si="5"/>
        <v>Y</v>
      </c>
      <c r="X18" s="64">
        <f t="shared" si="6"/>
        <v>0.46600000000000003</v>
      </c>
      <c r="Y18" s="64" t="str">
        <f t="shared" si="7"/>
        <v>25-50%</v>
      </c>
      <c r="Z18" s="75" t="s">
        <v>117</v>
      </c>
      <c r="AB18" s="32">
        <v>10720</v>
      </c>
      <c r="AC18" s="32">
        <v>14660</v>
      </c>
      <c r="AD18" s="32"/>
      <c r="AE18" s="32"/>
      <c r="AF18" s="32"/>
      <c r="AG18" s="32"/>
      <c r="AH18" s="13"/>
    </row>
    <row r="19" spans="1:34" ht="24" customHeight="1" x14ac:dyDescent="0.25">
      <c r="A19" s="10">
        <v>15</v>
      </c>
      <c r="B19" s="9">
        <v>0.42708333333333331</v>
      </c>
      <c r="C19" s="5" t="s">
        <v>20</v>
      </c>
      <c r="D19" s="5">
        <f t="shared" si="0"/>
        <v>7</v>
      </c>
      <c r="E19" s="15"/>
      <c r="F19" s="15" t="s">
        <v>22</v>
      </c>
      <c r="G19" s="19">
        <f t="shared" si="2"/>
        <v>8.4600000000000009</v>
      </c>
      <c r="H19" s="19">
        <f t="shared" si="3"/>
        <v>15.42</v>
      </c>
      <c r="I19" s="32"/>
      <c r="J19" s="32"/>
      <c r="K19" s="32"/>
      <c r="L19" s="32"/>
      <c r="M19" s="13"/>
      <c r="N19" s="36">
        <f t="shared" si="4"/>
        <v>23.880000000000003</v>
      </c>
      <c r="O19" s="36">
        <f t="shared" si="1"/>
        <v>125.47255356584489</v>
      </c>
      <c r="P19" s="37">
        <v>8</v>
      </c>
      <c r="Q19" s="37">
        <v>10</v>
      </c>
      <c r="R19" s="37">
        <v>9</v>
      </c>
      <c r="S19" s="37">
        <v>9</v>
      </c>
      <c r="T19" s="37">
        <v>9</v>
      </c>
      <c r="U19" s="37">
        <v>9</v>
      </c>
      <c r="V19" s="37">
        <v>9</v>
      </c>
      <c r="W19" s="38" t="str">
        <f t="shared" si="5"/>
        <v>Y</v>
      </c>
      <c r="X19" s="64">
        <f t="shared" si="6"/>
        <v>0.54200000000000004</v>
      </c>
      <c r="Y19" s="64" t="str">
        <f t="shared" si="7"/>
        <v>Over 50%</v>
      </c>
      <c r="Z19" s="75" t="s">
        <v>117</v>
      </c>
      <c r="AB19" s="32">
        <v>8460</v>
      </c>
      <c r="AC19" s="32">
        <v>15420</v>
      </c>
      <c r="AD19" s="32"/>
      <c r="AE19" s="32"/>
      <c r="AF19" s="32"/>
      <c r="AG19" s="32"/>
      <c r="AH19" s="13"/>
    </row>
    <row r="20" spans="1:34" ht="24" customHeight="1" x14ac:dyDescent="0.25">
      <c r="A20" s="10">
        <v>16</v>
      </c>
      <c r="B20" s="9">
        <v>0.42777777777777781</v>
      </c>
      <c r="C20" s="5" t="s">
        <v>20</v>
      </c>
      <c r="D20" s="5">
        <f t="shared" si="0"/>
        <v>7</v>
      </c>
      <c r="E20" s="15"/>
      <c r="F20" s="15" t="s">
        <v>22</v>
      </c>
      <c r="G20" s="19">
        <f t="shared" si="2"/>
        <v>5.5</v>
      </c>
      <c r="H20" s="19">
        <f t="shared" si="3"/>
        <v>10.98</v>
      </c>
      <c r="I20" s="32"/>
      <c r="J20" s="32"/>
      <c r="K20" s="32"/>
      <c r="L20" s="32"/>
      <c r="M20" s="13"/>
      <c r="N20" s="36">
        <f t="shared" si="4"/>
        <v>16.48</v>
      </c>
      <c r="O20" s="36">
        <f t="shared" si="1"/>
        <v>23.642952991480133</v>
      </c>
      <c r="P20" s="37">
        <v>8</v>
      </c>
      <c r="Q20" s="37">
        <v>10</v>
      </c>
      <c r="R20" s="37">
        <v>9</v>
      </c>
      <c r="S20" s="37">
        <v>9</v>
      </c>
      <c r="T20" s="37">
        <v>9</v>
      </c>
      <c r="U20" s="37">
        <v>9</v>
      </c>
      <c r="V20" s="37">
        <v>9</v>
      </c>
      <c r="W20" s="38" t="str">
        <f t="shared" si="5"/>
        <v>Y</v>
      </c>
      <c r="X20" s="64">
        <f t="shared" si="6"/>
        <v>9.8000000000000045E-2</v>
      </c>
      <c r="Y20" s="64" t="str">
        <f t="shared" si="7"/>
        <v>5-25%</v>
      </c>
      <c r="Z20" s="71" t="s">
        <v>121</v>
      </c>
      <c r="AB20" s="32">
        <v>5500</v>
      </c>
      <c r="AC20" s="32">
        <v>10980</v>
      </c>
      <c r="AD20" s="32"/>
      <c r="AE20" s="32"/>
      <c r="AF20" s="32"/>
      <c r="AG20" s="32"/>
      <c r="AH20" s="13"/>
    </row>
    <row r="21" spans="1:34" ht="24" customHeight="1" x14ac:dyDescent="0.25">
      <c r="A21" s="10">
        <v>20</v>
      </c>
      <c r="B21" s="9">
        <v>0.44236111111111115</v>
      </c>
      <c r="C21" s="5" t="s">
        <v>20</v>
      </c>
      <c r="D21" s="5">
        <f t="shared" si="0"/>
        <v>7</v>
      </c>
      <c r="E21" s="15"/>
      <c r="F21" s="15" t="s">
        <v>22</v>
      </c>
      <c r="G21" s="19">
        <f t="shared" si="2"/>
        <v>3.22</v>
      </c>
      <c r="H21" s="19">
        <f t="shared" si="3"/>
        <v>4.82</v>
      </c>
      <c r="I21" s="32"/>
      <c r="J21" s="32"/>
      <c r="K21" s="32"/>
      <c r="L21" s="32"/>
      <c r="M21" s="13"/>
      <c r="N21" s="36">
        <f t="shared" si="4"/>
        <v>8.0400000000000009</v>
      </c>
      <c r="O21" s="36">
        <f t="shared" si="1"/>
        <v>0.93550584430646699</v>
      </c>
      <c r="P21" s="37">
        <v>8</v>
      </c>
      <c r="Q21" s="37">
        <v>10</v>
      </c>
      <c r="R21" s="37">
        <v>9</v>
      </c>
      <c r="S21" s="37">
        <v>9</v>
      </c>
      <c r="T21" s="37">
        <v>9</v>
      </c>
      <c r="U21" s="37">
        <v>9</v>
      </c>
      <c r="V21" s="37">
        <v>9</v>
      </c>
      <c r="W21" s="38" t="str">
        <f t="shared" si="5"/>
        <v>N</v>
      </c>
      <c r="X21" s="64">
        <f t="shared" si="6"/>
        <v>0</v>
      </c>
      <c r="Y21" s="64" t="str">
        <f t="shared" si="7"/>
        <v>0-4.9%</v>
      </c>
      <c r="Z21" s="75" t="s">
        <v>108</v>
      </c>
      <c r="AB21" s="32">
        <v>3220</v>
      </c>
      <c r="AC21" s="32">
        <v>4820</v>
      </c>
      <c r="AD21" s="32"/>
      <c r="AE21" s="32"/>
      <c r="AF21" s="32"/>
      <c r="AG21" s="32"/>
      <c r="AH21" s="13"/>
    </row>
    <row r="22" spans="1:34" ht="24" customHeight="1" x14ac:dyDescent="0.25">
      <c r="A22" s="10">
        <v>22</v>
      </c>
      <c r="B22" s="9">
        <v>0.46875</v>
      </c>
      <c r="C22" s="5" t="s">
        <v>20</v>
      </c>
      <c r="D22" s="5">
        <f t="shared" si="0"/>
        <v>7</v>
      </c>
      <c r="E22" s="15"/>
      <c r="F22" s="15" t="s">
        <v>22</v>
      </c>
      <c r="G22" s="19">
        <f t="shared" si="2"/>
        <v>4.84</v>
      </c>
      <c r="H22" s="19">
        <f t="shared" si="3"/>
        <v>12.04</v>
      </c>
      <c r="I22" s="32"/>
      <c r="J22" s="32"/>
      <c r="K22" s="32"/>
      <c r="L22" s="32"/>
      <c r="M22" s="13"/>
      <c r="N22" s="36">
        <f t="shared" si="4"/>
        <v>16.88</v>
      </c>
      <c r="O22" s="36">
        <f t="shared" si="1"/>
        <v>26.337240885911484</v>
      </c>
      <c r="P22" s="37">
        <v>8</v>
      </c>
      <c r="Q22" s="37">
        <v>10</v>
      </c>
      <c r="R22" s="37">
        <v>9</v>
      </c>
      <c r="S22" s="37">
        <v>9</v>
      </c>
      <c r="T22" s="37">
        <v>9</v>
      </c>
      <c r="U22" s="37">
        <v>9</v>
      </c>
      <c r="V22" s="37">
        <v>9</v>
      </c>
      <c r="W22" s="38" t="str">
        <f t="shared" si="5"/>
        <v>Y</v>
      </c>
      <c r="X22" s="64">
        <f t="shared" si="6"/>
        <v>0.2039999999999999</v>
      </c>
      <c r="Y22" s="64" t="str">
        <f t="shared" si="7"/>
        <v>5-25%</v>
      </c>
      <c r="Z22" s="71" t="s">
        <v>121</v>
      </c>
      <c r="AB22" s="32">
        <v>4840</v>
      </c>
      <c r="AC22" s="32">
        <v>12040</v>
      </c>
      <c r="AD22" s="32"/>
      <c r="AE22" s="32"/>
      <c r="AF22" s="32"/>
      <c r="AG22" s="32"/>
      <c r="AH22" s="13"/>
    </row>
    <row r="23" spans="1:34" ht="24" customHeight="1" x14ac:dyDescent="0.25">
      <c r="A23" s="10">
        <v>23</v>
      </c>
      <c r="B23" s="9">
        <v>0.47361111111111115</v>
      </c>
      <c r="C23" s="5" t="s">
        <v>20</v>
      </c>
      <c r="D23" s="5">
        <f t="shared" si="0"/>
        <v>7</v>
      </c>
      <c r="E23" s="15"/>
      <c r="F23" s="15" t="s">
        <v>22</v>
      </c>
      <c r="G23" s="19">
        <f t="shared" si="2"/>
        <v>8.98</v>
      </c>
      <c r="H23" s="19">
        <f t="shared" si="3"/>
        <v>9.0399999999999991</v>
      </c>
      <c r="I23" s="32"/>
      <c r="J23" s="32"/>
      <c r="K23" s="32"/>
      <c r="L23" s="32"/>
      <c r="M23" s="13"/>
      <c r="N23" s="36">
        <f t="shared" si="4"/>
        <v>18.02</v>
      </c>
      <c r="O23" s="36">
        <f t="shared" si="1"/>
        <v>35.341975827244035</v>
      </c>
      <c r="P23" s="37">
        <v>8</v>
      </c>
      <c r="Q23" s="37">
        <v>10</v>
      </c>
      <c r="R23" s="37">
        <v>9</v>
      </c>
      <c r="S23" s="37">
        <v>9</v>
      </c>
      <c r="T23" s="37">
        <v>9</v>
      </c>
      <c r="U23" s="37">
        <v>9</v>
      </c>
      <c r="V23" s="37">
        <v>9</v>
      </c>
      <c r="W23" s="38" t="str">
        <f t="shared" si="5"/>
        <v>Y</v>
      </c>
      <c r="X23" s="64">
        <f t="shared" si="6"/>
        <v>9.8000000000000045E-2</v>
      </c>
      <c r="Y23" s="64" t="str">
        <f t="shared" si="7"/>
        <v>5-25%</v>
      </c>
      <c r="Z23" s="75" t="s">
        <v>34</v>
      </c>
      <c r="AB23" s="32">
        <v>8980</v>
      </c>
      <c r="AC23" s="32">
        <v>9040</v>
      </c>
      <c r="AD23" s="32"/>
      <c r="AE23" s="32"/>
      <c r="AF23" s="32"/>
      <c r="AG23" s="32"/>
      <c r="AH23" s="13"/>
    </row>
    <row r="24" spans="1:34" ht="24" customHeight="1" x14ac:dyDescent="0.25">
      <c r="A24" s="10">
        <v>26</v>
      </c>
      <c r="B24" s="9">
        <v>0.49791666666666662</v>
      </c>
      <c r="C24" s="5" t="s">
        <v>20</v>
      </c>
      <c r="D24" s="5">
        <f t="shared" si="0"/>
        <v>7</v>
      </c>
      <c r="E24" s="15"/>
      <c r="F24" s="15" t="s">
        <v>22</v>
      </c>
      <c r="G24" s="19">
        <f t="shared" si="2"/>
        <v>7.42</v>
      </c>
      <c r="H24" s="19">
        <f t="shared" si="3"/>
        <v>10.119999999999999</v>
      </c>
      <c r="I24" s="32"/>
      <c r="J24" s="32"/>
      <c r="K24" s="32"/>
      <c r="L24" s="32"/>
      <c r="M24" s="13"/>
      <c r="N24" s="36">
        <f t="shared" si="4"/>
        <v>17.54</v>
      </c>
      <c r="O24" s="36">
        <f t="shared" si="1"/>
        <v>31.298781931304394</v>
      </c>
      <c r="P24" s="37">
        <v>8</v>
      </c>
      <c r="Q24" s="37">
        <v>10</v>
      </c>
      <c r="R24" s="37">
        <v>9</v>
      </c>
      <c r="S24" s="37">
        <v>9</v>
      </c>
      <c r="T24" s="37">
        <v>9</v>
      </c>
      <c r="U24" s="37">
        <v>9</v>
      </c>
      <c r="V24" s="37">
        <v>9</v>
      </c>
      <c r="W24" s="38" t="str">
        <f t="shared" si="5"/>
        <v>Y</v>
      </c>
      <c r="X24" s="64">
        <f t="shared" si="6"/>
        <v>1.1999999999999922E-2</v>
      </c>
      <c r="Y24" s="64" t="str">
        <f t="shared" si="7"/>
        <v>0-4.9%</v>
      </c>
      <c r="Z24" s="75" t="s">
        <v>117</v>
      </c>
      <c r="AB24" s="32">
        <v>7420</v>
      </c>
      <c r="AC24" s="32">
        <v>10120</v>
      </c>
      <c r="AD24" s="32"/>
      <c r="AE24" s="32"/>
      <c r="AF24" s="32"/>
      <c r="AG24" s="32"/>
      <c r="AH24" s="13"/>
    </row>
    <row r="25" spans="1:34" ht="24" customHeight="1" x14ac:dyDescent="0.25">
      <c r="A25" s="10">
        <v>27</v>
      </c>
      <c r="B25" s="9">
        <v>0.50277777777777777</v>
      </c>
      <c r="C25" s="5" t="s">
        <v>20</v>
      </c>
      <c r="D25" s="5">
        <f t="shared" si="0"/>
        <v>7</v>
      </c>
      <c r="E25" s="15"/>
      <c r="F25" s="15" t="s">
        <v>22</v>
      </c>
      <c r="G25" s="19">
        <f t="shared" si="2"/>
        <v>3.06</v>
      </c>
      <c r="H25" s="19">
        <f t="shared" si="3"/>
        <v>5</v>
      </c>
      <c r="I25" s="32"/>
      <c r="J25" s="32"/>
      <c r="K25" s="32"/>
      <c r="L25" s="32"/>
      <c r="M25" s="13"/>
      <c r="N25" s="36">
        <f t="shared" si="4"/>
        <v>8.06</v>
      </c>
      <c r="O25" s="36">
        <f t="shared" si="1"/>
        <v>0.94602360665707563</v>
      </c>
      <c r="P25" s="37">
        <v>8</v>
      </c>
      <c r="Q25" s="37">
        <v>10</v>
      </c>
      <c r="R25" s="37">
        <v>9</v>
      </c>
      <c r="S25" s="37">
        <v>9</v>
      </c>
      <c r="T25" s="37">
        <v>9</v>
      </c>
      <c r="U25" s="37">
        <v>9</v>
      </c>
      <c r="V25" s="37">
        <v>9</v>
      </c>
      <c r="W25" s="38" t="str">
        <f t="shared" si="5"/>
        <v>N</v>
      </c>
      <c r="X25" s="64">
        <f t="shared" si="6"/>
        <v>0</v>
      </c>
      <c r="Y25" s="64" t="str">
        <f t="shared" si="7"/>
        <v>0-4.9%</v>
      </c>
      <c r="Z25" s="75" t="s">
        <v>108</v>
      </c>
      <c r="AB25" s="32">
        <v>3060</v>
      </c>
      <c r="AC25" s="32">
        <v>5000</v>
      </c>
      <c r="AD25" s="32"/>
      <c r="AE25" s="32"/>
      <c r="AF25" s="32"/>
      <c r="AG25" s="32"/>
      <c r="AH25" s="13"/>
    </row>
    <row r="26" spans="1:34" ht="24" customHeight="1" x14ac:dyDescent="0.25">
      <c r="A26" s="10">
        <v>29</v>
      </c>
      <c r="B26" s="9">
        <v>0.51180555555555551</v>
      </c>
      <c r="C26" s="5" t="s">
        <v>20</v>
      </c>
      <c r="D26" s="5">
        <f t="shared" si="0"/>
        <v>7</v>
      </c>
      <c r="E26" s="15"/>
      <c r="F26" s="15" t="s">
        <v>22</v>
      </c>
      <c r="G26" s="19">
        <f t="shared" si="2"/>
        <v>6</v>
      </c>
      <c r="H26" s="19">
        <f t="shared" si="3"/>
        <v>12.42</v>
      </c>
      <c r="I26" s="32"/>
      <c r="J26" s="32"/>
      <c r="K26" s="32"/>
      <c r="L26" s="32"/>
      <c r="M26" s="13"/>
      <c r="N26" s="36">
        <f t="shared" si="4"/>
        <v>18.420000000000002</v>
      </c>
      <c r="O26" s="36">
        <f t="shared" si="1"/>
        <v>39.011944884680581</v>
      </c>
      <c r="P26" s="37">
        <v>8</v>
      </c>
      <c r="Q26" s="37">
        <v>10</v>
      </c>
      <c r="R26" s="37">
        <v>9</v>
      </c>
      <c r="S26" s="37">
        <v>9</v>
      </c>
      <c r="T26" s="37">
        <v>9</v>
      </c>
      <c r="U26" s="37">
        <v>9</v>
      </c>
      <c r="V26" s="37">
        <v>9</v>
      </c>
      <c r="W26" s="38" t="str">
        <f t="shared" si="5"/>
        <v>Y</v>
      </c>
      <c r="X26" s="64">
        <f t="shared" si="6"/>
        <v>0.24199999999999999</v>
      </c>
      <c r="Y26" s="64" t="str">
        <f t="shared" si="7"/>
        <v>5-25%</v>
      </c>
      <c r="Z26" s="75" t="s">
        <v>117</v>
      </c>
      <c r="AB26" s="32">
        <v>6000</v>
      </c>
      <c r="AC26" s="32">
        <v>12420</v>
      </c>
      <c r="AD26" s="32"/>
      <c r="AE26" s="32"/>
      <c r="AF26" s="32"/>
      <c r="AG26" s="32"/>
      <c r="AH26" s="13"/>
    </row>
    <row r="27" spans="1:34" ht="24" customHeight="1" x14ac:dyDescent="0.25">
      <c r="A27" s="10">
        <v>30</v>
      </c>
      <c r="B27" s="9">
        <v>0.51388888888888895</v>
      </c>
      <c r="C27" s="5" t="s">
        <v>20</v>
      </c>
      <c r="D27" s="5">
        <f t="shared" si="0"/>
        <v>7</v>
      </c>
      <c r="E27" s="15"/>
      <c r="F27" s="15" t="s">
        <v>22</v>
      </c>
      <c r="G27" s="19">
        <f t="shared" si="2"/>
        <v>11.04</v>
      </c>
      <c r="H27" s="19">
        <f t="shared" si="3"/>
        <v>12.26</v>
      </c>
      <c r="I27" s="32"/>
      <c r="J27" s="32"/>
      <c r="K27" s="32"/>
      <c r="L27" s="32"/>
      <c r="M27" s="13"/>
      <c r="N27" s="36">
        <f t="shared" si="4"/>
        <v>23.299999999999997</v>
      </c>
      <c r="O27" s="36">
        <f t="shared" si="1"/>
        <v>112.3300443172153</v>
      </c>
      <c r="P27" s="37">
        <v>8</v>
      </c>
      <c r="Q27" s="37">
        <v>10</v>
      </c>
      <c r="R27" s="37">
        <v>9</v>
      </c>
      <c r="S27" s="37">
        <v>9</v>
      </c>
      <c r="T27" s="37">
        <v>9</v>
      </c>
      <c r="U27" s="37">
        <v>9</v>
      </c>
      <c r="V27" s="37">
        <v>9</v>
      </c>
      <c r="W27" s="38" t="str">
        <f t="shared" si="5"/>
        <v>Y</v>
      </c>
      <c r="X27" s="64">
        <f t="shared" si="6"/>
        <v>0.30399999999999994</v>
      </c>
      <c r="Y27" s="64" t="str">
        <f t="shared" si="7"/>
        <v>25-50%</v>
      </c>
      <c r="Z27" s="75" t="s">
        <v>34</v>
      </c>
      <c r="AB27" s="32">
        <v>11040</v>
      </c>
      <c r="AC27" s="32">
        <v>12260</v>
      </c>
      <c r="AD27" s="32"/>
      <c r="AE27" s="32"/>
      <c r="AF27" s="32"/>
      <c r="AG27" s="32"/>
      <c r="AH27" s="13"/>
    </row>
    <row r="28" spans="1:34" ht="24" customHeight="1" x14ac:dyDescent="0.25">
      <c r="A28" s="10">
        <v>33</v>
      </c>
      <c r="B28" s="9">
        <v>0.51597222222222217</v>
      </c>
      <c r="C28" s="5" t="s">
        <v>20</v>
      </c>
      <c r="D28" s="5">
        <f t="shared" si="0"/>
        <v>7</v>
      </c>
      <c r="E28" s="15"/>
      <c r="F28" s="15" t="s">
        <v>22</v>
      </c>
      <c r="G28" s="19">
        <f t="shared" si="2"/>
        <v>7.88</v>
      </c>
      <c r="H28" s="19">
        <f t="shared" si="3"/>
        <v>13.48</v>
      </c>
      <c r="I28" s="32"/>
      <c r="J28" s="32"/>
      <c r="K28" s="32"/>
      <c r="L28" s="32"/>
      <c r="M28" s="13"/>
      <c r="N28" s="36">
        <f t="shared" si="4"/>
        <v>21.36</v>
      </c>
      <c r="O28" s="36">
        <f t="shared" si="1"/>
        <v>75.96261436622018</v>
      </c>
      <c r="P28" s="37">
        <v>8</v>
      </c>
      <c r="Q28" s="37">
        <v>10</v>
      </c>
      <c r="R28" s="37">
        <v>9</v>
      </c>
      <c r="S28" s="37">
        <v>9</v>
      </c>
      <c r="T28" s="37">
        <v>9</v>
      </c>
      <c r="U28" s="37">
        <v>9</v>
      </c>
      <c r="V28" s="37">
        <v>9</v>
      </c>
      <c r="W28" s="38" t="str">
        <f t="shared" si="5"/>
        <v>Y</v>
      </c>
      <c r="X28" s="64">
        <f t="shared" si="6"/>
        <v>0.34800000000000003</v>
      </c>
      <c r="Y28" s="64" t="str">
        <f t="shared" si="7"/>
        <v>25-50%</v>
      </c>
      <c r="Z28" s="75" t="s">
        <v>34</v>
      </c>
      <c r="AB28" s="32">
        <v>7880</v>
      </c>
      <c r="AC28" s="32">
        <v>13480</v>
      </c>
      <c r="AD28" s="32"/>
      <c r="AE28" s="32"/>
      <c r="AF28" s="32"/>
      <c r="AG28" s="32"/>
      <c r="AH28" s="13"/>
    </row>
    <row r="29" spans="1:34" ht="24" customHeight="1" x14ac:dyDescent="0.25">
      <c r="A29" s="10">
        <v>35</v>
      </c>
      <c r="B29" s="9">
        <v>0.5395833333333333</v>
      </c>
      <c r="C29" s="5" t="s">
        <v>20</v>
      </c>
      <c r="D29" s="5">
        <f t="shared" si="0"/>
        <v>7</v>
      </c>
      <c r="E29" s="15"/>
      <c r="F29" s="15" t="s">
        <v>22</v>
      </c>
      <c r="G29" s="19">
        <f t="shared" si="2"/>
        <v>4.5999999999999996</v>
      </c>
      <c r="H29" s="19">
        <f t="shared" si="3"/>
        <v>5.92</v>
      </c>
      <c r="I29" s="32"/>
      <c r="J29" s="32"/>
      <c r="K29" s="32"/>
      <c r="L29" s="32"/>
      <c r="M29" s="13"/>
      <c r="N29" s="36">
        <f t="shared" si="4"/>
        <v>10.52</v>
      </c>
      <c r="O29" s="36">
        <f t="shared" si="1"/>
        <v>3.1366431655048812</v>
      </c>
      <c r="P29" s="37">
        <v>8</v>
      </c>
      <c r="Q29" s="37">
        <v>10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8" t="str">
        <f t="shared" si="5"/>
        <v>N</v>
      </c>
      <c r="X29" s="64">
        <f t="shared" si="6"/>
        <v>0</v>
      </c>
      <c r="Y29" s="64" t="str">
        <f t="shared" si="7"/>
        <v>0-4.9%</v>
      </c>
      <c r="Z29" s="75" t="s">
        <v>108</v>
      </c>
      <c r="AB29" s="32">
        <v>4600</v>
      </c>
      <c r="AC29" s="32">
        <v>5920</v>
      </c>
      <c r="AD29" s="32"/>
      <c r="AE29" s="32"/>
      <c r="AF29" s="32"/>
      <c r="AG29" s="32"/>
      <c r="AH29" s="13"/>
    </row>
    <row r="30" spans="1:34" ht="24" customHeight="1" x14ac:dyDescent="0.25">
      <c r="A30" s="10">
        <v>38</v>
      </c>
      <c r="B30" s="9">
        <v>8.6805555555555566E-2</v>
      </c>
      <c r="C30" s="5" t="s">
        <v>20</v>
      </c>
      <c r="D30" s="5">
        <f t="shared" si="0"/>
        <v>7</v>
      </c>
      <c r="E30" s="15"/>
      <c r="F30" s="15" t="s">
        <v>22</v>
      </c>
      <c r="G30" s="19">
        <f t="shared" si="2"/>
        <v>9.14</v>
      </c>
      <c r="H30" s="19">
        <f t="shared" si="3"/>
        <v>22.4</v>
      </c>
      <c r="I30" s="32"/>
      <c r="J30" s="32"/>
      <c r="K30" s="32"/>
      <c r="L30" s="32"/>
      <c r="M30" s="13"/>
      <c r="N30" s="36">
        <f t="shared" si="4"/>
        <v>31.54</v>
      </c>
      <c r="O30" s="36">
        <f t="shared" si="1"/>
        <v>438.80532184863779</v>
      </c>
      <c r="P30" s="37">
        <v>8</v>
      </c>
      <c r="Q30" s="37">
        <v>10</v>
      </c>
      <c r="R30" s="37">
        <v>9</v>
      </c>
      <c r="S30" s="37">
        <v>9</v>
      </c>
      <c r="T30" s="37">
        <v>9</v>
      </c>
      <c r="U30" s="37">
        <v>9</v>
      </c>
      <c r="V30" s="37">
        <v>9</v>
      </c>
      <c r="W30" s="38" t="str">
        <f t="shared" si="5"/>
        <v>Y</v>
      </c>
      <c r="X30" s="64">
        <f t="shared" si="6"/>
        <v>1.2399999999999998</v>
      </c>
      <c r="Y30" s="64" t="str">
        <f t="shared" si="7"/>
        <v>Over 50%</v>
      </c>
      <c r="Z30" s="71" t="s">
        <v>121</v>
      </c>
      <c r="AB30" s="32">
        <v>9140</v>
      </c>
      <c r="AC30" s="32">
        <v>22400</v>
      </c>
      <c r="AD30" s="32"/>
      <c r="AE30" s="32"/>
      <c r="AF30" s="32"/>
      <c r="AG30" s="32"/>
      <c r="AH30" s="13"/>
    </row>
    <row r="31" spans="1:34" ht="24" customHeight="1" x14ac:dyDescent="0.25">
      <c r="A31" s="10">
        <v>39</v>
      </c>
      <c r="B31" s="9">
        <v>8.819444444444445E-2</v>
      </c>
      <c r="C31" s="5" t="s">
        <v>20</v>
      </c>
      <c r="D31" s="5">
        <f t="shared" si="0"/>
        <v>7</v>
      </c>
      <c r="E31" s="15"/>
      <c r="F31" s="15" t="s">
        <v>22</v>
      </c>
      <c r="G31" s="19">
        <f t="shared" si="2"/>
        <v>6.42</v>
      </c>
      <c r="H31" s="19">
        <f t="shared" si="3"/>
        <v>14.82</v>
      </c>
      <c r="I31" s="32"/>
      <c r="J31" s="32"/>
      <c r="K31" s="32"/>
      <c r="L31" s="32"/>
      <c r="M31" s="13"/>
      <c r="N31" s="36">
        <f t="shared" si="4"/>
        <v>21.240000000000002</v>
      </c>
      <c r="O31" s="36">
        <f t="shared" si="1"/>
        <v>74.061003357181932</v>
      </c>
      <c r="P31" s="37">
        <v>8</v>
      </c>
      <c r="Q31" s="37">
        <v>10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8" t="str">
        <f t="shared" si="5"/>
        <v>Y</v>
      </c>
      <c r="X31" s="64">
        <f t="shared" si="6"/>
        <v>0.48200000000000004</v>
      </c>
      <c r="Y31" s="64" t="str">
        <f t="shared" si="7"/>
        <v>25-50%</v>
      </c>
      <c r="Z31" s="75" t="s">
        <v>117</v>
      </c>
      <c r="AB31" s="32">
        <v>6420</v>
      </c>
      <c r="AC31" s="32">
        <v>14820</v>
      </c>
      <c r="AD31" s="32"/>
      <c r="AE31" s="32"/>
      <c r="AF31" s="32"/>
      <c r="AG31" s="32"/>
      <c r="AH31" s="13"/>
    </row>
    <row r="32" spans="1:34" ht="24" customHeight="1" x14ac:dyDescent="0.25">
      <c r="A32" s="10">
        <v>40</v>
      </c>
      <c r="B32" s="9">
        <v>9.0277777777777776E-2</v>
      </c>
      <c r="C32" s="5" t="s">
        <v>20</v>
      </c>
      <c r="D32" s="5">
        <f t="shared" si="0"/>
        <v>7</v>
      </c>
      <c r="E32" s="15"/>
      <c r="F32" s="15" t="s">
        <v>22</v>
      </c>
      <c r="G32" s="19">
        <f t="shared" si="2"/>
        <v>8.18</v>
      </c>
      <c r="H32" s="19">
        <f t="shared" si="3"/>
        <v>17.18</v>
      </c>
      <c r="I32" s="32"/>
      <c r="J32" s="32"/>
      <c r="K32" s="32"/>
      <c r="L32" s="32"/>
      <c r="M32" s="13"/>
      <c r="N32" s="36">
        <f t="shared" si="4"/>
        <v>25.36</v>
      </c>
      <c r="O32" s="36">
        <f t="shared" si="1"/>
        <v>164.46212864024375</v>
      </c>
      <c r="P32" s="37">
        <v>8</v>
      </c>
      <c r="Q32" s="37">
        <v>10</v>
      </c>
      <c r="R32" s="37">
        <v>9</v>
      </c>
      <c r="S32" s="37">
        <v>9</v>
      </c>
      <c r="T32" s="37">
        <v>9</v>
      </c>
      <c r="U32" s="37">
        <v>9</v>
      </c>
      <c r="V32" s="37">
        <v>9</v>
      </c>
      <c r="W32" s="38" t="str">
        <f t="shared" si="5"/>
        <v>Y</v>
      </c>
      <c r="X32" s="64">
        <f t="shared" si="6"/>
        <v>0.71799999999999997</v>
      </c>
      <c r="Y32" s="64" t="str">
        <f t="shared" si="7"/>
        <v>Over 50%</v>
      </c>
      <c r="Z32" s="75" t="s">
        <v>117</v>
      </c>
      <c r="AB32" s="32">
        <v>8180</v>
      </c>
      <c r="AC32" s="32">
        <v>17180</v>
      </c>
      <c r="AD32" s="32"/>
      <c r="AE32" s="32"/>
      <c r="AF32" s="32"/>
      <c r="AG32" s="32"/>
      <c r="AH32" s="13"/>
    </row>
    <row r="33" spans="1:34" ht="24" customHeight="1" x14ac:dyDescent="0.25">
      <c r="A33" s="10">
        <v>42</v>
      </c>
      <c r="B33" s="9">
        <v>0.10069444444444443</v>
      </c>
      <c r="C33" s="5" t="s">
        <v>20</v>
      </c>
      <c r="D33" s="5">
        <f t="shared" si="0"/>
        <v>7</v>
      </c>
      <c r="E33" s="15"/>
      <c r="F33" s="15" t="s">
        <v>22</v>
      </c>
      <c r="G33" s="19">
        <f t="shared" si="2"/>
        <v>5.22</v>
      </c>
      <c r="H33" s="19">
        <f t="shared" si="3"/>
        <v>12.92</v>
      </c>
      <c r="I33" s="32"/>
      <c r="J33" s="32"/>
      <c r="K33" s="32"/>
      <c r="L33" s="32"/>
      <c r="M33" s="13"/>
      <c r="N33" s="36">
        <f t="shared" si="4"/>
        <v>18.14</v>
      </c>
      <c r="O33" s="36">
        <f t="shared" si="1"/>
        <v>36.413469255893709</v>
      </c>
      <c r="P33" s="37">
        <v>8</v>
      </c>
      <c r="Q33" s="37">
        <v>10</v>
      </c>
      <c r="R33" s="37">
        <v>9</v>
      </c>
      <c r="S33" s="37">
        <v>9</v>
      </c>
      <c r="T33" s="37">
        <v>9</v>
      </c>
      <c r="U33" s="37">
        <v>9</v>
      </c>
      <c r="V33" s="37">
        <v>9</v>
      </c>
      <c r="W33" s="38" t="str">
        <f t="shared" si="5"/>
        <v>Y</v>
      </c>
      <c r="X33" s="64">
        <f t="shared" si="6"/>
        <v>0.29199999999999998</v>
      </c>
      <c r="Y33" s="64" t="str">
        <f t="shared" si="7"/>
        <v>25-50%</v>
      </c>
      <c r="Z33" s="75" t="s">
        <v>117</v>
      </c>
      <c r="AB33" s="32">
        <v>5220</v>
      </c>
      <c r="AC33" s="32">
        <v>12920</v>
      </c>
      <c r="AD33" s="32"/>
      <c r="AE33" s="32"/>
      <c r="AF33" s="32"/>
      <c r="AG33" s="32"/>
      <c r="AH33" s="13"/>
    </row>
    <row r="34" spans="1:34" ht="24" customHeight="1" x14ac:dyDescent="0.25">
      <c r="A34" s="10">
        <v>43</v>
      </c>
      <c r="B34" s="9">
        <v>0.10208333333333335</v>
      </c>
      <c r="C34" s="5" t="s">
        <v>20</v>
      </c>
      <c r="D34" s="5">
        <f t="shared" si="0"/>
        <v>7</v>
      </c>
      <c r="E34" s="15"/>
      <c r="F34" s="15" t="s">
        <v>22</v>
      </c>
      <c r="G34" s="19">
        <f t="shared" si="2"/>
        <v>7.88</v>
      </c>
      <c r="H34" s="19">
        <f t="shared" si="3"/>
        <v>13.66</v>
      </c>
      <c r="I34" s="32"/>
      <c r="J34" s="32"/>
      <c r="K34" s="32"/>
      <c r="L34" s="32"/>
      <c r="M34" s="13"/>
      <c r="N34" s="36">
        <f t="shared" si="4"/>
        <v>21.54</v>
      </c>
      <c r="O34" s="36">
        <f t="shared" si="1"/>
        <v>78.885999217033358</v>
      </c>
      <c r="P34" s="37">
        <v>8</v>
      </c>
      <c r="Q34" s="37">
        <v>10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8" t="str">
        <f t="shared" si="5"/>
        <v>Y</v>
      </c>
      <c r="X34" s="64">
        <f t="shared" si="6"/>
        <v>0.36599999999999999</v>
      </c>
      <c r="Y34" s="64" t="str">
        <f t="shared" si="7"/>
        <v>25-50%</v>
      </c>
      <c r="Z34" s="75" t="s">
        <v>34</v>
      </c>
      <c r="AB34" s="32">
        <v>7880</v>
      </c>
      <c r="AC34" s="32">
        <v>13660</v>
      </c>
      <c r="AD34" s="32"/>
      <c r="AE34" s="32"/>
      <c r="AF34" s="32"/>
      <c r="AG34" s="32"/>
      <c r="AH34" s="13"/>
    </row>
    <row r="35" spans="1:34" ht="24" customHeight="1" x14ac:dyDescent="0.25">
      <c r="A35" s="10">
        <v>44</v>
      </c>
      <c r="B35" s="9">
        <v>0.10902777777777778</v>
      </c>
      <c r="C35" s="5" t="s">
        <v>20</v>
      </c>
      <c r="D35" s="5">
        <f t="shared" si="0"/>
        <v>7</v>
      </c>
      <c r="E35" s="15"/>
      <c r="F35" s="15" t="s">
        <v>22</v>
      </c>
      <c r="G35" s="19">
        <f t="shared" si="2"/>
        <v>7.18</v>
      </c>
      <c r="H35" s="19">
        <f t="shared" si="3"/>
        <v>8.2799999999999994</v>
      </c>
      <c r="I35" s="32"/>
      <c r="J35" s="32"/>
      <c r="K35" s="32"/>
      <c r="L35" s="32"/>
      <c r="M35" s="13"/>
      <c r="N35" s="36">
        <f t="shared" si="4"/>
        <v>15.459999999999999</v>
      </c>
      <c r="O35" s="36">
        <f t="shared" si="1"/>
        <v>17.735236685779139</v>
      </c>
      <c r="P35" s="37">
        <v>8</v>
      </c>
      <c r="Q35" s="37">
        <v>10</v>
      </c>
      <c r="R35" s="37">
        <v>9</v>
      </c>
      <c r="S35" s="37">
        <v>9</v>
      </c>
      <c r="T35" s="37">
        <v>9</v>
      </c>
      <c r="U35" s="37">
        <v>9</v>
      </c>
      <c r="V35" s="37">
        <v>9</v>
      </c>
      <c r="W35" s="38" t="str">
        <f t="shared" si="5"/>
        <v>N</v>
      </c>
      <c r="X35" s="64">
        <f t="shared" si="6"/>
        <v>0</v>
      </c>
      <c r="Y35" s="64" t="str">
        <f t="shared" si="7"/>
        <v>0-4.9%</v>
      </c>
      <c r="Z35" s="75" t="s">
        <v>108</v>
      </c>
      <c r="AB35" s="32">
        <v>7180</v>
      </c>
      <c r="AC35" s="32">
        <v>8280</v>
      </c>
      <c r="AD35" s="32"/>
      <c r="AE35" s="32"/>
      <c r="AF35" s="32"/>
      <c r="AG35" s="32"/>
      <c r="AH35" s="13"/>
    </row>
    <row r="36" spans="1:34" ht="24" customHeight="1" x14ac:dyDescent="0.25">
      <c r="A36" s="10">
        <v>46</v>
      </c>
      <c r="B36" s="9">
        <v>0.1125</v>
      </c>
      <c r="C36" s="5" t="s">
        <v>20</v>
      </c>
      <c r="D36" s="5">
        <f t="shared" si="0"/>
        <v>7</v>
      </c>
      <c r="E36" s="15"/>
      <c r="F36" s="15" t="s">
        <v>22</v>
      </c>
      <c r="G36" s="19">
        <f t="shared" si="2"/>
        <v>9.3000000000000007</v>
      </c>
      <c r="H36" s="19">
        <f t="shared" si="3"/>
        <v>16.82</v>
      </c>
      <c r="I36" s="32"/>
      <c r="J36" s="32"/>
      <c r="K36" s="32"/>
      <c r="L36" s="32"/>
      <c r="M36" s="13"/>
      <c r="N36" s="36">
        <f t="shared" si="4"/>
        <v>26.12</v>
      </c>
      <c r="O36" s="36">
        <f t="shared" si="1"/>
        <v>187.83372114067814</v>
      </c>
      <c r="P36" s="37">
        <v>8</v>
      </c>
      <c r="Q36" s="37">
        <v>10</v>
      </c>
      <c r="R36" s="37">
        <v>9</v>
      </c>
      <c r="S36" s="37">
        <v>9</v>
      </c>
      <c r="T36" s="37">
        <v>9</v>
      </c>
      <c r="U36" s="37">
        <v>9</v>
      </c>
      <c r="V36" s="37">
        <v>9</v>
      </c>
      <c r="W36" s="38" t="str">
        <f t="shared" si="5"/>
        <v>Y</v>
      </c>
      <c r="X36" s="64">
        <f t="shared" si="6"/>
        <v>0.68200000000000005</v>
      </c>
      <c r="Y36" s="64" t="str">
        <f t="shared" si="7"/>
        <v>Over 50%</v>
      </c>
      <c r="Z36" s="75" t="s">
        <v>34</v>
      </c>
      <c r="AB36" s="32">
        <v>9300</v>
      </c>
      <c r="AC36" s="32">
        <v>16820</v>
      </c>
      <c r="AD36" s="32"/>
      <c r="AE36" s="32"/>
      <c r="AF36" s="32"/>
      <c r="AG36" s="32"/>
      <c r="AH36" s="13"/>
    </row>
    <row r="37" spans="1:34" ht="24" customHeight="1" x14ac:dyDescent="0.25">
      <c r="A37" s="10">
        <v>47</v>
      </c>
      <c r="B37" s="9">
        <v>0.11319444444444444</v>
      </c>
      <c r="C37" s="5" t="s">
        <v>20</v>
      </c>
      <c r="D37" s="5">
        <f t="shared" si="0"/>
        <v>7</v>
      </c>
      <c r="E37" s="15"/>
      <c r="F37" s="15" t="s">
        <v>22</v>
      </c>
      <c r="G37" s="19">
        <f t="shared" si="2"/>
        <v>2.98</v>
      </c>
      <c r="H37" s="19">
        <f t="shared" si="3"/>
        <v>4.62</v>
      </c>
      <c r="I37" s="32"/>
      <c r="J37" s="32"/>
      <c r="K37" s="32"/>
      <c r="L37" s="32"/>
      <c r="M37" s="13"/>
      <c r="N37" s="36">
        <f t="shared" si="4"/>
        <v>7.6</v>
      </c>
      <c r="O37" s="36">
        <f t="shared" si="1"/>
        <v>0.72619867281633133</v>
      </c>
      <c r="P37" s="37">
        <v>8</v>
      </c>
      <c r="Q37" s="37">
        <v>10</v>
      </c>
      <c r="R37" s="37">
        <v>9</v>
      </c>
      <c r="S37" s="37">
        <v>9</v>
      </c>
      <c r="T37" s="37">
        <v>9</v>
      </c>
      <c r="U37" s="37">
        <v>9</v>
      </c>
      <c r="V37" s="37">
        <v>9</v>
      </c>
      <c r="W37" s="38" t="str">
        <f t="shared" si="5"/>
        <v>N</v>
      </c>
      <c r="X37" s="64">
        <f t="shared" si="6"/>
        <v>0</v>
      </c>
      <c r="Y37" s="64" t="str">
        <f t="shared" si="7"/>
        <v>0-4.9%</v>
      </c>
      <c r="Z37" s="71" t="s">
        <v>121</v>
      </c>
      <c r="AB37" s="32">
        <v>2980</v>
      </c>
      <c r="AC37" s="32">
        <v>4620</v>
      </c>
      <c r="AD37" s="32"/>
      <c r="AE37" s="32"/>
      <c r="AF37" s="32"/>
      <c r="AG37" s="32"/>
      <c r="AH37" s="13"/>
    </row>
    <row r="38" spans="1:34" ht="24" customHeight="1" x14ac:dyDescent="0.25">
      <c r="A38" s="10">
        <v>50</v>
      </c>
      <c r="B38" s="9">
        <v>0.11944444444444445</v>
      </c>
      <c r="C38" s="5" t="s">
        <v>20</v>
      </c>
      <c r="D38" s="5">
        <f t="shared" si="0"/>
        <v>7</v>
      </c>
      <c r="E38" s="15"/>
      <c r="F38" s="15" t="s">
        <v>22</v>
      </c>
      <c r="G38" s="19">
        <f t="shared" si="2"/>
        <v>2.56</v>
      </c>
      <c r="H38" s="19">
        <f t="shared" si="3"/>
        <v>7.36</v>
      </c>
      <c r="I38" s="32"/>
      <c r="J38" s="32"/>
      <c r="K38" s="32"/>
      <c r="L38" s="32"/>
      <c r="M38" s="13"/>
      <c r="N38" s="36">
        <f t="shared" si="4"/>
        <v>9.92</v>
      </c>
      <c r="O38" s="36">
        <f t="shared" si="1"/>
        <v>2.4082236124384062</v>
      </c>
      <c r="P38" s="37">
        <v>8</v>
      </c>
      <c r="Q38" s="37">
        <v>10</v>
      </c>
      <c r="R38" s="37">
        <v>9</v>
      </c>
      <c r="S38" s="37">
        <v>9</v>
      </c>
      <c r="T38" s="37">
        <v>9</v>
      </c>
      <c r="U38" s="37">
        <v>9</v>
      </c>
      <c r="V38" s="37">
        <v>9</v>
      </c>
      <c r="W38" s="38" t="str">
        <f t="shared" si="5"/>
        <v>N</v>
      </c>
      <c r="X38" s="64">
        <f t="shared" si="6"/>
        <v>0</v>
      </c>
      <c r="Y38" s="64" t="str">
        <f t="shared" si="7"/>
        <v>0-4.9%</v>
      </c>
      <c r="Z38" s="71" t="s">
        <v>121</v>
      </c>
      <c r="AB38" s="32">
        <v>2560</v>
      </c>
      <c r="AC38" s="32">
        <v>7360</v>
      </c>
      <c r="AD38" s="32"/>
      <c r="AE38" s="32"/>
      <c r="AF38" s="32"/>
      <c r="AG38" s="32"/>
      <c r="AH38" s="13"/>
    </row>
    <row r="39" spans="1:34" ht="24" customHeight="1" x14ac:dyDescent="0.25">
      <c r="A39" s="10">
        <v>51</v>
      </c>
      <c r="B39" s="9">
        <v>0.12430555555555556</v>
      </c>
      <c r="C39" s="5" t="s">
        <v>20</v>
      </c>
      <c r="D39" s="5">
        <f t="shared" ref="D39:D70" si="8">IF(COUNT(G39:M39)&gt;3,10,IF(COUNT(G39:M39)&gt;2,9,7))</f>
        <v>7</v>
      </c>
      <c r="E39" s="15"/>
      <c r="F39" s="15" t="s">
        <v>22</v>
      </c>
      <c r="G39" s="19">
        <f t="shared" si="2"/>
        <v>2.6</v>
      </c>
      <c r="H39" s="19">
        <f t="shared" si="3"/>
        <v>5.56</v>
      </c>
      <c r="I39" s="32"/>
      <c r="J39" s="32"/>
      <c r="K39" s="32"/>
      <c r="L39" s="32"/>
      <c r="M39" s="13"/>
      <c r="N39" s="36">
        <f t="shared" si="4"/>
        <v>8.16</v>
      </c>
      <c r="O39" s="36">
        <f t="shared" ref="O39:O70" si="9">(N39/8.16)^4.5</f>
        <v>1</v>
      </c>
      <c r="P39" s="37">
        <v>8</v>
      </c>
      <c r="Q39" s="37">
        <v>10</v>
      </c>
      <c r="R39" s="37">
        <v>9</v>
      </c>
      <c r="S39" s="37">
        <v>9</v>
      </c>
      <c r="T39" s="37">
        <v>9</v>
      </c>
      <c r="U39" s="37">
        <v>9</v>
      </c>
      <c r="V39" s="37">
        <v>9</v>
      </c>
      <c r="W39" s="38" t="str">
        <f t="shared" si="5"/>
        <v>N</v>
      </c>
      <c r="X39" s="64">
        <f t="shared" si="6"/>
        <v>0</v>
      </c>
      <c r="Y39" s="64" t="str">
        <f t="shared" si="7"/>
        <v>0-4.9%</v>
      </c>
      <c r="Z39" s="75" t="s">
        <v>117</v>
      </c>
      <c r="AB39" s="32">
        <v>2600</v>
      </c>
      <c r="AC39" s="32">
        <v>5560</v>
      </c>
      <c r="AD39" s="32"/>
      <c r="AE39" s="32"/>
      <c r="AF39" s="32"/>
      <c r="AG39" s="32"/>
      <c r="AH39" s="13"/>
    </row>
    <row r="40" spans="1:34" ht="24" customHeight="1" x14ac:dyDescent="0.25">
      <c r="A40" s="10">
        <v>57</v>
      </c>
      <c r="B40" s="9">
        <v>0.15972222222222224</v>
      </c>
      <c r="C40" s="5" t="s">
        <v>20</v>
      </c>
      <c r="D40" s="5">
        <f t="shared" si="8"/>
        <v>7</v>
      </c>
      <c r="E40" s="15"/>
      <c r="F40" s="15" t="s">
        <v>22</v>
      </c>
      <c r="G40" s="19">
        <f t="shared" si="2"/>
        <v>7.32</v>
      </c>
      <c r="H40" s="19">
        <f t="shared" si="3"/>
        <v>14.4</v>
      </c>
      <c r="I40" s="32"/>
      <c r="J40" s="32"/>
      <c r="K40" s="32"/>
      <c r="L40" s="32"/>
      <c r="M40" s="13"/>
      <c r="N40" s="36">
        <f t="shared" si="4"/>
        <v>21.72</v>
      </c>
      <c r="O40" s="36">
        <f t="shared" si="9"/>
        <v>81.896148869559298</v>
      </c>
      <c r="P40" s="37">
        <v>8</v>
      </c>
      <c r="Q40" s="37">
        <v>10</v>
      </c>
      <c r="R40" s="37">
        <v>9</v>
      </c>
      <c r="S40" s="37">
        <v>9</v>
      </c>
      <c r="T40" s="37">
        <v>9</v>
      </c>
      <c r="U40" s="37">
        <v>9</v>
      </c>
      <c r="V40" s="37">
        <v>9</v>
      </c>
      <c r="W40" s="38" t="str">
        <f t="shared" si="5"/>
        <v>Y</v>
      </c>
      <c r="X40" s="64">
        <f t="shared" si="6"/>
        <v>0.44000000000000006</v>
      </c>
      <c r="Y40" s="64" t="str">
        <f t="shared" si="7"/>
        <v>25-50%</v>
      </c>
      <c r="Z40" s="75" t="s">
        <v>117</v>
      </c>
      <c r="AB40" s="32">
        <v>7320</v>
      </c>
      <c r="AC40" s="32">
        <v>14400</v>
      </c>
      <c r="AD40" s="32"/>
      <c r="AE40" s="32"/>
      <c r="AF40" s="32"/>
      <c r="AG40" s="32"/>
      <c r="AH40" s="13"/>
    </row>
    <row r="41" spans="1:34" ht="24" customHeight="1" x14ac:dyDescent="0.25">
      <c r="A41" s="10">
        <v>58</v>
      </c>
      <c r="B41" s="9">
        <v>0.16180555555555556</v>
      </c>
      <c r="C41" s="5" t="s">
        <v>20</v>
      </c>
      <c r="D41" s="5">
        <f t="shared" si="8"/>
        <v>7</v>
      </c>
      <c r="E41" s="15"/>
      <c r="F41" s="15" t="s">
        <v>22</v>
      </c>
      <c r="G41" s="19">
        <f t="shared" si="2"/>
        <v>8.98</v>
      </c>
      <c r="H41" s="19">
        <f t="shared" si="3"/>
        <v>12.94</v>
      </c>
      <c r="I41" s="32"/>
      <c r="J41" s="32"/>
      <c r="K41" s="32"/>
      <c r="L41" s="32"/>
      <c r="M41" s="13"/>
      <c r="N41" s="36">
        <f t="shared" si="4"/>
        <v>21.92</v>
      </c>
      <c r="O41" s="36">
        <f t="shared" si="9"/>
        <v>85.344740018258022</v>
      </c>
      <c r="P41" s="37">
        <v>8</v>
      </c>
      <c r="Q41" s="37">
        <v>10</v>
      </c>
      <c r="R41" s="37">
        <v>9</v>
      </c>
      <c r="S41" s="37">
        <v>9</v>
      </c>
      <c r="T41" s="37">
        <v>9</v>
      </c>
      <c r="U41" s="37">
        <v>9</v>
      </c>
      <c r="V41" s="37">
        <v>9</v>
      </c>
      <c r="W41" s="38" t="str">
        <f t="shared" si="5"/>
        <v>Y</v>
      </c>
      <c r="X41" s="64">
        <f t="shared" si="6"/>
        <v>0.29399999999999993</v>
      </c>
      <c r="Y41" s="64" t="str">
        <f t="shared" si="7"/>
        <v>25-50%</v>
      </c>
      <c r="Z41" s="75" t="s">
        <v>34</v>
      </c>
      <c r="AB41" s="32">
        <v>8980</v>
      </c>
      <c r="AC41" s="32">
        <v>12940</v>
      </c>
      <c r="AD41" s="32"/>
      <c r="AE41" s="32"/>
      <c r="AF41" s="32"/>
      <c r="AG41" s="32"/>
      <c r="AH41" s="13"/>
    </row>
    <row r="42" spans="1:34" ht="24" customHeight="1" x14ac:dyDescent="0.25">
      <c r="A42" s="10">
        <v>59</v>
      </c>
      <c r="B42" s="9">
        <v>0.16666666666666666</v>
      </c>
      <c r="C42" s="5" t="s">
        <v>20</v>
      </c>
      <c r="D42" s="5">
        <f t="shared" si="8"/>
        <v>7</v>
      </c>
      <c r="E42" s="15"/>
      <c r="F42" s="15" t="s">
        <v>22</v>
      </c>
      <c r="G42" s="19">
        <f t="shared" si="2"/>
        <v>4.22</v>
      </c>
      <c r="H42" s="19">
        <f t="shared" si="3"/>
        <v>10.44</v>
      </c>
      <c r="I42" s="32"/>
      <c r="J42" s="32"/>
      <c r="K42" s="32"/>
      <c r="L42" s="32"/>
      <c r="M42" s="13"/>
      <c r="N42" s="36">
        <f t="shared" si="4"/>
        <v>14.66</v>
      </c>
      <c r="O42" s="36">
        <f t="shared" si="9"/>
        <v>13.963592039717806</v>
      </c>
      <c r="P42" s="37">
        <v>8</v>
      </c>
      <c r="Q42" s="37">
        <v>10</v>
      </c>
      <c r="R42" s="37">
        <v>9</v>
      </c>
      <c r="S42" s="37">
        <v>9</v>
      </c>
      <c r="T42" s="37">
        <v>9</v>
      </c>
      <c r="U42" s="37">
        <v>9</v>
      </c>
      <c r="V42" s="37">
        <v>9</v>
      </c>
      <c r="W42" s="38" t="str">
        <f t="shared" si="5"/>
        <v>Y</v>
      </c>
      <c r="X42" s="64">
        <f t="shared" si="6"/>
        <v>4.3999999999999949E-2</v>
      </c>
      <c r="Y42" s="64" t="str">
        <f t="shared" si="7"/>
        <v>0-4.9%</v>
      </c>
      <c r="Z42" s="75" t="s">
        <v>34</v>
      </c>
      <c r="AB42" s="32">
        <v>4220</v>
      </c>
      <c r="AC42" s="32">
        <v>10440</v>
      </c>
      <c r="AD42" s="32"/>
      <c r="AE42" s="32"/>
      <c r="AF42" s="32"/>
      <c r="AG42" s="32"/>
      <c r="AH42" s="13"/>
    </row>
    <row r="43" spans="1:34" ht="24" customHeight="1" x14ac:dyDescent="0.25">
      <c r="A43" s="10">
        <v>61</v>
      </c>
      <c r="B43" s="9">
        <v>0.17777777777777778</v>
      </c>
      <c r="C43" s="5" t="s">
        <v>20</v>
      </c>
      <c r="D43" s="5">
        <f t="shared" si="8"/>
        <v>7</v>
      </c>
      <c r="E43" s="15"/>
      <c r="F43" s="15" t="s">
        <v>22</v>
      </c>
      <c r="G43" s="19">
        <f t="shared" si="2"/>
        <v>8.76</v>
      </c>
      <c r="H43" s="19">
        <f t="shared" si="3"/>
        <v>10.94</v>
      </c>
      <c r="I43" s="32"/>
      <c r="J43" s="32"/>
      <c r="K43" s="32"/>
      <c r="L43" s="32"/>
      <c r="M43" s="13"/>
      <c r="N43" s="36">
        <f t="shared" si="4"/>
        <v>19.7</v>
      </c>
      <c r="O43" s="36">
        <f t="shared" si="9"/>
        <v>52.78278524138954</v>
      </c>
      <c r="P43" s="37">
        <v>8</v>
      </c>
      <c r="Q43" s="37">
        <v>10</v>
      </c>
      <c r="R43" s="37">
        <v>9</v>
      </c>
      <c r="S43" s="37">
        <v>9</v>
      </c>
      <c r="T43" s="37">
        <v>9</v>
      </c>
      <c r="U43" s="37">
        <v>9</v>
      </c>
      <c r="V43" s="37">
        <v>9</v>
      </c>
      <c r="W43" s="38" t="str">
        <f t="shared" si="5"/>
        <v>Y</v>
      </c>
      <c r="X43" s="64">
        <f t="shared" si="6"/>
        <v>9.3999999999999945E-2</v>
      </c>
      <c r="Y43" s="64" t="str">
        <f t="shared" si="7"/>
        <v>5-25%</v>
      </c>
      <c r="Z43" s="75" t="s">
        <v>34</v>
      </c>
      <c r="AB43" s="32">
        <v>8760</v>
      </c>
      <c r="AC43" s="32">
        <v>10940</v>
      </c>
      <c r="AD43" s="32"/>
      <c r="AE43" s="32"/>
      <c r="AF43" s="32"/>
      <c r="AG43" s="32"/>
      <c r="AH43" s="13"/>
    </row>
    <row r="44" spans="1:34" ht="24" customHeight="1" x14ac:dyDescent="0.25">
      <c r="A44" s="10">
        <v>1</v>
      </c>
      <c r="B44" s="9">
        <v>0.18055555555555555</v>
      </c>
      <c r="C44" s="5" t="s">
        <v>20</v>
      </c>
      <c r="D44" s="5">
        <f t="shared" si="8"/>
        <v>7</v>
      </c>
      <c r="E44" s="15"/>
      <c r="F44" s="15" t="s">
        <v>22</v>
      </c>
      <c r="G44" s="19">
        <f t="shared" si="2"/>
        <v>6.92</v>
      </c>
      <c r="H44" s="19">
        <f t="shared" si="3"/>
        <v>20.36</v>
      </c>
      <c r="I44" s="32"/>
      <c r="J44" s="32"/>
      <c r="K44" s="32"/>
      <c r="L44" s="32"/>
      <c r="M44" s="32"/>
      <c r="N44" s="36">
        <f t="shared" si="4"/>
        <v>27.28</v>
      </c>
      <c r="O44" s="36">
        <f t="shared" si="9"/>
        <v>228.39886033589252</v>
      </c>
      <c r="P44" s="37">
        <v>8</v>
      </c>
      <c r="Q44" s="37">
        <v>10</v>
      </c>
      <c r="R44" s="37">
        <v>9</v>
      </c>
      <c r="S44" s="37">
        <v>9</v>
      </c>
      <c r="T44" s="37">
        <v>9</v>
      </c>
      <c r="U44" s="37">
        <v>9</v>
      </c>
      <c r="V44" s="37">
        <v>9</v>
      </c>
      <c r="W44" s="38" t="str">
        <f t="shared" si="5"/>
        <v>Y</v>
      </c>
      <c r="X44" s="64">
        <f t="shared" si="6"/>
        <v>1.036</v>
      </c>
      <c r="Y44" s="64" t="str">
        <f t="shared" si="7"/>
        <v>Over 50%</v>
      </c>
      <c r="Z44" s="75" t="s">
        <v>117</v>
      </c>
      <c r="AB44" s="32">
        <v>6920</v>
      </c>
      <c r="AC44" s="32">
        <v>20360</v>
      </c>
      <c r="AD44" s="32"/>
      <c r="AE44" s="32"/>
      <c r="AF44" s="32"/>
      <c r="AG44" s="32"/>
      <c r="AH44" s="32"/>
    </row>
    <row r="45" spans="1:34" ht="24" customHeight="1" x14ac:dyDescent="0.25">
      <c r="A45" s="10">
        <v>2</v>
      </c>
      <c r="B45" s="9">
        <v>0.18194444444444444</v>
      </c>
      <c r="C45" s="5" t="s">
        <v>20</v>
      </c>
      <c r="D45" s="5">
        <f t="shared" si="8"/>
        <v>7</v>
      </c>
      <c r="E45" s="15"/>
      <c r="F45" s="15" t="s">
        <v>22</v>
      </c>
      <c r="G45" s="19">
        <f t="shared" si="2"/>
        <v>4.62</v>
      </c>
      <c r="H45" s="19">
        <f t="shared" si="3"/>
        <v>9.44</v>
      </c>
      <c r="I45" s="32"/>
      <c r="J45" s="32"/>
      <c r="K45" s="32"/>
      <c r="L45" s="32"/>
      <c r="M45" s="32"/>
      <c r="N45" s="36">
        <f t="shared" si="4"/>
        <v>14.059999999999999</v>
      </c>
      <c r="O45" s="36">
        <f t="shared" si="9"/>
        <v>11.569863325828226</v>
      </c>
      <c r="P45" s="37">
        <v>8</v>
      </c>
      <c r="Q45" s="37">
        <v>10</v>
      </c>
      <c r="R45" s="37">
        <v>9</v>
      </c>
      <c r="S45" s="37">
        <v>9</v>
      </c>
      <c r="T45" s="37">
        <v>9</v>
      </c>
      <c r="U45" s="37">
        <v>9</v>
      </c>
      <c r="V45" s="37">
        <v>9</v>
      </c>
      <c r="W45" s="38" t="str">
        <f t="shared" si="5"/>
        <v>N</v>
      </c>
      <c r="X45" s="64">
        <f t="shared" si="6"/>
        <v>0</v>
      </c>
      <c r="Y45" s="64" t="str">
        <f t="shared" si="7"/>
        <v>0-4.9%</v>
      </c>
      <c r="Z45" s="75" t="s">
        <v>127</v>
      </c>
      <c r="AB45" s="32">
        <v>4620</v>
      </c>
      <c r="AC45" s="32">
        <v>9440</v>
      </c>
      <c r="AD45" s="32"/>
      <c r="AE45" s="32"/>
      <c r="AF45" s="32"/>
      <c r="AG45" s="32"/>
      <c r="AH45" s="32"/>
    </row>
    <row r="46" spans="1:34" ht="24" customHeight="1" x14ac:dyDescent="0.25">
      <c r="A46" s="10">
        <v>4</v>
      </c>
      <c r="B46" s="9">
        <v>0.19097222222222221</v>
      </c>
      <c r="C46" s="5" t="s">
        <v>20</v>
      </c>
      <c r="D46" s="5">
        <f t="shared" si="8"/>
        <v>7</v>
      </c>
      <c r="E46" s="15"/>
      <c r="F46" s="15" t="s">
        <v>22</v>
      </c>
      <c r="G46" s="19">
        <f t="shared" si="2"/>
        <v>7.02</v>
      </c>
      <c r="H46" s="19">
        <f t="shared" si="3"/>
        <v>12.18</v>
      </c>
      <c r="I46" s="32"/>
      <c r="J46" s="32"/>
      <c r="K46" s="32"/>
      <c r="L46" s="32"/>
      <c r="M46" s="32"/>
      <c r="N46" s="36">
        <f t="shared" si="4"/>
        <v>19.2</v>
      </c>
      <c r="O46" s="36">
        <f t="shared" si="9"/>
        <v>47.016447874169835</v>
      </c>
      <c r="P46" s="37">
        <v>8</v>
      </c>
      <c r="Q46" s="37">
        <v>10</v>
      </c>
      <c r="R46" s="37">
        <v>9</v>
      </c>
      <c r="S46" s="37">
        <v>9</v>
      </c>
      <c r="T46" s="37">
        <v>9</v>
      </c>
      <c r="U46" s="37">
        <v>9</v>
      </c>
      <c r="V46" s="37">
        <v>9</v>
      </c>
      <c r="W46" s="38" t="str">
        <f t="shared" si="5"/>
        <v>Y</v>
      </c>
      <c r="X46" s="64">
        <f t="shared" si="6"/>
        <v>0.21799999999999997</v>
      </c>
      <c r="Y46" s="64" t="str">
        <f t="shared" si="7"/>
        <v>5-25%</v>
      </c>
      <c r="Z46" s="75" t="s">
        <v>117</v>
      </c>
      <c r="AB46" s="32">
        <v>7020</v>
      </c>
      <c r="AC46" s="32">
        <v>12180</v>
      </c>
      <c r="AD46" s="32"/>
      <c r="AE46" s="32"/>
      <c r="AF46" s="32"/>
      <c r="AG46" s="32"/>
      <c r="AH46" s="32"/>
    </row>
    <row r="47" spans="1:34" ht="24" customHeight="1" x14ac:dyDescent="0.25">
      <c r="A47" s="10">
        <v>5</v>
      </c>
      <c r="B47" s="9">
        <v>0.19722222222222222</v>
      </c>
      <c r="C47" s="5" t="s">
        <v>20</v>
      </c>
      <c r="D47" s="5">
        <f t="shared" si="8"/>
        <v>7</v>
      </c>
      <c r="E47" s="15"/>
      <c r="F47" s="15" t="s">
        <v>22</v>
      </c>
      <c r="G47" s="19">
        <f t="shared" si="2"/>
        <v>7.86</v>
      </c>
      <c r="H47" s="19">
        <f t="shared" si="3"/>
        <v>10.4</v>
      </c>
      <c r="I47" s="32"/>
      <c r="J47" s="32"/>
      <c r="K47" s="32"/>
      <c r="L47" s="32"/>
      <c r="M47" s="32"/>
      <c r="N47" s="36">
        <f t="shared" si="4"/>
        <v>18.260000000000002</v>
      </c>
      <c r="O47" s="36">
        <f t="shared" si="9"/>
        <v>37.510060532367781</v>
      </c>
      <c r="P47" s="37">
        <v>8</v>
      </c>
      <c r="Q47" s="37">
        <v>10</v>
      </c>
      <c r="R47" s="37">
        <v>9</v>
      </c>
      <c r="S47" s="37">
        <v>9</v>
      </c>
      <c r="T47" s="37">
        <v>9</v>
      </c>
      <c r="U47" s="37">
        <v>9</v>
      </c>
      <c r="V47" s="37">
        <v>9</v>
      </c>
      <c r="W47" s="38" t="str">
        <f t="shared" si="5"/>
        <v>Y</v>
      </c>
      <c r="X47" s="64">
        <f t="shared" si="6"/>
        <v>4.0000000000000036E-2</v>
      </c>
      <c r="Y47" s="64" t="str">
        <f t="shared" si="7"/>
        <v>0-4.9%</v>
      </c>
      <c r="Z47" s="75" t="s">
        <v>117</v>
      </c>
      <c r="AB47" s="32">
        <v>7860</v>
      </c>
      <c r="AC47" s="32">
        <v>10400</v>
      </c>
      <c r="AD47" s="32"/>
      <c r="AE47" s="32"/>
      <c r="AF47" s="32"/>
      <c r="AG47" s="32"/>
      <c r="AH47" s="32"/>
    </row>
    <row r="48" spans="1:34" ht="24" customHeight="1" x14ac:dyDescent="0.25">
      <c r="A48" s="10">
        <v>6</v>
      </c>
      <c r="B48" s="9">
        <v>0.20416666666666669</v>
      </c>
      <c r="C48" s="5" t="s">
        <v>20</v>
      </c>
      <c r="D48" s="5">
        <f t="shared" si="8"/>
        <v>7</v>
      </c>
      <c r="E48" s="15"/>
      <c r="F48" s="15" t="s">
        <v>22</v>
      </c>
      <c r="G48" s="19">
        <f t="shared" si="2"/>
        <v>2.4</v>
      </c>
      <c r="H48" s="19">
        <f t="shared" si="3"/>
        <v>18.54</v>
      </c>
      <c r="I48" s="32"/>
      <c r="J48" s="32"/>
      <c r="K48" s="32"/>
      <c r="L48" s="32"/>
      <c r="M48" s="32"/>
      <c r="N48" s="36">
        <f t="shared" si="4"/>
        <v>20.939999999999998</v>
      </c>
      <c r="O48" s="36">
        <f t="shared" si="9"/>
        <v>69.468725889778142</v>
      </c>
      <c r="P48" s="37">
        <v>8</v>
      </c>
      <c r="Q48" s="37">
        <v>10</v>
      </c>
      <c r="R48" s="37">
        <v>9</v>
      </c>
      <c r="S48" s="37">
        <v>9</v>
      </c>
      <c r="T48" s="37">
        <v>9</v>
      </c>
      <c r="U48" s="37">
        <v>9</v>
      </c>
      <c r="V48" s="37">
        <v>9</v>
      </c>
      <c r="W48" s="38" t="str">
        <f t="shared" si="5"/>
        <v>Y</v>
      </c>
      <c r="X48" s="64">
        <f t="shared" si="6"/>
        <v>0.85399999999999987</v>
      </c>
      <c r="Y48" s="64" t="str">
        <f t="shared" si="7"/>
        <v>Over 50%</v>
      </c>
      <c r="Z48" s="71" t="s">
        <v>121</v>
      </c>
      <c r="AB48" s="32">
        <v>2400</v>
      </c>
      <c r="AC48" s="32">
        <v>18540</v>
      </c>
      <c r="AD48" s="32"/>
      <c r="AE48" s="32"/>
      <c r="AF48" s="32"/>
      <c r="AG48" s="32"/>
      <c r="AH48" s="32"/>
    </row>
    <row r="49" spans="1:34" ht="24" customHeight="1" x14ac:dyDescent="0.25">
      <c r="A49" s="10">
        <v>8</v>
      </c>
      <c r="B49" s="9">
        <v>0.34375</v>
      </c>
      <c r="C49" s="5" t="s">
        <v>20</v>
      </c>
      <c r="D49" s="5">
        <f t="shared" si="8"/>
        <v>7</v>
      </c>
      <c r="E49" s="15"/>
      <c r="F49" s="15" t="s">
        <v>22</v>
      </c>
      <c r="G49" s="19">
        <f t="shared" si="2"/>
        <v>9.9600000000000009</v>
      </c>
      <c r="H49" s="19">
        <f t="shared" si="3"/>
        <v>12.6</v>
      </c>
      <c r="I49" s="32"/>
      <c r="J49" s="32"/>
      <c r="K49" s="32"/>
      <c r="L49" s="32"/>
      <c r="M49" s="32"/>
      <c r="N49" s="36">
        <f t="shared" si="4"/>
        <v>22.560000000000002</v>
      </c>
      <c r="O49" s="36">
        <f t="shared" si="9"/>
        <v>97.144946739997877</v>
      </c>
      <c r="P49" s="37">
        <v>8</v>
      </c>
      <c r="Q49" s="37">
        <v>10</v>
      </c>
      <c r="R49" s="37">
        <v>9</v>
      </c>
      <c r="S49" s="37">
        <v>9</v>
      </c>
      <c r="T49" s="37">
        <v>9</v>
      </c>
      <c r="U49" s="37">
        <v>9</v>
      </c>
      <c r="V49" s="37">
        <v>9</v>
      </c>
      <c r="W49" s="38" t="str">
        <f t="shared" si="5"/>
        <v>Y</v>
      </c>
      <c r="X49" s="64">
        <f t="shared" si="6"/>
        <v>0.25999999999999995</v>
      </c>
      <c r="Y49" s="64" t="str">
        <f t="shared" si="7"/>
        <v>25-50%</v>
      </c>
      <c r="Z49" s="75" t="s">
        <v>34</v>
      </c>
      <c r="AB49" s="32">
        <v>9960</v>
      </c>
      <c r="AC49" s="32">
        <v>12600</v>
      </c>
      <c r="AD49" s="32"/>
      <c r="AE49" s="32"/>
      <c r="AF49" s="32"/>
      <c r="AG49" s="32"/>
      <c r="AH49" s="32"/>
    </row>
    <row r="50" spans="1:34" ht="24" customHeight="1" x14ac:dyDescent="0.25">
      <c r="A50" s="10">
        <v>10</v>
      </c>
      <c r="B50" s="9">
        <v>0.34652777777777777</v>
      </c>
      <c r="C50" s="5" t="s">
        <v>20</v>
      </c>
      <c r="D50" s="5">
        <f t="shared" si="8"/>
        <v>7</v>
      </c>
      <c r="E50" s="15"/>
      <c r="F50" s="15" t="s">
        <v>22</v>
      </c>
      <c r="G50" s="19">
        <f t="shared" si="2"/>
        <v>7.06</v>
      </c>
      <c r="H50" s="19">
        <f t="shared" si="3"/>
        <v>12.54</v>
      </c>
      <c r="I50" s="32"/>
      <c r="J50" s="32"/>
      <c r="K50" s="32"/>
      <c r="L50" s="32"/>
      <c r="M50" s="32"/>
      <c r="N50" s="36">
        <f t="shared" si="4"/>
        <v>19.599999999999998</v>
      </c>
      <c r="O50" s="36">
        <f t="shared" si="9"/>
        <v>51.587752397276937</v>
      </c>
      <c r="P50" s="37">
        <v>8</v>
      </c>
      <c r="Q50" s="37">
        <v>10</v>
      </c>
      <c r="R50" s="37">
        <v>9</v>
      </c>
      <c r="S50" s="37">
        <v>9</v>
      </c>
      <c r="T50" s="37">
        <v>9</v>
      </c>
      <c r="U50" s="37">
        <v>9</v>
      </c>
      <c r="V50" s="37">
        <v>9</v>
      </c>
      <c r="W50" s="38" t="str">
        <f t="shared" si="5"/>
        <v>Y</v>
      </c>
      <c r="X50" s="64">
        <f t="shared" si="6"/>
        <v>0.25399999999999989</v>
      </c>
      <c r="Y50" s="64" t="str">
        <f t="shared" si="7"/>
        <v>25-50%</v>
      </c>
      <c r="Z50" s="75" t="s">
        <v>117</v>
      </c>
      <c r="AB50" s="32">
        <v>7060</v>
      </c>
      <c r="AC50" s="32">
        <v>12540</v>
      </c>
      <c r="AD50" s="32"/>
      <c r="AE50" s="32"/>
      <c r="AF50" s="32"/>
      <c r="AG50" s="32"/>
      <c r="AH50" s="32"/>
    </row>
    <row r="51" spans="1:34" ht="24" customHeight="1" x14ac:dyDescent="0.25">
      <c r="A51" s="10">
        <v>11</v>
      </c>
      <c r="B51" s="9">
        <v>0.34722222222222227</v>
      </c>
      <c r="C51" s="5" t="s">
        <v>20</v>
      </c>
      <c r="D51" s="5">
        <f t="shared" si="8"/>
        <v>7</v>
      </c>
      <c r="E51" s="15"/>
      <c r="F51" s="15" t="s">
        <v>22</v>
      </c>
      <c r="G51" s="19">
        <f t="shared" si="2"/>
        <v>7.48</v>
      </c>
      <c r="H51" s="19">
        <f t="shared" si="3"/>
        <v>11.4</v>
      </c>
      <c r="I51" s="32"/>
      <c r="J51" s="32"/>
      <c r="K51" s="32"/>
      <c r="L51" s="32"/>
      <c r="M51" s="32"/>
      <c r="N51" s="36">
        <f t="shared" si="4"/>
        <v>18.880000000000003</v>
      </c>
      <c r="O51" s="36">
        <f t="shared" si="9"/>
        <v>43.591643225143521</v>
      </c>
      <c r="P51" s="37">
        <v>8</v>
      </c>
      <c r="Q51" s="37">
        <v>10</v>
      </c>
      <c r="R51" s="37">
        <v>9</v>
      </c>
      <c r="S51" s="37">
        <v>9</v>
      </c>
      <c r="T51" s="37">
        <v>9</v>
      </c>
      <c r="U51" s="37">
        <v>9</v>
      </c>
      <c r="V51" s="37">
        <v>9</v>
      </c>
      <c r="W51" s="38" t="str">
        <f t="shared" si="5"/>
        <v>Y</v>
      </c>
      <c r="X51" s="64">
        <f t="shared" si="6"/>
        <v>0.14000000000000004</v>
      </c>
      <c r="Y51" s="64" t="str">
        <f t="shared" si="7"/>
        <v>5-25%</v>
      </c>
      <c r="Z51" s="75" t="s">
        <v>117</v>
      </c>
      <c r="AB51" s="32">
        <v>7480</v>
      </c>
      <c r="AC51" s="32">
        <v>11400</v>
      </c>
      <c r="AD51" s="32"/>
      <c r="AE51" s="32"/>
      <c r="AF51" s="32"/>
      <c r="AG51" s="32"/>
      <c r="AH51" s="32"/>
    </row>
    <row r="52" spans="1:34" ht="24" customHeight="1" x14ac:dyDescent="0.25">
      <c r="A52" s="10">
        <v>12</v>
      </c>
      <c r="B52" s="9">
        <v>0.34791666666666665</v>
      </c>
      <c r="C52" s="5" t="s">
        <v>20</v>
      </c>
      <c r="D52" s="5">
        <f t="shared" si="8"/>
        <v>7</v>
      </c>
      <c r="E52" s="15"/>
      <c r="F52" s="15" t="s">
        <v>22</v>
      </c>
      <c r="G52" s="19">
        <f t="shared" si="2"/>
        <v>6.02</v>
      </c>
      <c r="H52" s="19">
        <f t="shared" si="3"/>
        <v>12.42</v>
      </c>
      <c r="I52" s="32"/>
      <c r="J52" s="32"/>
      <c r="K52" s="32"/>
      <c r="L52" s="32"/>
      <c r="M52" s="32"/>
      <c r="N52" s="36">
        <f t="shared" si="4"/>
        <v>18.439999999999998</v>
      </c>
      <c r="O52" s="36">
        <f t="shared" si="9"/>
        <v>39.202919504782272</v>
      </c>
      <c r="P52" s="37">
        <v>8</v>
      </c>
      <c r="Q52" s="37">
        <v>10</v>
      </c>
      <c r="R52" s="37">
        <v>9</v>
      </c>
      <c r="S52" s="37">
        <v>9</v>
      </c>
      <c r="T52" s="37">
        <v>9</v>
      </c>
      <c r="U52" s="37">
        <v>9</v>
      </c>
      <c r="V52" s="37">
        <v>9</v>
      </c>
      <c r="W52" s="38" t="str">
        <f t="shared" si="5"/>
        <v>Y</v>
      </c>
      <c r="X52" s="64">
        <f t="shared" si="6"/>
        <v>0.24199999999999999</v>
      </c>
      <c r="Y52" s="64" t="str">
        <f t="shared" si="7"/>
        <v>5-25%</v>
      </c>
      <c r="Z52" s="75" t="s">
        <v>117</v>
      </c>
      <c r="AB52" s="32">
        <v>6020</v>
      </c>
      <c r="AC52" s="32">
        <v>12420</v>
      </c>
      <c r="AD52" s="32"/>
      <c r="AE52" s="32"/>
      <c r="AF52" s="32"/>
      <c r="AG52" s="32"/>
      <c r="AH52" s="32"/>
    </row>
    <row r="53" spans="1:34" ht="24" customHeight="1" x14ac:dyDescent="0.25">
      <c r="A53" s="10">
        <v>13</v>
      </c>
      <c r="B53" s="9">
        <v>0.35069444444444442</v>
      </c>
      <c r="C53" s="5" t="s">
        <v>20</v>
      </c>
      <c r="D53" s="5">
        <f t="shared" si="8"/>
        <v>7</v>
      </c>
      <c r="E53" s="15"/>
      <c r="F53" s="15" t="s">
        <v>22</v>
      </c>
      <c r="G53" s="19">
        <f t="shared" si="2"/>
        <v>7.34</v>
      </c>
      <c r="H53" s="19">
        <f t="shared" si="3"/>
        <v>12.04</v>
      </c>
      <c r="I53" s="32"/>
      <c r="J53" s="32"/>
      <c r="K53" s="32"/>
      <c r="L53" s="32"/>
      <c r="M53" s="32"/>
      <c r="N53" s="36">
        <f t="shared" si="4"/>
        <v>19.38</v>
      </c>
      <c r="O53" s="36">
        <f t="shared" si="9"/>
        <v>49.032751298884264</v>
      </c>
      <c r="P53" s="37">
        <v>8</v>
      </c>
      <c r="Q53" s="37">
        <v>10</v>
      </c>
      <c r="R53" s="37">
        <v>9</v>
      </c>
      <c r="S53" s="37">
        <v>9</v>
      </c>
      <c r="T53" s="37">
        <v>9</v>
      </c>
      <c r="U53" s="37">
        <v>9</v>
      </c>
      <c r="V53" s="37">
        <v>9</v>
      </c>
      <c r="W53" s="38" t="str">
        <f t="shared" si="5"/>
        <v>Y</v>
      </c>
      <c r="X53" s="64">
        <f t="shared" si="6"/>
        <v>0.2039999999999999</v>
      </c>
      <c r="Y53" s="64" t="str">
        <f t="shared" si="7"/>
        <v>5-25%</v>
      </c>
      <c r="Z53" s="75" t="s">
        <v>117</v>
      </c>
      <c r="AB53" s="32">
        <v>7340</v>
      </c>
      <c r="AC53" s="32">
        <v>12040</v>
      </c>
      <c r="AD53" s="32"/>
      <c r="AE53" s="32"/>
      <c r="AF53" s="32"/>
      <c r="AG53" s="32"/>
      <c r="AH53" s="32"/>
    </row>
    <row r="54" spans="1:34" ht="24" customHeight="1" x14ac:dyDescent="0.25">
      <c r="A54" s="10">
        <v>14</v>
      </c>
      <c r="B54" s="9">
        <v>0.3527777777777778</v>
      </c>
      <c r="C54" s="5" t="s">
        <v>20</v>
      </c>
      <c r="D54" s="5">
        <f t="shared" si="8"/>
        <v>7</v>
      </c>
      <c r="E54" s="15"/>
      <c r="F54" s="15" t="s">
        <v>22</v>
      </c>
      <c r="G54" s="19">
        <f t="shared" si="2"/>
        <v>7.14</v>
      </c>
      <c r="H54" s="19">
        <f t="shared" si="3"/>
        <v>13.48</v>
      </c>
      <c r="I54" s="32"/>
      <c r="J54" s="32"/>
      <c r="K54" s="32"/>
      <c r="L54" s="32"/>
      <c r="M54" s="32"/>
      <c r="N54" s="36">
        <f t="shared" si="4"/>
        <v>20.62</v>
      </c>
      <c r="O54" s="36">
        <f t="shared" si="9"/>
        <v>64.817646787890709</v>
      </c>
      <c r="P54" s="37">
        <v>8</v>
      </c>
      <c r="Q54" s="37">
        <v>10</v>
      </c>
      <c r="R54" s="37">
        <v>9</v>
      </c>
      <c r="S54" s="37">
        <v>9</v>
      </c>
      <c r="T54" s="37">
        <v>9</v>
      </c>
      <c r="U54" s="37">
        <v>9</v>
      </c>
      <c r="V54" s="37">
        <v>9</v>
      </c>
      <c r="W54" s="38" t="str">
        <f t="shared" si="5"/>
        <v>Y</v>
      </c>
      <c r="X54" s="64">
        <f t="shared" si="6"/>
        <v>0.34800000000000003</v>
      </c>
      <c r="Y54" s="64" t="str">
        <f t="shared" si="7"/>
        <v>25-50%</v>
      </c>
      <c r="Z54" s="75" t="s">
        <v>117</v>
      </c>
      <c r="AB54" s="32">
        <v>7140</v>
      </c>
      <c r="AC54" s="32">
        <v>13480</v>
      </c>
      <c r="AD54" s="32"/>
      <c r="AE54" s="32"/>
      <c r="AF54" s="32"/>
      <c r="AG54" s="32"/>
      <c r="AH54" s="32"/>
    </row>
    <row r="55" spans="1:34" ht="24" customHeight="1" x14ac:dyDescent="0.25">
      <c r="A55" s="10">
        <v>15</v>
      </c>
      <c r="B55" s="9">
        <v>0.3576388888888889</v>
      </c>
      <c r="C55" s="5" t="s">
        <v>20</v>
      </c>
      <c r="D55" s="5">
        <f t="shared" si="8"/>
        <v>7</v>
      </c>
      <c r="E55" s="15"/>
      <c r="F55" s="15" t="s">
        <v>22</v>
      </c>
      <c r="G55" s="19">
        <f t="shared" si="2"/>
        <v>4.88</v>
      </c>
      <c r="H55" s="19">
        <f t="shared" si="3"/>
        <v>6.56</v>
      </c>
      <c r="I55" s="32"/>
      <c r="J55" s="32"/>
      <c r="K55" s="32"/>
      <c r="L55" s="32"/>
      <c r="M55" s="32"/>
      <c r="N55" s="36">
        <f t="shared" si="4"/>
        <v>11.44</v>
      </c>
      <c r="O55" s="36">
        <f t="shared" si="9"/>
        <v>4.5741604623469794</v>
      </c>
      <c r="P55" s="37">
        <v>8</v>
      </c>
      <c r="Q55" s="37">
        <v>10</v>
      </c>
      <c r="R55" s="37">
        <v>9</v>
      </c>
      <c r="S55" s="37">
        <v>9</v>
      </c>
      <c r="T55" s="37">
        <v>9</v>
      </c>
      <c r="U55" s="37">
        <v>9</v>
      </c>
      <c r="V55" s="37">
        <v>9</v>
      </c>
      <c r="W55" s="38" t="str">
        <f t="shared" si="5"/>
        <v>N</v>
      </c>
      <c r="X55" s="64">
        <f t="shared" si="6"/>
        <v>0</v>
      </c>
      <c r="Y55" s="64" t="str">
        <f t="shared" si="7"/>
        <v>0-4.9%</v>
      </c>
      <c r="Z55" s="75" t="s">
        <v>34</v>
      </c>
      <c r="AB55" s="32">
        <v>4880</v>
      </c>
      <c r="AC55" s="32">
        <v>6560</v>
      </c>
      <c r="AD55" s="32"/>
      <c r="AE55" s="32"/>
      <c r="AF55" s="32"/>
      <c r="AG55" s="32"/>
      <c r="AH55" s="32"/>
    </row>
    <row r="56" spans="1:34" ht="24" customHeight="1" x14ac:dyDescent="0.25">
      <c r="A56" s="10">
        <v>16</v>
      </c>
      <c r="B56" s="9">
        <v>0.35902777777777778</v>
      </c>
      <c r="C56" s="5" t="s">
        <v>20</v>
      </c>
      <c r="D56" s="5">
        <f t="shared" si="8"/>
        <v>7</v>
      </c>
      <c r="E56" s="15"/>
      <c r="F56" s="15" t="s">
        <v>22</v>
      </c>
      <c r="G56" s="19">
        <f t="shared" si="2"/>
        <v>6.94</v>
      </c>
      <c r="H56" s="19">
        <f t="shared" si="3"/>
        <v>11.38</v>
      </c>
      <c r="I56" s="32"/>
      <c r="J56" s="32"/>
      <c r="K56" s="32"/>
      <c r="L56" s="32"/>
      <c r="M56" s="32"/>
      <c r="N56" s="36">
        <f t="shared" si="4"/>
        <v>18.32</v>
      </c>
      <c r="O56" s="36">
        <f t="shared" si="9"/>
        <v>38.067898054213771</v>
      </c>
      <c r="P56" s="37">
        <v>8</v>
      </c>
      <c r="Q56" s="37">
        <v>10</v>
      </c>
      <c r="R56" s="37">
        <v>9</v>
      </c>
      <c r="S56" s="37">
        <v>9</v>
      </c>
      <c r="T56" s="37">
        <v>9</v>
      </c>
      <c r="U56" s="37">
        <v>9</v>
      </c>
      <c r="V56" s="37">
        <v>9</v>
      </c>
      <c r="W56" s="38" t="str">
        <f t="shared" si="5"/>
        <v>Y</v>
      </c>
      <c r="X56" s="64">
        <f t="shared" si="6"/>
        <v>0.13800000000000007</v>
      </c>
      <c r="Y56" s="64" t="str">
        <f t="shared" si="7"/>
        <v>5-25%</v>
      </c>
      <c r="Z56" s="75" t="s">
        <v>117</v>
      </c>
      <c r="AB56" s="32">
        <v>6940</v>
      </c>
      <c r="AC56" s="32">
        <v>11380</v>
      </c>
      <c r="AD56" s="32"/>
      <c r="AE56" s="32"/>
      <c r="AF56" s="32"/>
      <c r="AG56" s="32"/>
      <c r="AH56" s="32"/>
    </row>
    <row r="57" spans="1:34" ht="24" customHeight="1" x14ac:dyDescent="0.25">
      <c r="A57" s="10">
        <v>17</v>
      </c>
      <c r="B57" s="9">
        <v>0.36458333333333331</v>
      </c>
      <c r="C57" s="5" t="s">
        <v>20</v>
      </c>
      <c r="D57" s="5">
        <f t="shared" si="8"/>
        <v>7</v>
      </c>
      <c r="E57" s="15"/>
      <c r="F57" s="15" t="s">
        <v>22</v>
      </c>
      <c r="G57" s="19">
        <f t="shared" si="2"/>
        <v>7.14</v>
      </c>
      <c r="H57" s="19">
        <f t="shared" si="3"/>
        <v>12.86</v>
      </c>
      <c r="I57" s="32"/>
      <c r="J57" s="32"/>
      <c r="K57" s="32"/>
      <c r="L57" s="32"/>
      <c r="M57" s="32"/>
      <c r="N57" s="36">
        <f t="shared" si="4"/>
        <v>20</v>
      </c>
      <c r="O57" s="36">
        <f t="shared" si="9"/>
        <v>56.497504588448436</v>
      </c>
      <c r="P57" s="37">
        <v>8</v>
      </c>
      <c r="Q57" s="37">
        <v>10</v>
      </c>
      <c r="R57" s="37">
        <v>9</v>
      </c>
      <c r="S57" s="37">
        <v>9</v>
      </c>
      <c r="T57" s="37">
        <v>9</v>
      </c>
      <c r="U57" s="37">
        <v>9</v>
      </c>
      <c r="V57" s="37">
        <v>9</v>
      </c>
      <c r="W57" s="38" t="str">
        <f t="shared" si="5"/>
        <v>Y</v>
      </c>
      <c r="X57" s="64">
        <f t="shared" si="6"/>
        <v>0.28599999999999992</v>
      </c>
      <c r="Y57" s="64" t="str">
        <f t="shared" si="7"/>
        <v>25-50%</v>
      </c>
      <c r="Z57" s="75" t="s">
        <v>117</v>
      </c>
      <c r="AB57" s="32">
        <v>7140</v>
      </c>
      <c r="AC57" s="32">
        <v>12860</v>
      </c>
      <c r="AD57" s="32"/>
      <c r="AE57" s="32"/>
      <c r="AF57" s="32"/>
      <c r="AG57" s="32"/>
      <c r="AH57" s="32"/>
    </row>
    <row r="58" spans="1:34" ht="24" customHeight="1" x14ac:dyDescent="0.25">
      <c r="A58" s="10">
        <v>18</v>
      </c>
      <c r="B58" s="9">
        <v>0.3659722222222222</v>
      </c>
      <c r="C58" s="5" t="s">
        <v>20</v>
      </c>
      <c r="D58" s="5">
        <f t="shared" si="8"/>
        <v>7</v>
      </c>
      <c r="E58" s="15"/>
      <c r="F58" s="15" t="s">
        <v>22</v>
      </c>
      <c r="G58" s="19">
        <f t="shared" si="2"/>
        <v>4.5199999999999996</v>
      </c>
      <c r="H58" s="19">
        <f t="shared" si="3"/>
        <v>10.48</v>
      </c>
      <c r="I58" s="32"/>
      <c r="J58" s="32"/>
      <c r="K58" s="32"/>
      <c r="L58" s="32"/>
      <c r="M58" s="32"/>
      <c r="N58" s="36">
        <f t="shared" si="4"/>
        <v>15</v>
      </c>
      <c r="O58" s="36">
        <f t="shared" si="9"/>
        <v>15.481211766195157</v>
      </c>
      <c r="P58" s="37">
        <v>8</v>
      </c>
      <c r="Q58" s="37">
        <v>10</v>
      </c>
      <c r="R58" s="37">
        <v>9</v>
      </c>
      <c r="S58" s="37">
        <v>9</v>
      </c>
      <c r="T58" s="37">
        <v>9</v>
      </c>
      <c r="U58" s="37">
        <v>9</v>
      </c>
      <c r="V58" s="37">
        <v>9</v>
      </c>
      <c r="W58" s="38" t="str">
        <f t="shared" si="5"/>
        <v>Y</v>
      </c>
      <c r="X58" s="64">
        <f t="shared" si="6"/>
        <v>4.8000000000000043E-2</v>
      </c>
      <c r="Y58" s="64" t="str">
        <f t="shared" si="7"/>
        <v>0-4.9%</v>
      </c>
      <c r="Z58" s="75" t="s">
        <v>117</v>
      </c>
      <c r="AB58" s="32">
        <v>4520</v>
      </c>
      <c r="AC58" s="32">
        <v>10480</v>
      </c>
      <c r="AD58" s="32"/>
      <c r="AE58" s="32"/>
      <c r="AF58" s="32"/>
      <c r="AG58" s="32"/>
      <c r="AH58" s="32"/>
    </row>
    <row r="59" spans="1:34" ht="24" customHeight="1" x14ac:dyDescent="0.25">
      <c r="A59" s="10">
        <v>20</v>
      </c>
      <c r="B59" s="9">
        <v>0.37847222222222227</v>
      </c>
      <c r="C59" s="5" t="s">
        <v>20</v>
      </c>
      <c r="D59" s="5">
        <f t="shared" si="8"/>
        <v>7</v>
      </c>
      <c r="E59" s="15"/>
      <c r="F59" s="15" t="s">
        <v>22</v>
      </c>
      <c r="G59" s="19">
        <f t="shared" si="2"/>
        <v>6.16</v>
      </c>
      <c r="H59" s="19">
        <f t="shared" si="3"/>
        <v>11.78</v>
      </c>
      <c r="I59" s="32"/>
      <c r="J59" s="32"/>
      <c r="K59" s="32"/>
      <c r="L59" s="32"/>
      <c r="M59" s="32"/>
      <c r="N59" s="36">
        <f t="shared" si="4"/>
        <v>17.939999999999998</v>
      </c>
      <c r="O59" s="36">
        <f t="shared" si="9"/>
        <v>34.641386000163386</v>
      </c>
      <c r="P59" s="37">
        <v>8</v>
      </c>
      <c r="Q59" s="37">
        <v>10</v>
      </c>
      <c r="R59" s="37">
        <v>9</v>
      </c>
      <c r="S59" s="37">
        <v>9</v>
      </c>
      <c r="T59" s="37">
        <v>9</v>
      </c>
      <c r="U59" s="37">
        <v>9</v>
      </c>
      <c r="V59" s="37">
        <v>9</v>
      </c>
      <c r="W59" s="38" t="str">
        <f t="shared" si="5"/>
        <v>Y</v>
      </c>
      <c r="X59" s="64">
        <f t="shared" si="6"/>
        <v>0.17799999999999994</v>
      </c>
      <c r="Y59" s="64" t="str">
        <f t="shared" si="7"/>
        <v>5-25%</v>
      </c>
      <c r="Z59" s="75" t="s">
        <v>117</v>
      </c>
      <c r="AB59" s="32">
        <v>6160</v>
      </c>
      <c r="AC59" s="32">
        <v>11780</v>
      </c>
      <c r="AD59" s="32"/>
      <c r="AE59" s="32"/>
      <c r="AF59" s="32"/>
      <c r="AG59" s="32"/>
      <c r="AH59" s="32"/>
    </row>
    <row r="60" spans="1:34" ht="24" customHeight="1" x14ac:dyDescent="0.25">
      <c r="A60" s="10">
        <v>21</v>
      </c>
      <c r="B60" s="9">
        <v>0.37986111111111115</v>
      </c>
      <c r="C60" s="5" t="s">
        <v>20</v>
      </c>
      <c r="D60" s="5">
        <f t="shared" si="8"/>
        <v>7</v>
      </c>
      <c r="E60" s="15"/>
      <c r="F60" s="15" t="s">
        <v>22</v>
      </c>
      <c r="G60" s="19">
        <f t="shared" si="2"/>
        <v>6.98</v>
      </c>
      <c r="H60" s="19">
        <f t="shared" si="3"/>
        <v>15.28</v>
      </c>
      <c r="I60" s="32"/>
      <c r="J60" s="32"/>
      <c r="K60" s="32"/>
      <c r="L60" s="32"/>
      <c r="M60" s="32"/>
      <c r="N60" s="36">
        <f t="shared" si="4"/>
        <v>22.259999999999998</v>
      </c>
      <c r="O60" s="36">
        <f t="shared" si="9"/>
        <v>91.465540603464405</v>
      </c>
      <c r="P60" s="37">
        <v>8</v>
      </c>
      <c r="Q60" s="37">
        <v>10</v>
      </c>
      <c r="R60" s="37">
        <v>9</v>
      </c>
      <c r="S60" s="37">
        <v>9</v>
      </c>
      <c r="T60" s="37">
        <v>9</v>
      </c>
      <c r="U60" s="37">
        <v>9</v>
      </c>
      <c r="V60" s="37">
        <v>9</v>
      </c>
      <c r="W60" s="38" t="str">
        <f t="shared" si="5"/>
        <v>Y</v>
      </c>
      <c r="X60" s="64">
        <f t="shared" si="6"/>
        <v>0.52799999999999991</v>
      </c>
      <c r="Y60" s="64" t="str">
        <f t="shared" si="7"/>
        <v>Over 50%</v>
      </c>
      <c r="Z60" s="75" t="s">
        <v>117</v>
      </c>
      <c r="AB60" s="32">
        <v>6980</v>
      </c>
      <c r="AC60" s="32">
        <v>15280</v>
      </c>
      <c r="AD60" s="32"/>
      <c r="AE60" s="32"/>
      <c r="AF60" s="32"/>
      <c r="AG60" s="32"/>
      <c r="AH60" s="32"/>
    </row>
    <row r="61" spans="1:34" ht="24" customHeight="1" x14ac:dyDescent="0.25">
      <c r="A61" s="10">
        <v>22</v>
      </c>
      <c r="B61" s="9">
        <v>0.3888888888888889</v>
      </c>
      <c r="C61" s="5" t="s">
        <v>20</v>
      </c>
      <c r="D61" s="5">
        <f t="shared" si="8"/>
        <v>7</v>
      </c>
      <c r="E61" s="15"/>
      <c r="F61" s="15" t="s">
        <v>22</v>
      </c>
      <c r="G61" s="19">
        <f t="shared" si="2"/>
        <v>3.26</v>
      </c>
      <c r="H61" s="19">
        <f t="shared" si="3"/>
        <v>3.44</v>
      </c>
      <c r="I61" s="32"/>
      <c r="J61" s="32"/>
      <c r="K61" s="32"/>
      <c r="L61" s="32"/>
      <c r="M61" s="32"/>
      <c r="N61" s="36">
        <f t="shared" si="4"/>
        <v>6.6999999999999993</v>
      </c>
      <c r="O61" s="36">
        <f t="shared" si="9"/>
        <v>0.41184224987507018</v>
      </c>
      <c r="P61" s="37">
        <v>8</v>
      </c>
      <c r="Q61" s="37">
        <v>10</v>
      </c>
      <c r="R61" s="37">
        <v>9</v>
      </c>
      <c r="S61" s="37">
        <v>9</v>
      </c>
      <c r="T61" s="37">
        <v>9</v>
      </c>
      <c r="U61" s="37">
        <v>9</v>
      </c>
      <c r="V61" s="37">
        <v>9</v>
      </c>
      <c r="W61" s="38" t="str">
        <f t="shared" si="5"/>
        <v>N</v>
      </c>
      <c r="X61" s="64">
        <f t="shared" si="6"/>
        <v>0</v>
      </c>
      <c r="Y61" s="64" t="str">
        <f t="shared" si="7"/>
        <v>0-4.9%</v>
      </c>
      <c r="Z61" s="75" t="s">
        <v>108</v>
      </c>
      <c r="AB61" s="32">
        <v>3260</v>
      </c>
      <c r="AC61" s="32">
        <v>3440</v>
      </c>
      <c r="AD61" s="32"/>
      <c r="AE61" s="32"/>
      <c r="AF61" s="32"/>
      <c r="AG61" s="32"/>
      <c r="AH61" s="32"/>
    </row>
    <row r="62" spans="1:34" ht="24" customHeight="1" x14ac:dyDescent="0.25">
      <c r="A62" s="10">
        <v>23</v>
      </c>
      <c r="B62" s="9">
        <v>0.39513888888888887</v>
      </c>
      <c r="C62" s="5" t="s">
        <v>20</v>
      </c>
      <c r="D62" s="5">
        <f t="shared" si="8"/>
        <v>7</v>
      </c>
      <c r="E62" s="15"/>
      <c r="F62" s="15" t="s">
        <v>22</v>
      </c>
      <c r="G62" s="19">
        <f t="shared" si="2"/>
        <v>4.16</v>
      </c>
      <c r="H62" s="19">
        <f t="shared" si="3"/>
        <v>9.66</v>
      </c>
      <c r="I62" s="32"/>
      <c r="J62" s="32"/>
      <c r="K62" s="32"/>
      <c r="L62" s="32"/>
      <c r="M62" s="32"/>
      <c r="N62" s="36">
        <f t="shared" si="4"/>
        <v>13.82</v>
      </c>
      <c r="O62" s="36">
        <f t="shared" si="9"/>
        <v>10.707312530752214</v>
      </c>
      <c r="P62" s="37">
        <v>8</v>
      </c>
      <c r="Q62" s="37">
        <v>10</v>
      </c>
      <c r="R62" s="37">
        <v>9</v>
      </c>
      <c r="S62" s="37">
        <v>9</v>
      </c>
      <c r="T62" s="37">
        <v>9</v>
      </c>
      <c r="U62" s="37">
        <v>9</v>
      </c>
      <c r="V62" s="37">
        <v>9</v>
      </c>
      <c r="W62" s="38" t="str">
        <f t="shared" si="5"/>
        <v>N</v>
      </c>
      <c r="X62" s="64">
        <f t="shared" si="6"/>
        <v>0</v>
      </c>
      <c r="Y62" s="64" t="str">
        <f t="shared" si="7"/>
        <v>0-4.9%</v>
      </c>
      <c r="Z62" s="75" t="s">
        <v>117</v>
      </c>
      <c r="AB62" s="32">
        <v>4160</v>
      </c>
      <c r="AC62" s="32">
        <v>9660</v>
      </c>
      <c r="AD62" s="32"/>
      <c r="AE62" s="32"/>
      <c r="AF62" s="32"/>
      <c r="AG62" s="32"/>
      <c r="AH62" s="32"/>
    </row>
    <row r="63" spans="1:34" ht="24" customHeight="1" x14ac:dyDescent="0.25">
      <c r="A63" s="10">
        <v>24</v>
      </c>
      <c r="B63" s="9">
        <v>0.4069444444444445</v>
      </c>
      <c r="C63" s="5" t="s">
        <v>20</v>
      </c>
      <c r="D63" s="5">
        <f t="shared" si="8"/>
        <v>7</v>
      </c>
      <c r="E63" s="15"/>
      <c r="F63" s="15" t="s">
        <v>22</v>
      </c>
      <c r="G63" s="19">
        <f t="shared" si="2"/>
        <v>6.58</v>
      </c>
      <c r="H63" s="19">
        <f t="shared" si="3"/>
        <v>15.7</v>
      </c>
      <c r="I63" s="32"/>
      <c r="J63" s="32"/>
      <c r="K63" s="32"/>
      <c r="L63" s="32"/>
      <c r="M63" s="32"/>
      <c r="N63" s="36">
        <f t="shared" si="4"/>
        <v>22.28</v>
      </c>
      <c r="O63" s="36">
        <f t="shared" si="9"/>
        <v>91.835929264084783</v>
      </c>
      <c r="P63" s="37">
        <v>8</v>
      </c>
      <c r="Q63" s="37">
        <v>10</v>
      </c>
      <c r="R63" s="37">
        <v>9</v>
      </c>
      <c r="S63" s="37">
        <v>9</v>
      </c>
      <c r="T63" s="37">
        <v>9</v>
      </c>
      <c r="U63" s="37">
        <v>9</v>
      </c>
      <c r="V63" s="37">
        <v>9</v>
      </c>
      <c r="W63" s="38" t="str">
        <f t="shared" si="5"/>
        <v>Y</v>
      </c>
      <c r="X63" s="64">
        <f t="shared" si="6"/>
        <v>0.56999999999999995</v>
      </c>
      <c r="Y63" s="64" t="str">
        <f t="shared" si="7"/>
        <v>Over 50%</v>
      </c>
      <c r="Z63" s="75" t="s">
        <v>117</v>
      </c>
      <c r="AB63" s="32">
        <v>6580</v>
      </c>
      <c r="AC63" s="32">
        <v>15700</v>
      </c>
      <c r="AD63" s="32"/>
      <c r="AE63" s="32"/>
      <c r="AF63" s="32"/>
      <c r="AG63" s="32"/>
      <c r="AH63" s="32"/>
    </row>
    <row r="64" spans="1:34" ht="24" customHeight="1" x14ac:dyDescent="0.25">
      <c r="A64" s="10">
        <v>26</v>
      </c>
      <c r="B64" s="9">
        <v>0.41736111111111113</v>
      </c>
      <c r="C64" s="5" t="s">
        <v>20</v>
      </c>
      <c r="D64" s="5">
        <f t="shared" si="8"/>
        <v>7</v>
      </c>
      <c r="E64" s="15"/>
      <c r="F64" s="15" t="s">
        <v>22</v>
      </c>
      <c r="G64" s="19">
        <f t="shared" si="2"/>
        <v>4.96</v>
      </c>
      <c r="H64" s="19">
        <f t="shared" si="3"/>
        <v>12.6</v>
      </c>
      <c r="I64" s="32"/>
      <c r="J64" s="32"/>
      <c r="K64" s="32"/>
      <c r="L64" s="32"/>
      <c r="M64" s="32"/>
      <c r="N64" s="36">
        <f t="shared" si="4"/>
        <v>17.559999999999999</v>
      </c>
      <c r="O64" s="36">
        <f t="shared" si="9"/>
        <v>31.459700782505276</v>
      </c>
      <c r="P64" s="37">
        <v>8</v>
      </c>
      <c r="Q64" s="37">
        <v>10</v>
      </c>
      <c r="R64" s="37">
        <v>9</v>
      </c>
      <c r="S64" s="37">
        <v>9</v>
      </c>
      <c r="T64" s="37">
        <v>9</v>
      </c>
      <c r="U64" s="37">
        <v>9</v>
      </c>
      <c r="V64" s="37">
        <v>9</v>
      </c>
      <c r="W64" s="38" t="str">
        <f t="shared" si="5"/>
        <v>Y</v>
      </c>
      <c r="X64" s="64">
        <f t="shared" si="6"/>
        <v>0.25999999999999995</v>
      </c>
      <c r="Y64" s="64" t="str">
        <f t="shared" si="7"/>
        <v>25-50%</v>
      </c>
      <c r="Z64" s="75" t="s">
        <v>117</v>
      </c>
      <c r="AB64" s="32">
        <v>4960</v>
      </c>
      <c r="AC64" s="32">
        <v>12600</v>
      </c>
      <c r="AD64" s="32"/>
      <c r="AE64" s="32"/>
      <c r="AF64" s="32"/>
      <c r="AG64" s="32"/>
      <c r="AH64" s="32"/>
    </row>
    <row r="65" spans="1:34" ht="24" customHeight="1" x14ac:dyDescent="0.25">
      <c r="A65" s="10">
        <v>27</v>
      </c>
      <c r="B65" s="9">
        <v>0.42083333333333334</v>
      </c>
      <c r="C65" s="5" t="s">
        <v>20</v>
      </c>
      <c r="D65" s="5">
        <f t="shared" si="8"/>
        <v>7</v>
      </c>
      <c r="E65" s="15"/>
      <c r="F65" s="15" t="s">
        <v>22</v>
      </c>
      <c r="G65" s="19">
        <f t="shared" si="2"/>
        <v>5.74</v>
      </c>
      <c r="H65" s="19">
        <f t="shared" si="3"/>
        <v>11.76</v>
      </c>
      <c r="I65" s="32"/>
      <c r="J65" s="32"/>
      <c r="K65" s="32"/>
      <c r="L65" s="32"/>
      <c r="M65" s="32"/>
      <c r="N65" s="36">
        <f t="shared" si="4"/>
        <v>17.5</v>
      </c>
      <c r="O65" s="36">
        <f t="shared" si="9"/>
        <v>30.978865186265136</v>
      </c>
      <c r="P65" s="37">
        <v>8</v>
      </c>
      <c r="Q65" s="37">
        <v>10</v>
      </c>
      <c r="R65" s="37">
        <v>9</v>
      </c>
      <c r="S65" s="37">
        <v>9</v>
      </c>
      <c r="T65" s="37">
        <v>9</v>
      </c>
      <c r="U65" s="37">
        <v>9</v>
      </c>
      <c r="V65" s="37">
        <v>9</v>
      </c>
      <c r="W65" s="38" t="str">
        <f t="shared" si="5"/>
        <v>Y</v>
      </c>
      <c r="X65" s="64">
        <f t="shared" si="6"/>
        <v>0.17599999999999999</v>
      </c>
      <c r="Y65" s="64" t="str">
        <f t="shared" si="7"/>
        <v>5-25%</v>
      </c>
      <c r="Z65" s="75" t="s">
        <v>131</v>
      </c>
      <c r="AB65" s="32">
        <v>5740</v>
      </c>
      <c r="AC65" s="32">
        <v>11760</v>
      </c>
      <c r="AD65" s="32"/>
      <c r="AE65" s="32"/>
      <c r="AF65" s="32"/>
      <c r="AG65" s="32"/>
      <c r="AH65" s="32"/>
    </row>
    <row r="66" spans="1:34" ht="24" customHeight="1" x14ac:dyDescent="0.25">
      <c r="A66" s="10">
        <v>29</v>
      </c>
      <c r="B66" s="9">
        <v>0.4375</v>
      </c>
      <c r="C66" s="5" t="s">
        <v>20</v>
      </c>
      <c r="D66" s="5">
        <f t="shared" si="8"/>
        <v>7</v>
      </c>
      <c r="E66" s="15"/>
      <c r="F66" s="15" t="s">
        <v>22</v>
      </c>
      <c r="G66" s="19">
        <f t="shared" si="2"/>
        <v>6.36</v>
      </c>
      <c r="H66" s="19">
        <f t="shared" si="3"/>
        <v>13.28</v>
      </c>
      <c r="I66" s="32"/>
      <c r="J66" s="32"/>
      <c r="K66" s="32"/>
      <c r="L66" s="32"/>
      <c r="M66" s="32"/>
      <c r="N66" s="36">
        <f t="shared" si="4"/>
        <v>19.64</v>
      </c>
      <c r="O66" s="36">
        <f t="shared" si="9"/>
        <v>52.063212368215666</v>
      </c>
      <c r="P66" s="37">
        <v>8</v>
      </c>
      <c r="Q66" s="37">
        <v>10</v>
      </c>
      <c r="R66" s="37">
        <v>9</v>
      </c>
      <c r="S66" s="37">
        <v>9</v>
      </c>
      <c r="T66" s="37">
        <v>9</v>
      </c>
      <c r="U66" s="37">
        <v>9</v>
      </c>
      <c r="V66" s="37">
        <v>9</v>
      </c>
      <c r="W66" s="38" t="str">
        <f t="shared" si="5"/>
        <v>Y</v>
      </c>
      <c r="X66" s="64">
        <f t="shared" si="6"/>
        <v>0.32799999999999996</v>
      </c>
      <c r="Y66" s="64" t="str">
        <f t="shared" si="7"/>
        <v>25-50%</v>
      </c>
      <c r="Z66" s="75" t="s">
        <v>117</v>
      </c>
      <c r="AB66" s="32">
        <v>6360</v>
      </c>
      <c r="AC66" s="32">
        <v>13280</v>
      </c>
      <c r="AD66" s="32"/>
      <c r="AE66" s="32"/>
      <c r="AF66" s="32"/>
      <c r="AG66" s="32"/>
      <c r="AH66" s="32"/>
    </row>
    <row r="67" spans="1:34" ht="24" customHeight="1" x14ac:dyDescent="0.25">
      <c r="A67" s="10">
        <v>30</v>
      </c>
      <c r="B67" s="9">
        <v>0.44027777777777777</v>
      </c>
      <c r="C67" s="5" t="s">
        <v>20</v>
      </c>
      <c r="D67" s="5">
        <f t="shared" si="8"/>
        <v>7</v>
      </c>
      <c r="E67" s="15"/>
      <c r="F67" s="15" t="s">
        <v>22</v>
      </c>
      <c r="G67" s="19">
        <f t="shared" si="2"/>
        <v>3.3</v>
      </c>
      <c r="H67" s="19">
        <f t="shared" si="3"/>
        <v>5.3</v>
      </c>
      <c r="I67" s="32"/>
      <c r="J67" s="32"/>
      <c r="K67" s="32"/>
      <c r="L67" s="32"/>
      <c r="M67" s="32"/>
      <c r="N67" s="36">
        <f t="shared" si="4"/>
        <v>8.6</v>
      </c>
      <c r="O67" s="36">
        <f t="shared" si="9"/>
        <v>1.2665936786372298</v>
      </c>
      <c r="P67" s="37">
        <v>8</v>
      </c>
      <c r="Q67" s="37">
        <v>10</v>
      </c>
      <c r="R67" s="37">
        <v>9</v>
      </c>
      <c r="S67" s="37">
        <v>9</v>
      </c>
      <c r="T67" s="37">
        <v>9</v>
      </c>
      <c r="U67" s="37">
        <v>9</v>
      </c>
      <c r="V67" s="37">
        <v>9</v>
      </c>
      <c r="W67" s="38" t="str">
        <f t="shared" si="5"/>
        <v>N</v>
      </c>
      <c r="X67" s="64">
        <f t="shared" si="6"/>
        <v>0</v>
      </c>
      <c r="Y67" s="64" t="str">
        <f t="shared" si="7"/>
        <v>0-4.9%</v>
      </c>
      <c r="Z67" s="71" t="s">
        <v>121</v>
      </c>
      <c r="AB67" s="32">
        <v>3300</v>
      </c>
      <c r="AC67" s="32">
        <v>5300</v>
      </c>
      <c r="AD67" s="32"/>
      <c r="AE67" s="32"/>
      <c r="AF67" s="32"/>
      <c r="AG67" s="32"/>
      <c r="AH67" s="32"/>
    </row>
    <row r="68" spans="1:34" ht="24" customHeight="1" x14ac:dyDescent="0.25">
      <c r="A68" s="10">
        <v>31</v>
      </c>
      <c r="B68" s="9">
        <v>0.44166666666666665</v>
      </c>
      <c r="C68" s="5" t="s">
        <v>20</v>
      </c>
      <c r="D68" s="5">
        <f t="shared" si="8"/>
        <v>7</v>
      </c>
      <c r="E68" s="15"/>
      <c r="F68" s="15" t="s">
        <v>22</v>
      </c>
      <c r="G68" s="19">
        <f t="shared" si="2"/>
        <v>6.2</v>
      </c>
      <c r="H68" s="19">
        <f t="shared" si="3"/>
        <v>12.5</v>
      </c>
      <c r="I68" s="32"/>
      <c r="J68" s="32"/>
      <c r="K68" s="32"/>
      <c r="L68" s="32"/>
      <c r="M68" s="32"/>
      <c r="N68" s="36">
        <f t="shared" si="4"/>
        <v>18.7</v>
      </c>
      <c r="O68" s="36">
        <f t="shared" si="9"/>
        <v>41.752406776655548</v>
      </c>
      <c r="P68" s="37">
        <v>8</v>
      </c>
      <c r="Q68" s="37">
        <v>10</v>
      </c>
      <c r="R68" s="37">
        <v>9</v>
      </c>
      <c r="S68" s="37">
        <v>9</v>
      </c>
      <c r="T68" s="37">
        <v>9</v>
      </c>
      <c r="U68" s="37">
        <v>9</v>
      </c>
      <c r="V68" s="37">
        <v>9</v>
      </c>
      <c r="W68" s="38" t="str">
        <f t="shared" si="5"/>
        <v>Y</v>
      </c>
      <c r="X68" s="64">
        <f t="shared" si="6"/>
        <v>0.25</v>
      </c>
      <c r="Y68" s="64" t="str">
        <f t="shared" si="7"/>
        <v>25-50%</v>
      </c>
      <c r="Z68" s="75" t="s">
        <v>117</v>
      </c>
      <c r="AB68" s="32">
        <v>6200</v>
      </c>
      <c r="AC68" s="32">
        <v>12500</v>
      </c>
      <c r="AD68" s="32"/>
      <c r="AE68" s="32"/>
      <c r="AF68" s="32"/>
      <c r="AG68" s="32"/>
      <c r="AH68" s="32"/>
    </row>
    <row r="69" spans="1:34" ht="24" customHeight="1" x14ac:dyDescent="0.25">
      <c r="A69" s="10">
        <v>34</v>
      </c>
      <c r="B69" s="9">
        <v>0.44791666666666669</v>
      </c>
      <c r="C69" s="5" t="s">
        <v>20</v>
      </c>
      <c r="D69" s="5">
        <f t="shared" si="8"/>
        <v>7</v>
      </c>
      <c r="E69" s="15"/>
      <c r="F69" s="15" t="s">
        <v>22</v>
      </c>
      <c r="G69" s="19">
        <f t="shared" si="2"/>
        <v>3.86</v>
      </c>
      <c r="H69" s="19">
        <f t="shared" si="3"/>
        <v>4.78</v>
      </c>
      <c r="I69" s="32"/>
      <c r="J69" s="32"/>
      <c r="K69" s="32"/>
      <c r="L69" s="32"/>
      <c r="M69" s="32"/>
      <c r="N69" s="36">
        <f t="shared" si="4"/>
        <v>8.64</v>
      </c>
      <c r="O69" s="36">
        <f t="shared" si="9"/>
        <v>1.293320396589122</v>
      </c>
      <c r="P69" s="37">
        <v>8</v>
      </c>
      <c r="Q69" s="37">
        <v>10</v>
      </c>
      <c r="R69" s="37">
        <v>9</v>
      </c>
      <c r="S69" s="37">
        <v>9</v>
      </c>
      <c r="T69" s="37">
        <v>9</v>
      </c>
      <c r="U69" s="37">
        <v>9</v>
      </c>
      <c r="V69" s="37">
        <v>9</v>
      </c>
      <c r="W69" s="38" t="str">
        <f t="shared" si="5"/>
        <v>N</v>
      </c>
      <c r="X69" s="64">
        <f t="shared" si="6"/>
        <v>0</v>
      </c>
      <c r="Y69" s="64" t="str">
        <f t="shared" si="7"/>
        <v>0-4.9%</v>
      </c>
      <c r="Z69" s="75" t="s">
        <v>108</v>
      </c>
      <c r="AB69" s="32">
        <v>3860</v>
      </c>
      <c r="AC69" s="32">
        <v>4780</v>
      </c>
      <c r="AD69" s="32"/>
      <c r="AE69" s="32"/>
      <c r="AF69" s="32"/>
      <c r="AG69" s="32"/>
      <c r="AH69" s="32"/>
    </row>
    <row r="70" spans="1:34" ht="24" customHeight="1" x14ac:dyDescent="0.25">
      <c r="A70" s="10">
        <v>36</v>
      </c>
      <c r="B70" s="9">
        <v>0.4513888888888889</v>
      </c>
      <c r="C70" s="5" t="s">
        <v>20</v>
      </c>
      <c r="D70" s="5">
        <f t="shared" si="8"/>
        <v>7</v>
      </c>
      <c r="E70" s="15"/>
      <c r="F70" s="15" t="s">
        <v>22</v>
      </c>
      <c r="G70" s="19">
        <f t="shared" si="2"/>
        <v>4.26</v>
      </c>
      <c r="H70" s="19">
        <f t="shared" si="3"/>
        <v>13.36</v>
      </c>
      <c r="I70" s="32"/>
      <c r="J70" s="32"/>
      <c r="K70" s="32"/>
      <c r="L70" s="32"/>
      <c r="M70" s="32"/>
      <c r="N70" s="36">
        <f t="shared" si="4"/>
        <v>17.619999999999997</v>
      </c>
      <c r="O70" s="36">
        <f t="shared" si="9"/>
        <v>31.946321203512397</v>
      </c>
      <c r="P70" s="37">
        <v>8</v>
      </c>
      <c r="Q70" s="37">
        <v>10</v>
      </c>
      <c r="R70" s="37">
        <v>9</v>
      </c>
      <c r="S70" s="37">
        <v>9</v>
      </c>
      <c r="T70" s="37">
        <v>9</v>
      </c>
      <c r="U70" s="37">
        <v>9</v>
      </c>
      <c r="V70" s="37">
        <v>9</v>
      </c>
      <c r="W70" s="38" t="str">
        <f t="shared" si="5"/>
        <v>Y</v>
      </c>
      <c r="X70" s="64">
        <f t="shared" si="6"/>
        <v>0.33599999999999997</v>
      </c>
      <c r="Y70" s="64" t="str">
        <f t="shared" si="7"/>
        <v>25-50%</v>
      </c>
      <c r="Z70" s="71" t="s">
        <v>121</v>
      </c>
      <c r="AB70" s="32">
        <v>4260</v>
      </c>
      <c r="AC70" s="32">
        <v>13360</v>
      </c>
      <c r="AD70" s="32"/>
      <c r="AE70" s="32"/>
      <c r="AF70" s="32"/>
      <c r="AG70" s="32"/>
      <c r="AH70" s="32"/>
    </row>
    <row r="71" spans="1:34" ht="24" customHeight="1" x14ac:dyDescent="0.25">
      <c r="A71" s="10">
        <v>37</v>
      </c>
      <c r="B71" s="9">
        <v>0.4548611111111111</v>
      </c>
      <c r="C71" s="5" t="s">
        <v>20</v>
      </c>
      <c r="D71" s="5">
        <f t="shared" ref="D71:D102" si="10">IF(COUNT(G71:M71)&gt;3,10,IF(COUNT(G71:M71)&gt;2,9,7))</f>
        <v>7</v>
      </c>
      <c r="E71" s="15"/>
      <c r="F71" s="15" t="s">
        <v>22</v>
      </c>
      <c r="G71" s="19">
        <f t="shared" si="2"/>
        <v>4.58</v>
      </c>
      <c r="H71" s="19">
        <f t="shared" si="3"/>
        <v>5.34</v>
      </c>
      <c r="I71" s="32"/>
      <c r="J71" s="32"/>
      <c r="K71" s="32"/>
      <c r="L71" s="32"/>
      <c r="M71" s="32"/>
      <c r="N71" s="36">
        <f t="shared" si="4"/>
        <v>9.92</v>
      </c>
      <c r="O71" s="36">
        <f t="shared" ref="O71:O102" si="11">(N71/8.16)^4.5</f>
        <v>2.4082236124384062</v>
      </c>
      <c r="P71" s="37">
        <v>8</v>
      </c>
      <c r="Q71" s="37">
        <v>10</v>
      </c>
      <c r="R71" s="37">
        <v>9</v>
      </c>
      <c r="S71" s="37">
        <v>9</v>
      </c>
      <c r="T71" s="37">
        <v>9</v>
      </c>
      <c r="U71" s="37">
        <v>9</v>
      </c>
      <c r="V71" s="37">
        <v>9</v>
      </c>
      <c r="W71" s="38" t="str">
        <f t="shared" si="5"/>
        <v>N</v>
      </c>
      <c r="X71" s="64">
        <f t="shared" si="6"/>
        <v>0</v>
      </c>
      <c r="Y71" s="64" t="str">
        <f t="shared" si="7"/>
        <v>0-4.9%</v>
      </c>
      <c r="Z71" s="75" t="s">
        <v>108</v>
      </c>
      <c r="AB71" s="32">
        <v>4580</v>
      </c>
      <c r="AC71" s="32">
        <v>5340</v>
      </c>
      <c r="AD71" s="32"/>
      <c r="AE71" s="32"/>
      <c r="AF71" s="32"/>
      <c r="AG71" s="32"/>
      <c r="AH71" s="32"/>
    </row>
    <row r="72" spans="1:34" ht="24" customHeight="1" x14ac:dyDescent="0.25">
      <c r="A72" s="10">
        <v>39</v>
      </c>
      <c r="B72" s="9">
        <v>0.45902777777777781</v>
      </c>
      <c r="C72" s="5" t="s">
        <v>20</v>
      </c>
      <c r="D72" s="5">
        <f t="shared" si="10"/>
        <v>7</v>
      </c>
      <c r="E72" s="15"/>
      <c r="F72" s="15" t="s">
        <v>22</v>
      </c>
      <c r="G72" s="19">
        <f t="shared" ref="G72:G116" si="12">AB72/1000</f>
        <v>5.92</v>
      </c>
      <c r="H72" s="19">
        <f t="shared" ref="H72:H116" si="13">AC72/1000</f>
        <v>13.92</v>
      </c>
      <c r="I72" s="32"/>
      <c r="J72" s="32"/>
      <c r="K72" s="32"/>
      <c r="L72" s="32"/>
      <c r="M72" s="32"/>
      <c r="N72" s="36">
        <f t="shared" ref="N72:N135" si="14">SUM(G72:M72)</f>
        <v>19.84</v>
      </c>
      <c r="O72" s="36">
        <f t="shared" si="11"/>
        <v>54.491879903000353</v>
      </c>
      <c r="P72" s="37">
        <v>8</v>
      </c>
      <c r="Q72" s="37">
        <v>10</v>
      </c>
      <c r="R72" s="37">
        <v>9</v>
      </c>
      <c r="S72" s="37">
        <v>9</v>
      </c>
      <c r="T72" s="37">
        <v>9</v>
      </c>
      <c r="U72" s="37">
        <v>9</v>
      </c>
      <c r="V72" s="37">
        <v>9</v>
      </c>
      <c r="W72" s="38" t="str">
        <f t="shared" ref="W72:W135" si="15">IF(G72&gt;P72,"Y",IF(H72&gt;Q72,"Y",IF(I72&gt;R72,"Y",IF(J72&gt;S72,"Y",IF(K72&gt;T72,"Y",IF(L72&gt;U72,"Y",IF(M72&gt;V72,"Y","N")))))))</f>
        <v>Y</v>
      </c>
      <c r="X72" s="64">
        <f t="shared" ref="X72:X135" si="16">IF(W72="Y",MAX((G72-P72),(H72-Q72),(I72-R72),(J72-S72),(K72-T72),(L72-U72),(M72-V72))/10,0)</f>
        <v>0.39200000000000002</v>
      </c>
      <c r="Y72" s="64" t="str">
        <f t="shared" ref="Y72:Y135" si="17">IF(X72&lt;5%,"0-4.9%",IF(X72&lt;25%,"5-25%",IF(X72&lt;50%,"25-50%","Over 50%")))</f>
        <v>25-50%</v>
      </c>
      <c r="Z72" s="71" t="s">
        <v>121</v>
      </c>
      <c r="AB72" s="32">
        <v>5920</v>
      </c>
      <c r="AC72" s="32">
        <v>13920</v>
      </c>
      <c r="AD72" s="32"/>
      <c r="AE72" s="32"/>
      <c r="AF72" s="32"/>
      <c r="AG72" s="32"/>
      <c r="AH72" s="32"/>
    </row>
    <row r="73" spans="1:34" ht="24" customHeight="1" x14ac:dyDescent="0.25">
      <c r="A73" s="10">
        <v>40</v>
      </c>
      <c r="B73" s="9">
        <v>0.46111111111111108</v>
      </c>
      <c r="C73" s="5" t="s">
        <v>20</v>
      </c>
      <c r="D73" s="5">
        <f t="shared" si="10"/>
        <v>7</v>
      </c>
      <c r="E73" s="15"/>
      <c r="F73" s="15" t="s">
        <v>22</v>
      </c>
      <c r="G73" s="19">
        <f t="shared" si="12"/>
        <v>3.82</v>
      </c>
      <c r="H73" s="19">
        <f t="shared" si="13"/>
        <v>5.84</v>
      </c>
      <c r="I73" s="32"/>
      <c r="J73" s="32"/>
      <c r="K73" s="32"/>
      <c r="L73" s="32"/>
      <c r="M73" s="32"/>
      <c r="N73" s="36">
        <f t="shared" si="14"/>
        <v>9.66</v>
      </c>
      <c r="O73" s="36">
        <f t="shared" si="11"/>
        <v>2.1369352077423991</v>
      </c>
      <c r="P73" s="37">
        <v>8</v>
      </c>
      <c r="Q73" s="37">
        <v>10</v>
      </c>
      <c r="R73" s="37">
        <v>9</v>
      </c>
      <c r="S73" s="37">
        <v>9</v>
      </c>
      <c r="T73" s="37">
        <v>9</v>
      </c>
      <c r="U73" s="37">
        <v>9</v>
      </c>
      <c r="V73" s="37">
        <v>9</v>
      </c>
      <c r="W73" s="38" t="str">
        <f t="shared" si="15"/>
        <v>N</v>
      </c>
      <c r="X73" s="64">
        <f t="shared" si="16"/>
        <v>0</v>
      </c>
      <c r="Y73" s="64" t="str">
        <f t="shared" si="17"/>
        <v>0-4.9%</v>
      </c>
      <c r="Z73" s="75" t="s">
        <v>108</v>
      </c>
      <c r="AB73" s="32">
        <v>3820</v>
      </c>
      <c r="AC73" s="32">
        <v>5840</v>
      </c>
      <c r="AD73" s="32"/>
      <c r="AE73" s="32"/>
      <c r="AF73" s="32"/>
      <c r="AG73" s="32"/>
      <c r="AH73" s="32"/>
    </row>
    <row r="74" spans="1:34" ht="24" customHeight="1" x14ac:dyDescent="0.25">
      <c r="A74" s="10">
        <v>44</v>
      </c>
      <c r="B74" s="9">
        <v>0.4680555555555555</v>
      </c>
      <c r="C74" s="5" t="s">
        <v>20</v>
      </c>
      <c r="D74" s="5">
        <f t="shared" si="10"/>
        <v>7</v>
      </c>
      <c r="E74" s="15"/>
      <c r="F74" s="15" t="s">
        <v>22</v>
      </c>
      <c r="G74" s="19">
        <f t="shared" si="12"/>
        <v>9.42</v>
      </c>
      <c r="H74" s="19">
        <f t="shared" si="13"/>
        <v>16.12</v>
      </c>
      <c r="I74" s="32"/>
      <c r="J74" s="32"/>
      <c r="K74" s="32"/>
      <c r="L74" s="32"/>
      <c r="M74" s="32"/>
      <c r="N74" s="36">
        <f t="shared" si="14"/>
        <v>25.54</v>
      </c>
      <c r="O74" s="36">
        <f t="shared" si="11"/>
        <v>169.78069372553259</v>
      </c>
      <c r="P74" s="37">
        <v>8</v>
      </c>
      <c r="Q74" s="37">
        <v>10</v>
      </c>
      <c r="R74" s="37">
        <v>9</v>
      </c>
      <c r="S74" s="37">
        <v>9</v>
      </c>
      <c r="T74" s="37">
        <v>9</v>
      </c>
      <c r="U74" s="37">
        <v>9</v>
      </c>
      <c r="V74" s="37">
        <v>9</v>
      </c>
      <c r="W74" s="38" t="str">
        <f t="shared" si="15"/>
        <v>Y</v>
      </c>
      <c r="X74" s="64">
        <f t="shared" si="16"/>
        <v>0.6120000000000001</v>
      </c>
      <c r="Y74" s="64" t="str">
        <f t="shared" si="17"/>
        <v>Over 50%</v>
      </c>
      <c r="Z74" s="75" t="s">
        <v>34</v>
      </c>
      <c r="AB74" s="32">
        <v>9420</v>
      </c>
      <c r="AC74" s="32">
        <v>16120</v>
      </c>
      <c r="AD74" s="32"/>
      <c r="AE74" s="32"/>
      <c r="AF74" s="32"/>
      <c r="AG74" s="32"/>
      <c r="AH74" s="32"/>
    </row>
    <row r="75" spans="1:34" ht="24" customHeight="1" x14ac:dyDescent="0.25">
      <c r="A75" s="10">
        <v>46</v>
      </c>
      <c r="B75" s="9">
        <v>0.47361111111111115</v>
      </c>
      <c r="C75" s="5" t="s">
        <v>20</v>
      </c>
      <c r="D75" s="5">
        <f t="shared" si="10"/>
        <v>7</v>
      </c>
      <c r="E75" s="15"/>
      <c r="F75" s="15" t="s">
        <v>22</v>
      </c>
      <c r="G75" s="19">
        <f t="shared" si="12"/>
        <v>3.9</v>
      </c>
      <c r="H75" s="19">
        <f t="shared" si="13"/>
        <v>10.38</v>
      </c>
      <c r="I75" s="32"/>
      <c r="J75" s="32"/>
      <c r="K75" s="32"/>
      <c r="L75" s="32"/>
      <c r="M75" s="32"/>
      <c r="N75" s="36">
        <f t="shared" si="14"/>
        <v>14.280000000000001</v>
      </c>
      <c r="O75" s="36">
        <f t="shared" si="11"/>
        <v>12.40712675364469</v>
      </c>
      <c r="P75" s="37">
        <v>8</v>
      </c>
      <c r="Q75" s="37">
        <v>10</v>
      </c>
      <c r="R75" s="37">
        <v>9</v>
      </c>
      <c r="S75" s="37">
        <v>9</v>
      </c>
      <c r="T75" s="37">
        <v>9</v>
      </c>
      <c r="U75" s="37">
        <v>9</v>
      </c>
      <c r="V75" s="37">
        <v>9</v>
      </c>
      <c r="W75" s="38" t="str">
        <f t="shared" si="15"/>
        <v>Y</v>
      </c>
      <c r="X75" s="64">
        <f t="shared" si="16"/>
        <v>3.8000000000000075E-2</v>
      </c>
      <c r="Y75" s="64" t="str">
        <f t="shared" si="17"/>
        <v>0-4.9%</v>
      </c>
      <c r="Z75" s="71" t="s">
        <v>121</v>
      </c>
      <c r="AB75" s="32">
        <v>3900</v>
      </c>
      <c r="AC75" s="32">
        <v>10380</v>
      </c>
      <c r="AD75" s="32"/>
      <c r="AE75" s="32"/>
      <c r="AF75" s="32"/>
      <c r="AG75" s="32"/>
      <c r="AH75" s="32"/>
    </row>
    <row r="76" spans="1:34" ht="24" customHeight="1" x14ac:dyDescent="0.25">
      <c r="A76" s="10">
        <v>47</v>
      </c>
      <c r="B76" s="9">
        <v>0.47500000000000003</v>
      </c>
      <c r="C76" s="5" t="s">
        <v>20</v>
      </c>
      <c r="D76" s="5">
        <f t="shared" si="10"/>
        <v>7</v>
      </c>
      <c r="E76" s="15"/>
      <c r="F76" s="15" t="s">
        <v>22</v>
      </c>
      <c r="G76" s="19">
        <f t="shared" si="12"/>
        <v>6.54</v>
      </c>
      <c r="H76" s="19">
        <f t="shared" si="13"/>
        <v>3.9</v>
      </c>
      <c r="I76" s="32"/>
      <c r="J76" s="32"/>
      <c r="K76" s="32"/>
      <c r="L76" s="32"/>
      <c r="M76" s="32"/>
      <c r="N76" s="36">
        <f t="shared" si="14"/>
        <v>10.44</v>
      </c>
      <c r="O76" s="36">
        <f t="shared" si="11"/>
        <v>3.0307249873495006</v>
      </c>
      <c r="P76" s="37">
        <v>8</v>
      </c>
      <c r="Q76" s="37">
        <v>10</v>
      </c>
      <c r="R76" s="37">
        <v>9</v>
      </c>
      <c r="S76" s="37">
        <v>9</v>
      </c>
      <c r="T76" s="37">
        <v>9</v>
      </c>
      <c r="U76" s="37">
        <v>9</v>
      </c>
      <c r="V76" s="37">
        <v>9</v>
      </c>
      <c r="W76" s="38" t="str">
        <f t="shared" si="15"/>
        <v>N</v>
      </c>
      <c r="X76" s="64">
        <f t="shared" si="16"/>
        <v>0</v>
      </c>
      <c r="Y76" s="64" t="str">
        <f t="shared" si="17"/>
        <v>0-4.9%</v>
      </c>
      <c r="Z76" s="75" t="s">
        <v>108</v>
      </c>
      <c r="AB76" s="32">
        <v>6540</v>
      </c>
      <c r="AC76" s="32">
        <v>3900</v>
      </c>
      <c r="AD76" s="32"/>
      <c r="AE76" s="32"/>
      <c r="AF76" s="32"/>
      <c r="AG76" s="32"/>
      <c r="AH76" s="32"/>
    </row>
    <row r="77" spans="1:34" ht="24" customHeight="1" x14ac:dyDescent="0.25">
      <c r="A77" s="10">
        <v>48</v>
      </c>
      <c r="B77" s="9">
        <v>0.47638888888888892</v>
      </c>
      <c r="C77" s="5" t="s">
        <v>20</v>
      </c>
      <c r="D77" s="5">
        <f t="shared" si="10"/>
        <v>7</v>
      </c>
      <c r="E77" s="15"/>
      <c r="F77" s="15" t="s">
        <v>22</v>
      </c>
      <c r="G77" s="19">
        <f t="shared" si="12"/>
        <v>4.58</v>
      </c>
      <c r="H77" s="19">
        <f t="shared" si="13"/>
        <v>5.36</v>
      </c>
      <c r="I77" s="32"/>
      <c r="J77" s="32"/>
      <c r="K77" s="32"/>
      <c r="L77" s="32"/>
      <c r="M77" s="32"/>
      <c r="N77" s="36">
        <f t="shared" si="14"/>
        <v>9.9400000000000013</v>
      </c>
      <c r="O77" s="36">
        <f t="shared" si="11"/>
        <v>2.4301496324974403</v>
      </c>
      <c r="P77" s="37">
        <v>8</v>
      </c>
      <c r="Q77" s="37">
        <v>10</v>
      </c>
      <c r="R77" s="37">
        <v>9</v>
      </c>
      <c r="S77" s="37">
        <v>9</v>
      </c>
      <c r="T77" s="37">
        <v>9</v>
      </c>
      <c r="U77" s="37">
        <v>9</v>
      </c>
      <c r="V77" s="37">
        <v>9</v>
      </c>
      <c r="W77" s="38" t="str">
        <f t="shared" si="15"/>
        <v>N</v>
      </c>
      <c r="X77" s="64">
        <f t="shared" si="16"/>
        <v>0</v>
      </c>
      <c r="Y77" s="64" t="str">
        <f t="shared" si="17"/>
        <v>0-4.9%</v>
      </c>
      <c r="Z77" s="75" t="s">
        <v>108</v>
      </c>
      <c r="AB77" s="32">
        <v>4580</v>
      </c>
      <c r="AC77" s="32">
        <v>5360</v>
      </c>
      <c r="AD77" s="32"/>
      <c r="AE77" s="32"/>
      <c r="AF77" s="32"/>
      <c r="AG77" s="32"/>
      <c r="AH77" s="32"/>
    </row>
    <row r="78" spans="1:34" ht="24" customHeight="1" x14ac:dyDescent="0.25">
      <c r="A78" s="10">
        <v>49</v>
      </c>
      <c r="B78" s="9">
        <v>0.47847222222222219</v>
      </c>
      <c r="C78" s="5" t="s">
        <v>20</v>
      </c>
      <c r="D78" s="5">
        <f t="shared" si="10"/>
        <v>7</v>
      </c>
      <c r="E78" s="15"/>
      <c r="F78" s="15" t="s">
        <v>22</v>
      </c>
      <c r="G78" s="19">
        <f t="shared" si="12"/>
        <v>6.56</v>
      </c>
      <c r="H78" s="19">
        <f t="shared" si="13"/>
        <v>10.56</v>
      </c>
      <c r="I78" s="32"/>
      <c r="J78" s="32"/>
      <c r="K78" s="32"/>
      <c r="L78" s="32"/>
      <c r="M78" s="32"/>
      <c r="N78" s="36">
        <f t="shared" si="14"/>
        <v>17.12</v>
      </c>
      <c r="O78" s="36">
        <f t="shared" si="11"/>
        <v>28.064751890357929</v>
      </c>
      <c r="P78" s="37">
        <v>8</v>
      </c>
      <c r="Q78" s="37">
        <v>10</v>
      </c>
      <c r="R78" s="37">
        <v>9</v>
      </c>
      <c r="S78" s="37">
        <v>9</v>
      </c>
      <c r="T78" s="37">
        <v>9</v>
      </c>
      <c r="U78" s="37">
        <v>9</v>
      </c>
      <c r="V78" s="37">
        <v>9</v>
      </c>
      <c r="W78" s="38" t="str">
        <f t="shared" si="15"/>
        <v>Y</v>
      </c>
      <c r="X78" s="64">
        <f t="shared" si="16"/>
        <v>5.600000000000005E-2</v>
      </c>
      <c r="Y78" s="64" t="str">
        <f t="shared" si="17"/>
        <v>5-25%</v>
      </c>
      <c r="Z78" s="75" t="s">
        <v>117</v>
      </c>
      <c r="AB78" s="32">
        <v>6560</v>
      </c>
      <c r="AC78" s="32">
        <v>10560</v>
      </c>
      <c r="AD78" s="32"/>
      <c r="AE78" s="32"/>
      <c r="AF78" s="32"/>
      <c r="AG78" s="32"/>
      <c r="AH78" s="32"/>
    </row>
    <row r="79" spans="1:34" ht="24" customHeight="1" x14ac:dyDescent="0.25">
      <c r="A79" s="10">
        <v>50</v>
      </c>
      <c r="B79" s="9">
        <v>0.47847222222222219</v>
      </c>
      <c r="C79" s="5" t="s">
        <v>20</v>
      </c>
      <c r="D79" s="5">
        <f t="shared" si="10"/>
        <v>7</v>
      </c>
      <c r="E79" s="15"/>
      <c r="F79" s="15" t="s">
        <v>22</v>
      </c>
      <c r="G79" s="19">
        <f t="shared" si="12"/>
        <v>6.96</v>
      </c>
      <c r="H79" s="19">
        <f t="shared" si="13"/>
        <v>13.58</v>
      </c>
      <c r="I79" s="32"/>
      <c r="J79" s="32"/>
      <c r="K79" s="32"/>
      <c r="L79" s="32"/>
      <c r="M79" s="32"/>
      <c r="N79" s="36">
        <f t="shared" si="14"/>
        <v>20.54</v>
      </c>
      <c r="O79" s="36">
        <f t="shared" si="11"/>
        <v>63.693668361538414</v>
      </c>
      <c r="P79" s="37">
        <v>8</v>
      </c>
      <c r="Q79" s="37">
        <v>10</v>
      </c>
      <c r="R79" s="37">
        <v>9</v>
      </c>
      <c r="S79" s="37">
        <v>9</v>
      </c>
      <c r="T79" s="37">
        <v>9</v>
      </c>
      <c r="U79" s="37">
        <v>9</v>
      </c>
      <c r="V79" s="37">
        <v>9</v>
      </c>
      <c r="W79" s="38" t="str">
        <f t="shared" si="15"/>
        <v>Y</v>
      </c>
      <c r="X79" s="64">
        <f t="shared" si="16"/>
        <v>0.35799999999999998</v>
      </c>
      <c r="Y79" s="64" t="str">
        <f t="shared" si="17"/>
        <v>25-50%</v>
      </c>
      <c r="Z79" s="75" t="s">
        <v>117</v>
      </c>
      <c r="AB79" s="32">
        <v>6960</v>
      </c>
      <c r="AC79" s="32">
        <v>13580</v>
      </c>
      <c r="AD79" s="32"/>
      <c r="AE79" s="32"/>
      <c r="AF79" s="32"/>
      <c r="AG79" s="32"/>
      <c r="AH79" s="32"/>
    </row>
    <row r="80" spans="1:34" ht="24" customHeight="1" x14ac:dyDescent="0.25">
      <c r="A80" s="10">
        <v>51</v>
      </c>
      <c r="B80" s="9">
        <v>0.47986111111111113</v>
      </c>
      <c r="C80" s="5" t="s">
        <v>20</v>
      </c>
      <c r="D80" s="5">
        <f t="shared" si="10"/>
        <v>7</v>
      </c>
      <c r="E80" s="15"/>
      <c r="F80" s="15" t="s">
        <v>22</v>
      </c>
      <c r="G80" s="19">
        <f t="shared" si="12"/>
        <v>5.18</v>
      </c>
      <c r="H80" s="19">
        <f t="shared" si="13"/>
        <v>12.58</v>
      </c>
      <c r="I80" s="32"/>
      <c r="J80" s="32"/>
      <c r="K80" s="32"/>
      <c r="L80" s="32"/>
      <c r="M80" s="32"/>
      <c r="N80" s="36">
        <f t="shared" si="14"/>
        <v>17.759999999999998</v>
      </c>
      <c r="O80" s="36">
        <f t="shared" si="11"/>
        <v>33.104544156201229</v>
      </c>
      <c r="P80" s="37">
        <v>8</v>
      </c>
      <c r="Q80" s="37">
        <v>10</v>
      </c>
      <c r="R80" s="37">
        <v>9</v>
      </c>
      <c r="S80" s="37">
        <v>9</v>
      </c>
      <c r="T80" s="37">
        <v>9</v>
      </c>
      <c r="U80" s="37">
        <v>9</v>
      </c>
      <c r="V80" s="37">
        <v>9</v>
      </c>
      <c r="W80" s="38" t="str">
        <f t="shared" si="15"/>
        <v>Y</v>
      </c>
      <c r="X80" s="64">
        <f t="shared" si="16"/>
        <v>0.25800000000000001</v>
      </c>
      <c r="Y80" s="64" t="str">
        <f t="shared" si="17"/>
        <v>25-50%</v>
      </c>
      <c r="Z80" s="71" t="s">
        <v>121</v>
      </c>
      <c r="AB80" s="32">
        <v>5180</v>
      </c>
      <c r="AC80" s="32">
        <v>12580</v>
      </c>
      <c r="AD80" s="32"/>
      <c r="AE80" s="32"/>
      <c r="AF80" s="32"/>
      <c r="AG80" s="32"/>
      <c r="AH80" s="32"/>
    </row>
    <row r="81" spans="1:34" ht="24" customHeight="1" x14ac:dyDescent="0.25">
      <c r="A81" s="10">
        <v>52</v>
      </c>
      <c r="B81" s="9">
        <v>0.48194444444444445</v>
      </c>
      <c r="C81" s="5" t="s">
        <v>20</v>
      </c>
      <c r="D81" s="5">
        <f t="shared" si="10"/>
        <v>7</v>
      </c>
      <c r="E81" s="15"/>
      <c r="F81" s="15" t="s">
        <v>22</v>
      </c>
      <c r="G81" s="19">
        <f t="shared" si="12"/>
        <v>3.16</v>
      </c>
      <c r="H81" s="19">
        <f t="shared" si="13"/>
        <v>4.62</v>
      </c>
      <c r="I81" s="32"/>
      <c r="J81" s="32"/>
      <c r="K81" s="32"/>
      <c r="L81" s="32"/>
      <c r="M81" s="32"/>
      <c r="N81" s="36">
        <f t="shared" si="14"/>
        <v>7.78</v>
      </c>
      <c r="O81" s="36">
        <f t="shared" si="11"/>
        <v>0.80686796314915654</v>
      </c>
      <c r="P81" s="37">
        <v>8</v>
      </c>
      <c r="Q81" s="37">
        <v>10</v>
      </c>
      <c r="R81" s="37">
        <v>9</v>
      </c>
      <c r="S81" s="37">
        <v>9</v>
      </c>
      <c r="T81" s="37">
        <v>9</v>
      </c>
      <c r="U81" s="37">
        <v>9</v>
      </c>
      <c r="V81" s="37">
        <v>9</v>
      </c>
      <c r="W81" s="38" t="str">
        <f t="shared" si="15"/>
        <v>N</v>
      </c>
      <c r="X81" s="64">
        <f t="shared" si="16"/>
        <v>0</v>
      </c>
      <c r="Y81" s="64" t="str">
        <f t="shared" si="17"/>
        <v>0-4.9%</v>
      </c>
      <c r="Z81" s="75" t="s">
        <v>108</v>
      </c>
      <c r="AB81" s="32">
        <v>3160</v>
      </c>
      <c r="AC81" s="32">
        <v>4620</v>
      </c>
      <c r="AD81" s="32"/>
      <c r="AE81" s="32"/>
      <c r="AF81" s="32"/>
      <c r="AG81" s="32"/>
      <c r="AH81" s="32"/>
    </row>
    <row r="82" spans="1:34" ht="24" customHeight="1" x14ac:dyDescent="0.25">
      <c r="A82" s="10">
        <v>53</v>
      </c>
      <c r="B82" s="9">
        <v>0.48402777777777778</v>
      </c>
      <c r="C82" s="5" t="s">
        <v>20</v>
      </c>
      <c r="D82" s="5">
        <f t="shared" si="10"/>
        <v>7</v>
      </c>
      <c r="E82" s="15"/>
      <c r="F82" s="15" t="s">
        <v>22</v>
      </c>
      <c r="G82" s="19">
        <f t="shared" si="12"/>
        <v>2.92</v>
      </c>
      <c r="H82" s="19">
        <f t="shared" si="13"/>
        <v>5.0999999999999996</v>
      </c>
      <c r="I82" s="32"/>
      <c r="J82" s="32"/>
      <c r="K82" s="32"/>
      <c r="L82" s="32"/>
      <c r="M82" s="32"/>
      <c r="N82" s="36">
        <f t="shared" si="14"/>
        <v>8.02</v>
      </c>
      <c r="O82" s="36">
        <f t="shared" si="11"/>
        <v>0.92507925696105553</v>
      </c>
      <c r="P82" s="37">
        <v>8</v>
      </c>
      <c r="Q82" s="37">
        <v>10</v>
      </c>
      <c r="R82" s="37">
        <v>9</v>
      </c>
      <c r="S82" s="37">
        <v>9</v>
      </c>
      <c r="T82" s="37">
        <v>9</v>
      </c>
      <c r="U82" s="37">
        <v>9</v>
      </c>
      <c r="V82" s="37">
        <v>9</v>
      </c>
      <c r="W82" s="38" t="str">
        <f t="shared" si="15"/>
        <v>N</v>
      </c>
      <c r="X82" s="64">
        <f t="shared" si="16"/>
        <v>0</v>
      </c>
      <c r="Y82" s="64" t="str">
        <f t="shared" si="17"/>
        <v>0-4.9%</v>
      </c>
      <c r="Z82" s="75" t="s">
        <v>34</v>
      </c>
      <c r="AB82" s="32">
        <v>2920</v>
      </c>
      <c r="AC82" s="32">
        <v>5100</v>
      </c>
      <c r="AD82" s="32"/>
      <c r="AE82" s="32"/>
      <c r="AF82" s="32"/>
      <c r="AG82" s="32"/>
      <c r="AH82" s="32"/>
    </row>
    <row r="83" spans="1:34" ht="24" customHeight="1" x14ac:dyDescent="0.25">
      <c r="A83" s="10">
        <v>55</v>
      </c>
      <c r="B83" s="9">
        <v>0.48541666666666666</v>
      </c>
      <c r="C83" s="5" t="s">
        <v>20</v>
      </c>
      <c r="D83" s="5">
        <f t="shared" si="10"/>
        <v>7</v>
      </c>
      <c r="E83" s="15"/>
      <c r="F83" s="15" t="s">
        <v>22</v>
      </c>
      <c r="G83" s="19">
        <f t="shared" si="12"/>
        <v>6.54</v>
      </c>
      <c r="H83" s="19">
        <f t="shared" si="13"/>
        <v>10.66</v>
      </c>
      <c r="I83" s="32"/>
      <c r="J83" s="32"/>
      <c r="K83" s="32"/>
      <c r="L83" s="32"/>
      <c r="M83" s="32"/>
      <c r="N83" s="36">
        <f t="shared" si="14"/>
        <v>17.2</v>
      </c>
      <c r="O83" s="36">
        <f t="shared" si="11"/>
        <v>28.659743333516801</v>
      </c>
      <c r="P83" s="37">
        <v>8</v>
      </c>
      <c r="Q83" s="37">
        <v>10</v>
      </c>
      <c r="R83" s="37">
        <v>9</v>
      </c>
      <c r="S83" s="37">
        <v>9</v>
      </c>
      <c r="T83" s="37">
        <v>9</v>
      </c>
      <c r="U83" s="37">
        <v>9</v>
      </c>
      <c r="V83" s="37">
        <v>9</v>
      </c>
      <c r="W83" s="38" t="str">
        <f t="shared" si="15"/>
        <v>Y</v>
      </c>
      <c r="X83" s="64">
        <f t="shared" si="16"/>
        <v>6.6000000000000017E-2</v>
      </c>
      <c r="Y83" s="64" t="str">
        <f t="shared" si="17"/>
        <v>5-25%</v>
      </c>
      <c r="Z83" s="75" t="s">
        <v>34</v>
      </c>
      <c r="AB83" s="32">
        <v>6540</v>
      </c>
      <c r="AC83" s="32">
        <v>10660</v>
      </c>
      <c r="AD83" s="32"/>
      <c r="AE83" s="32"/>
      <c r="AF83" s="32"/>
      <c r="AG83" s="32"/>
      <c r="AH83" s="32"/>
    </row>
    <row r="84" spans="1:34" ht="24" customHeight="1" x14ac:dyDescent="0.25">
      <c r="A84" s="10">
        <v>57</v>
      </c>
      <c r="B84" s="9">
        <v>0.48958333333333331</v>
      </c>
      <c r="C84" s="5" t="s">
        <v>20</v>
      </c>
      <c r="D84" s="5">
        <f t="shared" si="10"/>
        <v>7</v>
      </c>
      <c r="E84" s="15"/>
      <c r="F84" s="15" t="s">
        <v>22</v>
      </c>
      <c r="G84" s="19">
        <f t="shared" si="12"/>
        <v>6.78</v>
      </c>
      <c r="H84" s="19">
        <f t="shared" si="13"/>
        <v>11.14</v>
      </c>
      <c r="I84" s="32"/>
      <c r="J84" s="32"/>
      <c r="K84" s="32"/>
      <c r="L84" s="32"/>
      <c r="M84" s="32"/>
      <c r="N84" s="36">
        <f t="shared" si="14"/>
        <v>17.920000000000002</v>
      </c>
      <c r="O84" s="36">
        <f t="shared" si="11"/>
        <v>34.467938515724143</v>
      </c>
      <c r="P84" s="37">
        <v>8</v>
      </c>
      <c r="Q84" s="37">
        <v>10</v>
      </c>
      <c r="R84" s="37">
        <v>9</v>
      </c>
      <c r="S84" s="37">
        <v>9</v>
      </c>
      <c r="T84" s="37">
        <v>9</v>
      </c>
      <c r="U84" s="37">
        <v>9</v>
      </c>
      <c r="V84" s="37">
        <v>9</v>
      </c>
      <c r="W84" s="38" t="str">
        <f t="shared" si="15"/>
        <v>Y</v>
      </c>
      <c r="X84" s="64">
        <f t="shared" si="16"/>
        <v>0.11400000000000006</v>
      </c>
      <c r="Y84" s="64" t="str">
        <f t="shared" si="17"/>
        <v>5-25%</v>
      </c>
      <c r="Z84" s="75" t="s">
        <v>34</v>
      </c>
      <c r="AB84" s="32">
        <v>6780</v>
      </c>
      <c r="AC84" s="32">
        <v>11140</v>
      </c>
      <c r="AD84" s="32"/>
      <c r="AE84" s="32"/>
      <c r="AF84" s="32"/>
      <c r="AG84" s="32"/>
      <c r="AH84" s="32"/>
    </row>
    <row r="85" spans="1:34" ht="24" customHeight="1" x14ac:dyDescent="0.25">
      <c r="A85" s="10">
        <v>59</v>
      </c>
      <c r="B85" s="9">
        <v>0.49305555555555558</v>
      </c>
      <c r="C85" s="5" t="s">
        <v>20</v>
      </c>
      <c r="D85" s="5">
        <f t="shared" si="10"/>
        <v>7</v>
      </c>
      <c r="E85" s="15"/>
      <c r="F85" s="15" t="s">
        <v>22</v>
      </c>
      <c r="G85" s="19">
        <f t="shared" si="12"/>
        <v>9.14</v>
      </c>
      <c r="H85" s="19">
        <f t="shared" si="13"/>
        <v>10.52</v>
      </c>
      <c r="I85" s="32"/>
      <c r="J85" s="32"/>
      <c r="K85" s="32"/>
      <c r="L85" s="32"/>
      <c r="M85" s="32"/>
      <c r="N85" s="36">
        <f t="shared" si="14"/>
        <v>19.66</v>
      </c>
      <c r="O85" s="36">
        <f t="shared" si="11"/>
        <v>52.302216770587641</v>
      </c>
      <c r="P85" s="37">
        <v>8</v>
      </c>
      <c r="Q85" s="37">
        <v>10</v>
      </c>
      <c r="R85" s="37">
        <v>9</v>
      </c>
      <c r="S85" s="37">
        <v>9</v>
      </c>
      <c r="T85" s="37">
        <v>9</v>
      </c>
      <c r="U85" s="37">
        <v>9</v>
      </c>
      <c r="V85" s="37">
        <v>9</v>
      </c>
      <c r="W85" s="38" t="str">
        <f t="shared" si="15"/>
        <v>Y</v>
      </c>
      <c r="X85" s="64">
        <f t="shared" si="16"/>
        <v>0.11400000000000006</v>
      </c>
      <c r="Y85" s="64" t="str">
        <f t="shared" si="17"/>
        <v>5-25%</v>
      </c>
      <c r="Z85" s="75" t="s">
        <v>34</v>
      </c>
      <c r="AB85" s="32">
        <v>9140</v>
      </c>
      <c r="AC85" s="32">
        <v>10520</v>
      </c>
      <c r="AD85" s="32"/>
      <c r="AE85" s="32"/>
      <c r="AF85" s="32"/>
      <c r="AG85" s="32"/>
      <c r="AH85" s="32"/>
    </row>
    <row r="86" spans="1:34" ht="24" customHeight="1" x14ac:dyDescent="0.25">
      <c r="A86" s="10">
        <v>1</v>
      </c>
      <c r="B86" s="9">
        <v>0.49444444444444446</v>
      </c>
      <c r="C86" s="5" t="s">
        <v>20</v>
      </c>
      <c r="D86" s="5">
        <f t="shared" si="10"/>
        <v>7</v>
      </c>
      <c r="E86" s="15"/>
      <c r="F86" s="15" t="s">
        <v>22</v>
      </c>
      <c r="G86" s="19">
        <f t="shared" si="12"/>
        <v>4.22</v>
      </c>
      <c r="H86" s="19">
        <f t="shared" si="13"/>
        <v>10.56</v>
      </c>
      <c r="I86" s="32"/>
      <c r="J86" s="32"/>
      <c r="K86" s="32"/>
      <c r="L86" s="32"/>
      <c r="M86" s="32"/>
      <c r="N86" s="36">
        <f t="shared" si="14"/>
        <v>14.780000000000001</v>
      </c>
      <c r="O86" s="36">
        <f t="shared" si="11"/>
        <v>14.485358192794882</v>
      </c>
      <c r="P86" s="37">
        <v>8</v>
      </c>
      <c r="Q86" s="37">
        <v>10</v>
      </c>
      <c r="R86" s="37">
        <v>9</v>
      </c>
      <c r="S86" s="37">
        <v>9</v>
      </c>
      <c r="T86" s="37">
        <v>9</v>
      </c>
      <c r="U86" s="37">
        <v>9</v>
      </c>
      <c r="V86" s="37">
        <v>9</v>
      </c>
      <c r="W86" s="38" t="str">
        <f t="shared" si="15"/>
        <v>Y</v>
      </c>
      <c r="X86" s="64">
        <f t="shared" si="16"/>
        <v>5.600000000000005E-2</v>
      </c>
      <c r="Y86" s="64" t="str">
        <f t="shared" si="17"/>
        <v>5-25%</v>
      </c>
      <c r="Z86" s="75" t="s">
        <v>117</v>
      </c>
      <c r="AB86" s="32">
        <v>4220</v>
      </c>
      <c r="AC86" s="32">
        <v>10560</v>
      </c>
      <c r="AD86" s="32"/>
      <c r="AE86" s="32"/>
      <c r="AF86" s="32"/>
      <c r="AG86" s="32"/>
      <c r="AH86" s="32"/>
    </row>
    <row r="87" spans="1:34" ht="24" customHeight="1" x14ac:dyDescent="0.25">
      <c r="A87" s="10">
        <v>2</v>
      </c>
      <c r="B87" s="9">
        <v>0.50138888888888888</v>
      </c>
      <c r="C87" s="5" t="s">
        <v>20</v>
      </c>
      <c r="D87" s="5">
        <f t="shared" si="10"/>
        <v>7</v>
      </c>
      <c r="E87" s="15"/>
      <c r="F87" s="15" t="s">
        <v>22</v>
      </c>
      <c r="G87" s="19">
        <f t="shared" si="12"/>
        <v>7.86</v>
      </c>
      <c r="H87" s="19">
        <f t="shared" si="13"/>
        <v>12.38</v>
      </c>
      <c r="I87" s="32"/>
      <c r="J87" s="32"/>
      <c r="K87" s="32"/>
      <c r="L87" s="32"/>
      <c r="M87" s="32"/>
      <c r="N87" s="36">
        <f t="shared" si="14"/>
        <v>20.240000000000002</v>
      </c>
      <c r="O87" s="36">
        <f t="shared" si="11"/>
        <v>59.613081574653862</v>
      </c>
      <c r="P87" s="37">
        <v>8</v>
      </c>
      <c r="Q87" s="37">
        <v>10</v>
      </c>
      <c r="R87" s="37">
        <v>9</v>
      </c>
      <c r="S87" s="37">
        <v>9</v>
      </c>
      <c r="T87" s="37">
        <v>9</v>
      </c>
      <c r="U87" s="37">
        <v>9</v>
      </c>
      <c r="V87" s="37">
        <v>9</v>
      </c>
      <c r="W87" s="38" t="str">
        <f t="shared" si="15"/>
        <v>Y</v>
      </c>
      <c r="X87" s="64">
        <f t="shared" si="16"/>
        <v>0.23800000000000007</v>
      </c>
      <c r="Y87" s="64" t="str">
        <f t="shared" si="17"/>
        <v>5-25%</v>
      </c>
      <c r="Z87" s="75" t="s">
        <v>117</v>
      </c>
      <c r="AB87" s="32">
        <v>7860</v>
      </c>
      <c r="AC87" s="32">
        <v>12380</v>
      </c>
      <c r="AD87" s="32"/>
      <c r="AE87" s="32"/>
      <c r="AF87" s="32"/>
      <c r="AG87" s="32"/>
      <c r="AH87" s="32"/>
    </row>
    <row r="88" spans="1:34" ht="24" customHeight="1" x14ac:dyDescent="0.25">
      <c r="A88" s="10">
        <v>4</v>
      </c>
      <c r="B88" s="9">
        <v>0.50347222222222221</v>
      </c>
      <c r="C88" s="5" t="s">
        <v>20</v>
      </c>
      <c r="D88" s="5">
        <f t="shared" si="10"/>
        <v>7</v>
      </c>
      <c r="E88" s="15"/>
      <c r="F88" s="15" t="s">
        <v>22</v>
      </c>
      <c r="G88" s="19">
        <f t="shared" si="12"/>
        <v>7.86</v>
      </c>
      <c r="H88" s="19">
        <f t="shared" si="13"/>
        <v>12.32</v>
      </c>
      <c r="I88" s="32"/>
      <c r="J88" s="32"/>
      <c r="K88" s="32"/>
      <c r="L88" s="32"/>
      <c r="M88" s="32"/>
      <c r="N88" s="36">
        <f t="shared" si="14"/>
        <v>20.18</v>
      </c>
      <c r="O88" s="36">
        <f t="shared" si="11"/>
        <v>58.821963070654014</v>
      </c>
      <c r="P88" s="37">
        <v>8</v>
      </c>
      <c r="Q88" s="37">
        <v>10</v>
      </c>
      <c r="R88" s="37">
        <v>9</v>
      </c>
      <c r="S88" s="37">
        <v>9</v>
      </c>
      <c r="T88" s="37">
        <v>9</v>
      </c>
      <c r="U88" s="37">
        <v>9</v>
      </c>
      <c r="V88" s="37">
        <v>9</v>
      </c>
      <c r="W88" s="38" t="str">
        <f t="shared" si="15"/>
        <v>Y</v>
      </c>
      <c r="X88" s="64">
        <f t="shared" si="16"/>
        <v>0.23200000000000004</v>
      </c>
      <c r="Y88" s="64" t="str">
        <f t="shared" si="17"/>
        <v>5-25%</v>
      </c>
      <c r="Z88" s="75" t="s">
        <v>117</v>
      </c>
      <c r="AB88" s="32">
        <v>7860</v>
      </c>
      <c r="AC88" s="32">
        <v>12320</v>
      </c>
      <c r="AD88" s="32"/>
      <c r="AE88" s="32"/>
      <c r="AF88" s="32"/>
      <c r="AG88" s="32"/>
      <c r="AH88" s="32"/>
    </row>
    <row r="89" spans="1:34" ht="24" customHeight="1" x14ac:dyDescent="0.25">
      <c r="A89" s="10">
        <v>5</v>
      </c>
      <c r="B89" s="9">
        <v>0.50416666666666665</v>
      </c>
      <c r="C89" s="5" t="s">
        <v>20</v>
      </c>
      <c r="D89" s="5">
        <f t="shared" si="10"/>
        <v>7</v>
      </c>
      <c r="E89" s="15"/>
      <c r="F89" s="15" t="s">
        <v>22</v>
      </c>
      <c r="G89" s="19">
        <f t="shared" si="12"/>
        <v>7.06</v>
      </c>
      <c r="H89" s="19">
        <f t="shared" si="13"/>
        <v>15.66</v>
      </c>
      <c r="I89" s="32"/>
      <c r="J89" s="32"/>
      <c r="K89" s="32"/>
      <c r="L89" s="32"/>
      <c r="M89" s="32"/>
      <c r="N89" s="36">
        <f t="shared" si="14"/>
        <v>22.72</v>
      </c>
      <c r="O89" s="36">
        <f t="shared" si="11"/>
        <v>100.28402518521742</v>
      </c>
      <c r="P89" s="37">
        <v>8</v>
      </c>
      <c r="Q89" s="37">
        <v>10</v>
      </c>
      <c r="R89" s="37">
        <v>9</v>
      </c>
      <c r="S89" s="37">
        <v>9</v>
      </c>
      <c r="T89" s="37">
        <v>9</v>
      </c>
      <c r="U89" s="37">
        <v>9</v>
      </c>
      <c r="V89" s="37">
        <v>9</v>
      </c>
      <c r="W89" s="38" t="str">
        <f t="shared" si="15"/>
        <v>Y</v>
      </c>
      <c r="X89" s="64">
        <f t="shared" si="16"/>
        <v>0.56600000000000006</v>
      </c>
      <c r="Y89" s="64" t="str">
        <f t="shared" si="17"/>
        <v>Over 50%</v>
      </c>
      <c r="Z89" s="75" t="s">
        <v>117</v>
      </c>
      <c r="AB89" s="32">
        <v>7060</v>
      </c>
      <c r="AC89" s="32">
        <v>15660</v>
      </c>
      <c r="AD89" s="32"/>
      <c r="AE89" s="32"/>
      <c r="AF89" s="32"/>
      <c r="AG89" s="32"/>
      <c r="AH89" s="32"/>
    </row>
    <row r="90" spans="1:34" ht="24" customHeight="1" x14ac:dyDescent="0.25">
      <c r="A90" s="10">
        <v>6</v>
      </c>
      <c r="B90" s="9">
        <v>0.50486111111111109</v>
      </c>
      <c r="C90" s="5" t="s">
        <v>20</v>
      </c>
      <c r="D90" s="5">
        <f t="shared" si="10"/>
        <v>7</v>
      </c>
      <c r="E90" s="15"/>
      <c r="F90" s="15" t="s">
        <v>22</v>
      </c>
      <c r="G90" s="19">
        <f t="shared" si="12"/>
        <v>4.5</v>
      </c>
      <c r="H90" s="19">
        <f t="shared" si="13"/>
        <v>10.1</v>
      </c>
      <c r="I90" s="32"/>
      <c r="J90" s="32"/>
      <c r="K90" s="32"/>
      <c r="L90" s="32"/>
      <c r="M90" s="32"/>
      <c r="N90" s="36">
        <f t="shared" si="14"/>
        <v>14.6</v>
      </c>
      <c r="O90" s="36">
        <f t="shared" si="11"/>
        <v>13.708253803363327</v>
      </c>
      <c r="P90" s="37">
        <v>8</v>
      </c>
      <c r="Q90" s="37">
        <v>10</v>
      </c>
      <c r="R90" s="37">
        <v>9</v>
      </c>
      <c r="S90" s="37">
        <v>9</v>
      </c>
      <c r="T90" s="37">
        <v>9</v>
      </c>
      <c r="U90" s="37">
        <v>9</v>
      </c>
      <c r="V90" s="37">
        <v>9</v>
      </c>
      <c r="W90" s="38" t="str">
        <f t="shared" si="15"/>
        <v>Y</v>
      </c>
      <c r="X90" s="64">
        <f t="shared" si="16"/>
        <v>9.9999999999999638E-3</v>
      </c>
      <c r="Y90" s="64" t="str">
        <f t="shared" si="17"/>
        <v>0-4.9%</v>
      </c>
      <c r="Z90" s="75" t="s">
        <v>34</v>
      </c>
      <c r="AB90" s="32">
        <v>4500</v>
      </c>
      <c r="AC90" s="32">
        <v>10100</v>
      </c>
      <c r="AD90" s="32"/>
      <c r="AE90" s="32"/>
      <c r="AF90" s="32"/>
      <c r="AG90" s="32"/>
      <c r="AH90" s="32"/>
    </row>
    <row r="91" spans="1:34" ht="24" customHeight="1" x14ac:dyDescent="0.25">
      <c r="A91" s="10">
        <v>7</v>
      </c>
      <c r="B91" s="9">
        <v>0.50763888888888886</v>
      </c>
      <c r="C91" s="5" t="s">
        <v>20</v>
      </c>
      <c r="D91" s="5">
        <f t="shared" si="10"/>
        <v>7</v>
      </c>
      <c r="E91" s="15"/>
      <c r="F91" s="15" t="s">
        <v>22</v>
      </c>
      <c r="G91" s="19">
        <f t="shared" si="12"/>
        <v>4.22</v>
      </c>
      <c r="H91" s="19">
        <f t="shared" si="13"/>
        <v>8.06</v>
      </c>
      <c r="I91" s="32"/>
      <c r="J91" s="32"/>
      <c r="K91" s="32"/>
      <c r="L91" s="32"/>
      <c r="M91" s="32"/>
      <c r="N91" s="36">
        <f t="shared" si="14"/>
        <v>12.280000000000001</v>
      </c>
      <c r="O91" s="36">
        <f t="shared" si="11"/>
        <v>6.2919742446780447</v>
      </c>
      <c r="P91" s="37">
        <v>8</v>
      </c>
      <c r="Q91" s="37">
        <v>10</v>
      </c>
      <c r="R91" s="37">
        <v>9</v>
      </c>
      <c r="S91" s="37">
        <v>9</v>
      </c>
      <c r="T91" s="37">
        <v>9</v>
      </c>
      <c r="U91" s="37">
        <v>9</v>
      </c>
      <c r="V91" s="37">
        <v>9</v>
      </c>
      <c r="W91" s="38" t="str">
        <f t="shared" si="15"/>
        <v>N</v>
      </c>
      <c r="X91" s="64">
        <f t="shared" si="16"/>
        <v>0</v>
      </c>
      <c r="Y91" s="64" t="str">
        <f t="shared" si="17"/>
        <v>0-4.9%</v>
      </c>
      <c r="Z91" s="75" t="s">
        <v>34</v>
      </c>
      <c r="AB91" s="32">
        <v>4220</v>
      </c>
      <c r="AC91" s="32">
        <v>8060</v>
      </c>
      <c r="AD91" s="32"/>
      <c r="AE91" s="32"/>
      <c r="AF91" s="32"/>
      <c r="AG91" s="32"/>
      <c r="AH91" s="32"/>
    </row>
    <row r="92" spans="1:34" ht="24" customHeight="1" x14ac:dyDescent="0.25">
      <c r="A92" s="10">
        <v>15</v>
      </c>
      <c r="B92" s="9">
        <v>0.51736111111111105</v>
      </c>
      <c r="C92" s="5" t="s">
        <v>20</v>
      </c>
      <c r="D92" s="5">
        <f t="shared" si="10"/>
        <v>7</v>
      </c>
      <c r="E92" s="15"/>
      <c r="F92" s="15" t="s">
        <v>22</v>
      </c>
      <c r="G92" s="19">
        <f t="shared" si="12"/>
        <v>6.5</v>
      </c>
      <c r="H92" s="19">
        <f t="shared" si="13"/>
        <v>18.46</v>
      </c>
      <c r="I92" s="32"/>
      <c r="J92" s="32"/>
      <c r="K92" s="32"/>
      <c r="L92" s="32"/>
      <c r="M92" s="32"/>
      <c r="N92" s="36">
        <f t="shared" si="14"/>
        <v>24.96</v>
      </c>
      <c r="O92" s="36">
        <f t="shared" si="11"/>
        <v>153.10694824900537</v>
      </c>
      <c r="P92" s="37">
        <v>8</v>
      </c>
      <c r="Q92" s="37">
        <v>10</v>
      </c>
      <c r="R92" s="37">
        <v>9</v>
      </c>
      <c r="S92" s="37">
        <v>9</v>
      </c>
      <c r="T92" s="37">
        <v>9</v>
      </c>
      <c r="U92" s="37">
        <v>9</v>
      </c>
      <c r="V92" s="37">
        <v>9</v>
      </c>
      <c r="W92" s="38" t="str">
        <f t="shared" si="15"/>
        <v>Y</v>
      </c>
      <c r="X92" s="64">
        <f t="shared" si="16"/>
        <v>0.84600000000000009</v>
      </c>
      <c r="Y92" s="64" t="str">
        <f t="shared" si="17"/>
        <v>Over 50%</v>
      </c>
      <c r="Z92" s="75" t="s">
        <v>34</v>
      </c>
      <c r="AB92" s="32">
        <v>6500</v>
      </c>
      <c r="AC92" s="32">
        <v>18460</v>
      </c>
      <c r="AD92" s="32"/>
      <c r="AE92" s="32"/>
      <c r="AF92" s="32"/>
      <c r="AG92" s="32"/>
      <c r="AH92" s="32"/>
    </row>
    <row r="93" spans="1:34" ht="24" customHeight="1" x14ac:dyDescent="0.25">
      <c r="A93" s="10">
        <v>16</v>
      </c>
      <c r="B93" s="9">
        <v>0.51736111111111105</v>
      </c>
      <c r="C93" s="5" t="s">
        <v>20</v>
      </c>
      <c r="D93" s="5">
        <f t="shared" si="10"/>
        <v>7</v>
      </c>
      <c r="E93" s="15"/>
      <c r="F93" s="15" t="s">
        <v>22</v>
      </c>
      <c r="G93" s="19">
        <f t="shared" si="12"/>
        <v>7.36</v>
      </c>
      <c r="H93" s="19">
        <f t="shared" si="13"/>
        <v>18.78</v>
      </c>
      <c r="I93" s="32"/>
      <c r="J93" s="32"/>
      <c r="K93" s="32"/>
      <c r="L93" s="32"/>
      <c r="M93" s="32"/>
      <c r="N93" s="36">
        <f t="shared" si="14"/>
        <v>26.14</v>
      </c>
      <c r="O93" s="36">
        <f t="shared" si="11"/>
        <v>188.48179547413</v>
      </c>
      <c r="P93" s="37">
        <v>8</v>
      </c>
      <c r="Q93" s="37">
        <v>10</v>
      </c>
      <c r="R93" s="37">
        <v>9</v>
      </c>
      <c r="S93" s="37">
        <v>9</v>
      </c>
      <c r="T93" s="37">
        <v>9</v>
      </c>
      <c r="U93" s="37">
        <v>9</v>
      </c>
      <c r="V93" s="37">
        <v>9</v>
      </c>
      <c r="W93" s="38" t="str">
        <f t="shared" si="15"/>
        <v>Y</v>
      </c>
      <c r="X93" s="64">
        <f t="shared" si="16"/>
        <v>0.87800000000000011</v>
      </c>
      <c r="Y93" s="64" t="str">
        <f t="shared" si="17"/>
        <v>Over 50%</v>
      </c>
      <c r="Z93" s="75" t="s">
        <v>34</v>
      </c>
      <c r="AB93" s="32">
        <v>7360</v>
      </c>
      <c r="AC93" s="32">
        <v>18780</v>
      </c>
      <c r="AD93" s="32"/>
      <c r="AE93" s="32"/>
      <c r="AF93" s="32"/>
      <c r="AG93" s="32"/>
      <c r="AH93" s="32"/>
    </row>
    <row r="94" spans="1:34" ht="24" customHeight="1" x14ac:dyDescent="0.25">
      <c r="A94" s="10">
        <v>17</v>
      </c>
      <c r="B94" s="9">
        <v>0.5180555555555556</v>
      </c>
      <c r="C94" s="5" t="s">
        <v>20</v>
      </c>
      <c r="D94" s="5">
        <f t="shared" si="10"/>
        <v>7</v>
      </c>
      <c r="E94" s="15"/>
      <c r="F94" s="15" t="s">
        <v>22</v>
      </c>
      <c r="G94" s="19">
        <f t="shared" si="12"/>
        <v>8.42</v>
      </c>
      <c r="H94" s="19">
        <f t="shared" si="13"/>
        <v>20.76</v>
      </c>
      <c r="I94" s="32"/>
      <c r="J94" s="32"/>
      <c r="K94" s="32"/>
      <c r="L94" s="32"/>
      <c r="M94" s="32"/>
      <c r="N94" s="36">
        <f t="shared" si="14"/>
        <v>29.18</v>
      </c>
      <c r="O94" s="36">
        <f t="shared" si="11"/>
        <v>309.2274788418718</v>
      </c>
      <c r="P94" s="37">
        <v>8</v>
      </c>
      <c r="Q94" s="37">
        <v>10</v>
      </c>
      <c r="R94" s="37">
        <v>9</v>
      </c>
      <c r="S94" s="37">
        <v>9</v>
      </c>
      <c r="T94" s="37">
        <v>9</v>
      </c>
      <c r="U94" s="37">
        <v>9</v>
      </c>
      <c r="V94" s="37">
        <v>9</v>
      </c>
      <c r="W94" s="38" t="str">
        <f t="shared" si="15"/>
        <v>Y</v>
      </c>
      <c r="X94" s="64">
        <f t="shared" si="16"/>
        <v>1.0760000000000001</v>
      </c>
      <c r="Y94" s="64" t="str">
        <f t="shared" si="17"/>
        <v>Over 50%</v>
      </c>
      <c r="Z94" s="75" t="s">
        <v>117</v>
      </c>
      <c r="AB94" s="32">
        <v>8420</v>
      </c>
      <c r="AC94" s="32">
        <v>20760</v>
      </c>
      <c r="AD94" s="32"/>
      <c r="AE94" s="32"/>
      <c r="AF94" s="32"/>
      <c r="AG94" s="32"/>
      <c r="AH94" s="32"/>
    </row>
    <row r="95" spans="1:34" ht="24" customHeight="1" x14ac:dyDescent="0.25">
      <c r="A95" s="10">
        <v>18</v>
      </c>
      <c r="B95" s="9">
        <v>0.51874999999999993</v>
      </c>
      <c r="C95" s="5" t="s">
        <v>20</v>
      </c>
      <c r="D95" s="5">
        <f t="shared" si="10"/>
        <v>7</v>
      </c>
      <c r="E95" s="15"/>
      <c r="F95" s="15" t="s">
        <v>22</v>
      </c>
      <c r="G95" s="19">
        <f t="shared" si="12"/>
        <v>8.3800000000000008</v>
      </c>
      <c r="H95" s="19">
        <f t="shared" si="13"/>
        <v>15.62</v>
      </c>
      <c r="I95" s="32"/>
      <c r="J95" s="32"/>
      <c r="K95" s="32"/>
      <c r="L95" s="32"/>
      <c r="M95" s="32"/>
      <c r="N95" s="36">
        <f t="shared" si="14"/>
        <v>24</v>
      </c>
      <c r="O95" s="36">
        <f t="shared" si="11"/>
        <v>128.33492859767952</v>
      </c>
      <c r="P95" s="37">
        <v>8</v>
      </c>
      <c r="Q95" s="37">
        <v>10</v>
      </c>
      <c r="R95" s="37">
        <v>9</v>
      </c>
      <c r="S95" s="37">
        <v>9</v>
      </c>
      <c r="T95" s="37">
        <v>9</v>
      </c>
      <c r="U95" s="37">
        <v>9</v>
      </c>
      <c r="V95" s="37">
        <v>9</v>
      </c>
      <c r="W95" s="38" t="str">
        <f t="shared" si="15"/>
        <v>Y</v>
      </c>
      <c r="X95" s="64">
        <f t="shared" si="16"/>
        <v>0.56199999999999994</v>
      </c>
      <c r="Y95" s="64" t="str">
        <f t="shared" si="17"/>
        <v>Over 50%</v>
      </c>
      <c r="Z95" s="75" t="s">
        <v>34</v>
      </c>
      <c r="AB95" s="32">
        <v>8380</v>
      </c>
      <c r="AC95" s="32">
        <v>15620</v>
      </c>
      <c r="AD95" s="32"/>
      <c r="AE95" s="32"/>
      <c r="AF95" s="32"/>
      <c r="AG95" s="32"/>
      <c r="AH95" s="32"/>
    </row>
    <row r="96" spans="1:34" ht="24" customHeight="1" x14ac:dyDescent="0.25">
      <c r="A96" s="10">
        <v>20</v>
      </c>
      <c r="B96" s="9">
        <v>0.51944444444444449</v>
      </c>
      <c r="C96" s="5" t="s">
        <v>20</v>
      </c>
      <c r="D96" s="5">
        <f t="shared" si="10"/>
        <v>7</v>
      </c>
      <c r="E96" s="15"/>
      <c r="F96" s="15" t="s">
        <v>22</v>
      </c>
      <c r="G96" s="19">
        <f t="shared" si="12"/>
        <v>3.22</v>
      </c>
      <c r="H96" s="19">
        <f t="shared" si="13"/>
        <v>18.48</v>
      </c>
      <c r="I96" s="32"/>
      <c r="J96" s="32"/>
      <c r="K96" s="32"/>
      <c r="L96" s="32"/>
      <c r="M96" s="32"/>
      <c r="N96" s="36">
        <f t="shared" si="14"/>
        <v>21.7</v>
      </c>
      <c r="O96" s="36">
        <f t="shared" si="11"/>
        <v>81.557346599528074</v>
      </c>
      <c r="P96" s="37">
        <v>8</v>
      </c>
      <c r="Q96" s="37">
        <v>10</v>
      </c>
      <c r="R96" s="37">
        <v>9</v>
      </c>
      <c r="S96" s="37">
        <v>9</v>
      </c>
      <c r="T96" s="37">
        <v>9</v>
      </c>
      <c r="U96" s="37">
        <v>9</v>
      </c>
      <c r="V96" s="37">
        <v>9</v>
      </c>
      <c r="W96" s="38" t="str">
        <f t="shared" si="15"/>
        <v>Y</v>
      </c>
      <c r="X96" s="64">
        <f t="shared" si="16"/>
        <v>0.84800000000000009</v>
      </c>
      <c r="Y96" s="64" t="str">
        <f t="shared" si="17"/>
        <v>Over 50%</v>
      </c>
      <c r="Z96" s="75" t="s">
        <v>34</v>
      </c>
      <c r="AB96" s="32">
        <v>3220</v>
      </c>
      <c r="AC96" s="32">
        <v>18480</v>
      </c>
      <c r="AD96" s="32"/>
      <c r="AE96" s="32"/>
      <c r="AF96" s="32"/>
      <c r="AG96" s="32"/>
      <c r="AH96" s="32"/>
    </row>
    <row r="97" spans="1:34" ht="24" customHeight="1" x14ac:dyDescent="0.25">
      <c r="A97" s="10">
        <v>24</v>
      </c>
      <c r="B97" s="9">
        <v>0.53472222222222221</v>
      </c>
      <c r="C97" s="5" t="s">
        <v>20</v>
      </c>
      <c r="D97" s="5">
        <f t="shared" si="10"/>
        <v>7</v>
      </c>
      <c r="E97" s="15"/>
      <c r="F97" s="15" t="s">
        <v>22</v>
      </c>
      <c r="G97" s="19">
        <f t="shared" si="12"/>
        <v>10.08</v>
      </c>
      <c r="H97" s="19">
        <f t="shared" si="13"/>
        <v>11.64</v>
      </c>
      <c r="I97" s="32"/>
      <c r="J97" s="32"/>
      <c r="K97" s="32"/>
      <c r="L97" s="32"/>
      <c r="M97" s="32"/>
      <c r="N97" s="36">
        <f t="shared" si="14"/>
        <v>21.72</v>
      </c>
      <c r="O97" s="36">
        <f t="shared" si="11"/>
        <v>81.896148869559298</v>
      </c>
      <c r="P97" s="37">
        <v>8</v>
      </c>
      <c r="Q97" s="37">
        <v>10</v>
      </c>
      <c r="R97" s="37">
        <v>9</v>
      </c>
      <c r="S97" s="37">
        <v>9</v>
      </c>
      <c r="T97" s="37">
        <v>9</v>
      </c>
      <c r="U97" s="37">
        <v>9</v>
      </c>
      <c r="V97" s="37">
        <v>9</v>
      </c>
      <c r="W97" s="38" t="str">
        <f t="shared" si="15"/>
        <v>Y</v>
      </c>
      <c r="X97" s="64">
        <f t="shared" si="16"/>
        <v>0.20800000000000002</v>
      </c>
      <c r="Y97" s="64" t="str">
        <f t="shared" si="17"/>
        <v>5-25%</v>
      </c>
      <c r="Z97" s="75" t="s">
        <v>34</v>
      </c>
      <c r="AB97" s="32">
        <v>10080</v>
      </c>
      <c r="AC97" s="32">
        <v>11640</v>
      </c>
      <c r="AD97" s="32"/>
      <c r="AE97" s="32"/>
      <c r="AF97" s="32"/>
      <c r="AG97" s="32"/>
      <c r="AH97" s="32"/>
    </row>
    <row r="98" spans="1:34" ht="24" customHeight="1" x14ac:dyDescent="0.25">
      <c r="A98" s="10">
        <v>26</v>
      </c>
      <c r="B98" s="9">
        <v>0.53680555555555554</v>
      </c>
      <c r="C98" s="5" t="s">
        <v>20</v>
      </c>
      <c r="D98" s="5">
        <f t="shared" si="10"/>
        <v>7</v>
      </c>
      <c r="E98" s="15"/>
      <c r="F98" s="15" t="s">
        <v>22</v>
      </c>
      <c r="G98" s="19">
        <f t="shared" si="12"/>
        <v>8.14</v>
      </c>
      <c r="H98" s="19">
        <f t="shared" si="13"/>
        <v>11.38</v>
      </c>
      <c r="I98" s="32"/>
      <c r="J98" s="32"/>
      <c r="K98" s="32"/>
      <c r="L98" s="32"/>
      <c r="M98" s="32"/>
      <c r="N98" s="36">
        <f t="shared" si="14"/>
        <v>19.520000000000003</v>
      </c>
      <c r="O98" s="36">
        <f t="shared" si="11"/>
        <v>50.64696733824313</v>
      </c>
      <c r="P98" s="37">
        <v>8</v>
      </c>
      <c r="Q98" s="37">
        <v>10</v>
      </c>
      <c r="R98" s="37">
        <v>9</v>
      </c>
      <c r="S98" s="37">
        <v>9</v>
      </c>
      <c r="T98" s="37">
        <v>9</v>
      </c>
      <c r="U98" s="37">
        <v>9</v>
      </c>
      <c r="V98" s="37">
        <v>9</v>
      </c>
      <c r="W98" s="38" t="str">
        <f t="shared" si="15"/>
        <v>Y</v>
      </c>
      <c r="X98" s="64">
        <f t="shared" si="16"/>
        <v>0.13800000000000007</v>
      </c>
      <c r="Y98" s="64" t="str">
        <f t="shared" si="17"/>
        <v>5-25%</v>
      </c>
      <c r="Z98" s="75" t="s">
        <v>117</v>
      </c>
      <c r="AB98" s="32">
        <v>8140</v>
      </c>
      <c r="AC98" s="32">
        <v>11380</v>
      </c>
      <c r="AD98" s="32"/>
      <c r="AE98" s="32"/>
      <c r="AF98" s="32"/>
      <c r="AG98" s="32"/>
      <c r="AH98" s="32"/>
    </row>
    <row r="99" spans="1:34" ht="24" customHeight="1" x14ac:dyDescent="0.25">
      <c r="A99" s="10">
        <v>28</v>
      </c>
      <c r="B99" s="9">
        <v>0.53749999999999998</v>
      </c>
      <c r="C99" s="5" t="s">
        <v>20</v>
      </c>
      <c r="D99" s="5">
        <f t="shared" si="10"/>
        <v>7</v>
      </c>
      <c r="E99" s="15"/>
      <c r="F99" s="15" t="s">
        <v>22</v>
      </c>
      <c r="G99" s="19">
        <f t="shared" si="12"/>
        <v>7.78</v>
      </c>
      <c r="H99" s="19">
        <f t="shared" si="13"/>
        <v>14.18</v>
      </c>
      <c r="I99" s="32"/>
      <c r="J99" s="32"/>
      <c r="K99" s="32"/>
      <c r="L99" s="32"/>
      <c r="M99" s="32"/>
      <c r="N99" s="36">
        <f t="shared" si="14"/>
        <v>21.96</v>
      </c>
      <c r="O99" s="36">
        <f t="shared" si="11"/>
        <v>86.047805050513972</v>
      </c>
      <c r="P99" s="37">
        <v>8</v>
      </c>
      <c r="Q99" s="37">
        <v>10</v>
      </c>
      <c r="R99" s="37">
        <v>9</v>
      </c>
      <c r="S99" s="37">
        <v>9</v>
      </c>
      <c r="T99" s="37">
        <v>9</v>
      </c>
      <c r="U99" s="37">
        <v>9</v>
      </c>
      <c r="V99" s="37">
        <v>9</v>
      </c>
      <c r="W99" s="38" t="str">
        <f t="shared" si="15"/>
        <v>Y</v>
      </c>
      <c r="X99" s="64">
        <f t="shared" si="16"/>
        <v>0.41799999999999998</v>
      </c>
      <c r="Y99" s="64" t="str">
        <f t="shared" si="17"/>
        <v>25-50%</v>
      </c>
      <c r="Z99" s="75" t="s">
        <v>117</v>
      </c>
      <c r="AB99" s="32">
        <v>7780</v>
      </c>
      <c r="AC99" s="32">
        <v>14180</v>
      </c>
      <c r="AD99" s="32"/>
      <c r="AE99" s="32"/>
      <c r="AF99" s="32"/>
      <c r="AG99" s="32"/>
      <c r="AH99" s="32"/>
    </row>
    <row r="100" spans="1:34" ht="24" customHeight="1" x14ac:dyDescent="0.25">
      <c r="A100" s="10">
        <v>30</v>
      </c>
      <c r="B100" s="9">
        <v>0.53888888888888886</v>
      </c>
      <c r="C100" s="5" t="s">
        <v>20</v>
      </c>
      <c r="D100" s="5">
        <f t="shared" si="10"/>
        <v>7</v>
      </c>
      <c r="E100" s="15"/>
      <c r="F100" s="15" t="s">
        <v>22</v>
      </c>
      <c r="G100" s="19">
        <f t="shared" si="12"/>
        <v>3.2</v>
      </c>
      <c r="H100" s="19">
        <f t="shared" si="13"/>
        <v>13.12</v>
      </c>
      <c r="I100" s="32"/>
      <c r="J100" s="32"/>
      <c r="K100" s="32"/>
      <c r="L100" s="32"/>
      <c r="M100" s="32"/>
      <c r="N100" s="36">
        <f t="shared" si="14"/>
        <v>16.32</v>
      </c>
      <c r="O100" s="36">
        <f t="shared" si="11"/>
        <v>22.627416997969519</v>
      </c>
      <c r="P100" s="37">
        <v>8</v>
      </c>
      <c r="Q100" s="37">
        <v>10</v>
      </c>
      <c r="R100" s="37">
        <v>9</v>
      </c>
      <c r="S100" s="37">
        <v>9</v>
      </c>
      <c r="T100" s="37">
        <v>9</v>
      </c>
      <c r="U100" s="37">
        <v>9</v>
      </c>
      <c r="V100" s="37">
        <v>9</v>
      </c>
      <c r="W100" s="38" t="str">
        <f t="shared" si="15"/>
        <v>Y</v>
      </c>
      <c r="X100" s="64">
        <f t="shared" si="16"/>
        <v>0.31199999999999994</v>
      </c>
      <c r="Y100" s="64" t="str">
        <f t="shared" si="17"/>
        <v>25-50%</v>
      </c>
      <c r="Z100" s="75" t="s">
        <v>34</v>
      </c>
      <c r="AB100" s="32">
        <v>3200</v>
      </c>
      <c r="AC100" s="32">
        <v>13120</v>
      </c>
      <c r="AD100" s="32"/>
      <c r="AE100" s="32"/>
      <c r="AF100" s="32"/>
      <c r="AG100" s="32"/>
      <c r="AH100" s="32"/>
    </row>
    <row r="101" spans="1:34" ht="24" customHeight="1" x14ac:dyDescent="0.25">
      <c r="A101" s="10">
        <v>32</v>
      </c>
      <c r="B101" s="9">
        <v>4.4444444444444446E-2</v>
      </c>
      <c r="C101" s="5" t="s">
        <v>20</v>
      </c>
      <c r="D101" s="5">
        <f t="shared" si="10"/>
        <v>7</v>
      </c>
      <c r="E101" s="15"/>
      <c r="F101" s="15" t="s">
        <v>22</v>
      </c>
      <c r="G101" s="19">
        <f t="shared" si="12"/>
        <v>7.56</v>
      </c>
      <c r="H101" s="19">
        <f t="shared" si="13"/>
        <v>12.14</v>
      </c>
      <c r="I101" s="32"/>
      <c r="J101" s="32"/>
      <c r="K101" s="32"/>
      <c r="L101" s="32"/>
      <c r="M101" s="32"/>
      <c r="N101" s="36">
        <f t="shared" si="14"/>
        <v>19.7</v>
      </c>
      <c r="O101" s="36">
        <f t="shared" si="11"/>
        <v>52.78278524138954</v>
      </c>
      <c r="P101" s="37">
        <v>8</v>
      </c>
      <c r="Q101" s="37">
        <v>10</v>
      </c>
      <c r="R101" s="37">
        <v>9</v>
      </c>
      <c r="S101" s="37">
        <v>9</v>
      </c>
      <c r="T101" s="37">
        <v>9</v>
      </c>
      <c r="U101" s="37">
        <v>9</v>
      </c>
      <c r="V101" s="37">
        <v>9</v>
      </c>
      <c r="W101" s="38" t="str">
        <f t="shared" si="15"/>
        <v>Y</v>
      </c>
      <c r="X101" s="64">
        <f t="shared" si="16"/>
        <v>0.21400000000000005</v>
      </c>
      <c r="Y101" s="64" t="str">
        <f t="shared" si="17"/>
        <v>5-25%</v>
      </c>
      <c r="Z101" s="75" t="s">
        <v>117</v>
      </c>
      <c r="AB101" s="32">
        <v>7560</v>
      </c>
      <c r="AC101" s="32">
        <v>12140</v>
      </c>
      <c r="AD101" s="32"/>
      <c r="AE101" s="32"/>
      <c r="AF101" s="32"/>
      <c r="AG101" s="32"/>
      <c r="AH101" s="32"/>
    </row>
    <row r="102" spans="1:34" ht="24" customHeight="1" x14ac:dyDescent="0.25">
      <c r="A102" s="10">
        <v>36</v>
      </c>
      <c r="B102" s="9">
        <v>5.6250000000000001E-2</v>
      </c>
      <c r="C102" s="5" t="s">
        <v>20</v>
      </c>
      <c r="D102" s="5">
        <f t="shared" si="10"/>
        <v>7</v>
      </c>
      <c r="E102" s="15"/>
      <c r="F102" s="15" t="s">
        <v>22</v>
      </c>
      <c r="G102" s="19">
        <f t="shared" si="12"/>
        <v>6.6</v>
      </c>
      <c r="H102" s="19">
        <f t="shared" si="13"/>
        <v>12.14</v>
      </c>
      <c r="I102" s="32"/>
      <c r="J102" s="32"/>
      <c r="K102" s="32"/>
      <c r="L102" s="32"/>
      <c r="M102" s="32"/>
      <c r="N102" s="36">
        <f t="shared" si="14"/>
        <v>18.740000000000002</v>
      </c>
      <c r="O102" s="36">
        <f t="shared" si="11"/>
        <v>42.155808704198755</v>
      </c>
      <c r="P102" s="37">
        <v>8</v>
      </c>
      <c r="Q102" s="37">
        <v>10</v>
      </c>
      <c r="R102" s="37">
        <v>9</v>
      </c>
      <c r="S102" s="37">
        <v>9</v>
      </c>
      <c r="T102" s="37">
        <v>9</v>
      </c>
      <c r="U102" s="37">
        <v>9</v>
      </c>
      <c r="V102" s="37">
        <v>9</v>
      </c>
      <c r="W102" s="38" t="str">
        <f t="shared" si="15"/>
        <v>Y</v>
      </c>
      <c r="X102" s="64">
        <f t="shared" si="16"/>
        <v>0.21400000000000005</v>
      </c>
      <c r="Y102" s="64" t="str">
        <f t="shared" si="17"/>
        <v>5-25%</v>
      </c>
      <c r="Z102" s="75" t="s">
        <v>117</v>
      </c>
      <c r="AB102" s="32">
        <v>6600</v>
      </c>
      <c r="AC102" s="32">
        <v>12140</v>
      </c>
      <c r="AD102" s="32"/>
      <c r="AE102" s="32"/>
      <c r="AF102" s="32"/>
      <c r="AG102" s="32"/>
      <c r="AH102" s="32"/>
    </row>
    <row r="103" spans="1:34" ht="24" customHeight="1" x14ac:dyDescent="0.25">
      <c r="A103" s="10">
        <v>38</v>
      </c>
      <c r="B103" s="9">
        <v>5.6250000000000001E-2</v>
      </c>
      <c r="C103" s="5" t="s">
        <v>20</v>
      </c>
      <c r="D103" s="5">
        <f t="shared" ref="D103:D134" si="18">IF(COUNT(G103:M103)&gt;3,10,IF(COUNT(G103:M103)&gt;2,9,7))</f>
        <v>7</v>
      </c>
      <c r="E103" s="15"/>
      <c r="F103" s="15" t="s">
        <v>22</v>
      </c>
      <c r="G103" s="19">
        <f t="shared" si="12"/>
        <v>6.54</v>
      </c>
      <c r="H103" s="19">
        <f t="shared" si="13"/>
        <v>12.22</v>
      </c>
      <c r="I103" s="32"/>
      <c r="J103" s="32"/>
      <c r="K103" s="32"/>
      <c r="L103" s="32"/>
      <c r="M103" s="32"/>
      <c r="N103" s="36">
        <f t="shared" si="14"/>
        <v>18.760000000000002</v>
      </c>
      <c r="O103" s="36">
        <f t="shared" ref="O103:O134" si="19">(N103/8.16)^4.5</f>
        <v>42.358643018122265</v>
      </c>
      <c r="P103" s="37">
        <v>8</v>
      </c>
      <c r="Q103" s="37">
        <v>10</v>
      </c>
      <c r="R103" s="37">
        <v>9</v>
      </c>
      <c r="S103" s="37">
        <v>9</v>
      </c>
      <c r="T103" s="37">
        <v>9</v>
      </c>
      <c r="U103" s="37">
        <v>9</v>
      </c>
      <c r="V103" s="37">
        <v>9</v>
      </c>
      <c r="W103" s="38" t="str">
        <f t="shared" si="15"/>
        <v>Y</v>
      </c>
      <c r="X103" s="64">
        <f t="shared" si="16"/>
        <v>0.22200000000000006</v>
      </c>
      <c r="Y103" s="64" t="str">
        <f t="shared" si="17"/>
        <v>5-25%</v>
      </c>
      <c r="Z103" s="75" t="s">
        <v>117</v>
      </c>
      <c r="AB103" s="32">
        <v>6540</v>
      </c>
      <c r="AC103" s="32">
        <v>12220</v>
      </c>
      <c r="AD103" s="32"/>
      <c r="AE103" s="32"/>
      <c r="AF103" s="32"/>
      <c r="AG103" s="32"/>
      <c r="AH103" s="32"/>
    </row>
    <row r="104" spans="1:34" ht="24" customHeight="1" x14ac:dyDescent="0.25">
      <c r="A104" s="10">
        <v>40</v>
      </c>
      <c r="B104" s="9">
        <v>5.9722222222222225E-2</v>
      </c>
      <c r="C104" s="5" t="s">
        <v>20</v>
      </c>
      <c r="D104" s="5">
        <f t="shared" si="18"/>
        <v>7</v>
      </c>
      <c r="E104" s="15"/>
      <c r="F104" s="15" t="s">
        <v>22</v>
      </c>
      <c r="G104" s="19">
        <f t="shared" si="12"/>
        <v>6.28</v>
      </c>
      <c r="H104" s="19">
        <f t="shared" si="13"/>
        <v>11.24</v>
      </c>
      <c r="I104" s="32"/>
      <c r="J104" s="32"/>
      <c r="K104" s="32"/>
      <c r="L104" s="32"/>
      <c r="M104" s="32"/>
      <c r="N104" s="36">
        <f t="shared" si="14"/>
        <v>17.52</v>
      </c>
      <c r="O104" s="36">
        <f t="shared" si="19"/>
        <v>31.138504007718634</v>
      </c>
      <c r="P104" s="37">
        <v>8</v>
      </c>
      <c r="Q104" s="37">
        <v>10</v>
      </c>
      <c r="R104" s="37">
        <v>9</v>
      </c>
      <c r="S104" s="37">
        <v>9</v>
      </c>
      <c r="T104" s="37">
        <v>9</v>
      </c>
      <c r="U104" s="37">
        <v>9</v>
      </c>
      <c r="V104" s="37">
        <v>9</v>
      </c>
      <c r="W104" s="38" t="str">
        <f t="shared" si="15"/>
        <v>Y</v>
      </c>
      <c r="X104" s="64">
        <f t="shared" si="16"/>
        <v>0.12400000000000003</v>
      </c>
      <c r="Y104" s="64" t="str">
        <f t="shared" si="17"/>
        <v>5-25%</v>
      </c>
      <c r="Z104" s="75" t="s">
        <v>117</v>
      </c>
      <c r="AB104" s="32">
        <v>6280</v>
      </c>
      <c r="AC104" s="32">
        <v>11240</v>
      </c>
      <c r="AD104" s="32"/>
      <c r="AE104" s="32"/>
      <c r="AF104" s="32"/>
      <c r="AG104" s="32"/>
      <c r="AH104" s="32"/>
    </row>
    <row r="105" spans="1:34" ht="24" customHeight="1" x14ac:dyDescent="0.25">
      <c r="A105" s="10">
        <v>42</v>
      </c>
      <c r="B105" s="9">
        <v>6.1805555555555558E-2</v>
      </c>
      <c r="C105" s="5" t="s">
        <v>20</v>
      </c>
      <c r="D105" s="5">
        <f t="shared" si="18"/>
        <v>7</v>
      </c>
      <c r="E105" s="15"/>
      <c r="F105" s="15" t="s">
        <v>22</v>
      </c>
      <c r="G105" s="19">
        <f t="shared" si="12"/>
        <v>6.02</v>
      </c>
      <c r="H105" s="19">
        <f t="shared" si="13"/>
        <v>12.36</v>
      </c>
      <c r="I105" s="32"/>
      <c r="J105" s="32"/>
      <c r="K105" s="32"/>
      <c r="L105" s="32"/>
      <c r="M105" s="32"/>
      <c r="N105" s="36">
        <f t="shared" si="14"/>
        <v>18.38</v>
      </c>
      <c r="O105" s="36">
        <f t="shared" si="19"/>
        <v>38.632166782840812</v>
      </c>
      <c r="P105" s="37">
        <v>8</v>
      </c>
      <c r="Q105" s="37">
        <v>10</v>
      </c>
      <c r="R105" s="37">
        <v>9</v>
      </c>
      <c r="S105" s="37">
        <v>9</v>
      </c>
      <c r="T105" s="37">
        <v>9</v>
      </c>
      <c r="U105" s="37">
        <v>9</v>
      </c>
      <c r="V105" s="37">
        <v>9</v>
      </c>
      <c r="W105" s="38" t="str">
        <f t="shared" si="15"/>
        <v>Y</v>
      </c>
      <c r="X105" s="64">
        <f t="shared" si="16"/>
        <v>0.23599999999999993</v>
      </c>
      <c r="Y105" s="64" t="str">
        <f t="shared" si="17"/>
        <v>5-25%</v>
      </c>
      <c r="Z105" s="75" t="s">
        <v>117</v>
      </c>
      <c r="AB105" s="32">
        <v>6020</v>
      </c>
      <c r="AC105" s="32">
        <v>12360</v>
      </c>
      <c r="AD105" s="32"/>
      <c r="AE105" s="32"/>
      <c r="AF105" s="32"/>
      <c r="AG105" s="32"/>
      <c r="AH105" s="32"/>
    </row>
    <row r="106" spans="1:34" ht="24" customHeight="1" x14ac:dyDescent="0.25">
      <c r="A106" s="10">
        <v>44</v>
      </c>
      <c r="B106" s="9">
        <v>6.7361111111111108E-2</v>
      </c>
      <c r="C106" s="5" t="s">
        <v>20</v>
      </c>
      <c r="D106" s="5">
        <f t="shared" si="18"/>
        <v>7</v>
      </c>
      <c r="E106" s="15"/>
      <c r="F106" s="15" t="s">
        <v>22</v>
      </c>
      <c r="G106" s="19">
        <f t="shared" si="12"/>
        <v>6.8</v>
      </c>
      <c r="H106" s="19">
        <f t="shared" si="13"/>
        <v>13.36</v>
      </c>
      <c r="I106" s="32"/>
      <c r="J106" s="32"/>
      <c r="K106" s="32"/>
      <c r="L106" s="32"/>
      <c r="M106" s="32"/>
      <c r="N106" s="36">
        <f t="shared" si="14"/>
        <v>20.16</v>
      </c>
      <c r="O106" s="36">
        <f t="shared" si="19"/>
        <v>58.560079897510711</v>
      </c>
      <c r="P106" s="37">
        <v>8</v>
      </c>
      <c r="Q106" s="37">
        <v>10</v>
      </c>
      <c r="R106" s="37">
        <v>9</v>
      </c>
      <c r="S106" s="37">
        <v>9</v>
      </c>
      <c r="T106" s="37">
        <v>9</v>
      </c>
      <c r="U106" s="37">
        <v>9</v>
      </c>
      <c r="V106" s="37">
        <v>9</v>
      </c>
      <c r="W106" s="38" t="str">
        <f t="shared" si="15"/>
        <v>Y</v>
      </c>
      <c r="X106" s="64">
        <f t="shared" si="16"/>
        <v>0.33599999999999997</v>
      </c>
      <c r="Y106" s="64" t="str">
        <f t="shared" si="17"/>
        <v>25-50%</v>
      </c>
      <c r="Z106" s="75" t="s">
        <v>117</v>
      </c>
      <c r="AB106" s="32">
        <v>6800</v>
      </c>
      <c r="AC106" s="32">
        <v>13360</v>
      </c>
      <c r="AD106" s="32"/>
      <c r="AE106" s="32"/>
      <c r="AF106" s="32"/>
      <c r="AG106" s="32"/>
      <c r="AH106" s="32"/>
    </row>
    <row r="107" spans="1:34" ht="24" customHeight="1" x14ac:dyDescent="0.25">
      <c r="A107" s="10">
        <v>45</v>
      </c>
      <c r="B107" s="9">
        <v>7.1527777777777787E-2</v>
      </c>
      <c r="C107" s="5" t="s">
        <v>20</v>
      </c>
      <c r="D107" s="5">
        <f t="shared" si="18"/>
        <v>7</v>
      </c>
      <c r="E107" s="15"/>
      <c r="F107" s="15" t="s">
        <v>22</v>
      </c>
      <c r="G107" s="19">
        <f t="shared" si="12"/>
        <v>4.96</v>
      </c>
      <c r="H107" s="19">
        <f t="shared" si="13"/>
        <v>14.62</v>
      </c>
      <c r="I107" s="32"/>
      <c r="J107" s="32"/>
      <c r="K107" s="32"/>
      <c r="L107" s="32"/>
      <c r="M107" s="32"/>
      <c r="N107" s="36">
        <f t="shared" si="14"/>
        <v>19.579999999999998</v>
      </c>
      <c r="O107" s="36">
        <f t="shared" si="19"/>
        <v>51.351292505728225</v>
      </c>
      <c r="P107" s="37">
        <v>8</v>
      </c>
      <c r="Q107" s="37">
        <v>10</v>
      </c>
      <c r="R107" s="37">
        <v>9</v>
      </c>
      <c r="S107" s="37">
        <v>9</v>
      </c>
      <c r="T107" s="37">
        <v>9</v>
      </c>
      <c r="U107" s="37">
        <v>9</v>
      </c>
      <c r="V107" s="37">
        <v>9</v>
      </c>
      <c r="W107" s="38" t="str">
        <f t="shared" si="15"/>
        <v>Y</v>
      </c>
      <c r="X107" s="64">
        <f t="shared" si="16"/>
        <v>0.46199999999999991</v>
      </c>
      <c r="Y107" s="64" t="str">
        <f t="shared" si="17"/>
        <v>25-50%</v>
      </c>
      <c r="Z107" s="71" t="s">
        <v>121</v>
      </c>
      <c r="AB107" s="32">
        <v>4960</v>
      </c>
      <c r="AC107" s="32">
        <v>14620</v>
      </c>
      <c r="AD107" s="32"/>
      <c r="AE107" s="32"/>
      <c r="AF107" s="32"/>
      <c r="AG107" s="32"/>
      <c r="AH107" s="32"/>
    </row>
    <row r="108" spans="1:34" ht="24" customHeight="1" x14ac:dyDescent="0.25">
      <c r="A108" s="10">
        <v>46</v>
      </c>
      <c r="B108" s="9">
        <v>7.4305555555555555E-2</v>
      </c>
      <c r="C108" s="5" t="s">
        <v>20</v>
      </c>
      <c r="D108" s="5">
        <f t="shared" si="18"/>
        <v>7</v>
      </c>
      <c r="E108" s="15"/>
      <c r="F108" s="15" t="s">
        <v>22</v>
      </c>
      <c r="G108" s="19">
        <f t="shared" si="12"/>
        <v>3.92</v>
      </c>
      <c r="H108" s="19">
        <f t="shared" si="13"/>
        <v>4.42</v>
      </c>
      <c r="I108" s="32"/>
      <c r="J108" s="32"/>
      <c r="K108" s="32"/>
      <c r="L108" s="32"/>
      <c r="M108" s="32"/>
      <c r="N108" s="36">
        <f t="shared" si="14"/>
        <v>8.34</v>
      </c>
      <c r="O108" s="36">
        <f t="shared" si="19"/>
        <v>1.1031676389619536</v>
      </c>
      <c r="P108" s="37">
        <v>8</v>
      </c>
      <c r="Q108" s="37">
        <v>10</v>
      </c>
      <c r="R108" s="37">
        <v>9</v>
      </c>
      <c r="S108" s="37">
        <v>9</v>
      </c>
      <c r="T108" s="37">
        <v>9</v>
      </c>
      <c r="U108" s="37">
        <v>9</v>
      </c>
      <c r="V108" s="37">
        <v>9</v>
      </c>
      <c r="W108" s="38" t="str">
        <f t="shared" si="15"/>
        <v>N</v>
      </c>
      <c r="X108" s="64">
        <f t="shared" si="16"/>
        <v>0</v>
      </c>
      <c r="Y108" s="64" t="str">
        <f t="shared" si="17"/>
        <v>0-4.9%</v>
      </c>
      <c r="Z108" s="75" t="s">
        <v>108</v>
      </c>
      <c r="AB108" s="32">
        <v>3920</v>
      </c>
      <c r="AC108" s="32">
        <v>4420</v>
      </c>
      <c r="AD108" s="32"/>
      <c r="AE108" s="32"/>
      <c r="AF108" s="32"/>
      <c r="AG108" s="32"/>
      <c r="AH108" s="32"/>
    </row>
    <row r="109" spans="1:34" ht="24" customHeight="1" x14ac:dyDescent="0.25">
      <c r="A109" s="10">
        <v>47</v>
      </c>
      <c r="B109" s="9">
        <v>7.5694444444444439E-2</v>
      </c>
      <c r="C109" s="5" t="s">
        <v>20</v>
      </c>
      <c r="D109" s="5">
        <f t="shared" si="18"/>
        <v>7</v>
      </c>
      <c r="E109" s="15"/>
      <c r="F109" s="15" t="s">
        <v>22</v>
      </c>
      <c r="G109" s="19">
        <f t="shared" si="12"/>
        <v>4.28</v>
      </c>
      <c r="H109" s="19">
        <f t="shared" si="13"/>
        <v>15.24</v>
      </c>
      <c r="I109" s="32"/>
      <c r="J109" s="32"/>
      <c r="K109" s="32"/>
      <c r="L109" s="32"/>
      <c r="M109" s="32"/>
      <c r="N109" s="36">
        <f t="shared" si="14"/>
        <v>19.52</v>
      </c>
      <c r="O109" s="36">
        <f t="shared" si="19"/>
        <v>50.646967338243101</v>
      </c>
      <c r="P109" s="37">
        <v>8</v>
      </c>
      <c r="Q109" s="37">
        <v>10</v>
      </c>
      <c r="R109" s="37">
        <v>9</v>
      </c>
      <c r="S109" s="37">
        <v>9</v>
      </c>
      <c r="T109" s="37">
        <v>9</v>
      </c>
      <c r="U109" s="37">
        <v>9</v>
      </c>
      <c r="V109" s="37">
        <v>9</v>
      </c>
      <c r="W109" s="38" t="str">
        <f t="shared" si="15"/>
        <v>Y</v>
      </c>
      <c r="X109" s="64">
        <f t="shared" si="16"/>
        <v>0.52400000000000002</v>
      </c>
      <c r="Y109" s="64" t="str">
        <f t="shared" si="17"/>
        <v>Over 50%</v>
      </c>
      <c r="Z109" s="75" t="s">
        <v>117</v>
      </c>
      <c r="AB109" s="32">
        <v>4280</v>
      </c>
      <c r="AC109" s="32">
        <v>15240</v>
      </c>
      <c r="AD109" s="32"/>
      <c r="AE109" s="32"/>
      <c r="AF109" s="32"/>
      <c r="AG109" s="32"/>
      <c r="AH109" s="32"/>
    </row>
    <row r="110" spans="1:34" ht="24" customHeight="1" x14ac:dyDescent="0.25">
      <c r="A110" s="10">
        <v>51</v>
      </c>
      <c r="B110" s="9">
        <v>8.1250000000000003E-2</v>
      </c>
      <c r="C110" s="5" t="s">
        <v>20</v>
      </c>
      <c r="D110" s="5">
        <f t="shared" si="18"/>
        <v>7</v>
      </c>
      <c r="E110" s="15"/>
      <c r="F110" s="15" t="s">
        <v>22</v>
      </c>
      <c r="G110" s="19">
        <f t="shared" si="12"/>
        <v>2.94</v>
      </c>
      <c r="H110" s="19">
        <f t="shared" si="13"/>
        <v>4.74</v>
      </c>
      <c r="I110" s="32"/>
      <c r="J110" s="32"/>
      <c r="K110" s="32"/>
      <c r="L110" s="32"/>
      <c r="M110" s="32"/>
      <c r="N110" s="36">
        <f t="shared" si="14"/>
        <v>7.68</v>
      </c>
      <c r="O110" s="36">
        <f t="shared" si="19"/>
        <v>0.76123680139754635</v>
      </c>
      <c r="P110" s="37">
        <v>8</v>
      </c>
      <c r="Q110" s="37">
        <v>10</v>
      </c>
      <c r="R110" s="37">
        <v>9</v>
      </c>
      <c r="S110" s="37">
        <v>9</v>
      </c>
      <c r="T110" s="37">
        <v>9</v>
      </c>
      <c r="U110" s="37">
        <v>9</v>
      </c>
      <c r="V110" s="37">
        <v>9</v>
      </c>
      <c r="W110" s="38" t="str">
        <f t="shared" si="15"/>
        <v>N</v>
      </c>
      <c r="X110" s="64">
        <f t="shared" si="16"/>
        <v>0</v>
      </c>
      <c r="Y110" s="64" t="str">
        <f t="shared" si="17"/>
        <v>0-4.9%</v>
      </c>
      <c r="Z110" s="75" t="s">
        <v>108</v>
      </c>
      <c r="AB110" s="32">
        <v>2940</v>
      </c>
      <c r="AC110" s="32">
        <v>4740</v>
      </c>
      <c r="AD110" s="32"/>
      <c r="AE110" s="32"/>
      <c r="AF110" s="32"/>
      <c r="AG110" s="32"/>
      <c r="AH110" s="32"/>
    </row>
    <row r="111" spans="1:34" ht="24" customHeight="1" x14ac:dyDescent="0.25">
      <c r="A111" s="10">
        <v>53</v>
      </c>
      <c r="B111" s="9">
        <v>8.4027777777777771E-2</v>
      </c>
      <c r="C111" s="5" t="s">
        <v>20</v>
      </c>
      <c r="D111" s="5">
        <f t="shared" si="18"/>
        <v>7</v>
      </c>
      <c r="E111" s="15"/>
      <c r="F111" s="15" t="s">
        <v>22</v>
      </c>
      <c r="G111" s="19">
        <f t="shared" si="12"/>
        <v>7.96</v>
      </c>
      <c r="H111" s="19">
        <f t="shared" si="13"/>
        <v>12.84</v>
      </c>
      <c r="I111" s="32"/>
      <c r="J111" s="32"/>
      <c r="K111" s="32"/>
      <c r="L111" s="32"/>
      <c r="M111" s="32"/>
      <c r="N111" s="36">
        <f t="shared" si="14"/>
        <v>20.8</v>
      </c>
      <c r="O111" s="36">
        <f t="shared" si="19"/>
        <v>67.403010277421103</v>
      </c>
      <c r="P111" s="37">
        <v>8</v>
      </c>
      <c r="Q111" s="37">
        <v>10</v>
      </c>
      <c r="R111" s="37">
        <v>9</v>
      </c>
      <c r="S111" s="37">
        <v>9</v>
      </c>
      <c r="T111" s="37">
        <v>9</v>
      </c>
      <c r="U111" s="37">
        <v>9</v>
      </c>
      <c r="V111" s="37">
        <v>9</v>
      </c>
      <c r="W111" s="38" t="str">
        <f t="shared" si="15"/>
        <v>Y</v>
      </c>
      <c r="X111" s="64">
        <f t="shared" si="16"/>
        <v>0.28399999999999997</v>
      </c>
      <c r="Y111" s="64" t="str">
        <f t="shared" si="17"/>
        <v>25-50%</v>
      </c>
      <c r="Z111" s="75" t="s">
        <v>117</v>
      </c>
      <c r="AB111" s="32">
        <v>7960</v>
      </c>
      <c r="AC111" s="32">
        <v>12840</v>
      </c>
      <c r="AD111" s="32"/>
      <c r="AE111" s="32"/>
      <c r="AF111" s="32"/>
      <c r="AG111" s="32"/>
      <c r="AH111" s="32"/>
    </row>
    <row r="112" spans="1:34" ht="24" customHeight="1" x14ac:dyDescent="0.25">
      <c r="A112" s="10">
        <v>56</v>
      </c>
      <c r="B112" s="9">
        <v>8.6805555555555566E-2</v>
      </c>
      <c r="C112" s="5" t="s">
        <v>20</v>
      </c>
      <c r="D112" s="5">
        <f t="shared" si="18"/>
        <v>7</v>
      </c>
      <c r="E112" s="15"/>
      <c r="F112" s="15" t="s">
        <v>22</v>
      </c>
      <c r="G112" s="19">
        <f t="shared" si="12"/>
        <v>3.84</v>
      </c>
      <c r="H112" s="19">
        <f t="shared" si="13"/>
        <v>4.68</v>
      </c>
      <c r="I112" s="32"/>
      <c r="J112" s="32"/>
      <c r="K112" s="32"/>
      <c r="L112" s="32"/>
      <c r="M112" s="32"/>
      <c r="N112" s="36">
        <f t="shared" si="14"/>
        <v>8.52</v>
      </c>
      <c r="O112" s="36">
        <f t="shared" si="19"/>
        <v>1.2144299301484485</v>
      </c>
      <c r="P112" s="37">
        <v>8</v>
      </c>
      <c r="Q112" s="37">
        <v>10</v>
      </c>
      <c r="R112" s="37">
        <v>9</v>
      </c>
      <c r="S112" s="37">
        <v>9</v>
      </c>
      <c r="T112" s="37">
        <v>9</v>
      </c>
      <c r="U112" s="37">
        <v>9</v>
      </c>
      <c r="V112" s="37">
        <v>9</v>
      </c>
      <c r="W112" s="38" t="str">
        <f t="shared" si="15"/>
        <v>N</v>
      </c>
      <c r="X112" s="64">
        <f t="shared" si="16"/>
        <v>0</v>
      </c>
      <c r="Y112" s="64" t="str">
        <f t="shared" si="17"/>
        <v>0-4.9%</v>
      </c>
      <c r="Z112" s="75" t="s">
        <v>108</v>
      </c>
      <c r="AB112" s="32">
        <v>3840</v>
      </c>
      <c r="AC112" s="32">
        <v>4680</v>
      </c>
      <c r="AD112" s="32"/>
      <c r="AE112" s="32"/>
      <c r="AF112" s="32"/>
      <c r="AG112" s="32"/>
      <c r="AH112" s="32"/>
    </row>
    <row r="113" spans="1:34" ht="24" customHeight="1" x14ac:dyDescent="0.25">
      <c r="A113" s="10">
        <v>59</v>
      </c>
      <c r="B113" s="9">
        <v>9.3055555555555558E-2</v>
      </c>
      <c r="C113" s="5" t="s">
        <v>20</v>
      </c>
      <c r="D113" s="5">
        <f t="shared" si="18"/>
        <v>7</v>
      </c>
      <c r="E113" s="15"/>
      <c r="F113" s="15" t="s">
        <v>22</v>
      </c>
      <c r="G113" s="19">
        <f t="shared" si="12"/>
        <v>7.48</v>
      </c>
      <c r="H113" s="19">
        <f t="shared" si="13"/>
        <v>11.5</v>
      </c>
      <c r="I113" s="32"/>
      <c r="J113" s="32"/>
      <c r="K113" s="32"/>
      <c r="L113" s="32"/>
      <c r="M113" s="32"/>
      <c r="N113" s="36">
        <f t="shared" si="14"/>
        <v>18.98</v>
      </c>
      <c r="O113" s="36">
        <f t="shared" si="19"/>
        <v>44.640312072763955</v>
      </c>
      <c r="P113" s="37">
        <v>8</v>
      </c>
      <c r="Q113" s="37">
        <v>10</v>
      </c>
      <c r="R113" s="37">
        <v>9</v>
      </c>
      <c r="S113" s="37">
        <v>9</v>
      </c>
      <c r="T113" s="37">
        <v>9</v>
      </c>
      <c r="U113" s="37">
        <v>9</v>
      </c>
      <c r="V113" s="37">
        <v>9</v>
      </c>
      <c r="W113" s="38" t="str">
        <f t="shared" si="15"/>
        <v>Y</v>
      </c>
      <c r="X113" s="64">
        <f t="shared" si="16"/>
        <v>0.15</v>
      </c>
      <c r="Y113" s="64" t="str">
        <f t="shared" si="17"/>
        <v>5-25%</v>
      </c>
      <c r="Z113" s="75" t="s">
        <v>117</v>
      </c>
      <c r="AB113" s="32">
        <v>7480</v>
      </c>
      <c r="AC113" s="32">
        <v>11500</v>
      </c>
      <c r="AD113" s="32"/>
      <c r="AE113" s="32"/>
      <c r="AF113" s="32"/>
      <c r="AG113" s="32"/>
      <c r="AH113" s="32"/>
    </row>
    <row r="114" spans="1:34" ht="24" customHeight="1" x14ac:dyDescent="0.25">
      <c r="A114" s="10">
        <v>60</v>
      </c>
      <c r="B114" s="9">
        <v>9.375E-2</v>
      </c>
      <c r="C114" s="5" t="s">
        <v>20</v>
      </c>
      <c r="D114" s="5">
        <f t="shared" si="18"/>
        <v>7</v>
      </c>
      <c r="E114" s="15"/>
      <c r="F114" s="15" t="s">
        <v>22</v>
      </c>
      <c r="G114" s="19">
        <f t="shared" si="12"/>
        <v>6.34</v>
      </c>
      <c r="H114" s="19">
        <f t="shared" si="13"/>
        <v>11.88</v>
      </c>
      <c r="I114" s="32"/>
      <c r="J114" s="32"/>
      <c r="K114" s="32"/>
      <c r="L114" s="32"/>
      <c r="M114" s="32"/>
      <c r="N114" s="36">
        <f t="shared" si="14"/>
        <v>18.22</v>
      </c>
      <c r="O114" s="36">
        <f t="shared" si="19"/>
        <v>37.141715793483002</v>
      </c>
      <c r="P114" s="37">
        <v>8</v>
      </c>
      <c r="Q114" s="37">
        <v>10</v>
      </c>
      <c r="R114" s="37">
        <v>9</v>
      </c>
      <c r="S114" s="37">
        <v>9</v>
      </c>
      <c r="T114" s="37">
        <v>9</v>
      </c>
      <c r="U114" s="37">
        <v>9</v>
      </c>
      <c r="V114" s="37">
        <v>9</v>
      </c>
      <c r="W114" s="38" t="str">
        <f t="shared" si="15"/>
        <v>Y</v>
      </c>
      <c r="X114" s="64">
        <f t="shared" si="16"/>
        <v>0.18800000000000008</v>
      </c>
      <c r="Y114" s="64" t="str">
        <f t="shared" si="17"/>
        <v>5-25%</v>
      </c>
      <c r="Z114" s="75" t="s">
        <v>117</v>
      </c>
      <c r="AB114" s="32">
        <v>6340</v>
      </c>
      <c r="AC114" s="32">
        <v>11880</v>
      </c>
      <c r="AD114" s="32"/>
      <c r="AE114" s="32"/>
      <c r="AF114" s="32"/>
      <c r="AG114" s="32"/>
      <c r="AH114" s="32"/>
    </row>
    <row r="115" spans="1:34" ht="24" customHeight="1" x14ac:dyDescent="0.25">
      <c r="A115" s="10">
        <v>61</v>
      </c>
      <c r="B115" s="9">
        <v>9.4444444444444442E-2</v>
      </c>
      <c r="C115" s="5" t="s">
        <v>20</v>
      </c>
      <c r="D115" s="5">
        <f t="shared" si="18"/>
        <v>7</v>
      </c>
      <c r="E115" s="15"/>
      <c r="F115" s="15" t="s">
        <v>22</v>
      </c>
      <c r="G115" s="19">
        <f t="shared" si="12"/>
        <v>4</v>
      </c>
      <c r="H115" s="19">
        <f t="shared" si="13"/>
        <v>4.8</v>
      </c>
      <c r="I115" s="32"/>
      <c r="J115" s="32"/>
      <c r="K115" s="32"/>
      <c r="L115" s="32"/>
      <c r="M115" s="32"/>
      <c r="N115" s="36">
        <f t="shared" si="14"/>
        <v>8.8000000000000007</v>
      </c>
      <c r="O115" s="36">
        <f t="shared" si="19"/>
        <v>1.4046441353939185</v>
      </c>
      <c r="P115" s="37">
        <v>8</v>
      </c>
      <c r="Q115" s="37">
        <v>10</v>
      </c>
      <c r="R115" s="37">
        <v>9</v>
      </c>
      <c r="S115" s="37">
        <v>9</v>
      </c>
      <c r="T115" s="37">
        <v>9</v>
      </c>
      <c r="U115" s="37">
        <v>9</v>
      </c>
      <c r="V115" s="37">
        <v>9</v>
      </c>
      <c r="W115" s="38" t="str">
        <f t="shared" si="15"/>
        <v>N</v>
      </c>
      <c r="X115" s="64">
        <f t="shared" si="16"/>
        <v>0</v>
      </c>
      <c r="Y115" s="64" t="str">
        <f t="shared" si="17"/>
        <v>0-4.9%</v>
      </c>
      <c r="Z115" s="75" t="s">
        <v>127</v>
      </c>
      <c r="AB115" s="32">
        <v>4000</v>
      </c>
      <c r="AC115" s="32">
        <v>4800</v>
      </c>
      <c r="AD115" s="32"/>
      <c r="AE115" s="32"/>
      <c r="AF115" s="32"/>
      <c r="AG115" s="32"/>
      <c r="AH115" s="32"/>
    </row>
    <row r="116" spans="1:34" s="59" customFormat="1" ht="24" customHeight="1" x14ac:dyDescent="0.25">
      <c r="A116" s="50">
        <v>2</v>
      </c>
      <c r="B116" s="51">
        <v>0.33958333333333335</v>
      </c>
      <c r="C116" s="52" t="s">
        <v>20</v>
      </c>
      <c r="D116" s="52">
        <f t="shared" si="18"/>
        <v>9</v>
      </c>
      <c r="E116" s="53"/>
      <c r="F116" s="53" t="s">
        <v>29</v>
      </c>
      <c r="G116" s="19">
        <f t="shared" si="12"/>
        <v>7.76</v>
      </c>
      <c r="H116" s="19">
        <f t="shared" si="13"/>
        <v>1.1839999999999999</v>
      </c>
      <c r="I116" s="19">
        <f t="shared" ref="I116" si="20">AD116/1000</f>
        <v>11.82</v>
      </c>
      <c r="J116" s="54"/>
      <c r="K116" s="54"/>
      <c r="L116" s="54"/>
      <c r="M116" s="60"/>
      <c r="N116" s="36">
        <f t="shared" si="14"/>
        <v>20.763999999999999</v>
      </c>
      <c r="O116" s="56">
        <f t="shared" si="19"/>
        <v>66.879632272961715</v>
      </c>
      <c r="P116" s="37">
        <v>8</v>
      </c>
      <c r="Q116" s="37">
        <v>10</v>
      </c>
      <c r="R116" s="37">
        <v>9</v>
      </c>
      <c r="S116" s="37">
        <v>9</v>
      </c>
      <c r="T116" s="37">
        <v>9</v>
      </c>
      <c r="U116" s="37">
        <v>9</v>
      </c>
      <c r="V116" s="37">
        <v>9</v>
      </c>
      <c r="W116" s="38" t="str">
        <f t="shared" si="15"/>
        <v>Y</v>
      </c>
      <c r="X116" s="64">
        <f t="shared" si="16"/>
        <v>0.28200000000000003</v>
      </c>
      <c r="Y116" s="64" t="str">
        <f t="shared" si="17"/>
        <v>25-50%</v>
      </c>
      <c r="Z116" s="75" t="s">
        <v>117</v>
      </c>
      <c r="AB116" s="54">
        <v>7760</v>
      </c>
      <c r="AC116" s="54">
        <v>1184</v>
      </c>
      <c r="AD116" s="54">
        <v>11820</v>
      </c>
      <c r="AE116" s="54"/>
      <c r="AF116" s="54"/>
      <c r="AG116" s="54"/>
      <c r="AH116" s="60"/>
    </row>
    <row r="117" spans="1:34" s="59" customFormat="1" ht="24" customHeight="1" x14ac:dyDescent="0.25">
      <c r="A117" s="50">
        <v>17</v>
      </c>
      <c r="B117" s="51">
        <v>0.4284722222222222</v>
      </c>
      <c r="C117" s="52" t="s">
        <v>20</v>
      </c>
      <c r="D117" s="52">
        <f t="shared" si="18"/>
        <v>9</v>
      </c>
      <c r="E117" s="53"/>
      <c r="F117" s="53" t="s">
        <v>44</v>
      </c>
      <c r="G117" s="19">
        <f t="shared" ref="G117:G132" si="21">AB117/1000</f>
        <v>4.88</v>
      </c>
      <c r="H117" s="19">
        <f t="shared" ref="H117:H132" si="22">AC117/1000</f>
        <v>4.78</v>
      </c>
      <c r="I117" s="19">
        <f t="shared" ref="I117:I132" si="23">AD117/1000</f>
        <v>3.04</v>
      </c>
      <c r="J117" s="54"/>
      <c r="K117" s="54"/>
      <c r="L117" s="54"/>
      <c r="M117" s="60"/>
      <c r="N117" s="36">
        <f t="shared" si="14"/>
        <v>12.7</v>
      </c>
      <c r="O117" s="56">
        <f t="shared" si="19"/>
        <v>7.3199991378882521</v>
      </c>
      <c r="P117" s="37">
        <v>8</v>
      </c>
      <c r="Q117" s="37">
        <v>10</v>
      </c>
      <c r="R117" s="37">
        <v>9</v>
      </c>
      <c r="S117" s="37">
        <v>9</v>
      </c>
      <c r="T117" s="37">
        <v>9</v>
      </c>
      <c r="U117" s="37">
        <v>9</v>
      </c>
      <c r="V117" s="37">
        <v>9</v>
      </c>
      <c r="W117" s="38" t="str">
        <f t="shared" si="15"/>
        <v>N</v>
      </c>
      <c r="X117" s="64">
        <f t="shared" si="16"/>
        <v>0</v>
      </c>
      <c r="Y117" s="64" t="str">
        <f t="shared" si="17"/>
        <v>0-4.9%</v>
      </c>
      <c r="Z117" s="75" t="s">
        <v>108</v>
      </c>
      <c r="AB117" s="54">
        <v>4880</v>
      </c>
      <c r="AC117" s="54">
        <v>4780</v>
      </c>
      <c r="AD117" s="54">
        <v>3040</v>
      </c>
      <c r="AE117" s="54"/>
      <c r="AF117" s="54"/>
      <c r="AG117" s="54"/>
      <c r="AH117" s="60"/>
    </row>
    <row r="118" spans="1:34" s="59" customFormat="1" ht="24" customHeight="1" x14ac:dyDescent="0.25">
      <c r="A118" s="50">
        <v>37</v>
      </c>
      <c r="B118" s="51">
        <v>0.50069444444444444</v>
      </c>
      <c r="C118" s="52" t="s">
        <v>20</v>
      </c>
      <c r="D118" s="52">
        <f t="shared" si="18"/>
        <v>9</v>
      </c>
      <c r="E118" s="53"/>
      <c r="F118" s="53" t="s">
        <v>29</v>
      </c>
      <c r="G118" s="19">
        <f t="shared" si="21"/>
        <v>4.4000000000000004</v>
      </c>
      <c r="H118" s="19">
        <f t="shared" si="22"/>
        <v>5.6</v>
      </c>
      <c r="I118" s="19">
        <f t="shared" si="23"/>
        <v>5.36</v>
      </c>
      <c r="J118" s="54"/>
      <c r="K118" s="54"/>
      <c r="L118" s="54"/>
      <c r="M118" s="60"/>
      <c r="N118" s="36">
        <f t="shared" si="14"/>
        <v>15.36</v>
      </c>
      <c r="O118" s="56">
        <f t="shared" si="19"/>
        <v>17.224822539422792</v>
      </c>
      <c r="P118" s="37">
        <v>8</v>
      </c>
      <c r="Q118" s="37">
        <v>10</v>
      </c>
      <c r="R118" s="37">
        <v>9</v>
      </c>
      <c r="S118" s="37">
        <v>9</v>
      </c>
      <c r="T118" s="37">
        <v>9</v>
      </c>
      <c r="U118" s="37">
        <v>9</v>
      </c>
      <c r="V118" s="37">
        <v>9</v>
      </c>
      <c r="W118" s="38" t="str">
        <f t="shared" si="15"/>
        <v>N</v>
      </c>
      <c r="X118" s="64">
        <f t="shared" si="16"/>
        <v>0</v>
      </c>
      <c r="Y118" s="64" t="str">
        <f t="shared" si="17"/>
        <v>0-4.9%</v>
      </c>
      <c r="Z118" s="75" t="s">
        <v>108</v>
      </c>
      <c r="AB118" s="54">
        <v>4400</v>
      </c>
      <c r="AC118" s="54">
        <v>5600</v>
      </c>
      <c r="AD118" s="54">
        <v>5360</v>
      </c>
      <c r="AE118" s="54"/>
      <c r="AF118" s="54"/>
      <c r="AG118" s="54"/>
      <c r="AH118" s="60"/>
    </row>
    <row r="119" spans="1:34" s="59" customFormat="1" ht="24" customHeight="1" x14ac:dyDescent="0.25">
      <c r="A119" s="50">
        <v>48</v>
      </c>
      <c r="B119" s="51">
        <v>0.11388888888888889</v>
      </c>
      <c r="C119" s="52" t="s">
        <v>20</v>
      </c>
      <c r="D119" s="52">
        <f t="shared" si="18"/>
        <v>9</v>
      </c>
      <c r="E119" s="53"/>
      <c r="F119" s="53" t="s">
        <v>29</v>
      </c>
      <c r="G119" s="19">
        <f t="shared" si="21"/>
        <v>6.64</v>
      </c>
      <c r="H119" s="19">
        <f t="shared" si="22"/>
        <v>10.74</v>
      </c>
      <c r="I119" s="19">
        <f t="shared" si="23"/>
        <v>10.28</v>
      </c>
      <c r="J119" s="54"/>
      <c r="K119" s="54"/>
      <c r="L119" s="54"/>
      <c r="M119" s="60"/>
      <c r="N119" s="36">
        <f t="shared" si="14"/>
        <v>27.659999999999997</v>
      </c>
      <c r="O119" s="56">
        <f t="shared" si="19"/>
        <v>243.06872144823825</v>
      </c>
      <c r="P119" s="37">
        <v>8</v>
      </c>
      <c r="Q119" s="37">
        <v>10</v>
      </c>
      <c r="R119" s="37">
        <v>9</v>
      </c>
      <c r="S119" s="37">
        <v>9</v>
      </c>
      <c r="T119" s="37">
        <v>9</v>
      </c>
      <c r="U119" s="37">
        <v>9</v>
      </c>
      <c r="V119" s="37">
        <v>9</v>
      </c>
      <c r="W119" s="38" t="str">
        <f t="shared" si="15"/>
        <v>Y</v>
      </c>
      <c r="X119" s="64">
        <f t="shared" si="16"/>
        <v>0.12799999999999995</v>
      </c>
      <c r="Y119" s="64" t="str">
        <f t="shared" si="17"/>
        <v>5-25%</v>
      </c>
      <c r="Z119" s="71" t="s">
        <v>121</v>
      </c>
      <c r="AB119" s="54">
        <v>6640</v>
      </c>
      <c r="AC119" s="54">
        <v>10740</v>
      </c>
      <c r="AD119" s="54">
        <v>10280</v>
      </c>
      <c r="AE119" s="54"/>
      <c r="AF119" s="54"/>
      <c r="AG119" s="54"/>
      <c r="AH119" s="60"/>
    </row>
    <row r="120" spans="1:34" s="59" customFormat="1" ht="24" customHeight="1" x14ac:dyDescent="0.25">
      <c r="A120" s="50">
        <v>49</v>
      </c>
      <c r="B120" s="51">
        <v>0.11805555555555557</v>
      </c>
      <c r="C120" s="52" t="s">
        <v>20</v>
      </c>
      <c r="D120" s="52">
        <f t="shared" si="18"/>
        <v>9</v>
      </c>
      <c r="E120" s="53"/>
      <c r="F120" s="53" t="s">
        <v>29</v>
      </c>
      <c r="G120" s="19">
        <f t="shared" si="21"/>
        <v>6.04</v>
      </c>
      <c r="H120" s="19">
        <f t="shared" si="22"/>
        <v>10.28</v>
      </c>
      <c r="I120" s="19">
        <f t="shared" si="23"/>
        <v>10.24</v>
      </c>
      <c r="J120" s="54"/>
      <c r="K120" s="54"/>
      <c r="L120" s="54"/>
      <c r="M120" s="60"/>
      <c r="N120" s="36">
        <f t="shared" si="14"/>
        <v>26.560000000000002</v>
      </c>
      <c r="O120" s="56">
        <f t="shared" si="19"/>
        <v>202.49793730467846</v>
      </c>
      <c r="P120" s="37">
        <v>8</v>
      </c>
      <c r="Q120" s="37">
        <v>10</v>
      </c>
      <c r="R120" s="37">
        <v>9</v>
      </c>
      <c r="S120" s="37">
        <v>9</v>
      </c>
      <c r="T120" s="37">
        <v>9</v>
      </c>
      <c r="U120" s="37">
        <v>9</v>
      </c>
      <c r="V120" s="37">
        <v>9</v>
      </c>
      <c r="W120" s="38" t="str">
        <f t="shared" si="15"/>
        <v>Y</v>
      </c>
      <c r="X120" s="64">
        <f t="shared" si="16"/>
        <v>0.12400000000000003</v>
      </c>
      <c r="Y120" s="64" t="str">
        <f t="shared" si="17"/>
        <v>5-25%</v>
      </c>
      <c r="Z120" s="71" t="s">
        <v>121</v>
      </c>
      <c r="AB120" s="54">
        <v>6040</v>
      </c>
      <c r="AC120" s="54">
        <v>10280</v>
      </c>
      <c r="AD120" s="54">
        <v>10240</v>
      </c>
      <c r="AE120" s="54"/>
      <c r="AF120" s="54"/>
      <c r="AG120" s="54"/>
      <c r="AH120" s="60"/>
    </row>
    <row r="121" spans="1:34" s="59" customFormat="1" ht="24" customHeight="1" x14ac:dyDescent="0.25">
      <c r="A121" s="50">
        <v>55</v>
      </c>
      <c r="B121" s="51">
        <v>0.14583333333333334</v>
      </c>
      <c r="C121" s="52" t="s">
        <v>20</v>
      </c>
      <c r="D121" s="52">
        <f t="shared" si="18"/>
        <v>9</v>
      </c>
      <c r="E121" s="53"/>
      <c r="F121" s="53" t="s">
        <v>29</v>
      </c>
      <c r="G121" s="19">
        <f t="shared" si="21"/>
        <v>5.36</v>
      </c>
      <c r="H121" s="19">
        <f t="shared" si="22"/>
        <v>10.1</v>
      </c>
      <c r="I121" s="19">
        <f t="shared" si="23"/>
        <v>4.26</v>
      </c>
      <c r="J121" s="54"/>
      <c r="K121" s="54"/>
      <c r="L121" s="54"/>
      <c r="M121" s="60"/>
      <c r="N121" s="36">
        <f t="shared" si="14"/>
        <v>19.72</v>
      </c>
      <c r="O121" s="56">
        <f t="shared" si="19"/>
        <v>53.024353652646838</v>
      </c>
      <c r="P121" s="37">
        <v>8</v>
      </c>
      <c r="Q121" s="37">
        <v>10</v>
      </c>
      <c r="R121" s="37">
        <v>9</v>
      </c>
      <c r="S121" s="37">
        <v>9</v>
      </c>
      <c r="T121" s="37">
        <v>9</v>
      </c>
      <c r="U121" s="37">
        <v>9</v>
      </c>
      <c r="V121" s="37">
        <v>9</v>
      </c>
      <c r="W121" s="38" t="str">
        <f t="shared" si="15"/>
        <v>Y</v>
      </c>
      <c r="X121" s="64">
        <f t="shared" si="16"/>
        <v>9.9999999999999638E-3</v>
      </c>
      <c r="Y121" s="64" t="str">
        <f t="shared" si="17"/>
        <v>0-4.9%</v>
      </c>
      <c r="Z121" s="75" t="s">
        <v>117</v>
      </c>
      <c r="AB121" s="54">
        <v>5360</v>
      </c>
      <c r="AC121" s="54">
        <v>10100</v>
      </c>
      <c r="AD121" s="54">
        <v>4260</v>
      </c>
      <c r="AE121" s="54"/>
      <c r="AF121" s="54"/>
      <c r="AG121" s="54"/>
      <c r="AH121" s="60"/>
    </row>
    <row r="122" spans="1:34" s="59" customFormat="1" ht="24" customHeight="1" x14ac:dyDescent="0.25">
      <c r="A122" s="50">
        <v>19</v>
      </c>
      <c r="B122" s="51">
        <v>0.3743055555555555</v>
      </c>
      <c r="C122" s="52" t="s">
        <v>20</v>
      </c>
      <c r="D122" s="52">
        <f t="shared" si="18"/>
        <v>9</v>
      </c>
      <c r="E122" s="53"/>
      <c r="F122" s="53" t="s">
        <v>29</v>
      </c>
      <c r="G122" s="19">
        <f t="shared" si="21"/>
        <v>8.82</v>
      </c>
      <c r="H122" s="19">
        <f t="shared" si="22"/>
        <v>12.36</v>
      </c>
      <c r="I122" s="19">
        <f t="shared" si="23"/>
        <v>10.82</v>
      </c>
      <c r="J122" s="54"/>
      <c r="K122" s="54"/>
      <c r="L122" s="54"/>
      <c r="M122" s="54"/>
      <c r="N122" s="36">
        <f t="shared" si="14"/>
        <v>32</v>
      </c>
      <c r="O122" s="56">
        <f t="shared" si="19"/>
        <v>468.34855867924051</v>
      </c>
      <c r="P122" s="37">
        <v>8</v>
      </c>
      <c r="Q122" s="37">
        <v>10</v>
      </c>
      <c r="R122" s="37">
        <v>9</v>
      </c>
      <c r="S122" s="37">
        <v>9</v>
      </c>
      <c r="T122" s="37">
        <v>9</v>
      </c>
      <c r="U122" s="37">
        <v>9</v>
      </c>
      <c r="V122" s="37">
        <v>9</v>
      </c>
      <c r="W122" s="38" t="str">
        <f t="shared" si="15"/>
        <v>Y</v>
      </c>
      <c r="X122" s="64">
        <f t="shared" si="16"/>
        <v>0.23599999999999993</v>
      </c>
      <c r="Y122" s="64" t="str">
        <f t="shared" si="17"/>
        <v>5-25%</v>
      </c>
      <c r="Z122" s="75" t="s">
        <v>102</v>
      </c>
      <c r="AB122" s="54">
        <v>8820</v>
      </c>
      <c r="AC122" s="54">
        <v>12360</v>
      </c>
      <c r="AD122" s="54">
        <v>10820</v>
      </c>
      <c r="AE122" s="54"/>
      <c r="AF122" s="54"/>
      <c r="AG122" s="54"/>
      <c r="AH122" s="54"/>
    </row>
    <row r="123" spans="1:34" s="59" customFormat="1" ht="24" customHeight="1" x14ac:dyDescent="0.25">
      <c r="A123" s="50">
        <v>32</v>
      </c>
      <c r="B123" s="51">
        <v>0.4465277777777778</v>
      </c>
      <c r="C123" s="52" t="s">
        <v>20</v>
      </c>
      <c r="D123" s="52">
        <f t="shared" si="18"/>
        <v>9</v>
      </c>
      <c r="E123" s="53"/>
      <c r="F123" s="53" t="s">
        <v>29</v>
      </c>
      <c r="G123" s="19">
        <f t="shared" si="21"/>
        <v>10.1</v>
      </c>
      <c r="H123" s="19">
        <f t="shared" si="22"/>
        <v>14.24</v>
      </c>
      <c r="I123" s="19">
        <f t="shared" si="23"/>
        <v>13.64</v>
      </c>
      <c r="J123" s="54"/>
      <c r="K123" s="54"/>
      <c r="L123" s="54"/>
      <c r="M123" s="54"/>
      <c r="N123" s="36">
        <f t="shared" si="14"/>
        <v>37.980000000000004</v>
      </c>
      <c r="O123" s="56">
        <f t="shared" si="19"/>
        <v>1012.4920163230402</v>
      </c>
      <c r="P123" s="37">
        <v>8</v>
      </c>
      <c r="Q123" s="37">
        <v>10</v>
      </c>
      <c r="R123" s="37">
        <v>9</v>
      </c>
      <c r="S123" s="37">
        <v>9</v>
      </c>
      <c r="T123" s="37">
        <v>9</v>
      </c>
      <c r="U123" s="37">
        <v>9</v>
      </c>
      <c r="V123" s="37">
        <v>9</v>
      </c>
      <c r="W123" s="38" t="str">
        <f t="shared" si="15"/>
        <v>Y</v>
      </c>
      <c r="X123" s="64">
        <f t="shared" si="16"/>
        <v>0.46400000000000008</v>
      </c>
      <c r="Y123" s="64" t="str">
        <f t="shared" si="17"/>
        <v>25-50%</v>
      </c>
      <c r="Z123" s="71" t="s">
        <v>121</v>
      </c>
      <c r="AB123" s="54">
        <v>10100</v>
      </c>
      <c r="AC123" s="54">
        <v>14240</v>
      </c>
      <c r="AD123" s="54">
        <v>13640</v>
      </c>
      <c r="AE123" s="54"/>
      <c r="AF123" s="54"/>
      <c r="AG123" s="54"/>
      <c r="AH123" s="54"/>
    </row>
    <row r="124" spans="1:34" s="59" customFormat="1" ht="24" customHeight="1" x14ac:dyDescent="0.25">
      <c r="A124" s="50">
        <v>54</v>
      </c>
      <c r="B124" s="51">
        <v>0.48472222222222222</v>
      </c>
      <c r="C124" s="52" t="s">
        <v>20</v>
      </c>
      <c r="D124" s="52">
        <f t="shared" si="18"/>
        <v>9</v>
      </c>
      <c r="E124" s="53"/>
      <c r="F124" s="53" t="s">
        <v>31</v>
      </c>
      <c r="G124" s="19">
        <f t="shared" si="21"/>
        <v>10.34</v>
      </c>
      <c r="H124" s="19">
        <f t="shared" si="22"/>
        <v>13.04</v>
      </c>
      <c r="I124" s="19">
        <f t="shared" si="23"/>
        <v>6.06</v>
      </c>
      <c r="J124" s="54"/>
      <c r="K124" s="54"/>
      <c r="L124" s="54"/>
      <c r="M124" s="54"/>
      <c r="N124" s="36">
        <f t="shared" si="14"/>
        <v>29.439999999999998</v>
      </c>
      <c r="O124" s="56">
        <f t="shared" si="19"/>
        <v>321.82102305130371</v>
      </c>
      <c r="P124" s="37">
        <v>8</v>
      </c>
      <c r="Q124" s="37">
        <v>10</v>
      </c>
      <c r="R124" s="37">
        <v>9</v>
      </c>
      <c r="S124" s="37">
        <v>9</v>
      </c>
      <c r="T124" s="37">
        <v>9</v>
      </c>
      <c r="U124" s="37">
        <v>9</v>
      </c>
      <c r="V124" s="37">
        <v>9</v>
      </c>
      <c r="W124" s="38" t="str">
        <f t="shared" si="15"/>
        <v>Y</v>
      </c>
      <c r="X124" s="64">
        <f t="shared" si="16"/>
        <v>0.30399999999999994</v>
      </c>
      <c r="Y124" s="64" t="str">
        <f t="shared" si="17"/>
        <v>25-50%</v>
      </c>
      <c r="Z124" s="75" t="s">
        <v>34</v>
      </c>
      <c r="AB124" s="54">
        <v>10340</v>
      </c>
      <c r="AC124" s="54">
        <v>13040</v>
      </c>
      <c r="AD124" s="54">
        <v>6060</v>
      </c>
      <c r="AE124" s="54"/>
      <c r="AF124" s="54"/>
      <c r="AG124" s="54"/>
      <c r="AH124" s="54"/>
    </row>
    <row r="125" spans="1:34" s="59" customFormat="1" ht="24" customHeight="1" x14ac:dyDescent="0.25">
      <c r="A125" s="50">
        <v>10</v>
      </c>
      <c r="B125" s="51">
        <v>0.51041666666666663</v>
      </c>
      <c r="C125" s="52" t="s">
        <v>20</v>
      </c>
      <c r="D125" s="52">
        <f t="shared" si="18"/>
        <v>9</v>
      </c>
      <c r="E125" s="53"/>
      <c r="F125" s="53" t="s">
        <v>29</v>
      </c>
      <c r="G125" s="19">
        <f t="shared" si="21"/>
        <v>7.1</v>
      </c>
      <c r="H125" s="19">
        <f t="shared" si="22"/>
        <v>7.49</v>
      </c>
      <c r="I125" s="19">
        <f t="shared" si="23"/>
        <v>4.29</v>
      </c>
      <c r="J125" s="54"/>
      <c r="K125" s="54"/>
      <c r="L125" s="54"/>
      <c r="M125" s="54"/>
      <c r="N125" s="36">
        <f t="shared" si="14"/>
        <v>18.88</v>
      </c>
      <c r="O125" s="56">
        <f t="shared" si="19"/>
        <v>43.5916432251435</v>
      </c>
      <c r="P125" s="37">
        <v>8</v>
      </c>
      <c r="Q125" s="37">
        <v>10</v>
      </c>
      <c r="R125" s="37">
        <v>9</v>
      </c>
      <c r="S125" s="37">
        <v>9</v>
      </c>
      <c r="T125" s="37">
        <v>9</v>
      </c>
      <c r="U125" s="37">
        <v>9</v>
      </c>
      <c r="V125" s="37">
        <v>9</v>
      </c>
      <c r="W125" s="38" t="str">
        <f t="shared" si="15"/>
        <v>N</v>
      </c>
      <c r="X125" s="64">
        <f t="shared" si="16"/>
        <v>0</v>
      </c>
      <c r="Y125" s="64" t="str">
        <f t="shared" si="17"/>
        <v>0-4.9%</v>
      </c>
      <c r="Z125" s="75" t="s">
        <v>117</v>
      </c>
      <c r="AB125" s="54">
        <v>7100</v>
      </c>
      <c r="AC125" s="54">
        <v>7490</v>
      </c>
      <c r="AD125" s="54">
        <v>4290</v>
      </c>
      <c r="AE125" s="54"/>
      <c r="AF125" s="54"/>
      <c r="AG125" s="54"/>
      <c r="AH125" s="54"/>
    </row>
    <row r="126" spans="1:34" s="59" customFormat="1" ht="24" customHeight="1" x14ac:dyDescent="0.25">
      <c r="A126" s="50">
        <v>11</v>
      </c>
      <c r="B126" s="51">
        <v>0.51250000000000007</v>
      </c>
      <c r="C126" s="52" t="s">
        <v>20</v>
      </c>
      <c r="D126" s="52">
        <f t="shared" si="18"/>
        <v>9</v>
      </c>
      <c r="E126" s="53"/>
      <c r="F126" s="53" t="s">
        <v>29</v>
      </c>
      <c r="G126" s="19">
        <f t="shared" si="21"/>
        <v>0.78</v>
      </c>
      <c r="H126" s="19">
        <f t="shared" si="22"/>
        <v>9.84</v>
      </c>
      <c r="I126" s="19">
        <f t="shared" si="23"/>
        <v>4.74</v>
      </c>
      <c r="J126" s="54"/>
      <c r="K126" s="54"/>
      <c r="L126" s="54"/>
      <c r="M126" s="54"/>
      <c r="N126" s="36">
        <f t="shared" si="14"/>
        <v>15.36</v>
      </c>
      <c r="O126" s="56">
        <f t="shared" si="19"/>
        <v>17.224822539422792</v>
      </c>
      <c r="P126" s="37">
        <v>8</v>
      </c>
      <c r="Q126" s="37">
        <v>10</v>
      </c>
      <c r="R126" s="37">
        <v>9</v>
      </c>
      <c r="S126" s="37">
        <v>9</v>
      </c>
      <c r="T126" s="37">
        <v>9</v>
      </c>
      <c r="U126" s="37">
        <v>9</v>
      </c>
      <c r="V126" s="37">
        <v>9</v>
      </c>
      <c r="W126" s="38" t="str">
        <f t="shared" si="15"/>
        <v>N</v>
      </c>
      <c r="X126" s="64">
        <f t="shared" si="16"/>
        <v>0</v>
      </c>
      <c r="Y126" s="64" t="str">
        <f t="shared" si="17"/>
        <v>0-4.9%</v>
      </c>
      <c r="Z126" s="75" t="s">
        <v>108</v>
      </c>
      <c r="AB126" s="54">
        <v>780</v>
      </c>
      <c r="AC126" s="54">
        <v>9840</v>
      </c>
      <c r="AD126" s="54">
        <v>4740</v>
      </c>
      <c r="AE126" s="54"/>
      <c r="AF126" s="54"/>
      <c r="AG126" s="54"/>
      <c r="AH126" s="54"/>
    </row>
    <row r="127" spans="1:34" s="59" customFormat="1" ht="24" customHeight="1" x14ac:dyDescent="0.25">
      <c r="A127" s="50">
        <v>12</v>
      </c>
      <c r="B127" s="51">
        <v>0.5131944444444444</v>
      </c>
      <c r="C127" s="52" t="s">
        <v>20</v>
      </c>
      <c r="D127" s="52">
        <f t="shared" si="18"/>
        <v>9</v>
      </c>
      <c r="E127" s="53"/>
      <c r="F127" s="53" t="s">
        <v>29</v>
      </c>
      <c r="G127" s="19">
        <f t="shared" si="21"/>
        <v>9.4</v>
      </c>
      <c r="H127" s="19">
        <f t="shared" si="22"/>
        <v>14.9</v>
      </c>
      <c r="I127" s="19">
        <f t="shared" si="23"/>
        <v>16.3</v>
      </c>
      <c r="J127" s="54"/>
      <c r="K127" s="54"/>
      <c r="L127" s="54"/>
      <c r="M127" s="54"/>
      <c r="N127" s="36">
        <f t="shared" si="14"/>
        <v>40.6</v>
      </c>
      <c r="O127" s="56">
        <f t="shared" si="19"/>
        <v>1366.9777216611267</v>
      </c>
      <c r="P127" s="37">
        <v>8</v>
      </c>
      <c r="Q127" s="37">
        <v>10</v>
      </c>
      <c r="R127" s="37">
        <v>9</v>
      </c>
      <c r="S127" s="37">
        <v>9</v>
      </c>
      <c r="T127" s="37">
        <v>9</v>
      </c>
      <c r="U127" s="37">
        <v>9</v>
      </c>
      <c r="V127" s="37">
        <v>9</v>
      </c>
      <c r="W127" s="38" t="str">
        <f t="shared" si="15"/>
        <v>Y</v>
      </c>
      <c r="X127" s="64">
        <f t="shared" si="16"/>
        <v>0.73000000000000009</v>
      </c>
      <c r="Y127" s="64" t="str">
        <f t="shared" si="17"/>
        <v>Over 50%</v>
      </c>
      <c r="Z127" s="71" t="s">
        <v>121</v>
      </c>
      <c r="AB127" s="54">
        <v>9400</v>
      </c>
      <c r="AC127" s="54">
        <v>14900</v>
      </c>
      <c r="AD127" s="54">
        <v>16300</v>
      </c>
      <c r="AE127" s="54"/>
      <c r="AF127" s="54"/>
      <c r="AG127" s="54"/>
      <c r="AH127" s="54"/>
    </row>
    <row r="128" spans="1:34" s="59" customFormat="1" ht="24" customHeight="1" x14ac:dyDescent="0.25">
      <c r="A128" s="50">
        <v>19</v>
      </c>
      <c r="B128" s="51">
        <v>0.51944444444444449</v>
      </c>
      <c r="C128" s="52" t="s">
        <v>20</v>
      </c>
      <c r="D128" s="52">
        <f t="shared" si="18"/>
        <v>9</v>
      </c>
      <c r="E128" s="53"/>
      <c r="F128" s="53" t="s">
        <v>29</v>
      </c>
      <c r="G128" s="19">
        <f t="shared" si="21"/>
        <v>4.7300000000000004</v>
      </c>
      <c r="H128" s="19">
        <f t="shared" si="22"/>
        <v>12.62</v>
      </c>
      <c r="I128" s="19">
        <f t="shared" si="23"/>
        <v>4.7</v>
      </c>
      <c r="J128" s="54"/>
      <c r="K128" s="54"/>
      <c r="L128" s="54"/>
      <c r="M128" s="54"/>
      <c r="N128" s="36">
        <f t="shared" si="14"/>
        <v>22.05</v>
      </c>
      <c r="O128" s="56">
        <f t="shared" si="19"/>
        <v>87.646173000435681</v>
      </c>
      <c r="P128" s="37">
        <v>8</v>
      </c>
      <c r="Q128" s="37">
        <v>10</v>
      </c>
      <c r="R128" s="37">
        <v>9</v>
      </c>
      <c r="S128" s="37">
        <v>9</v>
      </c>
      <c r="T128" s="37">
        <v>9</v>
      </c>
      <c r="U128" s="37">
        <v>9</v>
      </c>
      <c r="V128" s="37">
        <v>9</v>
      </c>
      <c r="W128" s="38" t="str">
        <f t="shared" si="15"/>
        <v>Y</v>
      </c>
      <c r="X128" s="64">
        <f t="shared" si="16"/>
        <v>0.2619999999999999</v>
      </c>
      <c r="Y128" s="64" t="str">
        <f t="shared" si="17"/>
        <v>25-50%</v>
      </c>
      <c r="Z128" s="75" t="s">
        <v>117</v>
      </c>
      <c r="AB128" s="54">
        <v>4730</v>
      </c>
      <c r="AC128" s="54">
        <v>12620</v>
      </c>
      <c r="AD128" s="54">
        <v>4700</v>
      </c>
      <c r="AE128" s="54"/>
      <c r="AF128" s="54"/>
      <c r="AG128" s="54"/>
      <c r="AH128" s="54"/>
    </row>
    <row r="129" spans="1:34" s="59" customFormat="1" ht="24" customHeight="1" x14ac:dyDescent="0.25">
      <c r="A129" s="50">
        <v>29</v>
      </c>
      <c r="B129" s="51">
        <v>0.53819444444444442</v>
      </c>
      <c r="C129" s="52" t="s">
        <v>20</v>
      </c>
      <c r="D129" s="52">
        <f t="shared" si="18"/>
        <v>9</v>
      </c>
      <c r="E129" s="53"/>
      <c r="F129" s="53" t="s">
        <v>29</v>
      </c>
      <c r="G129" s="19">
        <f t="shared" si="21"/>
        <v>6.42</v>
      </c>
      <c r="H129" s="19">
        <f t="shared" si="22"/>
        <v>10.42</v>
      </c>
      <c r="I129" s="19">
        <f t="shared" si="23"/>
        <v>10.34</v>
      </c>
      <c r="J129" s="54"/>
      <c r="K129" s="54"/>
      <c r="L129" s="54"/>
      <c r="M129" s="54"/>
      <c r="N129" s="36">
        <f t="shared" si="14"/>
        <v>27.18</v>
      </c>
      <c r="O129" s="56">
        <f t="shared" si="19"/>
        <v>224.65537893690507</v>
      </c>
      <c r="P129" s="37">
        <v>8</v>
      </c>
      <c r="Q129" s="37">
        <v>10</v>
      </c>
      <c r="R129" s="37">
        <v>9</v>
      </c>
      <c r="S129" s="37">
        <v>9</v>
      </c>
      <c r="T129" s="37">
        <v>9</v>
      </c>
      <c r="U129" s="37">
        <v>9</v>
      </c>
      <c r="V129" s="37">
        <v>9</v>
      </c>
      <c r="W129" s="38" t="str">
        <f t="shared" si="15"/>
        <v>Y</v>
      </c>
      <c r="X129" s="64">
        <f t="shared" si="16"/>
        <v>0.13399999999999998</v>
      </c>
      <c r="Y129" s="64" t="str">
        <f t="shared" si="17"/>
        <v>5-25%</v>
      </c>
      <c r="Z129" s="71" t="s">
        <v>121</v>
      </c>
      <c r="AB129" s="54">
        <v>6420</v>
      </c>
      <c r="AC129" s="54">
        <v>10420</v>
      </c>
      <c r="AD129" s="54">
        <v>10340</v>
      </c>
      <c r="AE129" s="54"/>
      <c r="AF129" s="54"/>
      <c r="AG129" s="54"/>
      <c r="AH129" s="54"/>
    </row>
    <row r="130" spans="1:34" s="59" customFormat="1" ht="24" customHeight="1" x14ac:dyDescent="0.25">
      <c r="A130" s="50">
        <v>49</v>
      </c>
      <c r="B130" s="51">
        <v>7.8472222222222221E-2</v>
      </c>
      <c r="C130" s="52" t="s">
        <v>20</v>
      </c>
      <c r="D130" s="52">
        <f t="shared" si="18"/>
        <v>9</v>
      </c>
      <c r="E130" s="53"/>
      <c r="F130" s="53" t="s">
        <v>29</v>
      </c>
      <c r="G130" s="19">
        <f t="shared" si="21"/>
        <v>7.36</v>
      </c>
      <c r="H130" s="19">
        <f t="shared" si="22"/>
        <v>8.06</v>
      </c>
      <c r="I130" s="19">
        <f t="shared" si="23"/>
        <v>8.0500000000000007</v>
      </c>
      <c r="J130" s="54"/>
      <c r="K130" s="54"/>
      <c r="L130" s="54"/>
      <c r="M130" s="54"/>
      <c r="N130" s="36">
        <f t="shared" si="14"/>
        <v>23.470000000000002</v>
      </c>
      <c r="O130" s="56">
        <f t="shared" si="19"/>
        <v>116.06551126648935</v>
      </c>
      <c r="P130" s="37">
        <v>8</v>
      </c>
      <c r="Q130" s="37">
        <v>10</v>
      </c>
      <c r="R130" s="37">
        <v>9</v>
      </c>
      <c r="S130" s="37">
        <v>9</v>
      </c>
      <c r="T130" s="37">
        <v>9</v>
      </c>
      <c r="U130" s="37">
        <v>9</v>
      </c>
      <c r="V130" s="37">
        <v>9</v>
      </c>
      <c r="W130" s="38" t="str">
        <f t="shared" si="15"/>
        <v>N</v>
      </c>
      <c r="X130" s="64">
        <f t="shared" si="16"/>
        <v>0</v>
      </c>
      <c r="Y130" s="64" t="str">
        <f t="shared" si="17"/>
        <v>0-4.9%</v>
      </c>
      <c r="Z130" s="71" t="s">
        <v>121</v>
      </c>
      <c r="AB130" s="54">
        <v>7360</v>
      </c>
      <c r="AC130" s="54">
        <v>8060</v>
      </c>
      <c r="AD130" s="54">
        <v>8050</v>
      </c>
      <c r="AE130" s="54"/>
      <c r="AF130" s="54"/>
      <c r="AG130" s="54"/>
      <c r="AH130" s="54"/>
    </row>
    <row r="131" spans="1:34" s="59" customFormat="1" ht="24" customHeight="1" x14ac:dyDescent="0.25">
      <c r="A131" s="50">
        <v>54</v>
      </c>
      <c r="B131" s="51">
        <v>8.5416666666666655E-2</v>
      </c>
      <c r="C131" s="52" t="s">
        <v>20</v>
      </c>
      <c r="D131" s="52">
        <f t="shared" si="18"/>
        <v>9</v>
      </c>
      <c r="E131" s="53"/>
      <c r="F131" s="53" t="s">
        <v>29</v>
      </c>
      <c r="G131" s="19">
        <f t="shared" si="21"/>
        <v>8.16</v>
      </c>
      <c r="H131" s="19">
        <f t="shared" si="22"/>
        <v>8.0399999999999991</v>
      </c>
      <c r="I131" s="19">
        <f t="shared" si="23"/>
        <v>10.72</v>
      </c>
      <c r="J131" s="54"/>
      <c r="K131" s="54"/>
      <c r="L131" s="54"/>
      <c r="M131" s="54"/>
      <c r="N131" s="36">
        <f t="shared" si="14"/>
        <v>26.92</v>
      </c>
      <c r="O131" s="56">
        <f t="shared" si="19"/>
        <v>215.14538547306353</v>
      </c>
      <c r="P131" s="37">
        <v>8</v>
      </c>
      <c r="Q131" s="37">
        <v>10</v>
      </c>
      <c r="R131" s="37">
        <v>9</v>
      </c>
      <c r="S131" s="37">
        <v>9</v>
      </c>
      <c r="T131" s="37">
        <v>9</v>
      </c>
      <c r="U131" s="37">
        <v>9</v>
      </c>
      <c r="V131" s="37">
        <v>9</v>
      </c>
      <c r="W131" s="38" t="str">
        <f t="shared" si="15"/>
        <v>Y</v>
      </c>
      <c r="X131" s="64">
        <f t="shared" si="16"/>
        <v>0.17200000000000007</v>
      </c>
      <c r="Y131" s="64" t="str">
        <f t="shared" si="17"/>
        <v>5-25%</v>
      </c>
      <c r="Z131" s="71" t="s">
        <v>121</v>
      </c>
      <c r="AB131" s="54">
        <v>8160</v>
      </c>
      <c r="AC131" s="54">
        <v>8040</v>
      </c>
      <c r="AD131" s="54">
        <v>10720</v>
      </c>
      <c r="AE131" s="54"/>
      <c r="AF131" s="54"/>
      <c r="AG131" s="54"/>
      <c r="AH131" s="54"/>
    </row>
    <row r="132" spans="1:34" ht="24" customHeight="1" x14ac:dyDescent="0.25">
      <c r="A132" s="10">
        <v>5</v>
      </c>
      <c r="B132" s="9">
        <v>0.40902777777777777</v>
      </c>
      <c r="C132" s="5" t="s">
        <v>20</v>
      </c>
      <c r="D132" s="5">
        <f t="shared" si="18"/>
        <v>10</v>
      </c>
      <c r="E132" s="15"/>
      <c r="F132" s="15" t="s">
        <v>43</v>
      </c>
      <c r="G132" s="19">
        <f t="shared" si="21"/>
        <v>11.84</v>
      </c>
      <c r="H132" s="19">
        <f t="shared" si="22"/>
        <v>12.72</v>
      </c>
      <c r="I132" s="19">
        <f t="shared" si="23"/>
        <v>21.64</v>
      </c>
      <c r="J132" s="19">
        <f t="shared" ref="J132" si="24">AE132/1000</f>
        <v>14.14</v>
      </c>
      <c r="K132" s="19">
        <f t="shared" ref="K132" si="25">AF132/1000</f>
        <v>1.44</v>
      </c>
      <c r="L132" s="19">
        <f t="shared" ref="L132" si="26">AG132/1000</f>
        <v>0</v>
      </c>
      <c r="M132" s="19">
        <f t="shared" ref="M132" si="27">AH132/1000</f>
        <v>0</v>
      </c>
      <c r="N132" s="36">
        <f t="shared" si="14"/>
        <v>61.78</v>
      </c>
      <c r="O132" s="36">
        <f t="shared" si="19"/>
        <v>9040.8622756763998</v>
      </c>
      <c r="P132" s="37">
        <v>8</v>
      </c>
      <c r="Q132" s="37">
        <v>10</v>
      </c>
      <c r="R132" s="37">
        <v>9</v>
      </c>
      <c r="S132" s="37">
        <v>9</v>
      </c>
      <c r="T132" s="37">
        <v>9</v>
      </c>
      <c r="U132" s="37">
        <v>9</v>
      </c>
      <c r="V132" s="37">
        <v>9</v>
      </c>
      <c r="W132" s="38" t="str">
        <f t="shared" si="15"/>
        <v>Y</v>
      </c>
      <c r="X132" s="64">
        <f t="shared" si="16"/>
        <v>1.264</v>
      </c>
      <c r="Y132" s="64" t="str">
        <f t="shared" si="17"/>
        <v>Over 50%</v>
      </c>
      <c r="Z132" s="75" t="s">
        <v>117</v>
      </c>
      <c r="AB132" s="32">
        <v>11840</v>
      </c>
      <c r="AC132" s="32">
        <v>12720</v>
      </c>
      <c r="AD132" s="32">
        <v>21640</v>
      </c>
      <c r="AE132" s="32">
        <v>14140</v>
      </c>
      <c r="AF132" s="32">
        <v>1440</v>
      </c>
      <c r="AG132" s="32"/>
      <c r="AH132" s="13"/>
    </row>
    <row r="133" spans="1:34" ht="24" customHeight="1" x14ac:dyDescent="0.25">
      <c r="A133" s="10">
        <v>18</v>
      </c>
      <c r="B133" s="9">
        <v>0.4375</v>
      </c>
      <c r="C133" s="5" t="s">
        <v>20</v>
      </c>
      <c r="D133" s="5">
        <f t="shared" si="18"/>
        <v>10</v>
      </c>
      <c r="E133" s="15"/>
      <c r="F133" s="15" t="s">
        <v>24</v>
      </c>
      <c r="G133" s="19">
        <f t="shared" ref="G133:G187" si="28">AB133/1000</f>
        <v>8.1199999999999992</v>
      </c>
      <c r="H133" s="19">
        <f t="shared" ref="H133:H187" si="29">AC133/1000</f>
        <v>14.42</v>
      </c>
      <c r="I133" s="19">
        <f t="shared" ref="I133:I187" si="30">AD133/1000</f>
        <v>12.52</v>
      </c>
      <c r="J133" s="19">
        <f t="shared" ref="J133:J187" si="31">AE133/1000</f>
        <v>12.08</v>
      </c>
      <c r="K133" s="19">
        <f t="shared" ref="K133:K187" si="32">AF133/1000</f>
        <v>13.42</v>
      </c>
      <c r="L133" s="19">
        <f t="shared" ref="L133:L187" si="33">AG133/1000</f>
        <v>14.9</v>
      </c>
      <c r="M133" s="19">
        <f t="shared" ref="M133:M187" si="34">AH133/1000</f>
        <v>0</v>
      </c>
      <c r="N133" s="36">
        <f t="shared" si="14"/>
        <v>75.460000000000008</v>
      </c>
      <c r="O133" s="36">
        <f t="shared" si="19"/>
        <v>22239.237329110147</v>
      </c>
      <c r="P133" s="37">
        <v>8</v>
      </c>
      <c r="Q133" s="37">
        <v>10</v>
      </c>
      <c r="R133" s="37">
        <v>9</v>
      </c>
      <c r="S133" s="37">
        <v>9</v>
      </c>
      <c r="T133" s="37">
        <v>9</v>
      </c>
      <c r="U133" s="37">
        <v>9</v>
      </c>
      <c r="V133" s="37">
        <v>9</v>
      </c>
      <c r="W133" s="38" t="str">
        <f t="shared" si="15"/>
        <v>Y</v>
      </c>
      <c r="X133" s="64">
        <f t="shared" si="16"/>
        <v>0.59000000000000008</v>
      </c>
      <c r="Y133" s="64" t="str">
        <f t="shared" si="17"/>
        <v>Over 50%</v>
      </c>
      <c r="Z133" s="71" t="s">
        <v>121</v>
      </c>
      <c r="AB133" s="32">
        <v>8120</v>
      </c>
      <c r="AC133" s="32">
        <v>14420</v>
      </c>
      <c r="AD133" s="32">
        <v>12520</v>
      </c>
      <c r="AE133" s="32">
        <v>12080</v>
      </c>
      <c r="AF133" s="32">
        <v>13420</v>
      </c>
      <c r="AG133" s="32">
        <v>14900</v>
      </c>
      <c r="AH133" s="13"/>
    </row>
    <row r="134" spans="1:34" ht="24" customHeight="1" x14ac:dyDescent="0.25">
      <c r="A134" s="10">
        <v>19</v>
      </c>
      <c r="B134" s="9">
        <v>0.43958333333333338</v>
      </c>
      <c r="C134" s="5" t="s">
        <v>20</v>
      </c>
      <c r="D134" s="5">
        <f t="shared" si="18"/>
        <v>10</v>
      </c>
      <c r="E134" s="15"/>
      <c r="F134" s="15" t="s">
        <v>24</v>
      </c>
      <c r="G134" s="19">
        <f t="shared" si="28"/>
        <v>7.54</v>
      </c>
      <c r="H134" s="19">
        <f t="shared" si="29"/>
        <v>14.62</v>
      </c>
      <c r="I134" s="19">
        <f t="shared" si="30"/>
        <v>12.86</v>
      </c>
      <c r="J134" s="19">
        <f t="shared" si="31"/>
        <v>11.1</v>
      </c>
      <c r="K134" s="19">
        <f t="shared" si="32"/>
        <v>7.46</v>
      </c>
      <c r="L134" s="19">
        <f t="shared" si="33"/>
        <v>11.08</v>
      </c>
      <c r="M134" s="19">
        <f t="shared" si="34"/>
        <v>0</v>
      </c>
      <c r="N134" s="36">
        <f t="shared" si="14"/>
        <v>64.66</v>
      </c>
      <c r="O134" s="36">
        <f t="shared" si="19"/>
        <v>11098.261073087222</v>
      </c>
      <c r="P134" s="37">
        <v>8</v>
      </c>
      <c r="Q134" s="37">
        <v>10</v>
      </c>
      <c r="R134" s="37">
        <v>9</v>
      </c>
      <c r="S134" s="37">
        <v>9</v>
      </c>
      <c r="T134" s="37">
        <v>9</v>
      </c>
      <c r="U134" s="37">
        <v>9</v>
      </c>
      <c r="V134" s="37">
        <v>9</v>
      </c>
      <c r="W134" s="38" t="str">
        <f t="shared" si="15"/>
        <v>Y</v>
      </c>
      <c r="X134" s="64">
        <f t="shared" si="16"/>
        <v>0.46199999999999991</v>
      </c>
      <c r="Y134" s="64" t="str">
        <f t="shared" si="17"/>
        <v>25-50%</v>
      </c>
      <c r="Z134" s="71" t="s">
        <v>121</v>
      </c>
      <c r="AB134" s="32">
        <v>7540</v>
      </c>
      <c r="AC134" s="32">
        <v>14620</v>
      </c>
      <c r="AD134" s="32">
        <v>12860</v>
      </c>
      <c r="AE134" s="32">
        <v>11100</v>
      </c>
      <c r="AF134" s="32">
        <v>7460</v>
      </c>
      <c r="AG134" s="32">
        <v>11080</v>
      </c>
      <c r="AH134" s="13"/>
    </row>
    <row r="135" spans="1:34" ht="24" customHeight="1" x14ac:dyDescent="0.25">
      <c r="A135" s="10">
        <v>21</v>
      </c>
      <c r="B135" s="9">
        <v>0.46249999999999997</v>
      </c>
      <c r="C135" s="5" t="s">
        <v>20</v>
      </c>
      <c r="D135" s="5">
        <f t="shared" ref="D135:D166" si="35">IF(COUNT(G135:M135)&gt;3,10,IF(COUNT(G135:M135)&gt;2,9,7))</f>
        <v>10</v>
      </c>
      <c r="E135" s="15"/>
      <c r="F135" s="15" t="s">
        <v>24</v>
      </c>
      <c r="G135" s="19">
        <f t="shared" si="28"/>
        <v>7.54</v>
      </c>
      <c r="H135" s="19">
        <f t="shared" si="29"/>
        <v>14.62</v>
      </c>
      <c r="I135" s="19">
        <f t="shared" si="30"/>
        <v>12.86</v>
      </c>
      <c r="J135" s="19">
        <f t="shared" si="31"/>
        <v>11.1</v>
      </c>
      <c r="K135" s="19">
        <f t="shared" si="32"/>
        <v>7.46</v>
      </c>
      <c r="L135" s="19">
        <f t="shared" si="33"/>
        <v>11.08</v>
      </c>
      <c r="M135" s="19">
        <f t="shared" si="34"/>
        <v>0</v>
      </c>
      <c r="N135" s="36">
        <f t="shared" si="14"/>
        <v>64.66</v>
      </c>
      <c r="O135" s="36">
        <f t="shared" ref="O135:O166" si="36">(N135/8.16)^4.5</f>
        <v>11098.261073087222</v>
      </c>
      <c r="P135" s="37">
        <v>8</v>
      </c>
      <c r="Q135" s="37">
        <v>10</v>
      </c>
      <c r="R135" s="37">
        <v>9</v>
      </c>
      <c r="S135" s="37">
        <v>9</v>
      </c>
      <c r="T135" s="37">
        <v>9</v>
      </c>
      <c r="U135" s="37">
        <v>9</v>
      </c>
      <c r="V135" s="37">
        <v>9</v>
      </c>
      <c r="W135" s="38" t="str">
        <f t="shared" si="15"/>
        <v>Y</v>
      </c>
      <c r="X135" s="64">
        <f t="shared" si="16"/>
        <v>0.46199999999999991</v>
      </c>
      <c r="Y135" s="64" t="str">
        <f t="shared" si="17"/>
        <v>25-50%</v>
      </c>
      <c r="Z135" s="75" t="s">
        <v>108</v>
      </c>
      <c r="AB135" s="32">
        <v>7540</v>
      </c>
      <c r="AC135" s="32">
        <v>14620</v>
      </c>
      <c r="AD135" s="32">
        <v>12860</v>
      </c>
      <c r="AE135" s="32">
        <v>11100</v>
      </c>
      <c r="AF135" s="32">
        <v>7460</v>
      </c>
      <c r="AG135" s="32">
        <v>11080</v>
      </c>
      <c r="AH135" s="13"/>
    </row>
    <row r="136" spans="1:34" ht="24" customHeight="1" x14ac:dyDescent="0.25">
      <c r="A136" s="10">
        <v>24</v>
      </c>
      <c r="B136" s="9">
        <v>0.48472222222222222</v>
      </c>
      <c r="C136" s="5" t="s">
        <v>20</v>
      </c>
      <c r="D136" s="5">
        <f t="shared" si="35"/>
        <v>10</v>
      </c>
      <c r="E136" s="15"/>
      <c r="F136" s="15" t="s">
        <v>45</v>
      </c>
      <c r="G136" s="19">
        <f t="shared" si="28"/>
        <v>7.06</v>
      </c>
      <c r="H136" s="19">
        <f t="shared" si="29"/>
        <v>5.12</v>
      </c>
      <c r="I136" s="19">
        <f t="shared" si="30"/>
        <v>6.82</v>
      </c>
      <c r="J136" s="19">
        <f t="shared" si="31"/>
        <v>2.82</v>
      </c>
      <c r="K136" s="19">
        <f t="shared" si="32"/>
        <v>2.04</v>
      </c>
      <c r="L136" s="19">
        <f t="shared" si="33"/>
        <v>0</v>
      </c>
      <c r="M136" s="19">
        <f t="shared" si="34"/>
        <v>0</v>
      </c>
      <c r="N136" s="36">
        <f t="shared" ref="N136:N187" si="37">SUM(G136:M136)</f>
        <v>23.86</v>
      </c>
      <c r="O136" s="36">
        <f t="shared" si="36"/>
        <v>125.00035966546665</v>
      </c>
      <c r="P136" s="37">
        <v>8</v>
      </c>
      <c r="Q136" s="37">
        <v>10</v>
      </c>
      <c r="R136" s="37">
        <v>9</v>
      </c>
      <c r="S136" s="37">
        <v>9</v>
      </c>
      <c r="T136" s="37">
        <v>9</v>
      </c>
      <c r="U136" s="37">
        <v>9</v>
      </c>
      <c r="V136" s="37">
        <v>9</v>
      </c>
      <c r="W136" s="38" t="str">
        <f t="shared" ref="W136:W187" si="38">IF(G136&gt;P136,"Y",IF(H136&gt;Q136,"Y",IF(I136&gt;R136,"Y",IF(J136&gt;S136,"Y",IF(K136&gt;T136,"Y",IF(L136&gt;U136,"Y",IF(M136&gt;V136,"Y","N")))))))</f>
        <v>N</v>
      </c>
      <c r="X136" s="64">
        <f t="shared" ref="X136:X187" si="39">IF(W136="Y",MAX((G136-P136),(H136-Q136),(I136-R136),(J136-S136),(K136-T136),(L136-U136),(M136-V136))/10,0)</f>
        <v>0</v>
      </c>
      <c r="Y136" s="64" t="str">
        <f t="shared" ref="Y136:Y187" si="40">IF(X136&lt;5%,"0-4.9%",IF(X136&lt;25%,"5-25%",IF(X136&lt;50%,"25-50%","Over 50%")))</f>
        <v>0-4.9%</v>
      </c>
      <c r="Z136" s="75" t="s">
        <v>108</v>
      </c>
      <c r="AB136" s="32">
        <v>7060</v>
      </c>
      <c r="AC136" s="32">
        <v>5120</v>
      </c>
      <c r="AD136" s="32">
        <v>6820</v>
      </c>
      <c r="AE136" s="32">
        <v>2820</v>
      </c>
      <c r="AF136" s="32">
        <v>2040</v>
      </c>
      <c r="AG136" s="32"/>
      <c r="AH136" s="13"/>
    </row>
    <row r="137" spans="1:34" ht="24" customHeight="1" x14ac:dyDescent="0.25">
      <c r="A137" s="10">
        <v>25</v>
      </c>
      <c r="B137" s="9">
        <v>0.49027777777777781</v>
      </c>
      <c r="C137" s="5" t="s">
        <v>20</v>
      </c>
      <c r="D137" s="5">
        <f t="shared" si="35"/>
        <v>10</v>
      </c>
      <c r="E137" s="15"/>
      <c r="F137" s="15" t="s">
        <v>43</v>
      </c>
      <c r="G137" s="19">
        <f t="shared" si="28"/>
        <v>9.8800000000000008</v>
      </c>
      <c r="H137" s="19">
        <f t="shared" si="29"/>
        <v>1.35</v>
      </c>
      <c r="I137" s="19">
        <f t="shared" si="30"/>
        <v>7.06</v>
      </c>
      <c r="J137" s="19">
        <f t="shared" si="31"/>
        <v>8.06</v>
      </c>
      <c r="K137" s="19">
        <f t="shared" si="32"/>
        <v>7.04</v>
      </c>
      <c r="L137" s="19">
        <f t="shared" si="33"/>
        <v>0</v>
      </c>
      <c r="M137" s="19">
        <f t="shared" si="34"/>
        <v>0</v>
      </c>
      <c r="N137" s="36">
        <f t="shared" si="37"/>
        <v>33.39</v>
      </c>
      <c r="O137" s="36">
        <f t="shared" si="36"/>
        <v>567.11113080095822</v>
      </c>
      <c r="P137" s="37">
        <v>8</v>
      </c>
      <c r="Q137" s="37">
        <v>10</v>
      </c>
      <c r="R137" s="37">
        <v>9</v>
      </c>
      <c r="S137" s="37">
        <v>9</v>
      </c>
      <c r="T137" s="37">
        <v>9</v>
      </c>
      <c r="U137" s="37">
        <v>9</v>
      </c>
      <c r="V137" s="37">
        <v>9</v>
      </c>
      <c r="W137" s="38" t="str">
        <f t="shared" si="38"/>
        <v>Y</v>
      </c>
      <c r="X137" s="64">
        <f t="shared" si="39"/>
        <v>0.18800000000000008</v>
      </c>
      <c r="Y137" s="64" t="str">
        <f t="shared" si="40"/>
        <v>5-25%</v>
      </c>
      <c r="Z137" s="75" t="s">
        <v>117</v>
      </c>
      <c r="AB137" s="32">
        <v>9880</v>
      </c>
      <c r="AC137" s="32">
        <v>1350</v>
      </c>
      <c r="AD137" s="32">
        <v>7060</v>
      </c>
      <c r="AE137" s="32">
        <v>8060</v>
      </c>
      <c r="AF137" s="32">
        <v>7040</v>
      </c>
      <c r="AG137" s="32"/>
      <c r="AH137" s="13"/>
    </row>
    <row r="138" spans="1:34" ht="24" customHeight="1" x14ac:dyDescent="0.25">
      <c r="A138" s="10">
        <v>28</v>
      </c>
      <c r="B138" s="9">
        <v>0.50694444444444442</v>
      </c>
      <c r="C138" s="5" t="s">
        <v>20</v>
      </c>
      <c r="D138" s="5">
        <f t="shared" si="35"/>
        <v>10</v>
      </c>
      <c r="E138" s="15"/>
      <c r="F138" s="15" t="s">
        <v>25</v>
      </c>
      <c r="G138" s="19">
        <f t="shared" si="28"/>
        <v>7.02</v>
      </c>
      <c r="H138" s="19">
        <f t="shared" si="29"/>
        <v>6.36</v>
      </c>
      <c r="I138" s="19">
        <f t="shared" si="30"/>
        <v>9.32</v>
      </c>
      <c r="J138" s="19">
        <f t="shared" si="31"/>
        <v>9.02</v>
      </c>
      <c r="K138" s="19">
        <f t="shared" si="32"/>
        <v>8.68</v>
      </c>
      <c r="L138" s="19">
        <f t="shared" si="33"/>
        <v>9.24</v>
      </c>
      <c r="M138" s="19">
        <f t="shared" si="34"/>
        <v>0</v>
      </c>
      <c r="N138" s="36">
        <f t="shared" si="37"/>
        <v>49.64</v>
      </c>
      <c r="O138" s="36">
        <f t="shared" si="36"/>
        <v>3377.8259150469353</v>
      </c>
      <c r="P138" s="37">
        <v>8</v>
      </c>
      <c r="Q138" s="37">
        <v>10</v>
      </c>
      <c r="R138" s="37">
        <v>9</v>
      </c>
      <c r="S138" s="37">
        <v>9</v>
      </c>
      <c r="T138" s="37">
        <v>9</v>
      </c>
      <c r="U138" s="37">
        <v>9</v>
      </c>
      <c r="V138" s="37">
        <v>9</v>
      </c>
      <c r="W138" s="38" t="str">
        <f t="shared" si="38"/>
        <v>Y</v>
      </c>
      <c r="X138" s="64">
        <f t="shared" si="39"/>
        <v>3.2000000000000028E-2</v>
      </c>
      <c r="Y138" s="64" t="str">
        <f t="shared" si="40"/>
        <v>0-4.9%</v>
      </c>
      <c r="Z138" s="75" t="s">
        <v>34</v>
      </c>
      <c r="AB138" s="32">
        <v>7020</v>
      </c>
      <c r="AC138" s="32">
        <v>6360</v>
      </c>
      <c r="AD138" s="32">
        <v>9320</v>
      </c>
      <c r="AE138" s="32">
        <v>9020</v>
      </c>
      <c r="AF138" s="32">
        <v>8680</v>
      </c>
      <c r="AG138" s="32">
        <v>9240</v>
      </c>
      <c r="AH138" s="13"/>
    </row>
    <row r="139" spans="1:34" ht="24" customHeight="1" x14ac:dyDescent="0.25">
      <c r="A139" s="10">
        <v>31</v>
      </c>
      <c r="B139" s="9">
        <v>0.51458333333333328</v>
      </c>
      <c r="C139" s="5" t="s">
        <v>21</v>
      </c>
      <c r="D139" s="5">
        <f t="shared" si="35"/>
        <v>10</v>
      </c>
      <c r="E139" s="15"/>
      <c r="F139" s="15" t="s">
        <v>25</v>
      </c>
      <c r="G139" s="19">
        <f t="shared" si="28"/>
        <v>6.76</v>
      </c>
      <c r="H139" s="19">
        <f t="shared" si="29"/>
        <v>3.34</v>
      </c>
      <c r="I139" s="19">
        <f t="shared" si="30"/>
        <v>4.8600000000000003</v>
      </c>
      <c r="J139" s="19">
        <f t="shared" si="31"/>
        <v>4.62</v>
      </c>
      <c r="K139" s="19">
        <f t="shared" si="32"/>
        <v>3.5</v>
      </c>
      <c r="L139" s="19">
        <f t="shared" si="33"/>
        <v>3.16</v>
      </c>
      <c r="M139" s="19">
        <f t="shared" si="34"/>
        <v>0</v>
      </c>
      <c r="N139" s="36">
        <f t="shared" si="37"/>
        <v>26.240000000000002</v>
      </c>
      <c r="O139" s="36">
        <f t="shared" si="36"/>
        <v>191.74830066190049</v>
      </c>
      <c r="P139" s="37">
        <v>8</v>
      </c>
      <c r="Q139" s="37">
        <v>10</v>
      </c>
      <c r="R139" s="37">
        <v>9</v>
      </c>
      <c r="S139" s="37">
        <v>9</v>
      </c>
      <c r="T139" s="37">
        <v>9</v>
      </c>
      <c r="U139" s="37">
        <v>9</v>
      </c>
      <c r="V139" s="37">
        <v>9</v>
      </c>
      <c r="W139" s="38" t="str">
        <f t="shared" si="38"/>
        <v>N</v>
      </c>
      <c r="X139" s="64">
        <f t="shared" si="39"/>
        <v>0</v>
      </c>
      <c r="Y139" s="64" t="str">
        <f t="shared" si="40"/>
        <v>0-4.9%</v>
      </c>
      <c r="Z139" s="75" t="s">
        <v>108</v>
      </c>
      <c r="AB139" s="32">
        <v>6760</v>
      </c>
      <c r="AC139" s="32">
        <v>3340</v>
      </c>
      <c r="AD139" s="32">
        <v>4860</v>
      </c>
      <c r="AE139" s="32">
        <v>4620</v>
      </c>
      <c r="AF139" s="32">
        <v>3500</v>
      </c>
      <c r="AG139" s="32">
        <v>3160</v>
      </c>
      <c r="AH139" s="13"/>
    </row>
    <row r="140" spans="1:34" ht="24" customHeight="1" x14ac:dyDescent="0.25">
      <c r="A140" s="10">
        <v>32</v>
      </c>
      <c r="B140" s="9">
        <v>0.51458333333333328</v>
      </c>
      <c r="C140" s="5" t="s">
        <v>21</v>
      </c>
      <c r="D140" s="5">
        <f t="shared" si="35"/>
        <v>10</v>
      </c>
      <c r="E140" s="15"/>
      <c r="F140" s="15" t="s">
        <v>25</v>
      </c>
      <c r="G140" s="19">
        <f t="shared" si="28"/>
        <v>6.78</v>
      </c>
      <c r="H140" s="19">
        <f t="shared" si="29"/>
        <v>3.04</v>
      </c>
      <c r="I140" s="19">
        <f t="shared" si="30"/>
        <v>5.42</v>
      </c>
      <c r="J140" s="19">
        <f t="shared" si="31"/>
        <v>3.68</v>
      </c>
      <c r="K140" s="19">
        <f t="shared" si="32"/>
        <v>3.02</v>
      </c>
      <c r="L140" s="19">
        <f t="shared" si="33"/>
        <v>4.1399999999999997</v>
      </c>
      <c r="M140" s="19">
        <f t="shared" si="34"/>
        <v>0</v>
      </c>
      <c r="N140" s="36">
        <f t="shared" si="37"/>
        <v>26.080000000000002</v>
      </c>
      <c r="O140" s="36">
        <f t="shared" si="36"/>
        <v>186.54277257810151</v>
      </c>
      <c r="P140" s="37">
        <v>8</v>
      </c>
      <c r="Q140" s="37">
        <v>10</v>
      </c>
      <c r="R140" s="37">
        <v>9</v>
      </c>
      <c r="S140" s="37">
        <v>9</v>
      </c>
      <c r="T140" s="37">
        <v>9</v>
      </c>
      <c r="U140" s="37">
        <v>9</v>
      </c>
      <c r="V140" s="37">
        <v>9</v>
      </c>
      <c r="W140" s="38" t="str">
        <f t="shared" si="38"/>
        <v>N</v>
      </c>
      <c r="X140" s="64">
        <f t="shared" si="39"/>
        <v>0</v>
      </c>
      <c r="Y140" s="64" t="str">
        <f t="shared" si="40"/>
        <v>0-4.9%</v>
      </c>
      <c r="Z140" s="75" t="s">
        <v>108</v>
      </c>
      <c r="AB140" s="32">
        <v>6780</v>
      </c>
      <c r="AC140" s="32">
        <v>3040</v>
      </c>
      <c r="AD140" s="32">
        <v>5420</v>
      </c>
      <c r="AE140" s="32">
        <v>3680</v>
      </c>
      <c r="AF140" s="32">
        <v>3020</v>
      </c>
      <c r="AG140" s="32">
        <v>4140</v>
      </c>
      <c r="AH140" s="13"/>
    </row>
    <row r="141" spans="1:34" ht="24" customHeight="1" x14ac:dyDescent="0.25">
      <c r="A141" s="10">
        <v>34</v>
      </c>
      <c r="B141" s="9">
        <v>0.52777777777777779</v>
      </c>
      <c r="C141" s="5" t="s">
        <v>20</v>
      </c>
      <c r="D141" s="5">
        <f t="shared" si="35"/>
        <v>10</v>
      </c>
      <c r="E141" s="15"/>
      <c r="F141" s="15" t="s">
        <v>25</v>
      </c>
      <c r="G141" s="19">
        <f t="shared" si="28"/>
        <v>6.66</v>
      </c>
      <c r="H141" s="19">
        <f t="shared" si="29"/>
        <v>4.4400000000000004</v>
      </c>
      <c r="I141" s="19">
        <f t="shared" si="30"/>
        <v>12.74</v>
      </c>
      <c r="J141" s="19">
        <f t="shared" si="31"/>
        <v>13.52</v>
      </c>
      <c r="K141" s="19">
        <f t="shared" si="32"/>
        <v>9.9600000000000009</v>
      </c>
      <c r="L141" s="19">
        <f t="shared" si="33"/>
        <v>10.56</v>
      </c>
      <c r="M141" s="19">
        <f t="shared" si="34"/>
        <v>0</v>
      </c>
      <c r="N141" s="36">
        <f t="shared" si="37"/>
        <v>57.88</v>
      </c>
      <c r="O141" s="36">
        <f t="shared" si="36"/>
        <v>6741.7498882291065</v>
      </c>
      <c r="P141" s="37">
        <v>8</v>
      </c>
      <c r="Q141" s="37">
        <v>10</v>
      </c>
      <c r="R141" s="37">
        <v>9</v>
      </c>
      <c r="S141" s="37">
        <v>9</v>
      </c>
      <c r="T141" s="37">
        <v>9</v>
      </c>
      <c r="U141" s="37">
        <v>9</v>
      </c>
      <c r="V141" s="37">
        <v>9</v>
      </c>
      <c r="W141" s="38" t="str">
        <f t="shared" si="38"/>
        <v>Y</v>
      </c>
      <c r="X141" s="64">
        <f t="shared" si="39"/>
        <v>0.45199999999999996</v>
      </c>
      <c r="Y141" s="64" t="str">
        <f t="shared" si="40"/>
        <v>25-50%</v>
      </c>
      <c r="Z141" s="75" t="s">
        <v>117</v>
      </c>
      <c r="AB141" s="32">
        <v>6660</v>
      </c>
      <c r="AC141" s="32">
        <v>4440</v>
      </c>
      <c r="AD141" s="32">
        <v>12740</v>
      </c>
      <c r="AE141" s="32">
        <v>13520</v>
      </c>
      <c r="AF141" s="32">
        <v>9960</v>
      </c>
      <c r="AG141" s="32">
        <v>10560</v>
      </c>
      <c r="AH141" s="13"/>
    </row>
    <row r="142" spans="1:34" ht="24" customHeight="1" x14ac:dyDescent="0.25">
      <c r="A142" s="10">
        <v>36</v>
      </c>
      <c r="B142" s="9">
        <v>0.54097222222222219</v>
      </c>
      <c r="C142" s="5" t="s">
        <v>20</v>
      </c>
      <c r="D142" s="5">
        <f t="shared" si="35"/>
        <v>10</v>
      </c>
      <c r="E142" s="15"/>
      <c r="F142" s="15" t="s">
        <v>24</v>
      </c>
      <c r="G142" s="19">
        <f t="shared" si="28"/>
        <v>7.58</v>
      </c>
      <c r="H142" s="19">
        <f t="shared" si="29"/>
        <v>14.68</v>
      </c>
      <c r="I142" s="19">
        <f t="shared" si="30"/>
        <v>14.04</v>
      </c>
      <c r="J142" s="19">
        <f t="shared" si="31"/>
        <v>10.48</v>
      </c>
      <c r="K142" s="19">
        <f t="shared" si="32"/>
        <v>15.8</v>
      </c>
      <c r="L142" s="19">
        <f t="shared" si="33"/>
        <v>9.06</v>
      </c>
      <c r="M142" s="19">
        <f t="shared" si="34"/>
        <v>0</v>
      </c>
      <c r="N142" s="36">
        <f t="shared" si="37"/>
        <v>71.64</v>
      </c>
      <c r="O142" s="36">
        <f t="shared" si="36"/>
        <v>17603.311856247503</v>
      </c>
      <c r="P142" s="37">
        <v>8</v>
      </c>
      <c r="Q142" s="37">
        <v>10</v>
      </c>
      <c r="R142" s="37">
        <v>9</v>
      </c>
      <c r="S142" s="37">
        <v>9</v>
      </c>
      <c r="T142" s="37">
        <v>9</v>
      </c>
      <c r="U142" s="37">
        <v>9</v>
      </c>
      <c r="V142" s="37">
        <v>9</v>
      </c>
      <c r="W142" s="38" t="str">
        <f t="shared" si="38"/>
        <v>Y</v>
      </c>
      <c r="X142" s="64">
        <f t="shared" si="39"/>
        <v>0.68</v>
      </c>
      <c r="Y142" s="64" t="str">
        <f t="shared" si="40"/>
        <v>Over 50%</v>
      </c>
      <c r="Z142" s="71" t="s">
        <v>121</v>
      </c>
      <c r="AB142" s="32">
        <v>7580</v>
      </c>
      <c r="AC142" s="32">
        <v>14680</v>
      </c>
      <c r="AD142" s="32">
        <v>14040</v>
      </c>
      <c r="AE142" s="32">
        <v>10480</v>
      </c>
      <c r="AF142" s="32">
        <v>15800</v>
      </c>
      <c r="AG142" s="32">
        <v>9060</v>
      </c>
      <c r="AH142" s="13"/>
    </row>
    <row r="143" spans="1:34" ht="24" customHeight="1" x14ac:dyDescent="0.25">
      <c r="A143" s="10">
        <v>41</v>
      </c>
      <c r="B143" s="9">
        <v>9.2361111111111116E-2</v>
      </c>
      <c r="C143" s="5" t="s">
        <v>20</v>
      </c>
      <c r="D143" s="5">
        <f t="shared" si="35"/>
        <v>10</v>
      </c>
      <c r="E143" s="15"/>
      <c r="F143" s="15" t="s">
        <v>24</v>
      </c>
      <c r="G143" s="19">
        <f t="shared" si="28"/>
        <v>9.7799999999999994</v>
      </c>
      <c r="H143" s="19">
        <f t="shared" si="29"/>
        <v>11.34</v>
      </c>
      <c r="I143" s="19">
        <f t="shared" si="30"/>
        <v>8.06</v>
      </c>
      <c r="J143" s="19">
        <f t="shared" si="31"/>
        <v>10.62</v>
      </c>
      <c r="K143" s="19">
        <f t="shared" si="32"/>
        <v>10.75</v>
      </c>
      <c r="L143" s="19">
        <f t="shared" si="33"/>
        <v>13.82</v>
      </c>
      <c r="M143" s="19">
        <f t="shared" si="34"/>
        <v>0</v>
      </c>
      <c r="N143" s="36">
        <f t="shared" si="37"/>
        <v>64.37</v>
      </c>
      <c r="O143" s="36">
        <f t="shared" si="36"/>
        <v>10876.02198200533</v>
      </c>
      <c r="P143" s="37">
        <v>8</v>
      </c>
      <c r="Q143" s="37">
        <v>10</v>
      </c>
      <c r="R143" s="37">
        <v>9</v>
      </c>
      <c r="S143" s="37">
        <v>9</v>
      </c>
      <c r="T143" s="37">
        <v>9</v>
      </c>
      <c r="U143" s="37">
        <v>9</v>
      </c>
      <c r="V143" s="37">
        <v>9</v>
      </c>
      <c r="W143" s="38" t="str">
        <f t="shared" si="38"/>
        <v>Y</v>
      </c>
      <c r="X143" s="64">
        <f t="shared" si="39"/>
        <v>0.48200000000000004</v>
      </c>
      <c r="Y143" s="64" t="str">
        <f t="shared" si="40"/>
        <v>25-50%</v>
      </c>
      <c r="Z143" s="75" t="s">
        <v>117</v>
      </c>
      <c r="AB143" s="32">
        <v>9780</v>
      </c>
      <c r="AC143" s="32">
        <v>11340</v>
      </c>
      <c r="AD143" s="32">
        <v>8060</v>
      </c>
      <c r="AE143" s="32">
        <v>10620</v>
      </c>
      <c r="AF143" s="32">
        <v>10750</v>
      </c>
      <c r="AG143" s="32">
        <v>13820</v>
      </c>
      <c r="AH143" s="13"/>
    </row>
    <row r="144" spans="1:34" ht="24" customHeight="1" x14ac:dyDescent="0.25">
      <c r="A144" s="10">
        <v>45</v>
      </c>
      <c r="B144" s="9">
        <v>0.10972222222222222</v>
      </c>
      <c r="C144" s="5" t="s">
        <v>20</v>
      </c>
      <c r="D144" s="5">
        <f t="shared" si="35"/>
        <v>10</v>
      </c>
      <c r="E144" s="15"/>
      <c r="F144" s="15" t="s">
        <v>24</v>
      </c>
      <c r="G144" s="19">
        <f t="shared" si="28"/>
        <v>8.24</v>
      </c>
      <c r="H144" s="19">
        <f t="shared" si="29"/>
        <v>13.86</v>
      </c>
      <c r="I144" s="19">
        <f t="shared" si="30"/>
        <v>10.119999999999999</v>
      </c>
      <c r="J144" s="19">
        <f t="shared" si="31"/>
        <v>10.32</v>
      </c>
      <c r="K144" s="19">
        <f>AF144/1000</f>
        <v>10.154</v>
      </c>
      <c r="L144" s="19">
        <f t="shared" si="33"/>
        <v>10.34</v>
      </c>
      <c r="M144" s="19">
        <f t="shared" si="34"/>
        <v>0</v>
      </c>
      <c r="N144" s="36">
        <f t="shared" si="37"/>
        <v>63.034000000000006</v>
      </c>
      <c r="O144" s="36">
        <f t="shared" si="36"/>
        <v>9896.4899693530224</v>
      </c>
      <c r="P144" s="37">
        <v>8</v>
      </c>
      <c r="Q144" s="37">
        <v>10</v>
      </c>
      <c r="R144" s="37">
        <v>9</v>
      </c>
      <c r="S144" s="37">
        <v>9</v>
      </c>
      <c r="T144" s="37">
        <v>9</v>
      </c>
      <c r="U144" s="37">
        <v>9</v>
      </c>
      <c r="V144" s="37">
        <v>9</v>
      </c>
      <c r="W144" s="38" t="str">
        <f t="shared" si="38"/>
        <v>Y</v>
      </c>
      <c r="X144" s="64">
        <f t="shared" si="39"/>
        <v>0.38599999999999995</v>
      </c>
      <c r="Y144" s="64" t="str">
        <f t="shared" si="40"/>
        <v>25-50%</v>
      </c>
      <c r="Z144" s="71" t="s">
        <v>121</v>
      </c>
      <c r="AB144" s="32">
        <v>8240</v>
      </c>
      <c r="AC144" s="32">
        <v>13860</v>
      </c>
      <c r="AD144" s="32">
        <v>10120</v>
      </c>
      <c r="AE144" s="32">
        <v>10320</v>
      </c>
      <c r="AF144" s="32">
        <v>10154</v>
      </c>
      <c r="AG144" s="32">
        <v>10340</v>
      </c>
      <c r="AH144" s="13"/>
    </row>
    <row r="145" spans="1:34" ht="24" customHeight="1" x14ac:dyDescent="0.25">
      <c r="A145" s="10">
        <v>52</v>
      </c>
      <c r="B145" s="9">
        <v>0.12638888888888888</v>
      </c>
      <c r="C145" s="5" t="s">
        <v>20</v>
      </c>
      <c r="D145" s="5">
        <f t="shared" si="35"/>
        <v>10</v>
      </c>
      <c r="E145" s="15"/>
      <c r="F145" s="15" t="s">
        <v>27</v>
      </c>
      <c r="G145" s="19">
        <f t="shared" si="28"/>
        <v>8.98</v>
      </c>
      <c r="H145" s="19">
        <f t="shared" si="29"/>
        <v>1.58</v>
      </c>
      <c r="I145" s="19">
        <f t="shared" si="30"/>
        <v>16.98</v>
      </c>
      <c r="J145" s="19">
        <f t="shared" si="31"/>
        <v>12.34</v>
      </c>
      <c r="K145" s="19">
        <f t="shared" si="32"/>
        <v>10.38</v>
      </c>
      <c r="L145" s="19">
        <f t="shared" si="33"/>
        <v>8.92</v>
      </c>
      <c r="M145" s="19">
        <f t="shared" si="34"/>
        <v>0</v>
      </c>
      <c r="N145" s="36">
        <f t="shared" si="37"/>
        <v>59.18</v>
      </c>
      <c r="O145" s="36">
        <f t="shared" si="36"/>
        <v>7450.4346427624669</v>
      </c>
      <c r="P145" s="37">
        <v>8</v>
      </c>
      <c r="Q145" s="37">
        <v>10</v>
      </c>
      <c r="R145" s="37">
        <v>9</v>
      </c>
      <c r="S145" s="37">
        <v>9</v>
      </c>
      <c r="T145" s="37">
        <v>9</v>
      </c>
      <c r="U145" s="37">
        <v>9</v>
      </c>
      <c r="V145" s="37">
        <v>9</v>
      </c>
      <c r="W145" s="38" t="str">
        <f t="shared" si="38"/>
        <v>Y</v>
      </c>
      <c r="X145" s="64">
        <f t="shared" si="39"/>
        <v>0.79800000000000004</v>
      </c>
      <c r="Y145" s="64" t="str">
        <f t="shared" si="40"/>
        <v>Over 50%</v>
      </c>
      <c r="Z145" s="71" t="s">
        <v>121</v>
      </c>
      <c r="AB145" s="32">
        <v>8980</v>
      </c>
      <c r="AC145" s="32">
        <v>1580</v>
      </c>
      <c r="AD145" s="32">
        <v>16980</v>
      </c>
      <c r="AE145" s="32">
        <v>12340</v>
      </c>
      <c r="AF145" s="32">
        <v>10380</v>
      </c>
      <c r="AG145" s="32">
        <v>8920</v>
      </c>
      <c r="AH145" s="13"/>
    </row>
    <row r="146" spans="1:34" ht="24" customHeight="1" x14ac:dyDescent="0.25">
      <c r="A146" s="10">
        <v>53</v>
      </c>
      <c r="B146" s="9">
        <v>0.12708333333333333</v>
      </c>
      <c r="C146" s="5" t="s">
        <v>20</v>
      </c>
      <c r="D146" s="5">
        <f t="shared" si="35"/>
        <v>10</v>
      </c>
      <c r="E146" s="15"/>
      <c r="F146" s="15" t="s">
        <v>25</v>
      </c>
      <c r="G146" s="19">
        <f t="shared" si="28"/>
        <v>8.6</v>
      </c>
      <c r="H146" s="19">
        <f t="shared" si="29"/>
        <v>10.54</v>
      </c>
      <c r="I146" s="19">
        <f t="shared" si="30"/>
        <v>12.6</v>
      </c>
      <c r="J146" s="19">
        <f t="shared" si="31"/>
        <v>10.88</v>
      </c>
      <c r="K146" s="19">
        <f t="shared" si="32"/>
        <v>10.54</v>
      </c>
      <c r="L146" s="19">
        <f t="shared" si="33"/>
        <v>10.72</v>
      </c>
      <c r="M146" s="19">
        <f t="shared" si="34"/>
        <v>0</v>
      </c>
      <c r="N146" s="36">
        <f t="shared" si="37"/>
        <v>63.88</v>
      </c>
      <c r="O146" s="36">
        <f t="shared" si="36"/>
        <v>10508.394518319819</v>
      </c>
      <c r="P146" s="37">
        <v>8</v>
      </c>
      <c r="Q146" s="37">
        <v>10</v>
      </c>
      <c r="R146" s="37">
        <v>9</v>
      </c>
      <c r="S146" s="37">
        <v>9</v>
      </c>
      <c r="T146" s="37">
        <v>9</v>
      </c>
      <c r="U146" s="37">
        <v>9</v>
      </c>
      <c r="V146" s="37">
        <v>9</v>
      </c>
      <c r="W146" s="38" t="str">
        <f t="shared" si="38"/>
        <v>Y</v>
      </c>
      <c r="X146" s="64">
        <f t="shared" si="39"/>
        <v>0.36</v>
      </c>
      <c r="Y146" s="64" t="str">
        <f t="shared" si="40"/>
        <v>25-50%</v>
      </c>
      <c r="Z146" s="71" t="s">
        <v>121</v>
      </c>
      <c r="AB146" s="32">
        <v>8600</v>
      </c>
      <c r="AC146" s="32">
        <v>10540</v>
      </c>
      <c r="AD146" s="32">
        <v>12600</v>
      </c>
      <c r="AE146" s="32">
        <v>10880</v>
      </c>
      <c r="AF146" s="32">
        <v>10540</v>
      </c>
      <c r="AG146" s="32">
        <v>10720</v>
      </c>
      <c r="AH146" s="13"/>
    </row>
    <row r="147" spans="1:34" ht="24" customHeight="1" x14ac:dyDescent="0.25">
      <c r="A147" s="10">
        <v>54</v>
      </c>
      <c r="B147" s="9">
        <v>0.12847222222222224</v>
      </c>
      <c r="C147" s="5" t="s">
        <v>20</v>
      </c>
      <c r="D147" s="5">
        <f t="shared" si="35"/>
        <v>10</v>
      </c>
      <c r="E147" s="15"/>
      <c r="F147" s="15" t="s">
        <v>27</v>
      </c>
      <c r="G147" s="19">
        <f t="shared" si="28"/>
        <v>7.96</v>
      </c>
      <c r="H147" s="19">
        <f t="shared" si="29"/>
        <v>3.94</v>
      </c>
      <c r="I147" s="19">
        <f t="shared" si="30"/>
        <v>10.199999999999999</v>
      </c>
      <c r="J147" s="19">
        <f t="shared" si="31"/>
        <v>10.72</v>
      </c>
      <c r="K147" s="19">
        <f t="shared" si="32"/>
        <v>10.74</v>
      </c>
      <c r="L147" s="19">
        <f t="shared" si="33"/>
        <v>10.36</v>
      </c>
      <c r="M147" s="19">
        <f t="shared" si="34"/>
        <v>0</v>
      </c>
      <c r="N147" s="36">
        <f t="shared" si="37"/>
        <v>53.92</v>
      </c>
      <c r="O147" s="36">
        <f t="shared" si="36"/>
        <v>4900.8201092373456</v>
      </c>
      <c r="P147" s="37">
        <v>8</v>
      </c>
      <c r="Q147" s="37">
        <v>10</v>
      </c>
      <c r="R147" s="37">
        <v>9</v>
      </c>
      <c r="S147" s="37">
        <v>9</v>
      </c>
      <c r="T147" s="37">
        <v>9</v>
      </c>
      <c r="U147" s="37">
        <v>9</v>
      </c>
      <c r="V147" s="37">
        <v>9</v>
      </c>
      <c r="W147" s="38" t="str">
        <f t="shared" si="38"/>
        <v>Y</v>
      </c>
      <c r="X147" s="64">
        <f t="shared" si="39"/>
        <v>0.17400000000000002</v>
      </c>
      <c r="Y147" s="64" t="str">
        <f t="shared" si="40"/>
        <v>5-25%</v>
      </c>
      <c r="Z147" s="71" t="s">
        <v>121</v>
      </c>
      <c r="AB147" s="32">
        <v>7960</v>
      </c>
      <c r="AC147" s="32">
        <v>3940</v>
      </c>
      <c r="AD147" s="32">
        <v>10200</v>
      </c>
      <c r="AE147" s="32">
        <v>10720</v>
      </c>
      <c r="AF147" s="32">
        <v>10740</v>
      </c>
      <c r="AG147" s="32">
        <v>10360</v>
      </c>
      <c r="AH147" s="13"/>
    </row>
    <row r="148" spans="1:34" ht="24" customHeight="1" x14ac:dyDescent="0.25">
      <c r="A148" s="10">
        <v>56</v>
      </c>
      <c r="B148" s="9">
        <v>0.14791666666666667</v>
      </c>
      <c r="C148" s="5" t="s">
        <v>20</v>
      </c>
      <c r="D148" s="5">
        <f t="shared" si="35"/>
        <v>10</v>
      </c>
      <c r="E148" s="15"/>
      <c r="F148" s="15" t="s">
        <v>24</v>
      </c>
      <c r="G148" s="19">
        <f t="shared" si="28"/>
        <v>8.2799999999999994</v>
      </c>
      <c r="H148" s="19">
        <f t="shared" si="29"/>
        <v>10.6</v>
      </c>
      <c r="I148" s="19">
        <f t="shared" si="30"/>
        <v>10.66</v>
      </c>
      <c r="J148" s="19">
        <f t="shared" si="31"/>
        <v>11.84</v>
      </c>
      <c r="K148" s="19">
        <f t="shared" si="32"/>
        <v>11</v>
      </c>
      <c r="L148" s="19">
        <f t="shared" si="33"/>
        <v>10.64</v>
      </c>
      <c r="M148" s="19">
        <f t="shared" si="34"/>
        <v>0</v>
      </c>
      <c r="N148" s="36">
        <f t="shared" si="37"/>
        <v>63.019999999999996</v>
      </c>
      <c r="O148" s="36">
        <f t="shared" si="36"/>
        <v>9886.6026612384067</v>
      </c>
      <c r="P148" s="37">
        <v>8</v>
      </c>
      <c r="Q148" s="37">
        <v>10</v>
      </c>
      <c r="R148" s="37">
        <v>9</v>
      </c>
      <c r="S148" s="37">
        <v>9</v>
      </c>
      <c r="T148" s="37">
        <v>9</v>
      </c>
      <c r="U148" s="37">
        <v>9</v>
      </c>
      <c r="V148" s="37">
        <v>9</v>
      </c>
      <c r="W148" s="38" t="str">
        <f t="shared" si="38"/>
        <v>Y</v>
      </c>
      <c r="X148" s="64">
        <f t="shared" si="39"/>
        <v>0.28399999999999997</v>
      </c>
      <c r="Y148" s="64" t="str">
        <f t="shared" si="40"/>
        <v>25-50%</v>
      </c>
      <c r="Z148" s="71" t="s">
        <v>121</v>
      </c>
      <c r="AB148" s="32">
        <v>8280</v>
      </c>
      <c r="AC148" s="32">
        <v>10600</v>
      </c>
      <c r="AD148" s="32">
        <v>10660</v>
      </c>
      <c r="AE148" s="32">
        <v>11840</v>
      </c>
      <c r="AF148" s="32">
        <v>11000</v>
      </c>
      <c r="AG148" s="32">
        <v>10640</v>
      </c>
      <c r="AH148" s="13"/>
    </row>
    <row r="149" spans="1:34" ht="24" customHeight="1" x14ac:dyDescent="0.25">
      <c r="A149" s="10">
        <v>60</v>
      </c>
      <c r="B149" s="9">
        <v>0.17083333333333331</v>
      </c>
      <c r="C149" s="5" t="s">
        <v>20</v>
      </c>
      <c r="D149" s="5">
        <f t="shared" si="35"/>
        <v>10</v>
      </c>
      <c r="E149" s="15"/>
      <c r="F149" s="15" t="s">
        <v>25</v>
      </c>
      <c r="G149" s="19">
        <f t="shared" si="28"/>
        <v>7.72</v>
      </c>
      <c r="H149" s="19">
        <f t="shared" si="29"/>
        <v>7.34</v>
      </c>
      <c r="I149" s="19">
        <f t="shared" si="30"/>
        <v>10.68</v>
      </c>
      <c r="J149" s="19">
        <f t="shared" si="31"/>
        <v>10.72</v>
      </c>
      <c r="K149" s="19">
        <f t="shared" si="32"/>
        <v>10.84</v>
      </c>
      <c r="L149" s="19">
        <f t="shared" si="33"/>
        <v>10.76</v>
      </c>
      <c r="M149" s="19">
        <f t="shared" si="34"/>
        <v>0</v>
      </c>
      <c r="N149" s="36">
        <f t="shared" si="37"/>
        <v>58.059999999999995</v>
      </c>
      <c r="O149" s="36">
        <f t="shared" si="36"/>
        <v>6836.611911296477</v>
      </c>
      <c r="P149" s="37">
        <v>8</v>
      </c>
      <c r="Q149" s="37">
        <v>10</v>
      </c>
      <c r="R149" s="37">
        <v>9</v>
      </c>
      <c r="S149" s="37">
        <v>9</v>
      </c>
      <c r="T149" s="37">
        <v>9</v>
      </c>
      <c r="U149" s="37">
        <v>9</v>
      </c>
      <c r="V149" s="37">
        <v>9</v>
      </c>
      <c r="W149" s="38" t="str">
        <f t="shared" si="38"/>
        <v>Y</v>
      </c>
      <c r="X149" s="64">
        <f t="shared" si="39"/>
        <v>0.184</v>
      </c>
      <c r="Y149" s="64" t="str">
        <f t="shared" si="40"/>
        <v>5-25%</v>
      </c>
      <c r="Z149" s="71" t="s">
        <v>121</v>
      </c>
      <c r="AB149" s="32">
        <v>7720</v>
      </c>
      <c r="AC149" s="32">
        <v>7340</v>
      </c>
      <c r="AD149" s="32">
        <v>10680</v>
      </c>
      <c r="AE149" s="32">
        <v>10720</v>
      </c>
      <c r="AF149" s="32">
        <v>10840</v>
      </c>
      <c r="AG149" s="32">
        <v>10760</v>
      </c>
      <c r="AH149" s="13"/>
    </row>
    <row r="150" spans="1:34" ht="24" customHeight="1" x14ac:dyDescent="0.25">
      <c r="A150" s="10">
        <v>3</v>
      </c>
      <c r="B150" s="9">
        <v>0.18402777777777779</v>
      </c>
      <c r="C150" s="5" t="s">
        <v>20</v>
      </c>
      <c r="D150" s="5">
        <f t="shared" si="35"/>
        <v>10</v>
      </c>
      <c r="E150" s="15"/>
      <c r="F150" s="15" t="s">
        <v>25</v>
      </c>
      <c r="G150" s="19">
        <f t="shared" si="28"/>
        <v>7.74</v>
      </c>
      <c r="H150" s="19">
        <f t="shared" si="29"/>
        <v>4.5199999999999996</v>
      </c>
      <c r="I150" s="19">
        <f t="shared" si="30"/>
        <v>7.92</v>
      </c>
      <c r="J150" s="19">
        <f t="shared" si="31"/>
        <v>6.58</v>
      </c>
      <c r="K150" s="19">
        <f t="shared" si="32"/>
        <v>5.82</v>
      </c>
      <c r="L150" s="19">
        <f t="shared" si="33"/>
        <v>8.2200000000000006</v>
      </c>
      <c r="M150" s="19">
        <f t="shared" si="34"/>
        <v>0</v>
      </c>
      <c r="N150" s="36">
        <f t="shared" si="37"/>
        <v>40.799999999999997</v>
      </c>
      <c r="O150" s="36">
        <f t="shared" si="36"/>
        <v>1397.5424859373675</v>
      </c>
      <c r="P150" s="37">
        <v>8</v>
      </c>
      <c r="Q150" s="37">
        <v>10</v>
      </c>
      <c r="R150" s="37">
        <v>9</v>
      </c>
      <c r="S150" s="37">
        <v>9</v>
      </c>
      <c r="T150" s="37">
        <v>9</v>
      </c>
      <c r="U150" s="37">
        <v>9</v>
      </c>
      <c r="V150" s="37">
        <v>9</v>
      </c>
      <c r="W150" s="38" t="str">
        <f t="shared" si="38"/>
        <v>N</v>
      </c>
      <c r="X150" s="64">
        <f t="shared" si="39"/>
        <v>0</v>
      </c>
      <c r="Y150" s="64" t="str">
        <f t="shared" si="40"/>
        <v>0-4.9%</v>
      </c>
      <c r="Z150" s="75" t="s">
        <v>108</v>
      </c>
      <c r="AB150" s="32">
        <v>7740</v>
      </c>
      <c r="AC150" s="32">
        <v>4520</v>
      </c>
      <c r="AD150" s="32">
        <v>7920</v>
      </c>
      <c r="AE150" s="32">
        <v>6580</v>
      </c>
      <c r="AF150" s="32">
        <v>5820</v>
      </c>
      <c r="AG150" s="32">
        <v>8220</v>
      </c>
      <c r="AH150" s="32"/>
    </row>
    <row r="151" spans="1:34" ht="24" customHeight="1" x14ac:dyDescent="0.25">
      <c r="A151" s="10">
        <v>7</v>
      </c>
      <c r="B151" s="9">
        <v>0.3430555555555555</v>
      </c>
      <c r="C151" s="5" t="s">
        <v>20</v>
      </c>
      <c r="D151" s="5">
        <f t="shared" si="35"/>
        <v>10</v>
      </c>
      <c r="E151" s="15"/>
      <c r="F151" s="15" t="s">
        <v>24</v>
      </c>
      <c r="G151" s="19">
        <f t="shared" si="28"/>
        <v>7.92</v>
      </c>
      <c r="H151" s="19">
        <f t="shared" si="29"/>
        <v>5.08</v>
      </c>
      <c r="I151" s="19">
        <f t="shared" si="30"/>
        <v>5.38</v>
      </c>
      <c r="J151" s="19">
        <f t="shared" si="31"/>
        <v>5.7</v>
      </c>
      <c r="K151" s="19">
        <f t="shared" si="32"/>
        <v>5.96</v>
      </c>
      <c r="L151" s="19">
        <f t="shared" si="33"/>
        <v>5.46</v>
      </c>
      <c r="M151" s="19">
        <f t="shared" si="34"/>
        <v>0</v>
      </c>
      <c r="N151" s="36">
        <f t="shared" si="37"/>
        <v>35.5</v>
      </c>
      <c r="O151" s="36">
        <f t="shared" si="36"/>
        <v>747.17421222640166</v>
      </c>
      <c r="P151" s="37">
        <v>8</v>
      </c>
      <c r="Q151" s="37">
        <v>10</v>
      </c>
      <c r="R151" s="37">
        <v>9</v>
      </c>
      <c r="S151" s="37">
        <v>9</v>
      </c>
      <c r="T151" s="37">
        <v>9</v>
      </c>
      <c r="U151" s="37">
        <v>9</v>
      </c>
      <c r="V151" s="37">
        <v>9</v>
      </c>
      <c r="W151" s="38" t="str">
        <f t="shared" si="38"/>
        <v>N</v>
      </c>
      <c r="X151" s="64">
        <f t="shared" si="39"/>
        <v>0</v>
      </c>
      <c r="Y151" s="64" t="str">
        <f t="shared" si="40"/>
        <v>0-4.9%</v>
      </c>
      <c r="Z151" s="75" t="s">
        <v>108</v>
      </c>
      <c r="AB151" s="32">
        <v>7920</v>
      </c>
      <c r="AC151" s="32">
        <v>5080</v>
      </c>
      <c r="AD151" s="32">
        <v>5380</v>
      </c>
      <c r="AE151" s="32">
        <v>5700</v>
      </c>
      <c r="AF151" s="32">
        <v>5960</v>
      </c>
      <c r="AG151" s="32">
        <v>5460</v>
      </c>
      <c r="AH151" s="32"/>
    </row>
    <row r="152" spans="1:34" ht="24" customHeight="1" x14ac:dyDescent="0.25">
      <c r="A152" s="10">
        <v>9</v>
      </c>
      <c r="B152" s="9">
        <v>0.3444444444444445</v>
      </c>
      <c r="C152" s="5" t="s">
        <v>20</v>
      </c>
      <c r="D152" s="5">
        <f t="shared" si="35"/>
        <v>10</v>
      </c>
      <c r="E152" s="15"/>
      <c r="F152" s="15" t="s">
        <v>24</v>
      </c>
      <c r="G152" s="19">
        <f t="shared" si="28"/>
        <v>6.76</v>
      </c>
      <c r="H152" s="19">
        <f t="shared" si="29"/>
        <v>10.38</v>
      </c>
      <c r="I152" s="19">
        <f t="shared" si="30"/>
        <v>8.0500000000000007</v>
      </c>
      <c r="J152" s="19">
        <f t="shared" si="31"/>
        <v>10.3</v>
      </c>
      <c r="K152" s="19">
        <f t="shared" si="32"/>
        <v>7.06</v>
      </c>
      <c r="L152" s="19">
        <f t="shared" si="33"/>
        <v>10.199999999999999</v>
      </c>
      <c r="M152" s="19">
        <f t="shared" si="34"/>
        <v>0</v>
      </c>
      <c r="N152" s="36">
        <f t="shared" si="37"/>
        <v>52.75</v>
      </c>
      <c r="O152" s="36">
        <f t="shared" si="36"/>
        <v>4440.126807253745</v>
      </c>
      <c r="P152" s="37">
        <v>8</v>
      </c>
      <c r="Q152" s="37">
        <v>10</v>
      </c>
      <c r="R152" s="37">
        <v>9</v>
      </c>
      <c r="S152" s="37">
        <v>9</v>
      </c>
      <c r="T152" s="37">
        <v>9</v>
      </c>
      <c r="U152" s="37">
        <v>9</v>
      </c>
      <c r="V152" s="37">
        <v>9</v>
      </c>
      <c r="W152" s="38" t="str">
        <f t="shared" si="38"/>
        <v>Y</v>
      </c>
      <c r="X152" s="64">
        <f t="shared" si="39"/>
        <v>0.13000000000000006</v>
      </c>
      <c r="Y152" s="64" t="str">
        <f t="shared" si="40"/>
        <v>5-25%</v>
      </c>
      <c r="Z152" s="75" t="s">
        <v>117</v>
      </c>
      <c r="AB152" s="32">
        <v>6760</v>
      </c>
      <c r="AC152" s="32">
        <v>10380</v>
      </c>
      <c r="AD152" s="32">
        <v>8050</v>
      </c>
      <c r="AE152" s="32">
        <v>10300</v>
      </c>
      <c r="AF152" s="32">
        <v>7060</v>
      </c>
      <c r="AG152" s="32">
        <v>10200</v>
      </c>
      <c r="AH152" s="32"/>
    </row>
    <row r="153" spans="1:34" ht="24" customHeight="1" x14ac:dyDescent="0.25">
      <c r="A153" s="10">
        <v>25</v>
      </c>
      <c r="B153" s="9">
        <v>0.41180555555555554</v>
      </c>
      <c r="C153" s="5" t="s">
        <v>20</v>
      </c>
      <c r="D153" s="5">
        <f t="shared" si="35"/>
        <v>10</v>
      </c>
      <c r="E153" s="15"/>
      <c r="F153" s="15" t="s">
        <v>25</v>
      </c>
      <c r="G153" s="19">
        <f t="shared" si="28"/>
        <v>7.68</v>
      </c>
      <c r="H153" s="19">
        <f t="shared" si="29"/>
        <v>3.44</v>
      </c>
      <c r="I153" s="19">
        <f t="shared" si="30"/>
        <v>19.079999999999998</v>
      </c>
      <c r="J153" s="19">
        <f t="shared" si="31"/>
        <v>80.78</v>
      </c>
      <c r="K153" s="19">
        <f t="shared" si="32"/>
        <v>1.08</v>
      </c>
      <c r="L153" s="19">
        <f t="shared" si="33"/>
        <v>12.82</v>
      </c>
      <c r="M153" s="19">
        <f t="shared" si="34"/>
        <v>0</v>
      </c>
      <c r="N153" s="36">
        <f t="shared" si="37"/>
        <v>124.88</v>
      </c>
      <c r="O153" s="36">
        <f t="shared" si="36"/>
        <v>214591.38899614202</v>
      </c>
      <c r="P153" s="37">
        <v>8</v>
      </c>
      <c r="Q153" s="37">
        <v>10</v>
      </c>
      <c r="R153" s="37">
        <v>9</v>
      </c>
      <c r="S153" s="37">
        <v>9</v>
      </c>
      <c r="T153" s="37">
        <v>9</v>
      </c>
      <c r="U153" s="37">
        <v>9</v>
      </c>
      <c r="V153" s="37">
        <v>9</v>
      </c>
      <c r="W153" s="38" t="str">
        <f t="shared" si="38"/>
        <v>Y</v>
      </c>
      <c r="X153" s="64">
        <f t="shared" si="39"/>
        <v>7.1779999999999999</v>
      </c>
      <c r="Y153" s="64" t="str">
        <f t="shared" si="40"/>
        <v>Over 50%</v>
      </c>
      <c r="Z153" s="71" t="s">
        <v>121</v>
      </c>
      <c r="AB153" s="32">
        <v>7680</v>
      </c>
      <c r="AC153" s="32">
        <v>3440</v>
      </c>
      <c r="AD153" s="32">
        <v>19080</v>
      </c>
      <c r="AE153" s="32">
        <v>80780</v>
      </c>
      <c r="AF153" s="32">
        <v>1080</v>
      </c>
      <c r="AG153" s="32">
        <v>12820</v>
      </c>
      <c r="AH153" s="32"/>
    </row>
    <row r="154" spans="1:34" ht="24" customHeight="1" x14ac:dyDescent="0.25">
      <c r="A154" s="10">
        <v>28</v>
      </c>
      <c r="B154" s="9">
        <v>0.42708333333333331</v>
      </c>
      <c r="C154" s="5" t="s">
        <v>20</v>
      </c>
      <c r="D154" s="5">
        <f t="shared" si="35"/>
        <v>10</v>
      </c>
      <c r="E154" s="15"/>
      <c r="F154" s="15" t="s">
        <v>24</v>
      </c>
      <c r="G154" s="19">
        <f t="shared" si="28"/>
        <v>6.9</v>
      </c>
      <c r="H154" s="19">
        <f t="shared" si="29"/>
        <v>9.16</v>
      </c>
      <c r="I154" s="19">
        <f t="shared" si="30"/>
        <v>9.06</v>
      </c>
      <c r="J154" s="19">
        <f t="shared" si="31"/>
        <v>9.36</v>
      </c>
      <c r="K154" s="19">
        <f t="shared" si="32"/>
        <v>8.08</v>
      </c>
      <c r="L154" s="19">
        <f t="shared" si="33"/>
        <v>0</v>
      </c>
      <c r="M154" s="19">
        <f t="shared" si="34"/>
        <v>0</v>
      </c>
      <c r="N154" s="36">
        <f t="shared" si="37"/>
        <v>42.56</v>
      </c>
      <c r="O154" s="36">
        <f t="shared" si="36"/>
        <v>1690.0578570267357</v>
      </c>
      <c r="P154" s="37">
        <v>8</v>
      </c>
      <c r="Q154" s="37">
        <v>10</v>
      </c>
      <c r="R154" s="37">
        <v>9</v>
      </c>
      <c r="S154" s="37">
        <v>9</v>
      </c>
      <c r="T154" s="37">
        <v>9</v>
      </c>
      <c r="U154" s="37">
        <v>9</v>
      </c>
      <c r="V154" s="37">
        <v>9</v>
      </c>
      <c r="W154" s="38" t="str">
        <f t="shared" si="38"/>
        <v>Y</v>
      </c>
      <c r="X154" s="64">
        <f t="shared" si="39"/>
        <v>3.5999999999999942E-2</v>
      </c>
      <c r="Y154" s="64" t="str">
        <f t="shared" si="40"/>
        <v>0-4.9%</v>
      </c>
      <c r="Z154" s="75" t="s">
        <v>132</v>
      </c>
      <c r="AB154" s="32">
        <v>6900</v>
      </c>
      <c r="AC154" s="32">
        <v>9160</v>
      </c>
      <c r="AD154" s="32">
        <v>9060</v>
      </c>
      <c r="AE154" s="32">
        <v>9360</v>
      </c>
      <c r="AF154" s="32">
        <v>8080</v>
      </c>
      <c r="AG154" s="32"/>
      <c r="AH154" s="32"/>
    </row>
    <row r="155" spans="1:34" ht="24" customHeight="1" x14ac:dyDescent="0.25">
      <c r="A155" s="10">
        <v>33</v>
      </c>
      <c r="B155" s="9">
        <v>0.44722222222222219</v>
      </c>
      <c r="C155" s="5" t="s">
        <v>21</v>
      </c>
      <c r="D155" s="5">
        <f t="shared" si="35"/>
        <v>10</v>
      </c>
      <c r="E155" s="15"/>
      <c r="F155" s="15" t="s">
        <v>25</v>
      </c>
      <c r="G155" s="19">
        <f t="shared" si="28"/>
        <v>8.34</v>
      </c>
      <c r="H155" s="19">
        <f t="shared" si="29"/>
        <v>2.84</v>
      </c>
      <c r="I155" s="19">
        <f t="shared" si="30"/>
        <v>3.84</v>
      </c>
      <c r="J155" s="19">
        <f t="shared" si="31"/>
        <v>4.54</v>
      </c>
      <c r="K155" s="19">
        <f t="shared" si="32"/>
        <v>3.46</v>
      </c>
      <c r="L155" s="19">
        <f t="shared" si="33"/>
        <v>4.12</v>
      </c>
      <c r="M155" s="19">
        <f t="shared" si="34"/>
        <v>0</v>
      </c>
      <c r="N155" s="36">
        <f t="shared" si="37"/>
        <v>27.14</v>
      </c>
      <c r="O155" s="36">
        <f t="shared" si="36"/>
        <v>223.17142194709814</v>
      </c>
      <c r="P155" s="37">
        <v>8</v>
      </c>
      <c r="Q155" s="37">
        <v>10</v>
      </c>
      <c r="R155" s="37">
        <v>9</v>
      </c>
      <c r="S155" s="37">
        <v>9</v>
      </c>
      <c r="T155" s="37">
        <v>9</v>
      </c>
      <c r="U155" s="37">
        <v>9</v>
      </c>
      <c r="V155" s="37">
        <v>9</v>
      </c>
      <c r="W155" s="38" t="str">
        <f t="shared" si="38"/>
        <v>Y</v>
      </c>
      <c r="X155" s="64">
        <f t="shared" si="39"/>
        <v>3.3999999999999989E-2</v>
      </c>
      <c r="Y155" s="64" t="str">
        <f t="shared" si="40"/>
        <v>0-4.9%</v>
      </c>
      <c r="Z155" s="75" t="s">
        <v>108</v>
      </c>
      <c r="AB155" s="32">
        <v>8340</v>
      </c>
      <c r="AC155" s="32">
        <v>2840</v>
      </c>
      <c r="AD155" s="32">
        <v>3840</v>
      </c>
      <c r="AE155" s="32">
        <v>4540</v>
      </c>
      <c r="AF155" s="32">
        <v>3460</v>
      </c>
      <c r="AG155" s="32">
        <v>4120</v>
      </c>
      <c r="AH155" s="32"/>
    </row>
    <row r="156" spans="1:34" ht="24" customHeight="1" x14ac:dyDescent="0.25">
      <c r="A156" s="10">
        <v>35</v>
      </c>
      <c r="B156" s="9">
        <v>0.45</v>
      </c>
      <c r="C156" s="5" t="s">
        <v>20</v>
      </c>
      <c r="D156" s="5">
        <f t="shared" si="35"/>
        <v>10</v>
      </c>
      <c r="E156" s="15"/>
      <c r="F156" s="15" t="s">
        <v>43</v>
      </c>
      <c r="G156" s="19">
        <f t="shared" si="28"/>
        <v>14.96</v>
      </c>
      <c r="H156" s="19">
        <f t="shared" si="29"/>
        <v>10.72</v>
      </c>
      <c r="I156" s="19">
        <f t="shared" si="30"/>
        <v>20.38</v>
      </c>
      <c r="J156" s="19">
        <f t="shared" si="31"/>
        <v>17.55</v>
      </c>
      <c r="K156" s="19">
        <f t="shared" si="32"/>
        <v>7.02</v>
      </c>
      <c r="L156" s="19">
        <f t="shared" si="33"/>
        <v>0</v>
      </c>
      <c r="M156" s="19">
        <f t="shared" si="34"/>
        <v>0</v>
      </c>
      <c r="N156" s="36">
        <f t="shared" si="37"/>
        <v>70.63</v>
      </c>
      <c r="O156" s="36">
        <f t="shared" si="36"/>
        <v>16513.750310608841</v>
      </c>
      <c r="P156" s="37">
        <v>8</v>
      </c>
      <c r="Q156" s="37">
        <v>10</v>
      </c>
      <c r="R156" s="37">
        <v>9</v>
      </c>
      <c r="S156" s="37">
        <v>9</v>
      </c>
      <c r="T156" s="37">
        <v>9</v>
      </c>
      <c r="U156" s="37">
        <v>9</v>
      </c>
      <c r="V156" s="37">
        <v>9</v>
      </c>
      <c r="W156" s="38" t="str">
        <f t="shared" si="38"/>
        <v>Y</v>
      </c>
      <c r="X156" s="64">
        <f t="shared" si="39"/>
        <v>1.1379999999999999</v>
      </c>
      <c r="Y156" s="64" t="str">
        <f t="shared" si="40"/>
        <v>Over 50%</v>
      </c>
      <c r="Z156" s="75" t="s">
        <v>34</v>
      </c>
      <c r="AB156" s="32">
        <v>14960</v>
      </c>
      <c r="AC156" s="32">
        <v>10720</v>
      </c>
      <c r="AD156" s="32">
        <v>20380</v>
      </c>
      <c r="AE156" s="32">
        <v>17550</v>
      </c>
      <c r="AF156" s="32">
        <v>7020</v>
      </c>
      <c r="AG156" s="32"/>
      <c r="AH156" s="32"/>
    </row>
    <row r="157" spans="1:34" ht="24" customHeight="1" x14ac:dyDescent="0.25">
      <c r="A157" s="10">
        <v>38</v>
      </c>
      <c r="B157" s="9">
        <v>0.45555555555555555</v>
      </c>
      <c r="C157" s="5" t="s">
        <v>20</v>
      </c>
      <c r="D157" s="5">
        <f t="shared" si="35"/>
        <v>10</v>
      </c>
      <c r="E157" s="15"/>
      <c r="F157" s="15" t="s">
        <v>24</v>
      </c>
      <c r="G157" s="19">
        <f t="shared" si="28"/>
        <v>8.68</v>
      </c>
      <c r="H157" s="19">
        <f t="shared" si="29"/>
        <v>1.22</v>
      </c>
      <c r="I157" s="19">
        <f t="shared" si="30"/>
        <v>12.5</v>
      </c>
      <c r="J157" s="19">
        <f t="shared" si="31"/>
        <v>1.08</v>
      </c>
      <c r="K157" s="19">
        <f t="shared" si="32"/>
        <v>10.42</v>
      </c>
      <c r="L157" s="19">
        <f t="shared" si="33"/>
        <v>0</v>
      </c>
      <c r="M157" s="19">
        <f t="shared" si="34"/>
        <v>0</v>
      </c>
      <c r="N157" s="36">
        <f t="shared" si="37"/>
        <v>33.9</v>
      </c>
      <c r="O157" s="36">
        <f t="shared" si="36"/>
        <v>607.14570555029661</v>
      </c>
      <c r="P157" s="37">
        <v>8</v>
      </c>
      <c r="Q157" s="37">
        <v>10</v>
      </c>
      <c r="R157" s="37">
        <v>9</v>
      </c>
      <c r="S157" s="37">
        <v>9</v>
      </c>
      <c r="T157" s="37">
        <v>9</v>
      </c>
      <c r="U157" s="37">
        <v>9</v>
      </c>
      <c r="V157" s="37">
        <v>9</v>
      </c>
      <c r="W157" s="38" t="str">
        <f t="shared" si="38"/>
        <v>Y</v>
      </c>
      <c r="X157" s="64">
        <f t="shared" si="39"/>
        <v>0.35</v>
      </c>
      <c r="Y157" s="64" t="str">
        <f t="shared" si="40"/>
        <v>25-50%</v>
      </c>
      <c r="Z157" s="75" t="s">
        <v>117</v>
      </c>
      <c r="AB157" s="32">
        <v>8680</v>
      </c>
      <c r="AC157" s="32">
        <v>1220</v>
      </c>
      <c r="AD157" s="32">
        <v>12500</v>
      </c>
      <c r="AE157" s="32">
        <v>1080</v>
      </c>
      <c r="AF157" s="32">
        <v>10420</v>
      </c>
      <c r="AG157" s="32"/>
      <c r="AH157" s="32"/>
    </row>
    <row r="158" spans="1:34" ht="24" customHeight="1" x14ac:dyDescent="0.25">
      <c r="A158" s="10">
        <v>41</v>
      </c>
      <c r="B158" s="9">
        <v>0.46388888888888885</v>
      </c>
      <c r="C158" s="5" t="s">
        <v>20</v>
      </c>
      <c r="D158" s="5">
        <f t="shared" si="35"/>
        <v>10</v>
      </c>
      <c r="E158" s="15"/>
      <c r="F158" s="15" t="s">
        <v>27</v>
      </c>
      <c r="G158" s="19">
        <f t="shared" si="28"/>
        <v>7.78</v>
      </c>
      <c r="H158" s="19">
        <f t="shared" si="29"/>
        <v>8.1999999999999993</v>
      </c>
      <c r="I158" s="19">
        <f t="shared" si="30"/>
        <v>10.44</v>
      </c>
      <c r="J158" s="19">
        <f t="shared" si="31"/>
        <v>10.45</v>
      </c>
      <c r="K158" s="19">
        <f t="shared" si="32"/>
        <v>10.28</v>
      </c>
      <c r="L158" s="19">
        <f t="shared" si="33"/>
        <v>10.44</v>
      </c>
      <c r="M158" s="19">
        <f t="shared" si="34"/>
        <v>0</v>
      </c>
      <c r="N158" s="36">
        <f t="shared" si="37"/>
        <v>57.59</v>
      </c>
      <c r="O158" s="36">
        <f t="shared" si="36"/>
        <v>6591.0732619349083</v>
      </c>
      <c r="P158" s="37">
        <v>8</v>
      </c>
      <c r="Q158" s="37">
        <v>10</v>
      </c>
      <c r="R158" s="37">
        <v>9</v>
      </c>
      <c r="S158" s="37">
        <v>9</v>
      </c>
      <c r="T158" s="37">
        <v>9</v>
      </c>
      <c r="U158" s="37">
        <v>9</v>
      </c>
      <c r="V158" s="37">
        <v>9</v>
      </c>
      <c r="W158" s="38" t="str">
        <f t="shared" si="38"/>
        <v>Y</v>
      </c>
      <c r="X158" s="64">
        <f t="shared" si="39"/>
        <v>0.14499999999999993</v>
      </c>
      <c r="Y158" s="64" t="str">
        <f t="shared" si="40"/>
        <v>5-25%</v>
      </c>
      <c r="Z158" s="75" t="s">
        <v>108</v>
      </c>
      <c r="AB158" s="32">
        <v>7780</v>
      </c>
      <c r="AC158" s="32">
        <v>8200</v>
      </c>
      <c r="AD158" s="32">
        <v>10440</v>
      </c>
      <c r="AE158" s="32">
        <v>10450</v>
      </c>
      <c r="AF158" s="32">
        <v>10280</v>
      </c>
      <c r="AG158" s="32">
        <v>10440</v>
      </c>
      <c r="AH158" s="32"/>
    </row>
    <row r="159" spans="1:34" ht="24" customHeight="1" x14ac:dyDescent="0.25">
      <c r="A159" s="10">
        <v>42</v>
      </c>
      <c r="B159" s="9">
        <v>0.46527777777777773</v>
      </c>
      <c r="C159" s="5" t="s">
        <v>20</v>
      </c>
      <c r="D159" s="5">
        <f t="shared" si="35"/>
        <v>10</v>
      </c>
      <c r="E159" s="15"/>
      <c r="F159" s="15" t="s">
        <v>32</v>
      </c>
      <c r="G159" s="19">
        <f t="shared" si="28"/>
        <v>6.6</v>
      </c>
      <c r="H159" s="19">
        <f t="shared" si="29"/>
        <v>8.2799999999999994</v>
      </c>
      <c r="I159" s="19">
        <f t="shared" si="30"/>
        <v>5.18</v>
      </c>
      <c r="J159" s="19">
        <f t="shared" si="31"/>
        <v>4.88</v>
      </c>
      <c r="K159" s="19">
        <f t="shared" si="32"/>
        <v>0</v>
      </c>
      <c r="L159" s="19">
        <f t="shared" si="33"/>
        <v>0</v>
      </c>
      <c r="M159" s="19">
        <f t="shared" si="34"/>
        <v>0</v>
      </c>
      <c r="N159" s="36">
        <f t="shared" si="37"/>
        <v>24.939999999999998</v>
      </c>
      <c r="O159" s="36">
        <f t="shared" si="36"/>
        <v>152.5556535434977</v>
      </c>
      <c r="P159" s="37">
        <v>8</v>
      </c>
      <c r="Q159" s="37">
        <v>10</v>
      </c>
      <c r="R159" s="37">
        <v>9</v>
      </c>
      <c r="S159" s="37">
        <v>9</v>
      </c>
      <c r="T159" s="37">
        <v>9</v>
      </c>
      <c r="U159" s="37">
        <v>9</v>
      </c>
      <c r="V159" s="37">
        <v>9</v>
      </c>
      <c r="W159" s="38" t="str">
        <f t="shared" si="38"/>
        <v>N</v>
      </c>
      <c r="X159" s="64">
        <f t="shared" si="39"/>
        <v>0</v>
      </c>
      <c r="Y159" s="64" t="str">
        <f t="shared" si="40"/>
        <v>0-4.9%</v>
      </c>
      <c r="Z159" s="75" t="s">
        <v>108</v>
      </c>
      <c r="AB159" s="32">
        <v>6600</v>
      </c>
      <c r="AC159" s="32">
        <v>8280</v>
      </c>
      <c r="AD159" s="32">
        <v>5180</v>
      </c>
      <c r="AE159" s="32">
        <v>4880</v>
      </c>
      <c r="AF159" s="32"/>
      <c r="AG159" s="32"/>
      <c r="AH159" s="32"/>
    </row>
    <row r="160" spans="1:34" ht="24" customHeight="1" x14ac:dyDescent="0.25">
      <c r="A160" s="10">
        <v>43</v>
      </c>
      <c r="B160" s="9">
        <v>0.46597222222222223</v>
      </c>
      <c r="C160" s="5" t="s">
        <v>20</v>
      </c>
      <c r="D160" s="5">
        <f t="shared" si="35"/>
        <v>10</v>
      </c>
      <c r="E160" s="15"/>
      <c r="F160" s="15" t="s">
        <v>27</v>
      </c>
      <c r="G160" s="19">
        <f t="shared" si="28"/>
        <v>6.62</v>
      </c>
      <c r="H160" s="19">
        <f t="shared" si="29"/>
        <v>5.98</v>
      </c>
      <c r="I160" s="19">
        <f t="shared" si="30"/>
        <v>3.06</v>
      </c>
      <c r="J160" s="19">
        <f t="shared" si="31"/>
        <v>4.26</v>
      </c>
      <c r="K160" s="19">
        <f t="shared" si="32"/>
        <v>4.0199999999999996</v>
      </c>
      <c r="L160" s="19">
        <f t="shared" si="33"/>
        <v>2.44</v>
      </c>
      <c r="M160" s="19">
        <f t="shared" si="34"/>
        <v>0</v>
      </c>
      <c r="N160" s="36">
        <f t="shared" si="37"/>
        <v>26.380000000000003</v>
      </c>
      <c r="O160" s="36">
        <f t="shared" si="36"/>
        <v>196.39518953331753</v>
      </c>
      <c r="P160" s="37">
        <v>8</v>
      </c>
      <c r="Q160" s="37">
        <v>10</v>
      </c>
      <c r="R160" s="37">
        <v>9</v>
      </c>
      <c r="S160" s="37">
        <v>9</v>
      </c>
      <c r="T160" s="37">
        <v>9</v>
      </c>
      <c r="U160" s="37">
        <v>9</v>
      </c>
      <c r="V160" s="37">
        <v>9</v>
      </c>
      <c r="W160" s="38" t="str">
        <f t="shared" si="38"/>
        <v>N</v>
      </c>
      <c r="X160" s="64">
        <f t="shared" si="39"/>
        <v>0</v>
      </c>
      <c r="Y160" s="64" t="str">
        <f t="shared" si="40"/>
        <v>0-4.9%</v>
      </c>
      <c r="Z160" s="75" t="s">
        <v>108</v>
      </c>
      <c r="AB160" s="32">
        <v>6620</v>
      </c>
      <c r="AC160" s="32">
        <v>5980</v>
      </c>
      <c r="AD160" s="32">
        <v>3060</v>
      </c>
      <c r="AE160" s="32">
        <v>4260</v>
      </c>
      <c r="AF160" s="32">
        <v>4020</v>
      </c>
      <c r="AG160" s="32">
        <v>2440</v>
      </c>
      <c r="AH160" s="32"/>
    </row>
    <row r="161" spans="1:34" ht="24" customHeight="1" x14ac:dyDescent="0.25">
      <c r="A161" s="10">
        <v>45</v>
      </c>
      <c r="B161" s="9">
        <v>0.47152777777777777</v>
      </c>
      <c r="C161" s="5" t="s">
        <v>21</v>
      </c>
      <c r="D161" s="5">
        <f t="shared" si="35"/>
        <v>10</v>
      </c>
      <c r="E161" s="15"/>
      <c r="F161" s="15" t="s">
        <v>24</v>
      </c>
      <c r="G161" s="19">
        <f t="shared" si="28"/>
        <v>7.84</v>
      </c>
      <c r="H161" s="19">
        <f t="shared" si="29"/>
        <v>4.1399999999999997</v>
      </c>
      <c r="I161" s="19">
        <f t="shared" si="30"/>
        <v>4.0199999999999996</v>
      </c>
      <c r="J161" s="19">
        <f t="shared" si="31"/>
        <v>4</v>
      </c>
      <c r="K161" s="19">
        <f t="shared" si="32"/>
        <v>3.82</v>
      </c>
      <c r="L161" s="19">
        <f t="shared" si="33"/>
        <v>3.6</v>
      </c>
      <c r="M161" s="19">
        <f t="shared" si="34"/>
        <v>0</v>
      </c>
      <c r="N161" s="36">
        <f t="shared" si="37"/>
        <v>27.42</v>
      </c>
      <c r="O161" s="36">
        <f t="shared" si="36"/>
        <v>233.7210413477282</v>
      </c>
      <c r="P161" s="37">
        <v>8</v>
      </c>
      <c r="Q161" s="37">
        <v>10</v>
      </c>
      <c r="R161" s="37">
        <v>9</v>
      </c>
      <c r="S161" s="37">
        <v>9</v>
      </c>
      <c r="T161" s="37">
        <v>9</v>
      </c>
      <c r="U161" s="37">
        <v>9</v>
      </c>
      <c r="V161" s="37">
        <v>9</v>
      </c>
      <c r="W161" s="38" t="str">
        <f t="shared" si="38"/>
        <v>N</v>
      </c>
      <c r="X161" s="64">
        <f t="shared" si="39"/>
        <v>0</v>
      </c>
      <c r="Y161" s="64" t="str">
        <f t="shared" si="40"/>
        <v>0-4.9%</v>
      </c>
      <c r="Z161" s="75" t="s">
        <v>108</v>
      </c>
      <c r="AB161" s="32">
        <v>7840</v>
      </c>
      <c r="AC161" s="32">
        <v>4140</v>
      </c>
      <c r="AD161" s="32">
        <v>4020</v>
      </c>
      <c r="AE161" s="32">
        <v>4000</v>
      </c>
      <c r="AF161" s="32">
        <v>3820</v>
      </c>
      <c r="AG161" s="32">
        <v>3600</v>
      </c>
      <c r="AH161" s="32"/>
    </row>
    <row r="162" spans="1:34" ht="24" customHeight="1" x14ac:dyDescent="0.25">
      <c r="A162" s="10">
        <v>56</v>
      </c>
      <c r="B162" s="9">
        <v>0.48958333333333331</v>
      </c>
      <c r="C162" s="5" t="s">
        <v>21</v>
      </c>
      <c r="D162" s="5">
        <f t="shared" si="35"/>
        <v>10</v>
      </c>
      <c r="E162" s="15"/>
      <c r="F162" s="15" t="s">
        <v>25</v>
      </c>
      <c r="G162" s="19">
        <f t="shared" si="28"/>
        <v>3.12</v>
      </c>
      <c r="H162" s="19">
        <f t="shared" si="29"/>
        <v>3.58</v>
      </c>
      <c r="I162" s="19">
        <f t="shared" si="30"/>
        <v>4.62</v>
      </c>
      <c r="J162" s="19">
        <f t="shared" si="31"/>
        <v>3.7</v>
      </c>
      <c r="K162" s="19">
        <f t="shared" si="32"/>
        <v>3.34</v>
      </c>
      <c r="L162" s="19">
        <f t="shared" si="33"/>
        <v>4.3</v>
      </c>
      <c r="M162" s="19">
        <f t="shared" si="34"/>
        <v>0</v>
      </c>
      <c r="N162" s="36">
        <f t="shared" si="37"/>
        <v>22.66</v>
      </c>
      <c r="O162" s="36">
        <f t="shared" si="36"/>
        <v>99.097765168711121</v>
      </c>
      <c r="P162" s="37">
        <v>8</v>
      </c>
      <c r="Q162" s="37">
        <v>10</v>
      </c>
      <c r="R162" s="37">
        <v>9</v>
      </c>
      <c r="S162" s="37">
        <v>9</v>
      </c>
      <c r="T162" s="37">
        <v>9</v>
      </c>
      <c r="U162" s="37">
        <v>9</v>
      </c>
      <c r="V162" s="37">
        <v>9</v>
      </c>
      <c r="W162" s="38" t="str">
        <f t="shared" si="38"/>
        <v>N</v>
      </c>
      <c r="X162" s="64">
        <f t="shared" si="39"/>
        <v>0</v>
      </c>
      <c r="Y162" s="64" t="str">
        <f t="shared" si="40"/>
        <v>0-4.9%</v>
      </c>
      <c r="Z162" s="75" t="s">
        <v>108</v>
      </c>
      <c r="AB162" s="32">
        <v>3120</v>
      </c>
      <c r="AC162" s="32">
        <v>3580</v>
      </c>
      <c r="AD162" s="32">
        <v>4620</v>
      </c>
      <c r="AE162" s="32">
        <v>3700</v>
      </c>
      <c r="AF162" s="32">
        <v>3340</v>
      </c>
      <c r="AG162" s="32">
        <v>4300</v>
      </c>
      <c r="AH162" s="32"/>
    </row>
    <row r="163" spans="1:34" ht="24" customHeight="1" x14ac:dyDescent="0.25">
      <c r="A163" s="10">
        <v>58</v>
      </c>
      <c r="B163" s="9">
        <v>0.49027777777777781</v>
      </c>
      <c r="C163" s="5" t="s">
        <v>21</v>
      </c>
      <c r="D163" s="5">
        <f t="shared" si="35"/>
        <v>10</v>
      </c>
      <c r="E163" s="15"/>
      <c r="F163" s="15" t="s">
        <v>24</v>
      </c>
      <c r="G163" s="19">
        <f t="shared" si="28"/>
        <v>6.66</v>
      </c>
      <c r="H163" s="19">
        <f t="shared" si="29"/>
        <v>8.9600000000000009</v>
      </c>
      <c r="I163" s="19">
        <f t="shared" si="30"/>
        <v>8.6199999999999992</v>
      </c>
      <c r="J163" s="19">
        <f t="shared" si="31"/>
        <v>7.65</v>
      </c>
      <c r="K163" s="19">
        <f t="shared" si="32"/>
        <v>7.79</v>
      </c>
      <c r="L163" s="19">
        <f t="shared" si="33"/>
        <v>8.6</v>
      </c>
      <c r="M163" s="19">
        <f t="shared" si="34"/>
        <v>0</v>
      </c>
      <c r="N163" s="36">
        <f t="shared" si="37"/>
        <v>48.28</v>
      </c>
      <c r="O163" s="36">
        <f t="shared" si="36"/>
        <v>2980.8969455166243</v>
      </c>
      <c r="P163" s="37">
        <v>8</v>
      </c>
      <c r="Q163" s="37">
        <v>10</v>
      </c>
      <c r="R163" s="37">
        <v>9</v>
      </c>
      <c r="S163" s="37">
        <v>9</v>
      </c>
      <c r="T163" s="37">
        <v>9</v>
      </c>
      <c r="U163" s="37">
        <v>9</v>
      </c>
      <c r="V163" s="37">
        <v>9</v>
      </c>
      <c r="W163" s="38" t="str">
        <f t="shared" si="38"/>
        <v>N</v>
      </c>
      <c r="X163" s="64">
        <f t="shared" si="39"/>
        <v>0</v>
      </c>
      <c r="Y163" s="64" t="str">
        <f t="shared" si="40"/>
        <v>0-4.9%</v>
      </c>
      <c r="Z163" s="71" t="s">
        <v>121</v>
      </c>
      <c r="AB163" s="32">
        <v>6660</v>
      </c>
      <c r="AC163" s="32">
        <v>8960</v>
      </c>
      <c r="AD163" s="32">
        <v>8620</v>
      </c>
      <c r="AE163" s="32">
        <v>7650</v>
      </c>
      <c r="AF163" s="32">
        <v>7790</v>
      </c>
      <c r="AG163" s="32">
        <v>8600</v>
      </c>
      <c r="AH163" s="32"/>
    </row>
    <row r="164" spans="1:34" ht="24" customHeight="1" x14ac:dyDescent="0.25">
      <c r="A164" s="10">
        <v>3</v>
      </c>
      <c r="B164" s="9"/>
      <c r="C164" s="5" t="s">
        <v>20</v>
      </c>
      <c r="D164" s="5">
        <f t="shared" si="35"/>
        <v>10</v>
      </c>
      <c r="E164" s="15"/>
      <c r="F164" s="15" t="s">
        <v>25</v>
      </c>
      <c r="G164" s="19">
        <f t="shared" si="28"/>
        <v>9.3000000000000007</v>
      </c>
      <c r="H164" s="19">
        <f t="shared" si="29"/>
        <v>10.68</v>
      </c>
      <c r="I164" s="19">
        <f t="shared" si="30"/>
        <v>16.46</v>
      </c>
      <c r="J164" s="19">
        <f t="shared" si="31"/>
        <v>10.42</v>
      </c>
      <c r="K164" s="19">
        <f t="shared" si="32"/>
        <v>8.08</v>
      </c>
      <c r="L164" s="19">
        <f t="shared" si="33"/>
        <v>8.82</v>
      </c>
      <c r="M164" s="19">
        <f t="shared" si="34"/>
        <v>0</v>
      </c>
      <c r="N164" s="36">
        <f t="shared" si="37"/>
        <v>63.76</v>
      </c>
      <c r="O164" s="36">
        <f t="shared" si="36"/>
        <v>10419.854949080651</v>
      </c>
      <c r="P164" s="37">
        <v>8</v>
      </c>
      <c r="Q164" s="37">
        <v>10</v>
      </c>
      <c r="R164" s="37">
        <v>9</v>
      </c>
      <c r="S164" s="37">
        <v>9</v>
      </c>
      <c r="T164" s="37">
        <v>9</v>
      </c>
      <c r="U164" s="37">
        <v>9</v>
      </c>
      <c r="V164" s="37">
        <v>9</v>
      </c>
      <c r="W164" s="38" t="str">
        <f t="shared" si="38"/>
        <v>Y</v>
      </c>
      <c r="X164" s="64">
        <f t="shared" si="39"/>
        <v>0.74600000000000011</v>
      </c>
      <c r="Y164" s="64" t="str">
        <f t="shared" si="40"/>
        <v>Over 50%</v>
      </c>
      <c r="Z164" s="75" t="s">
        <v>34</v>
      </c>
      <c r="AB164" s="32">
        <v>9300</v>
      </c>
      <c r="AC164" s="32">
        <v>10680</v>
      </c>
      <c r="AD164" s="32">
        <v>16460</v>
      </c>
      <c r="AE164" s="32">
        <v>10420</v>
      </c>
      <c r="AF164" s="32">
        <v>8080</v>
      </c>
      <c r="AG164" s="32">
        <v>8820</v>
      </c>
      <c r="AH164" s="32"/>
    </row>
    <row r="165" spans="1:34" ht="24" customHeight="1" x14ac:dyDescent="0.25">
      <c r="A165" s="10">
        <v>8</v>
      </c>
      <c r="B165" s="9">
        <v>0.5083333333333333</v>
      </c>
      <c r="C165" s="5" t="s">
        <v>20</v>
      </c>
      <c r="D165" s="5">
        <f t="shared" si="35"/>
        <v>10</v>
      </c>
      <c r="E165" s="15"/>
      <c r="F165" s="15" t="s">
        <v>24</v>
      </c>
      <c r="G165" s="19">
        <f t="shared" si="28"/>
        <v>5.92</v>
      </c>
      <c r="H165" s="19">
        <f t="shared" si="29"/>
        <v>7.53</v>
      </c>
      <c r="I165" s="19">
        <f t="shared" si="30"/>
        <v>7.2</v>
      </c>
      <c r="J165" s="19">
        <f t="shared" si="31"/>
        <v>8.59</v>
      </c>
      <c r="K165" s="19">
        <f t="shared" si="32"/>
        <v>7.02</v>
      </c>
      <c r="L165" s="19">
        <f t="shared" si="33"/>
        <v>7.31</v>
      </c>
      <c r="M165" s="19">
        <f t="shared" si="34"/>
        <v>0</v>
      </c>
      <c r="N165" s="36">
        <f t="shared" si="37"/>
        <v>43.57</v>
      </c>
      <c r="O165" s="36">
        <f t="shared" si="36"/>
        <v>1878.1847299570506</v>
      </c>
      <c r="P165" s="37">
        <v>8</v>
      </c>
      <c r="Q165" s="37">
        <v>10</v>
      </c>
      <c r="R165" s="37">
        <v>9</v>
      </c>
      <c r="S165" s="37">
        <v>9</v>
      </c>
      <c r="T165" s="37">
        <v>9</v>
      </c>
      <c r="U165" s="37">
        <v>9</v>
      </c>
      <c r="V165" s="37">
        <v>9</v>
      </c>
      <c r="W165" s="38" t="str">
        <f t="shared" si="38"/>
        <v>N</v>
      </c>
      <c r="X165" s="64">
        <f t="shared" si="39"/>
        <v>0</v>
      </c>
      <c r="Y165" s="64" t="str">
        <f t="shared" si="40"/>
        <v>0-4.9%</v>
      </c>
      <c r="Z165" s="75" t="s">
        <v>117</v>
      </c>
      <c r="AB165" s="32">
        <v>5920</v>
      </c>
      <c r="AC165" s="32">
        <v>7530</v>
      </c>
      <c r="AD165" s="32">
        <v>7200</v>
      </c>
      <c r="AE165" s="32">
        <v>8590</v>
      </c>
      <c r="AF165" s="32">
        <v>7020</v>
      </c>
      <c r="AG165" s="32">
        <v>7310</v>
      </c>
      <c r="AH165" s="32"/>
    </row>
    <row r="166" spans="1:34" ht="24" customHeight="1" x14ac:dyDescent="0.25">
      <c r="A166" s="10">
        <v>9</v>
      </c>
      <c r="B166" s="9">
        <v>0.50972222222222219</v>
      </c>
      <c r="C166" s="5" t="s">
        <v>20</v>
      </c>
      <c r="D166" s="5">
        <f t="shared" si="35"/>
        <v>10</v>
      </c>
      <c r="E166" s="15"/>
      <c r="F166" s="15" t="s">
        <v>43</v>
      </c>
      <c r="G166" s="19">
        <f t="shared" si="28"/>
        <v>1.92</v>
      </c>
      <c r="H166" s="19">
        <f t="shared" si="29"/>
        <v>11.74</v>
      </c>
      <c r="I166" s="19">
        <f t="shared" si="30"/>
        <v>17.36</v>
      </c>
      <c r="J166" s="19">
        <f t="shared" si="31"/>
        <v>17.96</v>
      </c>
      <c r="K166" s="19">
        <f t="shared" si="32"/>
        <v>5.86</v>
      </c>
      <c r="L166" s="19">
        <f t="shared" si="33"/>
        <v>0</v>
      </c>
      <c r="M166" s="19">
        <f t="shared" si="34"/>
        <v>0</v>
      </c>
      <c r="N166" s="36">
        <f t="shared" si="37"/>
        <v>54.84</v>
      </c>
      <c r="O166" s="36">
        <f t="shared" si="36"/>
        <v>5288.5034637747194</v>
      </c>
      <c r="P166" s="37">
        <v>8</v>
      </c>
      <c r="Q166" s="37">
        <v>10</v>
      </c>
      <c r="R166" s="37">
        <v>9</v>
      </c>
      <c r="S166" s="37">
        <v>9</v>
      </c>
      <c r="T166" s="37">
        <v>9</v>
      </c>
      <c r="U166" s="37">
        <v>9</v>
      </c>
      <c r="V166" s="37">
        <v>9</v>
      </c>
      <c r="W166" s="38" t="str">
        <f t="shared" si="38"/>
        <v>Y</v>
      </c>
      <c r="X166" s="64">
        <f t="shared" si="39"/>
        <v>0.89600000000000013</v>
      </c>
      <c r="Y166" s="64" t="str">
        <f t="shared" si="40"/>
        <v>Over 50%</v>
      </c>
      <c r="Z166" s="75" t="s">
        <v>117</v>
      </c>
      <c r="AB166" s="32">
        <v>1920</v>
      </c>
      <c r="AC166" s="32">
        <v>11740</v>
      </c>
      <c r="AD166" s="32">
        <v>17360</v>
      </c>
      <c r="AE166" s="32">
        <v>17960</v>
      </c>
      <c r="AF166" s="32">
        <v>5860</v>
      </c>
      <c r="AG166" s="32"/>
      <c r="AH166" s="32"/>
    </row>
    <row r="167" spans="1:34" ht="24" customHeight="1" x14ac:dyDescent="0.25">
      <c r="A167" s="10">
        <v>13</v>
      </c>
      <c r="B167" s="9">
        <v>0.51458333333333328</v>
      </c>
      <c r="C167" s="5" t="s">
        <v>20</v>
      </c>
      <c r="D167" s="5">
        <f t="shared" ref="D167:D187" si="41">IF(COUNT(G167:M167)&gt;3,10,IF(COUNT(G167:M167)&gt;2,9,7))</f>
        <v>10</v>
      </c>
      <c r="E167" s="15"/>
      <c r="F167" s="15" t="s">
        <v>24</v>
      </c>
      <c r="G167" s="19">
        <f t="shared" si="28"/>
        <v>6.8</v>
      </c>
      <c r="H167" s="19">
        <f t="shared" si="29"/>
        <v>8.58</v>
      </c>
      <c r="I167" s="19">
        <f t="shared" si="30"/>
        <v>7.86</v>
      </c>
      <c r="J167" s="19">
        <f t="shared" si="31"/>
        <v>11.28</v>
      </c>
      <c r="K167" s="19">
        <f t="shared" si="32"/>
        <v>7.82</v>
      </c>
      <c r="L167" s="19">
        <f t="shared" si="33"/>
        <v>10.44</v>
      </c>
      <c r="M167" s="19">
        <f t="shared" si="34"/>
        <v>0</v>
      </c>
      <c r="N167" s="36">
        <f t="shared" si="37"/>
        <v>52.779999999999994</v>
      </c>
      <c r="O167" s="36">
        <f t="shared" ref="O167:O187" si="42">(N167/8.16)^4.5</f>
        <v>4451.5014798235406</v>
      </c>
      <c r="P167" s="37">
        <v>8</v>
      </c>
      <c r="Q167" s="37">
        <v>10</v>
      </c>
      <c r="R167" s="37">
        <v>9</v>
      </c>
      <c r="S167" s="37">
        <v>9</v>
      </c>
      <c r="T167" s="37">
        <v>9</v>
      </c>
      <c r="U167" s="37">
        <v>9</v>
      </c>
      <c r="V167" s="37">
        <v>9</v>
      </c>
      <c r="W167" s="38" t="str">
        <f t="shared" si="38"/>
        <v>Y</v>
      </c>
      <c r="X167" s="64">
        <f t="shared" si="39"/>
        <v>0.22799999999999992</v>
      </c>
      <c r="Y167" s="64" t="str">
        <f t="shared" si="40"/>
        <v>5-25%</v>
      </c>
      <c r="Z167" s="75" t="s">
        <v>127</v>
      </c>
      <c r="AB167" s="32">
        <v>6800</v>
      </c>
      <c r="AC167" s="32">
        <v>8580</v>
      </c>
      <c r="AD167" s="32">
        <v>7860</v>
      </c>
      <c r="AE167" s="32">
        <v>11280</v>
      </c>
      <c r="AF167" s="32">
        <v>7820</v>
      </c>
      <c r="AG167" s="32">
        <v>10440</v>
      </c>
      <c r="AH167" s="32"/>
    </row>
    <row r="168" spans="1:34" ht="24" customHeight="1" x14ac:dyDescent="0.25">
      <c r="A168" s="10">
        <v>14</v>
      </c>
      <c r="B168" s="9">
        <v>0.51458333333333328</v>
      </c>
      <c r="C168" s="5" t="s">
        <v>20</v>
      </c>
      <c r="D168" s="5">
        <f t="shared" si="41"/>
        <v>10</v>
      </c>
      <c r="E168" s="15"/>
      <c r="F168" s="15" t="s">
        <v>24</v>
      </c>
      <c r="G168" s="19">
        <f t="shared" si="28"/>
        <v>8.16</v>
      </c>
      <c r="H168" s="19">
        <f t="shared" si="29"/>
        <v>11.02</v>
      </c>
      <c r="I168" s="19">
        <f t="shared" si="30"/>
        <v>10.36</v>
      </c>
      <c r="J168" s="19">
        <f t="shared" si="31"/>
        <v>10.4</v>
      </c>
      <c r="K168" s="19">
        <f t="shared" si="32"/>
        <v>10.34</v>
      </c>
      <c r="L168" s="19">
        <f t="shared" si="33"/>
        <v>10.34</v>
      </c>
      <c r="M168" s="19">
        <f t="shared" si="34"/>
        <v>0</v>
      </c>
      <c r="N168" s="36">
        <f t="shared" si="37"/>
        <v>60.620000000000005</v>
      </c>
      <c r="O168" s="36">
        <f t="shared" si="42"/>
        <v>8301.679825666477</v>
      </c>
      <c r="P168" s="37">
        <v>8</v>
      </c>
      <c r="Q168" s="37">
        <v>10</v>
      </c>
      <c r="R168" s="37">
        <v>9</v>
      </c>
      <c r="S168" s="37">
        <v>9</v>
      </c>
      <c r="T168" s="37">
        <v>9</v>
      </c>
      <c r="U168" s="37">
        <v>9</v>
      </c>
      <c r="V168" s="37">
        <v>9</v>
      </c>
      <c r="W168" s="38" t="str">
        <f t="shared" si="38"/>
        <v>Y</v>
      </c>
      <c r="X168" s="64">
        <f t="shared" si="39"/>
        <v>0.14000000000000004</v>
      </c>
      <c r="Y168" s="64" t="str">
        <f t="shared" si="40"/>
        <v>5-25%</v>
      </c>
      <c r="Z168" s="75" t="s">
        <v>34</v>
      </c>
      <c r="AB168" s="32">
        <v>8160</v>
      </c>
      <c r="AC168" s="32">
        <v>11020</v>
      </c>
      <c r="AD168" s="32">
        <v>10360</v>
      </c>
      <c r="AE168" s="32">
        <v>10400</v>
      </c>
      <c r="AF168" s="32">
        <v>10340</v>
      </c>
      <c r="AG168" s="32">
        <v>10340</v>
      </c>
      <c r="AH168" s="32"/>
    </row>
    <row r="169" spans="1:34" ht="24" customHeight="1" x14ac:dyDescent="0.25">
      <c r="A169" s="10">
        <v>21</v>
      </c>
      <c r="B169" s="9">
        <v>0.52152777777777781</v>
      </c>
      <c r="C169" s="5" t="s">
        <v>20</v>
      </c>
      <c r="D169" s="5">
        <f t="shared" si="41"/>
        <v>10</v>
      </c>
      <c r="E169" s="15"/>
      <c r="F169" s="15" t="s">
        <v>25</v>
      </c>
      <c r="G169" s="19">
        <f t="shared" si="28"/>
        <v>7.78</v>
      </c>
      <c r="H169" s="19">
        <f t="shared" si="29"/>
        <v>9.08</v>
      </c>
      <c r="I169" s="19">
        <f t="shared" si="30"/>
        <v>14.22</v>
      </c>
      <c r="J169" s="19">
        <f t="shared" si="31"/>
        <v>13.42</v>
      </c>
      <c r="K169" s="19">
        <f t="shared" si="32"/>
        <v>13.6</v>
      </c>
      <c r="L169" s="19">
        <f t="shared" si="33"/>
        <v>12.6</v>
      </c>
      <c r="M169" s="19">
        <f t="shared" si="34"/>
        <v>0</v>
      </c>
      <c r="N169" s="36">
        <f t="shared" si="37"/>
        <v>70.7</v>
      </c>
      <c r="O169" s="36">
        <f t="shared" si="42"/>
        <v>16587.527187413114</v>
      </c>
      <c r="P169" s="37">
        <v>8</v>
      </c>
      <c r="Q169" s="37">
        <v>10</v>
      </c>
      <c r="R169" s="37">
        <v>9</v>
      </c>
      <c r="S169" s="37">
        <v>9</v>
      </c>
      <c r="T169" s="37">
        <v>9</v>
      </c>
      <c r="U169" s="37">
        <v>9</v>
      </c>
      <c r="V169" s="37">
        <v>9</v>
      </c>
      <c r="W169" s="38" t="str">
        <f t="shared" si="38"/>
        <v>Y</v>
      </c>
      <c r="X169" s="64">
        <f t="shared" si="39"/>
        <v>0.52200000000000002</v>
      </c>
      <c r="Y169" s="64" t="str">
        <f t="shared" si="40"/>
        <v>Over 50%</v>
      </c>
      <c r="Z169" s="71" t="s">
        <v>121</v>
      </c>
      <c r="AB169" s="32">
        <v>7780</v>
      </c>
      <c r="AC169" s="32">
        <v>9080</v>
      </c>
      <c r="AD169" s="32">
        <v>14220</v>
      </c>
      <c r="AE169" s="32">
        <v>13420</v>
      </c>
      <c r="AF169" s="32">
        <v>13600</v>
      </c>
      <c r="AG169" s="32">
        <v>12600</v>
      </c>
      <c r="AH169" s="32"/>
    </row>
    <row r="170" spans="1:34" ht="24" customHeight="1" x14ac:dyDescent="0.25">
      <c r="A170" s="10">
        <v>22</v>
      </c>
      <c r="B170" s="9">
        <v>0.52222222222222225</v>
      </c>
      <c r="C170" s="5" t="s">
        <v>20</v>
      </c>
      <c r="D170" s="5">
        <f t="shared" si="41"/>
        <v>10</v>
      </c>
      <c r="E170" s="15"/>
      <c r="F170" s="15" t="s">
        <v>28</v>
      </c>
      <c r="G170" s="19">
        <f t="shared" si="28"/>
        <v>10.220000000000001</v>
      </c>
      <c r="H170" s="19">
        <f t="shared" si="29"/>
        <v>10.4</v>
      </c>
      <c r="I170" s="19">
        <f t="shared" si="30"/>
        <v>11.36</v>
      </c>
      <c r="J170" s="19">
        <f t="shared" si="31"/>
        <v>10.72</v>
      </c>
      <c r="K170" s="19">
        <f t="shared" si="32"/>
        <v>10.98</v>
      </c>
      <c r="L170" s="19">
        <f t="shared" si="33"/>
        <v>10.26</v>
      </c>
      <c r="M170" s="19">
        <f t="shared" si="34"/>
        <v>11.36</v>
      </c>
      <c r="N170" s="36">
        <f t="shared" si="37"/>
        <v>75.300000000000011</v>
      </c>
      <c r="O170" s="36">
        <f t="shared" si="42"/>
        <v>22027.828090895877</v>
      </c>
      <c r="P170" s="37">
        <v>8</v>
      </c>
      <c r="Q170" s="37">
        <v>10</v>
      </c>
      <c r="R170" s="37">
        <v>9</v>
      </c>
      <c r="S170" s="37">
        <v>9</v>
      </c>
      <c r="T170" s="37">
        <v>9</v>
      </c>
      <c r="U170" s="37">
        <v>9</v>
      </c>
      <c r="V170" s="37">
        <v>9</v>
      </c>
      <c r="W170" s="38" t="str">
        <f t="shared" si="38"/>
        <v>Y</v>
      </c>
      <c r="X170" s="64">
        <f t="shared" si="39"/>
        <v>0.23599999999999993</v>
      </c>
      <c r="Y170" s="64" t="str">
        <f t="shared" si="40"/>
        <v>5-25%</v>
      </c>
      <c r="Z170" s="71" t="s">
        <v>121</v>
      </c>
      <c r="AB170" s="32">
        <v>10220</v>
      </c>
      <c r="AC170" s="32">
        <v>10400</v>
      </c>
      <c r="AD170" s="32">
        <v>11360</v>
      </c>
      <c r="AE170" s="32">
        <v>10720</v>
      </c>
      <c r="AF170" s="32">
        <v>10980</v>
      </c>
      <c r="AG170" s="32">
        <v>10260</v>
      </c>
      <c r="AH170" s="32">
        <v>11360</v>
      </c>
    </row>
    <row r="171" spans="1:34" ht="24" customHeight="1" x14ac:dyDescent="0.25">
      <c r="A171" s="10">
        <v>23</v>
      </c>
      <c r="B171" s="9">
        <v>0.53333333333333333</v>
      </c>
      <c r="C171" s="5" t="s">
        <v>20</v>
      </c>
      <c r="D171" s="5">
        <f t="shared" si="41"/>
        <v>10</v>
      </c>
      <c r="E171" s="15"/>
      <c r="F171" s="15" t="s">
        <v>24</v>
      </c>
      <c r="G171" s="19">
        <f t="shared" si="28"/>
        <v>8.1999999999999993</v>
      </c>
      <c r="H171" s="19">
        <f t="shared" si="29"/>
        <v>10.68</v>
      </c>
      <c r="I171" s="19">
        <f t="shared" si="30"/>
        <v>11.88</v>
      </c>
      <c r="J171" s="19">
        <f t="shared" si="31"/>
        <v>10.86</v>
      </c>
      <c r="K171" s="19">
        <f t="shared" si="32"/>
        <v>12</v>
      </c>
      <c r="L171" s="19">
        <f t="shared" si="33"/>
        <v>11.48</v>
      </c>
      <c r="M171" s="19">
        <f t="shared" si="34"/>
        <v>0</v>
      </c>
      <c r="N171" s="36">
        <f t="shared" si="37"/>
        <v>65.099999999999994</v>
      </c>
      <c r="O171" s="36">
        <f t="shared" si="42"/>
        <v>11442.178911311874</v>
      </c>
      <c r="P171" s="37">
        <v>8</v>
      </c>
      <c r="Q171" s="37">
        <v>10</v>
      </c>
      <c r="R171" s="37">
        <v>9</v>
      </c>
      <c r="S171" s="37">
        <v>9</v>
      </c>
      <c r="T171" s="37">
        <v>9</v>
      </c>
      <c r="U171" s="37">
        <v>9</v>
      </c>
      <c r="V171" s="37">
        <v>9</v>
      </c>
      <c r="W171" s="38" t="str">
        <f t="shared" si="38"/>
        <v>Y</v>
      </c>
      <c r="X171" s="64">
        <f t="shared" si="39"/>
        <v>0.3</v>
      </c>
      <c r="Y171" s="64" t="str">
        <f t="shared" si="40"/>
        <v>25-50%</v>
      </c>
      <c r="Z171" s="71" t="s">
        <v>121</v>
      </c>
      <c r="AB171" s="32">
        <v>8200</v>
      </c>
      <c r="AC171" s="32">
        <v>10680</v>
      </c>
      <c r="AD171" s="32">
        <v>11880</v>
      </c>
      <c r="AE171" s="32">
        <v>10860</v>
      </c>
      <c r="AF171" s="32">
        <v>12000</v>
      </c>
      <c r="AG171" s="32">
        <v>11480</v>
      </c>
      <c r="AH171" s="32"/>
    </row>
    <row r="172" spans="1:34" ht="24" customHeight="1" x14ac:dyDescent="0.25">
      <c r="A172" s="10">
        <v>25</v>
      </c>
      <c r="B172" s="9">
        <v>0.53611111111111109</v>
      </c>
      <c r="C172" s="5" t="s">
        <v>20</v>
      </c>
      <c r="D172" s="5">
        <f t="shared" si="41"/>
        <v>10</v>
      </c>
      <c r="E172" s="15"/>
      <c r="F172" s="15" t="s">
        <v>24</v>
      </c>
      <c r="G172" s="19">
        <f t="shared" si="28"/>
        <v>8.66</v>
      </c>
      <c r="H172" s="19">
        <f t="shared" si="29"/>
        <v>10.119999999999999</v>
      </c>
      <c r="I172" s="19">
        <f t="shared" si="30"/>
        <v>10.64</v>
      </c>
      <c r="J172" s="19">
        <f t="shared" si="31"/>
        <v>10.74</v>
      </c>
      <c r="K172" s="19">
        <f t="shared" si="32"/>
        <v>10.68</v>
      </c>
      <c r="L172" s="19">
        <f t="shared" si="33"/>
        <v>10.44</v>
      </c>
      <c r="M172" s="19">
        <f t="shared" si="34"/>
        <v>0</v>
      </c>
      <c r="N172" s="36">
        <f t="shared" si="37"/>
        <v>61.28</v>
      </c>
      <c r="O172" s="36">
        <f t="shared" si="42"/>
        <v>8716.2301750707484</v>
      </c>
      <c r="P172" s="37">
        <v>8</v>
      </c>
      <c r="Q172" s="37">
        <v>10</v>
      </c>
      <c r="R172" s="37">
        <v>9</v>
      </c>
      <c r="S172" s="37">
        <v>9</v>
      </c>
      <c r="T172" s="37">
        <v>9</v>
      </c>
      <c r="U172" s="37">
        <v>9</v>
      </c>
      <c r="V172" s="37">
        <v>9</v>
      </c>
      <c r="W172" s="38" t="str">
        <f t="shared" si="38"/>
        <v>Y</v>
      </c>
      <c r="X172" s="64">
        <f t="shared" si="39"/>
        <v>0.17400000000000002</v>
      </c>
      <c r="Y172" s="64" t="str">
        <f t="shared" si="40"/>
        <v>5-25%</v>
      </c>
      <c r="Z172" s="71" t="s">
        <v>121</v>
      </c>
      <c r="AB172" s="32">
        <v>8660</v>
      </c>
      <c r="AC172" s="32">
        <v>10120</v>
      </c>
      <c r="AD172" s="32">
        <v>10640</v>
      </c>
      <c r="AE172" s="32">
        <v>10740</v>
      </c>
      <c r="AF172" s="32">
        <v>10680</v>
      </c>
      <c r="AG172" s="32">
        <v>10440</v>
      </c>
      <c r="AH172" s="32"/>
    </row>
    <row r="173" spans="1:34" ht="24" customHeight="1" x14ac:dyDescent="0.25">
      <c r="A173" s="10">
        <v>27</v>
      </c>
      <c r="B173" s="9">
        <v>0.53749999999999998</v>
      </c>
      <c r="C173" s="5" t="s">
        <v>20</v>
      </c>
      <c r="D173" s="5">
        <f t="shared" si="41"/>
        <v>10</v>
      </c>
      <c r="E173" s="15"/>
      <c r="F173" s="15" t="s">
        <v>28</v>
      </c>
      <c r="G173" s="19">
        <f t="shared" si="28"/>
        <v>7.64</v>
      </c>
      <c r="H173" s="19">
        <f t="shared" si="29"/>
        <v>14</v>
      </c>
      <c r="I173" s="19">
        <f t="shared" si="30"/>
        <v>14.6</v>
      </c>
      <c r="J173" s="19">
        <f t="shared" si="31"/>
        <v>8.98</v>
      </c>
      <c r="K173" s="19">
        <f t="shared" si="32"/>
        <v>7.76</v>
      </c>
      <c r="L173" s="19">
        <f t="shared" si="33"/>
        <v>14.12</v>
      </c>
      <c r="M173" s="19">
        <f t="shared" si="34"/>
        <v>14.32</v>
      </c>
      <c r="N173" s="36">
        <f t="shared" si="37"/>
        <v>81.419999999999987</v>
      </c>
      <c r="O173" s="36">
        <f t="shared" si="42"/>
        <v>31310.083570390994</v>
      </c>
      <c r="P173" s="37">
        <v>8</v>
      </c>
      <c r="Q173" s="37">
        <v>10</v>
      </c>
      <c r="R173" s="37">
        <v>9</v>
      </c>
      <c r="S173" s="37">
        <v>9</v>
      </c>
      <c r="T173" s="37">
        <v>9</v>
      </c>
      <c r="U173" s="37">
        <v>9</v>
      </c>
      <c r="V173" s="37">
        <v>9</v>
      </c>
      <c r="W173" s="38" t="str">
        <f t="shared" si="38"/>
        <v>Y</v>
      </c>
      <c r="X173" s="64">
        <f t="shared" si="39"/>
        <v>0.55999999999999994</v>
      </c>
      <c r="Y173" s="64" t="str">
        <f t="shared" si="40"/>
        <v>Over 50%</v>
      </c>
      <c r="Z173" s="71" t="s">
        <v>121</v>
      </c>
      <c r="AB173" s="32">
        <v>7640</v>
      </c>
      <c r="AC173" s="32">
        <v>14000</v>
      </c>
      <c r="AD173" s="32">
        <v>14600</v>
      </c>
      <c r="AE173" s="32">
        <v>8980</v>
      </c>
      <c r="AF173" s="32">
        <v>7760</v>
      </c>
      <c r="AG173" s="32">
        <v>14120</v>
      </c>
      <c r="AH173" s="32">
        <v>14320</v>
      </c>
    </row>
    <row r="174" spans="1:34" ht="24" customHeight="1" x14ac:dyDescent="0.25">
      <c r="A174" s="10">
        <v>31</v>
      </c>
      <c r="B174" s="9">
        <v>4.2361111111111106E-2</v>
      </c>
      <c r="C174" s="5" t="s">
        <v>21</v>
      </c>
      <c r="D174" s="5">
        <f t="shared" si="41"/>
        <v>10</v>
      </c>
      <c r="E174" s="15"/>
      <c r="F174" s="15" t="s">
        <v>25</v>
      </c>
      <c r="G174" s="19">
        <f t="shared" si="28"/>
        <v>7.92</v>
      </c>
      <c r="H174" s="19">
        <f t="shared" si="29"/>
        <v>2.3199999999999998</v>
      </c>
      <c r="I174" s="19">
        <f t="shared" si="30"/>
        <v>4.74</v>
      </c>
      <c r="J174" s="19">
        <f t="shared" si="31"/>
        <v>4.26</v>
      </c>
      <c r="K174" s="19">
        <f t="shared" si="32"/>
        <v>3.64</v>
      </c>
      <c r="L174" s="19">
        <f t="shared" si="33"/>
        <v>3.22</v>
      </c>
      <c r="M174" s="19">
        <f t="shared" si="34"/>
        <v>0</v>
      </c>
      <c r="N174" s="36">
        <f t="shared" si="37"/>
        <v>26.1</v>
      </c>
      <c r="O174" s="36">
        <f t="shared" si="42"/>
        <v>187.187381281434</v>
      </c>
      <c r="P174" s="37">
        <v>8</v>
      </c>
      <c r="Q174" s="37">
        <v>10</v>
      </c>
      <c r="R174" s="37">
        <v>9</v>
      </c>
      <c r="S174" s="37">
        <v>9</v>
      </c>
      <c r="T174" s="37">
        <v>9</v>
      </c>
      <c r="U174" s="37">
        <v>9</v>
      </c>
      <c r="V174" s="37">
        <v>9</v>
      </c>
      <c r="W174" s="38" t="str">
        <f t="shared" si="38"/>
        <v>N</v>
      </c>
      <c r="X174" s="64">
        <f t="shared" si="39"/>
        <v>0</v>
      </c>
      <c r="Y174" s="64" t="str">
        <f t="shared" si="40"/>
        <v>0-4.9%</v>
      </c>
      <c r="Z174" s="75" t="s">
        <v>108</v>
      </c>
      <c r="AB174" s="32">
        <v>7920</v>
      </c>
      <c r="AC174" s="32">
        <v>2320</v>
      </c>
      <c r="AD174" s="32">
        <v>4740</v>
      </c>
      <c r="AE174" s="32">
        <v>4260</v>
      </c>
      <c r="AF174" s="32">
        <v>3640</v>
      </c>
      <c r="AG174" s="32">
        <v>3220</v>
      </c>
      <c r="AH174" s="32"/>
    </row>
    <row r="175" spans="1:34" ht="24" customHeight="1" x14ac:dyDescent="0.25">
      <c r="A175" s="10">
        <v>33</v>
      </c>
      <c r="B175" s="9">
        <v>4.7222222222222221E-2</v>
      </c>
      <c r="C175" s="5" t="s">
        <v>20</v>
      </c>
      <c r="D175" s="5">
        <f t="shared" si="41"/>
        <v>10</v>
      </c>
      <c r="E175" s="15"/>
      <c r="F175" s="15" t="s">
        <v>43</v>
      </c>
      <c r="G175" s="19">
        <f t="shared" si="28"/>
        <v>4.3600000000000003</v>
      </c>
      <c r="H175" s="19">
        <f t="shared" si="29"/>
        <v>4.78</v>
      </c>
      <c r="I175" s="19">
        <f t="shared" si="30"/>
        <v>4.08</v>
      </c>
      <c r="J175" s="19">
        <f t="shared" si="31"/>
        <v>5.46</v>
      </c>
      <c r="K175" s="19">
        <f t="shared" si="32"/>
        <v>0.9</v>
      </c>
      <c r="L175" s="19">
        <f t="shared" si="33"/>
        <v>0</v>
      </c>
      <c r="M175" s="19">
        <f t="shared" si="34"/>
        <v>0</v>
      </c>
      <c r="N175" s="36">
        <f t="shared" si="37"/>
        <v>19.579999999999998</v>
      </c>
      <c r="O175" s="36">
        <f t="shared" si="42"/>
        <v>51.351292505728225</v>
      </c>
      <c r="P175" s="37">
        <v>8</v>
      </c>
      <c r="Q175" s="37">
        <v>10</v>
      </c>
      <c r="R175" s="37">
        <v>9</v>
      </c>
      <c r="S175" s="37">
        <v>9</v>
      </c>
      <c r="T175" s="37">
        <v>9</v>
      </c>
      <c r="U175" s="37">
        <v>9</v>
      </c>
      <c r="V175" s="37">
        <v>9</v>
      </c>
      <c r="W175" s="38" t="str">
        <f t="shared" si="38"/>
        <v>N</v>
      </c>
      <c r="X175" s="64">
        <f t="shared" si="39"/>
        <v>0</v>
      </c>
      <c r="Y175" s="64" t="str">
        <f t="shared" si="40"/>
        <v>0-4.9%</v>
      </c>
      <c r="Z175" s="75" t="s">
        <v>108</v>
      </c>
      <c r="AB175" s="32">
        <v>4360</v>
      </c>
      <c r="AC175" s="32">
        <v>4780</v>
      </c>
      <c r="AD175" s="32">
        <v>4080</v>
      </c>
      <c r="AE175" s="32">
        <v>5460</v>
      </c>
      <c r="AF175" s="32">
        <v>900</v>
      </c>
      <c r="AG175" s="32"/>
      <c r="AH175" s="32"/>
    </row>
    <row r="176" spans="1:34" ht="24" customHeight="1" x14ac:dyDescent="0.25">
      <c r="A176" s="10">
        <v>34</v>
      </c>
      <c r="B176" s="9">
        <v>4.9999999999999996E-2</v>
      </c>
      <c r="C176" s="5" t="s">
        <v>20</v>
      </c>
      <c r="D176" s="5">
        <f t="shared" si="41"/>
        <v>10</v>
      </c>
      <c r="E176" s="15"/>
      <c r="F176" s="15" t="s">
        <v>32</v>
      </c>
      <c r="G176" s="19">
        <f t="shared" si="28"/>
        <v>10.75</v>
      </c>
      <c r="H176" s="19">
        <f t="shared" si="29"/>
        <v>10.119999999999999</v>
      </c>
      <c r="I176" s="19">
        <f t="shared" si="30"/>
        <v>12.15</v>
      </c>
      <c r="J176" s="19">
        <f t="shared" si="31"/>
        <v>9.98</v>
      </c>
      <c r="K176" s="19">
        <f t="shared" si="32"/>
        <v>0</v>
      </c>
      <c r="L176" s="19">
        <f t="shared" si="33"/>
        <v>0</v>
      </c>
      <c r="M176" s="19">
        <f t="shared" si="34"/>
        <v>0</v>
      </c>
      <c r="N176" s="36">
        <f t="shared" si="37"/>
        <v>43</v>
      </c>
      <c r="O176" s="36">
        <f t="shared" si="42"/>
        <v>1770.1184783152319</v>
      </c>
      <c r="P176" s="37">
        <v>8</v>
      </c>
      <c r="Q176" s="37">
        <v>10</v>
      </c>
      <c r="R176" s="37">
        <v>9</v>
      </c>
      <c r="S176" s="37">
        <v>9</v>
      </c>
      <c r="T176" s="37">
        <v>9</v>
      </c>
      <c r="U176" s="37">
        <v>9</v>
      </c>
      <c r="V176" s="37">
        <v>9</v>
      </c>
      <c r="W176" s="38" t="str">
        <f t="shared" si="38"/>
        <v>Y</v>
      </c>
      <c r="X176" s="64">
        <f t="shared" si="39"/>
        <v>0.31500000000000006</v>
      </c>
      <c r="Y176" s="64" t="str">
        <f t="shared" si="40"/>
        <v>25-50%</v>
      </c>
      <c r="Z176" s="75" t="s">
        <v>117</v>
      </c>
      <c r="AB176" s="32">
        <v>10750</v>
      </c>
      <c r="AC176" s="32">
        <v>10120</v>
      </c>
      <c r="AD176" s="32">
        <v>12150</v>
      </c>
      <c r="AE176" s="32">
        <v>9980</v>
      </c>
      <c r="AF176" s="32"/>
      <c r="AG176" s="32"/>
      <c r="AH176" s="32"/>
    </row>
    <row r="177" spans="1:34" ht="24" customHeight="1" x14ac:dyDescent="0.25">
      <c r="A177" s="10">
        <v>35</v>
      </c>
      <c r="B177" s="9">
        <v>5.5555555555555552E-2</v>
      </c>
      <c r="C177" s="5" t="s">
        <v>20</v>
      </c>
      <c r="D177" s="5">
        <f t="shared" si="41"/>
        <v>10</v>
      </c>
      <c r="E177" s="15"/>
      <c r="F177" s="15" t="s">
        <v>49</v>
      </c>
      <c r="G177" s="19">
        <f t="shared" si="28"/>
        <v>7.22</v>
      </c>
      <c r="H177" s="19">
        <f t="shared" si="29"/>
        <v>7.84</v>
      </c>
      <c r="I177" s="19">
        <f t="shared" si="30"/>
        <v>6.94</v>
      </c>
      <c r="J177" s="19">
        <f t="shared" si="31"/>
        <v>10.48</v>
      </c>
      <c r="K177" s="19">
        <f t="shared" si="32"/>
        <v>7.58</v>
      </c>
      <c r="L177" s="19">
        <f t="shared" si="33"/>
        <v>0</v>
      </c>
      <c r="M177" s="19">
        <f t="shared" si="34"/>
        <v>0</v>
      </c>
      <c r="N177" s="36">
        <f t="shared" si="37"/>
        <v>40.06</v>
      </c>
      <c r="O177" s="36">
        <f t="shared" si="42"/>
        <v>1287.0444255374066</v>
      </c>
      <c r="P177" s="37">
        <v>8</v>
      </c>
      <c r="Q177" s="37">
        <v>10</v>
      </c>
      <c r="R177" s="37">
        <v>9</v>
      </c>
      <c r="S177" s="37">
        <v>9</v>
      </c>
      <c r="T177" s="37">
        <v>9</v>
      </c>
      <c r="U177" s="37">
        <v>9</v>
      </c>
      <c r="V177" s="37">
        <v>9</v>
      </c>
      <c r="W177" s="38" t="str">
        <f t="shared" si="38"/>
        <v>Y</v>
      </c>
      <c r="X177" s="64">
        <f t="shared" si="39"/>
        <v>0.14800000000000005</v>
      </c>
      <c r="Y177" s="64" t="str">
        <f t="shared" si="40"/>
        <v>5-25%</v>
      </c>
      <c r="Z177" s="75" t="s">
        <v>102</v>
      </c>
      <c r="AB177" s="32">
        <v>7220</v>
      </c>
      <c r="AC177" s="32">
        <v>7840</v>
      </c>
      <c r="AD177" s="32">
        <v>6940</v>
      </c>
      <c r="AE177" s="32">
        <v>10480</v>
      </c>
      <c r="AF177" s="32">
        <v>7580</v>
      </c>
      <c r="AG177" s="32"/>
      <c r="AH177" s="32"/>
    </row>
    <row r="178" spans="1:34" ht="24" customHeight="1" x14ac:dyDescent="0.25">
      <c r="A178" s="10">
        <v>37</v>
      </c>
      <c r="B178" s="9">
        <v>5.6250000000000001E-2</v>
      </c>
      <c r="C178" s="5" t="s">
        <v>20</v>
      </c>
      <c r="D178" s="5">
        <f t="shared" si="41"/>
        <v>10</v>
      </c>
      <c r="E178" s="15"/>
      <c r="F178" s="15" t="s">
        <v>25</v>
      </c>
      <c r="G178" s="19">
        <f t="shared" si="28"/>
        <v>8.94</v>
      </c>
      <c r="H178" s="19">
        <f t="shared" si="29"/>
        <v>10.3</v>
      </c>
      <c r="I178" s="19">
        <f t="shared" si="30"/>
        <v>12.88</v>
      </c>
      <c r="J178" s="19">
        <f t="shared" si="31"/>
        <v>13.98</v>
      </c>
      <c r="K178" s="19">
        <f t="shared" si="32"/>
        <v>10.28</v>
      </c>
      <c r="L178" s="19">
        <f t="shared" si="33"/>
        <v>14.8</v>
      </c>
      <c r="M178" s="19">
        <f t="shared" si="34"/>
        <v>0</v>
      </c>
      <c r="N178" s="36">
        <f t="shared" si="37"/>
        <v>71.180000000000007</v>
      </c>
      <c r="O178" s="36">
        <f t="shared" si="42"/>
        <v>17100.358376772576</v>
      </c>
      <c r="P178" s="37">
        <v>8</v>
      </c>
      <c r="Q178" s="37">
        <v>10</v>
      </c>
      <c r="R178" s="37">
        <v>9</v>
      </c>
      <c r="S178" s="37">
        <v>9</v>
      </c>
      <c r="T178" s="37">
        <v>9</v>
      </c>
      <c r="U178" s="37">
        <v>9</v>
      </c>
      <c r="V178" s="37">
        <v>9</v>
      </c>
      <c r="W178" s="38" t="str">
        <f t="shared" si="38"/>
        <v>Y</v>
      </c>
      <c r="X178" s="64">
        <f t="shared" si="39"/>
        <v>0.58000000000000007</v>
      </c>
      <c r="Y178" s="64" t="str">
        <f t="shared" si="40"/>
        <v>Over 50%</v>
      </c>
      <c r="Z178" s="71" t="s">
        <v>121</v>
      </c>
      <c r="AB178" s="32">
        <v>8940</v>
      </c>
      <c r="AC178" s="32">
        <v>10300</v>
      </c>
      <c r="AD178" s="32">
        <v>12880</v>
      </c>
      <c r="AE178" s="32">
        <v>13980</v>
      </c>
      <c r="AF178" s="32">
        <v>10280</v>
      </c>
      <c r="AG178" s="32">
        <v>14800</v>
      </c>
      <c r="AH178" s="32"/>
    </row>
    <row r="179" spans="1:34" ht="24" customHeight="1" x14ac:dyDescent="0.25">
      <c r="A179" s="10">
        <v>39</v>
      </c>
      <c r="B179" s="9">
        <v>5.8333333333333327E-2</v>
      </c>
      <c r="C179" s="5" t="s">
        <v>20</v>
      </c>
      <c r="D179" s="5">
        <f t="shared" si="41"/>
        <v>10</v>
      </c>
      <c r="E179" s="15"/>
      <c r="F179" s="15" t="s">
        <v>24</v>
      </c>
      <c r="G179" s="19">
        <f t="shared" si="28"/>
        <v>8.7799999999999994</v>
      </c>
      <c r="H179" s="19">
        <f t="shared" si="29"/>
        <v>12.38</v>
      </c>
      <c r="I179" s="19">
        <f t="shared" si="30"/>
        <v>12.1</v>
      </c>
      <c r="J179" s="19">
        <f t="shared" si="31"/>
        <v>16.100000000000001</v>
      </c>
      <c r="K179" s="19">
        <f t="shared" si="32"/>
        <v>11.84</v>
      </c>
      <c r="L179" s="19">
        <f t="shared" si="33"/>
        <v>12.06</v>
      </c>
      <c r="M179" s="19">
        <f t="shared" si="34"/>
        <v>0</v>
      </c>
      <c r="N179" s="36">
        <f t="shared" si="37"/>
        <v>73.260000000000005</v>
      </c>
      <c r="O179" s="36">
        <f t="shared" si="42"/>
        <v>19466.837342149305</v>
      </c>
      <c r="P179" s="37">
        <v>8</v>
      </c>
      <c r="Q179" s="37">
        <v>10</v>
      </c>
      <c r="R179" s="37">
        <v>9</v>
      </c>
      <c r="S179" s="37">
        <v>9</v>
      </c>
      <c r="T179" s="37">
        <v>9</v>
      </c>
      <c r="U179" s="37">
        <v>9</v>
      </c>
      <c r="V179" s="37">
        <v>9</v>
      </c>
      <c r="W179" s="38" t="str">
        <f t="shared" si="38"/>
        <v>Y</v>
      </c>
      <c r="X179" s="64">
        <f t="shared" si="39"/>
        <v>0.71000000000000019</v>
      </c>
      <c r="Y179" s="64" t="str">
        <f t="shared" si="40"/>
        <v>Over 50%</v>
      </c>
      <c r="Z179" s="75" t="s">
        <v>117</v>
      </c>
      <c r="AB179" s="32">
        <v>8780</v>
      </c>
      <c r="AC179" s="32">
        <v>12380</v>
      </c>
      <c r="AD179" s="32">
        <v>12100</v>
      </c>
      <c r="AE179" s="32">
        <v>16100</v>
      </c>
      <c r="AF179" s="32">
        <v>11840</v>
      </c>
      <c r="AG179" s="32">
        <v>12060</v>
      </c>
      <c r="AH179" s="32"/>
    </row>
    <row r="180" spans="1:34" ht="24" customHeight="1" x14ac:dyDescent="0.25">
      <c r="A180" s="10">
        <v>41</v>
      </c>
      <c r="B180" s="9">
        <v>6.0416666666666667E-2</v>
      </c>
      <c r="C180" s="5" t="s">
        <v>20</v>
      </c>
      <c r="D180" s="5">
        <f t="shared" si="41"/>
        <v>10</v>
      </c>
      <c r="E180" s="15"/>
      <c r="F180" s="15" t="s">
        <v>25</v>
      </c>
      <c r="G180" s="19">
        <f t="shared" si="28"/>
        <v>6.98</v>
      </c>
      <c r="H180" s="19">
        <f t="shared" si="29"/>
        <v>6.48</v>
      </c>
      <c r="I180" s="19">
        <f t="shared" si="30"/>
        <v>11.66</v>
      </c>
      <c r="J180" s="19">
        <f t="shared" si="31"/>
        <v>14.16</v>
      </c>
      <c r="K180" s="19">
        <f t="shared" si="32"/>
        <v>13.18</v>
      </c>
      <c r="L180" s="19">
        <f t="shared" si="33"/>
        <v>12.84</v>
      </c>
      <c r="M180" s="19">
        <f t="shared" si="34"/>
        <v>0</v>
      </c>
      <c r="N180" s="36">
        <f t="shared" si="37"/>
        <v>65.3</v>
      </c>
      <c r="O180" s="36">
        <f t="shared" si="42"/>
        <v>11601.218363075455</v>
      </c>
      <c r="P180" s="37">
        <v>8</v>
      </c>
      <c r="Q180" s="37">
        <v>10</v>
      </c>
      <c r="R180" s="37">
        <v>9</v>
      </c>
      <c r="S180" s="37">
        <v>9</v>
      </c>
      <c r="T180" s="37">
        <v>9</v>
      </c>
      <c r="U180" s="37">
        <v>9</v>
      </c>
      <c r="V180" s="37">
        <v>9</v>
      </c>
      <c r="W180" s="38" t="str">
        <f t="shared" si="38"/>
        <v>Y</v>
      </c>
      <c r="X180" s="64">
        <f t="shared" si="39"/>
        <v>0.51600000000000001</v>
      </c>
      <c r="Y180" s="64" t="str">
        <f t="shared" si="40"/>
        <v>Over 50%</v>
      </c>
      <c r="Z180" s="75" t="s">
        <v>117</v>
      </c>
      <c r="AB180" s="32">
        <v>6980</v>
      </c>
      <c r="AC180" s="32">
        <v>6480</v>
      </c>
      <c r="AD180" s="32">
        <v>11660</v>
      </c>
      <c r="AE180" s="32">
        <v>14160</v>
      </c>
      <c r="AF180" s="32">
        <v>13180</v>
      </c>
      <c r="AG180" s="32">
        <v>12840</v>
      </c>
      <c r="AH180" s="32"/>
    </row>
    <row r="181" spans="1:34" ht="24" customHeight="1" x14ac:dyDescent="0.25">
      <c r="A181" s="10">
        <v>43</v>
      </c>
      <c r="B181" s="9">
        <v>6.5972222222222224E-2</v>
      </c>
      <c r="C181" s="5" t="s">
        <v>20</v>
      </c>
      <c r="D181" s="5">
        <f t="shared" si="41"/>
        <v>10</v>
      </c>
      <c r="E181" s="15"/>
      <c r="F181" s="15" t="s">
        <v>25</v>
      </c>
      <c r="G181" s="19">
        <f t="shared" si="28"/>
        <v>7.26</v>
      </c>
      <c r="H181" s="19">
        <f t="shared" si="29"/>
        <v>2.8</v>
      </c>
      <c r="I181" s="19">
        <f t="shared" si="30"/>
        <v>4.92</v>
      </c>
      <c r="J181" s="19">
        <f t="shared" si="31"/>
        <v>2.78</v>
      </c>
      <c r="K181" s="19">
        <f t="shared" si="32"/>
        <v>2.68</v>
      </c>
      <c r="L181" s="19">
        <f t="shared" si="33"/>
        <v>4.18</v>
      </c>
      <c r="M181" s="19">
        <f t="shared" si="34"/>
        <v>0</v>
      </c>
      <c r="N181" s="36">
        <f t="shared" si="37"/>
        <v>24.619999999999997</v>
      </c>
      <c r="O181" s="36">
        <f t="shared" si="42"/>
        <v>143.94298490489118</v>
      </c>
      <c r="P181" s="37">
        <v>8</v>
      </c>
      <c r="Q181" s="37">
        <v>10</v>
      </c>
      <c r="R181" s="37">
        <v>9</v>
      </c>
      <c r="S181" s="37">
        <v>9</v>
      </c>
      <c r="T181" s="37">
        <v>9</v>
      </c>
      <c r="U181" s="37">
        <v>9</v>
      </c>
      <c r="V181" s="37">
        <v>9</v>
      </c>
      <c r="W181" s="38" t="str">
        <f t="shared" si="38"/>
        <v>N</v>
      </c>
      <c r="X181" s="64">
        <f t="shared" si="39"/>
        <v>0</v>
      </c>
      <c r="Y181" s="64" t="str">
        <f t="shared" si="40"/>
        <v>0-4.9%</v>
      </c>
      <c r="Z181" s="75" t="s">
        <v>108</v>
      </c>
      <c r="AB181" s="32">
        <v>7260</v>
      </c>
      <c r="AC181" s="32">
        <v>2800</v>
      </c>
      <c r="AD181" s="32">
        <v>4920</v>
      </c>
      <c r="AE181" s="32">
        <v>2780</v>
      </c>
      <c r="AF181" s="32">
        <v>2680</v>
      </c>
      <c r="AG181" s="32">
        <v>4180</v>
      </c>
      <c r="AH181" s="32"/>
    </row>
    <row r="182" spans="1:34" ht="24" customHeight="1" x14ac:dyDescent="0.25">
      <c r="A182" s="10">
        <v>48</v>
      </c>
      <c r="B182" s="9">
        <v>7.6388888888888895E-2</v>
      </c>
      <c r="C182" s="5" t="s">
        <v>21</v>
      </c>
      <c r="D182" s="5">
        <f t="shared" si="41"/>
        <v>10</v>
      </c>
      <c r="E182" s="15"/>
      <c r="F182" s="15" t="s">
        <v>24</v>
      </c>
      <c r="G182" s="19">
        <f t="shared" si="28"/>
        <v>4.46</v>
      </c>
      <c r="H182" s="19">
        <f t="shared" si="29"/>
        <v>4</v>
      </c>
      <c r="I182" s="19">
        <f t="shared" si="30"/>
        <v>4.0199999999999996</v>
      </c>
      <c r="J182" s="19">
        <f t="shared" si="31"/>
        <v>2.06</v>
      </c>
      <c r="K182" s="19">
        <f t="shared" si="32"/>
        <v>2</v>
      </c>
      <c r="L182" s="19">
        <f t="shared" si="33"/>
        <v>2.04</v>
      </c>
      <c r="M182" s="19">
        <f t="shared" si="34"/>
        <v>0</v>
      </c>
      <c r="N182" s="36">
        <f t="shared" si="37"/>
        <v>18.579999999999998</v>
      </c>
      <c r="O182" s="36">
        <f t="shared" si="42"/>
        <v>40.560189843982947</v>
      </c>
      <c r="P182" s="37">
        <v>8</v>
      </c>
      <c r="Q182" s="37">
        <v>10</v>
      </c>
      <c r="R182" s="37">
        <v>9</v>
      </c>
      <c r="S182" s="37">
        <v>9</v>
      </c>
      <c r="T182" s="37">
        <v>9</v>
      </c>
      <c r="U182" s="37">
        <v>9</v>
      </c>
      <c r="V182" s="37">
        <v>9</v>
      </c>
      <c r="W182" s="38" t="str">
        <f t="shared" si="38"/>
        <v>N</v>
      </c>
      <c r="X182" s="64">
        <f t="shared" si="39"/>
        <v>0</v>
      </c>
      <c r="Y182" s="64" t="str">
        <f t="shared" si="40"/>
        <v>0-4.9%</v>
      </c>
      <c r="Z182" s="75" t="s">
        <v>108</v>
      </c>
      <c r="AB182" s="32">
        <v>4460</v>
      </c>
      <c r="AC182" s="32">
        <v>4000</v>
      </c>
      <c r="AD182" s="32">
        <v>4020</v>
      </c>
      <c r="AE182" s="32">
        <v>2060</v>
      </c>
      <c r="AF182" s="32">
        <v>2000</v>
      </c>
      <c r="AG182" s="32">
        <v>2040</v>
      </c>
      <c r="AH182" s="32"/>
    </row>
    <row r="183" spans="1:34" ht="24" customHeight="1" x14ac:dyDescent="0.25">
      <c r="A183" s="10">
        <v>50</v>
      </c>
      <c r="B183" s="9">
        <v>7.9861111111111105E-2</v>
      </c>
      <c r="C183" s="5" t="s">
        <v>20</v>
      </c>
      <c r="D183" s="5">
        <f t="shared" si="41"/>
        <v>10</v>
      </c>
      <c r="E183" s="15"/>
      <c r="F183" s="15" t="s">
        <v>25</v>
      </c>
      <c r="G183" s="19">
        <f t="shared" si="28"/>
        <v>3.7</v>
      </c>
      <c r="H183" s="19">
        <f t="shared" si="29"/>
        <v>3.76</v>
      </c>
      <c r="I183" s="19">
        <f t="shared" si="30"/>
        <v>6.54</v>
      </c>
      <c r="J183" s="19">
        <f t="shared" si="31"/>
        <v>8.9</v>
      </c>
      <c r="K183" s="19">
        <f t="shared" si="32"/>
        <v>8.1999999999999993</v>
      </c>
      <c r="L183" s="19">
        <f t="shared" si="33"/>
        <v>8.01</v>
      </c>
      <c r="M183" s="19">
        <f t="shared" si="34"/>
        <v>0</v>
      </c>
      <c r="N183" s="36">
        <f t="shared" si="37"/>
        <v>39.11</v>
      </c>
      <c r="O183" s="36">
        <f t="shared" si="42"/>
        <v>1155.2858587204946</v>
      </c>
      <c r="P183" s="37">
        <v>8</v>
      </c>
      <c r="Q183" s="37">
        <v>10</v>
      </c>
      <c r="R183" s="37">
        <v>9</v>
      </c>
      <c r="S183" s="37">
        <v>9</v>
      </c>
      <c r="T183" s="37">
        <v>9</v>
      </c>
      <c r="U183" s="37">
        <v>9</v>
      </c>
      <c r="V183" s="37">
        <v>9</v>
      </c>
      <c r="W183" s="38" t="str">
        <f t="shared" si="38"/>
        <v>N</v>
      </c>
      <c r="X183" s="64">
        <f t="shared" si="39"/>
        <v>0</v>
      </c>
      <c r="Y183" s="64" t="str">
        <f t="shared" si="40"/>
        <v>0-4.9%</v>
      </c>
      <c r="Z183" s="71" t="s">
        <v>121</v>
      </c>
      <c r="AB183" s="32">
        <v>3700</v>
      </c>
      <c r="AC183" s="32">
        <v>3760</v>
      </c>
      <c r="AD183" s="32">
        <v>6540</v>
      </c>
      <c r="AE183" s="32">
        <v>8900</v>
      </c>
      <c r="AF183" s="32">
        <v>8200</v>
      </c>
      <c r="AG183" s="32">
        <v>8010</v>
      </c>
      <c r="AH183" s="32"/>
    </row>
    <row r="184" spans="1:34" ht="24" customHeight="1" x14ac:dyDescent="0.25">
      <c r="A184" s="10">
        <v>52</v>
      </c>
      <c r="B184" s="9">
        <v>8.2638888888888887E-2</v>
      </c>
      <c r="C184" s="5" t="s">
        <v>20</v>
      </c>
      <c r="D184" s="5">
        <f t="shared" si="41"/>
        <v>10</v>
      </c>
      <c r="E184" s="15"/>
      <c r="F184" s="15" t="s">
        <v>32</v>
      </c>
      <c r="G184" s="19">
        <f t="shared" si="28"/>
        <v>3.42</v>
      </c>
      <c r="H184" s="19">
        <f t="shared" si="29"/>
        <v>6.02</v>
      </c>
      <c r="I184" s="19">
        <f t="shared" si="30"/>
        <v>3.04</v>
      </c>
      <c r="J184" s="19">
        <f t="shared" si="31"/>
        <v>3.88</v>
      </c>
      <c r="K184" s="19">
        <f t="shared" si="32"/>
        <v>0</v>
      </c>
      <c r="L184" s="19">
        <f t="shared" si="33"/>
        <v>0</v>
      </c>
      <c r="M184" s="19">
        <f t="shared" si="34"/>
        <v>0</v>
      </c>
      <c r="N184" s="36">
        <f t="shared" si="37"/>
        <v>16.36</v>
      </c>
      <c r="O184" s="36">
        <f t="shared" si="42"/>
        <v>22.878056732709442</v>
      </c>
      <c r="P184" s="37">
        <v>8</v>
      </c>
      <c r="Q184" s="37">
        <v>10</v>
      </c>
      <c r="R184" s="37">
        <v>9</v>
      </c>
      <c r="S184" s="37">
        <v>9</v>
      </c>
      <c r="T184" s="37">
        <v>9</v>
      </c>
      <c r="U184" s="37">
        <v>9</v>
      </c>
      <c r="V184" s="37">
        <v>9</v>
      </c>
      <c r="W184" s="38" t="str">
        <f t="shared" si="38"/>
        <v>N</v>
      </c>
      <c r="X184" s="64">
        <f t="shared" si="39"/>
        <v>0</v>
      </c>
      <c r="Y184" s="64" t="str">
        <f t="shared" si="40"/>
        <v>0-4.9%</v>
      </c>
      <c r="Z184" s="75" t="s">
        <v>108</v>
      </c>
      <c r="AB184" s="32">
        <v>3420</v>
      </c>
      <c r="AC184" s="32">
        <v>6020</v>
      </c>
      <c r="AD184" s="32">
        <v>3040</v>
      </c>
      <c r="AE184" s="32">
        <v>3880</v>
      </c>
      <c r="AF184" s="32"/>
      <c r="AG184" s="32"/>
      <c r="AH184" s="32"/>
    </row>
    <row r="185" spans="1:34" ht="24" customHeight="1" x14ac:dyDescent="0.25">
      <c r="A185" s="10">
        <v>55</v>
      </c>
      <c r="B185" s="9">
        <v>8.6111111111111124E-2</v>
      </c>
      <c r="C185" s="5" t="s">
        <v>20</v>
      </c>
      <c r="D185" s="5">
        <f t="shared" si="41"/>
        <v>10</v>
      </c>
      <c r="E185" s="15"/>
      <c r="F185" s="15" t="s">
        <v>45</v>
      </c>
      <c r="G185" s="19">
        <f t="shared" si="28"/>
        <v>3.26</v>
      </c>
      <c r="H185" s="19">
        <f t="shared" si="29"/>
        <v>3.04</v>
      </c>
      <c r="I185" s="19">
        <f t="shared" si="30"/>
        <v>3.04</v>
      </c>
      <c r="J185" s="19">
        <f t="shared" si="31"/>
        <v>3.04</v>
      </c>
      <c r="K185" s="19">
        <f t="shared" si="32"/>
        <v>2.74</v>
      </c>
      <c r="L185" s="19">
        <f t="shared" si="33"/>
        <v>0</v>
      </c>
      <c r="M185" s="19">
        <f t="shared" si="34"/>
        <v>0</v>
      </c>
      <c r="N185" s="36">
        <f t="shared" si="37"/>
        <v>15.12</v>
      </c>
      <c r="O185" s="36">
        <f t="shared" si="42"/>
        <v>16.046390093555249</v>
      </c>
      <c r="P185" s="37">
        <v>8</v>
      </c>
      <c r="Q185" s="37">
        <v>10</v>
      </c>
      <c r="R185" s="37">
        <v>9</v>
      </c>
      <c r="S185" s="37">
        <v>9</v>
      </c>
      <c r="T185" s="37">
        <v>9</v>
      </c>
      <c r="U185" s="37">
        <v>9</v>
      </c>
      <c r="V185" s="37">
        <v>9</v>
      </c>
      <c r="W185" s="38" t="str">
        <f t="shared" si="38"/>
        <v>N</v>
      </c>
      <c r="X185" s="64">
        <f t="shared" si="39"/>
        <v>0</v>
      </c>
      <c r="Y185" s="64" t="str">
        <f t="shared" si="40"/>
        <v>0-4.9%</v>
      </c>
      <c r="Z185" s="75" t="s">
        <v>108</v>
      </c>
      <c r="AB185" s="32">
        <v>3260</v>
      </c>
      <c r="AC185" s="32">
        <v>3040</v>
      </c>
      <c r="AD185" s="32">
        <v>3040</v>
      </c>
      <c r="AE185" s="32">
        <v>3040</v>
      </c>
      <c r="AF185" s="32">
        <v>2740</v>
      </c>
      <c r="AG185" s="32"/>
      <c r="AH185" s="32"/>
    </row>
    <row r="186" spans="1:34" ht="24" customHeight="1" x14ac:dyDescent="0.25">
      <c r="A186" s="10">
        <v>57</v>
      </c>
      <c r="B186" s="9">
        <v>8.7500000000000008E-2</v>
      </c>
      <c r="C186" s="5" t="s">
        <v>20</v>
      </c>
      <c r="D186" s="5">
        <f t="shared" si="41"/>
        <v>10</v>
      </c>
      <c r="E186" s="15"/>
      <c r="F186" s="15" t="s">
        <v>24</v>
      </c>
      <c r="G186" s="19">
        <f t="shared" si="28"/>
        <v>7.64</v>
      </c>
      <c r="H186" s="19">
        <f t="shared" si="29"/>
        <v>4.72</v>
      </c>
      <c r="I186" s="19">
        <f t="shared" si="30"/>
        <v>4.0999999999999996</v>
      </c>
      <c r="J186" s="19">
        <f t="shared" si="31"/>
        <v>3.56</v>
      </c>
      <c r="K186" s="19">
        <f t="shared" si="32"/>
        <v>4.04</v>
      </c>
      <c r="L186" s="19">
        <f t="shared" si="33"/>
        <v>8.4</v>
      </c>
      <c r="M186" s="19">
        <f t="shared" si="34"/>
        <v>0</v>
      </c>
      <c r="N186" s="36">
        <f t="shared" si="37"/>
        <v>32.46</v>
      </c>
      <c r="O186" s="36">
        <f t="shared" si="42"/>
        <v>499.41617640292361</v>
      </c>
      <c r="P186" s="37">
        <v>8</v>
      </c>
      <c r="Q186" s="37">
        <v>10</v>
      </c>
      <c r="R186" s="37">
        <v>9</v>
      </c>
      <c r="S186" s="37">
        <v>9</v>
      </c>
      <c r="T186" s="37">
        <v>9</v>
      </c>
      <c r="U186" s="37">
        <v>9</v>
      </c>
      <c r="V186" s="37">
        <v>9</v>
      </c>
      <c r="W186" s="38" t="str">
        <f t="shared" si="38"/>
        <v>N</v>
      </c>
      <c r="X186" s="64">
        <f t="shared" si="39"/>
        <v>0</v>
      </c>
      <c r="Y186" s="64" t="str">
        <f t="shared" si="40"/>
        <v>0-4.9%</v>
      </c>
      <c r="Z186" s="75" t="s">
        <v>34</v>
      </c>
      <c r="AB186" s="32">
        <v>7640</v>
      </c>
      <c r="AC186" s="32">
        <v>4720</v>
      </c>
      <c r="AD186" s="32">
        <v>4100</v>
      </c>
      <c r="AE186" s="32">
        <v>3560</v>
      </c>
      <c r="AF186" s="32">
        <v>4040</v>
      </c>
      <c r="AG186" s="32">
        <v>8400</v>
      </c>
      <c r="AH186" s="32"/>
    </row>
    <row r="187" spans="1:34" ht="24" customHeight="1" x14ac:dyDescent="0.25">
      <c r="A187" s="10">
        <v>58</v>
      </c>
      <c r="B187" s="9">
        <v>8.9583333333333334E-2</v>
      </c>
      <c r="C187" s="5" t="s">
        <v>20</v>
      </c>
      <c r="D187" s="5">
        <f t="shared" si="41"/>
        <v>10</v>
      </c>
      <c r="E187" s="15"/>
      <c r="F187" s="15" t="s">
        <v>27</v>
      </c>
      <c r="G187" s="19">
        <f t="shared" si="28"/>
        <v>3.82</v>
      </c>
      <c r="H187" s="19">
        <f t="shared" si="29"/>
        <v>2.42</v>
      </c>
      <c r="I187" s="19">
        <f t="shared" si="30"/>
        <v>2.14</v>
      </c>
      <c r="J187" s="19">
        <f t="shared" si="31"/>
        <v>2.86</v>
      </c>
      <c r="K187" s="19">
        <f t="shared" si="32"/>
        <v>2.8</v>
      </c>
      <c r="L187" s="19">
        <f t="shared" si="33"/>
        <v>2.82</v>
      </c>
      <c r="M187" s="19">
        <f t="shared" si="34"/>
        <v>0</v>
      </c>
      <c r="N187" s="36">
        <f t="shared" si="37"/>
        <v>16.86</v>
      </c>
      <c r="O187" s="36">
        <f t="shared" si="42"/>
        <v>26.197108083685755</v>
      </c>
      <c r="P187" s="37">
        <v>8</v>
      </c>
      <c r="Q187" s="37">
        <v>10</v>
      </c>
      <c r="R187" s="37">
        <v>9</v>
      </c>
      <c r="S187" s="37">
        <v>9</v>
      </c>
      <c r="T187" s="37">
        <v>9</v>
      </c>
      <c r="U187" s="37">
        <v>9</v>
      </c>
      <c r="V187" s="37">
        <v>9</v>
      </c>
      <c r="W187" s="38" t="str">
        <f t="shared" si="38"/>
        <v>N</v>
      </c>
      <c r="X187" s="64">
        <f t="shared" si="39"/>
        <v>0</v>
      </c>
      <c r="Y187" s="64" t="str">
        <f t="shared" si="40"/>
        <v>0-4.9%</v>
      </c>
      <c r="Z187" s="75" t="s">
        <v>108</v>
      </c>
      <c r="AB187" s="32">
        <v>3820</v>
      </c>
      <c r="AC187" s="32">
        <v>2420</v>
      </c>
      <c r="AD187" s="32">
        <v>2140</v>
      </c>
      <c r="AE187" s="32">
        <v>2860</v>
      </c>
      <c r="AF187" s="32">
        <v>2800</v>
      </c>
      <c r="AG187" s="32">
        <v>2820</v>
      </c>
      <c r="AH187" s="32"/>
    </row>
  </sheetData>
  <sortState xmlns:xlrd2="http://schemas.microsoft.com/office/spreadsheetml/2017/richdata2" ref="A7:AA187">
    <sortCondition ref="D7:D187"/>
  </sortState>
  <mergeCells count="18">
    <mergeCell ref="Z5:Z6"/>
    <mergeCell ref="W5:W6"/>
    <mergeCell ref="X5:X6"/>
    <mergeCell ref="Y5:Y6"/>
    <mergeCell ref="P5:V5"/>
    <mergeCell ref="AC5:AH5"/>
    <mergeCell ref="A1:Z1"/>
    <mergeCell ref="A2:O2"/>
    <mergeCell ref="A4:B4"/>
    <mergeCell ref="A5:A6"/>
    <mergeCell ref="B5:B6"/>
    <mergeCell ref="C5:C6"/>
    <mergeCell ref="D5:D6"/>
    <mergeCell ref="E5:E6"/>
    <mergeCell ref="F5:F6"/>
    <mergeCell ref="H5:M5"/>
    <mergeCell ref="N5:N6"/>
    <mergeCell ref="O5:O6"/>
  </mergeCells>
  <printOptions horizontalCentered="1"/>
  <pageMargins left="0.7" right="0.7" top="0.75" bottom="0.75" header="0.3" footer="0.3"/>
  <pageSetup paperSize="9" scale="11" orientation="landscape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67E7-701F-478D-A40F-0D946669BCDD}">
  <dimension ref="A1:Y60"/>
  <sheetViews>
    <sheetView tabSelected="1" view="pageBreakPreview" zoomScale="60" zoomScaleNormal="55" workbookViewId="0">
      <selection activeCell="M28" sqref="M28"/>
    </sheetView>
  </sheetViews>
  <sheetFormatPr defaultRowHeight="15" x14ac:dyDescent="0.25"/>
  <cols>
    <col min="2" max="2" width="20" customWidth="1"/>
    <col min="3" max="3" width="13.7109375" customWidth="1"/>
    <col min="4" max="4" width="13.5703125" customWidth="1"/>
    <col min="5" max="5" width="9.85546875" customWidth="1"/>
    <col min="6" max="6" width="16.7109375" customWidth="1"/>
    <col min="8" max="8" width="20.28515625" bestFit="1" customWidth="1"/>
    <col min="9" max="10" width="16.85546875" bestFit="1" customWidth="1"/>
    <col min="11" max="11" width="6" customWidth="1"/>
    <col min="13" max="14" width="14.5703125" customWidth="1"/>
    <col min="15" max="15" width="10.7109375" customWidth="1"/>
    <col min="16" max="16" width="14.5703125" customWidth="1"/>
    <col min="17" max="22" width="10.7109375" customWidth="1"/>
  </cols>
  <sheetData>
    <row r="1" spans="1:25" ht="21" x14ac:dyDescent="0.35">
      <c r="B1" s="65" t="s">
        <v>143</v>
      </c>
    </row>
    <row r="3" spans="1:25" ht="15.75" x14ac:dyDescent="0.25">
      <c r="A3" s="44" t="s">
        <v>111</v>
      </c>
      <c r="L3" s="44" t="s">
        <v>112</v>
      </c>
    </row>
    <row r="4" spans="1:25" ht="36.75" customHeight="1" x14ac:dyDescent="0.25">
      <c r="B4" s="66" t="s">
        <v>113</v>
      </c>
      <c r="C4" s="67" t="s">
        <v>129</v>
      </c>
      <c r="D4" s="67" t="s">
        <v>130</v>
      </c>
      <c r="E4" s="68" t="s">
        <v>114</v>
      </c>
      <c r="L4" s="45" t="s">
        <v>115</v>
      </c>
      <c r="M4" s="67" t="s">
        <v>129</v>
      </c>
      <c r="N4" s="67" t="s">
        <v>130</v>
      </c>
      <c r="O4" s="42"/>
      <c r="P4" s="69"/>
      <c r="Q4" s="42"/>
      <c r="R4" s="42"/>
      <c r="S4" s="42"/>
      <c r="T4" s="42"/>
      <c r="U4" s="42"/>
      <c r="V4" s="42"/>
      <c r="W4" s="42"/>
      <c r="X4" s="42"/>
      <c r="Y4" s="70"/>
    </row>
    <row r="5" spans="1:25" ht="15.75" x14ac:dyDescent="0.25">
      <c r="A5">
        <v>7</v>
      </c>
      <c r="B5" s="46" t="s">
        <v>116</v>
      </c>
      <c r="C5" s="46">
        <f>COUNTIF('Kla-Mityana'!$D$7:$D$500,7)</f>
        <v>104</v>
      </c>
      <c r="D5" s="46">
        <f>COUNTIF('Mityana-Kla'!$D$7:$D$500,7)</f>
        <v>109</v>
      </c>
      <c r="E5" s="46">
        <f>SUM(C5:D5)</f>
        <v>213</v>
      </c>
      <c r="L5" s="71" t="s">
        <v>117</v>
      </c>
      <c r="M5" s="49">
        <f>COUNTIF('Kla-Mityana'!$Z$7:$Z$230,L5)/$M$16</f>
        <v>2.6785714285714284E-2</v>
      </c>
      <c r="N5" s="49">
        <f>COUNTIF('Mityana-Kla'!$Z$7:$Z$187,L5)/$N$16</f>
        <v>0.33701657458563539</v>
      </c>
      <c r="Y5" s="45"/>
    </row>
    <row r="6" spans="1:25" ht="15.75" x14ac:dyDescent="0.25">
      <c r="A6">
        <v>9</v>
      </c>
      <c r="B6" s="46" t="s">
        <v>118</v>
      </c>
      <c r="C6" s="46">
        <f>COUNTIF('Kla-Mityana'!$D$7:$D$500,9)</f>
        <v>35</v>
      </c>
      <c r="D6" s="46">
        <f>COUNTIF('Mityana-Kla'!$D$7:$D$500,9)</f>
        <v>16</v>
      </c>
      <c r="E6" s="46">
        <f t="shared" ref="E6:E7" si="0">SUM(C6:D6)</f>
        <v>51</v>
      </c>
      <c r="L6" s="71" t="s">
        <v>119</v>
      </c>
      <c r="M6" s="49">
        <f>COUNTIF('Kla-Mityana'!$Z$7:$Z$230,L6)/$M$16</f>
        <v>0</v>
      </c>
      <c r="N6" s="49">
        <f>COUNTIF('Mityana-Kla'!$Z$7:$Z$187,L6)/$N$16</f>
        <v>0</v>
      </c>
      <c r="Y6" s="45"/>
    </row>
    <row r="7" spans="1:25" ht="15.75" x14ac:dyDescent="0.25">
      <c r="A7">
        <v>10</v>
      </c>
      <c r="B7" s="46" t="s">
        <v>120</v>
      </c>
      <c r="C7" s="46">
        <f>COUNTIF('Kla-Mityana'!$D$7:$D$500,10)</f>
        <v>85</v>
      </c>
      <c r="D7" s="46">
        <f>COUNTIF('Mityana-Kla'!$D$7:$D$500,10)</f>
        <v>56</v>
      </c>
      <c r="E7" s="46">
        <f t="shared" si="0"/>
        <v>141</v>
      </c>
      <c r="L7" s="71" t="s">
        <v>121</v>
      </c>
      <c r="M7" s="49">
        <f>COUNTIF('Kla-Mityana'!$Z$7:$Z$230,L7)/$M$16</f>
        <v>0.12053571428571429</v>
      </c>
      <c r="N7" s="49">
        <f>44/$N$16</f>
        <v>0.24309392265193369</v>
      </c>
    </row>
    <row r="8" spans="1:25" ht="15.75" x14ac:dyDescent="0.25">
      <c r="B8" s="48" t="s">
        <v>122</v>
      </c>
      <c r="C8" s="48">
        <f>SUM(C5:C7)</f>
        <v>224</v>
      </c>
      <c r="D8" s="48">
        <f>SUM(D5:D7)</f>
        <v>181</v>
      </c>
      <c r="E8" s="48">
        <f>SUM(E5:E7)</f>
        <v>405</v>
      </c>
      <c r="L8" s="71" t="s">
        <v>102</v>
      </c>
      <c r="M8" s="49">
        <f>COUNTIF('Kla-Mityana'!$Z$7:$Z$230,L8)/$M$16</f>
        <v>1.7857142857142856E-2</v>
      </c>
      <c r="N8" s="49">
        <f>COUNTIF('Mityana-Kla'!$Z$7:$Z$187,L8)/$N$16</f>
        <v>1.1049723756906077E-2</v>
      </c>
    </row>
    <row r="9" spans="1:25" ht="15.75" x14ac:dyDescent="0.25">
      <c r="L9" s="71" t="s">
        <v>123</v>
      </c>
      <c r="M9" s="49">
        <f>COUNTIF('Kla-Mityana'!$Z$7:$Z$230,L9)/$M$16</f>
        <v>0</v>
      </c>
      <c r="N9" s="49">
        <f>COUNTIF('Mityana-Kla'!$Z$7:$Z$187,L9)/$N$16</f>
        <v>0</v>
      </c>
    </row>
    <row r="10" spans="1:25" ht="15.75" x14ac:dyDescent="0.25">
      <c r="L10" s="71" t="s">
        <v>124</v>
      </c>
      <c r="M10" s="49">
        <f>COUNTIF('Kla-Mityana'!$Z$7:$Z$230,L10)/$M$16</f>
        <v>7.5892857142857137E-2</v>
      </c>
      <c r="N10" s="49">
        <f>COUNTIF('Mityana-Kla'!$Z$7:$Z$187,L10)/$N$16</f>
        <v>0</v>
      </c>
    </row>
    <row r="11" spans="1:25" ht="15.75" x14ac:dyDescent="0.25">
      <c r="L11" s="71" t="s">
        <v>125</v>
      </c>
      <c r="M11" s="49">
        <f>COUNTIF('Kla-Mityana'!$Z$7:$Z$230,L11)/$M$16</f>
        <v>1.3392857142857142E-2</v>
      </c>
      <c r="N11" s="49">
        <f>COUNTIF('Mityana-Kla'!$Z$7:$Z$187,L11)/$N$16</f>
        <v>0</v>
      </c>
    </row>
    <row r="12" spans="1:25" ht="15.75" x14ac:dyDescent="0.25">
      <c r="L12" s="71" t="s">
        <v>126</v>
      </c>
      <c r="M12" s="49">
        <f>COUNTIF('Kla-Mityana'!$Z$7:$Z$230,L12)/$M$16</f>
        <v>0</v>
      </c>
      <c r="N12" s="49">
        <f>COUNTIF('Mityana-Kla'!$Z$7:$Z$187,L12)/$N$16</f>
        <v>0</v>
      </c>
    </row>
    <row r="13" spans="1:25" ht="15.75" x14ac:dyDescent="0.25">
      <c r="L13" s="71" t="s">
        <v>127</v>
      </c>
      <c r="M13" s="49">
        <f>COUNTIF('Kla-Mityana'!$Z$7:$Z$230,L13)/$M$16</f>
        <v>0.13392857142857142</v>
      </c>
      <c r="N13" s="49">
        <f>5/$N$16</f>
        <v>2.7624309392265192E-2</v>
      </c>
    </row>
    <row r="14" spans="1:25" ht="15.75" x14ac:dyDescent="0.25">
      <c r="L14" s="71" t="s">
        <v>108</v>
      </c>
      <c r="M14" s="49">
        <f>COUNTIF('Kla-Mityana'!$Z$7:$Z$230,L14)/$M$16</f>
        <v>0.4107142857142857</v>
      </c>
      <c r="N14" s="49">
        <f>COUNTIF('Mityana-Kla'!$Z$7:$Z$187,L14)/$N$16</f>
        <v>0.21546961325966851</v>
      </c>
    </row>
    <row r="15" spans="1:25" ht="15.75" x14ac:dyDescent="0.25">
      <c r="L15" s="71" t="s">
        <v>34</v>
      </c>
      <c r="M15" s="49">
        <f>COUNTIF('Kla-Mityana'!$Z$7:$Z$230,L15)/$M$16</f>
        <v>0.20089285714285715</v>
      </c>
      <c r="N15" s="49">
        <f>COUNTIF('Mityana-Kla'!$Z$7:$Z$187,L15)/$N$16</f>
        <v>0.16574585635359115</v>
      </c>
    </row>
    <row r="16" spans="1:25" ht="15.75" x14ac:dyDescent="0.25">
      <c r="L16" s="72" t="s">
        <v>128</v>
      </c>
      <c r="M16" s="48">
        <f>C8</f>
        <v>224</v>
      </c>
      <c r="N16" s="48">
        <f>D8</f>
        <v>181</v>
      </c>
      <c r="S16" s="45"/>
      <c r="T16" s="45"/>
    </row>
    <row r="27" spans="1:16" ht="15.75" x14ac:dyDescent="0.25">
      <c r="A27" s="44" t="s">
        <v>136</v>
      </c>
    </row>
    <row r="28" spans="1:16" ht="15.75" x14ac:dyDescent="0.25">
      <c r="B28" s="45" t="s">
        <v>113</v>
      </c>
      <c r="C28" s="66" t="s">
        <v>129</v>
      </c>
      <c r="D28" s="66" t="s">
        <v>130</v>
      </c>
      <c r="E28" s="45" t="s">
        <v>114</v>
      </c>
      <c r="F28" s="45" t="s">
        <v>137</v>
      </c>
      <c r="L28" s="76"/>
      <c r="M28" s="77"/>
      <c r="N28" s="77"/>
      <c r="O28" s="77"/>
      <c r="P28" s="77"/>
    </row>
    <row r="29" spans="1:16" x14ac:dyDescent="0.25">
      <c r="A29">
        <v>7</v>
      </c>
      <c r="B29" s="46" t="s">
        <v>116</v>
      </c>
      <c r="C29" s="47">
        <f>AVERAGEIF('Kla-Mityana'!$D$7:$D$230,Graphs!A29,'Kla-Mityana'!$N$7:$N$230)</f>
        <v>12.788365384615389</v>
      </c>
      <c r="D29" s="47">
        <f>AVERAGEIF('Mityana-Kla'!$D$7:$D$187,Graphs!A29,'Mityana-Kla'!$N$7:$N$187)</f>
        <v>17.222935779816517</v>
      </c>
      <c r="E29" s="47">
        <f>AVERAGE(C29:D29)</f>
        <v>15.005650582215953</v>
      </c>
      <c r="F29" s="46">
        <v>18</v>
      </c>
      <c r="L29" s="77"/>
      <c r="M29" s="77"/>
      <c r="N29" s="78"/>
      <c r="O29" s="78"/>
      <c r="P29" s="77"/>
    </row>
    <row r="30" spans="1:16" x14ac:dyDescent="0.25">
      <c r="A30">
        <v>9</v>
      </c>
      <c r="B30" s="46" t="s">
        <v>118</v>
      </c>
      <c r="C30" s="47">
        <f>AVERAGEIF('Kla-Mityana'!$D$7:$D$230,Graphs!A30,'Kla-Mityana'!$N$7:$N$230)</f>
        <v>22.274285714285718</v>
      </c>
      <c r="D30" s="47">
        <f>AVERAGEIF('Mityana-Kla'!$D$7:$D$187,Graphs!A30,'Mityana-Kla'!$N$7:$N$187)</f>
        <v>24.790250000000007</v>
      </c>
      <c r="E30" s="47">
        <f>AVERAGE(C30:D30)</f>
        <v>23.532267857142863</v>
      </c>
      <c r="F30" s="46">
        <v>27</v>
      </c>
      <c r="L30" s="77"/>
      <c r="M30" s="77"/>
      <c r="N30" s="79"/>
      <c r="O30" s="79"/>
      <c r="P30" s="77"/>
    </row>
    <row r="31" spans="1:16" x14ac:dyDescent="0.25">
      <c r="A31">
        <v>10</v>
      </c>
      <c r="B31" s="46" t="s">
        <v>120</v>
      </c>
      <c r="C31" s="47">
        <f>AVERAGEIF('Kla-Mityana'!$D$7:$D$230,Graphs!A31,'Kla-Mityana'!$N$7:$N$230)</f>
        <v>42.791058823529397</v>
      </c>
      <c r="D31" s="47">
        <f>AVERAGEIF('Mityana-Kla'!$D$7:$D$187,Graphs!A31,'Mityana-Kla'!$N$7:$N$187)</f>
        <v>49.056142857142859</v>
      </c>
      <c r="E31" s="47">
        <f>AVERAGE(C31:D31)</f>
        <v>45.923600840336128</v>
      </c>
      <c r="F31" s="46">
        <v>54</v>
      </c>
      <c r="L31" s="77"/>
      <c r="M31" s="77"/>
      <c r="N31" s="79"/>
      <c r="O31" s="79"/>
      <c r="P31" s="77"/>
    </row>
    <row r="32" spans="1:16" x14ac:dyDescent="0.25">
      <c r="B32" s="48" t="s">
        <v>122</v>
      </c>
      <c r="C32" s="48"/>
      <c r="D32" s="48"/>
      <c r="E32" s="48"/>
      <c r="L32" s="77"/>
      <c r="M32" s="77"/>
      <c r="N32" s="79"/>
      <c r="O32" s="79"/>
      <c r="P32" s="77"/>
    </row>
    <row r="33" spans="12:24" x14ac:dyDescent="0.25">
      <c r="L33" s="77"/>
      <c r="M33" s="77"/>
      <c r="N33" s="77"/>
      <c r="O33" s="77"/>
      <c r="P33" s="77"/>
    </row>
    <row r="35" spans="12:24" x14ac:dyDescent="0.25">
      <c r="U35" s="73"/>
      <c r="V35" s="73"/>
      <c r="W35" s="73"/>
      <c r="X35" s="73"/>
    </row>
    <row r="36" spans="12:24" x14ac:dyDescent="0.25">
      <c r="V36" s="74"/>
      <c r="W36" s="74"/>
      <c r="X36" s="74"/>
    </row>
    <row r="39" spans="12:24" x14ac:dyDescent="0.25">
      <c r="L39" s="45" t="s">
        <v>138</v>
      </c>
    </row>
    <row r="40" spans="12:24" x14ac:dyDescent="0.25">
      <c r="M40" s="45" t="s">
        <v>113</v>
      </c>
      <c r="N40" s="66" t="s">
        <v>129</v>
      </c>
      <c r="O40" s="66" t="s">
        <v>130</v>
      </c>
      <c r="P40" s="45" t="s">
        <v>114</v>
      </c>
    </row>
    <row r="41" spans="12:24" x14ac:dyDescent="0.25">
      <c r="M41" s="46" t="s">
        <v>139</v>
      </c>
      <c r="N41" s="49">
        <f>COUNTIF('Kla-Mityana'!$Y$7:$Y$230,M41)/$N$45</f>
        <v>0.48214285714285715</v>
      </c>
      <c r="O41" s="49">
        <f>COUNTIF('Mityana-Kla'!$Y$7:$Y$187,M41)/$O$45</f>
        <v>0.36464088397790057</v>
      </c>
      <c r="P41" s="49">
        <f>AVERAGE(N41:O41)</f>
        <v>0.42339187056037886</v>
      </c>
    </row>
    <row r="42" spans="12:24" x14ac:dyDescent="0.25">
      <c r="M42" s="46" t="s">
        <v>140</v>
      </c>
      <c r="N42" s="49">
        <f>COUNTIF('Kla-Mityana'!$Y$7:$Y$230,M42)/$N$45</f>
        <v>0.26785714285714285</v>
      </c>
      <c r="O42" s="49">
        <f>COUNTIF('Mityana-Kla'!$Y$7:$Y$187,M42)/$O$45</f>
        <v>0.24861878453038674</v>
      </c>
      <c r="P42" s="49">
        <f t="shared" ref="P42:P44" si="1">AVERAGE(N42:O42)</f>
        <v>0.25823796369376478</v>
      </c>
    </row>
    <row r="43" spans="12:24" x14ac:dyDescent="0.25">
      <c r="M43" s="46" t="s">
        <v>141</v>
      </c>
      <c r="N43" s="49">
        <f>COUNTIF('Kla-Mityana'!$Y$7:$Y$230,M43)/$N$45</f>
        <v>0.14285714285714285</v>
      </c>
      <c r="O43" s="49">
        <f>COUNTIF('Mityana-Kla'!$Y$7:$Y$187,M43)/$O$45</f>
        <v>0.20994475138121546</v>
      </c>
      <c r="P43" s="49">
        <f t="shared" si="1"/>
        <v>0.17640094711917914</v>
      </c>
    </row>
    <row r="44" spans="12:24" x14ac:dyDescent="0.25">
      <c r="M44" s="46" t="s">
        <v>142</v>
      </c>
      <c r="N44" s="49">
        <f>COUNTIF('Kla-Mityana'!$Y$7:$Y$230,M44)/$N$45</f>
        <v>0.10714285714285714</v>
      </c>
      <c r="O44" s="49">
        <f>COUNTIF('Mityana-Kla'!$Y$7:$Y$187,M44)/$O$45</f>
        <v>0.17679558011049723</v>
      </c>
      <c r="P44" s="49">
        <f t="shared" si="1"/>
        <v>0.14196921862667719</v>
      </c>
    </row>
    <row r="45" spans="12:24" x14ac:dyDescent="0.25">
      <c r="N45">
        <f>C8</f>
        <v>224</v>
      </c>
      <c r="O45">
        <f>D8</f>
        <v>181</v>
      </c>
    </row>
    <row r="55" spans="1:5" x14ac:dyDescent="0.25">
      <c r="A55" s="45" t="s">
        <v>138</v>
      </c>
    </row>
    <row r="56" spans="1:5" x14ac:dyDescent="0.25">
      <c r="B56" s="45" t="s">
        <v>113</v>
      </c>
      <c r="C56" s="66" t="s">
        <v>129</v>
      </c>
      <c r="D56" s="66" t="s">
        <v>130</v>
      </c>
      <c r="E56" s="45" t="s">
        <v>114</v>
      </c>
    </row>
    <row r="57" spans="1:5" x14ac:dyDescent="0.25">
      <c r="A57">
        <v>7</v>
      </c>
      <c r="B57" s="46" t="s">
        <v>116</v>
      </c>
      <c r="C57" s="49">
        <f>COUNTIF('Kla-Mityana'!W7:W110,"Y")/C5</f>
        <v>0.39423076923076922</v>
      </c>
      <c r="D57" s="49">
        <f>COUNTIF('Mityana-Kla'!W7:W115,"Y")/D5</f>
        <v>0.73394495412844041</v>
      </c>
      <c r="E57" s="49">
        <f>AVERAGE(C57:D57)</f>
        <v>0.56408786167960479</v>
      </c>
    </row>
    <row r="58" spans="1:5" x14ac:dyDescent="0.25">
      <c r="A58">
        <v>9</v>
      </c>
      <c r="B58" s="46" t="s">
        <v>118</v>
      </c>
      <c r="C58" s="49">
        <f>COUNTIF('Kla-Mityana'!W111:W145,"Y")/C6</f>
        <v>0.7142857142857143</v>
      </c>
      <c r="D58" s="49">
        <f>COUNTIF('Mityana-Kla'!W116:W131,"y")/D6</f>
        <v>0.6875</v>
      </c>
      <c r="E58" s="49">
        <f t="shared" ref="E58:E59" si="2">AVERAGE(C58:D58)</f>
        <v>0.70089285714285721</v>
      </c>
    </row>
    <row r="59" spans="1:5" x14ac:dyDescent="0.25">
      <c r="A59">
        <v>10</v>
      </c>
      <c r="B59" s="46" t="s">
        <v>120</v>
      </c>
      <c r="C59" s="49">
        <f>COUNTIF('Kla-Mityana'!W146:W230,"Y")/C7</f>
        <v>0.75294117647058822</v>
      </c>
      <c r="D59" s="49">
        <f>COUNTIF('Mityana-Kla'!W132:W187,"Y")/D7</f>
        <v>0.6428571428571429</v>
      </c>
      <c r="E59" s="49">
        <f t="shared" si="2"/>
        <v>0.69789915966386551</v>
      </c>
    </row>
    <row r="60" spans="1:5" x14ac:dyDescent="0.25">
      <c r="B60" s="48" t="s">
        <v>144</v>
      </c>
      <c r="C60" s="80">
        <f>COUNTIF('Kla-Mityana'!W7:W230,"Y")/C8</f>
        <v>0.5803571428571429</v>
      </c>
      <c r="D60" s="80">
        <f>COUNTIF('Mityana-Kla'!W7:W187,"Y")/D8</f>
        <v>0.7016574585635359</v>
      </c>
    </row>
  </sheetData>
  <pageMargins left="0.25" right="0.25" top="0.75" bottom="0.75" header="0.3" footer="0.3"/>
  <pageSetup scale="43" orientation="landscape" horizontalDpi="1200" verticalDpi="1200" r:id="rId1"/>
  <ignoredErrors>
    <ignoredError sqref="N7 N13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4"/>
  <sheetViews>
    <sheetView zoomScale="84" zoomScaleNormal="84" workbookViewId="0">
      <selection activeCell="F42" sqref="F42"/>
    </sheetView>
  </sheetViews>
  <sheetFormatPr defaultRowHeight="12.75" x14ac:dyDescent="0.2"/>
  <cols>
    <col min="1" max="2" width="9.140625" style="39"/>
    <col min="3" max="3" width="12.7109375" style="39" customWidth="1"/>
    <col min="4" max="14" width="9.140625" style="39"/>
    <col min="15" max="15" width="11.140625" style="39" customWidth="1"/>
    <col min="16" max="16384" width="9.140625" style="39"/>
  </cols>
  <sheetData>
    <row r="1" spans="1:15" x14ac:dyDescent="0.2">
      <c r="I1" s="99" t="s">
        <v>7</v>
      </c>
      <c r="J1" s="99"/>
      <c r="K1" s="99"/>
      <c r="L1" s="99"/>
      <c r="M1" s="99"/>
      <c r="N1" s="99"/>
    </row>
    <row r="2" spans="1:15" x14ac:dyDescent="0.2">
      <c r="A2" s="39" t="s">
        <v>59</v>
      </c>
      <c r="I2" s="39" t="s">
        <v>60</v>
      </c>
      <c r="J2" s="39" t="s">
        <v>60</v>
      </c>
      <c r="K2" s="39" t="s">
        <v>61</v>
      </c>
      <c r="L2" s="39" t="s">
        <v>62</v>
      </c>
      <c r="M2" s="39" t="s">
        <v>63</v>
      </c>
      <c r="N2" s="39" t="s">
        <v>64</v>
      </c>
      <c r="O2" s="39" t="s">
        <v>65</v>
      </c>
    </row>
    <row r="4" spans="1:15" x14ac:dyDescent="0.2">
      <c r="A4" s="39">
        <v>7</v>
      </c>
      <c r="B4" s="39" t="s">
        <v>66</v>
      </c>
      <c r="I4" s="39">
        <v>1.1000000000000001</v>
      </c>
      <c r="J4" s="39">
        <v>1.2</v>
      </c>
    </row>
    <row r="5" spans="1:15" x14ac:dyDescent="0.2">
      <c r="A5" s="39">
        <v>8</v>
      </c>
      <c r="B5" s="39" t="s">
        <v>67</v>
      </c>
      <c r="K5" s="39">
        <v>1.22</v>
      </c>
    </row>
    <row r="6" spans="1:15" x14ac:dyDescent="0.2">
      <c r="A6" s="39">
        <v>9</v>
      </c>
      <c r="B6" s="39" t="s">
        <v>68</v>
      </c>
      <c r="L6" s="39" t="s">
        <v>69</v>
      </c>
    </row>
    <row r="7" spans="1:15" x14ac:dyDescent="0.2">
      <c r="L7" s="40">
        <v>1.222</v>
      </c>
    </row>
    <row r="10" spans="1:15" x14ac:dyDescent="0.2">
      <c r="A10" s="39">
        <v>10</v>
      </c>
      <c r="B10" s="39" t="s">
        <v>70</v>
      </c>
      <c r="M10" s="39" t="s">
        <v>71</v>
      </c>
    </row>
    <row r="11" spans="1:15" x14ac:dyDescent="0.2">
      <c r="M11" s="39" t="s">
        <v>72</v>
      </c>
    </row>
    <row r="12" spans="1:15" x14ac:dyDescent="0.2">
      <c r="M12" s="39" t="s">
        <v>73</v>
      </c>
    </row>
    <row r="13" spans="1:15" x14ac:dyDescent="0.2">
      <c r="A13" s="39">
        <v>11</v>
      </c>
      <c r="B13" s="39" t="s">
        <v>74</v>
      </c>
      <c r="N13" s="39" t="s">
        <v>75</v>
      </c>
    </row>
    <row r="14" spans="1:15" x14ac:dyDescent="0.2">
      <c r="N14" s="39" t="s">
        <v>76</v>
      </c>
    </row>
    <row r="15" spans="1:15" x14ac:dyDescent="0.2">
      <c r="N15" s="39" t="s">
        <v>77</v>
      </c>
    </row>
    <row r="16" spans="1:15" x14ac:dyDescent="0.2">
      <c r="N16" s="39" t="s">
        <v>78</v>
      </c>
    </row>
    <row r="17" spans="1:15" x14ac:dyDescent="0.2">
      <c r="N17" s="39" t="s">
        <v>79</v>
      </c>
    </row>
    <row r="18" spans="1:15" x14ac:dyDescent="0.2">
      <c r="N18" s="39" t="s">
        <v>80</v>
      </c>
    </row>
    <row r="19" spans="1:15" x14ac:dyDescent="0.2">
      <c r="A19" s="39">
        <v>12</v>
      </c>
      <c r="B19" s="39" t="s">
        <v>81</v>
      </c>
      <c r="O19" s="39" t="s">
        <v>82</v>
      </c>
    </row>
    <row r="20" spans="1:15" x14ac:dyDescent="0.2">
      <c r="O20" s="39" t="s">
        <v>83</v>
      </c>
    </row>
    <row r="21" spans="1:15" x14ac:dyDescent="0.2">
      <c r="O21" s="39" t="s">
        <v>84</v>
      </c>
    </row>
    <row r="29" spans="1:15" ht="15.75" x14ac:dyDescent="0.2">
      <c r="B29" s="41" t="s">
        <v>85</v>
      </c>
    </row>
    <row r="30" spans="1:15" ht="15.75" x14ac:dyDescent="0.2">
      <c r="B30" s="41" t="s">
        <v>86</v>
      </c>
    </row>
    <row r="31" spans="1:15" ht="15.75" x14ac:dyDescent="0.2">
      <c r="B31" s="41" t="s">
        <v>87</v>
      </c>
    </row>
    <row r="32" spans="1:15" ht="15.75" x14ac:dyDescent="0.2">
      <c r="B32" s="41" t="s">
        <v>88</v>
      </c>
    </row>
    <row r="35" spans="2:5" x14ac:dyDescent="0.2">
      <c r="B35" s="39" t="s">
        <v>89</v>
      </c>
      <c r="C35" s="39" t="s">
        <v>90</v>
      </c>
      <c r="D35" s="39">
        <v>7</v>
      </c>
      <c r="E35" s="39">
        <v>18</v>
      </c>
    </row>
    <row r="36" spans="2:5" x14ac:dyDescent="0.2">
      <c r="B36" s="39" t="s">
        <v>22</v>
      </c>
      <c r="C36" s="39" t="s">
        <v>90</v>
      </c>
      <c r="D36" s="39">
        <v>7</v>
      </c>
      <c r="E36" s="39">
        <v>18</v>
      </c>
    </row>
    <row r="37" spans="2:5" x14ac:dyDescent="0.2">
      <c r="B37" s="39" t="s">
        <v>31</v>
      </c>
      <c r="C37" s="39" t="s">
        <v>91</v>
      </c>
      <c r="D37" s="39">
        <v>8</v>
      </c>
      <c r="E37" s="39">
        <v>26</v>
      </c>
    </row>
    <row r="38" spans="2:5" x14ac:dyDescent="0.2">
      <c r="B38" s="39" t="s">
        <v>29</v>
      </c>
      <c r="C38" s="39" t="s">
        <v>92</v>
      </c>
      <c r="D38" s="39">
        <v>9</v>
      </c>
      <c r="E38" s="39">
        <v>26</v>
      </c>
    </row>
    <row r="39" spans="2:5" x14ac:dyDescent="0.2">
      <c r="B39" s="39" t="s">
        <v>93</v>
      </c>
      <c r="C39" s="39" t="s">
        <v>94</v>
      </c>
      <c r="D39" s="39">
        <v>10</v>
      </c>
      <c r="E39" s="39">
        <v>46</v>
      </c>
    </row>
    <row r="40" spans="2:5" x14ac:dyDescent="0.2">
      <c r="B40" s="39" t="s">
        <v>95</v>
      </c>
      <c r="C40" s="39" t="s">
        <v>94</v>
      </c>
      <c r="D40" s="39">
        <v>10</v>
      </c>
      <c r="E40" s="39">
        <v>46</v>
      </c>
    </row>
    <row r="41" spans="2:5" x14ac:dyDescent="0.2">
      <c r="B41" s="39" t="s">
        <v>49</v>
      </c>
      <c r="C41" s="39" t="s">
        <v>94</v>
      </c>
      <c r="D41" s="39">
        <v>10</v>
      </c>
      <c r="E41" s="39">
        <v>46</v>
      </c>
    </row>
    <row r="42" spans="2:5" x14ac:dyDescent="0.2">
      <c r="B42" s="39" t="s">
        <v>96</v>
      </c>
      <c r="C42" s="39" t="s">
        <v>94</v>
      </c>
      <c r="D42" s="39">
        <v>10</v>
      </c>
      <c r="E42" s="39">
        <v>46</v>
      </c>
    </row>
    <row r="43" spans="2:5" x14ac:dyDescent="0.2">
      <c r="B43" s="39" t="s">
        <v>97</v>
      </c>
      <c r="C43" s="39" t="s">
        <v>94</v>
      </c>
      <c r="D43" s="39">
        <v>10</v>
      </c>
      <c r="E43" s="39">
        <v>46</v>
      </c>
    </row>
    <row r="44" spans="2:5" x14ac:dyDescent="0.2">
      <c r="B44" s="39" t="s">
        <v>32</v>
      </c>
      <c r="C44" s="39" t="s">
        <v>92</v>
      </c>
      <c r="D44" s="39">
        <v>9</v>
      </c>
      <c r="E44" s="39">
        <v>34</v>
      </c>
    </row>
  </sheetData>
  <mergeCells count="1">
    <mergeCell ref="I1:N1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14"/>
  <sheetViews>
    <sheetView workbookViewId="0">
      <selection activeCell="C18" sqref="C18"/>
    </sheetView>
  </sheetViews>
  <sheetFormatPr defaultRowHeight="15" x14ac:dyDescent="0.25"/>
  <cols>
    <col min="2" max="2" width="38.5703125" customWidth="1"/>
  </cols>
  <sheetData>
    <row r="2" spans="1:4" ht="15.75" x14ac:dyDescent="0.25">
      <c r="A2">
        <v>1</v>
      </c>
      <c r="B2" s="42" t="s">
        <v>98</v>
      </c>
      <c r="C2" s="42"/>
      <c r="D2" s="42"/>
    </row>
    <row r="3" spans="1:4" ht="15.75" x14ac:dyDescent="0.25">
      <c r="A3">
        <v>2</v>
      </c>
      <c r="B3" s="42" t="s">
        <v>99</v>
      </c>
      <c r="C3" s="42"/>
      <c r="D3" s="42"/>
    </row>
    <row r="4" spans="1:4" ht="15.75" x14ac:dyDescent="0.25">
      <c r="A4">
        <v>3</v>
      </c>
      <c r="B4" s="42" t="s">
        <v>100</v>
      </c>
      <c r="C4" s="42"/>
      <c r="D4" s="42"/>
    </row>
    <row r="5" spans="1:4" ht="15.75" x14ac:dyDescent="0.25">
      <c r="A5">
        <v>4</v>
      </c>
      <c r="B5" s="100" t="s">
        <v>101</v>
      </c>
      <c r="C5" s="101"/>
      <c r="D5" s="102"/>
    </row>
    <row r="6" spans="1:4" ht="15.75" x14ac:dyDescent="0.25">
      <c r="A6">
        <v>5</v>
      </c>
      <c r="B6" s="42" t="s">
        <v>102</v>
      </c>
      <c r="C6" s="42"/>
      <c r="D6" s="42"/>
    </row>
    <row r="7" spans="1:4" ht="15.75" x14ac:dyDescent="0.25">
      <c r="A7">
        <v>6</v>
      </c>
      <c r="B7" s="42" t="s">
        <v>103</v>
      </c>
      <c r="C7" s="42"/>
      <c r="D7" s="42"/>
    </row>
    <row r="8" spans="1:4" ht="15.75" x14ac:dyDescent="0.25">
      <c r="A8">
        <v>7</v>
      </c>
      <c r="B8" s="42" t="s">
        <v>104</v>
      </c>
      <c r="C8" s="43"/>
      <c r="D8" s="43"/>
    </row>
    <row r="9" spans="1:4" ht="15.75" x14ac:dyDescent="0.25">
      <c r="A9">
        <v>8</v>
      </c>
      <c r="B9" s="42" t="s">
        <v>105</v>
      </c>
      <c r="C9" s="43"/>
      <c r="D9" s="43"/>
    </row>
    <row r="10" spans="1:4" ht="15.75" x14ac:dyDescent="0.25">
      <c r="A10">
        <v>9</v>
      </c>
      <c r="B10" s="42" t="s">
        <v>106</v>
      </c>
      <c r="C10" s="43"/>
      <c r="D10" s="43"/>
    </row>
    <row r="11" spans="1:4" ht="15.75" x14ac:dyDescent="0.25">
      <c r="A11">
        <v>10</v>
      </c>
      <c r="B11" s="100" t="s">
        <v>107</v>
      </c>
      <c r="C11" s="103"/>
      <c r="D11" s="103"/>
    </row>
    <row r="12" spans="1:4" ht="15.75" x14ac:dyDescent="0.25">
      <c r="A12">
        <v>11</v>
      </c>
      <c r="B12" s="42" t="s">
        <v>108</v>
      </c>
      <c r="C12" s="43"/>
      <c r="D12" s="43"/>
    </row>
    <row r="13" spans="1:4" ht="15.75" x14ac:dyDescent="0.25">
      <c r="A13">
        <v>12</v>
      </c>
      <c r="B13" s="42" t="s">
        <v>109</v>
      </c>
      <c r="C13" s="43"/>
      <c r="D13" s="43"/>
    </row>
    <row r="14" spans="1:4" ht="15.75" x14ac:dyDescent="0.25">
      <c r="A14">
        <v>4</v>
      </c>
      <c r="B14" s="42" t="s">
        <v>110</v>
      </c>
    </row>
  </sheetData>
  <mergeCells count="2">
    <mergeCell ref="B5:D5"/>
    <mergeCell ref="B11:D1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DAY1</vt:lpstr>
      <vt:lpstr>DAY2</vt:lpstr>
      <vt:lpstr>DAY3</vt:lpstr>
      <vt:lpstr>Kla-Mityana</vt:lpstr>
      <vt:lpstr>Mityana-Kla</vt:lpstr>
      <vt:lpstr>Graphs</vt:lpstr>
      <vt:lpstr>KEY</vt:lpstr>
      <vt:lpstr>Desc</vt:lpstr>
      <vt:lpstr>Graphs!Print_Area</vt:lpstr>
      <vt:lpstr>'Kla-Mityana'!Print_Area</vt:lpstr>
      <vt:lpstr>'Mityana-Kla'!Print_Area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 SAIDI</dc:creator>
  <cp:lastModifiedBy>USER</cp:lastModifiedBy>
  <cp:lastPrinted>2019-11-03T12:40:33Z</cp:lastPrinted>
  <dcterms:created xsi:type="dcterms:W3CDTF">2015-05-11T13:42:40Z</dcterms:created>
  <dcterms:modified xsi:type="dcterms:W3CDTF">2020-03-24T06:22:55Z</dcterms:modified>
</cp:coreProperties>
</file>