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ing Folder\EDMP\Analysed Data\JT, FERRY, AXLE Data\Analyed Data\Axle Load Data_ Analysed\"/>
    </mc:Choice>
  </mc:AlternateContent>
  <xr:revisionPtr revIDLastSave="0" documentId="13_ncr:1_{C8388C6B-8C3E-43AE-A13A-63F9F68110E1}" xr6:coauthVersionLast="45" xr6:coauthVersionMax="45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DAY1" sheetId="1" r:id="rId1"/>
    <sheet name="DAY2" sheetId="5" r:id="rId2"/>
    <sheet name="DAY3" sheetId="6" r:id="rId3"/>
    <sheet name="Gulu-Nimule" sheetId="7" r:id="rId4"/>
    <sheet name="Nimule-Gulu" sheetId="8" r:id="rId5"/>
    <sheet name="Graphs" sheetId="11" r:id="rId6"/>
    <sheet name="KEY" sheetId="9" r:id="rId7"/>
  </sheets>
  <externalReferences>
    <externalReference r:id="rId8"/>
  </externalReferences>
  <definedNames>
    <definedName name="_xlnm.Print_Area" localSheetId="5">Graphs!$A$1:$X$78</definedName>
    <definedName name="_xlnm.Print_Area" localSheetId="3">'Gulu-Nimule'!$A$1:$Z$89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6" i="11" l="1"/>
  <c r="N7" i="11"/>
  <c r="N8" i="11"/>
  <c r="N9" i="11"/>
  <c r="N10" i="11"/>
  <c r="N11" i="11"/>
  <c r="N12" i="11"/>
  <c r="N13" i="11"/>
  <c r="N14" i="11"/>
  <c r="N15" i="11"/>
  <c r="N5" i="11"/>
  <c r="M6" i="11"/>
  <c r="M7" i="11"/>
  <c r="M8" i="11"/>
  <c r="M9" i="11"/>
  <c r="M10" i="11"/>
  <c r="M11" i="11"/>
  <c r="M12" i="11"/>
  <c r="M13" i="11"/>
  <c r="M14" i="11"/>
  <c r="M15" i="11"/>
  <c r="M5" i="11"/>
  <c r="O42" i="11"/>
  <c r="O43" i="11"/>
  <c r="O44" i="11"/>
  <c r="O41" i="11"/>
  <c r="N42" i="11"/>
  <c r="N43" i="11"/>
  <c r="N44" i="11"/>
  <c r="N41" i="11"/>
  <c r="D60" i="11"/>
  <c r="C60" i="11"/>
  <c r="D59" i="11"/>
  <c r="D58" i="11"/>
  <c r="D57" i="11"/>
  <c r="C59" i="11"/>
  <c r="C58" i="11"/>
  <c r="C57" i="11"/>
  <c r="D30" i="11"/>
  <c r="D31" i="11"/>
  <c r="D29" i="11"/>
  <c r="C30" i="11"/>
  <c r="C31" i="11"/>
  <c r="C29" i="11"/>
  <c r="D6" i="11"/>
  <c r="D7" i="11"/>
  <c r="D5" i="11"/>
  <c r="C6" i="11"/>
  <c r="C7" i="11"/>
  <c r="C5" i="11"/>
  <c r="W8" i="7"/>
  <c r="X8" i="7" s="1"/>
  <c r="Y8" i="7" s="1"/>
  <c r="W9" i="7"/>
  <c r="X9" i="7" s="1"/>
  <c r="Y9" i="7" s="1"/>
  <c r="W10" i="7"/>
  <c r="X10" i="7"/>
  <c r="Y10" i="7" s="1"/>
  <c r="W11" i="7"/>
  <c r="X11" i="7" s="1"/>
  <c r="Y11" i="7" s="1"/>
  <c r="W12" i="7"/>
  <c r="X12" i="7" s="1"/>
  <c r="Y12" i="7" s="1"/>
  <c r="W13" i="7"/>
  <c r="X13" i="7" s="1"/>
  <c r="Y13" i="7" s="1"/>
  <c r="W14" i="7"/>
  <c r="X14" i="7"/>
  <c r="Y14" i="7" s="1"/>
  <c r="W15" i="7"/>
  <c r="X15" i="7"/>
  <c r="Y15" i="7"/>
  <c r="W16" i="7"/>
  <c r="X16" i="7" s="1"/>
  <c r="Y16" i="7" s="1"/>
  <c r="W17" i="7"/>
  <c r="X17" i="7" s="1"/>
  <c r="Y17" i="7" s="1"/>
  <c r="W18" i="7"/>
  <c r="X18" i="7"/>
  <c r="Y18" i="7" s="1"/>
  <c r="W19" i="7"/>
  <c r="X19" i="7" s="1"/>
  <c r="Y19" i="7" s="1"/>
  <c r="W20" i="7"/>
  <c r="X20" i="7" s="1"/>
  <c r="Y20" i="7" s="1"/>
  <c r="W21" i="7"/>
  <c r="X21" i="7" s="1"/>
  <c r="Y21" i="7" s="1"/>
  <c r="W22" i="7"/>
  <c r="X22" i="7"/>
  <c r="Y22" i="7" s="1"/>
  <c r="W23" i="7"/>
  <c r="X23" i="7"/>
  <c r="Y23" i="7"/>
  <c r="W24" i="7"/>
  <c r="X24" i="7" s="1"/>
  <c r="Y24" i="7" s="1"/>
  <c r="W25" i="7"/>
  <c r="X25" i="7" s="1"/>
  <c r="Y25" i="7" s="1"/>
  <c r="W26" i="7"/>
  <c r="X26" i="7"/>
  <c r="Y26" i="7" s="1"/>
  <c r="W27" i="7"/>
  <c r="X27" i="7" s="1"/>
  <c r="Y27" i="7" s="1"/>
  <c r="W28" i="7"/>
  <c r="X28" i="7" s="1"/>
  <c r="Y28" i="7" s="1"/>
  <c r="W29" i="7"/>
  <c r="X29" i="7" s="1"/>
  <c r="Y29" i="7" s="1"/>
  <c r="W30" i="7"/>
  <c r="X30" i="7"/>
  <c r="Y30" i="7" s="1"/>
  <c r="W31" i="7"/>
  <c r="X31" i="7"/>
  <c r="Y31" i="7"/>
  <c r="W32" i="7"/>
  <c r="X32" i="7"/>
  <c r="Y32" i="7" s="1"/>
  <c r="W33" i="7"/>
  <c r="X33" i="7" s="1"/>
  <c r="Y33" i="7" s="1"/>
  <c r="W34" i="7"/>
  <c r="X34" i="7"/>
  <c r="Y34" i="7" s="1"/>
  <c r="W35" i="7"/>
  <c r="X35" i="7" s="1"/>
  <c r="Y35" i="7" s="1"/>
  <c r="W36" i="7"/>
  <c r="X36" i="7" s="1"/>
  <c r="Y36" i="7" s="1"/>
  <c r="W37" i="7"/>
  <c r="X37" i="7" s="1"/>
  <c r="Y37" i="7" s="1"/>
  <c r="W38" i="7"/>
  <c r="X38" i="7"/>
  <c r="Y38" i="7" s="1"/>
  <c r="W39" i="7"/>
  <c r="X39" i="7"/>
  <c r="Y39" i="7"/>
  <c r="W40" i="7"/>
  <c r="X40" i="7"/>
  <c r="Y40" i="7" s="1"/>
  <c r="W41" i="7"/>
  <c r="X41" i="7" s="1"/>
  <c r="Y41" i="7" s="1"/>
  <c r="W42" i="7"/>
  <c r="X42" i="7"/>
  <c r="Y42" i="7" s="1"/>
  <c r="W43" i="7"/>
  <c r="X43" i="7" s="1"/>
  <c r="Y43" i="7" s="1"/>
  <c r="W44" i="7"/>
  <c r="X44" i="7" s="1"/>
  <c r="Y44" i="7" s="1"/>
  <c r="W45" i="7"/>
  <c r="X45" i="7" s="1"/>
  <c r="Y45" i="7" s="1"/>
  <c r="W46" i="7"/>
  <c r="X46" i="7"/>
  <c r="Y46" i="7" s="1"/>
  <c r="W47" i="7"/>
  <c r="X47" i="7"/>
  <c r="Y47" i="7"/>
  <c r="W48" i="7"/>
  <c r="X48" i="7"/>
  <c r="Y48" i="7" s="1"/>
  <c r="W49" i="7"/>
  <c r="X49" i="7" s="1"/>
  <c r="Y49" i="7" s="1"/>
  <c r="W50" i="7"/>
  <c r="X50" i="7"/>
  <c r="Y50" i="7" s="1"/>
  <c r="W51" i="7"/>
  <c r="X51" i="7" s="1"/>
  <c r="Y51" i="7" s="1"/>
  <c r="W52" i="7"/>
  <c r="X52" i="7" s="1"/>
  <c r="Y52" i="7" s="1"/>
  <c r="W53" i="7"/>
  <c r="X53" i="7" s="1"/>
  <c r="Y53" i="7" s="1"/>
  <c r="W54" i="7"/>
  <c r="X54" i="7"/>
  <c r="Y54" i="7" s="1"/>
  <c r="W55" i="7"/>
  <c r="X55" i="7"/>
  <c r="Y55" i="7"/>
  <c r="W56" i="7"/>
  <c r="X56" i="7"/>
  <c r="Y56" i="7" s="1"/>
  <c r="W57" i="7"/>
  <c r="X57" i="7" s="1"/>
  <c r="Y57" i="7" s="1"/>
  <c r="W58" i="7"/>
  <c r="X58" i="7"/>
  <c r="Y58" i="7" s="1"/>
  <c r="W59" i="7"/>
  <c r="X59" i="7" s="1"/>
  <c r="Y59" i="7" s="1"/>
  <c r="W60" i="7"/>
  <c r="X60" i="7" s="1"/>
  <c r="Y60" i="7" s="1"/>
  <c r="W61" i="7"/>
  <c r="X61" i="7" s="1"/>
  <c r="Y61" i="7" s="1"/>
  <c r="W62" i="7"/>
  <c r="X62" i="7"/>
  <c r="Y62" i="7" s="1"/>
  <c r="W63" i="7"/>
  <c r="X63" i="7"/>
  <c r="Y63" i="7"/>
  <c r="W64" i="7"/>
  <c r="X64" i="7"/>
  <c r="Y64" i="7" s="1"/>
  <c r="W65" i="7"/>
  <c r="X65" i="7" s="1"/>
  <c r="Y65" i="7" s="1"/>
  <c r="W66" i="7"/>
  <c r="X66" i="7"/>
  <c r="Y66" i="7" s="1"/>
  <c r="W67" i="7"/>
  <c r="X67" i="7" s="1"/>
  <c r="Y67" i="7" s="1"/>
  <c r="W68" i="7"/>
  <c r="X68" i="7" s="1"/>
  <c r="Y68" i="7" s="1"/>
  <c r="W69" i="7"/>
  <c r="X69" i="7" s="1"/>
  <c r="Y69" i="7" s="1"/>
  <c r="W70" i="7"/>
  <c r="X70" i="7"/>
  <c r="Y70" i="7" s="1"/>
  <c r="W71" i="7"/>
  <c r="X71" i="7"/>
  <c r="Y71" i="7"/>
  <c r="W72" i="7"/>
  <c r="X72" i="7"/>
  <c r="Y72" i="7" s="1"/>
  <c r="W73" i="7"/>
  <c r="X73" i="7" s="1"/>
  <c r="Y73" i="7" s="1"/>
  <c r="W74" i="7"/>
  <c r="X74" i="7"/>
  <c r="Y74" i="7" s="1"/>
  <c r="W75" i="7"/>
  <c r="X75" i="7" s="1"/>
  <c r="Y75" i="7" s="1"/>
  <c r="W76" i="7"/>
  <c r="X76" i="7" s="1"/>
  <c r="Y76" i="7" s="1"/>
  <c r="W77" i="7"/>
  <c r="X77" i="7" s="1"/>
  <c r="Y77" i="7" s="1"/>
  <c r="W78" i="7"/>
  <c r="X78" i="7"/>
  <c r="Y78" i="7" s="1"/>
  <c r="W79" i="7"/>
  <c r="X79" i="7"/>
  <c r="Y79" i="7"/>
  <c r="W80" i="7"/>
  <c r="X80" i="7"/>
  <c r="Y80" i="7" s="1"/>
  <c r="W81" i="7"/>
  <c r="X81" i="7" s="1"/>
  <c r="Y81" i="7" s="1"/>
  <c r="W82" i="7"/>
  <c r="X82" i="7"/>
  <c r="Y82" i="7" s="1"/>
  <c r="W83" i="7"/>
  <c r="X83" i="7" s="1"/>
  <c r="Y83" i="7" s="1"/>
  <c r="W84" i="7"/>
  <c r="X84" i="7" s="1"/>
  <c r="Y84" i="7" s="1"/>
  <c r="W85" i="7"/>
  <c r="X85" i="7" s="1"/>
  <c r="Y85" i="7" s="1"/>
  <c r="W86" i="7"/>
  <c r="X86" i="7"/>
  <c r="Y86" i="7" s="1"/>
  <c r="W87" i="7"/>
  <c r="X87" i="7"/>
  <c r="Y87" i="7"/>
  <c r="W88" i="7"/>
  <c r="X88" i="7"/>
  <c r="Y88" i="7" s="1"/>
  <c r="W89" i="7"/>
  <c r="X89" i="7" s="1"/>
  <c r="Y89" i="7" s="1"/>
  <c r="W8" i="8"/>
  <c r="X8" i="8"/>
  <c r="Y8" i="8"/>
  <c r="W9" i="8"/>
  <c r="X9" i="8" s="1"/>
  <c r="Y9" i="8" s="1"/>
  <c r="W10" i="8"/>
  <c r="X10" i="8"/>
  <c r="Y10" i="8" s="1"/>
  <c r="W11" i="8"/>
  <c r="X11" i="8"/>
  <c r="Y11" i="8" s="1"/>
  <c r="W12" i="8"/>
  <c r="X12" i="8" s="1"/>
  <c r="Y12" i="8" s="1"/>
  <c r="W13" i="8"/>
  <c r="X13" i="8" s="1"/>
  <c r="Y13" i="8" s="1"/>
  <c r="W14" i="8"/>
  <c r="X14" i="8" s="1"/>
  <c r="Y14" i="8" s="1"/>
  <c r="W15" i="8"/>
  <c r="X15" i="8"/>
  <c r="Y15" i="8"/>
  <c r="W16" i="8"/>
  <c r="X16" i="8"/>
  <c r="Y16" i="8"/>
  <c r="W17" i="8"/>
  <c r="X17" i="8" s="1"/>
  <c r="Y17" i="8" s="1"/>
  <c r="W18" i="8"/>
  <c r="X18" i="8"/>
  <c r="Y18" i="8" s="1"/>
  <c r="W19" i="8"/>
  <c r="X19" i="8" s="1"/>
  <c r="Y19" i="8" s="1"/>
  <c r="W20" i="8"/>
  <c r="X20" i="8" s="1"/>
  <c r="Y20" i="8" s="1"/>
  <c r="W21" i="8"/>
  <c r="X21" i="8" s="1"/>
  <c r="Y21" i="8" s="1"/>
  <c r="W22" i="8"/>
  <c r="X22" i="8" s="1"/>
  <c r="Y22" i="8" s="1"/>
  <c r="W23" i="8"/>
  <c r="X23" i="8"/>
  <c r="Y23" i="8"/>
  <c r="W24" i="8"/>
  <c r="X24" i="8"/>
  <c r="Y24" i="8"/>
  <c r="W25" i="8"/>
  <c r="X25" i="8" s="1"/>
  <c r="Y25" i="8" s="1"/>
  <c r="W26" i="8"/>
  <c r="X26" i="8"/>
  <c r="Y26" i="8" s="1"/>
  <c r="W27" i="8"/>
  <c r="X27" i="8"/>
  <c r="Y27" i="8" s="1"/>
  <c r="W28" i="8"/>
  <c r="X28" i="8" s="1"/>
  <c r="Y28" i="8" s="1"/>
  <c r="W29" i="8"/>
  <c r="X29" i="8" s="1"/>
  <c r="Y29" i="8" s="1"/>
  <c r="W30" i="8"/>
  <c r="X30" i="8" s="1"/>
  <c r="Y30" i="8" s="1"/>
  <c r="W31" i="8"/>
  <c r="X31" i="8"/>
  <c r="Y31" i="8"/>
  <c r="W32" i="8"/>
  <c r="X32" i="8"/>
  <c r="Y32" i="8"/>
  <c r="W33" i="8"/>
  <c r="X33" i="8" s="1"/>
  <c r="Y33" i="8" s="1"/>
  <c r="W34" i="8"/>
  <c r="X34" i="8"/>
  <c r="Y34" i="8" s="1"/>
  <c r="W35" i="8"/>
  <c r="X35" i="8"/>
  <c r="Y35" i="8" s="1"/>
  <c r="W36" i="8"/>
  <c r="X36" i="8" s="1"/>
  <c r="Y36" i="8" s="1"/>
  <c r="W37" i="8"/>
  <c r="X37" i="8" s="1"/>
  <c r="Y37" i="8" s="1"/>
  <c r="W7" i="8"/>
  <c r="X7" i="8" s="1"/>
  <c r="Y7" i="8" s="1"/>
  <c r="W7" i="7"/>
  <c r="X7" i="7" s="1"/>
  <c r="Y7" i="7" s="1"/>
  <c r="E31" i="11" l="1"/>
  <c r="E30" i="11"/>
  <c r="E29" i="11"/>
  <c r="E59" i="11"/>
  <c r="E7" i="11"/>
  <c r="E6" i="11"/>
  <c r="D8" i="11"/>
  <c r="O45" i="11" s="1"/>
  <c r="E57" i="11"/>
  <c r="C8" i="11"/>
  <c r="E5" i="11"/>
  <c r="N7" i="7"/>
  <c r="N25" i="7"/>
  <c r="O25" i="7" s="1"/>
  <c r="N26" i="7"/>
  <c r="O26" i="7" s="1"/>
  <c r="N27" i="7"/>
  <c r="O27" i="7" s="1"/>
  <c r="N28" i="7"/>
  <c r="O28" i="7" s="1"/>
  <c r="N29" i="7"/>
  <c r="O29" i="7" s="1"/>
  <c r="N30" i="7"/>
  <c r="O30" i="7" s="1"/>
  <c r="N31" i="7"/>
  <c r="O31" i="7" s="1"/>
  <c r="N32" i="7"/>
  <c r="O32" i="7" s="1"/>
  <c r="N8" i="7"/>
  <c r="O8" i="7" s="1"/>
  <c r="N33" i="7"/>
  <c r="O33" i="7" s="1"/>
  <c r="N34" i="7"/>
  <c r="O34" i="7" s="1"/>
  <c r="N35" i="7"/>
  <c r="O35" i="7" s="1"/>
  <c r="N36" i="7"/>
  <c r="O36" i="7" s="1"/>
  <c r="N9" i="7"/>
  <c r="O9" i="7" s="1"/>
  <c r="N37" i="7"/>
  <c r="O37" i="7" s="1"/>
  <c r="N38" i="7"/>
  <c r="O38" i="7" s="1"/>
  <c r="N20" i="7"/>
  <c r="O20" i="7" s="1"/>
  <c r="N39" i="7"/>
  <c r="O39" i="7" s="1"/>
  <c r="N40" i="7"/>
  <c r="O40" i="7" s="1"/>
  <c r="N41" i="7"/>
  <c r="O41" i="7" s="1"/>
  <c r="N42" i="7"/>
  <c r="O42" i="7" s="1"/>
  <c r="N43" i="7"/>
  <c r="O43" i="7" s="1"/>
  <c r="N44" i="7"/>
  <c r="O44" i="7" s="1"/>
  <c r="N45" i="7"/>
  <c r="O45" i="7" s="1"/>
  <c r="N46" i="7"/>
  <c r="O46" i="7"/>
  <c r="N47" i="7"/>
  <c r="O47" i="7" s="1"/>
  <c r="N48" i="7"/>
  <c r="O48" i="7" s="1"/>
  <c r="N49" i="7"/>
  <c r="O49" i="7" s="1"/>
  <c r="N50" i="7"/>
  <c r="O50" i="7" s="1"/>
  <c r="N10" i="7"/>
  <c r="O10" i="7" s="1"/>
  <c r="N11" i="7"/>
  <c r="O11" i="7" s="1"/>
  <c r="N21" i="7"/>
  <c r="O21" i="7" s="1"/>
  <c r="N51" i="7"/>
  <c r="O51" i="7" s="1"/>
  <c r="N52" i="7"/>
  <c r="O52" i="7" s="1"/>
  <c r="N53" i="7"/>
  <c r="O53" i="7" s="1"/>
  <c r="N54" i="7"/>
  <c r="O54" i="7" s="1"/>
  <c r="N12" i="7"/>
  <c r="O12" i="7" s="1"/>
  <c r="N22" i="7"/>
  <c r="O22" i="7" s="1"/>
  <c r="N13" i="7"/>
  <c r="O13" i="7" s="1"/>
  <c r="N55" i="7"/>
  <c r="O55" i="7" s="1"/>
  <c r="N56" i="7"/>
  <c r="O56" i="7" s="1"/>
  <c r="N57" i="7"/>
  <c r="O57" i="7" s="1"/>
  <c r="N58" i="7"/>
  <c r="O58" i="7" s="1"/>
  <c r="N59" i="7"/>
  <c r="O59" i="7" s="1"/>
  <c r="N60" i="7"/>
  <c r="O60" i="7" s="1"/>
  <c r="N61" i="7"/>
  <c r="O61" i="7" s="1"/>
  <c r="N62" i="7"/>
  <c r="O62" i="7" s="1"/>
  <c r="N63" i="7"/>
  <c r="O63" i="7" s="1"/>
  <c r="N64" i="7"/>
  <c r="O64" i="7"/>
  <c r="N65" i="7"/>
  <c r="O65" i="7" s="1"/>
  <c r="N66" i="7"/>
  <c r="O66" i="7" s="1"/>
  <c r="N14" i="7"/>
  <c r="O14" i="7" s="1"/>
  <c r="N67" i="7"/>
  <c r="O67" i="7"/>
  <c r="N68" i="7"/>
  <c r="O68" i="7" s="1"/>
  <c r="N69" i="7"/>
  <c r="O69" i="7" s="1"/>
  <c r="N70" i="7"/>
  <c r="O70" i="7" s="1"/>
  <c r="N71" i="7"/>
  <c r="O71" i="7" s="1"/>
  <c r="N15" i="7"/>
  <c r="O15" i="7" s="1"/>
  <c r="N72" i="7"/>
  <c r="O72" i="7" s="1"/>
  <c r="N73" i="7"/>
  <c r="O73" i="7" s="1"/>
  <c r="N74" i="7"/>
  <c r="O74" i="7" s="1"/>
  <c r="N75" i="7"/>
  <c r="O75" i="7" s="1"/>
  <c r="N16" i="7"/>
  <c r="O16" i="7" s="1"/>
  <c r="N76" i="7"/>
  <c r="O76" i="7" s="1"/>
  <c r="N77" i="7"/>
  <c r="O77" i="7" s="1"/>
  <c r="N78" i="7"/>
  <c r="O78" i="7" s="1"/>
  <c r="N79" i="7"/>
  <c r="O79" i="7" s="1"/>
  <c r="N80" i="7"/>
  <c r="O80" i="7" s="1"/>
  <c r="N81" i="7"/>
  <c r="O81" i="7" s="1"/>
  <c r="N17" i="7"/>
  <c r="O17" i="7" s="1"/>
  <c r="N18" i="7"/>
  <c r="O18" i="7" s="1"/>
  <c r="N23" i="7"/>
  <c r="O23" i="7" s="1"/>
  <c r="N82" i="7"/>
  <c r="O82" i="7"/>
  <c r="N83" i="7"/>
  <c r="O83" i="7" s="1"/>
  <c r="N84" i="7"/>
  <c r="O84" i="7" s="1"/>
  <c r="N85" i="7"/>
  <c r="O85" i="7"/>
  <c r="N86" i="7"/>
  <c r="O86" i="7" s="1"/>
  <c r="N87" i="7"/>
  <c r="O87" i="7" s="1"/>
  <c r="N88" i="7"/>
  <c r="O88" i="7" s="1"/>
  <c r="N89" i="7"/>
  <c r="O89" i="7" s="1"/>
  <c r="N19" i="7"/>
  <c r="O19" i="7" s="1"/>
  <c r="N20" i="8"/>
  <c r="N21" i="8"/>
  <c r="O21" i="8" s="1"/>
  <c r="N7" i="8"/>
  <c r="N22" i="8"/>
  <c r="O22" i="8" s="1"/>
  <c r="N23" i="8"/>
  <c r="O23" i="8" s="1"/>
  <c r="N24" i="8"/>
  <c r="O24" i="8"/>
  <c r="N25" i="8"/>
  <c r="O25" i="8" s="1"/>
  <c r="N26" i="8"/>
  <c r="O26" i="8" s="1"/>
  <c r="N27" i="8"/>
  <c r="O27" i="8" s="1"/>
  <c r="N28" i="8"/>
  <c r="O28" i="8" s="1"/>
  <c r="N8" i="8"/>
  <c r="O8" i="8" s="1"/>
  <c r="N9" i="8"/>
  <c r="O9" i="8" s="1"/>
  <c r="N17" i="8"/>
  <c r="N10" i="8"/>
  <c r="O10" i="8" s="1"/>
  <c r="N29" i="8"/>
  <c r="O29" i="8" s="1"/>
  <c r="N30" i="8"/>
  <c r="O30" i="8" s="1"/>
  <c r="N31" i="8"/>
  <c r="O31" i="8" s="1"/>
  <c r="N11" i="8"/>
  <c r="N32" i="8"/>
  <c r="O32" i="8" s="1"/>
  <c r="N33" i="8"/>
  <c r="O33" i="8" s="1"/>
  <c r="N12" i="8"/>
  <c r="O12" i="8" s="1"/>
  <c r="N34" i="8"/>
  <c r="O34" i="8" s="1"/>
  <c r="N13" i="8"/>
  <c r="O13" i="8" s="1"/>
  <c r="N35" i="8"/>
  <c r="O35" i="8" s="1"/>
  <c r="N14" i="8"/>
  <c r="O14" i="8" s="1"/>
  <c r="N18" i="8"/>
  <c r="O18" i="8" s="1"/>
  <c r="N15" i="8"/>
  <c r="O15" i="8" s="1"/>
  <c r="N36" i="8"/>
  <c r="O36" i="8" s="1"/>
  <c r="N37" i="8"/>
  <c r="O37" i="8" s="1"/>
  <c r="N16" i="8"/>
  <c r="O16" i="8" s="1"/>
  <c r="N19" i="8"/>
  <c r="N24" i="7"/>
  <c r="D20" i="8"/>
  <c r="D21" i="8"/>
  <c r="D7" i="8"/>
  <c r="D22" i="8"/>
  <c r="D23" i="8"/>
  <c r="D24" i="8"/>
  <c r="D25" i="8"/>
  <c r="D26" i="8"/>
  <c r="D27" i="8"/>
  <c r="D28" i="8"/>
  <c r="D8" i="8"/>
  <c r="D9" i="8"/>
  <c r="D17" i="8"/>
  <c r="D10" i="8"/>
  <c r="D29" i="8"/>
  <c r="D30" i="8"/>
  <c r="D31" i="8"/>
  <c r="D11" i="8"/>
  <c r="D32" i="8"/>
  <c r="D33" i="8"/>
  <c r="D12" i="8"/>
  <c r="D34" i="8"/>
  <c r="D13" i="8"/>
  <c r="D35" i="8"/>
  <c r="D14" i="8"/>
  <c r="D18" i="8"/>
  <c r="D15" i="8"/>
  <c r="D36" i="8"/>
  <c r="D37" i="8"/>
  <c r="D16" i="8"/>
  <c r="D19" i="8"/>
  <c r="D7" i="7"/>
  <c r="D25" i="7"/>
  <c r="D26" i="7"/>
  <c r="D27" i="7"/>
  <c r="D28" i="7"/>
  <c r="D29" i="7"/>
  <c r="D30" i="7"/>
  <c r="D31" i="7"/>
  <c r="D32" i="7"/>
  <c r="D8" i="7"/>
  <c r="D33" i="7"/>
  <c r="D34" i="7"/>
  <c r="D35" i="7"/>
  <c r="D36" i="7"/>
  <c r="D9" i="7"/>
  <c r="D37" i="7"/>
  <c r="D38" i="7"/>
  <c r="D20" i="7"/>
  <c r="D39" i="7"/>
  <c r="D40" i="7"/>
  <c r="D41" i="7"/>
  <c r="D42" i="7"/>
  <c r="D43" i="7"/>
  <c r="D44" i="7"/>
  <c r="D45" i="7"/>
  <c r="D46" i="7"/>
  <c r="D47" i="7"/>
  <c r="D48" i="7"/>
  <c r="D49" i="7"/>
  <c r="D50" i="7"/>
  <c r="D10" i="7"/>
  <c r="D11" i="7"/>
  <c r="D21" i="7"/>
  <c r="D51" i="7"/>
  <c r="D52" i="7"/>
  <c r="D53" i="7"/>
  <c r="D54" i="7"/>
  <c r="D12" i="7"/>
  <c r="D22" i="7"/>
  <c r="D13" i="7"/>
  <c r="D55" i="7"/>
  <c r="D56" i="7"/>
  <c r="D57" i="7"/>
  <c r="D58" i="7"/>
  <c r="D59" i="7"/>
  <c r="D60" i="7"/>
  <c r="D61" i="7"/>
  <c r="D62" i="7"/>
  <c r="D63" i="7"/>
  <c r="D64" i="7"/>
  <c r="D65" i="7"/>
  <c r="D66" i="7"/>
  <c r="D14" i="7"/>
  <c r="D67" i="7"/>
  <c r="D68" i="7"/>
  <c r="D69" i="7"/>
  <c r="D70" i="7"/>
  <c r="D71" i="7"/>
  <c r="D15" i="7"/>
  <c r="D72" i="7"/>
  <c r="D73" i="7"/>
  <c r="D74" i="7"/>
  <c r="D75" i="7"/>
  <c r="D16" i="7"/>
  <c r="D76" i="7"/>
  <c r="D77" i="7"/>
  <c r="D78" i="7"/>
  <c r="D79" i="7"/>
  <c r="D80" i="7"/>
  <c r="D81" i="7"/>
  <c r="D17" i="7"/>
  <c r="D18" i="7"/>
  <c r="D23" i="7"/>
  <c r="D82" i="7"/>
  <c r="D83" i="7"/>
  <c r="D84" i="7"/>
  <c r="D85" i="7"/>
  <c r="D86" i="7"/>
  <c r="D87" i="7"/>
  <c r="D88" i="7"/>
  <c r="D89" i="7"/>
  <c r="D19" i="7"/>
  <c r="D24" i="7"/>
  <c r="E8" i="11" l="1"/>
  <c r="N16" i="11"/>
  <c r="M16" i="11"/>
  <c r="N45" i="11"/>
  <c r="E58" i="11"/>
  <c r="O20" i="8"/>
  <c r="O11" i="8"/>
  <c r="O19" i="8"/>
  <c r="O17" i="8"/>
  <c r="O7" i="8"/>
  <c r="O7" i="7"/>
  <c r="O24" i="7"/>
  <c r="P43" i="11" l="1"/>
  <c r="P42" i="11"/>
  <c r="P44" i="11"/>
  <c r="P41" i="11"/>
</calcChain>
</file>

<file path=xl/sharedStrings.xml><?xml version="1.0" encoding="utf-8"?>
<sst xmlns="http://schemas.openxmlformats.org/spreadsheetml/2006/main" count="933" uniqueCount="240">
  <si>
    <t>AXLE LOAD SURVEY FORM</t>
  </si>
  <si>
    <t>Date:</t>
  </si>
  <si>
    <t>Station Name:</t>
  </si>
  <si>
    <t>S/No.</t>
  </si>
  <si>
    <t>Time</t>
  </si>
  <si>
    <t>Reg. Number</t>
  </si>
  <si>
    <t>Number of Axles</t>
  </si>
  <si>
    <t>Axle Configuration</t>
  </si>
  <si>
    <t>Axle 1</t>
  </si>
  <si>
    <t>Axle 2</t>
  </si>
  <si>
    <t>Axle 3</t>
  </si>
  <si>
    <t>Axle 4</t>
  </si>
  <si>
    <t>Axle 5</t>
  </si>
  <si>
    <t>Axle 6</t>
  </si>
  <si>
    <t>Axle 7</t>
  </si>
  <si>
    <t>Total (Tonnes)</t>
  </si>
  <si>
    <t>Vehicle Type</t>
  </si>
  <si>
    <t>Front</t>
  </si>
  <si>
    <t>Total (ESA's)</t>
  </si>
  <si>
    <t>COMMENTS</t>
  </si>
  <si>
    <t>UBD 195D</t>
  </si>
  <si>
    <t>UBB 657U</t>
  </si>
  <si>
    <t>UAW 589E</t>
  </si>
  <si>
    <t>UAY 389W</t>
  </si>
  <si>
    <t>1*2</t>
  </si>
  <si>
    <t>1*22</t>
  </si>
  <si>
    <t>1*12-222</t>
  </si>
  <si>
    <t>11*222</t>
  </si>
  <si>
    <t>11*221</t>
  </si>
  <si>
    <t>11*22</t>
  </si>
  <si>
    <t>1*21</t>
  </si>
  <si>
    <t>1*22-222</t>
  </si>
  <si>
    <t>Agric Produce</t>
  </si>
  <si>
    <t>Others</t>
  </si>
  <si>
    <t>Processed foods and beverages</t>
  </si>
  <si>
    <t>Fuels(gas &amp; Liquid)</t>
  </si>
  <si>
    <t>Building mat./H. ware</t>
  </si>
  <si>
    <t>Shop items</t>
  </si>
  <si>
    <t>Fertilizer &amp; Chemicals</t>
  </si>
  <si>
    <t>Livestock</t>
  </si>
  <si>
    <t>Equipment</t>
  </si>
  <si>
    <t>UAR 805R</t>
  </si>
  <si>
    <t>UAQ 235T</t>
  </si>
  <si>
    <t>UAX 918S</t>
  </si>
  <si>
    <t>UBE 088C</t>
  </si>
  <si>
    <t/>
  </si>
  <si>
    <t>ABELOKODI</t>
  </si>
  <si>
    <t>TONNES</t>
  </si>
  <si>
    <t>UAT 749G</t>
  </si>
  <si>
    <t>UAW 693R</t>
  </si>
  <si>
    <t>KBU 718F</t>
  </si>
  <si>
    <t>KCH 738B</t>
  </si>
  <si>
    <t>KBJ 767X</t>
  </si>
  <si>
    <t>KBM 575D</t>
  </si>
  <si>
    <t>UAH 486T</t>
  </si>
  <si>
    <t>KAZ 983E</t>
  </si>
  <si>
    <t>UAH 697H</t>
  </si>
  <si>
    <t>UBB 053Q</t>
  </si>
  <si>
    <t>UAP 643U</t>
  </si>
  <si>
    <t>KBV 984C</t>
  </si>
  <si>
    <t>KBP 596R</t>
  </si>
  <si>
    <t>KBA 665H</t>
  </si>
  <si>
    <t>UAT 364P</t>
  </si>
  <si>
    <t>UAX 096C</t>
  </si>
  <si>
    <t>UAP 050X</t>
  </si>
  <si>
    <t>UAW 964F</t>
  </si>
  <si>
    <t>UBB 645R</t>
  </si>
  <si>
    <t>SSD 468B</t>
  </si>
  <si>
    <t>KBQ 327U</t>
  </si>
  <si>
    <t>KCQ 013V</t>
  </si>
  <si>
    <t>XCL 357E</t>
  </si>
  <si>
    <t>SSD 104G</t>
  </si>
  <si>
    <t>UAH 249V</t>
  </si>
  <si>
    <t>UAR 767L</t>
  </si>
  <si>
    <t>UAY 864S</t>
  </si>
  <si>
    <t>UAR 978C</t>
  </si>
  <si>
    <t>KBR 624T</t>
  </si>
  <si>
    <t>KAL 773R</t>
  </si>
  <si>
    <t>UAT 168D</t>
  </si>
  <si>
    <t>1*12*222</t>
  </si>
  <si>
    <t>1:22-222</t>
  </si>
  <si>
    <t>GULU - NIMULE</t>
  </si>
  <si>
    <t>NIMULE - GULU</t>
  </si>
  <si>
    <t>KCF 124T</t>
  </si>
  <si>
    <t>KCK 234G</t>
  </si>
  <si>
    <t>UAR 674C</t>
  </si>
  <si>
    <t>1*1-22</t>
  </si>
  <si>
    <t>Consultancy services for Preparation of Expressway Development Master Plan (EDMP) for Uganda</t>
  </si>
  <si>
    <t>Station:</t>
  </si>
  <si>
    <t>UAR 579R</t>
  </si>
  <si>
    <t>SSD 519C</t>
  </si>
  <si>
    <t>UAT 422U</t>
  </si>
  <si>
    <t>UAY 948S</t>
  </si>
  <si>
    <t>KBC 770M</t>
  </si>
  <si>
    <t>UEC 853</t>
  </si>
  <si>
    <t>UAP 768U</t>
  </si>
  <si>
    <t>UBE 556J</t>
  </si>
  <si>
    <t>UAX 958X</t>
  </si>
  <si>
    <t>UAR 965C</t>
  </si>
  <si>
    <t>UBE 174Q</t>
  </si>
  <si>
    <t>UBB 116P</t>
  </si>
  <si>
    <t>UBF 376L</t>
  </si>
  <si>
    <t>UAY 917N</t>
  </si>
  <si>
    <t>UAQ 390T</t>
  </si>
  <si>
    <t>UAP 963U</t>
  </si>
  <si>
    <t>UAT 660U</t>
  </si>
  <si>
    <t>KBR 976G</t>
  </si>
  <si>
    <t>KBC 501M</t>
  </si>
  <si>
    <t>UAZ 965D</t>
  </si>
  <si>
    <t>UAW 416E</t>
  </si>
  <si>
    <t>KBQ 516V</t>
  </si>
  <si>
    <t>KBB 037D</t>
  </si>
  <si>
    <t>1*22-22-22</t>
  </si>
  <si>
    <t>1:22-22-22</t>
  </si>
  <si>
    <t>UBB 462A</t>
  </si>
  <si>
    <t>UBA 098Q</t>
  </si>
  <si>
    <t>UAU 780F</t>
  </si>
  <si>
    <t>KBL 644P</t>
  </si>
  <si>
    <t>SSD 714D</t>
  </si>
  <si>
    <t>KBU 836F</t>
  </si>
  <si>
    <t>UAG 765T</t>
  </si>
  <si>
    <t>UAW 408F</t>
  </si>
  <si>
    <t>UBD 490Q</t>
  </si>
  <si>
    <t>UAS 526Q</t>
  </si>
  <si>
    <t>RAD 268R</t>
  </si>
  <si>
    <t>UAS 442B</t>
  </si>
  <si>
    <t>KAW 505M</t>
  </si>
  <si>
    <t>UAU 003N</t>
  </si>
  <si>
    <t>SSD 483C</t>
  </si>
  <si>
    <t>UAU 639Y</t>
  </si>
  <si>
    <t>SSD 780A</t>
  </si>
  <si>
    <t>T 124CTH</t>
  </si>
  <si>
    <t>UAS 836Q</t>
  </si>
  <si>
    <t>UAG 923T</t>
  </si>
  <si>
    <t>UBB 118P</t>
  </si>
  <si>
    <t>KCG 184V</t>
  </si>
  <si>
    <t>KBQ 844M</t>
  </si>
  <si>
    <t>UAY 028C</t>
  </si>
  <si>
    <t>KBS 198X</t>
  </si>
  <si>
    <t>UAT 903H</t>
  </si>
  <si>
    <t>SSD 555C</t>
  </si>
  <si>
    <t>KBY 743Q</t>
  </si>
  <si>
    <t>UBD 383G</t>
  </si>
  <si>
    <t>K27A 432</t>
  </si>
  <si>
    <t>KX27 A433</t>
  </si>
  <si>
    <t>SSD 639A</t>
  </si>
  <si>
    <t>KCC 562J</t>
  </si>
  <si>
    <t>SSD 599F</t>
  </si>
  <si>
    <t>UAY 310H</t>
  </si>
  <si>
    <t>1*12-111</t>
  </si>
  <si>
    <t>1*1-222</t>
  </si>
  <si>
    <t>UBD 150Q</t>
  </si>
  <si>
    <t>KBZ 433A</t>
  </si>
  <si>
    <t>KCC 702X</t>
  </si>
  <si>
    <t>UBB 947S</t>
  </si>
  <si>
    <t>UAR 533M</t>
  </si>
  <si>
    <t>KAX 604C</t>
  </si>
  <si>
    <t xml:space="preserve"> KBX 376Q</t>
  </si>
  <si>
    <t>SSD 946F</t>
  </si>
  <si>
    <t>UAS 159M</t>
  </si>
  <si>
    <t>UAU 823J</t>
  </si>
  <si>
    <t>UAN 283Z</t>
  </si>
  <si>
    <t>UAQ 944Q</t>
  </si>
  <si>
    <t>UAR 338X</t>
  </si>
  <si>
    <t>SSD 117A</t>
  </si>
  <si>
    <t>Empty</t>
  </si>
  <si>
    <t xml:space="preserve"> TRUCK TYPES</t>
  </si>
  <si>
    <t>2-Axles</t>
  </si>
  <si>
    <t>3-Axle</t>
  </si>
  <si>
    <t>4-Axle</t>
  </si>
  <si>
    <t>5-Axle</t>
  </si>
  <si>
    <t>6-Axle</t>
  </si>
  <si>
    <t>7-Axle</t>
  </si>
  <si>
    <t xml:space="preserve">LIGHT SINGLE UNIT TRUCK-DYNAS AND TRACTORS(2 axles) </t>
  </si>
  <si>
    <t xml:space="preserve">LIGHT/MEDIUM SINGLE UNIT TRUCKS (3 axles) </t>
  </si>
  <si>
    <t>MEDIUM - SINGLE UNIT TRUCKS-LORRIES, FUSOS (4 axles)</t>
  </si>
  <si>
    <t>1.1-22</t>
  </si>
  <si>
    <t>HEAVY TRUCK RIGID (5 axles)</t>
  </si>
  <si>
    <t>1.1-222</t>
  </si>
  <si>
    <t>1.2-222</t>
  </si>
  <si>
    <t>1.22-22</t>
  </si>
  <si>
    <t>TRUCK TRAILER AND SEMI TRAILER (6 axles)</t>
  </si>
  <si>
    <t>1.12-222</t>
  </si>
  <si>
    <t>1.22-222</t>
  </si>
  <si>
    <t>1.22+1-22</t>
  </si>
  <si>
    <t>1.22+2-22</t>
  </si>
  <si>
    <t>1.21-222</t>
  </si>
  <si>
    <t>1.22-111</t>
  </si>
  <si>
    <t>TRUCK TRAILER  TYPE 2 (7 axles)</t>
  </si>
  <si>
    <t>1.11+11-11</t>
  </si>
  <si>
    <t>1.22+22-22</t>
  </si>
  <si>
    <t>1.12+11-22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</si>
  <si>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</si>
  <si>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</si>
  <si>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</si>
  <si>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</si>
  <si>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1*1</t>
  </si>
  <si>
    <t>Light Truck</t>
  </si>
  <si>
    <t>Medium Truck</t>
  </si>
  <si>
    <t>Heavy Truck</t>
  </si>
  <si>
    <t>1*2*2</t>
  </si>
  <si>
    <t>Truck Trailer</t>
  </si>
  <si>
    <t>1*2*22</t>
  </si>
  <si>
    <t>1*22-22</t>
  </si>
  <si>
    <t>1*2*2*2</t>
  </si>
  <si>
    <t>1*22*2*22</t>
  </si>
  <si>
    <t>OVERLOADED?</t>
  </si>
  <si>
    <t>Overloaded by?</t>
  </si>
  <si>
    <t>NIMULE-GULU</t>
  </si>
  <si>
    <t>Vehicle Categories</t>
  </si>
  <si>
    <t>Load Description</t>
  </si>
  <si>
    <t>Truck Type</t>
  </si>
  <si>
    <t>Both Directions</t>
  </si>
  <si>
    <t>Category</t>
  </si>
  <si>
    <t>Light/Medium Trucks</t>
  </si>
  <si>
    <t>Agricultural produce</t>
  </si>
  <si>
    <t>Heavy Trucks</t>
  </si>
  <si>
    <t>Perishable</t>
  </si>
  <si>
    <t>Truck/Trailer</t>
  </si>
  <si>
    <t>Construction Material</t>
  </si>
  <si>
    <t>Totals</t>
  </si>
  <si>
    <t>Metal/machinery</t>
  </si>
  <si>
    <t>Forestry products</t>
  </si>
  <si>
    <t>Fuels</t>
  </si>
  <si>
    <t>Chemical Products</t>
  </si>
  <si>
    <t>Total</t>
  </si>
  <si>
    <t>Nimule-Gulu</t>
  </si>
  <si>
    <t>Household retail products</t>
  </si>
  <si>
    <t>Load limit (Tonnes)</t>
  </si>
  <si>
    <t>Overload Bands</t>
  </si>
  <si>
    <t>Average Total Loading (Tonnes)</t>
  </si>
  <si>
    <t>Limit</t>
  </si>
  <si>
    <t>Proportion of Overloaded Trucks</t>
  </si>
  <si>
    <t>0-4.9%</t>
  </si>
  <si>
    <t>5-25%</t>
  </si>
  <si>
    <t>25-50%</t>
  </si>
  <si>
    <t>Over 50%</t>
  </si>
  <si>
    <t>Overall</t>
  </si>
  <si>
    <t>AXLE LOAD DATA ANALYSIS (GULU-NIMULE HIGHWAY)</t>
  </si>
  <si>
    <t>Gulu-Nimule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</si>
</sst>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h:mm;@"/>
    <numFmt numFmtId="165" formatCode="0.000"/>
    <numFmt numFmtId="166" formatCode="0.0"/>
    <numFmt numFmtId="167" formatCode="0.0%"/>
    <numFmt numFmtId="168" formatCode="_-* #,##0.0_-;\-* #,##0.0_-;_-* &quot;-&quot;_-;_-@_-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6" fillId="0" borderId="0"/>
    <xf numFmtId="9" fontId="6" fillId="0" borderId="0" applyFont="0" applyFill="0" applyBorder="0" applyAlignment="0" applyProtection="0"/>
    <xf numFmtId="0" fontId="11" fillId="0" borderId="0"/>
    <xf numFmtId="0" fontId="14" fillId="0" borderId="0"/>
    <xf numFmtId="41" fontId="6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Border="1"/>
    <xf numFmtId="0" fontId="2" fillId="0" borderId="0" xfId="0" applyFont="1"/>
    <xf numFmtId="0" fontId="3" fillId="0" borderId="0" xfId="0" applyFont="1" applyBorder="1" applyAlignment="1"/>
    <xf numFmtId="0" fontId="2" fillId="0" borderId="1" xfId="0" applyFont="1" applyBorder="1"/>
    <xf numFmtId="0" fontId="4" fillId="0" borderId="0" xfId="0" applyFont="1" applyBorder="1"/>
    <xf numFmtId="0" fontId="1" fillId="0" borderId="4" xfId="0" applyFont="1" applyBorder="1" applyAlignment="1">
      <alignment vertical="top" wrapText="1"/>
    </xf>
    <xf numFmtId="0" fontId="0" fillId="0" borderId="6" xfId="0" applyBorder="1"/>
    <xf numFmtId="164" fontId="2" fillId="0" borderId="2" xfId="0" applyNumberFormat="1" applyFont="1" applyBorder="1"/>
    <xf numFmtId="0" fontId="2" fillId="0" borderId="12" xfId="0" applyFont="1" applyBorder="1"/>
    <xf numFmtId="0" fontId="2" fillId="0" borderId="13" xfId="0" applyFont="1" applyBorder="1"/>
    <xf numFmtId="165" fontId="2" fillId="0" borderId="3" xfId="0" applyNumberFormat="1" applyFont="1" applyBorder="1"/>
    <xf numFmtId="165" fontId="2" fillId="0" borderId="1" xfId="0" applyNumberFormat="1" applyFont="1" applyBorder="1"/>
    <xf numFmtId="49" fontId="1" fillId="0" borderId="0" xfId="0" applyNumberFormat="1" applyFont="1" applyBorder="1"/>
    <xf numFmtId="49" fontId="2" fillId="0" borderId="1" xfId="0" applyNumberFormat="1" applyFont="1" applyBorder="1"/>
    <xf numFmtId="49" fontId="0" fillId="0" borderId="0" xfId="0" applyNumberFormat="1"/>
    <xf numFmtId="2" fontId="2" fillId="0" borderId="3" xfId="0" applyNumberFormat="1" applyFont="1" applyBorder="1"/>
    <xf numFmtId="49" fontId="2" fillId="0" borderId="0" xfId="0" applyNumberFormat="1" applyFont="1"/>
    <xf numFmtId="2" fontId="2" fillId="0" borderId="1" xfId="0" applyNumberFormat="1" applyFont="1" applyBorder="1"/>
    <xf numFmtId="0" fontId="1" fillId="0" borderId="7" xfId="0" applyFont="1" applyBorder="1" applyAlignment="1">
      <alignment horizontal="center"/>
    </xf>
    <xf numFmtId="0" fontId="1" fillId="0" borderId="0" xfId="0" applyFont="1"/>
    <xf numFmtId="49" fontId="2" fillId="0" borderId="0" xfId="0" applyNumberFormat="1" applyFont="1" applyBorder="1"/>
    <xf numFmtId="0" fontId="2" fillId="2" borderId="12" xfId="0" applyFont="1" applyFill="1" applyBorder="1"/>
    <xf numFmtId="164" fontId="2" fillId="2" borderId="2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5" fontId="2" fillId="2" borderId="1" xfId="0" applyNumberFormat="1" applyFont="1" applyFill="1" applyBorder="1"/>
    <xf numFmtId="165" fontId="2" fillId="2" borderId="3" xfId="0" applyNumberFormat="1" applyFont="1" applyFill="1" applyBorder="1"/>
    <xf numFmtId="0" fontId="0" fillId="2" borderId="6" xfId="0" applyFill="1" applyBorder="1"/>
    <xf numFmtId="0" fontId="0" fillId="2" borderId="0" xfId="0" applyFill="1"/>
    <xf numFmtId="0" fontId="1" fillId="0" borderId="0" xfId="0" applyFont="1" applyBorder="1" applyAlignment="1">
      <alignment horizontal="center"/>
    </xf>
    <xf numFmtId="0" fontId="7" fillId="0" borderId="1" xfId="1" applyFont="1" applyBorder="1"/>
    <xf numFmtId="20" fontId="7" fillId="0" borderId="1" xfId="1" applyNumberFormat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9" fillId="0" borderId="0" xfId="0" applyFont="1"/>
    <xf numFmtId="165" fontId="8" fillId="0" borderId="1" xfId="0" applyNumberFormat="1" applyFont="1" applyBorder="1"/>
    <xf numFmtId="165" fontId="9" fillId="0" borderId="1" xfId="0" applyNumberFormat="1" applyFont="1" applyBorder="1"/>
    <xf numFmtId="20" fontId="7" fillId="0" borderId="1" xfId="1" applyNumberFormat="1" applyFont="1" applyBorder="1"/>
    <xf numFmtId="0" fontId="2" fillId="0" borderId="1" xfId="1" applyFont="1" applyBorder="1"/>
    <xf numFmtId="164" fontId="2" fillId="0" borderId="2" xfId="0" applyNumberFormat="1" applyFont="1" applyFill="1" applyBorder="1"/>
    <xf numFmtId="0" fontId="2" fillId="0" borderId="1" xfId="0" applyFont="1" applyFill="1" applyBorder="1"/>
    <xf numFmtId="49" fontId="2" fillId="0" borderId="1" xfId="0" applyNumberFormat="1" applyFont="1" applyFill="1" applyBorder="1"/>
    <xf numFmtId="165" fontId="2" fillId="0" borderId="1" xfId="0" applyNumberFormat="1" applyFont="1" applyFill="1" applyBorder="1"/>
    <xf numFmtId="2" fontId="2" fillId="0" borderId="3" xfId="0" applyNumberFormat="1" applyFont="1" applyFill="1" applyBorder="1"/>
    <xf numFmtId="165" fontId="2" fillId="0" borderId="3" xfId="0" applyNumberFormat="1" applyFont="1" applyFill="1" applyBorder="1"/>
    <xf numFmtId="0" fontId="0" fillId="0" borderId="0" xfId="0" applyFill="1"/>
    <xf numFmtId="0" fontId="11" fillId="0" borderId="0" xfId="3"/>
    <xf numFmtId="0" fontId="11" fillId="0" borderId="0" xfId="3" applyAlignment="1">
      <alignment horizontal="left"/>
    </xf>
    <xf numFmtId="0" fontId="12" fillId="0" borderId="1" xfId="0" applyFont="1" applyBorder="1" applyAlignment="1">
      <alignment horizontal="left" vertical="center"/>
    </xf>
    <xf numFmtId="165" fontId="2" fillId="0" borderId="14" xfId="0" applyNumberFormat="1" applyFont="1" applyBorder="1"/>
    <xf numFmtId="166" fontId="2" fillId="0" borderId="3" xfId="0" applyNumberFormat="1" applyFont="1" applyBorder="1"/>
    <xf numFmtId="166" fontId="2" fillId="0" borderId="14" xfId="0" applyNumberFormat="1" applyFont="1" applyBorder="1"/>
    <xf numFmtId="166" fontId="2" fillId="0" borderId="14" xfId="0" applyNumberFormat="1" applyFont="1" applyBorder="1" applyAlignment="1">
      <alignment horizontal="center"/>
    </xf>
    <xf numFmtId="164" fontId="2" fillId="0" borderId="1" xfId="0" applyNumberFormat="1" applyFont="1" applyBorder="1"/>
    <xf numFmtId="20" fontId="7" fillId="0" borderId="2" xfId="1" applyNumberFormat="1" applyFont="1" applyBorder="1" applyAlignment="1">
      <alignment horizontal="center"/>
    </xf>
    <xf numFmtId="20" fontId="7" fillId="0" borderId="2" xfId="1" applyNumberFormat="1" applyFont="1" applyBorder="1"/>
    <xf numFmtId="0" fontId="13" fillId="0" borderId="0" xfId="0" applyFont="1"/>
    <xf numFmtId="0" fontId="5" fillId="0" borderId="0" xfId="0" applyFont="1"/>
    <xf numFmtId="0" fontId="0" fillId="0" borderId="1" xfId="0" applyBorder="1"/>
    <xf numFmtId="166" fontId="0" fillId="0" borderId="1" xfId="0" applyNumberFormat="1" applyBorder="1"/>
    <xf numFmtId="0" fontId="15" fillId="0" borderId="0" xfId="4" applyFont="1" applyAlignment="1">
      <alignment vertical="center"/>
    </xf>
    <xf numFmtId="0" fontId="5" fillId="0" borderId="1" xfId="0" applyFont="1" applyBorder="1"/>
    <xf numFmtId="167" fontId="0" fillId="0" borderId="1" xfId="2" applyNumberFormat="1" applyFont="1" applyBorder="1"/>
    <xf numFmtId="0" fontId="1" fillId="0" borderId="0" xfId="0" applyFont="1" applyBorder="1" applyAlignment="1">
      <alignment horizontal="center"/>
    </xf>
    <xf numFmtId="0" fontId="1" fillId="0" borderId="16" xfId="0" applyFont="1" applyBorder="1" applyAlignment="1">
      <alignment horizontal="center" vertical="top" wrapText="1"/>
    </xf>
    <xf numFmtId="0" fontId="2" fillId="0" borderId="12" xfId="0" applyFont="1" applyFill="1" applyBorder="1"/>
    <xf numFmtId="166" fontId="2" fillId="0" borderId="3" xfId="0" applyNumberFormat="1" applyFont="1" applyFill="1" applyBorder="1"/>
    <xf numFmtId="0" fontId="0" fillId="0" borderId="6" xfId="0" applyFill="1" applyBorder="1"/>
    <xf numFmtId="0" fontId="2" fillId="0" borderId="17" xfId="0" applyFont="1" applyBorder="1"/>
    <xf numFmtId="164" fontId="2" fillId="0" borderId="18" xfId="0" applyNumberFormat="1" applyFont="1" applyBorder="1"/>
    <xf numFmtId="0" fontId="2" fillId="0" borderId="18" xfId="0" applyFont="1" applyBorder="1"/>
    <xf numFmtId="49" fontId="2" fillId="0" borderId="18" xfId="0" applyNumberFormat="1" applyFont="1" applyBorder="1"/>
    <xf numFmtId="165" fontId="2" fillId="0" borderId="18" xfId="0" applyNumberFormat="1" applyFont="1" applyBorder="1"/>
    <xf numFmtId="166" fontId="2" fillId="0" borderId="19" xfId="0" applyNumberFormat="1" applyFont="1" applyBorder="1"/>
    <xf numFmtId="0" fontId="0" fillId="0" borderId="20" xfId="0" applyBorder="1"/>
    <xf numFmtId="0" fontId="2" fillId="0" borderId="21" xfId="0" applyFont="1" applyBorder="1"/>
    <xf numFmtId="20" fontId="7" fillId="0" borderId="3" xfId="1" applyNumberFormat="1" applyFont="1" applyBorder="1" applyAlignment="1">
      <alignment horizontal="center"/>
    </xf>
    <xf numFmtId="0" fontId="7" fillId="0" borderId="3" xfId="1" applyFont="1" applyBorder="1"/>
    <xf numFmtId="0" fontId="2" fillId="0" borderId="3" xfId="0" applyFont="1" applyBorder="1"/>
    <xf numFmtId="49" fontId="2" fillId="0" borderId="3" xfId="0" applyNumberFormat="1" applyFont="1" applyBorder="1"/>
    <xf numFmtId="0" fontId="0" fillId="0" borderId="22" xfId="0" applyBorder="1"/>
    <xf numFmtId="0" fontId="2" fillId="0" borderId="0" xfId="0" applyFont="1" applyBorder="1"/>
    <xf numFmtId="0" fontId="10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center" vertical="top" wrapText="1"/>
    </xf>
    <xf numFmtId="49" fontId="1" fillId="0" borderId="7" xfId="0" applyNumberFormat="1" applyFont="1" applyBorder="1" applyAlignment="1">
      <alignment horizontal="center" vertical="top" wrapText="1"/>
    </xf>
    <xf numFmtId="15" fontId="4" fillId="0" borderId="0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1" fillId="0" borderId="0" xfId="3" applyAlignment="1">
      <alignment horizontal="center"/>
    </xf>
    <xf numFmtId="0" fontId="1" fillId="0" borderId="23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16" xfId="0" applyFont="1" applyBorder="1" applyAlignment="1">
      <alignment vertical="top" wrapText="1"/>
    </xf>
    <xf numFmtId="167" fontId="2" fillId="0" borderId="14" xfId="2" applyNumberFormat="1" applyFont="1" applyBorder="1"/>
    <xf numFmtId="0" fontId="17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15" fillId="0" borderId="0" xfId="4" applyFont="1" applyAlignment="1">
      <alignment vertical="center" wrapText="1"/>
    </xf>
    <xf numFmtId="0" fontId="16" fillId="0" borderId="0" xfId="4" applyFont="1" applyAlignment="1">
      <alignment vertical="center"/>
    </xf>
    <xf numFmtId="0" fontId="15" fillId="0" borderId="1" xfId="4" applyFont="1" applyBorder="1" applyAlignment="1">
      <alignment vertical="center"/>
    </xf>
    <xf numFmtId="0" fontId="16" fillId="0" borderId="1" xfId="4" applyFont="1" applyBorder="1" applyAlignment="1">
      <alignment vertical="center"/>
    </xf>
    <xf numFmtId="168" fontId="0" fillId="0" borderId="0" xfId="5" applyNumberFormat="1" applyFont="1" applyBorder="1"/>
    <xf numFmtId="41" fontId="0" fillId="0" borderId="0" xfId="5" applyFont="1"/>
    <xf numFmtId="41" fontId="0" fillId="0" borderId="0" xfId="0" applyNumberFormat="1"/>
    <xf numFmtId="167" fontId="5" fillId="0" borderId="1" xfId="2" applyNumberFormat="1" applyFont="1" applyBorder="1"/>
  </cellXfs>
  <cellStyles count="6">
    <cellStyle name="Comma [0]" xfId="5" builtinId="6"/>
    <cellStyle name="Normal" xfId="0" builtinId="0"/>
    <cellStyle name="Normal 2" xfId="3" xr:uid="{00000000-0005-0000-0000-000001000000}"/>
    <cellStyle name="Normal 2 2" xfId="4" xr:uid="{00000000-0005-0000-0000-000002000000}"/>
    <cellStyle name="Normal 3" xfId="1" xr:uid="{00000000-0005-0000-0000-000003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/>
              <a:t>Truck Composition for Gulu-Nimule</a:t>
            </a:r>
            <a:r>
              <a:rPr lang="en-US" sz="1400" b="1" baseline="0"/>
              <a:t> Highway</a:t>
            </a:r>
            <a:endParaRPr lang="en-US" sz="1400" b="1"/>
          </a:p>
        </c:rich>
      </c:tx>
      <c:layout>
        <c:manualLayout>
          <c:xMode val="edge"/>
          <c:yMode val="edge"/>
          <c:x val="0.18979532600532667"/>
          <c:y val="4.5644252760869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2374999999999999"/>
          <c:y val="0.13726649305555555"/>
          <c:w val="0.8525880758807588"/>
          <c:h val="0.71693148153192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Graphs!$C$4</c:f>
              <c:strCache>
                <c:ptCount val="1"/>
                <c:pt idx="0">
                  <c:v>Gulu-Nimule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plosion val="4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37-4886-A9D4-2E92977E781F}"/>
              </c:ext>
            </c:extLst>
          </c:dPt>
          <c:dPt>
            <c:idx val="1"/>
            <c:invertIfNegative val="0"/>
            <c:bubble3D val="0"/>
            <c:explosion val="16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37-4886-A9D4-2E92977E781F}"/>
              </c:ext>
            </c:extLst>
          </c:dPt>
          <c:dPt>
            <c:idx val="2"/>
            <c:invertIfNegative val="0"/>
            <c:bubble3D val="0"/>
            <c:explosion val="19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37-4886-A9D4-2E92977E781F}"/>
              </c:ext>
            </c:extLst>
          </c:dPt>
          <c:cat>
            <c:strRef>
              <c:f>Graphs!$B$5:$B$7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Graphs!$C$5:$C$7</c:f>
              <c:numCache>
                <c:formatCode>General</c:formatCode>
                <c:ptCount val="3"/>
                <c:pt idx="0">
                  <c:v>13</c:v>
                </c:pt>
                <c:pt idx="1">
                  <c:v>4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37-4886-A9D4-2E92977E781F}"/>
            </c:ext>
          </c:extLst>
        </c:ser>
        <c:ser>
          <c:idx val="1"/>
          <c:order val="1"/>
          <c:tx>
            <c:strRef>
              <c:f>Graphs!$D$4</c:f>
              <c:strCache>
                <c:ptCount val="1"/>
                <c:pt idx="0">
                  <c:v>Nimule-Gulu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Graphs!$D$5:$D$7</c:f>
              <c:numCache>
                <c:formatCode>General</c:formatCode>
                <c:ptCount val="3"/>
                <c:pt idx="0">
                  <c:v>10</c:v>
                </c:pt>
                <c:pt idx="1">
                  <c:v>2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237-4886-A9D4-2E92977E7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35989920"/>
        <c:axId val="624706576"/>
      </c:barChart>
      <c:catAx>
        <c:axId val="73598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24706576"/>
        <c:crosses val="autoZero"/>
        <c:auto val="1"/>
        <c:lblAlgn val="ctr"/>
        <c:lblOffset val="100"/>
        <c:noMultiLvlLbl val="0"/>
      </c:catAx>
      <c:valAx>
        <c:axId val="62470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Truck</a:t>
                </a: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 Composition</a:t>
                </a:r>
                <a:endParaRPr lang="en-US" sz="12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73598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Average Truck Loading (</a:t>
            </a:r>
            <a:r>
              <a:rPr lang="en-US" sz="1400" b="1" i="0" u="none" strike="noStrike" baseline="0">
                <a:effectLst/>
              </a:rPr>
              <a:t>Gulu-Nimule</a:t>
            </a:r>
            <a:r>
              <a:rPr lang="en-US" sz="1400" b="1">
                <a:solidFill>
                  <a:sysClr val="windowText" lastClr="000000"/>
                </a:solidFill>
              </a:rPr>
              <a:t> Higwhay)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Graphs!$C$28</c:f>
              <c:strCache>
                <c:ptCount val="1"/>
                <c:pt idx="0">
                  <c:v>Gulu-Nimule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Graphs!$C$29:$C$31</c:f>
              <c:numCache>
                <c:formatCode>0.0</c:formatCode>
                <c:ptCount val="3"/>
                <c:pt idx="0">
                  <c:v>14.106153846153848</c:v>
                </c:pt>
                <c:pt idx="1">
                  <c:v>22.934999999999999</c:v>
                </c:pt>
                <c:pt idx="2">
                  <c:v>36.983727272727279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D-4B74-A308-579AE1D6A521}"/>
            </c:ext>
          </c:extLst>
        </c:ser>
        <c:ser>
          <c:idx val="1"/>
          <c:order val="1"/>
          <c:tx>
            <c:strRef>
              <c:f>Graphs!$D$28</c:f>
              <c:strCache>
                <c:ptCount val="1"/>
                <c:pt idx="0">
                  <c:v>Nimule-Gulu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Graphs!$D$29:$D$31</c:f>
              <c:numCache>
                <c:formatCode>0.0</c:formatCode>
                <c:ptCount val="3"/>
                <c:pt idx="0">
                  <c:v>10.816000000000001</c:v>
                </c:pt>
                <c:pt idx="1">
                  <c:v>10.89</c:v>
                </c:pt>
                <c:pt idx="2">
                  <c:v>21.33526315789474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FD-4B74-A308-579AE1D6A521}"/>
            </c:ext>
          </c:extLst>
        </c:ser>
        <c:ser>
          <c:idx val="2"/>
          <c:order val="2"/>
          <c:tx>
            <c:strRef>
              <c:f>Graphs!$E$28</c:f>
              <c:strCache>
                <c:ptCount val="1"/>
                <c:pt idx="0">
                  <c:v>Both Directions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Graphs!$E$29:$E$31</c:f>
              <c:numCache>
                <c:formatCode>0.0</c:formatCode>
                <c:ptCount val="3"/>
                <c:pt idx="0">
                  <c:v>12.461076923076924</c:v>
                </c:pt>
                <c:pt idx="1">
                  <c:v>16.912500000000001</c:v>
                </c:pt>
                <c:pt idx="2">
                  <c:v>29.159495215311011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FD-4B74-A308-579AE1D6A521}"/>
            </c:ext>
          </c:extLst>
        </c:ser>
        <c:ser>
          <c:idx val="3"/>
          <c:order val="3"/>
          <c:tx>
            <c:strRef>
              <c:f>Graphs!$F$28</c:f>
              <c:strCache>
                <c:ptCount val="1"/>
                <c:pt idx="0">
                  <c:v>Limit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Graphs!$F$29:$F$31</c:f>
              <c:numCache>
                <c:formatCode>General</c:formatCode>
                <c:ptCount val="3"/>
                <c:pt idx="0">
                  <c:v>18</c:v>
                </c:pt>
                <c:pt idx="1">
                  <c:v>27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FD-4B74-A308-579AE1D6A5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663656440"/>
        <c:axId val="663661032"/>
      </c:barChart>
      <c:catAx>
        <c:axId val="66365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3661032"/>
        <c:crosses val="autoZero"/>
        <c:auto val="1"/>
        <c:lblAlgn val="ctr"/>
        <c:lblOffset val="100"/>
        <c:noMultiLvlLbl val="0"/>
      </c:catAx>
      <c:valAx>
        <c:axId val="66366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Truck Loading (Ton)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3656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Average Proportion of Overloaded Trucks (</a:t>
            </a:r>
            <a:r>
              <a:rPr lang="en-US" sz="1400" b="1" i="0" u="none" strike="noStrike" baseline="0">
                <a:effectLst/>
              </a:rPr>
              <a:t>Gulu-Nimule</a:t>
            </a:r>
            <a:r>
              <a:rPr lang="en-US" b="1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Graphs!$C$28</c:f>
              <c:strCache>
                <c:ptCount val="1"/>
                <c:pt idx="0">
                  <c:v>Gulu-Nimule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Graphs!$C$57:$C$59</c:f>
              <c:numCache>
                <c:formatCode>0.0%</c:formatCode>
                <c:ptCount val="3"/>
                <c:pt idx="0">
                  <c:v>0.30769230769230771</c:v>
                </c:pt>
                <c:pt idx="1">
                  <c:v>0.75</c:v>
                </c:pt>
                <c:pt idx="2">
                  <c:v>0.48484848484848486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3-468C-B547-18F2E9AB81F4}"/>
            </c:ext>
          </c:extLst>
        </c:ser>
        <c:ser>
          <c:idx val="1"/>
          <c:order val="1"/>
          <c:tx>
            <c:strRef>
              <c:f>Graphs!$D$28</c:f>
              <c:strCache>
                <c:ptCount val="1"/>
                <c:pt idx="0">
                  <c:v>Nimule-Gulu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Graphs!$D$57:$D$59</c:f>
              <c:numCache>
                <c:formatCode>0.0%</c:formatCode>
                <c:ptCount val="3"/>
                <c:pt idx="0">
                  <c:v>0.1</c:v>
                </c:pt>
                <c:pt idx="1">
                  <c:v>0</c:v>
                </c:pt>
                <c:pt idx="2">
                  <c:v>5.2631578947368418E-2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03-468C-B547-18F2E9AB81F4}"/>
            </c:ext>
          </c:extLst>
        </c:ser>
        <c:ser>
          <c:idx val="2"/>
          <c:order val="2"/>
          <c:tx>
            <c:strRef>
              <c:f>Graphs!$E$28</c:f>
              <c:strCache>
                <c:ptCount val="1"/>
                <c:pt idx="0">
                  <c:v>Both Directions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Graphs!$E$57:$E$59</c:f>
              <c:numCache>
                <c:formatCode>0.0%</c:formatCode>
                <c:ptCount val="3"/>
                <c:pt idx="0">
                  <c:v>0.20384615384615384</c:v>
                </c:pt>
                <c:pt idx="1">
                  <c:v>0.375</c:v>
                </c:pt>
                <c:pt idx="2">
                  <c:v>0.26874003189792661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03-468C-B547-18F2E9AB81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663656440"/>
        <c:axId val="663661032"/>
      </c:barChart>
      <c:catAx>
        <c:axId val="66365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3661032"/>
        <c:crosses val="autoZero"/>
        <c:auto val="1"/>
        <c:lblAlgn val="ctr"/>
        <c:lblOffset val="100"/>
        <c:noMultiLvlLbl val="0"/>
      </c:catAx>
      <c:valAx>
        <c:axId val="66366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Percentage of Overloading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663656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Percentage By Which Vehicles Are</a:t>
            </a:r>
            <a:r>
              <a:rPr lang="en-US" sz="1400" b="1" baseline="0">
                <a:solidFill>
                  <a:sysClr val="windowText" lastClr="000000"/>
                </a:solidFill>
              </a:rPr>
              <a:t> Overloaded (</a:t>
            </a:r>
            <a:r>
              <a:rPr lang="en-US" sz="1400" b="1" i="0" u="none" strike="noStrike" baseline="0">
                <a:effectLst/>
              </a:rPr>
              <a:t>Gulu-Nimule</a:t>
            </a:r>
            <a:r>
              <a:rPr lang="en-US" sz="1400" b="1" baseline="0">
                <a:solidFill>
                  <a:sysClr val="windowText" lastClr="000000"/>
                </a:solidFill>
              </a:rPr>
              <a:t>)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2413569001226599"/>
          <c:y val="9.7963675213675216E-2"/>
          <c:w val="0.82436564718183825"/>
          <c:h val="0.673894017094017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Graphs!$N$40</c:f>
              <c:strCache>
                <c:ptCount val="1"/>
                <c:pt idx="0">
                  <c:v>Gulu-Nimule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Graphs!$M$41:$M$44</c:f>
              <c:strCache>
                <c:ptCount val="4"/>
                <c:pt idx="0">
                  <c:v>0-4.9%</c:v>
                </c:pt>
                <c:pt idx="1">
                  <c:v>5-25%</c:v>
                </c:pt>
                <c:pt idx="2">
                  <c:v>25-50%</c:v>
                </c:pt>
                <c:pt idx="3">
                  <c:v>Over 50%</c:v>
                </c:pt>
              </c:strCache>
            </c:strRef>
          </c:cat>
          <c:val>
            <c:numRef>
              <c:f>Graphs!$N$41:$N$44</c:f>
              <c:numCache>
                <c:formatCode>0.0%</c:formatCode>
                <c:ptCount val="4"/>
                <c:pt idx="0">
                  <c:v>0.62650602409638556</c:v>
                </c:pt>
                <c:pt idx="1">
                  <c:v>0.20481927710843373</c:v>
                </c:pt>
                <c:pt idx="2">
                  <c:v>0.13253012048192772</c:v>
                </c:pt>
                <c:pt idx="3">
                  <c:v>3.614457831325301E-2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1-4E4C-9EF5-45EB78C55594}"/>
            </c:ext>
          </c:extLst>
        </c:ser>
        <c:ser>
          <c:idx val="1"/>
          <c:order val="1"/>
          <c:tx>
            <c:strRef>
              <c:f>Graphs!$O$40</c:f>
              <c:strCache>
                <c:ptCount val="1"/>
                <c:pt idx="0">
                  <c:v>Nimule-Gulu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Graphs!$M$41:$M$44</c:f>
              <c:strCache>
                <c:ptCount val="4"/>
                <c:pt idx="0">
                  <c:v>0-4.9%</c:v>
                </c:pt>
                <c:pt idx="1">
                  <c:v>5-25%</c:v>
                </c:pt>
                <c:pt idx="2">
                  <c:v>25-50%</c:v>
                </c:pt>
                <c:pt idx="3">
                  <c:v>Over 50%</c:v>
                </c:pt>
              </c:strCache>
            </c:strRef>
          </c:cat>
          <c:val>
            <c:numRef>
              <c:f>Graphs!$O$41:$O$44</c:f>
              <c:numCache>
                <c:formatCode>0.0%</c:formatCode>
                <c:ptCount val="4"/>
                <c:pt idx="0">
                  <c:v>0.93548387096774188</c:v>
                </c:pt>
                <c:pt idx="1">
                  <c:v>3.2258064516129031E-2</c:v>
                </c:pt>
                <c:pt idx="2">
                  <c:v>3.2258064516129031E-2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A1-4E4C-9EF5-45EB78C555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9"/>
        <c:axId val="620641328"/>
        <c:axId val="620643624"/>
      </c:barChart>
      <c:catAx>
        <c:axId val="62064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20643624"/>
        <c:crosses val="autoZero"/>
        <c:auto val="1"/>
        <c:lblAlgn val="ctr"/>
        <c:lblOffset val="100"/>
        <c:noMultiLvlLbl val="0"/>
      </c:catAx>
      <c:valAx>
        <c:axId val="620643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Percentage By Which Overloaded</a:t>
                </a:r>
              </a:p>
            </c:rich>
          </c:tx>
          <c:layout>
            <c:manualLayout>
              <c:xMode val="edge"/>
              <c:yMode val="edge"/>
              <c:x val="0.36296796766604333"/>
              <c:y val="0.848972222222222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2064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Load Description (</a:t>
            </a:r>
            <a:r>
              <a:rPr lang="en-US" sz="1400" b="1" i="0" u="none" strike="noStrike" baseline="0">
                <a:effectLst/>
              </a:rPr>
              <a:t>Gulu-Nimule</a:t>
            </a:r>
            <a:r>
              <a:rPr lang="en-US" sz="1400" b="1">
                <a:solidFill>
                  <a:sysClr val="windowText" lastClr="000000"/>
                </a:solidFill>
              </a:rPr>
              <a:t> Highway)</a:t>
            </a:r>
          </a:p>
        </c:rich>
      </c:tx>
      <c:layout>
        <c:manualLayout>
          <c:xMode val="edge"/>
          <c:yMode val="edge"/>
          <c:x val="0.32064069134850776"/>
          <c:y val="1.6836638994111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Graphs!$M$4</c:f>
              <c:strCache>
                <c:ptCount val="1"/>
                <c:pt idx="0">
                  <c:v>Gulu-Nimule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Graphs!$L$5:$L$15</c:f>
              <c:strCache>
                <c:ptCount val="11"/>
                <c:pt idx="0">
                  <c:v>Agricultural produce</c:v>
                </c:pt>
                <c:pt idx="1">
                  <c:v>Perishable</c:v>
                </c:pt>
                <c:pt idx="2">
                  <c:v>Construction Material</c:v>
                </c:pt>
                <c:pt idx="3">
                  <c:v>Metal/machinery</c:v>
                </c:pt>
                <c:pt idx="4">
                  <c:v>Forestry products</c:v>
                </c:pt>
                <c:pt idx="5">
                  <c:v>Fuels</c:v>
                </c:pt>
                <c:pt idx="6">
                  <c:v>Chemical Products</c:v>
                </c:pt>
                <c:pt idx="7">
                  <c:v>Livestock</c:v>
                </c:pt>
                <c:pt idx="8">
                  <c:v>Household retail products</c:v>
                </c:pt>
                <c:pt idx="9">
                  <c:v>Empty</c:v>
                </c:pt>
                <c:pt idx="10">
                  <c:v>Others</c:v>
                </c:pt>
              </c:strCache>
            </c:strRef>
          </c:cat>
          <c:val>
            <c:numRef>
              <c:f>Graphs!$M$5:$M$15</c:f>
              <c:numCache>
                <c:formatCode>0.0%</c:formatCode>
                <c:ptCount val="11"/>
                <c:pt idx="0">
                  <c:v>0.33734939759036142</c:v>
                </c:pt>
                <c:pt idx="1">
                  <c:v>0</c:v>
                </c:pt>
                <c:pt idx="2">
                  <c:v>0.16867469879518071</c:v>
                </c:pt>
                <c:pt idx="3">
                  <c:v>0</c:v>
                </c:pt>
                <c:pt idx="4">
                  <c:v>0</c:v>
                </c:pt>
                <c:pt idx="5">
                  <c:v>7.2289156626506021E-2</c:v>
                </c:pt>
                <c:pt idx="6">
                  <c:v>2.4096385542168676E-2</c:v>
                </c:pt>
                <c:pt idx="7">
                  <c:v>0</c:v>
                </c:pt>
                <c:pt idx="8">
                  <c:v>0.25301204819277107</c:v>
                </c:pt>
                <c:pt idx="9">
                  <c:v>2.4096385542168676E-2</c:v>
                </c:pt>
                <c:pt idx="10">
                  <c:v>0.12048192771084337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3-4761-BD72-F74BFFBE11FF}"/>
            </c:ext>
          </c:extLst>
        </c:ser>
        <c:ser>
          <c:idx val="1"/>
          <c:order val="1"/>
          <c:tx>
            <c:strRef>
              <c:f>Graphs!$N$4</c:f>
              <c:strCache>
                <c:ptCount val="1"/>
                <c:pt idx="0">
                  <c:v>Nimule-Gulu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Graphs!$L$5:$L$15</c:f>
              <c:strCache>
                <c:ptCount val="11"/>
                <c:pt idx="0">
                  <c:v>Agricultural produce</c:v>
                </c:pt>
                <c:pt idx="1">
                  <c:v>Perishable</c:v>
                </c:pt>
                <c:pt idx="2">
                  <c:v>Construction Material</c:v>
                </c:pt>
                <c:pt idx="3">
                  <c:v>Metal/machinery</c:v>
                </c:pt>
                <c:pt idx="4">
                  <c:v>Forestry products</c:v>
                </c:pt>
                <c:pt idx="5">
                  <c:v>Fuels</c:v>
                </c:pt>
                <c:pt idx="6">
                  <c:v>Chemical Products</c:v>
                </c:pt>
                <c:pt idx="7">
                  <c:v>Livestock</c:v>
                </c:pt>
                <c:pt idx="8">
                  <c:v>Household retail products</c:v>
                </c:pt>
                <c:pt idx="9">
                  <c:v>Empty</c:v>
                </c:pt>
                <c:pt idx="10">
                  <c:v>Others</c:v>
                </c:pt>
              </c:strCache>
            </c:strRef>
          </c:cat>
          <c:val>
            <c:numRef>
              <c:f>Graphs!$N$5:$N$15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3.2258064516129031E-2</c:v>
                </c:pt>
                <c:pt idx="8">
                  <c:v>3.2258064516129031E-2</c:v>
                </c:pt>
                <c:pt idx="9">
                  <c:v>0.83870967741935487</c:v>
                </c:pt>
                <c:pt idx="10">
                  <c:v>9.6774193548387094E-2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F3-4761-BD72-F74BFFBE11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2"/>
        <c:axId val="619720880"/>
        <c:axId val="619721536"/>
      </c:barChart>
      <c:catAx>
        <c:axId val="61972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19721536"/>
        <c:crosses val="autoZero"/>
        <c:auto val="1"/>
        <c:lblAlgn val="ctr"/>
        <c:lblOffset val="100"/>
        <c:noMultiLvlLbl val="0"/>
      </c:catAx>
      <c:valAx>
        <c:axId val="61972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1972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13</xdr:col>
      <xdr:colOff>297180</xdr:colOff>
      <xdr:row>4</xdr:row>
      <xdr:rowOff>15240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077700" y="182880"/>
          <a:ext cx="1516380" cy="381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13</xdr:col>
      <xdr:colOff>297180</xdr:colOff>
      <xdr:row>4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553450" y="190500"/>
          <a:ext cx="887730" cy="40576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13</xdr:col>
      <xdr:colOff>297180</xdr:colOff>
      <xdr:row>3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553450" y="190500"/>
          <a:ext cx="887730" cy="40576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13</xdr:col>
      <xdr:colOff>297180</xdr:colOff>
      <xdr:row>4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53E2BF-309C-4AD5-9D61-9701652CE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220075" y="428625"/>
          <a:ext cx="887730" cy="44386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13</xdr:col>
      <xdr:colOff>297180</xdr:colOff>
      <xdr:row>4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E025F5-4A42-4DE3-8D5C-8D11316CB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220075" y="428625"/>
          <a:ext cx="887730" cy="44386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12314</xdr:colOff>
      <xdr:row>2</xdr:row>
      <xdr:rowOff>165870</xdr:rowOff>
    </xdr:from>
    <xdr:to>
      <xdr:col>9</xdr:col>
      <xdr:colOff>1047981</xdr:colOff>
      <xdr:row>25</xdr:row>
      <xdr:rowOff>117203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F68A40-BAF3-4F2A-B61B-FB2DFECB8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46179</xdr:colOff>
      <xdr:row>26</xdr:row>
      <xdr:rowOff>144220</xdr:rowOff>
    </xdr:from>
    <xdr:to>
      <xdr:col>9</xdr:col>
      <xdr:colOff>1081846</xdr:colOff>
      <xdr:row>50</xdr:row>
      <xdr:rowOff>180220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E261C2-BF4C-4784-9D63-9211037C4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14622</xdr:colOff>
      <xdr:row>53</xdr:row>
      <xdr:rowOff>61672</xdr:rowOff>
    </xdr:from>
    <xdr:to>
      <xdr:col>9</xdr:col>
      <xdr:colOff>1063144</xdr:colOff>
      <xdr:row>77</xdr:row>
      <xdr:rowOff>127480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78FDF8-FF68-431C-9659-6EC39FB04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602287</xdr:colOff>
      <xdr:row>44</xdr:row>
      <xdr:rowOff>188096</xdr:rowOff>
    </xdr:from>
    <xdr:to>
      <xdr:col>21</xdr:col>
      <xdr:colOff>444500</xdr:colOff>
      <xdr:row>68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5CD065-A74D-4FDB-8433-3E931F2A6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69273</xdr:colOff>
      <xdr:row>1</xdr:row>
      <xdr:rowOff>65806</xdr:rowOff>
    </xdr:from>
    <xdr:to>
      <xdr:col>23</xdr:col>
      <xdr:colOff>398318</xdr:colOff>
      <xdr:row>36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333164-ABD6-4C01-9765-47AF9FEC0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421821</xdr:colOff>
      <xdr:row>1</xdr:row>
      <xdr:rowOff>149678</xdr:rowOff>
    </xdr:from>
    <xdr:to>
      <xdr:col>20</xdr:col>
      <xdr:colOff>555170</xdr:colOff>
      <xdr:row>28</xdr:row>
      <xdr:rowOff>62593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9AD2E7A-DFC8-4849-A3F9-581D14456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7296" y="311603"/>
          <a:ext cx="3181349" cy="42848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485775</xdr:colOff>
      <xdr:row>1</xdr:row>
      <xdr:rowOff>57149</xdr:rowOff>
    </xdr:from>
    <xdr:to>
      <xdr:col>31</xdr:col>
      <xdr:colOff>464910</xdr:colOff>
      <xdr:row>44</xdr:row>
      <xdr:rowOff>52887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B9C836-6F5E-40D6-A72E-47D93F0E0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8450" y="219074"/>
          <a:ext cx="5465535" cy="7110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9-KARUMA-ARU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Y1"/>
      <sheetName val="DAY2"/>
      <sheetName val="DAY3"/>
      <sheetName val="Karuma-Arua"/>
      <sheetName val="Arua-Karuma"/>
      <sheetName val="Graphs"/>
      <sheetName val="KEY"/>
      <sheetName val="Desc"/>
    </sheetNames>
    <sheetDataSet>
      <sheetData sheetId="0"/>
      <sheetData sheetId="1"/>
      <sheetData sheetId="2"/>
      <sheetData sheetId="3"/>
      <sheetData sheetId="4"/>
      <sheetData sheetId="5">
        <row r="4">
          <cell r="C4" t="str">
            <v>Karuma-Arua</v>
          </cell>
          <cell r="D4" t="str">
            <v>Arua-Karuma</v>
          </cell>
          <cell r="M4" t="str">
            <v>Karuma-Arua</v>
          </cell>
          <cell r="N4" t="str">
            <v>Arua-Karuma</v>
          </cell>
        </row>
        <row r="5">
          <cell r="B5" t="str">
            <v>Light/Medium Trucks</v>
          </cell>
          <cell r="C5">
            <v>20</v>
          </cell>
          <cell r="D5">
            <v>11</v>
          </cell>
          <cell r="L5" t="str">
            <v>Agricultural produce</v>
          </cell>
          <cell r="M5">
            <v>6.6666666666666666E-2</v>
          </cell>
          <cell r="N5">
            <v>0.34782608695652173</v>
          </cell>
        </row>
        <row r="6">
          <cell r="B6" t="str">
            <v>Heavy Trucks</v>
          </cell>
          <cell r="C6">
            <v>8</v>
          </cell>
          <cell r="D6">
            <v>2</v>
          </cell>
          <cell r="L6" t="str">
            <v>Perishable</v>
          </cell>
          <cell r="M6">
            <v>0</v>
          </cell>
          <cell r="N6">
            <v>0</v>
          </cell>
        </row>
        <row r="7">
          <cell r="B7" t="str">
            <v>Truck/Trailer</v>
          </cell>
          <cell r="C7">
            <v>32</v>
          </cell>
          <cell r="D7">
            <v>10</v>
          </cell>
          <cell r="L7" t="str">
            <v>Construction Material</v>
          </cell>
          <cell r="M7">
            <v>0.28333333333333333</v>
          </cell>
          <cell r="N7">
            <v>0.30434782608695654</v>
          </cell>
        </row>
        <row r="8">
          <cell r="L8" t="str">
            <v>Metal/machinery</v>
          </cell>
          <cell r="M8">
            <v>0</v>
          </cell>
          <cell r="N8">
            <v>0</v>
          </cell>
        </row>
        <row r="9">
          <cell r="L9" t="str">
            <v>Forestry products</v>
          </cell>
          <cell r="M9">
            <v>0</v>
          </cell>
          <cell r="N9">
            <v>0</v>
          </cell>
        </row>
        <row r="10">
          <cell r="L10" t="str">
            <v>Fuels</v>
          </cell>
          <cell r="M10">
            <v>0.05</v>
          </cell>
          <cell r="N10">
            <v>0</v>
          </cell>
        </row>
        <row r="11">
          <cell r="L11" t="str">
            <v>Chemical Products</v>
          </cell>
          <cell r="M11">
            <v>1.6666666666666666E-2</v>
          </cell>
          <cell r="N11">
            <v>0</v>
          </cell>
        </row>
        <row r="12">
          <cell r="L12" t="str">
            <v>Livestock</v>
          </cell>
          <cell r="M12">
            <v>0</v>
          </cell>
          <cell r="N12">
            <v>4.3478260869565216E-2</v>
          </cell>
        </row>
        <row r="13">
          <cell r="L13" t="str">
            <v>Household retail products</v>
          </cell>
          <cell r="M13">
            <v>0.2</v>
          </cell>
          <cell r="N13">
            <v>0.13043478260869565</v>
          </cell>
        </row>
        <row r="14">
          <cell r="L14" t="str">
            <v>Empty</v>
          </cell>
          <cell r="M14">
            <v>0.21666666666666667</v>
          </cell>
          <cell r="N14">
            <v>0</v>
          </cell>
        </row>
        <row r="15">
          <cell r="L15" t="str">
            <v>Others</v>
          </cell>
          <cell r="M15">
            <v>0.16666666666666666</v>
          </cell>
          <cell r="N15">
            <v>0.17391304347826086</v>
          </cell>
        </row>
        <row r="28">
          <cell r="C28" t="str">
            <v>Karuma-Arua</v>
          </cell>
          <cell r="D28" t="str">
            <v>Arua-Karuma</v>
          </cell>
          <cell r="E28" t="str">
            <v>Both Directions</v>
          </cell>
          <cell r="F28" t="str">
            <v>Limit</v>
          </cell>
        </row>
        <row r="29">
          <cell r="B29" t="str">
            <v>Light/Medium Trucks</v>
          </cell>
          <cell r="C29">
            <v>14.315000000000003</v>
          </cell>
          <cell r="D29">
            <v>12.454545454545455</v>
          </cell>
          <cell r="E29">
            <v>13.384772727272729</v>
          </cell>
          <cell r="F29">
            <v>18</v>
          </cell>
        </row>
        <row r="30">
          <cell r="B30" t="str">
            <v>Heavy Trucks</v>
          </cell>
          <cell r="C30">
            <v>25.125</v>
          </cell>
          <cell r="D30">
            <v>15.624999999999998</v>
          </cell>
          <cell r="E30">
            <v>20.375</v>
          </cell>
          <cell r="F30">
            <v>27</v>
          </cell>
        </row>
        <row r="31">
          <cell r="B31" t="str">
            <v>Truck/Trailer</v>
          </cell>
          <cell r="C31">
            <v>42.994999999999997</v>
          </cell>
          <cell r="D31">
            <v>35.601999999999997</v>
          </cell>
          <cell r="E31">
            <v>39.298499999999997</v>
          </cell>
          <cell r="F31">
            <v>54</v>
          </cell>
        </row>
        <row r="40">
          <cell r="N40" t="str">
            <v>Karuma-Arua</v>
          </cell>
          <cell r="O40" t="str">
            <v>Arua-Karuma</v>
          </cell>
        </row>
        <row r="41">
          <cell r="M41" t="str">
            <v>0-4.9%</v>
          </cell>
          <cell r="N41">
            <v>0.41666666666666669</v>
          </cell>
          <cell r="O41">
            <v>0.82608695652173914</v>
          </cell>
        </row>
        <row r="42">
          <cell r="M42" t="str">
            <v>5-25%</v>
          </cell>
          <cell r="N42">
            <v>0.46666666666666667</v>
          </cell>
          <cell r="O42">
            <v>0.17391304347826086</v>
          </cell>
        </row>
        <row r="43">
          <cell r="M43" t="str">
            <v>25-50%</v>
          </cell>
          <cell r="N43">
            <v>0.1</v>
          </cell>
          <cell r="O43">
            <v>0</v>
          </cell>
        </row>
        <row r="44">
          <cell r="M44" t="str">
            <v>Over 50%</v>
          </cell>
          <cell r="N44">
            <v>1.6666666666666666E-2</v>
          </cell>
          <cell r="O44">
            <v>0</v>
          </cell>
        </row>
        <row r="57">
          <cell r="C57">
            <v>0.65</v>
          </cell>
          <cell r="D57">
            <v>9.0909090909090912E-2</v>
          </cell>
          <cell r="E57">
            <v>0.37045454545454548</v>
          </cell>
        </row>
        <row r="58">
          <cell r="C58">
            <v>0.75</v>
          </cell>
          <cell r="D58">
            <v>0</v>
          </cell>
          <cell r="E58">
            <v>0.375</v>
          </cell>
        </row>
        <row r="59">
          <cell r="C59">
            <v>0.8125</v>
          </cell>
          <cell r="D59">
            <v>0.4</v>
          </cell>
          <cell r="E59">
            <v>0.60624999999999996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1"/>
  <sheetViews>
    <sheetView view="pageBreakPreview" zoomScale="75" zoomScaleNormal="100" zoomScaleSheetLayoutView="75"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P39" sqref="P39:P41"/>
    </sheetView>
  </sheetViews>
  <sheetFormatPr defaultRowHeight="15" x14ac:dyDescent="0.25"/>
  <cols>
    <col min="1" max="1" width="6.140625" customWidth="1"/>
    <col min="2" max="2" width="9.140625" bestFit="1" customWidth="1"/>
    <col min="3" max="3" width="15.5703125" customWidth="1"/>
    <col min="4" max="4" width="10.7109375" customWidth="1"/>
    <col min="5" max="5" width="9.140625" style="16" customWidth="1"/>
    <col min="6" max="6" width="15.140625" style="16" customWidth="1"/>
    <col min="7" max="12" width="9.5703125" bestFit="1" customWidth="1"/>
    <col min="13" max="13" width="8.85546875" customWidth="1"/>
    <col min="14" max="14" width="13.140625" customWidth="1"/>
    <col min="15" max="15" width="13.28515625" customWidth="1"/>
    <col min="16" max="16" width="24.7109375" customWidth="1"/>
  </cols>
  <sheetData>
    <row r="1" spans="1:16" ht="18.75" x14ac:dyDescent="0.3">
      <c r="A1" s="83" t="s">
        <v>87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1:16" x14ac:dyDescent="0.25">
      <c r="A2" s="86" t="s">
        <v>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</row>
    <row r="3" spans="1:16" x14ac:dyDescent="0.25">
      <c r="A3" s="2" t="s">
        <v>1</v>
      </c>
      <c r="B3" s="2"/>
      <c r="C3" s="2"/>
      <c r="D3" s="2" t="s">
        <v>88</v>
      </c>
      <c r="E3" s="14" t="s">
        <v>46</v>
      </c>
      <c r="F3" s="14"/>
      <c r="G3" s="2"/>
      <c r="H3" s="3"/>
      <c r="I3" s="2"/>
      <c r="J3" s="2"/>
      <c r="K3" s="2"/>
      <c r="L3" s="2"/>
      <c r="M3" s="3"/>
      <c r="N3" s="4"/>
      <c r="O3" s="2"/>
    </row>
    <row r="4" spans="1:16" ht="18.75" thickBot="1" x14ac:dyDescent="0.3">
      <c r="A4" s="95">
        <v>43675</v>
      </c>
      <c r="B4" s="95"/>
      <c r="C4" s="2"/>
      <c r="D4" s="6"/>
      <c r="E4" s="18"/>
      <c r="F4" s="14"/>
      <c r="G4" s="2"/>
      <c r="H4" s="35" t="s">
        <v>81</v>
      </c>
      <c r="I4" s="2"/>
      <c r="J4" s="2"/>
      <c r="K4" s="2"/>
      <c r="L4" s="2"/>
      <c r="M4" s="4"/>
      <c r="N4" s="4"/>
      <c r="O4" s="2"/>
    </row>
    <row r="5" spans="1:16" s="1" customFormat="1" ht="14.45" customHeight="1" x14ac:dyDescent="0.25">
      <c r="A5" s="88" t="s">
        <v>3</v>
      </c>
      <c r="B5" s="90" t="s">
        <v>4</v>
      </c>
      <c r="C5" s="87" t="s">
        <v>5</v>
      </c>
      <c r="D5" s="87" t="s">
        <v>16</v>
      </c>
      <c r="E5" s="93" t="s">
        <v>6</v>
      </c>
      <c r="F5" s="93" t="s">
        <v>7</v>
      </c>
      <c r="G5" s="7" t="s">
        <v>17</v>
      </c>
      <c r="H5" s="87" t="s">
        <v>47</v>
      </c>
      <c r="I5" s="87"/>
      <c r="J5" s="87"/>
      <c r="K5" s="87"/>
      <c r="L5" s="87"/>
      <c r="M5" s="87"/>
      <c r="N5" s="87" t="s">
        <v>15</v>
      </c>
      <c r="O5" s="87" t="s">
        <v>18</v>
      </c>
      <c r="P5" s="84" t="s">
        <v>19</v>
      </c>
    </row>
    <row r="6" spans="1:16" ht="13.9" customHeight="1" thickBot="1" x14ac:dyDescent="0.3">
      <c r="A6" s="89"/>
      <c r="B6" s="91"/>
      <c r="C6" s="92"/>
      <c r="D6" s="92"/>
      <c r="E6" s="94"/>
      <c r="F6" s="94"/>
      <c r="G6" s="20" t="s">
        <v>8</v>
      </c>
      <c r="H6" s="20" t="s">
        <v>9</v>
      </c>
      <c r="I6" s="20" t="s">
        <v>10</v>
      </c>
      <c r="J6" s="20" t="s">
        <v>11</v>
      </c>
      <c r="K6" s="20" t="s">
        <v>12</v>
      </c>
      <c r="L6" s="20" t="s">
        <v>13</v>
      </c>
      <c r="M6" s="20" t="s">
        <v>14</v>
      </c>
      <c r="N6" s="92"/>
      <c r="O6" s="92"/>
      <c r="P6" s="85"/>
    </row>
    <row r="7" spans="1:16" ht="24" customHeight="1" x14ac:dyDescent="0.25">
      <c r="A7" s="10">
        <v>1</v>
      </c>
      <c r="B7" s="33">
        <v>0.3263888888888889</v>
      </c>
      <c r="C7" s="32" t="s">
        <v>48</v>
      </c>
      <c r="D7" s="34">
        <v>11</v>
      </c>
      <c r="E7" s="15"/>
      <c r="F7" s="32" t="s">
        <v>27</v>
      </c>
      <c r="G7" s="32">
        <v>8.36</v>
      </c>
      <c r="H7" s="32">
        <v>7.26</v>
      </c>
      <c r="I7" s="32">
        <v>15.84</v>
      </c>
      <c r="J7" s="32">
        <v>12.1</v>
      </c>
      <c r="K7" s="32">
        <v>0.88</v>
      </c>
      <c r="L7" s="32"/>
      <c r="M7" s="32"/>
      <c r="N7" s="17"/>
      <c r="O7" s="12"/>
      <c r="P7" s="8" t="s">
        <v>36</v>
      </c>
    </row>
    <row r="8" spans="1:16" ht="24" customHeight="1" x14ac:dyDescent="0.25">
      <c r="A8" s="10">
        <v>2</v>
      </c>
      <c r="B8" s="33">
        <v>0.34236111111111112</v>
      </c>
      <c r="C8" s="32" t="s">
        <v>49</v>
      </c>
      <c r="D8" s="34">
        <v>8</v>
      </c>
      <c r="E8" s="15"/>
      <c r="F8" s="32" t="s">
        <v>24</v>
      </c>
      <c r="G8" s="32">
        <v>6.16</v>
      </c>
      <c r="H8" s="32">
        <v>7.92</v>
      </c>
      <c r="I8" s="32"/>
      <c r="J8" s="32"/>
      <c r="K8" s="32"/>
      <c r="L8" s="32"/>
      <c r="M8" s="32"/>
      <c r="N8" s="17"/>
      <c r="O8" s="12"/>
      <c r="P8" s="8" t="s">
        <v>32</v>
      </c>
    </row>
    <row r="9" spans="1:16" ht="24" customHeight="1" x14ac:dyDescent="0.25">
      <c r="A9" s="10">
        <v>3</v>
      </c>
      <c r="B9" s="33">
        <v>0.3444444444444445</v>
      </c>
      <c r="C9" s="32" t="s">
        <v>50</v>
      </c>
      <c r="D9" s="34">
        <v>12</v>
      </c>
      <c r="E9" s="15"/>
      <c r="F9" s="32" t="s">
        <v>79</v>
      </c>
      <c r="G9" s="32">
        <v>4.62</v>
      </c>
      <c r="H9" s="32">
        <v>5.5</v>
      </c>
      <c r="I9" s="32">
        <v>9.02</v>
      </c>
      <c r="J9" s="32">
        <v>7.26</v>
      </c>
      <c r="K9" s="32">
        <v>8.8000000000000007</v>
      </c>
      <c r="L9" s="32">
        <v>7.7</v>
      </c>
      <c r="M9" s="32"/>
      <c r="N9" s="17"/>
      <c r="O9" s="12"/>
      <c r="P9" s="8" t="s">
        <v>38</v>
      </c>
    </row>
    <row r="10" spans="1:16" ht="24" customHeight="1" x14ac:dyDescent="0.25">
      <c r="A10" s="10">
        <v>4</v>
      </c>
      <c r="B10" s="33">
        <v>0.35416666666666669</v>
      </c>
      <c r="C10" s="32" t="s">
        <v>51</v>
      </c>
      <c r="D10" s="34">
        <v>12</v>
      </c>
      <c r="E10" s="15"/>
      <c r="F10" s="32" t="s">
        <v>31</v>
      </c>
      <c r="G10" s="32">
        <v>6.6159999999999997</v>
      </c>
      <c r="H10" s="32">
        <v>5.0599999999999996</v>
      </c>
      <c r="I10" s="32">
        <v>5.5</v>
      </c>
      <c r="J10" s="32">
        <v>8.58</v>
      </c>
      <c r="K10" s="32">
        <v>6.6</v>
      </c>
      <c r="L10" s="32">
        <v>6.38</v>
      </c>
      <c r="M10" s="32"/>
      <c r="N10" s="17"/>
      <c r="O10" s="12"/>
      <c r="P10" s="8" t="s">
        <v>32</v>
      </c>
    </row>
    <row r="11" spans="1:16" ht="24" customHeight="1" x14ac:dyDescent="0.25">
      <c r="A11" s="10">
        <v>5</v>
      </c>
      <c r="B11" s="33">
        <v>0.35694444444444445</v>
      </c>
      <c r="C11" s="32" t="s">
        <v>52</v>
      </c>
      <c r="D11" s="34">
        <v>12</v>
      </c>
      <c r="E11" s="15"/>
      <c r="F11" s="32" t="s">
        <v>80</v>
      </c>
      <c r="G11" s="32">
        <v>5.0599999999999996</v>
      </c>
      <c r="H11" s="32">
        <v>3.74</v>
      </c>
      <c r="I11" s="32">
        <v>3.3</v>
      </c>
      <c r="J11" s="32">
        <v>4.4000000000000004</v>
      </c>
      <c r="K11" s="32">
        <v>4.18</v>
      </c>
      <c r="L11" s="32">
        <v>2.42</v>
      </c>
      <c r="M11" s="32"/>
      <c r="N11" s="17"/>
      <c r="O11" s="12"/>
      <c r="P11" s="8" t="s">
        <v>45</v>
      </c>
    </row>
    <row r="12" spans="1:16" ht="24" customHeight="1" x14ac:dyDescent="0.25">
      <c r="A12" s="10">
        <v>6</v>
      </c>
      <c r="B12" s="33">
        <v>0.35902777777777778</v>
      </c>
      <c r="C12" s="32" t="s">
        <v>53</v>
      </c>
      <c r="D12" s="34">
        <v>12</v>
      </c>
      <c r="E12" s="15"/>
      <c r="F12" s="32" t="s">
        <v>31</v>
      </c>
      <c r="G12" s="32">
        <v>6.16</v>
      </c>
      <c r="H12" s="32">
        <v>6.6</v>
      </c>
      <c r="I12" s="32">
        <v>6.82</v>
      </c>
      <c r="J12" s="32">
        <v>7.48</v>
      </c>
      <c r="K12" s="32">
        <v>7.7</v>
      </c>
      <c r="L12" s="32">
        <v>7.48</v>
      </c>
      <c r="M12" s="32"/>
      <c r="N12" s="17"/>
      <c r="O12" s="12"/>
      <c r="P12" s="8" t="s">
        <v>32</v>
      </c>
    </row>
    <row r="13" spans="1:16" ht="24" customHeight="1" x14ac:dyDescent="0.25">
      <c r="A13" s="10">
        <v>7</v>
      </c>
      <c r="B13" s="33">
        <v>0.36319444444444443</v>
      </c>
      <c r="C13" s="32" t="s">
        <v>54</v>
      </c>
      <c r="D13" s="34">
        <v>11</v>
      </c>
      <c r="E13" s="15"/>
      <c r="F13" s="32" t="s">
        <v>28</v>
      </c>
      <c r="G13" s="32">
        <v>5.94</v>
      </c>
      <c r="H13" s="32">
        <v>7.48</v>
      </c>
      <c r="I13" s="32">
        <v>9.02</v>
      </c>
      <c r="J13" s="32">
        <v>5.28</v>
      </c>
      <c r="K13" s="32">
        <v>3.74</v>
      </c>
      <c r="L13" s="32">
        <v>3.3</v>
      </c>
      <c r="M13" s="32"/>
      <c r="N13" s="17"/>
      <c r="O13" s="12"/>
      <c r="P13" s="8" t="s">
        <v>32</v>
      </c>
    </row>
    <row r="14" spans="1:16" ht="24" customHeight="1" x14ac:dyDescent="0.25">
      <c r="A14" s="10">
        <v>8</v>
      </c>
      <c r="B14" s="33">
        <v>0.37152777777777773</v>
      </c>
      <c r="C14" s="32" t="s">
        <v>55</v>
      </c>
      <c r="D14" s="34">
        <v>12</v>
      </c>
      <c r="E14" s="15"/>
      <c r="F14" s="32" t="s">
        <v>31</v>
      </c>
      <c r="G14" s="32">
        <v>6.38</v>
      </c>
      <c r="H14" s="32">
        <v>6.82</v>
      </c>
      <c r="I14" s="32">
        <v>7.04</v>
      </c>
      <c r="J14" s="32">
        <v>3.74</v>
      </c>
      <c r="K14" s="32">
        <v>3.3</v>
      </c>
      <c r="L14" s="32">
        <v>3.52</v>
      </c>
      <c r="M14" s="32"/>
      <c r="N14" s="17"/>
      <c r="O14" s="12"/>
      <c r="P14" s="8" t="s">
        <v>33</v>
      </c>
    </row>
    <row r="15" spans="1:16" ht="24" customHeight="1" x14ac:dyDescent="0.25">
      <c r="A15" s="10">
        <v>9</v>
      </c>
      <c r="B15" s="33">
        <v>0.375</v>
      </c>
      <c r="C15" s="32" t="s">
        <v>56</v>
      </c>
      <c r="D15" s="34">
        <v>11</v>
      </c>
      <c r="E15" s="15"/>
      <c r="F15" s="32" t="s">
        <v>27</v>
      </c>
      <c r="G15" s="32">
        <v>5.0599999999999996</v>
      </c>
      <c r="H15" s="32">
        <v>11.22</v>
      </c>
      <c r="I15" s="32">
        <v>13.2</v>
      </c>
      <c r="J15" s="32">
        <v>7.04</v>
      </c>
      <c r="K15" s="32">
        <v>2.64</v>
      </c>
      <c r="L15" s="32"/>
      <c r="M15" s="32"/>
      <c r="N15" s="17"/>
      <c r="O15" s="12"/>
      <c r="P15" s="8" t="s">
        <v>32</v>
      </c>
    </row>
    <row r="16" spans="1:16" ht="24" customHeight="1" x14ac:dyDescent="0.25">
      <c r="A16" s="10">
        <v>10</v>
      </c>
      <c r="B16" s="33">
        <v>0.37847222222222227</v>
      </c>
      <c r="C16" s="32" t="s">
        <v>57</v>
      </c>
      <c r="D16" s="34">
        <v>10</v>
      </c>
      <c r="E16" s="15"/>
      <c r="F16" s="32" t="s">
        <v>27</v>
      </c>
      <c r="G16" s="32">
        <v>8.3000000000000007</v>
      </c>
      <c r="H16" s="32">
        <v>7.7</v>
      </c>
      <c r="I16" s="32">
        <v>11.88</v>
      </c>
      <c r="J16" s="32">
        <v>11.66</v>
      </c>
      <c r="K16" s="32">
        <v>3.74</v>
      </c>
      <c r="L16" s="32"/>
      <c r="M16" s="32"/>
      <c r="N16" s="17"/>
      <c r="O16" s="12"/>
      <c r="P16" s="8" t="s">
        <v>32</v>
      </c>
    </row>
    <row r="17" spans="1:16" ht="24" customHeight="1" x14ac:dyDescent="0.25">
      <c r="A17" s="10">
        <v>11</v>
      </c>
      <c r="B17" s="33">
        <v>0.38194444444444442</v>
      </c>
      <c r="C17" s="32" t="s">
        <v>58</v>
      </c>
      <c r="D17" s="34">
        <v>8</v>
      </c>
      <c r="E17" s="15"/>
      <c r="F17" s="32" t="s">
        <v>24</v>
      </c>
      <c r="G17" s="32">
        <v>5.28</v>
      </c>
      <c r="H17" s="32">
        <v>6.6</v>
      </c>
      <c r="I17" s="32"/>
      <c r="J17" s="32"/>
      <c r="K17" s="32"/>
      <c r="L17" s="32"/>
      <c r="M17" s="32"/>
      <c r="N17" s="12"/>
      <c r="O17" s="12"/>
      <c r="P17" s="8" t="s">
        <v>32</v>
      </c>
    </row>
    <row r="18" spans="1:16" ht="24" customHeight="1" x14ac:dyDescent="0.25">
      <c r="A18" s="10">
        <v>12</v>
      </c>
      <c r="B18" s="33">
        <v>0.3833333333333333</v>
      </c>
      <c r="C18" s="32" t="s">
        <v>59</v>
      </c>
      <c r="D18" s="34">
        <v>10</v>
      </c>
      <c r="E18" s="15"/>
      <c r="F18" s="32" t="s">
        <v>31</v>
      </c>
      <c r="G18" s="32">
        <v>5.72</v>
      </c>
      <c r="H18" s="32">
        <v>7.04</v>
      </c>
      <c r="I18" s="32">
        <v>7.26</v>
      </c>
      <c r="J18" s="32">
        <v>9.9</v>
      </c>
      <c r="K18" s="32">
        <v>7.92</v>
      </c>
      <c r="L18" s="32">
        <v>5.5</v>
      </c>
      <c r="M18" s="32"/>
      <c r="N18" s="12"/>
      <c r="O18" s="12"/>
      <c r="P18" s="8" t="s">
        <v>36</v>
      </c>
    </row>
    <row r="19" spans="1:16" ht="24" customHeight="1" x14ac:dyDescent="0.25">
      <c r="A19" s="10">
        <v>13</v>
      </c>
      <c r="B19" s="33">
        <v>0.3923611111111111</v>
      </c>
      <c r="C19" s="32" t="s">
        <v>60</v>
      </c>
      <c r="D19" s="34">
        <v>10</v>
      </c>
      <c r="E19" s="15"/>
      <c r="F19" s="32" t="s">
        <v>26</v>
      </c>
      <c r="G19" s="32">
        <v>5.28</v>
      </c>
      <c r="H19" s="32">
        <v>2.86</v>
      </c>
      <c r="I19" s="32">
        <v>7.04</v>
      </c>
      <c r="J19" s="32">
        <v>6.38</v>
      </c>
      <c r="K19" s="32">
        <v>5.5</v>
      </c>
      <c r="L19" s="32">
        <v>4.18</v>
      </c>
      <c r="M19" s="32"/>
      <c r="N19" s="17"/>
      <c r="O19" s="12"/>
      <c r="P19" s="8" t="s">
        <v>32</v>
      </c>
    </row>
    <row r="20" spans="1:16" ht="24" customHeight="1" x14ac:dyDescent="0.25">
      <c r="A20" s="10">
        <v>14</v>
      </c>
      <c r="B20" s="33">
        <v>0.40138888888888885</v>
      </c>
      <c r="C20" s="32" t="s">
        <v>61</v>
      </c>
      <c r="D20" s="34">
        <v>10</v>
      </c>
      <c r="E20" s="15"/>
      <c r="F20" s="32" t="s">
        <v>26</v>
      </c>
      <c r="G20" s="32">
        <v>6.38</v>
      </c>
      <c r="H20" s="32">
        <v>4.62</v>
      </c>
      <c r="I20" s="32">
        <v>6.38</v>
      </c>
      <c r="J20" s="32">
        <v>7.04</v>
      </c>
      <c r="K20" s="32">
        <v>7.04</v>
      </c>
      <c r="L20" s="32">
        <v>7.48</v>
      </c>
      <c r="M20" s="32"/>
      <c r="N20" s="17"/>
      <c r="O20" s="12"/>
      <c r="P20" s="8" t="s">
        <v>35</v>
      </c>
    </row>
    <row r="21" spans="1:16" ht="24" customHeight="1" x14ac:dyDescent="0.25">
      <c r="A21" s="10">
        <v>15</v>
      </c>
      <c r="B21" s="33">
        <v>0.40416666666666662</v>
      </c>
      <c r="C21" s="32" t="s">
        <v>62</v>
      </c>
      <c r="D21" s="34">
        <v>10</v>
      </c>
      <c r="E21" s="15"/>
      <c r="F21" s="32" t="s">
        <v>31</v>
      </c>
      <c r="G21" s="32">
        <v>8.4</v>
      </c>
      <c r="H21" s="32">
        <v>6.6</v>
      </c>
      <c r="I21" s="32">
        <v>6.38</v>
      </c>
      <c r="J21" s="32">
        <v>4.62</v>
      </c>
      <c r="K21" s="32">
        <v>5.28</v>
      </c>
      <c r="L21" s="32">
        <v>6.6</v>
      </c>
      <c r="M21" s="32"/>
      <c r="N21" s="17"/>
      <c r="O21" s="12"/>
      <c r="P21" s="8" t="s">
        <v>32</v>
      </c>
    </row>
    <row r="22" spans="1:16" ht="24" customHeight="1" x14ac:dyDescent="0.25">
      <c r="A22" s="10">
        <v>16</v>
      </c>
      <c r="B22" s="33">
        <v>0.40625</v>
      </c>
      <c r="C22" s="32" t="s">
        <v>63</v>
      </c>
      <c r="D22" s="34">
        <v>8</v>
      </c>
      <c r="E22" s="15"/>
      <c r="F22" s="32" t="s">
        <v>24</v>
      </c>
      <c r="G22" s="32">
        <v>6.16</v>
      </c>
      <c r="H22" s="32">
        <v>8.92</v>
      </c>
      <c r="I22" s="32"/>
      <c r="J22" s="32"/>
      <c r="K22" s="32"/>
      <c r="L22" s="32"/>
      <c r="M22" s="32"/>
      <c r="N22" s="17"/>
      <c r="O22" s="12"/>
      <c r="P22" s="8" t="s">
        <v>36</v>
      </c>
    </row>
    <row r="23" spans="1:16" ht="24" customHeight="1" x14ac:dyDescent="0.25">
      <c r="A23" s="10">
        <v>17</v>
      </c>
      <c r="B23" s="33">
        <v>0.43611111111111112</v>
      </c>
      <c r="C23" s="32" t="s">
        <v>64</v>
      </c>
      <c r="D23" s="34">
        <v>10</v>
      </c>
      <c r="E23" s="15"/>
      <c r="F23" s="32" t="s">
        <v>27</v>
      </c>
      <c r="G23" s="32">
        <v>6.6</v>
      </c>
      <c r="H23" s="32">
        <v>6.6</v>
      </c>
      <c r="I23" s="32">
        <v>10.56</v>
      </c>
      <c r="J23" s="32">
        <v>9.9</v>
      </c>
      <c r="K23" s="32">
        <v>0.88</v>
      </c>
      <c r="L23" s="32"/>
      <c r="M23" s="32"/>
      <c r="N23" s="17"/>
      <c r="O23" s="12"/>
      <c r="P23" s="8" t="s">
        <v>32</v>
      </c>
    </row>
    <row r="24" spans="1:16" ht="24" customHeight="1" x14ac:dyDescent="0.25">
      <c r="A24" s="10">
        <v>18</v>
      </c>
      <c r="B24" s="33">
        <v>0.45</v>
      </c>
      <c r="C24" s="32" t="s">
        <v>65</v>
      </c>
      <c r="D24" s="34">
        <v>10</v>
      </c>
      <c r="E24" s="15"/>
      <c r="F24" s="32" t="s">
        <v>31</v>
      </c>
      <c r="G24" s="32">
        <v>5.0599999999999996</v>
      </c>
      <c r="H24" s="32">
        <v>5.0599999999999996</v>
      </c>
      <c r="I24" s="32">
        <v>6.82</v>
      </c>
      <c r="J24" s="32">
        <v>5.28</v>
      </c>
      <c r="K24" s="32">
        <v>5.28</v>
      </c>
      <c r="L24" s="32">
        <v>6.6</v>
      </c>
      <c r="M24" s="32"/>
      <c r="N24" s="17"/>
      <c r="O24" s="12"/>
      <c r="P24" s="8" t="s">
        <v>32</v>
      </c>
    </row>
    <row r="25" spans="1:16" ht="24" customHeight="1" x14ac:dyDescent="0.25">
      <c r="A25" s="10">
        <v>19</v>
      </c>
      <c r="B25" s="33">
        <v>0.45347222222222222</v>
      </c>
      <c r="C25" s="32" t="s">
        <v>66</v>
      </c>
      <c r="D25" s="34">
        <v>9</v>
      </c>
      <c r="E25" s="15"/>
      <c r="F25" s="32" t="s">
        <v>25</v>
      </c>
      <c r="G25" s="32">
        <v>6.38</v>
      </c>
      <c r="H25" s="32">
        <v>12.54</v>
      </c>
      <c r="I25" s="32">
        <v>7.04</v>
      </c>
      <c r="J25" s="32"/>
      <c r="K25" s="32"/>
      <c r="L25" s="32"/>
      <c r="M25" s="32"/>
      <c r="N25" s="17"/>
      <c r="O25" s="12"/>
      <c r="P25" s="8" t="s">
        <v>32</v>
      </c>
    </row>
    <row r="26" spans="1:16" ht="24" customHeight="1" x14ac:dyDescent="0.25">
      <c r="A26" s="10">
        <v>20</v>
      </c>
      <c r="B26" s="33">
        <v>0.45694444444444443</v>
      </c>
      <c r="C26" s="32" t="s">
        <v>67</v>
      </c>
      <c r="D26" s="34">
        <v>10</v>
      </c>
      <c r="E26" s="15"/>
      <c r="F26" s="32" t="s">
        <v>31</v>
      </c>
      <c r="G26" s="32">
        <v>4.18</v>
      </c>
      <c r="H26" s="32">
        <v>5.5</v>
      </c>
      <c r="I26" s="32">
        <v>1.32</v>
      </c>
      <c r="J26" s="32">
        <v>2.86</v>
      </c>
      <c r="K26" s="32">
        <v>3.52</v>
      </c>
      <c r="L26" s="32">
        <v>5.5</v>
      </c>
      <c r="M26" s="32"/>
      <c r="N26" s="17"/>
      <c r="O26" s="12"/>
      <c r="P26" s="8" t="s">
        <v>33</v>
      </c>
    </row>
    <row r="27" spans="1:16" ht="24" customHeight="1" x14ac:dyDescent="0.25">
      <c r="A27" s="10">
        <v>21</v>
      </c>
      <c r="B27" s="33">
        <v>0.4597222222222222</v>
      </c>
      <c r="C27" s="32" t="s">
        <v>68</v>
      </c>
      <c r="D27" s="34">
        <v>10</v>
      </c>
      <c r="E27" s="15"/>
      <c r="F27" s="32" t="s">
        <v>31</v>
      </c>
      <c r="G27" s="32">
        <v>7.04</v>
      </c>
      <c r="H27" s="32">
        <v>1.76</v>
      </c>
      <c r="I27" s="32">
        <v>8.14</v>
      </c>
      <c r="J27" s="32">
        <v>9.9</v>
      </c>
      <c r="K27" s="32">
        <v>7.04</v>
      </c>
      <c r="L27" s="32">
        <v>8.36</v>
      </c>
      <c r="M27" s="32"/>
      <c r="N27" s="17"/>
      <c r="O27" s="12"/>
      <c r="P27" s="8" t="s">
        <v>32</v>
      </c>
    </row>
    <row r="28" spans="1:16" ht="24" customHeight="1" x14ac:dyDescent="0.25">
      <c r="A28" s="10">
        <v>22</v>
      </c>
      <c r="B28" s="33">
        <v>0.46180555555555558</v>
      </c>
      <c r="C28" s="32" t="s">
        <v>69</v>
      </c>
      <c r="D28" s="34">
        <v>10</v>
      </c>
      <c r="E28" s="15"/>
      <c r="F28" s="32" t="s">
        <v>31</v>
      </c>
      <c r="G28" s="32">
        <v>4.18</v>
      </c>
      <c r="H28" s="32">
        <v>7.26</v>
      </c>
      <c r="I28" s="32">
        <v>7.04</v>
      </c>
      <c r="J28" s="32">
        <v>9.02</v>
      </c>
      <c r="K28" s="32">
        <v>7.04</v>
      </c>
      <c r="L28" s="32">
        <v>5.94</v>
      </c>
      <c r="M28" s="32"/>
      <c r="N28" s="17"/>
      <c r="O28" s="12"/>
      <c r="P28" s="8" t="s">
        <v>34</v>
      </c>
    </row>
    <row r="29" spans="1:16" ht="24" customHeight="1" x14ac:dyDescent="0.25">
      <c r="A29" s="10">
        <v>23</v>
      </c>
      <c r="B29" s="33">
        <v>0.46388888888888885</v>
      </c>
      <c r="C29" s="32" t="s">
        <v>70</v>
      </c>
      <c r="D29" s="34">
        <v>10</v>
      </c>
      <c r="E29" s="15"/>
      <c r="F29" s="32" t="s">
        <v>31</v>
      </c>
      <c r="G29" s="32">
        <v>5.72</v>
      </c>
      <c r="H29" s="32">
        <v>10.119999999999999</v>
      </c>
      <c r="I29" s="32">
        <v>8.36</v>
      </c>
      <c r="J29" s="32">
        <v>8.8000000000000007</v>
      </c>
      <c r="K29" s="32">
        <v>6.38</v>
      </c>
      <c r="L29" s="32">
        <v>8.58</v>
      </c>
      <c r="M29" s="32"/>
      <c r="N29" s="17"/>
      <c r="O29" s="12"/>
      <c r="P29" s="8" t="s">
        <v>36</v>
      </c>
    </row>
    <row r="30" spans="1:16" ht="24" customHeight="1" x14ac:dyDescent="0.25">
      <c r="A30" s="10">
        <v>24</v>
      </c>
      <c r="B30" s="33">
        <v>0.48055555555555557</v>
      </c>
      <c r="C30" s="32" t="s">
        <v>71</v>
      </c>
      <c r="D30" s="34">
        <v>10</v>
      </c>
      <c r="E30" s="15"/>
      <c r="F30" s="32" t="s">
        <v>31</v>
      </c>
      <c r="G30" s="32">
        <v>5.5</v>
      </c>
      <c r="H30" s="32">
        <v>5.28</v>
      </c>
      <c r="I30" s="32">
        <v>4.84</v>
      </c>
      <c r="J30" s="32">
        <v>4.62</v>
      </c>
      <c r="K30" s="32">
        <v>4.4000000000000004</v>
      </c>
      <c r="L30" s="32">
        <v>5.72</v>
      </c>
      <c r="M30" s="32"/>
      <c r="N30" s="17"/>
      <c r="O30" s="12"/>
      <c r="P30" s="8" t="s">
        <v>37</v>
      </c>
    </row>
    <row r="31" spans="1:16" ht="24" customHeight="1" x14ac:dyDescent="0.25">
      <c r="A31" s="10">
        <v>25</v>
      </c>
      <c r="B31" s="33">
        <v>0.49791666666666662</v>
      </c>
      <c r="C31" s="32" t="s">
        <v>72</v>
      </c>
      <c r="D31" s="34">
        <v>10</v>
      </c>
      <c r="E31" s="15"/>
      <c r="F31" s="32" t="s">
        <v>31</v>
      </c>
      <c r="G31" s="32">
        <v>6.16</v>
      </c>
      <c r="H31" s="32">
        <v>6.6</v>
      </c>
      <c r="I31" s="32">
        <v>7.92</v>
      </c>
      <c r="J31" s="32">
        <v>7.92</v>
      </c>
      <c r="K31" s="32">
        <v>7.7</v>
      </c>
      <c r="L31" s="32">
        <v>7.7</v>
      </c>
      <c r="M31" s="32"/>
      <c r="N31" s="17"/>
      <c r="O31" s="12"/>
      <c r="P31" s="8" t="s">
        <v>34</v>
      </c>
    </row>
    <row r="32" spans="1:16" ht="24" customHeight="1" x14ac:dyDescent="0.25">
      <c r="A32" s="10">
        <v>26</v>
      </c>
      <c r="B32" s="33">
        <v>0.51041666666666663</v>
      </c>
      <c r="C32" s="32" t="s">
        <v>73</v>
      </c>
      <c r="D32" s="34">
        <v>10</v>
      </c>
      <c r="E32" s="15"/>
      <c r="F32" s="32" t="s">
        <v>31</v>
      </c>
      <c r="G32" s="32">
        <v>6.6</v>
      </c>
      <c r="H32" s="32">
        <v>6.82</v>
      </c>
      <c r="I32" s="32">
        <v>5.28</v>
      </c>
      <c r="J32" s="32">
        <v>6.16</v>
      </c>
      <c r="K32" s="32">
        <v>5.94</v>
      </c>
      <c r="L32" s="32">
        <v>7.26</v>
      </c>
      <c r="M32" s="32"/>
      <c r="N32" s="17"/>
      <c r="O32" s="12"/>
      <c r="P32" s="8" t="s">
        <v>34</v>
      </c>
    </row>
    <row r="33" spans="1:16" ht="24" customHeight="1" x14ac:dyDescent="0.25">
      <c r="A33" s="10">
        <v>27</v>
      </c>
      <c r="B33" s="33">
        <v>0.51388888888888895</v>
      </c>
      <c r="C33" s="32" t="s">
        <v>74</v>
      </c>
      <c r="D33" s="34">
        <v>10</v>
      </c>
      <c r="E33" s="15"/>
      <c r="F33" s="32" t="s">
        <v>31</v>
      </c>
      <c r="G33" s="32">
        <v>5.94</v>
      </c>
      <c r="H33" s="32">
        <v>8.36</v>
      </c>
      <c r="I33" s="32">
        <v>8.36</v>
      </c>
      <c r="J33" s="32">
        <v>10.78</v>
      </c>
      <c r="K33" s="32">
        <v>7.7</v>
      </c>
      <c r="L33" s="32">
        <v>7.7</v>
      </c>
      <c r="M33" s="32"/>
      <c r="N33" s="17"/>
      <c r="O33" s="12"/>
      <c r="P33" s="8" t="s">
        <v>34</v>
      </c>
    </row>
    <row r="34" spans="1:16" ht="24" customHeight="1" x14ac:dyDescent="0.25">
      <c r="A34" s="10">
        <v>28</v>
      </c>
      <c r="B34" s="33">
        <v>8.1944444444444445E-2</v>
      </c>
      <c r="C34" s="32" t="s">
        <v>75</v>
      </c>
      <c r="D34" s="34">
        <v>10</v>
      </c>
      <c r="E34" s="15"/>
      <c r="F34" s="32" t="s">
        <v>31</v>
      </c>
      <c r="G34" s="32">
        <v>5.28</v>
      </c>
      <c r="H34" s="32">
        <v>4.84</v>
      </c>
      <c r="I34" s="32">
        <v>4.62</v>
      </c>
      <c r="J34" s="32">
        <v>6.38</v>
      </c>
      <c r="K34" s="32">
        <v>6.82</v>
      </c>
      <c r="L34" s="32">
        <v>9.02</v>
      </c>
      <c r="M34" s="32"/>
      <c r="N34" s="17"/>
      <c r="O34" s="12"/>
      <c r="P34" s="8" t="s">
        <v>40</v>
      </c>
    </row>
    <row r="35" spans="1:16" ht="24" customHeight="1" x14ac:dyDescent="0.25">
      <c r="A35" s="10">
        <v>29</v>
      </c>
      <c r="B35" s="33">
        <v>0.12013888888888889</v>
      </c>
      <c r="C35" s="32" t="s">
        <v>76</v>
      </c>
      <c r="D35" s="34">
        <v>10</v>
      </c>
      <c r="E35" s="15"/>
      <c r="F35" s="32" t="s">
        <v>31</v>
      </c>
      <c r="G35" s="32">
        <v>5.28</v>
      </c>
      <c r="H35" s="32">
        <v>6.82</v>
      </c>
      <c r="I35" s="32">
        <v>6.16</v>
      </c>
      <c r="J35" s="32">
        <v>5.94</v>
      </c>
      <c r="K35" s="32">
        <v>7.04</v>
      </c>
      <c r="L35" s="32">
        <v>4.62</v>
      </c>
      <c r="M35" s="32"/>
      <c r="N35" s="17"/>
      <c r="O35" s="12"/>
      <c r="P35" s="8" t="s">
        <v>33</v>
      </c>
    </row>
    <row r="36" spans="1:16" ht="24" customHeight="1" x14ac:dyDescent="0.25">
      <c r="A36" s="10">
        <v>30</v>
      </c>
      <c r="B36" s="33">
        <v>0.15763888888888888</v>
      </c>
      <c r="C36" s="32" t="s">
        <v>77</v>
      </c>
      <c r="D36" s="34">
        <v>10</v>
      </c>
      <c r="E36" s="15"/>
      <c r="F36" s="32" t="s">
        <v>31</v>
      </c>
      <c r="G36" s="32">
        <v>5.72</v>
      </c>
      <c r="H36" s="32">
        <v>5.0599999999999996</v>
      </c>
      <c r="I36" s="32">
        <v>6.16</v>
      </c>
      <c r="J36" s="32">
        <v>5.28</v>
      </c>
      <c r="K36" s="32">
        <v>5.72</v>
      </c>
      <c r="L36" s="32">
        <v>4.62</v>
      </c>
      <c r="M36" s="32"/>
      <c r="N36" s="17"/>
      <c r="O36" s="12"/>
      <c r="P36" s="8" t="s">
        <v>35</v>
      </c>
    </row>
    <row r="37" spans="1:16" ht="24" customHeight="1" x14ac:dyDescent="0.25">
      <c r="A37" s="10">
        <v>31</v>
      </c>
      <c r="B37" s="33">
        <v>0.22013888888888888</v>
      </c>
      <c r="C37" s="32" t="s">
        <v>78</v>
      </c>
      <c r="D37" s="34">
        <v>10</v>
      </c>
      <c r="E37" s="15"/>
      <c r="F37" s="32" t="s">
        <v>31</v>
      </c>
      <c r="G37" s="32">
        <v>4.18</v>
      </c>
      <c r="H37" s="32">
        <v>5.94</v>
      </c>
      <c r="I37" s="32">
        <v>3.96</v>
      </c>
      <c r="J37" s="32">
        <v>1.1000000000000001</v>
      </c>
      <c r="K37" s="32">
        <v>3.74</v>
      </c>
      <c r="L37" s="32">
        <v>4.18</v>
      </c>
      <c r="M37" s="32"/>
      <c r="N37" s="17"/>
      <c r="O37" s="12"/>
      <c r="P37" s="8" t="s">
        <v>45</v>
      </c>
    </row>
    <row r="38" spans="1:16" ht="24" customHeight="1" x14ac:dyDescent="0.25">
      <c r="A38" s="10"/>
      <c r="B38" s="9"/>
      <c r="C38" s="5"/>
      <c r="D38" s="5"/>
      <c r="E38" s="15"/>
      <c r="F38" s="15"/>
      <c r="G38" s="13"/>
      <c r="H38" s="37" t="s">
        <v>82</v>
      </c>
      <c r="I38" s="13"/>
      <c r="J38" s="13"/>
      <c r="K38" s="13"/>
      <c r="L38" s="13"/>
      <c r="M38" s="13"/>
      <c r="N38" s="17"/>
      <c r="O38" s="12"/>
      <c r="P38" s="8"/>
    </row>
    <row r="39" spans="1:16" ht="24" customHeight="1" x14ac:dyDescent="0.25">
      <c r="A39" s="10">
        <v>1</v>
      </c>
      <c r="B39" s="38">
        <v>0.26250000000000001</v>
      </c>
      <c r="C39" s="32" t="s">
        <v>83</v>
      </c>
      <c r="D39" s="34">
        <v>10</v>
      </c>
      <c r="E39" s="15"/>
      <c r="F39" s="32" t="s">
        <v>31</v>
      </c>
      <c r="G39" s="32">
        <v>4.4000000000000004</v>
      </c>
      <c r="H39" s="32">
        <v>1.98</v>
      </c>
      <c r="I39" s="32">
        <v>2.64</v>
      </c>
      <c r="J39" s="32">
        <v>2.64</v>
      </c>
      <c r="K39" s="32">
        <v>2.42</v>
      </c>
      <c r="L39" s="32">
        <v>3.08</v>
      </c>
      <c r="M39" s="32"/>
      <c r="N39" s="17"/>
      <c r="O39" s="12"/>
      <c r="P39" s="8" t="s">
        <v>165</v>
      </c>
    </row>
    <row r="40" spans="1:16" ht="24" customHeight="1" x14ac:dyDescent="0.25">
      <c r="A40" s="10">
        <v>2</v>
      </c>
      <c r="B40" s="38">
        <v>0.2673611111111111</v>
      </c>
      <c r="C40" s="32" t="s">
        <v>84</v>
      </c>
      <c r="D40" s="34">
        <v>10</v>
      </c>
      <c r="E40" s="15"/>
      <c r="F40" s="32" t="s">
        <v>31</v>
      </c>
      <c r="G40" s="32">
        <v>5.0599999999999996</v>
      </c>
      <c r="H40" s="32">
        <v>2.2000000000000002</v>
      </c>
      <c r="I40" s="32">
        <v>2.86</v>
      </c>
      <c r="J40" s="32">
        <v>2.86</v>
      </c>
      <c r="K40" s="32">
        <v>2.64</v>
      </c>
      <c r="L40" s="32">
        <v>2.42</v>
      </c>
      <c r="M40" s="32"/>
      <c r="N40" s="17"/>
      <c r="O40" s="12"/>
      <c r="P40" s="8" t="s">
        <v>165</v>
      </c>
    </row>
    <row r="41" spans="1:16" ht="24" customHeight="1" x14ac:dyDescent="0.25">
      <c r="A41" s="10">
        <v>3</v>
      </c>
      <c r="B41" s="38">
        <v>0.26944444444444443</v>
      </c>
      <c r="C41" s="32" t="s">
        <v>85</v>
      </c>
      <c r="D41" s="34">
        <v>10</v>
      </c>
      <c r="E41" s="15"/>
      <c r="F41" s="32" t="s">
        <v>86</v>
      </c>
      <c r="G41" s="32">
        <v>6.82</v>
      </c>
      <c r="H41" s="32">
        <v>5.72</v>
      </c>
      <c r="I41" s="32">
        <v>11.6</v>
      </c>
      <c r="J41" s="32">
        <v>6.16</v>
      </c>
      <c r="K41" s="32"/>
      <c r="L41" s="32"/>
      <c r="M41" s="32"/>
      <c r="N41" s="17"/>
      <c r="O41" s="12"/>
      <c r="P41" s="8" t="s">
        <v>165</v>
      </c>
    </row>
    <row r="42" spans="1:16" ht="24" customHeight="1" x14ac:dyDescent="0.25">
      <c r="A42" s="10"/>
      <c r="B42" s="9"/>
      <c r="C42" s="5"/>
      <c r="D42" s="5"/>
      <c r="E42" s="15"/>
      <c r="F42" s="15"/>
      <c r="G42" s="13"/>
      <c r="H42" s="13"/>
      <c r="I42" s="13"/>
      <c r="J42" s="13"/>
      <c r="K42" s="13"/>
      <c r="L42" s="13"/>
      <c r="M42" s="13"/>
      <c r="N42" s="17"/>
      <c r="O42" s="12"/>
      <c r="P42" s="8"/>
    </row>
    <row r="43" spans="1:16" ht="24" customHeight="1" x14ac:dyDescent="0.25">
      <c r="A43" s="10"/>
      <c r="B43" s="9"/>
      <c r="C43" s="5"/>
      <c r="D43" s="5"/>
      <c r="E43" s="15"/>
      <c r="F43" s="15"/>
      <c r="G43" s="13"/>
      <c r="H43" s="13"/>
      <c r="I43" s="13"/>
      <c r="J43" s="13"/>
      <c r="K43" s="13"/>
      <c r="L43" s="13"/>
      <c r="M43" s="13"/>
      <c r="N43" s="17"/>
      <c r="O43" s="12"/>
      <c r="P43" s="8"/>
    </row>
    <row r="44" spans="1:16" ht="24" customHeight="1" x14ac:dyDescent="0.25">
      <c r="A44" s="10"/>
      <c r="B44" s="9"/>
      <c r="C44" s="5"/>
      <c r="D44" s="5"/>
      <c r="E44" s="15"/>
      <c r="F44" s="15"/>
      <c r="G44" s="13"/>
      <c r="H44" s="13"/>
      <c r="I44" s="13"/>
      <c r="J44" s="13"/>
      <c r="K44" s="13"/>
      <c r="L44" s="13"/>
      <c r="M44" s="13"/>
      <c r="N44" s="17"/>
      <c r="O44" s="12"/>
      <c r="P44" s="8"/>
    </row>
    <row r="45" spans="1:16" ht="24" customHeight="1" x14ac:dyDescent="0.25">
      <c r="A45" s="10"/>
      <c r="B45" s="9"/>
      <c r="C45" s="5"/>
      <c r="D45" s="5"/>
      <c r="E45" s="15"/>
      <c r="F45" s="15"/>
      <c r="G45" s="13"/>
      <c r="H45" s="13"/>
      <c r="I45" s="13"/>
      <c r="J45" s="13"/>
      <c r="K45" s="13"/>
      <c r="L45" s="13"/>
      <c r="M45" s="13"/>
      <c r="N45" s="17"/>
      <c r="O45" s="12"/>
      <c r="P45" s="8"/>
    </row>
    <row r="46" spans="1:16" ht="24" customHeight="1" x14ac:dyDescent="0.25">
      <c r="A46" s="10"/>
      <c r="B46" s="9"/>
      <c r="C46" s="5"/>
      <c r="D46" s="5"/>
      <c r="E46" s="15"/>
      <c r="F46" s="15"/>
      <c r="G46" s="13"/>
      <c r="H46" s="13"/>
      <c r="I46" s="13"/>
      <c r="J46" s="13"/>
      <c r="K46" s="13"/>
      <c r="L46" s="13"/>
      <c r="M46" s="13"/>
      <c r="N46" s="17"/>
      <c r="O46" s="12"/>
      <c r="P46" s="8"/>
    </row>
    <row r="47" spans="1:16" ht="24" customHeight="1" x14ac:dyDescent="0.25">
      <c r="A47" s="10"/>
      <c r="B47" s="9"/>
      <c r="C47" s="5"/>
      <c r="D47" s="5"/>
      <c r="E47" s="15"/>
      <c r="F47" s="15"/>
      <c r="G47" s="13"/>
      <c r="H47" s="13"/>
      <c r="I47" s="13"/>
      <c r="J47" s="13"/>
      <c r="K47" s="13"/>
      <c r="L47" s="13"/>
      <c r="M47" s="13"/>
      <c r="N47" s="17"/>
      <c r="O47" s="12"/>
      <c r="P47" s="8"/>
    </row>
    <row r="48" spans="1:16" ht="24" customHeight="1" x14ac:dyDescent="0.25">
      <c r="A48" s="10"/>
      <c r="B48" s="9"/>
      <c r="C48" s="5"/>
      <c r="D48" s="5"/>
      <c r="E48" s="15"/>
      <c r="F48" s="15"/>
      <c r="G48" s="13"/>
      <c r="H48" s="13"/>
      <c r="I48" s="13"/>
      <c r="J48" s="13"/>
      <c r="K48" s="13"/>
      <c r="L48" s="13"/>
      <c r="M48" s="13"/>
      <c r="N48" s="17"/>
      <c r="O48" s="12"/>
      <c r="P48" s="8"/>
    </row>
    <row r="49" spans="1:16" ht="24" customHeight="1" x14ac:dyDescent="0.25">
      <c r="A49" s="10"/>
      <c r="B49" s="9"/>
      <c r="C49" s="5"/>
      <c r="D49" s="5"/>
      <c r="E49" s="15"/>
      <c r="F49" s="15"/>
      <c r="G49" s="13"/>
      <c r="H49" s="13"/>
      <c r="I49" s="13"/>
      <c r="J49" s="13"/>
      <c r="K49" s="13"/>
      <c r="L49" s="13"/>
      <c r="M49" s="13"/>
      <c r="N49" s="17"/>
      <c r="O49" s="12"/>
      <c r="P49" s="8"/>
    </row>
    <row r="50" spans="1:16" ht="24" customHeight="1" x14ac:dyDescent="0.25">
      <c r="A50" s="10"/>
      <c r="B50" s="9"/>
      <c r="C50" s="5"/>
      <c r="D50" s="5"/>
      <c r="E50" s="15"/>
      <c r="F50" s="15"/>
      <c r="G50" s="13"/>
      <c r="H50" s="13"/>
      <c r="I50" s="13"/>
      <c r="J50" s="13"/>
      <c r="K50" s="13"/>
      <c r="L50" s="13"/>
      <c r="M50" s="13"/>
      <c r="N50" s="12"/>
      <c r="O50" s="12"/>
      <c r="P50" s="8"/>
    </row>
    <row r="51" spans="1:16" s="30" customFormat="1" ht="24" customHeight="1" x14ac:dyDescent="0.25">
      <c r="A51" s="23"/>
      <c r="B51" s="24"/>
      <c r="C51" s="25"/>
      <c r="D51" s="25"/>
      <c r="E51" s="26"/>
      <c r="F51" s="26"/>
      <c r="G51" s="27"/>
      <c r="H51" s="27"/>
      <c r="I51" s="27"/>
      <c r="J51" s="27"/>
      <c r="K51" s="27"/>
      <c r="L51" s="27"/>
      <c r="M51" s="27"/>
      <c r="N51" s="28"/>
      <c r="O51" s="28"/>
      <c r="P51" s="29"/>
    </row>
    <row r="52" spans="1:16" ht="24" customHeight="1" x14ac:dyDescent="0.25">
      <c r="A52" s="10"/>
      <c r="B52" s="9"/>
      <c r="C52" s="5"/>
      <c r="D52" s="5"/>
      <c r="E52" s="15"/>
      <c r="F52" s="15"/>
      <c r="G52" s="13"/>
      <c r="H52" s="13"/>
      <c r="I52" s="13"/>
      <c r="J52" s="13"/>
      <c r="K52" s="13"/>
      <c r="L52" s="13"/>
      <c r="M52" s="13"/>
      <c r="N52" s="12"/>
      <c r="O52" s="12"/>
      <c r="P52" s="8"/>
    </row>
    <row r="53" spans="1:16" ht="24" customHeight="1" x14ac:dyDescent="0.25">
      <c r="A53" s="10"/>
      <c r="B53" s="9"/>
      <c r="C53" s="5"/>
      <c r="D53" s="5"/>
      <c r="E53" s="15"/>
      <c r="F53" s="15"/>
      <c r="G53" s="13"/>
      <c r="H53" s="13"/>
      <c r="I53" s="13"/>
      <c r="J53" s="13"/>
      <c r="K53" s="13"/>
      <c r="L53" s="13"/>
      <c r="M53" s="13"/>
      <c r="N53" s="12"/>
      <c r="O53" s="12"/>
      <c r="P53" s="8"/>
    </row>
    <row r="54" spans="1:16" ht="24" customHeight="1" x14ac:dyDescent="0.25">
      <c r="A54" s="10"/>
      <c r="B54" s="9"/>
      <c r="C54" s="5"/>
      <c r="D54" s="5"/>
      <c r="E54" s="15"/>
      <c r="F54" s="15"/>
      <c r="G54" s="13"/>
      <c r="H54" s="13"/>
      <c r="I54" s="13"/>
      <c r="J54" s="13"/>
      <c r="K54" s="13"/>
      <c r="L54" s="13"/>
      <c r="M54" s="13"/>
      <c r="N54" s="12"/>
      <c r="O54" s="12"/>
      <c r="P54" s="8"/>
    </row>
    <row r="55" spans="1:16" ht="24" customHeight="1" x14ac:dyDescent="0.25">
      <c r="A55" s="10"/>
      <c r="B55" s="9"/>
      <c r="C55" s="5"/>
      <c r="D55" s="5"/>
      <c r="E55" s="15"/>
      <c r="F55" s="15"/>
      <c r="G55" s="13"/>
      <c r="H55" s="13"/>
      <c r="I55" s="13"/>
      <c r="J55" s="13"/>
      <c r="K55" s="13"/>
      <c r="L55" s="13"/>
      <c r="M55" s="13"/>
      <c r="N55" s="12"/>
      <c r="O55" s="12"/>
      <c r="P55" s="8"/>
    </row>
    <row r="56" spans="1:16" ht="24" customHeight="1" x14ac:dyDescent="0.25">
      <c r="A56" s="10"/>
      <c r="B56" s="9"/>
      <c r="C56" s="5"/>
      <c r="D56" s="5"/>
      <c r="E56" s="15"/>
      <c r="F56" s="15"/>
      <c r="G56" s="13"/>
      <c r="H56" s="13"/>
      <c r="I56" s="13"/>
      <c r="J56" s="13"/>
      <c r="K56" s="13"/>
      <c r="L56" s="13"/>
      <c r="M56" s="13"/>
      <c r="N56" s="12"/>
      <c r="O56" s="12"/>
      <c r="P56" s="8"/>
    </row>
    <row r="57" spans="1:16" ht="24" customHeight="1" x14ac:dyDescent="0.25">
      <c r="A57" s="10"/>
      <c r="B57" s="9"/>
      <c r="C57" s="5"/>
      <c r="D57" s="5"/>
      <c r="E57" s="15"/>
      <c r="F57" s="15"/>
      <c r="G57" s="13"/>
      <c r="H57" s="13"/>
      <c r="I57" s="13"/>
      <c r="J57" s="13"/>
      <c r="K57" s="13"/>
      <c r="L57" s="13"/>
      <c r="M57" s="13"/>
      <c r="N57" s="12"/>
      <c r="O57" s="12"/>
      <c r="P57" s="8"/>
    </row>
    <row r="58" spans="1:16" ht="24" customHeight="1" x14ac:dyDescent="0.25">
      <c r="A58" s="10"/>
      <c r="B58" s="9"/>
      <c r="C58" s="5"/>
      <c r="D58" s="5"/>
      <c r="E58" s="15"/>
      <c r="F58" s="15"/>
      <c r="G58" s="13"/>
      <c r="H58" s="13"/>
      <c r="I58" s="13"/>
      <c r="J58" s="13"/>
      <c r="K58" s="13"/>
      <c r="L58" s="13"/>
      <c r="M58" s="13"/>
      <c r="N58" s="12"/>
      <c r="O58" s="12"/>
      <c r="P58" s="8"/>
    </row>
    <row r="59" spans="1:16" ht="24" customHeight="1" x14ac:dyDescent="0.25">
      <c r="A59" s="10"/>
      <c r="B59" s="9"/>
      <c r="C59" s="5"/>
      <c r="D59" s="5"/>
      <c r="E59" s="15"/>
      <c r="F59" s="15"/>
      <c r="G59" s="13"/>
      <c r="H59" s="13"/>
      <c r="I59" s="13"/>
      <c r="J59" s="13"/>
      <c r="K59" s="13"/>
      <c r="L59" s="13"/>
      <c r="M59" s="13"/>
      <c r="N59" s="12"/>
      <c r="O59" s="12"/>
      <c r="P59" s="8"/>
    </row>
    <row r="60" spans="1:16" ht="24" customHeight="1" x14ac:dyDescent="0.25">
      <c r="A60" s="10"/>
      <c r="B60" s="9"/>
      <c r="C60" s="5"/>
      <c r="D60" s="5"/>
      <c r="E60" s="15"/>
      <c r="F60" s="15"/>
      <c r="G60" s="13"/>
      <c r="H60" s="13"/>
      <c r="I60" s="13"/>
      <c r="J60" s="13"/>
      <c r="K60" s="13"/>
      <c r="L60" s="13"/>
      <c r="M60" s="13"/>
      <c r="N60" s="12"/>
      <c r="O60" s="12"/>
      <c r="P60" s="8"/>
    </row>
    <row r="61" spans="1:16" ht="24" customHeight="1" x14ac:dyDescent="0.25">
      <c r="A61" s="10"/>
      <c r="B61" s="9"/>
      <c r="C61" s="5"/>
      <c r="D61" s="5"/>
      <c r="E61" s="15"/>
      <c r="F61" s="15"/>
      <c r="G61" s="13"/>
      <c r="H61" s="13"/>
      <c r="I61" s="13"/>
      <c r="J61" s="13"/>
      <c r="K61" s="13"/>
      <c r="L61" s="13"/>
      <c r="M61" s="13"/>
      <c r="N61" s="12"/>
      <c r="O61" s="12"/>
      <c r="P61" s="8"/>
    </row>
    <row r="62" spans="1:16" ht="24" customHeight="1" x14ac:dyDescent="0.25">
      <c r="A62" s="10"/>
      <c r="B62" s="9"/>
      <c r="C62" s="5"/>
      <c r="D62" s="5"/>
      <c r="E62" s="15"/>
      <c r="F62" s="15"/>
      <c r="G62" s="13"/>
      <c r="H62" s="13"/>
      <c r="I62" s="13"/>
      <c r="J62" s="13"/>
      <c r="K62" s="13"/>
      <c r="L62" s="13"/>
      <c r="M62" s="13"/>
      <c r="N62" s="12"/>
      <c r="O62" s="12"/>
      <c r="P62" s="8"/>
    </row>
    <row r="63" spans="1:16" ht="24" customHeight="1" x14ac:dyDescent="0.25">
      <c r="A63" s="10"/>
      <c r="B63" s="9"/>
      <c r="C63" s="5"/>
      <c r="D63" s="5"/>
      <c r="E63" s="15"/>
      <c r="F63" s="15"/>
      <c r="G63" s="13"/>
      <c r="H63" s="13"/>
      <c r="I63" s="13"/>
      <c r="J63" s="13"/>
      <c r="K63" s="13"/>
      <c r="L63" s="13"/>
      <c r="M63" s="13"/>
      <c r="N63" s="12"/>
      <c r="O63" s="12"/>
      <c r="P63" s="8"/>
    </row>
    <row r="64" spans="1:16" ht="24" customHeight="1" x14ac:dyDescent="0.25">
      <c r="A64" s="10"/>
      <c r="B64" s="9"/>
      <c r="C64" s="5"/>
      <c r="D64" s="5"/>
      <c r="E64" s="15"/>
      <c r="F64" s="15"/>
      <c r="G64" s="13"/>
      <c r="H64" s="13"/>
      <c r="I64" s="13"/>
      <c r="J64" s="13"/>
      <c r="K64" s="13"/>
      <c r="L64" s="13"/>
      <c r="M64" s="13"/>
      <c r="N64" s="12"/>
      <c r="O64" s="12"/>
      <c r="P64" s="8"/>
    </row>
    <row r="65" spans="1:16" ht="24" customHeight="1" thickBot="1" x14ac:dyDescent="0.3">
      <c r="A65" s="11"/>
      <c r="B65" s="9"/>
      <c r="C65" s="5"/>
      <c r="D65" s="5"/>
      <c r="E65" s="15"/>
      <c r="F65" s="15"/>
      <c r="G65" s="13"/>
      <c r="H65" s="13"/>
      <c r="I65" s="13"/>
      <c r="J65" s="13"/>
      <c r="K65" s="13"/>
      <c r="L65" s="13"/>
      <c r="M65" s="13"/>
      <c r="N65" s="12"/>
      <c r="O65" s="12"/>
      <c r="P65" s="8"/>
    </row>
    <row r="66" spans="1:16" ht="24" customHeight="1" thickBot="1" x14ac:dyDescent="0.3">
      <c r="A66" s="11"/>
      <c r="B66" s="9"/>
      <c r="C66" s="5"/>
      <c r="D66" s="5"/>
      <c r="E66" s="15"/>
      <c r="F66" s="15"/>
      <c r="G66" s="13"/>
      <c r="H66" s="13"/>
      <c r="I66" s="13"/>
      <c r="J66" s="13"/>
      <c r="K66" s="13"/>
      <c r="L66" s="13"/>
      <c r="M66" s="13"/>
      <c r="N66" s="12"/>
      <c r="O66" s="12"/>
      <c r="P66" s="8"/>
    </row>
    <row r="67" spans="1:16" ht="24" customHeight="1" thickBot="1" x14ac:dyDescent="0.3">
      <c r="A67" s="11"/>
      <c r="B67" s="9"/>
      <c r="C67" s="5"/>
      <c r="D67" s="5"/>
      <c r="E67" s="15"/>
      <c r="F67" s="15"/>
      <c r="G67" s="13"/>
      <c r="H67" s="13"/>
      <c r="I67" s="13"/>
      <c r="J67" s="13"/>
      <c r="K67" s="13"/>
      <c r="L67" s="13"/>
      <c r="M67" s="13"/>
      <c r="N67" s="12"/>
      <c r="O67" s="12"/>
      <c r="P67" s="8"/>
    </row>
    <row r="68" spans="1:16" ht="24" customHeight="1" thickBot="1" x14ac:dyDescent="0.3">
      <c r="A68" s="11"/>
      <c r="B68" s="9"/>
      <c r="C68" s="5"/>
      <c r="D68" s="5"/>
      <c r="E68" s="15"/>
      <c r="F68" s="15"/>
      <c r="G68" s="13"/>
      <c r="H68" s="13"/>
      <c r="I68" s="13"/>
      <c r="J68" s="13"/>
      <c r="K68" s="13"/>
      <c r="L68" s="13"/>
      <c r="M68" s="13"/>
      <c r="N68" s="12"/>
      <c r="O68" s="12"/>
      <c r="P68" s="8"/>
    </row>
    <row r="69" spans="1:16" ht="24" customHeight="1" thickBot="1" x14ac:dyDescent="0.3">
      <c r="A69" s="11"/>
      <c r="B69" s="9"/>
      <c r="C69" s="5"/>
      <c r="D69" s="5"/>
      <c r="E69" s="15"/>
      <c r="F69" s="15"/>
      <c r="G69" s="13"/>
      <c r="H69" s="13"/>
      <c r="I69" s="13"/>
      <c r="J69" s="13"/>
      <c r="K69" s="13"/>
      <c r="L69" s="13"/>
      <c r="M69" s="13"/>
      <c r="N69" s="12"/>
      <c r="O69" s="12"/>
      <c r="P69" s="8"/>
    </row>
    <row r="70" spans="1:16" ht="24" customHeight="1" thickBot="1" x14ac:dyDescent="0.3">
      <c r="A70" s="11"/>
      <c r="B70" s="9"/>
      <c r="C70" s="5"/>
      <c r="D70" s="5"/>
      <c r="E70" s="15"/>
      <c r="F70" s="15"/>
      <c r="G70" s="13"/>
      <c r="H70" s="13"/>
      <c r="I70" s="13"/>
      <c r="J70" s="13"/>
      <c r="K70" s="13"/>
      <c r="L70" s="13"/>
      <c r="M70" s="13"/>
      <c r="N70" s="12"/>
      <c r="O70" s="12"/>
      <c r="P70" s="8"/>
    </row>
    <row r="71" spans="1:16" ht="24" customHeight="1" thickBot="1" x14ac:dyDescent="0.3">
      <c r="A71" s="11"/>
      <c r="B71" s="9"/>
      <c r="C71" s="5"/>
      <c r="D71" s="5"/>
      <c r="E71" s="15"/>
      <c r="F71" s="15"/>
      <c r="G71" s="13"/>
      <c r="H71" s="13"/>
      <c r="I71" s="13"/>
      <c r="J71" s="13"/>
      <c r="K71" s="13"/>
      <c r="L71" s="13"/>
      <c r="M71" s="13"/>
      <c r="N71" s="12"/>
      <c r="O71" s="12"/>
      <c r="P71" s="8"/>
    </row>
    <row r="72" spans="1:16" ht="24" customHeight="1" thickBot="1" x14ac:dyDescent="0.3">
      <c r="A72" s="11"/>
      <c r="B72" s="9"/>
      <c r="C72" s="5"/>
      <c r="D72" s="5"/>
      <c r="E72" s="15"/>
      <c r="F72" s="15"/>
      <c r="G72" s="13"/>
      <c r="H72" s="13"/>
      <c r="I72" s="13"/>
      <c r="J72" s="13"/>
      <c r="K72" s="13"/>
      <c r="L72" s="13"/>
      <c r="M72" s="13"/>
      <c r="N72" s="12"/>
      <c r="O72" s="12"/>
      <c r="P72" s="8"/>
    </row>
    <row r="73" spans="1:16" ht="24" customHeight="1" thickBot="1" x14ac:dyDescent="0.3">
      <c r="A73" s="11"/>
      <c r="B73" s="9"/>
      <c r="C73" s="5"/>
      <c r="D73" s="5"/>
      <c r="E73" s="15"/>
      <c r="F73" s="15"/>
      <c r="G73" s="13"/>
      <c r="H73" s="13"/>
      <c r="I73" s="13"/>
      <c r="J73" s="13"/>
      <c r="K73" s="13"/>
      <c r="L73" s="13"/>
      <c r="M73" s="13"/>
      <c r="N73" s="12"/>
      <c r="O73" s="12"/>
      <c r="P73" s="8"/>
    </row>
    <row r="74" spans="1:16" ht="24" customHeight="1" thickBot="1" x14ac:dyDescent="0.3">
      <c r="A74" s="11"/>
      <c r="B74" s="9"/>
      <c r="C74" s="5"/>
      <c r="D74" s="5"/>
      <c r="E74" s="15"/>
      <c r="F74" s="15"/>
      <c r="G74" s="13"/>
      <c r="H74" s="13"/>
      <c r="I74" s="13"/>
      <c r="J74" s="13"/>
      <c r="K74" s="13"/>
      <c r="L74" s="13"/>
      <c r="M74" s="13"/>
      <c r="N74" s="12"/>
      <c r="O74" s="12"/>
      <c r="P74" s="8"/>
    </row>
    <row r="75" spans="1:16" ht="24" customHeight="1" thickBot="1" x14ac:dyDescent="0.3">
      <c r="A75" s="11"/>
      <c r="B75" s="9"/>
      <c r="C75" s="5"/>
      <c r="D75" s="5"/>
      <c r="E75" s="15"/>
      <c r="F75" s="15"/>
      <c r="G75" s="13"/>
      <c r="H75" s="13"/>
      <c r="I75" s="13"/>
      <c r="J75" s="13"/>
      <c r="K75" s="13"/>
      <c r="L75" s="13"/>
      <c r="M75" s="13"/>
      <c r="N75" s="12"/>
      <c r="O75" s="12"/>
      <c r="P75" s="8"/>
    </row>
    <row r="76" spans="1:16" ht="24" customHeight="1" thickBot="1" x14ac:dyDescent="0.3">
      <c r="A76" s="11"/>
      <c r="B76" s="9"/>
      <c r="C76" s="5"/>
      <c r="D76" s="5"/>
      <c r="E76" s="15"/>
      <c r="F76" s="15"/>
      <c r="G76" s="13"/>
      <c r="H76" s="13"/>
      <c r="I76" s="13"/>
      <c r="J76" s="13"/>
      <c r="K76" s="13"/>
      <c r="L76" s="13"/>
      <c r="M76" s="13"/>
      <c r="N76" s="12"/>
      <c r="O76" s="12"/>
      <c r="P76" s="8"/>
    </row>
    <row r="77" spans="1:16" ht="24" customHeight="1" thickBot="1" x14ac:dyDescent="0.3">
      <c r="A77" s="11"/>
      <c r="B77" s="9"/>
      <c r="C77" s="5"/>
      <c r="D77" s="5"/>
      <c r="E77" s="15"/>
      <c r="F77" s="15"/>
      <c r="G77" s="13"/>
      <c r="H77" s="13"/>
      <c r="I77" s="13"/>
      <c r="J77" s="13"/>
      <c r="K77" s="13"/>
      <c r="L77" s="13"/>
      <c r="M77" s="13"/>
      <c r="N77" s="12"/>
      <c r="O77" s="12"/>
      <c r="P77" s="8"/>
    </row>
    <row r="78" spans="1:16" ht="24" customHeight="1" thickBot="1" x14ac:dyDescent="0.3">
      <c r="A78" s="11"/>
      <c r="B78" s="9"/>
      <c r="C78" s="5"/>
      <c r="D78" s="5"/>
      <c r="E78" s="15"/>
      <c r="F78" s="15"/>
      <c r="G78" s="13"/>
      <c r="H78" s="13"/>
      <c r="I78" s="13"/>
      <c r="J78" s="13"/>
      <c r="K78" s="13"/>
      <c r="L78" s="13"/>
      <c r="M78" s="13"/>
      <c r="N78" s="12"/>
      <c r="O78" s="12"/>
      <c r="P78" s="8"/>
    </row>
    <row r="79" spans="1:16" ht="24" customHeight="1" thickBot="1" x14ac:dyDescent="0.3">
      <c r="A79" s="11"/>
      <c r="B79" s="9"/>
      <c r="C79" s="5"/>
      <c r="D79" s="5"/>
      <c r="E79" s="15"/>
      <c r="F79" s="15"/>
      <c r="G79" s="13"/>
      <c r="H79" s="13"/>
      <c r="I79" s="13"/>
      <c r="J79" s="13"/>
      <c r="K79" s="13"/>
      <c r="L79" s="13"/>
      <c r="M79" s="13"/>
      <c r="N79" s="12"/>
      <c r="O79" s="12"/>
      <c r="P79" s="8"/>
    </row>
    <row r="80" spans="1:16" ht="24" customHeight="1" thickBot="1" x14ac:dyDescent="0.3">
      <c r="A80" s="11"/>
      <c r="B80" s="9"/>
      <c r="C80" s="5"/>
      <c r="D80" s="5"/>
      <c r="E80" s="15"/>
      <c r="F80" s="15"/>
      <c r="G80" s="13"/>
      <c r="H80" s="13"/>
      <c r="I80" s="13"/>
      <c r="J80" s="13"/>
      <c r="K80" s="13"/>
      <c r="L80" s="13"/>
      <c r="M80" s="13"/>
      <c r="N80" s="12"/>
      <c r="O80" s="12"/>
      <c r="P80" s="8"/>
    </row>
    <row r="81" spans="1:16" ht="24" customHeight="1" thickBot="1" x14ac:dyDescent="0.3">
      <c r="A81" s="11"/>
      <c r="B81" s="9"/>
      <c r="C81" s="5"/>
      <c r="D81" s="5"/>
      <c r="E81" s="15"/>
      <c r="F81" s="15"/>
      <c r="G81" s="13"/>
      <c r="H81" s="13"/>
      <c r="I81" s="13"/>
      <c r="J81" s="13"/>
      <c r="K81" s="13"/>
      <c r="L81" s="13"/>
      <c r="M81" s="13"/>
      <c r="N81" s="12"/>
      <c r="O81" s="12"/>
      <c r="P81" s="8"/>
    </row>
  </sheetData>
  <mergeCells count="13">
    <mergeCell ref="A1:P1"/>
    <mergeCell ref="P5:P6"/>
    <mergeCell ref="A2:O2"/>
    <mergeCell ref="H5:M5"/>
    <mergeCell ref="A5:A6"/>
    <mergeCell ref="B5:B6"/>
    <mergeCell ref="C5:C6"/>
    <mergeCell ref="D5:D6"/>
    <mergeCell ref="E5:E6"/>
    <mergeCell ref="F5:F6"/>
    <mergeCell ref="N5:N6"/>
    <mergeCell ref="O5:O6"/>
    <mergeCell ref="A4:B4"/>
  </mergeCells>
  <printOptions horizontalCentered="1"/>
  <pageMargins left="0.7" right="0.7" top="0.75" bottom="0.75" header="0.3" footer="0.3"/>
  <pageSetup paperSize="9" scale="26" orientation="landscape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topLeftCell="A29" zoomScale="75" zoomScaleNormal="75" workbookViewId="0">
      <selection activeCell="G46" sqref="G46"/>
    </sheetView>
  </sheetViews>
  <sheetFormatPr defaultRowHeight="15" x14ac:dyDescent="0.25"/>
  <cols>
    <col min="1" max="1" width="6.140625" customWidth="1"/>
    <col min="2" max="2" width="9.140625" bestFit="1" customWidth="1"/>
    <col min="3" max="3" width="15.5703125" customWidth="1"/>
    <col min="4" max="4" width="15.7109375" customWidth="1"/>
    <col min="5" max="5" width="9.140625" style="16" customWidth="1"/>
    <col min="6" max="6" width="15.140625" style="16" customWidth="1"/>
    <col min="7" max="12" width="9.5703125" bestFit="1" customWidth="1"/>
    <col min="13" max="13" width="8.85546875" customWidth="1"/>
    <col min="14" max="14" width="13.140625" customWidth="1"/>
    <col min="15" max="15" width="13.28515625" customWidth="1"/>
    <col min="16" max="16" width="24.7109375" customWidth="1"/>
  </cols>
  <sheetData>
    <row r="1" spans="1:16" ht="18.75" x14ac:dyDescent="0.3">
      <c r="A1" s="83" t="s">
        <v>87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1:16" x14ac:dyDescent="0.25">
      <c r="A2" s="86" t="s">
        <v>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</row>
    <row r="3" spans="1:16" x14ac:dyDescent="0.25">
      <c r="A3" s="2" t="s">
        <v>1</v>
      </c>
      <c r="B3" s="2"/>
      <c r="C3" s="2"/>
      <c r="D3" s="2" t="s">
        <v>2</v>
      </c>
      <c r="E3" s="14" t="s">
        <v>46</v>
      </c>
      <c r="F3" s="14"/>
      <c r="G3" s="2"/>
      <c r="H3" s="3"/>
      <c r="I3" s="2"/>
      <c r="J3" s="2"/>
      <c r="K3" s="2"/>
      <c r="L3" s="2"/>
      <c r="M3" s="3"/>
      <c r="N3" s="4"/>
      <c r="O3" s="2"/>
    </row>
    <row r="4" spans="1:16" ht="18.75" thickBot="1" x14ac:dyDescent="0.3">
      <c r="A4" s="95">
        <v>43676</v>
      </c>
      <c r="B4" s="95"/>
      <c r="C4" s="2"/>
      <c r="D4" s="6"/>
      <c r="E4" s="18"/>
      <c r="F4" s="14"/>
      <c r="G4" s="2"/>
      <c r="H4" s="35" t="s">
        <v>81</v>
      </c>
      <c r="I4" s="2"/>
      <c r="J4" s="2"/>
      <c r="K4" s="2"/>
      <c r="L4" s="2"/>
      <c r="M4" s="4"/>
      <c r="N4" s="4"/>
      <c r="O4" s="2"/>
    </row>
    <row r="5" spans="1:16" s="1" customFormat="1" ht="14.45" customHeight="1" x14ac:dyDescent="0.25">
      <c r="A5" s="88" t="s">
        <v>3</v>
      </c>
      <c r="B5" s="90" t="s">
        <v>4</v>
      </c>
      <c r="C5" s="87" t="s">
        <v>5</v>
      </c>
      <c r="D5" s="87" t="s">
        <v>16</v>
      </c>
      <c r="E5" s="93" t="s">
        <v>6</v>
      </c>
      <c r="F5" s="93" t="s">
        <v>7</v>
      </c>
      <c r="G5" s="7" t="s">
        <v>17</v>
      </c>
      <c r="H5" s="87" t="s">
        <v>47</v>
      </c>
      <c r="I5" s="87"/>
      <c r="J5" s="87"/>
      <c r="K5" s="87"/>
      <c r="L5" s="87"/>
      <c r="M5" s="87"/>
      <c r="N5" s="87" t="s">
        <v>15</v>
      </c>
      <c r="O5" s="87" t="s">
        <v>18</v>
      </c>
      <c r="P5" s="84" t="s">
        <v>19</v>
      </c>
    </row>
    <row r="6" spans="1:16" ht="13.9" customHeight="1" thickBot="1" x14ac:dyDescent="0.3">
      <c r="A6" s="89"/>
      <c r="B6" s="91"/>
      <c r="C6" s="92"/>
      <c r="D6" s="92"/>
      <c r="E6" s="94"/>
      <c r="F6" s="94"/>
      <c r="G6" s="20" t="s">
        <v>8</v>
      </c>
      <c r="H6" s="20" t="s">
        <v>9</v>
      </c>
      <c r="I6" s="20" t="s">
        <v>10</v>
      </c>
      <c r="J6" s="20" t="s">
        <v>11</v>
      </c>
      <c r="K6" s="20" t="s">
        <v>12</v>
      </c>
      <c r="L6" s="20" t="s">
        <v>13</v>
      </c>
      <c r="M6" s="20" t="s">
        <v>14</v>
      </c>
      <c r="N6" s="92"/>
      <c r="O6" s="92"/>
      <c r="P6" s="85"/>
    </row>
    <row r="7" spans="1:16" ht="24" customHeight="1" x14ac:dyDescent="0.25">
      <c r="A7" s="10">
        <v>1</v>
      </c>
      <c r="B7" s="9">
        <v>0.2986111111111111</v>
      </c>
      <c r="C7" s="5" t="s">
        <v>89</v>
      </c>
      <c r="D7" s="5">
        <v>8</v>
      </c>
      <c r="E7" s="15"/>
      <c r="F7" s="39" t="s">
        <v>24</v>
      </c>
      <c r="G7" s="39">
        <v>5.72</v>
      </c>
      <c r="H7" s="39">
        <v>11.88</v>
      </c>
      <c r="I7" s="39"/>
      <c r="J7" s="39"/>
      <c r="K7" s="39"/>
      <c r="L7" s="39"/>
      <c r="M7" s="39"/>
      <c r="N7" s="17"/>
      <c r="O7" s="12"/>
      <c r="P7" s="8" t="s">
        <v>32</v>
      </c>
    </row>
    <row r="8" spans="1:16" ht="24" customHeight="1" x14ac:dyDescent="0.25">
      <c r="A8" s="10">
        <v>2</v>
      </c>
      <c r="B8" s="9">
        <v>0.30902777777777779</v>
      </c>
      <c r="C8" s="5" t="s">
        <v>90</v>
      </c>
      <c r="D8" s="5">
        <v>8</v>
      </c>
      <c r="E8" s="15"/>
      <c r="F8" s="39" t="s">
        <v>24</v>
      </c>
      <c r="G8" s="39">
        <v>3.96</v>
      </c>
      <c r="H8" s="39">
        <v>12.1</v>
      </c>
      <c r="I8" s="39"/>
      <c r="J8" s="39"/>
      <c r="K8" s="39"/>
      <c r="L8" s="39"/>
      <c r="M8" s="39"/>
      <c r="N8" s="17"/>
      <c r="O8" s="12"/>
      <c r="P8" s="8" t="s">
        <v>34</v>
      </c>
    </row>
    <row r="9" spans="1:16" ht="24" customHeight="1" x14ac:dyDescent="0.25">
      <c r="A9" s="10">
        <v>3</v>
      </c>
      <c r="B9" s="9">
        <v>0.31041666666666667</v>
      </c>
      <c r="C9" s="5" t="s">
        <v>91</v>
      </c>
      <c r="D9" s="5">
        <v>9</v>
      </c>
      <c r="E9" s="15"/>
      <c r="F9" s="39" t="s">
        <v>25</v>
      </c>
      <c r="G9" s="39">
        <v>7.26</v>
      </c>
      <c r="H9" s="39">
        <v>8.36</v>
      </c>
      <c r="I9" s="39">
        <v>3.52</v>
      </c>
      <c r="J9" s="39"/>
      <c r="K9" s="39"/>
      <c r="L9" s="39"/>
      <c r="M9" s="39"/>
      <c r="N9" s="17"/>
      <c r="O9" s="12"/>
      <c r="P9" s="8" t="s">
        <v>37</v>
      </c>
    </row>
    <row r="10" spans="1:16" ht="24" customHeight="1" x14ac:dyDescent="0.25">
      <c r="A10" s="10">
        <v>4</v>
      </c>
      <c r="B10" s="9">
        <v>0.31597222222222221</v>
      </c>
      <c r="C10" s="5" t="s">
        <v>92</v>
      </c>
      <c r="D10" s="5">
        <v>10</v>
      </c>
      <c r="E10" s="15"/>
      <c r="F10" s="39" t="s">
        <v>31</v>
      </c>
      <c r="G10" s="39">
        <v>5.72</v>
      </c>
      <c r="H10" s="39">
        <v>3.74</v>
      </c>
      <c r="I10" s="39">
        <v>3.74</v>
      </c>
      <c r="J10" s="39">
        <v>2.64</v>
      </c>
      <c r="K10" s="39">
        <v>2.64</v>
      </c>
      <c r="L10" s="39">
        <v>3.74</v>
      </c>
      <c r="M10" s="39"/>
      <c r="N10" s="17"/>
      <c r="O10" s="12"/>
      <c r="P10" s="8" t="s">
        <v>36</v>
      </c>
    </row>
    <row r="11" spans="1:16" ht="24" customHeight="1" x14ac:dyDescent="0.25">
      <c r="A11" s="10">
        <v>5</v>
      </c>
      <c r="B11" s="9">
        <v>0.31805555555555554</v>
      </c>
      <c r="C11" s="5" t="s">
        <v>93</v>
      </c>
      <c r="D11" s="5">
        <v>10</v>
      </c>
      <c r="E11" s="15"/>
      <c r="F11" s="39" t="s">
        <v>31</v>
      </c>
      <c r="G11" s="39">
        <v>6.38</v>
      </c>
      <c r="H11" s="39">
        <v>5.5</v>
      </c>
      <c r="I11" s="39">
        <v>6.82</v>
      </c>
      <c r="J11" s="39">
        <v>7.04</v>
      </c>
      <c r="K11" s="39">
        <v>5.5</v>
      </c>
      <c r="L11" s="39">
        <v>5.72</v>
      </c>
      <c r="M11" s="39"/>
      <c r="N11" s="17"/>
      <c r="O11" s="12"/>
      <c r="P11" s="8" t="s">
        <v>35</v>
      </c>
    </row>
    <row r="12" spans="1:16" ht="24" customHeight="1" x14ac:dyDescent="0.25">
      <c r="A12" s="10">
        <v>6</v>
      </c>
      <c r="B12" s="9">
        <v>0.33680555555555558</v>
      </c>
      <c r="C12" s="5" t="s">
        <v>94</v>
      </c>
      <c r="D12" s="5">
        <v>10</v>
      </c>
      <c r="E12" s="15"/>
      <c r="F12" s="39" t="s">
        <v>112</v>
      </c>
      <c r="G12" s="39">
        <v>7.26</v>
      </c>
      <c r="H12" s="39">
        <v>5.94</v>
      </c>
      <c r="I12" s="39">
        <v>5.28</v>
      </c>
      <c r="J12" s="39">
        <v>6.16</v>
      </c>
      <c r="K12" s="39">
        <v>5.28</v>
      </c>
      <c r="L12" s="39">
        <v>8.8000000000000007</v>
      </c>
      <c r="M12" s="39">
        <v>5.0599999999999996</v>
      </c>
      <c r="N12" s="17"/>
      <c r="O12" s="12"/>
      <c r="P12" s="8" t="s">
        <v>35</v>
      </c>
    </row>
    <row r="13" spans="1:16" ht="24" customHeight="1" x14ac:dyDescent="0.25">
      <c r="A13" s="10">
        <v>7</v>
      </c>
      <c r="B13" s="9">
        <v>0.34930555555555554</v>
      </c>
      <c r="C13" s="5" t="s">
        <v>95</v>
      </c>
      <c r="D13" s="5">
        <v>10</v>
      </c>
      <c r="E13" s="15"/>
      <c r="F13" s="39" t="s">
        <v>112</v>
      </c>
      <c r="G13" s="39">
        <v>8.14</v>
      </c>
      <c r="H13" s="39">
        <v>8.58</v>
      </c>
      <c r="I13" s="39">
        <v>5.0599999999999996</v>
      </c>
      <c r="J13" s="39">
        <v>8.58</v>
      </c>
      <c r="K13" s="39">
        <v>7.92</v>
      </c>
      <c r="L13" s="39">
        <v>9.24</v>
      </c>
      <c r="M13" s="39">
        <v>6.38</v>
      </c>
      <c r="N13" s="17"/>
      <c r="O13" s="12"/>
      <c r="P13" s="8" t="s">
        <v>37</v>
      </c>
    </row>
    <row r="14" spans="1:16" ht="24" customHeight="1" x14ac:dyDescent="0.25">
      <c r="A14" s="10">
        <v>8</v>
      </c>
      <c r="B14" s="9">
        <v>0.3527777777777778</v>
      </c>
      <c r="C14" s="5" t="s">
        <v>96</v>
      </c>
      <c r="D14" s="5">
        <v>8</v>
      </c>
      <c r="E14" s="15"/>
      <c r="F14" s="39" t="s">
        <v>24</v>
      </c>
      <c r="G14" s="39">
        <v>3.74</v>
      </c>
      <c r="H14" s="39">
        <v>13.2</v>
      </c>
      <c r="I14" s="39"/>
      <c r="J14" s="39"/>
      <c r="K14" s="39"/>
      <c r="L14" s="39"/>
      <c r="M14" s="39"/>
      <c r="N14" s="17"/>
      <c r="O14" s="12"/>
      <c r="P14" s="8" t="s">
        <v>32</v>
      </c>
    </row>
    <row r="15" spans="1:16" ht="24" customHeight="1" x14ac:dyDescent="0.25">
      <c r="A15" s="10">
        <v>9</v>
      </c>
      <c r="B15" s="9">
        <v>0.35416666666666669</v>
      </c>
      <c r="C15" s="5" t="s">
        <v>97</v>
      </c>
      <c r="D15" s="5">
        <v>9</v>
      </c>
      <c r="E15" s="15"/>
      <c r="F15" s="39" t="s">
        <v>25</v>
      </c>
      <c r="G15" s="39">
        <v>8.36</v>
      </c>
      <c r="H15" s="39">
        <v>7.92</v>
      </c>
      <c r="I15" s="39">
        <v>6.16</v>
      </c>
      <c r="J15" s="39"/>
      <c r="K15" s="39"/>
      <c r="L15" s="39"/>
      <c r="M15" s="39"/>
      <c r="N15" s="17"/>
      <c r="O15" s="12"/>
      <c r="P15" s="8" t="s">
        <v>34</v>
      </c>
    </row>
    <row r="16" spans="1:16" ht="24" customHeight="1" x14ac:dyDescent="0.25">
      <c r="A16" s="10">
        <v>10</v>
      </c>
      <c r="B16" s="9">
        <v>0.35833333333333334</v>
      </c>
      <c r="C16" s="5" t="s">
        <v>98</v>
      </c>
      <c r="D16" s="5">
        <v>8</v>
      </c>
      <c r="E16" s="15"/>
      <c r="F16" s="39" t="s">
        <v>24</v>
      </c>
      <c r="G16" s="39">
        <v>5.72</v>
      </c>
      <c r="H16" s="39">
        <v>6.82</v>
      </c>
      <c r="I16" s="39"/>
      <c r="J16" s="39"/>
      <c r="K16" s="39"/>
      <c r="L16" s="39"/>
      <c r="M16" s="39"/>
      <c r="N16" s="17"/>
      <c r="O16" s="12"/>
      <c r="P16" s="8" t="s">
        <v>37</v>
      </c>
    </row>
    <row r="17" spans="1:16" ht="24" customHeight="1" x14ac:dyDescent="0.25">
      <c r="A17" s="10">
        <v>11</v>
      </c>
      <c r="B17" s="9">
        <v>0.3666666666666667</v>
      </c>
      <c r="C17" s="5" t="s">
        <v>99</v>
      </c>
      <c r="D17" s="5">
        <v>10</v>
      </c>
      <c r="E17" s="15"/>
      <c r="F17" s="39" t="s">
        <v>86</v>
      </c>
      <c r="G17" s="39">
        <v>5.5</v>
      </c>
      <c r="H17" s="39">
        <v>6.38</v>
      </c>
      <c r="I17" s="39">
        <v>12.32</v>
      </c>
      <c r="J17" s="39">
        <v>11.22</v>
      </c>
      <c r="K17" s="39">
        <v>0.66</v>
      </c>
      <c r="L17" s="39"/>
      <c r="M17" s="39"/>
      <c r="N17" s="12"/>
      <c r="O17" s="12"/>
      <c r="P17" s="8" t="s">
        <v>34</v>
      </c>
    </row>
    <row r="18" spans="1:16" ht="24" customHeight="1" x14ac:dyDescent="0.25">
      <c r="A18" s="10">
        <v>12</v>
      </c>
      <c r="B18" s="9">
        <v>0.36944444444444446</v>
      </c>
      <c r="C18" s="5" t="s">
        <v>100</v>
      </c>
      <c r="D18" s="5">
        <v>10</v>
      </c>
      <c r="E18" s="15"/>
      <c r="F18" s="39" t="s">
        <v>31</v>
      </c>
      <c r="G18" s="39">
        <v>5.72</v>
      </c>
      <c r="H18" s="39">
        <v>7.92</v>
      </c>
      <c r="I18" s="39">
        <v>6.6</v>
      </c>
      <c r="J18" s="39">
        <v>10.119999999999999</v>
      </c>
      <c r="K18" s="39">
        <v>6.38</v>
      </c>
      <c r="L18" s="39">
        <v>7.04</v>
      </c>
      <c r="M18" s="39"/>
      <c r="N18" s="12"/>
      <c r="O18" s="12"/>
      <c r="P18" s="8" t="s">
        <v>34</v>
      </c>
    </row>
    <row r="19" spans="1:16" ht="24" customHeight="1" x14ac:dyDescent="0.25">
      <c r="A19" s="10">
        <v>13</v>
      </c>
      <c r="B19" s="9">
        <v>0.37152777777777773</v>
      </c>
      <c r="C19" s="5" t="s">
        <v>101</v>
      </c>
      <c r="D19" s="5">
        <v>10</v>
      </c>
      <c r="E19" s="15"/>
      <c r="F19" s="39" t="s">
        <v>31</v>
      </c>
      <c r="G19" s="39">
        <v>2.64</v>
      </c>
      <c r="H19" s="39">
        <v>3.74</v>
      </c>
      <c r="I19" s="39">
        <v>2.2000000000000002</v>
      </c>
      <c r="J19" s="39">
        <v>2.64</v>
      </c>
      <c r="K19" s="39">
        <v>2.2000000000000002</v>
      </c>
      <c r="L19" s="39">
        <v>5.28</v>
      </c>
      <c r="M19" s="39"/>
      <c r="N19" s="17"/>
      <c r="O19" s="12"/>
      <c r="P19" s="8" t="s">
        <v>34</v>
      </c>
    </row>
    <row r="20" spans="1:16" ht="24" customHeight="1" x14ac:dyDescent="0.25">
      <c r="A20" s="10">
        <v>14</v>
      </c>
      <c r="B20" s="9">
        <v>0.40625</v>
      </c>
      <c r="C20" s="5" t="s">
        <v>102</v>
      </c>
      <c r="D20" s="5">
        <v>10</v>
      </c>
      <c r="E20" s="15"/>
      <c r="F20" s="39" t="s">
        <v>31</v>
      </c>
      <c r="G20" s="39">
        <v>6.16</v>
      </c>
      <c r="H20" s="39">
        <v>7.7</v>
      </c>
      <c r="I20" s="39">
        <v>6.16</v>
      </c>
      <c r="J20" s="39">
        <v>7.7</v>
      </c>
      <c r="K20" s="39">
        <v>8.36</v>
      </c>
      <c r="L20" s="39">
        <v>5.72</v>
      </c>
      <c r="M20" s="39"/>
      <c r="N20" s="17"/>
      <c r="O20" s="12"/>
      <c r="P20" s="8" t="s">
        <v>34</v>
      </c>
    </row>
    <row r="21" spans="1:16" ht="24" customHeight="1" x14ac:dyDescent="0.25">
      <c r="A21" s="10">
        <v>15</v>
      </c>
      <c r="B21" s="9">
        <v>0.47430555555555554</v>
      </c>
      <c r="C21" s="5" t="s">
        <v>103</v>
      </c>
      <c r="D21" s="5">
        <v>10</v>
      </c>
      <c r="E21" s="15"/>
      <c r="F21" s="39" t="s">
        <v>28</v>
      </c>
      <c r="G21" s="39">
        <v>6.38</v>
      </c>
      <c r="H21" s="39">
        <v>7.7</v>
      </c>
      <c r="I21" s="39">
        <v>11</v>
      </c>
      <c r="J21" s="39">
        <v>5.0599999999999996</v>
      </c>
      <c r="K21" s="39">
        <v>3.52</v>
      </c>
      <c r="L21" s="39"/>
      <c r="M21" s="39"/>
      <c r="N21" s="17"/>
      <c r="O21" s="12"/>
      <c r="P21" s="8" t="s">
        <v>32</v>
      </c>
    </row>
    <row r="22" spans="1:16" ht="24" customHeight="1" x14ac:dyDescent="0.25">
      <c r="A22" s="10">
        <v>16</v>
      </c>
      <c r="B22" s="9">
        <v>0.49305555555555558</v>
      </c>
      <c r="C22" s="5" t="s">
        <v>104</v>
      </c>
      <c r="D22" s="5">
        <v>10</v>
      </c>
      <c r="E22" s="15"/>
      <c r="F22" s="39" t="s">
        <v>27</v>
      </c>
      <c r="G22" s="39">
        <v>6.38</v>
      </c>
      <c r="H22" s="39">
        <v>3.52</v>
      </c>
      <c r="I22" s="39">
        <v>12.76</v>
      </c>
      <c r="J22" s="39">
        <v>7.92</v>
      </c>
      <c r="K22" s="39">
        <v>2.86</v>
      </c>
      <c r="L22" s="39"/>
      <c r="M22" s="39"/>
      <c r="N22" s="17"/>
      <c r="O22" s="12"/>
      <c r="P22" s="8" t="s">
        <v>32</v>
      </c>
    </row>
    <row r="23" spans="1:16" ht="24" customHeight="1" x14ac:dyDescent="0.25">
      <c r="A23" s="10">
        <v>17</v>
      </c>
      <c r="B23" s="9">
        <v>0.49722222222222223</v>
      </c>
      <c r="C23" s="5" t="s">
        <v>105</v>
      </c>
      <c r="D23" s="5">
        <v>10</v>
      </c>
      <c r="E23" s="15"/>
      <c r="F23" s="39" t="s">
        <v>29</v>
      </c>
      <c r="G23" s="39">
        <v>9.68</v>
      </c>
      <c r="H23" s="39">
        <v>3.74</v>
      </c>
      <c r="I23" s="39">
        <v>14.3</v>
      </c>
      <c r="J23" s="39">
        <v>8.36</v>
      </c>
      <c r="K23" s="39"/>
      <c r="L23" s="39"/>
      <c r="M23" s="39"/>
      <c r="N23" s="17"/>
      <c r="O23" s="12"/>
      <c r="P23" s="8" t="s">
        <v>32</v>
      </c>
    </row>
    <row r="24" spans="1:16" ht="24" customHeight="1" x14ac:dyDescent="0.25">
      <c r="A24" s="10">
        <v>18</v>
      </c>
      <c r="B24" s="9">
        <v>0.50347222222222221</v>
      </c>
      <c r="C24" s="5" t="s">
        <v>106</v>
      </c>
      <c r="D24" s="5">
        <v>10</v>
      </c>
      <c r="E24" s="15"/>
      <c r="F24" s="39" t="s">
        <v>26</v>
      </c>
      <c r="G24" s="39">
        <v>7.04</v>
      </c>
      <c r="H24" s="39">
        <v>0.44</v>
      </c>
      <c r="I24" s="39">
        <v>7.48</v>
      </c>
      <c r="J24" s="39">
        <v>3.08</v>
      </c>
      <c r="K24" s="39">
        <v>6.6</v>
      </c>
      <c r="L24" s="39">
        <v>5.5</v>
      </c>
      <c r="M24" s="39"/>
      <c r="N24" s="17"/>
      <c r="O24" s="12"/>
      <c r="P24" s="8" t="s">
        <v>35</v>
      </c>
    </row>
    <row r="25" spans="1:16" ht="24" customHeight="1" x14ac:dyDescent="0.25">
      <c r="A25" s="10">
        <v>19</v>
      </c>
      <c r="B25" s="9">
        <v>0.51041666666666663</v>
      </c>
      <c r="C25" s="5" t="s">
        <v>107</v>
      </c>
      <c r="D25" s="5">
        <v>10</v>
      </c>
      <c r="E25" s="15"/>
      <c r="F25" s="39" t="s">
        <v>31</v>
      </c>
      <c r="G25" s="39">
        <v>6.16</v>
      </c>
      <c r="H25" s="39">
        <v>8.36</v>
      </c>
      <c r="I25" s="39">
        <v>7.92</v>
      </c>
      <c r="J25" s="39">
        <v>7.26</v>
      </c>
      <c r="K25" s="39">
        <v>7.04</v>
      </c>
      <c r="L25" s="39">
        <v>7.04</v>
      </c>
      <c r="M25" s="39"/>
      <c r="N25" s="17"/>
      <c r="O25" s="12"/>
      <c r="P25" s="8" t="s">
        <v>33</v>
      </c>
    </row>
    <row r="26" spans="1:16" ht="24" customHeight="1" x14ac:dyDescent="0.25">
      <c r="A26" s="10">
        <v>20</v>
      </c>
      <c r="B26" s="9">
        <v>0.52083333333333337</v>
      </c>
      <c r="C26" s="5" t="s">
        <v>41</v>
      </c>
      <c r="D26" s="5">
        <v>10</v>
      </c>
      <c r="E26" s="15"/>
      <c r="F26" s="39" t="s">
        <v>112</v>
      </c>
      <c r="G26" s="39">
        <v>7.26</v>
      </c>
      <c r="H26" s="39">
        <v>6.38</v>
      </c>
      <c r="I26" s="39">
        <v>4.18</v>
      </c>
      <c r="J26" s="39">
        <v>4.4000000000000004</v>
      </c>
      <c r="K26" s="39">
        <v>4.62</v>
      </c>
      <c r="L26" s="39">
        <v>2.64</v>
      </c>
      <c r="M26" s="39">
        <v>6.38</v>
      </c>
      <c r="N26" s="17"/>
      <c r="O26" s="12"/>
      <c r="P26" s="8" t="s">
        <v>34</v>
      </c>
    </row>
    <row r="27" spans="1:16" ht="24" customHeight="1" x14ac:dyDescent="0.25">
      <c r="A27" s="10">
        <v>21</v>
      </c>
      <c r="B27" s="9">
        <v>0.1013888888888889</v>
      </c>
      <c r="C27" s="5" t="s">
        <v>42</v>
      </c>
      <c r="D27" s="5">
        <v>10</v>
      </c>
      <c r="E27" s="15"/>
      <c r="F27" s="39" t="s">
        <v>31</v>
      </c>
      <c r="G27" s="39">
        <v>5.72</v>
      </c>
      <c r="H27" s="39">
        <v>10.119999999999999</v>
      </c>
      <c r="I27" s="39">
        <v>11.66</v>
      </c>
      <c r="J27" s="39">
        <v>9.4600000000000009</v>
      </c>
      <c r="K27" s="39">
        <v>6.38</v>
      </c>
      <c r="L27" s="39">
        <v>8.58</v>
      </c>
      <c r="M27" s="39"/>
      <c r="N27" s="17"/>
      <c r="O27" s="12"/>
      <c r="P27" s="8" t="s">
        <v>36</v>
      </c>
    </row>
    <row r="28" spans="1:16" ht="24" customHeight="1" x14ac:dyDescent="0.25">
      <c r="A28" s="10">
        <v>22</v>
      </c>
      <c r="B28" s="9">
        <v>0.11597222222222221</v>
      </c>
      <c r="C28" s="5" t="s">
        <v>108</v>
      </c>
      <c r="D28" s="5">
        <v>10</v>
      </c>
      <c r="E28" s="15"/>
      <c r="F28" s="39" t="s">
        <v>113</v>
      </c>
      <c r="G28" s="39">
        <v>8.58</v>
      </c>
      <c r="H28" s="39">
        <v>6.38</v>
      </c>
      <c r="I28" s="39">
        <v>5.5</v>
      </c>
      <c r="J28" s="39">
        <v>9.24</v>
      </c>
      <c r="K28" s="39">
        <v>5.72</v>
      </c>
      <c r="L28" s="39">
        <v>7.7</v>
      </c>
      <c r="M28" s="39">
        <v>6.6</v>
      </c>
      <c r="N28" s="17"/>
      <c r="O28" s="12"/>
      <c r="P28" s="8" t="s">
        <v>36</v>
      </c>
    </row>
    <row r="29" spans="1:16" ht="24" customHeight="1" x14ac:dyDescent="0.25">
      <c r="A29" s="10">
        <v>23</v>
      </c>
      <c r="B29" s="9">
        <v>0.20138888888888887</v>
      </c>
      <c r="C29" s="5" t="s">
        <v>109</v>
      </c>
      <c r="D29" s="5">
        <v>8</v>
      </c>
      <c r="E29" s="15"/>
      <c r="F29" s="39" t="s">
        <v>24</v>
      </c>
      <c r="G29" s="39">
        <v>3.52</v>
      </c>
      <c r="H29" s="39">
        <v>6.6</v>
      </c>
      <c r="I29" s="39"/>
      <c r="J29" s="39"/>
      <c r="K29" s="39"/>
      <c r="L29" s="39"/>
      <c r="M29" s="39"/>
      <c r="N29" s="17"/>
      <c r="O29" s="12"/>
      <c r="P29" s="8" t="s">
        <v>32</v>
      </c>
    </row>
    <row r="30" spans="1:16" ht="24" customHeight="1" x14ac:dyDescent="0.25">
      <c r="A30" s="10">
        <v>24</v>
      </c>
      <c r="B30" s="9">
        <v>0.22916666666666666</v>
      </c>
      <c r="C30" s="5" t="s">
        <v>110</v>
      </c>
      <c r="D30" s="5">
        <v>10</v>
      </c>
      <c r="E30" s="15"/>
      <c r="F30" s="39" t="s">
        <v>26</v>
      </c>
      <c r="G30" s="39">
        <v>6.16</v>
      </c>
      <c r="H30" s="39">
        <v>5.28</v>
      </c>
      <c r="I30" s="39">
        <v>5.94</v>
      </c>
      <c r="J30" s="39">
        <v>5.28</v>
      </c>
      <c r="K30" s="39">
        <v>6.38</v>
      </c>
      <c r="L30" s="39">
        <v>3.96</v>
      </c>
      <c r="M30" s="39"/>
      <c r="N30" s="17"/>
      <c r="O30" s="12"/>
      <c r="P30" s="8" t="s">
        <v>36</v>
      </c>
    </row>
    <row r="31" spans="1:16" ht="24" customHeight="1" x14ac:dyDescent="0.25">
      <c r="A31" s="10">
        <v>25</v>
      </c>
      <c r="B31" s="9">
        <v>0.27083333333333331</v>
      </c>
      <c r="C31" s="5" t="s">
        <v>111</v>
      </c>
      <c r="D31" s="5">
        <v>10</v>
      </c>
      <c r="E31" s="15"/>
      <c r="F31" s="39" t="s">
        <v>31</v>
      </c>
      <c r="G31" s="39">
        <v>7.04</v>
      </c>
      <c r="H31" s="39">
        <v>7.92</v>
      </c>
      <c r="I31" s="39">
        <v>6.16</v>
      </c>
      <c r="J31" s="39">
        <v>6.38</v>
      </c>
      <c r="K31" s="39">
        <v>7.04</v>
      </c>
      <c r="L31" s="39">
        <v>6.82</v>
      </c>
      <c r="M31" s="39"/>
      <c r="N31" s="17"/>
      <c r="O31" s="12"/>
      <c r="P31" s="8" t="s">
        <v>33</v>
      </c>
    </row>
    <row r="32" spans="1:16" ht="24" customHeight="1" x14ac:dyDescent="0.25">
      <c r="A32" s="10"/>
      <c r="B32" s="9"/>
      <c r="C32" s="5"/>
      <c r="D32" s="5"/>
      <c r="E32" s="15"/>
      <c r="F32" s="15"/>
      <c r="G32" s="13"/>
      <c r="H32" s="35" t="s">
        <v>82</v>
      </c>
      <c r="I32" s="13"/>
      <c r="J32" s="13"/>
      <c r="K32" s="13"/>
      <c r="L32" s="13"/>
      <c r="M32" s="13"/>
      <c r="N32" s="17"/>
      <c r="O32" s="12"/>
      <c r="P32" s="8"/>
    </row>
    <row r="33" spans="1:16" ht="24" customHeight="1" x14ac:dyDescent="0.25">
      <c r="A33" s="10">
        <v>1</v>
      </c>
      <c r="B33" s="9">
        <v>0.3659722222222222</v>
      </c>
      <c r="C33" s="5" t="s">
        <v>114</v>
      </c>
      <c r="D33" s="5">
        <v>8</v>
      </c>
      <c r="E33" s="15"/>
      <c r="F33" s="15" t="s">
        <v>24</v>
      </c>
      <c r="G33" s="13">
        <v>2.86</v>
      </c>
      <c r="H33" s="13">
        <v>1.98</v>
      </c>
      <c r="I33" s="13"/>
      <c r="J33" s="13"/>
      <c r="K33" s="13"/>
      <c r="L33" s="13"/>
      <c r="M33" s="13"/>
      <c r="N33" s="17"/>
      <c r="O33" s="12"/>
      <c r="P33" s="8" t="s">
        <v>39</v>
      </c>
    </row>
    <row r="34" spans="1:16" ht="24" customHeight="1" x14ac:dyDescent="0.25">
      <c r="A34" s="10">
        <v>2</v>
      </c>
      <c r="B34" s="9">
        <v>0.38541666666666669</v>
      </c>
      <c r="C34" s="5" t="s">
        <v>115</v>
      </c>
      <c r="D34" s="5">
        <v>10</v>
      </c>
      <c r="E34" s="15"/>
      <c r="F34" s="15" t="s">
        <v>26</v>
      </c>
      <c r="G34" s="13">
        <v>6.16</v>
      </c>
      <c r="H34" s="13">
        <v>8.58</v>
      </c>
      <c r="I34" s="13">
        <v>5.94</v>
      </c>
      <c r="J34" s="13">
        <v>7.7</v>
      </c>
      <c r="K34" s="13">
        <v>7.04</v>
      </c>
      <c r="L34" s="13">
        <v>6.16</v>
      </c>
      <c r="M34" s="13"/>
      <c r="N34" s="17"/>
      <c r="O34" s="12"/>
      <c r="P34" s="8" t="s">
        <v>165</v>
      </c>
    </row>
    <row r="35" spans="1:16" ht="24" customHeight="1" x14ac:dyDescent="0.25">
      <c r="A35" s="10">
        <v>3</v>
      </c>
      <c r="B35" s="9">
        <v>0.38750000000000001</v>
      </c>
      <c r="C35" s="5" t="s">
        <v>116</v>
      </c>
      <c r="D35" s="5">
        <v>10</v>
      </c>
      <c r="E35" s="15"/>
      <c r="F35" s="15" t="s">
        <v>27</v>
      </c>
      <c r="G35" s="13">
        <v>2.86</v>
      </c>
      <c r="H35" s="13">
        <v>2.86</v>
      </c>
      <c r="I35" s="13">
        <v>3.3</v>
      </c>
      <c r="J35" s="13">
        <v>2.42</v>
      </c>
      <c r="K35" s="13">
        <v>2.2000000000000002</v>
      </c>
      <c r="L35" s="13"/>
      <c r="M35" s="13"/>
      <c r="N35" s="17"/>
      <c r="O35" s="12"/>
      <c r="P35" s="8" t="s">
        <v>165</v>
      </c>
    </row>
    <row r="36" spans="1:16" ht="24" customHeight="1" x14ac:dyDescent="0.25">
      <c r="A36" s="10">
        <v>4</v>
      </c>
      <c r="B36" s="9">
        <v>0.4777777777777778</v>
      </c>
      <c r="C36" s="5" t="s">
        <v>117</v>
      </c>
      <c r="D36" s="5">
        <v>10</v>
      </c>
      <c r="E36" s="15"/>
      <c r="F36" s="15" t="s">
        <v>26</v>
      </c>
      <c r="G36" s="13">
        <v>6.16</v>
      </c>
      <c r="H36" s="13">
        <v>7.7</v>
      </c>
      <c r="I36" s="13">
        <v>6.16</v>
      </c>
      <c r="J36" s="13">
        <v>8.36</v>
      </c>
      <c r="K36" s="13">
        <v>7.26</v>
      </c>
      <c r="L36" s="13">
        <v>7.26</v>
      </c>
      <c r="M36" s="13"/>
      <c r="N36" s="17"/>
      <c r="O36" s="12"/>
      <c r="P36" s="8" t="s">
        <v>165</v>
      </c>
    </row>
    <row r="37" spans="1:16" ht="24" customHeight="1" x14ac:dyDescent="0.25">
      <c r="A37" s="10">
        <v>5</v>
      </c>
      <c r="B37" s="9">
        <v>0.4826388888888889</v>
      </c>
      <c r="C37" s="5" t="s">
        <v>118</v>
      </c>
      <c r="D37" s="5">
        <v>10</v>
      </c>
      <c r="E37" s="15"/>
      <c r="F37" s="15" t="s">
        <v>31</v>
      </c>
      <c r="G37" s="13">
        <v>5.28</v>
      </c>
      <c r="H37" s="13">
        <v>2.64</v>
      </c>
      <c r="I37" s="13">
        <v>2.64</v>
      </c>
      <c r="J37" s="13">
        <v>2.86</v>
      </c>
      <c r="K37" s="13">
        <v>3.08</v>
      </c>
      <c r="L37" s="13">
        <v>3.08</v>
      </c>
      <c r="M37" s="13"/>
      <c r="N37" s="17"/>
      <c r="O37" s="12"/>
      <c r="P37" s="8" t="s">
        <v>165</v>
      </c>
    </row>
    <row r="38" spans="1:16" ht="24" customHeight="1" x14ac:dyDescent="0.25">
      <c r="A38" s="10">
        <v>6</v>
      </c>
      <c r="B38" s="9">
        <v>0.48819444444444443</v>
      </c>
      <c r="C38" s="5" t="s">
        <v>119</v>
      </c>
      <c r="D38" s="5">
        <v>10</v>
      </c>
      <c r="E38" s="15"/>
      <c r="F38" s="15" t="s">
        <v>31</v>
      </c>
      <c r="G38" s="13">
        <v>4.4000000000000004</v>
      </c>
      <c r="H38" s="13">
        <v>2.64</v>
      </c>
      <c r="I38" s="13">
        <v>2.42</v>
      </c>
      <c r="J38" s="13">
        <v>3.3</v>
      </c>
      <c r="K38" s="13">
        <v>2.64</v>
      </c>
      <c r="L38" s="13">
        <v>2.86</v>
      </c>
      <c r="M38" s="13"/>
      <c r="N38" s="17"/>
      <c r="O38" s="12"/>
      <c r="P38" s="8" t="s">
        <v>165</v>
      </c>
    </row>
    <row r="39" spans="1:16" ht="24" customHeight="1" x14ac:dyDescent="0.25">
      <c r="A39" s="10">
        <v>7</v>
      </c>
      <c r="B39" s="9">
        <v>0.50555555555555554</v>
      </c>
      <c r="C39" s="5" t="s">
        <v>120</v>
      </c>
      <c r="D39" s="5">
        <v>10</v>
      </c>
      <c r="E39" s="15"/>
      <c r="F39" s="15" t="s">
        <v>112</v>
      </c>
      <c r="G39" s="13">
        <v>4.62</v>
      </c>
      <c r="H39" s="13">
        <v>3.52</v>
      </c>
      <c r="I39" s="13">
        <v>2.64</v>
      </c>
      <c r="J39" s="13">
        <v>1.54</v>
      </c>
      <c r="K39" s="13">
        <v>2.64</v>
      </c>
      <c r="L39" s="13">
        <v>1.54</v>
      </c>
      <c r="M39" s="13">
        <v>2.42</v>
      </c>
      <c r="N39" s="17"/>
      <c r="O39" s="12"/>
      <c r="P39" s="8" t="s">
        <v>165</v>
      </c>
    </row>
    <row r="40" spans="1:16" ht="24" customHeight="1" x14ac:dyDescent="0.25">
      <c r="A40" s="10">
        <v>8</v>
      </c>
      <c r="B40" s="9">
        <v>4.3055555555555562E-2</v>
      </c>
      <c r="C40" s="5" t="s">
        <v>121</v>
      </c>
      <c r="D40" s="5">
        <v>10</v>
      </c>
      <c r="E40" s="15"/>
      <c r="F40" s="15" t="s">
        <v>31</v>
      </c>
      <c r="G40" s="13">
        <v>5.0599999999999996</v>
      </c>
      <c r="H40" s="13">
        <v>2.2000000000000002</v>
      </c>
      <c r="I40" s="13">
        <v>1.98</v>
      </c>
      <c r="J40" s="13">
        <v>2.64</v>
      </c>
      <c r="K40" s="13">
        <v>2.86</v>
      </c>
      <c r="L40" s="13">
        <v>2.2000000000000002</v>
      </c>
      <c r="M40" s="13"/>
      <c r="N40" s="17"/>
      <c r="O40" s="12"/>
      <c r="P40" s="8" t="s">
        <v>165</v>
      </c>
    </row>
    <row r="41" spans="1:16" ht="24" customHeight="1" x14ac:dyDescent="0.25">
      <c r="A41" s="10">
        <v>9</v>
      </c>
      <c r="B41" s="9">
        <v>5.4166666666666669E-2</v>
      </c>
      <c r="C41" s="5" t="s">
        <v>122</v>
      </c>
      <c r="D41" s="5">
        <v>5</v>
      </c>
      <c r="E41" s="15"/>
      <c r="F41" s="15" t="s">
        <v>24</v>
      </c>
      <c r="G41" s="13">
        <v>3.96</v>
      </c>
      <c r="H41" s="13">
        <v>6.6</v>
      </c>
      <c r="I41" s="13"/>
      <c r="J41" s="13"/>
      <c r="K41" s="13"/>
      <c r="L41" s="13"/>
      <c r="M41" s="13"/>
      <c r="N41" s="17"/>
      <c r="O41" s="12"/>
      <c r="P41" s="8" t="s">
        <v>165</v>
      </c>
    </row>
    <row r="42" spans="1:16" ht="24" customHeight="1" x14ac:dyDescent="0.25">
      <c r="A42" s="10">
        <v>10</v>
      </c>
      <c r="B42" s="9">
        <v>0.15694444444444444</v>
      </c>
      <c r="C42" s="5" t="s">
        <v>123</v>
      </c>
      <c r="D42" s="5">
        <v>5</v>
      </c>
      <c r="E42" s="15"/>
      <c r="F42" s="15" t="s">
        <v>24</v>
      </c>
      <c r="G42" s="13">
        <v>6.38</v>
      </c>
      <c r="H42" s="13">
        <v>10.56</v>
      </c>
      <c r="I42" s="13"/>
      <c r="J42" s="13"/>
      <c r="K42" s="13"/>
      <c r="L42" s="13"/>
      <c r="M42" s="13"/>
      <c r="N42" s="17"/>
      <c r="O42" s="12"/>
      <c r="P42" s="8" t="s">
        <v>33</v>
      </c>
    </row>
    <row r="43" spans="1:16" ht="24" customHeight="1" x14ac:dyDescent="0.25">
      <c r="A43" s="10">
        <v>11</v>
      </c>
      <c r="B43" s="9">
        <v>0.16250000000000001</v>
      </c>
      <c r="C43" s="5" t="s">
        <v>124</v>
      </c>
      <c r="D43" s="5">
        <v>5</v>
      </c>
      <c r="E43" s="15"/>
      <c r="F43" s="15" t="s">
        <v>30</v>
      </c>
      <c r="G43" s="13">
        <v>7.48</v>
      </c>
      <c r="H43" s="13">
        <v>4.84</v>
      </c>
      <c r="I43" s="13">
        <v>4.18</v>
      </c>
      <c r="J43" s="13"/>
      <c r="K43" s="13"/>
      <c r="L43" s="13"/>
      <c r="M43" s="13"/>
      <c r="N43" s="17"/>
      <c r="O43" s="12"/>
      <c r="P43" s="8" t="s">
        <v>33</v>
      </c>
    </row>
    <row r="44" spans="1:16" ht="24" customHeight="1" x14ac:dyDescent="0.25">
      <c r="A44" s="10">
        <v>12</v>
      </c>
      <c r="B44" s="9">
        <v>0.1875</v>
      </c>
      <c r="C44" s="5" t="s">
        <v>125</v>
      </c>
      <c r="D44" s="5">
        <v>5</v>
      </c>
      <c r="E44" s="15"/>
      <c r="F44" s="15" t="s">
        <v>24</v>
      </c>
      <c r="G44" s="13">
        <v>7.48</v>
      </c>
      <c r="H44" s="13">
        <v>6.6</v>
      </c>
      <c r="I44" s="13"/>
      <c r="J44" s="13"/>
      <c r="K44" s="13"/>
      <c r="L44" s="13"/>
      <c r="M44" s="13"/>
      <c r="N44" s="17"/>
      <c r="O44" s="12"/>
      <c r="P44" s="8" t="s">
        <v>33</v>
      </c>
    </row>
    <row r="45" spans="1:16" ht="24" customHeight="1" x14ac:dyDescent="0.25">
      <c r="A45" s="10"/>
      <c r="B45" s="9"/>
      <c r="C45" s="5"/>
      <c r="D45" s="5"/>
      <c r="E45" s="15"/>
      <c r="F45" s="15"/>
      <c r="G45" s="13"/>
      <c r="H45" s="13"/>
      <c r="I45" s="13"/>
      <c r="J45" s="13"/>
      <c r="K45" s="13"/>
      <c r="L45" s="13"/>
      <c r="M45" s="13"/>
      <c r="N45" s="17"/>
      <c r="O45" s="12"/>
      <c r="P45" s="8"/>
    </row>
    <row r="46" spans="1:16" ht="24" customHeight="1" x14ac:dyDescent="0.25">
      <c r="A46" s="10"/>
      <c r="B46" s="9"/>
      <c r="C46" s="5"/>
      <c r="D46" s="5"/>
      <c r="E46" s="15"/>
      <c r="F46" s="15"/>
      <c r="G46" s="13"/>
      <c r="H46" s="13"/>
      <c r="I46" s="13"/>
      <c r="J46" s="13"/>
      <c r="K46" s="13"/>
      <c r="L46" s="13"/>
      <c r="M46" s="13"/>
      <c r="N46" s="17"/>
      <c r="O46" s="12"/>
      <c r="P46" s="8"/>
    </row>
    <row r="47" spans="1:16" ht="24" customHeight="1" x14ac:dyDescent="0.25">
      <c r="A47" s="10"/>
      <c r="B47" s="9"/>
      <c r="C47" s="5"/>
      <c r="D47" s="5"/>
      <c r="E47" s="15"/>
      <c r="F47" s="15"/>
      <c r="G47" s="13"/>
      <c r="H47" s="13"/>
      <c r="I47" s="13"/>
      <c r="J47" s="13"/>
      <c r="K47" s="13"/>
      <c r="L47" s="13"/>
      <c r="M47" s="13"/>
      <c r="N47" s="17"/>
      <c r="O47" s="12"/>
      <c r="P47" s="8"/>
    </row>
    <row r="48" spans="1:16" ht="24" customHeight="1" x14ac:dyDescent="0.25">
      <c r="A48" s="10"/>
      <c r="B48" s="9"/>
      <c r="C48" s="5"/>
      <c r="D48" s="5"/>
      <c r="E48" s="15"/>
      <c r="F48" s="15"/>
      <c r="G48" s="13"/>
      <c r="H48" s="13"/>
      <c r="I48" s="13"/>
      <c r="J48" s="13"/>
      <c r="K48" s="13"/>
      <c r="L48" s="13"/>
      <c r="M48" s="13"/>
      <c r="N48" s="17"/>
      <c r="O48" s="12"/>
      <c r="P48" s="8"/>
    </row>
    <row r="49" spans="1:16" ht="24" customHeight="1" x14ac:dyDescent="0.25">
      <c r="A49" s="10"/>
      <c r="B49" s="9"/>
      <c r="C49" s="5"/>
      <c r="D49" s="5"/>
      <c r="E49" s="15"/>
      <c r="F49" s="15"/>
      <c r="G49" s="13"/>
      <c r="H49" s="13"/>
      <c r="I49" s="13"/>
      <c r="J49" s="13"/>
      <c r="K49" s="13"/>
      <c r="L49" s="13"/>
      <c r="M49" s="13"/>
      <c r="N49" s="17"/>
      <c r="O49" s="12"/>
      <c r="P49" s="8"/>
    </row>
    <row r="50" spans="1:16" ht="24" customHeight="1" x14ac:dyDescent="0.25">
      <c r="A50" s="10"/>
      <c r="B50" s="9"/>
      <c r="C50" s="5"/>
      <c r="D50" s="5"/>
      <c r="E50" s="15"/>
      <c r="F50" s="15"/>
      <c r="G50" s="13"/>
      <c r="H50" s="13"/>
      <c r="I50" s="13"/>
      <c r="J50" s="13"/>
      <c r="K50" s="13"/>
      <c r="L50" s="13"/>
      <c r="M50" s="13"/>
      <c r="N50" s="12"/>
      <c r="O50" s="12"/>
      <c r="P50" s="8"/>
    </row>
    <row r="51" spans="1:16" ht="24" customHeight="1" x14ac:dyDescent="0.25">
      <c r="A51" s="10"/>
      <c r="B51" s="9"/>
      <c r="C51" s="5"/>
      <c r="D51" s="5"/>
      <c r="E51" s="15"/>
      <c r="F51" s="15"/>
      <c r="G51" s="13"/>
      <c r="H51" s="13"/>
      <c r="I51" s="13"/>
      <c r="J51" s="13"/>
      <c r="K51" s="13"/>
      <c r="L51" s="13"/>
      <c r="M51" s="13"/>
      <c r="N51" s="12"/>
      <c r="O51" s="12"/>
      <c r="P51" s="8"/>
    </row>
    <row r="52" spans="1:16" s="30" customFormat="1" ht="24" customHeight="1" x14ac:dyDescent="0.25">
      <c r="A52" s="23"/>
      <c r="B52" s="24"/>
      <c r="C52" s="25"/>
      <c r="D52" s="25"/>
      <c r="E52" s="26"/>
      <c r="F52" s="26"/>
      <c r="G52" s="27"/>
      <c r="H52" s="27"/>
      <c r="I52" s="27"/>
      <c r="J52" s="27"/>
      <c r="K52" s="27"/>
      <c r="L52" s="27"/>
      <c r="M52" s="27"/>
      <c r="N52" s="28"/>
      <c r="O52" s="28"/>
      <c r="P52" s="29"/>
    </row>
    <row r="53" spans="1:16" ht="24" customHeight="1" x14ac:dyDescent="0.25">
      <c r="A53" s="10"/>
      <c r="B53" s="9"/>
      <c r="C53" s="5"/>
      <c r="D53" s="5"/>
      <c r="E53" s="15"/>
      <c r="F53" s="15"/>
      <c r="G53" s="13"/>
      <c r="H53" s="13"/>
      <c r="I53" s="13"/>
      <c r="J53" s="13"/>
      <c r="K53" s="13"/>
      <c r="L53" s="13"/>
      <c r="M53" s="13"/>
      <c r="N53" s="12"/>
      <c r="O53" s="12"/>
      <c r="P53" s="8"/>
    </row>
    <row r="54" spans="1:16" ht="24" customHeight="1" x14ac:dyDescent="0.25">
      <c r="A54" s="10"/>
      <c r="B54" s="9"/>
      <c r="C54" s="5"/>
      <c r="D54" s="5"/>
      <c r="E54" s="15"/>
      <c r="F54" s="15"/>
      <c r="G54" s="13"/>
      <c r="H54" s="13"/>
      <c r="I54" s="13"/>
      <c r="J54" s="13"/>
      <c r="K54" s="13"/>
      <c r="L54" s="13"/>
      <c r="M54" s="13"/>
      <c r="N54" s="12"/>
      <c r="O54" s="12"/>
      <c r="P54" s="8"/>
    </row>
    <row r="55" spans="1:16" ht="24" customHeight="1" x14ac:dyDescent="0.25">
      <c r="A55" s="10"/>
      <c r="B55" s="9"/>
      <c r="C55" s="5"/>
      <c r="D55" s="5"/>
      <c r="E55" s="15"/>
      <c r="F55" s="15"/>
      <c r="G55" s="13"/>
      <c r="H55" s="13"/>
      <c r="I55" s="13"/>
      <c r="J55" s="13"/>
      <c r="K55" s="13"/>
      <c r="L55" s="13"/>
      <c r="M55" s="13"/>
      <c r="N55" s="12"/>
      <c r="O55" s="12"/>
      <c r="P55" s="8"/>
    </row>
    <row r="56" spans="1:16" ht="24" customHeight="1" x14ac:dyDescent="0.25">
      <c r="A56" s="10"/>
      <c r="B56" s="9"/>
      <c r="C56" s="5"/>
      <c r="D56" s="5"/>
      <c r="E56" s="15"/>
      <c r="F56" s="15"/>
      <c r="G56" s="13"/>
      <c r="H56" s="13"/>
      <c r="I56" s="13"/>
      <c r="J56" s="13"/>
      <c r="K56" s="13"/>
      <c r="L56" s="13"/>
      <c r="M56" s="13"/>
      <c r="N56" s="12"/>
      <c r="O56" s="12"/>
      <c r="P56" s="8"/>
    </row>
    <row r="57" spans="1:16" ht="24" customHeight="1" x14ac:dyDescent="0.25">
      <c r="A57" s="10"/>
      <c r="B57" s="9"/>
      <c r="C57" s="5"/>
      <c r="D57" s="5"/>
      <c r="E57" s="15"/>
      <c r="F57" s="15"/>
      <c r="G57" s="13"/>
      <c r="H57" s="13"/>
      <c r="I57" s="13"/>
      <c r="J57" s="13"/>
      <c r="K57" s="13"/>
      <c r="L57" s="13"/>
      <c r="M57" s="13"/>
      <c r="N57" s="12"/>
      <c r="O57" s="12"/>
      <c r="P57" s="8"/>
    </row>
    <row r="58" spans="1:16" ht="24" customHeight="1" x14ac:dyDescent="0.25">
      <c r="A58" s="10"/>
      <c r="B58" s="9"/>
      <c r="C58" s="5"/>
      <c r="D58" s="5"/>
      <c r="E58" s="15"/>
      <c r="F58" s="15"/>
      <c r="G58" s="13"/>
      <c r="H58" s="13"/>
      <c r="I58" s="13"/>
      <c r="J58" s="13"/>
      <c r="K58" s="13"/>
      <c r="L58" s="13"/>
      <c r="M58" s="13"/>
      <c r="N58" s="12"/>
      <c r="O58" s="12"/>
      <c r="P58" s="8"/>
    </row>
    <row r="59" spans="1:16" ht="24" customHeight="1" x14ac:dyDescent="0.25">
      <c r="A59" s="10"/>
      <c r="B59" s="9"/>
      <c r="C59" s="5"/>
      <c r="D59" s="5"/>
      <c r="E59" s="15"/>
      <c r="F59" s="15"/>
      <c r="G59" s="13"/>
      <c r="H59" s="13"/>
      <c r="I59" s="13"/>
      <c r="J59" s="13"/>
      <c r="K59" s="13"/>
      <c r="L59" s="13"/>
      <c r="M59" s="13"/>
      <c r="N59" s="12"/>
      <c r="O59" s="12"/>
      <c r="P59" s="8"/>
    </row>
    <row r="60" spans="1:16" ht="24" customHeight="1" x14ac:dyDescent="0.25">
      <c r="A60" s="10"/>
      <c r="B60" s="9"/>
      <c r="C60" s="5"/>
      <c r="D60" s="5"/>
      <c r="E60" s="15"/>
      <c r="F60" s="15"/>
      <c r="G60" s="13"/>
      <c r="H60" s="13"/>
      <c r="I60" s="13"/>
      <c r="J60" s="13"/>
      <c r="K60" s="13"/>
      <c r="L60" s="13"/>
      <c r="M60" s="13"/>
      <c r="N60" s="12"/>
      <c r="O60" s="12"/>
      <c r="P60" s="8"/>
    </row>
    <row r="61" spans="1:16" ht="24" customHeight="1" x14ac:dyDescent="0.25">
      <c r="A61" s="10"/>
      <c r="B61" s="9"/>
      <c r="C61" s="5"/>
      <c r="D61" s="5"/>
      <c r="E61" s="15"/>
      <c r="F61" s="15"/>
      <c r="G61" s="13"/>
      <c r="H61" s="13"/>
      <c r="I61" s="13"/>
      <c r="J61" s="13"/>
      <c r="K61" s="13"/>
      <c r="L61" s="13"/>
      <c r="M61" s="13"/>
      <c r="N61" s="12"/>
      <c r="O61" s="12"/>
      <c r="P61" s="8"/>
    </row>
    <row r="62" spans="1:16" ht="24" customHeight="1" x14ac:dyDescent="0.25">
      <c r="A62" s="10"/>
      <c r="B62" s="9"/>
      <c r="C62" s="5"/>
      <c r="D62" s="5"/>
      <c r="E62" s="15"/>
      <c r="F62" s="15"/>
      <c r="G62" s="13"/>
      <c r="H62" s="13"/>
      <c r="I62" s="13"/>
      <c r="J62" s="13"/>
      <c r="K62" s="13"/>
      <c r="L62" s="13"/>
      <c r="M62" s="13"/>
      <c r="N62" s="12"/>
      <c r="O62" s="12"/>
      <c r="P62" s="8"/>
    </row>
    <row r="63" spans="1:16" ht="24" customHeight="1" x14ac:dyDescent="0.25">
      <c r="A63" s="10"/>
      <c r="B63" s="9"/>
      <c r="C63" s="5"/>
      <c r="D63" s="5"/>
      <c r="E63" s="15"/>
      <c r="F63" s="15"/>
      <c r="G63" s="13"/>
      <c r="H63" s="13"/>
      <c r="I63" s="13"/>
      <c r="J63" s="13"/>
      <c r="K63" s="13"/>
      <c r="L63" s="13"/>
      <c r="M63" s="13"/>
      <c r="N63" s="12"/>
      <c r="O63" s="12"/>
      <c r="P63" s="8"/>
    </row>
    <row r="64" spans="1:16" ht="24" customHeight="1" x14ac:dyDescent="0.25">
      <c r="A64" s="10"/>
      <c r="B64" s="9"/>
      <c r="C64" s="5"/>
      <c r="D64" s="5"/>
      <c r="E64" s="15"/>
      <c r="F64" s="15"/>
      <c r="G64" s="13"/>
      <c r="H64" s="13"/>
      <c r="I64" s="13"/>
      <c r="J64" s="13"/>
      <c r="K64" s="13"/>
      <c r="L64" s="13"/>
      <c r="M64" s="13"/>
      <c r="N64" s="12"/>
      <c r="O64" s="12"/>
      <c r="P64" s="8"/>
    </row>
    <row r="65" spans="1:16" ht="24" customHeight="1" thickBot="1" x14ac:dyDescent="0.3">
      <c r="A65" s="11"/>
      <c r="B65" s="9"/>
      <c r="C65" s="5"/>
      <c r="D65" s="5"/>
      <c r="E65" s="15"/>
      <c r="F65" s="15"/>
      <c r="G65" s="13"/>
      <c r="H65" s="13"/>
      <c r="I65" s="13"/>
      <c r="J65" s="13"/>
      <c r="K65" s="13"/>
      <c r="L65" s="13"/>
      <c r="M65" s="13"/>
      <c r="N65" s="12"/>
      <c r="O65" s="12"/>
      <c r="P65" s="8"/>
    </row>
    <row r="66" spans="1:16" x14ac:dyDescent="0.25">
      <c r="E66"/>
      <c r="F66"/>
    </row>
    <row r="67" spans="1:16" x14ac:dyDescent="0.25">
      <c r="E67"/>
      <c r="F67"/>
    </row>
  </sheetData>
  <mergeCells count="13">
    <mergeCell ref="A1:P1"/>
    <mergeCell ref="O5:O6"/>
    <mergeCell ref="P5:P6"/>
    <mergeCell ref="A2:O2"/>
    <mergeCell ref="A4:B4"/>
    <mergeCell ref="A5:A6"/>
    <mergeCell ref="B5:B6"/>
    <mergeCell ref="C5:C6"/>
    <mergeCell ref="D5:D6"/>
    <mergeCell ref="E5:E6"/>
    <mergeCell ref="F5:F6"/>
    <mergeCell ref="H5:M5"/>
    <mergeCell ref="N5:N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6"/>
  <sheetViews>
    <sheetView topLeftCell="A34" zoomScale="75" zoomScaleNormal="75" workbookViewId="0">
      <selection activeCell="A34" sqref="A34:XFD49"/>
    </sheetView>
  </sheetViews>
  <sheetFormatPr defaultRowHeight="15" x14ac:dyDescent="0.25"/>
  <cols>
    <col min="1" max="1" width="6.140625" customWidth="1"/>
    <col min="2" max="2" width="9.140625" bestFit="1" customWidth="1"/>
    <col min="3" max="3" width="15.5703125" customWidth="1"/>
    <col min="4" max="4" width="15.7109375" customWidth="1"/>
    <col min="5" max="5" width="9.140625" style="16" customWidth="1"/>
    <col min="6" max="6" width="15.140625" style="16" customWidth="1"/>
    <col min="7" max="12" width="9.5703125" bestFit="1" customWidth="1"/>
    <col min="13" max="13" width="8.85546875" customWidth="1"/>
    <col min="14" max="14" width="13.140625" customWidth="1"/>
    <col min="15" max="15" width="13.28515625" customWidth="1"/>
    <col min="16" max="16" width="24.7109375" customWidth="1"/>
  </cols>
  <sheetData>
    <row r="1" spans="1:16" x14ac:dyDescent="0.2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</row>
    <row r="2" spans="1:16" x14ac:dyDescent="0.25">
      <c r="A2" s="2" t="s">
        <v>1</v>
      </c>
      <c r="B2" s="2"/>
      <c r="C2" s="2"/>
      <c r="D2" s="2" t="s">
        <v>2</v>
      </c>
      <c r="E2" s="14" t="s">
        <v>46</v>
      </c>
      <c r="F2" s="14"/>
      <c r="G2" s="2"/>
      <c r="H2" s="3"/>
      <c r="I2" s="2"/>
      <c r="J2" s="2"/>
      <c r="K2" s="2"/>
      <c r="L2" s="2"/>
      <c r="M2" s="3"/>
      <c r="N2" s="4"/>
      <c r="O2" s="2"/>
    </row>
    <row r="3" spans="1:16" ht="15.75" thickBot="1" x14ac:dyDescent="0.3">
      <c r="A3" s="95">
        <v>43677</v>
      </c>
      <c r="B3" s="95"/>
      <c r="C3" s="2"/>
      <c r="D3" s="6"/>
      <c r="E3" s="18"/>
      <c r="F3" s="14"/>
      <c r="G3" s="2"/>
      <c r="H3" s="21" t="s">
        <v>81</v>
      </c>
      <c r="I3" s="2"/>
      <c r="J3" s="2"/>
      <c r="K3" s="2"/>
      <c r="L3" s="2"/>
      <c r="M3" s="4"/>
      <c r="N3" s="4"/>
      <c r="O3" s="2"/>
    </row>
    <row r="4" spans="1:16" s="1" customFormat="1" ht="14.45" customHeight="1" x14ac:dyDescent="0.25">
      <c r="A4" s="88" t="s">
        <v>3</v>
      </c>
      <c r="B4" s="90" t="s">
        <v>4</v>
      </c>
      <c r="C4" s="87" t="s">
        <v>5</v>
      </c>
      <c r="D4" s="87" t="s">
        <v>16</v>
      </c>
      <c r="E4" s="93" t="s">
        <v>6</v>
      </c>
      <c r="F4" s="93" t="s">
        <v>7</v>
      </c>
      <c r="G4" s="7" t="s">
        <v>17</v>
      </c>
      <c r="H4" s="87"/>
      <c r="I4" s="87"/>
      <c r="J4" s="87"/>
      <c r="K4" s="87"/>
      <c r="L4" s="87"/>
      <c r="M4" s="87"/>
      <c r="N4" s="87" t="s">
        <v>15</v>
      </c>
      <c r="O4" s="87" t="s">
        <v>18</v>
      </c>
      <c r="P4" s="84" t="s">
        <v>19</v>
      </c>
    </row>
    <row r="5" spans="1:16" ht="13.9" customHeight="1" thickBot="1" x14ac:dyDescent="0.3">
      <c r="A5" s="89"/>
      <c r="B5" s="91"/>
      <c r="C5" s="92"/>
      <c r="D5" s="92"/>
      <c r="E5" s="94"/>
      <c r="F5" s="94"/>
      <c r="G5" s="20" t="s">
        <v>8</v>
      </c>
      <c r="H5" s="20" t="s">
        <v>9</v>
      </c>
      <c r="I5" s="20" t="s">
        <v>10</v>
      </c>
      <c r="J5" s="20" t="s">
        <v>11</v>
      </c>
      <c r="K5" s="20" t="s">
        <v>12</v>
      </c>
      <c r="L5" s="20" t="s">
        <v>13</v>
      </c>
      <c r="M5" s="20" t="s">
        <v>14</v>
      </c>
      <c r="N5" s="92"/>
      <c r="O5" s="92"/>
      <c r="P5" s="85"/>
    </row>
    <row r="6" spans="1:16" ht="24" customHeight="1" x14ac:dyDescent="0.25">
      <c r="A6" s="10">
        <v>1</v>
      </c>
      <c r="B6" s="9">
        <v>0.2986111111111111</v>
      </c>
      <c r="C6" s="5" t="s">
        <v>126</v>
      </c>
      <c r="D6" s="5">
        <v>10</v>
      </c>
      <c r="E6" s="15"/>
      <c r="F6" s="15" t="s">
        <v>31</v>
      </c>
      <c r="G6" s="19">
        <v>6.82</v>
      </c>
      <c r="H6" s="19">
        <v>0.44</v>
      </c>
      <c r="I6" s="19">
        <v>7.92</v>
      </c>
      <c r="J6" s="19">
        <v>4.18</v>
      </c>
      <c r="K6" s="19">
        <v>2.86</v>
      </c>
      <c r="L6" s="19">
        <v>4.4000000000000004</v>
      </c>
      <c r="M6" s="19"/>
      <c r="N6" s="17"/>
      <c r="O6" s="12"/>
      <c r="P6" s="8" t="s">
        <v>38</v>
      </c>
    </row>
    <row r="7" spans="1:16" ht="24" customHeight="1" x14ac:dyDescent="0.25">
      <c r="A7" s="10">
        <v>2</v>
      </c>
      <c r="B7" s="9">
        <v>0.30208333333333331</v>
      </c>
      <c r="C7" s="5" t="s">
        <v>127</v>
      </c>
      <c r="D7" s="5">
        <v>10</v>
      </c>
      <c r="E7" s="15"/>
      <c r="F7" s="15" t="s">
        <v>26</v>
      </c>
      <c r="G7" s="19">
        <v>5.5</v>
      </c>
      <c r="H7" s="19">
        <v>4.84</v>
      </c>
      <c r="I7" s="19">
        <v>5.28</v>
      </c>
      <c r="J7" s="19">
        <v>10.56</v>
      </c>
      <c r="K7" s="19">
        <v>8.8000000000000007</v>
      </c>
      <c r="L7" s="19">
        <v>6.38</v>
      </c>
      <c r="M7" s="19"/>
      <c r="N7" s="17"/>
      <c r="O7" s="12"/>
      <c r="P7" s="8" t="s">
        <v>32</v>
      </c>
    </row>
    <row r="8" spans="1:16" ht="24" customHeight="1" x14ac:dyDescent="0.25">
      <c r="A8" s="10">
        <v>3</v>
      </c>
      <c r="B8" s="9">
        <v>0.31597222222222221</v>
      </c>
      <c r="C8" s="5" t="s">
        <v>22</v>
      </c>
      <c r="D8" s="5">
        <v>10</v>
      </c>
      <c r="E8" s="15"/>
      <c r="F8" s="15" t="s">
        <v>31</v>
      </c>
      <c r="G8" s="19">
        <v>6.6</v>
      </c>
      <c r="H8" s="19">
        <v>6.82</v>
      </c>
      <c r="I8" s="19">
        <v>5.72</v>
      </c>
      <c r="J8" s="19">
        <v>4.62</v>
      </c>
      <c r="K8" s="19">
        <v>4.62</v>
      </c>
      <c r="L8" s="19">
        <v>6.38</v>
      </c>
      <c r="M8" s="19"/>
      <c r="N8" s="17"/>
      <c r="O8" s="12"/>
      <c r="P8" s="8" t="s">
        <v>34</v>
      </c>
    </row>
    <row r="9" spans="1:16" ht="24" customHeight="1" x14ac:dyDescent="0.25">
      <c r="A9" s="10">
        <v>4</v>
      </c>
      <c r="B9" s="9">
        <v>0.32500000000000001</v>
      </c>
      <c r="C9" s="5" t="s">
        <v>128</v>
      </c>
      <c r="D9" s="5">
        <v>8</v>
      </c>
      <c r="E9" s="15"/>
      <c r="F9" s="15" t="s">
        <v>24</v>
      </c>
      <c r="G9" s="13">
        <v>5.28</v>
      </c>
      <c r="H9" s="13">
        <v>7.04</v>
      </c>
      <c r="I9" s="13"/>
      <c r="J9" s="13"/>
      <c r="K9" s="13"/>
      <c r="L9" s="13"/>
      <c r="M9" s="13"/>
      <c r="N9" s="17"/>
      <c r="O9" s="12"/>
      <c r="P9" s="8" t="s">
        <v>33</v>
      </c>
    </row>
    <row r="10" spans="1:16" ht="24" customHeight="1" x14ac:dyDescent="0.25">
      <c r="A10" s="10">
        <v>5</v>
      </c>
      <c r="B10" s="9">
        <v>0.3444444444444445</v>
      </c>
      <c r="C10" s="5" t="s">
        <v>129</v>
      </c>
      <c r="D10" s="5">
        <v>10</v>
      </c>
      <c r="E10" s="15"/>
      <c r="F10" s="15" t="s">
        <v>27</v>
      </c>
      <c r="G10" s="13">
        <v>8.8000000000000007</v>
      </c>
      <c r="H10" s="13">
        <v>8.36</v>
      </c>
      <c r="I10" s="13">
        <v>12.54</v>
      </c>
      <c r="J10" s="13">
        <v>6.6</v>
      </c>
      <c r="K10" s="13">
        <v>2.64</v>
      </c>
      <c r="L10" s="13"/>
      <c r="M10" s="13"/>
      <c r="N10" s="17"/>
      <c r="O10" s="12"/>
      <c r="P10" s="8" t="s">
        <v>32</v>
      </c>
    </row>
    <row r="11" spans="1:16" ht="24" customHeight="1" x14ac:dyDescent="0.25">
      <c r="A11" s="10">
        <v>6</v>
      </c>
      <c r="B11" s="9">
        <v>0.35069444444444442</v>
      </c>
      <c r="C11" s="5" t="s">
        <v>130</v>
      </c>
      <c r="D11" s="5">
        <v>10</v>
      </c>
      <c r="E11" s="15"/>
      <c r="F11" s="15" t="s">
        <v>26</v>
      </c>
      <c r="G11" s="13">
        <v>1.65</v>
      </c>
      <c r="H11" s="13">
        <v>5.28</v>
      </c>
      <c r="I11" s="13">
        <v>6.6</v>
      </c>
      <c r="J11" s="13">
        <v>5.28</v>
      </c>
      <c r="K11" s="13">
        <v>5.94</v>
      </c>
      <c r="L11" s="13">
        <v>5.72</v>
      </c>
      <c r="M11" s="13"/>
      <c r="N11" s="17"/>
      <c r="O11" s="12"/>
      <c r="P11" s="8" t="s">
        <v>36</v>
      </c>
    </row>
    <row r="12" spans="1:16" ht="24" customHeight="1" x14ac:dyDescent="0.25">
      <c r="A12" s="10">
        <v>7</v>
      </c>
      <c r="B12" s="9">
        <v>0.35416666666666669</v>
      </c>
      <c r="C12" s="5" t="s">
        <v>131</v>
      </c>
      <c r="D12" s="5">
        <v>10</v>
      </c>
      <c r="E12" s="15"/>
      <c r="F12" s="15" t="s">
        <v>149</v>
      </c>
      <c r="G12" s="13">
        <v>5.94</v>
      </c>
      <c r="H12" s="13">
        <v>5.72</v>
      </c>
      <c r="I12" s="13">
        <v>4.62</v>
      </c>
      <c r="J12" s="13">
        <v>11</v>
      </c>
      <c r="K12" s="13">
        <v>8.36</v>
      </c>
      <c r="L12" s="13">
        <v>7.04</v>
      </c>
      <c r="M12" s="13"/>
      <c r="N12" s="17"/>
      <c r="O12" s="12"/>
      <c r="P12" s="8" t="s">
        <v>36</v>
      </c>
    </row>
    <row r="13" spans="1:16" ht="24" customHeight="1" x14ac:dyDescent="0.25">
      <c r="A13" s="10">
        <v>8</v>
      </c>
      <c r="B13" s="9">
        <v>0.38611111111111113</v>
      </c>
      <c r="C13" s="5" t="s">
        <v>132</v>
      </c>
      <c r="D13" s="5">
        <v>10</v>
      </c>
      <c r="E13" s="15"/>
      <c r="F13" s="15" t="s">
        <v>28</v>
      </c>
      <c r="G13" s="13">
        <v>7.92</v>
      </c>
      <c r="H13" s="13">
        <v>5.2</v>
      </c>
      <c r="I13" s="13">
        <v>14.96</v>
      </c>
      <c r="J13" s="13">
        <v>9.9</v>
      </c>
      <c r="K13" s="13">
        <v>1.32</v>
      </c>
      <c r="L13" s="13"/>
      <c r="M13" s="13"/>
      <c r="N13" s="17"/>
      <c r="O13" s="12"/>
      <c r="P13" s="8" t="s">
        <v>32</v>
      </c>
    </row>
    <row r="14" spans="1:16" ht="24" customHeight="1" x14ac:dyDescent="0.25">
      <c r="A14" s="10">
        <v>9</v>
      </c>
      <c r="B14" s="9">
        <v>0.3888888888888889</v>
      </c>
      <c r="C14" s="5" t="s">
        <v>133</v>
      </c>
      <c r="D14" s="5">
        <v>8</v>
      </c>
      <c r="E14" s="15"/>
      <c r="F14" s="15" t="s">
        <v>24</v>
      </c>
      <c r="G14" s="13">
        <v>4.18</v>
      </c>
      <c r="H14" s="13">
        <v>13.2</v>
      </c>
      <c r="I14" s="13"/>
      <c r="J14" s="13"/>
      <c r="K14" s="13"/>
      <c r="L14" s="13"/>
      <c r="M14" s="13"/>
      <c r="N14" s="17"/>
      <c r="O14" s="12"/>
      <c r="P14" s="8" t="s">
        <v>32</v>
      </c>
    </row>
    <row r="15" spans="1:16" ht="24" customHeight="1" x14ac:dyDescent="0.25">
      <c r="A15" s="10">
        <v>10</v>
      </c>
      <c r="B15" s="9">
        <v>0.42222222222222222</v>
      </c>
      <c r="C15" s="5" t="s">
        <v>134</v>
      </c>
      <c r="D15" s="5">
        <v>10</v>
      </c>
      <c r="E15" s="15"/>
      <c r="F15" s="15" t="s">
        <v>31</v>
      </c>
      <c r="G15" s="13">
        <v>5.5</v>
      </c>
      <c r="H15" s="13">
        <v>6.16</v>
      </c>
      <c r="I15" s="13">
        <v>5.94</v>
      </c>
      <c r="J15" s="13">
        <v>9.68</v>
      </c>
      <c r="K15" s="13">
        <v>6.6</v>
      </c>
      <c r="L15" s="13">
        <v>6.16</v>
      </c>
      <c r="M15" s="13"/>
      <c r="N15" s="17"/>
      <c r="O15" s="12"/>
      <c r="P15" s="8" t="s">
        <v>34</v>
      </c>
    </row>
    <row r="16" spans="1:16" ht="24" customHeight="1" x14ac:dyDescent="0.25">
      <c r="A16" s="10">
        <v>11</v>
      </c>
      <c r="B16" s="9">
        <v>0.42499999999999999</v>
      </c>
      <c r="C16" s="5" t="s">
        <v>135</v>
      </c>
      <c r="D16" s="5">
        <v>10</v>
      </c>
      <c r="E16" s="15"/>
      <c r="F16" s="15" t="s">
        <v>31</v>
      </c>
      <c r="G16" s="13">
        <v>5.94</v>
      </c>
      <c r="H16" s="13">
        <v>5.5</v>
      </c>
      <c r="I16" s="13">
        <v>4.4000000000000004</v>
      </c>
      <c r="J16" s="13">
        <v>5.28</v>
      </c>
      <c r="K16" s="13">
        <v>3.96</v>
      </c>
      <c r="L16" s="13">
        <v>3.96</v>
      </c>
      <c r="M16" s="13"/>
      <c r="N16" s="12"/>
      <c r="O16" s="12"/>
      <c r="P16" s="8" t="s">
        <v>34</v>
      </c>
    </row>
    <row r="17" spans="1:16" ht="24" customHeight="1" x14ac:dyDescent="0.25">
      <c r="A17" s="10">
        <v>12</v>
      </c>
      <c r="B17" s="9">
        <v>0.43472222222222223</v>
      </c>
      <c r="C17" s="5" t="s">
        <v>136</v>
      </c>
      <c r="D17" s="5">
        <v>10</v>
      </c>
      <c r="E17" s="15"/>
      <c r="F17" s="22" t="s">
        <v>31</v>
      </c>
      <c r="G17" s="13">
        <v>4.62</v>
      </c>
      <c r="H17" s="13">
        <v>5.0599999999999996</v>
      </c>
      <c r="I17" s="13">
        <v>1.98</v>
      </c>
      <c r="J17" s="13">
        <v>6.38</v>
      </c>
      <c r="K17" s="13">
        <v>5.5</v>
      </c>
      <c r="L17" s="13">
        <v>3.96</v>
      </c>
      <c r="M17" s="13"/>
      <c r="N17" s="12"/>
      <c r="O17" s="12"/>
      <c r="P17" s="8" t="s">
        <v>33</v>
      </c>
    </row>
    <row r="18" spans="1:16" ht="24" customHeight="1" x14ac:dyDescent="0.25">
      <c r="A18" s="10">
        <v>13</v>
      </c>
      <c r="B18" s="9">
        <v>0.44236111111111115</v>
      </c>
      <c r="C18" s="5" t="s">
        <v>137</v>
      </c>
      <c r="D18" s="5">
        <v>10</v>
      </c>
      <c r="E18" s="15"/>
      <c r="F18" s="15" t="s">
        <v>31</v>
      </c>
      <c r="G18" s="13">
        <v>4.62</v>
      </c>
      <c r="H18" s="13">
        <v>7.26</v>
      </c>
      <c r="I18" s="13">
        <v>6.16</v>
      </c>
      <c r="J18" s="13">
        <v>7.92</v>
      </c>
      <c r="K18" s="13">
        <v>7.26</v>
      </c>
      <c r="L18" s="13">
        <v>10.119999999999999</v>
      </c>
      <c r="M18" s="13"/>
      <c r="N18" s="17"/>
      <c r="O18" s="12"/>
      <c r="P18" s="8" t="s">
        <v>32</v>
      </c>
    </row>
    <row r="19" spans="1:16" ht="24" customHeight="1" x14ac:dyDescent="0.25">
      <c r="A19" s="10">
        <v>14</v>
      </c>
      <c r="B19" s="9">
        <v>0.46875</v>
      </c>
      <c r="C19" s="5" t="s">
        <v>138</v>
      </c>
      <c r="D19" s="5">
        <v>10</v>
      </c>
      <c r="E19" s="15"/>
      <c r="F19" s="15" t="s">
        <v>150</v>
      </c>
      <c r="G19" s="13">
        <v>6.38</v>
      </c>
      <c r="H19" s="13">
        <v>8.58</v>
      </c>
      <c r="I19" s="13">
        <v>3.96</v>
      </c>
      <c r="J19" s="13">
        <v>4.84</v>
      </c>
      <c r="K19" s="13">
        <v>4.62</v>
      </c>
      <c r="L19" s="13"/>
      <c r="M19" s="13"/>
      <c r="N19" s="17"/>
      <c r="O19" s="12"/>
      <c r="P19" s="8" t="s">
        <v>33</v>
      </c>
    </row>
    <row r="20" spans="1:16" ht="24" customHeight="1" x14ac:dyDescent="0.25">
      <c r="A20" s="10">
        <v>15</v>
      </c>
      <c r="B20" s="9">
        <v>0.48055555555555557</v>
      </c>
      <c r="C20" s="5" t="s">
        <v>43</v>
      </c>
      <c r="D20" s="5">
        <v>10</v>
      </c>
      <c r="E20" s="15"/>
      <c r="F20" s="15" t="s">
        <v>27</v>
      </c>
      <c r="G20" s="13">
        <v>6.6</v>
      </c>
      <c r="H20" s="13">
        <v>6.82</v>
      </c>
      <c r="I20" s="13">
        <v>13.42</v>
      </c>
      <c r="J20" s="13">
        <v>12.32</v>
      </c>
      <c r="K20" s="13">
        <v>1.1000000000000001</v>
      </c>
      <c r="L20" s="13"/>
      <c r="M20" s="13"/>
      <c r="N20" s="17"/>
      <c r="O20" s="12"/>
      <c r="P20" s="8" t="s">
        <v>36</v>
      </c>
    </row>
    <row r="21" spans="1:16" ht="24" customHeight="1" x14ac:dyDescent="0.25">
      <c r="A21" s="10">
        <v>16</v>
      </c>
      <c r="B21" s="9">
        <v>0.49861111111111112</v>
      </c>
      <c r="C21" s="5" t="s">
        <v>139</v>
      </c>
      <c r="D21" s="5">
        <v>8</v>
      </c>
      <c r="E21" s="15"/>
      <c r="F21" s="15" t="s">
        <v>24</v>
      </c>
      <c r="G21" s="13">
        <v>3.52</v>
      </c>
      <c r="H21" s="13">
        <v>5.94</v>
      </c>
      <c r="I21" s="13"/>
      <c r="J21" s="13"/>
      <c r="K21" s="13"/>
      <c r="L21" s="13"/>
      <c r="M21" s="13"/>
      <c r="N21" s="17"/>
      <c r="O21" s="12"/>
      <c r="P21" s="8" t="s">
        <v>37</v>
      </c>
    </row>
    <row r="22" spans="1:16" ht="24" customHeight="1" x14ac:dyDescent="0.25">
      <c r="A22" s="10">
        <v>17</v>
      </c>
      <c r="B22" s="9">
        <v>0.51597222222222217</v>
      </c>
      <c r="C22" s="5" t="s">
        <v>140</v>
      </c>
      <c r="D22" s="5">
        <v>5</v>
      </c>
      <c r="E22" s="15"/>
      <c r="F22" s="15" t="s">
        <v>24</v>
      </c>
      <c r="G22" s="13">
        <v>6.6</v>
      </c>
      <c r="H22" s="13">
        <v>9.02</v>
      </c>
      <c r="I22" s="13"/>
      <c r="J22" s="13"/>
      <c r="K22" s="13"/>
      <c r="L22" s="13"/>
      <c r="M22" s="13"/>
      <c r="N22" s="17"/>
      <c r="O22" s="12"/>
      <c r="P22" s="8" t="s">
        <v>33</v>
      </c>
    </row>
    <row r="23" spans="1:16" ht="24" customHeight="1" x14ac:dyDescent="0.25">
      <c r="A23" s="10">
        <v>18</v>
      </c>
      <c r="B23" s="9">
        <v>0.5229166666666667</v>
      </c>
      <c r="C23" s="5" t="s">
        <v>44</v>
      </c>
      <c r="D23" s="5">
        <v>9</v>
      </c>
      <c r="E23" s="15"/>
      <c r="F23" s="15" t="s">
        <v>25</v>
      </c>
      <c r="G23" s="13">
        <v>5.72</v>
      </c>
      <c r="H23" s="13">
        <v>11.66</v>
      </c>
      <c r="I23" s="13">
        <v>6.82</v>
      </c>
      <c r="J23" s="13"/>
      <c r="K23" s="13"/>
      <c r="L23" s="13"/>
      <c r="M23" s="13"/>
      <c r="N23" s="17"/>
      <c r="O23" s="12"/>
      <c r="P23" s="8" t="s">
        <v>32</v>
      </c>
    </row>
    <row r="24" spans="1:16" ht="24" customHeight="1" x14ac:dyDescent="0.25">
      <c r="A24" s="10">
        <v>19</v>
      </c>
      <c r="B24" s="9">
        <v>0.53055555555555556</v>
      </c>
      <c r="C24" s="5" t="s">
        <v>141</v>
      </c>
      <c r="D24" s="5">
        <v>10</v>
      </c>
      <c r="E24" s="15"/>
      <c r="F24" s="15" t="s">
        <v>31</v>
      </c>
      <c r="G24" s="13">
        <v>6.6</v>
      </c>
      <c r="H24" s="13">
        <v>5.0599999999999996</v>
      </c>
      <c r="I24" s="13">
        <v>3.96</v>
      </c>
      <c r="J24" s="13">
        <v>6.82</v>
      </c>
      <c r="K24" s="13">
        <v>3.52</v>
      </c>
      <c r="L24" s="13">
        <v>4.18</v>
      </c>
      <c r="M24" s="13"/>
      <c r="N24" s="17"/>
      <c r="O24" s="12"/>
      <c r="P24" s="8" t="s">
        <v>40</v>
      </c>
    </row>
    <row r="25" spans="1:16" ht="24" customHeight="1" x14ac:dyDescent="0.25">
      <c r="A25" s="10">
        <v>20</v>
      </c>
      <c r="B25" s="9">
        <v>6.805555555555555E-2</v>
      </c>
      <c r="C25" s="5" t="s">
        <v>142</v>
      </c>
      <c r="D25" s="5">
        <v>10</v>
      </c>
      <c r="E25" s="15"/>
      <c r="F25" s="15" t="s">
        <v>27</v>
      </c>
      <c r="G25" s="13">
        <v>4.18</v>
      </c>
      <c r="H25" s="13">
        <v>8.36</v>
      </c>
      <c r="I25" s="13">
        <v>12.1</v>
      </c>
      <c r="J25" s="13">
        <v>9.9</v>
      </c>
      <c r="K25" s="13">
        <v>6.6</v>
      </c>
      <c r="L25" s="13"/>
      <c r="M25" s="13"/>
      <c r="N25" s="17"/>
      <c r="O25" s="12"/>
      <c r="P25" s="8" t="s">
        <v>34</v>
      </c>
    </row>
    <row r="26" spans="1:16" ht="24" customHeight="1" x14ac:dyDescent="0.25">
      <c r="A26" s="10">
        <v>21</v>
      </c>
      <c r="B26" s="9">
        <v>7.0833333333333331E-2</v>
      </c>
      <c r="C26" s="5" t="s">
        <v>143</v>
      </c>
      <c r="D26" s="5">
        <v>10</v>
      </c>
      <c r="E26" s="15"/>
      <c r="F26" s="15" t="s">
        <v>31</v>
      </c>
      <c r="G26" s="13">
        <v>6.82</v>
      </c>
      <c r="H26" s="13">
        <v>6.38</v>
      </c>
      <c r="I26" s="13">
        <v>3.3</v>
      </c>
      <c r="J26" s="13">
        <v>4.62</v>
      </c>
      <c r="K26" s="13">
        <v>4.4000000000000004</v>
      </c>
      <c r="L26" s="13">
        <v>3.96</v>
      </c>
      <c r="M26" s="13"/>
      <c r="N26" s="17"/>
      <c r="O26" s="12"/>
      <c r="P26" s="8" t="s">
        <v>32</v>
      </c>
    </row>
    <row r="27" spans="1:16" ht="24" customHeight="1" x14ac:dyDescent="0.25">
      <c r="A27" s="10">
        <v>22</v>
      </c>
      <c r="B27" s="9">
        <v>7.3611111111111113E-2</v>
      </c>
      <c r="C27" s="5" t="s">
        <v>144</v>
      </c>
      <c r="D27" s="5">
        <v>10</v>
      </c>
      <c r="E27" s="15"/>
      <c r="F27" s="15" t="s">
        <v>31</v>
      </c>
      <c r="G27" s="13">
        <v>5.72</v>
      </c>
      <c r="H27" s="13">
        <v>7.7</v>
      </c>
      <c r="I27" s="13">
        <v>7.04</v>
      </c>
      <c r="J27" s="13">
        <v>6.16</v>
      </c>
      <c r="K27" s="13">
        <v>6.16</v>
      </c>
      <c r="L27" s="13">
        <v>5.28</v>
      </c>
      <c r="M27" s="13"/>
      <c r="N27" s="17"/>
      <c r="O27" s="12"/>
      <c r="P27" s="8" t="s">
        <v>32</v>
      </c>
    </row>
    <row r="28" spans="1:16" ht="24" customHeight="1" x14ac:dyDescent="0.25">
      <c r="A28" s="10">
        <v>23</v>
      </c>
      <c r="B28" s="9">
        <v>0.12430555555555556</v>
      </c>
      <c r="C28" s="5" t="s">
        <v>145</v>
      </c>
      <c r="D28" s="5">
        <v>10</v>
      </c>
      <c r="E28" s="15"/>
      <c r="F28" s="15" t="s">
        <v>31</v>
      </c>
      <c r="G28" s="13">
        <v>6.16</v>
      </c>
      <c r="H28" s="13">
        <v>9.24</v>
      </c>
      <c r="I28" s="13">
        <v>10.78</v>
      </c>
      <c r="J28" s="13">
        <v>5.0599999999999996</v>
      </c>
      <c r="K28" s="13">
        <v>5.28</v>
      </c>
      <c r="L28" s="13">
        <v>10.78</v>
      </c>
      <c r="M28" s="13"/>
      <c r="N28" s="17"/>
      <c r="O28" s="12"/>
      <c r="P28" s="8" t="s">
        <v>32</v>
      </c>
    </row>
    <row r="29" spans="1:16" ht="24" customHeight="1" x14ac:dyDescent="0.25">
      <c r="A29" s="10">
        <v>24</v>
      </c>
      <c r="B29" s="9">
        <v>0.17013888888888887</v>
      </c>
      <c r="C29" s="5" t="s">
        <v>146</v>
      </c>
      <c r="D29" s="5">
        <v>10</v>
      </c>
      <c r="E29" s="15"/>
      <c r="F29" s="15" t="s">
        <v>31</v>
      </c>
      <c r="G29" s="13">
        <v>6.38</v>
      </c>
      <c r="H29" s="13">
        <v>2.42</v>
      </c>
      <c r="I29" s="13">
        <v>10.119999999999999</v>
      </c>
      <c r="J29" s="13">
        <v>5.72</v>
      </c>
      <c r="K29" s="13">
        <v>4.62</v>
      </c>
      <c r="L29" s="13">
        <v>6.38</v>
      </c>
      <c r="M29" s="13"/>
      <c r="N29" s="17"/>
      <c r="O29" s="12"/>
      <c r="P29" s="8" t="s">
        <v>33</v>
      </c>
    </row>
    <row r="30" spans="1:16" ht="24" customHeight="1" x14ac:dyDescent="0.25">
      <c r="A30" s="10">
        <v>25</v>
      </c>
      <c r="B30" s="9">
        <v>0.17361111111111113</v>
      </c>
      <c r="C30" s="5" t="s">
        <v>147</v>
      </c>
      <c r="D30" s="5">
        <v>10</v>
      </c>
      <c r="E30" s="15"/>
      <c r="F30" s="15" t="s">
        <v>31</v>
      </c>
      <c r="G30" s="13">
        <v>4.62</v>
      </c>
      <c r="H30" s="13">
        <v>8.14</v>
      </c>
      <c r="I30" s="13">
        <v>2.42</v>
      </c>
      <c r="J30" s="13">
        <v>5.28</v>
      </c>
      <c r="K30" s="13">
        <v>2.64</v>
      </c>
      <c r="L30" s="13">
        <v>4.18</v>
      </c>
      <c r="M30" s="13"/>
      <c r="N30" s="17"/>
      <c r="O30" s="12"/>
      <c r="P30" s="8" t="s">
        <v>35</v>
      </c>
    </row>
    <row r="31" spans="1:16" ht="24" customHeight="1" x14ac:dyDescent="0.25">
      <c r="A31" s="10">
        <v>26</v>
      </c>
      <c r="B31" s="9">
        <v>0.17847222222222223</v>
      </c>
      <c r="C31" s="5" t="s">
        <v>148</v>
      </c>
      <c r="D31" s="5">
        <v>10</v>
      </c>
      <c r="E31" s="15"/>
      <c r="F31" s="15" t="s">
        <v>27</v>
      </c>
      <c r="G31" s="13">
        <v>7.04</v>
      </c>
      <c r="H31" s="13">
        <v>7.7</v>
      </c>
      <c r="I31" s="13">
        <v>9.9</v>
      </c>
      <c r="J31" s="13">
        <v>10.119999999999999</v>
      </c>
      <c r="K31" s="13">
        <v>2.64</v>
      </c>
      <c r="L31" s="13">
        <v>2.86</v>
      </c>
      <c r="M31" s="13"/>
      <c r="N31" s="17"/>
      <c r="O31" s="12"/>
      <c r="P31" s="8" t="s">
        <v>37</v>
      </c>
    </row>
    <row r="32" spans="1:16" ht="24" customHeight="1" x14ac:dyDescent="0.25">
      <c r="A32" s="10">
        <v>27</v>
      </c>
      <c r="B32" s="9">
        <v>0.21597222222222223</v>
      </c>
      <c r="C32" s="5" t="s">
        <v>23</v>
      </c>
      <c r="D32" s="5">
        <v>8</v>
      </c>
      <c r="E32" s="15"/>
      <c r="F32" s="15" t="s">
        <v>24</v>
      </c>
      <c r="G32" s="13">
        <v>5.28</v>
      </c>
      <c r="H32" s="13">
        <v>9.02</v>
      </c>
      <c r="I32" s="13"/>
      <c r="J32" s="13"/>
      <c r="K32" s="13"/>
      <c r="L32" s="13"/>
      <c r="M32" s="13"/>
      <c r="N32" s="17"/>
      <c r="O32" s="12"/>
      <c r="P32" s="8" t="s">
        <v>36</v>
      </c>
    </row>
    <row r="33" spans="1:16" ht="24" customHeight="1" x14ac:dyDescent="0.25">
      <c r="A33" s="10"/>
      <c r="B33" s="9"/>
      <c r="C33" s="5"/>
      <c r="D33" s="5"/>
      <c r="E33" s="15"/>
      <c r="F33" s="15"/>
      <c r="G33" s="13"/>
      <c r="H33" s="36" t="s">
        <v>82</v>
      </c>
      <c r="I33" s="13"/>
      <c r="J33" s="13"/>
      <c r="K33" s="13"/>
      <c r="L33" s="13"/>
      <c r="M33" s="13"/>
      <c r="N33" s="17"/>
      <c r="O33" s="12"/>
      <c r="P33" s="8"/>
    </row>
    <row r="34" spans="1:16" ht="24" customHeight="1" x14ac:dyDescent="0.25">
      <c r="A34" s="10">
        <v>1</v>
      </c>
      <c r="B34" s="9">
        <v>0.4152777777777778</v>
      </c>
      <c r="C34" s="5" t="s">
        <v>151</v>
      </c>
      <c r="D34" s="5">
        <v>10</v>
      </c>
      <c r="E34" s="15"/>
      <c r="F34" s="15" t="s">
        <v>31</v>
      </c>
      <c r="G34" s="13">
        <v>5.72</v>
      </c>
      <c r="H34" s="13">
        <v>5.53</v>
      </c>
      <c r="I34" s="13">
        <v>2.86</v>
      </c>
      <c r="J34" s="13">
        <v>2.42</v>
      </c>
      <c r="K34" s="13">
        <v>2.86</v>
      </c>
      <c r="L34" s="13">
        <v>2.42</v>
      </c>
      <c r="M34" s="13"/>
      <c r="N34" s="17"/>
      <c r="O34" s="12"/>
      <c r="P34" s="8" t="s">
        <v>165</v>
      </c>
    </row>
    <row r="35" spans="1:16" ht="24" customHeight="1" x14ac:dyDescent="0.25">
      <c r="A35" s="10">
        <v>2</v>
      </c>
      <c r="B35" s="9">
        <v>0.42708333333333331</v>
      </c>
      <c r="C35" s="5" t="s">
        <v>152</v>
      </c>
      <c r="D35" s="5">
        <v>10</v>
      </c>
      <c r="E35" s="15"/>
      <c r="F35" s="15" t="s">
        <v>31</v>
      </c>
      <c r="G35" s="13">
        <v>4.62</v>
      </c>
      <c r="H35" s="13">
        <v>5.0599999999999996</v>
      </c>
      <c r="I35" s="13">
        <v>1.98</v>
      </c>
      <c r="J35" s="13">
        <v>6.38</v>
      </c>
      <c r="K35" s="13">
        <v>5.5</v>
      </c>
      <c r="L35" s="13">
        <v>3.96</v>
      </c>
      <c r="M35" s="13"/>
      <c r="N35" s="17"/>
      <c r="O35" s="12"/>
      <c r="P35" s="8" t="s">
        <v>165</v>
      </c>
    </row>
    <row r="36" spans="1:16" ht="24" customHeight="1" x14ac:dyDescent="0.25">
      <c r="A36" s="10">
        <v>3</v>
      </c>
      <c r="B36" s="9">
        <v>0.43958333333333338</v>
      </c>
      <c r="C36" s="5" t="s">
        <v>153</v>
      </c>
      <c r="D36" s="5">
        <v>10</v>
      </c>
      <c r="E36" s="15"/>
      <c r="F36" s="15" t="s">
        <v>31</v>
      </c>
      <c r="G36" s="13">
        <v>5.5</v>
      </c>
      <c r="H36" s="13">
        <v>2.42</v>
      </c>
      <c r="I36" s="13">
        <v>2.42</v>
      </c>
      <c r="J36" s="13">
        <v>2.2000000000000002</v>
      </c>
      <c r="K36" s="13">
        <v>2.2000000000000002</v>
      </c>
      <c r="L36" s="13">
        <v>2.2000000000000002</v>
      </c>
      <c r="M36" s="13"/>
      <c r="N36" s="17"/>
      <c r="O36" s="12"/>
      <c r="P36" s="8" t="s">
        <v>165</v>
      </c>
    </row>
    <row r="37" spans="1:16" ht="24" customHeight="1" x14ac:dyDescent="0.25">
      <c r="A37" s="10">
        <v>4</v>
      </c>
      <c r="B37" s="9">
        <v>0.4513888888888889</v>
      </c>
      <c r="C37" s="5" t="s">
        <v>154</v>
      </c>
      <c r="D37" s="5">
        <v>5</v>
      </c>
      <c r="E37" s="15"/>
      <c r="F37" s="15" t="s">
        <v>24</v>
      </c>
      <c r="G37" s="13">
        <v>6.6</v>
      </c>
      <c r="H37" s="13">
        <v>6.6</v>
      </c>
      <c r="I37" s="13"/>
      <c r="J37" s="13"/>
      <c r="K37" s="13"/>
      <c r="L37" s="13"/>
      <c r="M37" s="13"/>
      <c r="N37" s="17"/>
      <c r="O37" s="12"/>
      <c r="P37" s="8" t="s">
        <v>165</v>
      </c>
    </row>
    <row r="38" spans="1:16" ht="24" customHeight="1" x14ac:dyDescent="0.25">
      <c r="A38" s="10">
        <v>5</v>
      </c>
      <c r="B38" s="9">
        <v>0.49305555555555558</v>
      </c>
      <c r="C38" s="5" t="s">
        <v>155</v>
      </c>
      <c r="D38" s="5">
        <v>10</v>
      </c>
      <c r="E38" s="15"/>
      <c r="F38" s="15" t="s">
        <v>29</v>
      </c>
      <c r="G38" s="13">
        <v>3.3</v>
      </c>
      <c r="H38" s="13">
        <v>2.64</v>
      </c>
      <c r="I38" s="13">
        <v>4.84</v>
      </c>
      <c r="J38" s="13">
        <v>3.08</v>
      </c>
      <c r="K38" s="13"/>
      <c r="L38" s="13"/>
      <c r="M38" s="13"/>
      <c r="N38" s="17"/>
      <c r="O38" s="12"/>
      <c r="P38" s="8" t="s">
        <v>165</v>
      </c>
    </row>
    <row r="39" spans="1:16" ht="24" customHeight="1" x14ac:dyDescent="0.25">
      <c r="A39" s="10">
        <v>6</v>
      </c>
      <c r="B39" s="9">
        <v>0.53333333333333333</v>
      </c>
      <c r="C39" s="5" t="s">
        <v>156</v>
      </c>
      <c r="D39" s="5">
        <v>10</v>
      </c>
      <c r="E39" s="15"/>
      <c r="F39" s="15" t="s">
        <v>31</v>
      </c>
      <c r="G39" s="13">
        <v>6.16</v>
      </c>
      <c r="H39" s="13">
        <v>3.16</v>
      </c>
      <c r="I39" s="13">
        <v>3.16</v>
      </c>
      <c r="J39" s="13">
        <v>2.64</v>
      </c>
      <c r="K39" s="13">
        <v>1.98</v>
      </c>
      <c r="L39" s="13">
        <v>1.76</v>
      </c>
      <c r="M39" s="13"/>
      <c r="N39" s="17"/>
      <c r="O39" s="12"/>
      <c r="P39" s="8" t="s">
        <v>165</v>
      </c>
    </row>
    <row r="40" spans="1:16" ht="24" customHeight="1" x14ac:dyDescent="0.25">
      <c r="A40" s="10">
        <v>7</v>
      </c>
      <c r="B40" s="9">
        <v>4.5138888888888888E-2</v>
      </c>
      <c r="C40" s="5" t="s">
        <v>157</v>
      </c>
      <c r="D40" s="5">
        <v>8</v>
      </c>
      <c r="E40" s="15"/>
      <c r="F40" s="15" t="s">
        <v>24</v>
      </c>
      <c r="G40" s="13">
        <v>2.42</v>
      </c>
      <c r="H40" s="13">
        <v>2.2000000000000002</v>
      </c>
      <c r="I40" s="13"/>
      <c r="J40" s="13"/>
      <c r="K40" s="13"/>
      <c r="L40" s="13"/>
      <c r="M40" s="13"/>
      <c r="N40" s="17"/>
      <c r="O40" s="12"/>
      <c r="P40" s="8" t="s">
        <v>165</v>
      </c>
    </row>
    <row r="41" spans="1:16" s="46" customFormat="1" ht="24" customHeight="1" x14ac:dyDescent="0.25">
      <c r="A41" s="10">
        <v>8</v>
      </c>
      <c r="B41" s="40">
        <v>7.8472222222222221E-2</v>
      </c>
      <c r="C41" s="41" t="s">
        <v>158</v>
      </c>
      <c r="D41" s="5">
        <v>10</v>
      </c>
      <c r="E41" s="42"/>
      <c r="F41" s="42" t="s">
        <v>26</v>
      </c>
      <c r="G41" s="43">
        <v>5.0599999999999996</v>
      </c>
      <c r="H41" s="43">
        <v>2.2000000000000002</v>
      </c>
      <c r="I41" s="43">
        <v>2.86</v>
      </c>
      <c r="J41" s="43">
        <v>3.08</v>
      </c>
      <c r="K41" s="43">
        <v>2.2000000000000002</v>
      </c>
      <c r="L41" s="43">
        <v>2.2000000000000002</v>
      </c>
      <c r="M41" s="43"/>
      <c r="N41" s="44"/>
      <c r="O41" s="45"/>
      <c r="P41" s="8" t="s">
        <v>165</v>
      </c>
    </row>
    <row r="42" spans="1:16" ht="24" customHeight="1" x14ac:dyDescent="0.25">
      <c r="A42" s="10">
        <v>9</v>
      </c>
      <c r="B42" s="9">
        <v>0.12152777777777778</v>
      </c>
      <c r="C42" s="5" t="s">
        <v>159</v>
      </c>
      <c r="D42" s="5">
        <v>5</v>
      </c>
      <c r="E42" s="15"/>
      <c r="F42" s="15" t="s">
        <v>24</v>
      </c>
      <c r="G42" s="13">
        <v>6.38</v>
      </c>
      <c r="H42" s="13">
        <v>4.84</v>
      </c>
      <c r="I42" s="13"/>
      <c r="J42" s="13"/>
      <c r="K42" s="13"/>
      <c r="L42" s="13"/>
      <c r="M42" s="13"/>
      <c r="N42" s="17"/>
      <c r="O42" s="12"/>
      <c r="P42" s="8" t="s">
        <v>165</v>
      </c>
    </row>
    <row r="43" spans="1:16" ht="24" customHeight="1" x14ac:dyDescent="0.25">
      <c r="A43" s="10">
        <v>10</v>
      </c>
      <c r="B43" s="9">
        <v>0.15972222222222224</v>
      </c>
      <c r="C43" s="5" t="s">
        <v>160</v>
      </c>
      <c r="D43" s="5">
        <v>10</v>
      </c>
      <c r="E43" s="15"/>
      <c r="F43" s="15" t="s">
        <v>27</v>
      </c>
      <c r="G43" s="13">
        <v>2.64</v>
      </c>
      <c r="H43" s="13">
        <v>4.18</v>
      </c>
      <c r="I43" s="13">
        <v>4.62</v>
      </c>
      <c r="J43" s="13">
        <v>2.64</v>
      </c>
      <c r="K43" s="13">
        <v>4.4000000000000004</v>
      </c>
      <c r="L43" s="13"/>
      <c r="M43" s="13"/>
      <c r="N43" s="17"/>
      <c r="O43" s="12"/>
      <c r="P43" s="8" t="s">
        <v>165</v>
      </c>
    </row>
    <row r="44" spans="1:16" ht="24" customHeight="1" x14ac:dyDescent="0.25">
      <c r="A44" s="10">
        <v>11</v>
      </c>
      <c r="B44" s="9">
        <v>0.17708333333333334</v>
      </c>
      <c r="C44" s="5" t="s">
        <v>161</v>
      </c>
      <c r="D44" s="5">
        <v>5</v>
      </c>
      <c r="E44" s="15"/>
      <c r="F44" s="15" t="s">
        <v>24</v>
      </c>
      <c r="G44" s="13">
        <v>5.28</v>
      </c>
      <c r="H44" s="13">
        <v>7.48</v>
      </c>
      <c r="I44" s="13"/>
      <c r="J44" s="13"/>
      <c r="K44" s="13"/>
      <c r="L44" s="13"/>
      <c r="M44" s="13"/>
      <c r="N44" s="17"/>
      <c r="O44" s="12"/>
      <c r="P44" s="8" t="s">
        <v>165</v>
      </c>
    </row>
    <row r="45" spans="1:16" ht="24" customHeight="1" x14ac:dyDescent="0.25">
      <c r="A45" s="10">
        <v>12</v>
      </c>
      <c r="B45" s="9">
        <v>0.20625000000000002</v>
      </c>
      <c r="C45" s="5" t="s">
        <v>20</v>
      </c>
      <c r="D45" s="5">
        <v>9</v>
      </c>
      <c r="E45" s="15"/>
      <c r="F45" s="15" t="s">
        <v>25</v>
      </c>
      <c r="G45" s="13">
        <v>2.42</v>
      </c>
      <c r="H45" s="13">
        <v>2.42</v>
      </c>
      <c r="I45" s="13">
        <v>0.44</v>
      </c>
      <c r="J45" s="13"/>
      <c r="K45" s="13"/>
      <c r="L45" s="13"/>
      <c r="M45" s="13"/>
      <c r="N45" s="17"/>
      <c r="O45" s="12"/>
      <c r="P45" s="8" t="s">
        <v>165</v>
      </c>
    </row>
    <row r="46" spans="1:16" ht="24" customHeight="1" x14ac:dyDescent="0.25">
      <c r="A46" s="10">
        <v>13</v>
      </c>
      <c r="B46" s="9">
        <v>0.20972222222222223</v>
      </c>
      <c r="C46" s="5" t="s">
        <v>21</v>
      </c>
      <c r="D46" s="5">
        <v>8</v>
      </c>
      <c r="E46" s="15"/>
      <c r="F46" s="15" t="s">
        <v>24</v>
      </c>
      <c r="G46" s="13">
        <v>2.64</v>
      </c>
      <c r="H46" s="13">
        <v>3.3</v>
      </c>
      <c r="I46" s="13"/>
      <c r="J46" s="13"/>
      <c r="K46" s="13"/>
      <c r="L46" s="13"/>
      <c r="M46" s="13"/>
      <c r="N46" s="17"/>
      <c r="O46" s="12"/>
      <c r="P46" s="8" t="s">
        <v>165</v>
      </c>
    </row>
    <row r="47" spans="1:16" ht="24" customHeight="1" x14ac:dyDescent="0.25">
      <c r="A47" s="10">
        <v>14</v>
      </c>
      <c r="B47" s="9">
        <v>0.23611111111111113</v>
      </c>
      <c r="C47" s="5" t="s">
        <v>162</v>
      </c>
      <c r="D47" s="5">
        <v>10</v>
      </c>
      <c r="E47" s="15"/>
      <c r="F47" s="15" t="s">
        <v>31</v>
      </c>
      <c r="G47" s="13">
        <v>4.84</v>
      </c>
      <c r="H47" s="13">
        <v>2.86</v>
      </c>
      <c r="I47" s="13">
        <v>2.86</v>
      </c>
      <c r="J47" s="13">
        <v>1.1000000000000001</v>
      </c>
      <c r="K47" s="13">
        <v>1.54</v>
      </c>
      <c r="L47" s="13">
        <v>1.98</v>
      </c>
      <c r="M47" s="13"/>
      <c r="N47" s="17"/>
      <c r="O47" s="12"/>
      <c r="P47" s="8" t="s">
        <v>165</v>
      </c>
    </row>
    <row r="48" spans="1:16" ht="24" customHeight="1" x14ac:dyDescent="0.25">
      <c r="A48" s="10">
        <v>15</v>
      </c>
      <c r="B48" s="9">
        <v>0.26527777777777778</v>
      </c>
      <c r="C48" s="5" t="s">
        <v>163</v>
      </c>
      <c r="D48" s="5">
        <v>10</v>
      </c>
      <c r="E48" s="15"/>
      <c r="F48" s="15" t="s">
        <v>31</v>
      </c>
      <c r="G48" s="13">
        <v>4.62</v>
      </c>
      <c r="H48" s="13">
        <v>3.08</v>
      </c>
      <c r="I48" s="13">
        <v>2.86</v>
      </c>
      <c r="J48" s="13">
        <v>2.2000000000000002</v>
      </c>
      <c r="K48" s="13">
        <v>2.64</v>
      </c>
      <c r="L48" s="13">
        <v>2.42</v>
      </c>
      <c r="M48" s="13"/>
      <c r="N48" s="17"/>
      <c r="O48" s="12"/>
      <c r="P48" s="8" t="s">
        <v>165</v>
      </c>
    </row>
    <row r="49" spans="1:16" ht="24" customHeight="1" x14ac:dyDescent="0.25">
      <c r="A49" s="10">
        <v>16</v>
      </c>
      <c r="B49" s="9">
        <v>0.25347222222222221</v>
      </c>
      <c r="C49" s="5" t="s">
        <v>164</v>
      </c>
      <c r="D49" s="5">
        <v>5</v>
      </c>
      <c r="E49" s="15"/>
      <c r="F49" s="15" t="s">
        <v>24</v>
      </c>
      <c r="G49" s="13">
        <v>5.5</v>
      </c>
      <c r="H49" s="13">
        <v>8.5</v>
      </c>
      <c r="I49" s="13"/>
      <c r="J49" s="13"/>
      <c r="K49" s="13"/>
      <c r="L49" s="13"/>
      <c r="M49" s="13"/>
      <c r="N49" s="12"/>
      <c r="O49" s="12"/>
      <c r="P49" s="8" t="s">
        <v>34</v>
      </c>
    </row>
    <row r="50" spans="1:16" ht="24" customHeight="1" x14ac:dyDescent="0.25">
      <c r="A50" s="10"/>
      <c r="B50" s="9"/>
      <c r="C50" s="5"/>
      <c r="D50" s="5"/>
      <c r="E50" s="15"/>
      <c r="F50" s="15"/>
      <c r="G50" s="13"/>
      <c r="H50" s="13"/>
      <c r="I50" s="13"/>
      <c r="J50" s="13"/>
      <c r="K50" s="13"/>
      <c r="L50" s="13"/>
      <c r="M50" s="13"/>
      <c r="N50" s="12"/>
      <c r="O50" s="12"/>
      <c r="P50" s="8"/>
    </row>
    <row r="51" spans="1:16" ht="24" customHeight="1" x14ac:dyDescent="0.25">
      <c r="A51" s="10"/>
      <c r="B51" s="9"/>
      <c r="C51" s="5"/>
      <c r="D51" s="5"/>
      <c r="E51" s="15"/>
      <c r="F51" s="15"/>
      <c r="G51" s="13"/>
      <c r="H51" s="13"/>
      <c r="I51" s="13"/>
      <c r="J51" s="13"/>
      <c r="K51" s="13"/>
      <c r="L51" s="13"/>
      <c r="M51" s="13"/>
      <c r="N51" s="12"/>
      <c r="O51" s="12"/>
      <c r="P51" s="8"/>
    </row>
    <row r="52" spans="1:16" ht="24" customHeight="1" x14ac:dyDescent="0.25">
      <c r="A52" s="10"/>
      <c r="B52" s="9"/>
      <c r="C52" s="5"/>
      <c r="D52" s="5"/>
      <c r="E52" s="15"/>
      <c r="F52" s="15"/>
      <c r="G52" s="13"/>
      <c r="H52" s="13"/>
      <c r="I52" s="13"/>
      <c r="J52" s="13"/>
      <c r="K52" s="13"/>
      <c r="L52" s="13"/>
      <c r="M52" s="13"/>
      <c r="N52" s="12"/>
      <c r="O52" s="12"/>
      <c r="P52" s="8"/>
    </row>
    <row r="53" spans="1:16" ht="24" customHeight="1" x14ac:dyDescent="0.25">
      <c r="A53" s="10"/>
      <c r="B53" s="9"/>
      <c r="C53" s="5"/>
      <c r="D53" s="5"/>
      <c r="E53" s="15"/>
      <c r="F53" s="15"/>
      <c r="G53" s="13"/>
      <c r="H53" s="13"/>
      <c r="I53" s="13"/>
      <c r="J53" s="13"/>
      <c r="K53" s="13"/>
      <c r="L53" s="13"/>
      <c r="M53" s="13"/>
      <c r="N53" s="12"/>
      <c r="O53" s="12"/>
      <c r="P53" s="8"/>
    </row>
    <row r="54" spans="1:16" ht="24" customHeight="1" x14ac:dyDescent="0.25">
      <c r="A54" s="10"/>
      <c r="B54" s="9"/>
      <c r="C54" s="5"/>
      <c r="D54" s="5"/>
      <c r="E54" s="15"/>
      <c r="F54" s="15"/>
      <c r="G54" s="13"/>
      <c r="H54" s="13"/>
      <c r="I54" s="13"/>
      <c r="J54" s="13"/>
      <c r="K54" s="13"/>
      <c r="L54" s="13"/>
      <c r="M54" s="13"/>
      <c r="N54" s="12"/>
      <c r="O54" s="12"/>
      <c r="P54" s="8"/>
    </row>
    <row r="55" spans="1:16" ht="24" customHeight="1" x14ac:dyDescent="0.25">
      <c r="A55" s="10"/>
      <c r="B55" s="9"/>
      <c r="C55" s="5"/>
      <c r="D55" s="5"/>
      <c r="E55" s="15"/>
      <c r="F55" s="15"/>
      <c r="G55" s="13"/>
      <c r="H55" s="13"/>
      <c r="I55" s="13"/>
      <c r="J55" s="13"/>
      <c r="K55" s="13"/>
      <c r="L55" s="13"/>
      <c r="M55" s="13"/>
      <c r="N55" s="12"/>
      <c r="O55" s="12"/>
      <c r="P55" s="8"/>
    </row>
    <row r="56" spans="1:16" ht="24" customHeight="1" x14ac:dyDescent="0.25">
      <c r="A56" s="10"/>
      <c r="B56" s="9"/>
      <c r="C56" s="5"/>
      <c r="D56" s="5"/>
      <c r="E56" s="15"/>
      <c r="F56" s="15"/>
      <c r="G56" s="13"/>
      <c r="H56" s="13"/>
      <c r="I56" s="13"/>
      <c r="J56" s="13"/>
      <c r="K56" s="13"/>
      <c r="L56" s="13"/>
      <c r="M56" s="13"/>
      <c r="N56" s="12"/>
      <c r="O56" s="12"/>
      <c r="P56" s="8"/>
    </row>
    <row r="57" spans="1:16" ht="24" customHeight="1" x14ac:dyDescent="0.25">
      <c r="A57" s="10"/>
      <c r="B57" s="9"/>
      <c r="C57" s="5"/>
      <c r="D57" s="5"/>
      <c r="E57" s="15"/>
      <c r="F57" s="15"/>
      <c r="G57" s="13"/>
      <c r="H57" s="13"/>
      <c r="I57" s="13"/>
      <c r="J57" s="13"/>
      <c r="K57" s="13"/>
      <c r="L57" s="13"/>
      <c r="M57" s="13"/>
      <c r="N57" s="12"/>
      <c r="O57" s="12"/>
      <c r="P57" s="8"/>
    </row>
    <row r="58" spans="1:16" ht="24" customHeight="1" x14ac:dyDescent="0.25">
      <c r="A58" s="10"/>
      <c r="B58" s="9"/>
      <c r="C58" s="5"/>
      <c r="D58" s="5"/>
      <c r="E58" s="15"/>
      <c r="F58" s="15"/>
      <c r="G58" s="13"/>
      <c r="H58" s="13"/>
      <c r="I58" s="13"/>
      <c r="J58" s="13"/>
      <c r="K58" s="13"/>
      <c r="L58" s="13"/>
      <c r="M58" s="13"/>
      <c r="N58" s="12"/>
      <c r="O58" s="12"/>
      <c r="P58" s="8"/>
    </row>
    <row r="59" spans="1:16" ht="24" customHeight="1" x14ac:dyDescent="0.25">
      <c r="A59" s="10"/>
      <c r="B59" s="9"/>
      <c r="C59" s="5"/>
      <c r="D59" s="5"/>
      <c r="E59" s="15"/>
      <c r="F59" s="15"/>
      <c r="G59" s="13"/>
      <c r="H59" s="13"/>
      <c r="I59" s="13"/>
      <c r="J59" s="13"/>
      <c r="K59" s="13"/>
      <c r="L59" s="13"/>
      <c r="M59" s="13"/>
      <c r="N59" s="12"/>
      <c r="O59" s="12"/>
      <c r="P59" s="8"/>
    </row>
    <row r="60" spans="1:16" ht="24" customHeight="1" x14ac:dyDescent="0.25">
      <c r="A60" s="10"/>
      <c r="B60" s="9"/>
      <c r="C60" s="5"/>
      <c r="D60" s="5"/>
      <c r="E60" s="15"/>
      <c r="F60" s="15"/>
      <c r="G60" s="13"/>
      <c r="H60" s="13"/>
      <c r="I60" s="13"/>
      <c r="J60" s="13"/>
      <c r="K60" s="13"/>
      <c r="L60" s="13"/>
      <c r="M60" s="13"/>
      <c r="N60" s="12"/>
      <c r="O60" s="12"/>
      <c r="P60" s="8"/>
    </row>
    <row r="61" spans="1:16" ht="24" customHeight="1" x14ac:dyDescent="0.25">
      <c r="A61" s="10"/>
      <c r="B61" s="9"/>
      <c r="C61" s="5"/>
      <c r="D61" s="5"/>
      <c r="E61" s="15"/>
      <c r="F61" s="15"/>
      <c r="G61" s="13"/>
      <c r="H61" s="13"/>
      <c r="I61" s="13"/>
      <c r="J61" s="13"/>
      <c r="K61" s="13"/>
      <c r="L61" s="13"/>
      <c r="M61" s="13"/>
      <c r="N61" s="12"/>
      <c r="O61" s="12"/>
      <c r="P61" s="8"/>
    </row>
    <row r="62" spans="1:16" ht="24" customHeight="1" x14ac:dyDescent="0.25">
      <c r="A62" s="10"/>
      <c r="B62" s="9"/>
      <c r="C62" s="5"/>
      <c r="D62" s="5"/>
      <c r="E62" s="15"/>
      <c r="F62" s="15"/>
      <c r="G62" s="13"/>
      <c r="H62" s="13"/>
      <c r="I62" s="13"/>
      <c r="J62" s="13"/>
      <c r="K62" s="13"/>
      <c r="L62" s="13"/>
      <c r="M62" s="13"/>
      <c r="N62" s="12"/>
      <c r="O62" s="12"/>
      <c r="P62" s="8"/>
    </row>
    <row r="63" spans="1:16" ht="24" customHeight="1" x14ac:dyDescent="0.25">
      <c r="A63" s="10"/>
      <c r="B63" s="9"/>
      <c r="C63" s="5"/>
      <c r="D63" s="5"/>
      <c r="E63" s="15"/>
      <c r="F63" s="15"/>
      <c r="G63" s="13"/>
      <c r="H63" s="13"/>
      <c r="I63" s="13"/>
      <c r="J63" s="13"/>
      <c r="K63" s="13"/>
      <c r="L63" s="13"/>
      <c r="M63" s="13"/>
      <c r="N63" s="12"/>
      <c r="O63" s="12"/>
      <c r="P63" s="8"/>
    </row>
    <row r="64" spans="1:16" ht="24" customHeight="1" thickBot="1" x14ac:dyDescent="0.3">
      <c r="A64" s="11"/>
      <c r="B64" s="9"/>
      <c r="C64" s="5"/>
      <c r="D64" s="5"/>
      <c r="E64" s="15"/>
      <c r="F64" s="15"/>
      <c r="G64" s="13"/>
      <c r="H64" s="13"/>
      <c r="I64" s="13"/>
      <c r="J64" s="13"/>
      <c r="K64" s="13"/>
      <c r="L64" s="13"/>
      <c r="M64" s="13"/>
      <c r="N64" s="12"/>
      <c r="O64" s="12"/>
      <c r="P64" s="8"/>
    </row>
    <row r="65" customFormat="1" x14ac:dyDescent="0.25"/>
    <row r="66" customFormat="1" x14ac:dyDescent="0.25"/>
  </sheetData>
  <mergeCells count="12">
    <mergeCell ref="O4:O5"/>
    <mergeCell ref="P4:P5"/>
    <mergeCell ref="A1:O1"/>
    <mergeCell ref="A3:B3"/>
    <mergeCell ref="A4:A5"/>
    <mergeCell ref="B4:B5"/>
    <mergeCell ref="C4:C5"/>
    <mergeCell ref="D4:D5"/>
    <mergeCell ref="E4:E5"/>
    <mergeCell ref="F4:F5"/>
    <mergeCell ref="H4:M4"/>
    <mergeCell ref="N4:N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89"/>
  <sheetViews>
    <sheetView view="pageBreakPreview" zoomScale="55" zoomScaleNormal="100" zoomScaleSheetLayoutView="55"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Y82" sqref="Y82"/>
    </sheetView>
  </sheetViews>
  <sheetFormatPr defaultRowHeight="15" x14ac:dyDescent="0.25"/>
  <cols>
    <col min="1" max="1" width="6.140625" customWidth="1"/>
    <col min="2" max="2" width="9.140625" bestFit="1" customWidth="1"/>
    <col min="3" max="3" width="15.5703125" customWidth="1"/>
    <col min="4" max="4" width="10.7109375" customWidth="1"/>
    <col min="5" max="5" width="9.140625" style="16" customWidth="1"/>
    <col min="6" max="6" width="15.140625" style="16" customWidth="1"/>
    <col min="7" max="12" width="9.5703125" bestFit="1" customWidth="1"/>
    <col min="13" max="13" width="8.85546875" customWidth="1"/>
    <col min="14" max="14" width="13.140625" customWidth="1"/>
    <col min="15" max="25" width="13.28515625" customWidth="1"/>
    <col min="26" max="26" width="24.7109375" customWidth="1"/>
  </cols>
  <sheetData>
    <row r="1" spans="1:26" ht="18.75" x14ac:dyDescent="0.3">
      <c r="A1" s="83" t="s">
        <v>87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x14ac:dyDescent="0.25">
      <c r="A2" s="86" t="s">
        <v>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64"/>
      <c r="Q2" s="64"/>
      <c r="R2" s="64"/>
      <c r="S2" s="64"/>
      <c r="T2" s="64"/>
      <c r="U2" s="64"/>
      <c r="V2" s="64"/>
      <c r="W2" s="31"/>
      <c r="X2" s="31"/>
      <c r="Y2" s="31"/>
    </row>
    <row r="3" spans="1:26" x14ac:dyDescent="0.25">
      <c r="A3" s="2" t="s">
        <v>1</v>
      </c>
      <c r="B3" s="2"/>
      <c r="C3" s="2"/>
      <c r="D3" s="2" t="s">
        <v>88</v>
      </c>
      <c r="E3" s="14" t="s">
        <v>46</v>
      </c>
      <c r="F3" s="14"/>
      <c r="G3" s="2"/>
      <c r="H3" s="3"/>
      <c r="I3" s="2"/>
      <c r="J3" s="2"/>
      <c r="K3" s="2"/>
      <c r="L3" s="2"/>
      <c r="M3" s="3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6" ht="18.75" thickBot="1" x14ac:dyDescent="0.3">
      <c r="A4" s="95">
        <v>43675</v>
      </c>
      <c r="B4" s="95"/>
      <c r="C4" s="2"/>
      <c r="D4" s="6"/>
      <c r="E4" s="18"/>
      <c r="F4" s="14"/>
      <c r="G4" s="2"/>
      <c r="H4" s="35" t="s">
        <v>81</v>
      </c>
      <c r="I4" s="2"/>
      <c r="J4" s="2"/>
      <c r="K4" s="2"/>
      <c r="L4" s="2"/>
      <c r="M4" s="4"/>
      <c r="N4" s="4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6" s="1" customFormat="1" ht="14.45" customHeight="1" x14ac:dyDescent="0.25">
      <c r="A5" s="88" t="s">
        <v>3</v>
      </c>
      <c r="B5" s="90" t="s">
        <v>4</v>
      </c>
      <c r="C5" s="87" t="s">
        <v>5</v>
      </c>
      <c r="D5" s="87" t="s">
        <v>16</v>
      </c>
      <c r="E5" s="93" t="s">
        <v>6</v>
      </c>
      <c r="F5" s="93" t="s">
        <v>7</v>
      </c>
      <c r="G5" s="7" t="s">
        <v>17</v>
      </c>
      <c r="H5" s="87" t="s">
        <v>47</v>
      </c>
      <c r="I5" s="87"/>
      <c r="J5" s="87"/>
      <c r="K5" s="87"/>
      <c r="L5" s="87"/>
      <c r="M5" s="87"/>
      <c r="N5" s="87" t="s">
        <v>15</v>
      </c>
      <c r="O5" s="87" t="s">
        <v>18</v>
      </c>
      <c r="P5" s="99" t="s">
        <v>228</v>
      </c>
      <c r="Q5" s="100"/>
      <c r="R5" s="100"/>
      <c r="S5" s="100"/>
      <c r="T5" s="100"/>
      <c r="U5" s="100"/>
      <c r="V5" s="101"/>
      <c r="W5" s="96" t="s">
        <v>206</v>
      </c>
      <c r="X5" s="96" t="s">
        <v>207</v>
      </c>
      <c r="Y5" s="96" t="s">
        <v>229</v>
      </c>
      <c r="Z5" s="84" t="s">
        <v>19</v>
      </c>
    </row>
    <row r="6" spans="1:26" ht="13.9" customHeight="1" thickBot="1" x14ac:dyDescent="0.3">
      <c r="A6" s="89"/>
      <c r="B6" s="91"/>
      <c r="C6" s="92"/>
      <c r="D6" s="92"/>
      <c r="E6" s="94"/>
      <c r="F6" s="94"/>
      <c r="G6" s="20" t="s">
        <v>8</v>
      </c>
      <c r="H6" s="20" t="s">
        <v>9</v>
      </c>
      <c r="I6" s="20" t="s">
        <v>10</v>
      </c>
      <c r="J6" s="20" t="s">
        <v>11</v>
      </c>
      <c r="K6" s="20" t="s">
        <v>12</v>
      </c>
      <c r="L6" s="20" t="s">
        <v>13</v>
      </c>
      <c r="M6" s="20" t="s">
        <v>14</v>
      </c>
      <c r="N6" s="92"/>
      <c r="O6" s="92"/>
      <c r="P6" s="102" t="s">
        <v>8</v>
      </c>
      <c r="Q6" s="65" t="s">
        <v>9</v>
      </c>
      <c r="R6" s="102" t="s">
        <v>10</v>
      </c>
      <c r="S6" s="65" t="s">
        <v>11</v>
      </c>
      <c r="T6" s="102" t="s">
        <v>12</v>
      </c>
      <c r="U6" s="65" t="s">
        <v>13</v>
      </c>
      <c r="V6" s="102" t="s">
        <v>14</v>
      </c>
      <c r="W6" s="97"/>
      <c r="X6" s="97"/>
      <c r="Y6" s="97"/>
      <c r="Z6" s="85"/>
    </row>
    <row r="7" spans="1:26" ht="24" customHeight="1" x14ac:dyDescent="0.25">
      <c r="A7" s="10">
        <v>2</v>
      </c>
      <c r="B7" s="33">
        <v>0.34236111111111112</v>
      </c>
      <c r="C7" s="32" t="s">
        <v>49</v>
      </c>
      <c r="D7" s="5">
        <f t="shared" ref="D7:D38" si="0">IF(COUNT(G7:M7)&gt;3,10,IF(COUNT(G7:M7)&gt;2,9,7))</f>
        <v>7</v>
      </c>
      <c r="E7" s="15"/>
      <c r="F7" s="32" t="s">
        <v>24</v>
      </c>
      <c r="G7" s="32">
        <v>6.16</v>
      </c>
      <c r="H7" s="32">
        <v>7.92</v>
      </c>
      <c r="I7" s="32"/>
      <c r="J7" s="32"/>
      <c r="K7" s="32"/>
      <c r="L7" s="32"/>
      <c r="M7" s="32"/>
      <c r="N7" s="51">
        <f t="shared" ref="N7:N38" si="1">SUM(G7:M7)</f>
        <v>14.08</v>
      </c>
      <c r="O7" s="51">
        <f t="shared" ref="O7:O38" si="2">(N7/8.16)^4.5</f>
        <v>11.644108196656488</v>
      </c>
      <c r="P7" s="52">
        <v>8</v>
      </c>
      <c r="Q7" s="52">
        <v>10</v>
      </c>
      <c r="R7" s="52">
        <v>9</v>
      </c>
      <c r="S7" s="52">
        <v>9</v>
      </c>
      <c r="T7" s="52">
        <v>9</v>
      </c>
      <c r="U7" s="52">
        <v>9</v>
      </c>
      <c r="V7" s="52">
        <v>9</v>
      </c>
      <c r="W7" s="53" t="str">
        <f t="shared" ref="W7" si="3">IF(G7&gt;P7,"Y",IF(H7&gt;Q7,"Y",IF(I7&gt;R7,"Y",IF(J7&gt;S7,"Y",IF(K7&gt;T7,"Y",IF(L7&gt;U7,"Y",IF(M7&gt;V7,"Y","N")))))))</f>
        <v>N</v>
      </c>
      <c r="X7" s="103">
        <f t="shared" ref="X7" si="4">IF(W7="Y",MAX((G7-P7),(H7-Q7),(I7-R7),(J7-S7),(K7-T7),(L7-U7),(M7-V7))/10,0)</f>
        <v>0</v>
      </c>
      <c r="Y7" s="103" t="str">
        <f t="shared" ref="Y7" si="5">IF(X7&lt;5%,"0-4.9%",IF(X7&lt;25%,"5-25%",IF(X7&lt;50%,"25-50%","Over 50%")))</f>
        <v>0-4.9%</v>
      </c>
      <c r="Z7" s="8" t="s">
        <v>215</v>
      </c>
    </row>
    <row r="8" spans="1:26" ht="24" customHeight="1" x14ac:dyDescent="0.25">
      <c r="A8" s="10">
        <v>11</v>
      </c>
      <c r="B8" s="33">
        <v>0.38194444444444442</v>
      </c>
      <c r="C8" s="32" t="s">
        <v>58</v>
      </c>
      <c r="D8" s="5">
        <f t="shared" si="0"/>
        <v>7</v>
      </c>
      <c r="E8" s="15"/>
      <c r="F8" s="32" t="s">
        <v>24</v>
      </c>
      <c r="G8" s="32">
        <v>5.28</v>
      </c>
      <c r="H8" s="32">
        <v>6.6</v>
      </c>
      <c r="I8" s="32"/>
      <c r="J8" s="32"/>
      <c r="K8" s="32"/>
      <c r="L8" s="32"/>
      <c r="M8" s="32"/>
      <c r="N8" s="51">
        <f t="shared" si="1"/>
        <v>11.879999999999999</v>
      </c>
      <c r="O8" s="51">
        <f t="shared" si="2"/>
        <v>5.4208609641645902</v>
      </c>
      <c r="P8" s="52">
        <v>8</v>
      </c>
      <c r="Q8" s="52">
        <v>10</v>
      </c>
      <c r="R8" s="52">
        <v>9</v>
      </c>
      <c r="S8" s="52">
        <v>9</v>
      </c>
      <c r="T8" s="52">
        <v>9</v>
      </c>
      <c r="U8" s="52">
        <v>9</v>
      </c>
      <c r="V8" s="52">
        <v>9</v>
      </c>
      <c r="W8" s="53" t="str">
        <f t="shared" ref="W8:W71" si="6">IF(G8&gt;P8,"Y",IF(H8&gt;Q8,"Y",IF(I8&gt;R8,"Y",IF(J8&gt;S8,"Y",IF(K8&gt;T8,"Y",IF(L8&gt;U8,"Y",IF(M8&gt;V8,"Y","N")))))))</f>
        <v>N</v>
      </c>
      <c r="X8" s="103">
        <f t="shared" ref="X8:X71" si="7">IF(W8="Y",MAX((G8-P8),(H8-Q8),(I8-R8),(J8-S8),(K8-T8),(L8-U8),(M8-V8))/10,0)</f>
        <v>0</v>
      </c>
      <c r="Y8" s="103" t="str">
        <f t="shared" ref="Y8:Y71" si="8">IF(X8&lt;5%,"0-4.9%",IF(X8&lt;25%,"5-25%",IF(X8&lt;50%,"25-50%","Over 50%")))</f>
        <v>0-4.9%</v>
      </c>
      <c r="Z8" s="8" t="s">
        <v>215</v>
      </c>
    </row>
    <row r="9" spans="1:26" ht="24" customHeight="1" x14ac:dyDescent="0.25">
      <c r="A9" s="10">
        <v>16</v>
      </c>
      <c r="B9" s="33">
        <v>0.40625</v>
      </c>
      <c r="C9" s="32" t="s">
        <v>63</v>
      </c>
      <c r="D9" s="5">
        <f t="shared" si="0"/>
        <v>7</v>
      </c>
      <c r="E9" s="15"/>
      <c r="F9" s="32" t="s">
        <v>24</v>
      </c>
      <c r="G9" s="32">
        <v>6.16</v>
      </c>
      <c r="H9" s="32">
        <v>8.92</v>
      </c>
      <c r="I9" s="32"/>
      <c r="J9" s="32"/>
      <c r="K9" s="32"/>
      <c r="L9" s="32"/>
      <c r="M9" s="32"/>
      <c r="N9" s="51">
        <f t="shared" si="1"/>
        <v>15.08</v>
      </c>
      <c r="O9" s="51">
        <f t="shared" si="2"/>
        <v>15.856244083267088</v>
      </c>
      <c r="P9" s="52">
        <v>8</v>
      </c>
      <c r="Q9" s="52">
        <v>10</v>
      </c>
      <c r="R9" s="52">
        <v>9</v>
      </c>
      <c r="S9" s="52">
        <v>9</v>
      </c>
      <c r="T9" s="52">
        <v>9</v>
      </c>
      <c r="U9" s="52">
        <v>9</v>
      </c>
      <c r="V9" s="52">
        <v>9</v>
      </c>
      <c r="W9" s="53" t="str">
        <f t="shared" si="6"/>
        <v>N</v>
      </c>
      <c r="X9" s="103">
        <f t="shared" si="7"/>
        <v>0</v>
      </c>
      <c r="Y9" s="103" t="str">
        <f t="shared" si="8"/>
        <v>0-4.9%</v>
      </c>
      <c r="Z9" s="8" t="s">
        <v>219</v>
      </c>
    </row>
    <row r="10" spans="1:26" ht="24" customHeight="1" x14ac:dyDescent="0.25">
      <c r="A10" s="10">
        <v>1</v>
      </c>
      <c r="B10" s="54">
        <v>0.2986111111111111</v>
      </c>
      <c r="C10" s="5" t="s">
        <v>89</v>
      </c>
      <c r="D10" s="5">
        <f t="shared" si="0"/>
        <v>7</v>
      </c>
      <c r="E10" s="15"/>
      <c r="F10" s="39" t="s">
        <v>24</v>
      </c>
      <c r="G10" s="39">
        <v>5.72</v>
      </c>
      <c r="H10" s="39">
        <v>11.88</v>
      </c>
      <c r="I10" s="39"/>
      <c r="J10" s="39"/>
      <c r="K10" s="39"/>
      <c r="L10" s="39"/>
      <c r="M10" s="39"/>
      <c r="N10" s="51">
        <f t="shared" si="1"/>
        <v>17.600000000000001</v>
      </c>
      <c r="O10" s="51">
        <f t="shared" si="2"/>
        <v>31.783468585310548</v>
      </c>
      <c r="P10" s="52">
        <v>8</v>
      </c>
      <c r="Q10" s="52">
        <v>10</v>
      </c>
      <c r="R10" s="52">
        <v>9</v>
      </c>
      <c r="S10" s="52">
        <v>9</v>
      </c>
      <c r="T10" s="52">
        <v>9</v>
      </c>
      <c r="U10" s="52">
        <v>9</v>
      </c>
      <c r="V10" s="52">
        <v>9</v>
      </c>
      <c r="W10" s="53" t="str">
        <f t="shared" si="6"/>
        <v>Y</v>
      </c>
      <c r="X10" s="103">
        <f t="shared" si="7"/>
        <v>0.18800000000000008</v>
      </c>
      <c r="Y10" s="103" t="str">
        <f t="shared" si="8"/>
        <v>5-25%</v>
      </c>
      <c r="Z10" s="8" t="s">
        <v>215</v>
      </c>
    </row>
    <row r="11" spans="1:26" ht="24" customHeight="1" x14ac:dyDescent="0.25">
      <c r="A11" s="10">
        <v>2</v>
      </c>
      <c r="B11" s="54">
        <v>0.30902777777777779</v>
      </c>
      <c r="C11" s="5" t="s">
        <v>90</v>
      </c>
      <c r="D11" s="5">
        <f t="shared" si="0"/>
        <v>7</v>
      </c>
      <c r="E11" s="15"/>
      <c r="F11" s="39" t="s">
        <v>24</v>
      </c>
      <c r="G11" s="39">
        <v>3.96</v>
      </c>
      <c r="H11" s="39">
        <v>12.1</v>
      </c>
      <c r="I11" s="39"/>
      <c r="J11" s="39"/>
      <c r="K11" s="39"/>
      <c r="L11" s="39"/>
      <c r="M11" s="39"/>
      <c r="N11" s="51">
        <f t="shared" si="1"/>
        <v>16.059999999999999</v>
      </c>
      <c r="O11" s="51">
        <f t="shared" si="2"/>
        <v>21.049860392933113</v>
      </c>
      <c r="P11" s="52">
        <v>8</v>
      </c>
      <c r="Q11" s="52">
        <v>10</v>
      </c>
      <c r="R11" s="52">
        <v>9</v>
      </c>
      <c r="S11" s="52">
        <v>9</v>
      </c>
      <c r="T11" s="52">
        <v>9</v>
      </c>
      <c r="U11" s="52">
        <v>9</v>
      </c>
      <c r="V11" s="52">
        <v>9</v>
      </c>
      <c r="W11" s="53" t="str">
        <f t="shared" si="6"/>
        <v>Y</v>
      </c>
      <c r="X11" s="103">
        <f t="shared" si="7"/>
        <v>0.20999999999999996</v>
      </c>
      <c r="Y11" s="103" t="str">
        <f t="shared" si="8"/>
        <v>5-25%</v>
      </c>
      <c r="Z11" s="8" t="s">
        <v>227</v>
      </c>
    </row>
    <row r="12" spans="1:26" ht="24" customHeight="1" x14ac:dyDescent="0.25">
      <c r="A12" s="10">
        <v>8</v>
      </c>
      <c r="B12" s="54">
        <v>0.3527777777777778</v>
      </c>
      <c r="C12" s="5" t="s">
        <v>96</v>
      </c>
      <c r="D12" s="5">
        <f t="shared" si="0"/>
        <v>7</v>
      </c>
      <c r="E12" s="15"/>
      <c r="F12" s="39" t="s">
        <v>24</v>
      </c>
      <c r="G12" s="39">
        <v>3.74</v>
      </c>
      <c r="H12" s="39">
        <v>13.2</v>
      </c>
      <c r="I12" s="39"/>
      <c r="J12" s="39"/>
      <c r="K12" s="39"/>
      <c r="L12" s="39"/>
      <c r="M12" s="39"/>
      <c r="N12" s="51">
        <f t="shared" si="1"/>
        <v>16.939999999999998</v>
      </c>
      <c r="O12" s="51">
        <f t="shared" si="2"/>
        <v>26.761140156981387</v>
      </c>
      <c r="P12" s="52">
        <v>8</v>
      </c>
      <c r="Q12" s="52">
        <v>10</v>
      </c>
      <c r="R12" s="52">
        <v>9</v>
      </c>
      <c r="S12" s="52">
        <v>9</v>
      </c>
      <c r="T12" s="52">
        <v>9</v>
      </c>
      <c r="U12" s="52">
        <v>9</v>
      </c>
      <c r="V12" s="52">
        <v>9</v>
      </c>
      <c r="W12" s="53" t="str">
        <f t="shared" si="6"/>
        <v>Y</v>
      </c>
      <c r="X12" s="103">
        <f t="shared" si="7"/>
        <v>0.31999999999999995</v>
      </c>
      <c r="Y12" s="103" t="str">
        <f t="shared" si="8"/>
        <v>25-50%</v>
      </c>
      <c r="Z12" s="8" t="s">
        <v>215</v>
      </c>
    </row>
    <row r="13" spans="1:26" ht="24" customHeight="1" x14ac:dyDescent="0.25">
      <c r="A13" s="10">
        <v>10</v>
      </c>
      <c r="B13" s="54">
        <v>0.35833333333333334</v>
      </c>
      <c r="C13" s="5" t="s">
        <v>98</v>
      </c>
      <c r="D13" s="5">
        <f t="shared" si="0"/>
        <v>7</v>
      </c>
      <c r="E13" s="15"/>
      <c r="F13" s="39" t="s">
        <v>24</v>
      </c>
      <c r="G13" s="39">
        <v>5.72</v>
      </c>
      <c r="H13" s="39">
        <v>6.82</v>
      </c>
      <c r="I13" s="39"/>
      <c r="J13" s="39"/>
      <c r="K13" s="39"/>
      <c r="L13" s="39"/>
      <c r="M13" s="39"/>
      <c r="N13" s="51">
        <f t="shared" si="1"/>
        <v>12.54</v>
      </c>
      <c r="O13" s="51">
        <f t="shared" si="2"/>
        <v>6.9140608886164063</v>
      </c>
      <c r="P13" s="52">
        <v>8</v>
      </c>
      <c r="Q13" s="52">
        <v>10</v>
      </c>
      <c r="R13" s="52">
        <v>9</v>
      </c>
      <c r="S13" s="52">
        <v>9</v>
      </c>
      <c r="T13" s="52">
        <v>9</v>
      </c>
      <c r="U13" s="52">
        <v>9</v>
      </c>
      <c r="V13" s="52">
        <v>9</v>
      </c>
      <c r="W13" s="53" t="str">
        <f t="shared" si="6"/>
        <v>N</v>
      </c>
      <c r="X13" s="103">
        <f t="shared" si="7"/>
        <v>0</v>
      </c>
      <c r="Y13" s="103" t="str">
        <f t="shared" si="8"/>
        <v>0-4.9%</v>
      </c>
      <c r="Z13" s="8" t="s">
        <v>227</v>
      </c>
    </row>
    <row r="14" spans="1:26" ht="24" customHeight="1" x14ac:dyDescent="0.25">
      <c r="A14" s="10">
        <v>23</v>
      </c>
      <c r="B14" s="54">
        <v>0.20138888888888887</v>
      </c>
      <c r="C14" s="5" t="s">
        <v>109</v>
      </c>
      <c r="D14" s="5">
        <f t="shared" si="0"/>
        <v>7</v>
      </c>
      <c r="E14" s="15"/>
      <c r="F14" s="39" t="s">
        <v>24</v>
      </c>
      <c r="G14" s="39">
        <v>3.52</v>
      </c>
      <c r="H14" s="39">
        <v>6.6</v>
      </c>
      <c r="I14" s="39"/>
      <c r="J14" s="39"/>
      <c r="K14" s="39"/>
      <c r="L14" s="39"/>
      <c r="M14" s="39"/>
      <c r="N14" s="51">
        <f t="shared" si="1"/>
        <v>10.119999999999999</v>
      </c>
      <c r="O14" s="51">
        <f t="shared" si="2"/>
        <v>2.6345508893040335</v>
      </c>
      <c r="P14" s="52">
        <v>8</v>
      </c>
      <c r="Q14" s="52">
        <v>10</v>
      </c>
      <c r="R14" s="52">
        <v>9</v>
      </c>
      <c r="S14" s="52">
        <v>9</v>
      </c>
      <c r="T14" s="52">
        <v>9</v>
      </c>
      <c r="U14" s="52">
        <v>9</v>
      </c>
      <c r="V14" s="52">
        <v>9</v>
      </c>
      <c r="W14" s="53" t="str">
        <f t="shared" si="6"/>
        <v>N</v>
      </c>
      <c r="X14" s="103">
        <f t="shared" si="7"/>
        <v>0</v>
      </c>
      <c r="Y14" s="103" t="str">
        <f t="shared" si="8"/>
        <v>0-4.9%</v>
      </c>
      <c r="Z14" s="8" t="s">
        <v>215</v>
      </c>
    </row>
    <row r="15" spans="1:26" ht="24" customHeight="1" x14ac:dyDescent="0.25">
      <c r="A15" s="10">
        <v>4</v>
      </c>
      <c r="B15" s="54">
        <v>0.32500000000000001</v>
      </c>
      <c r="C15" s="5" t="s">
        <v>128</v>
      </c>
      <c r="D15" s="5">
        <f t="shared" si="0"/>
        <v>7</v>
      </c>
      <c r="E15" s="15"/>
      <c r="F15" s="15" t="s">
        <v>24</v>
      </c>
      <c r="G15" s="13">
        <v>5.28</v>
      </c>
      <c r="H15" s="13">
        <v>7.04</v>
      </c>
      <c r="I15" s="13"/>
      <c r="J15" s="13"/>
      <c r="K15" s="13"/>
      <c r="L15" s="13"/>
      <c r="M15" s="13"/>
      <c r="N15" s="51">
        <f t="shared" si="1"/>
        <v>12.32</v>
      </c>
      <c r="O15" s="51">
        <f t="shared" si="2"/>
        <v>6.3847290365503993</v>
      </c>
      <c r="P15" s="52">
        <v>8</v>
      </c>
      <c r="Q15" s="52">
        <v>10</v>
      </c>
      <c r="R15" s="52">
        <v>9</v>
      </c>
      <c r="S15" s="52">
        <v>9</v>
      </c>
      <c r="T15" s="52">
        <v>9</v>
      </c>
      <c r="U15" s="52">
        <v>9</v>
      </c>
      <c r="V15" s="52">
        <v>9</v>
      </c>
      <c r="W15" s="53" t="str">
        <f t="shared" si="6"/>
        <v>N</v>
      </c>
      <c r="X15" s="103">
        <f t="shared" si="7"/>
        <v>0</v>
      </c>
      <c r="Y15" s="103" t="str">
        <f t="shared" si="8"/>
        <v>0-4.9%</v>
      </c>
      <c r="Z15" s="8" t="s">
        <v>33</v>
      </c>
    </row>
    <row r="16" spans="1:26" ht="24" customHeight="1" x14ac:dyDescent="0.25">
      <c r="A16" s="10">
        <v>9</v>
      </c>
      <c r="B16" s="54">
        <v>0.3888888888888889</v>
      </c>
      <c r="C16" s="5" t="s">
        <v>133</v>
      </c>
      <c r="D16" s="5">
        <f t="shared" si="0"/>
        <v>7</v>
      </c>
      <c r="E16" s="15"/>
      <c r="F16" s="15" t="s">
        <v>24</v>
      </c>
      <c r="G16" s="13">
        <v>4.18</v>
      </c>
      <c r="H16" s="13">
        <v>13.2</v>
      </c>
      <c r="I16" s="13"/>
      <c r="J16" s="13"/>
      <c r="K16" s="13"/>
      <c r="L16" s="13"/>
      <c r="M16" s="13"/>
      <c r="N16" s="51">
        <f t="shared" si="1"/>
        <v>17.38</v>
      </c>
      <c r="O16" s="51">
        <f t="shared" si="2"/>
        <v>30.034351568572088</v>
      </c>
      <c r="P16" s="52">
        <v>8</v>
      </c>
      <c r="Q16" s="52">
        <v>10</v>
      </c>
      <c r="R16" s="52">
        <v>9</v>
      </c>
      <c r="S16" s="52">
        <v>9</v>
      </c>
      <c r="T16" s="52">
        <v>9</v>
      </c>
      <c r="U16" s="52">
        <v>9</v>
      </c>
      <c r="V16" s="52">
        <v>9</v>
      </c>
      <c r="W16" s="53" t="str">
        <f t="shared" si="6"/>
        <v>Y</v>
      </c>
      <c r="X16" s="103">
        <f t="shared" si="7"/>
        <v>0.31999999999999995</v>
      </c>
      <c r="Y16" s="103" t="str">
        <f t="shared" si="8"/>
        <v>25-50%</v>
      </c>
      <c r="Z16" s="8" t="s">
        <v>215</v>
      </c>
    </row>
    <row r="17" spans="1:26" ht="24" customHeight="1" x14ac:dyDescent="0.25">
      <c r="A17" s="10">
        <v>16</v>
      </c>
      <c r="B17" s="54">
        <v>0.49861111111111112</v>
      </c>
      <c r="C17" s="5" t="s">
        <v>139</v>
      </c>
      <c r="D17" s="5">
        <f t="shared" si="0"/>
        <v>7</v>
      </c>
      <c r="E17" s="15"/>
      <c r="F17" s="15" t="s">
        <v>24</v>
      </c>
      <c r="G17" s="13">
        <v>3.52</v>
      </c>
      <c r="H17" s="13">
        <v>5.94</v>
      </c>
      <c r="I17" s="13"/>
      <c r="J17" s="13"/>
      <c r="K17" s="13"/>
      <c r="L17" s="13"/>
      <c r="M17" s="13"/>
      <c r="N17" s="51">
        <f t="shared" si="1"/>
        <v>9.4600000000000009</v>
      </c>
      <c r="O17" s="51">
        <f t="shared" si="2"/>
        <v>1.9449318995935019</v>
      </c>
      <c r="P17" s="52">
        <v>8</v>
      </c>
      <c r="Q17" s="52">
        <v>10</v>
      </c>
      <c r="R17" s="52">
        <v>9</v>
      </c>
      <c r="S17" s="52">
        <v>9</v>
      </c>
      <c r="T17" s="52">
        <v>9</v>
      </c>
      <c r="U17" s="52">
        <v>9</v>
      </c>
      <c r="V17" s="52">
        <v>9</v>
      </c>
      <c r="W17" s="53" t="str">
        <f t="shared" si="6"/>
        <v>N</v>
      </c>
      <c r="X17" s="103">
        <f t="shared" si="7"/>
        <v>0</v>
      </c>
      <c r="Y17" s="103" t="str">
        <f t="shared" si="8"/>
        <v>0-4.9%</v>
      </c>
      <c r="Z17" s="8" t="s">
        <v>227</v>
      </c>
    </row>
    <row r="18" spans="1:26" ht="24" customHeight="1" x14ac:dyDescent="0.25">
      <c r="A18" s="10">
        <v>17</v>
      </c>
      <c r="B18" s="54">
        <v>0.51597222222222217</v>
      </c>
      <c r="C18" s="5" t="s">
        <v>140</v>
      </c>
      <c r="D18" s="5">
        <f t="shared" si="0"/>
        <v>7</v>
      </c>
      <c r="E18" s="15"/>
      <c r="F18" s="15" t="s">
        <v>24</v>
      </c>
      <c r="G18" s="13">
        <v>6.6</v>
      </c>
      <c r="H18" s="13">
        <v>9.02</v>
      </c>
      <c r="I18" s="13"/>
      <c r="J18" s="13"/>
      <c r="K18" s="13"/>
      <c r="L18" s="13"/>
      <c r="M18" s="13"/>
      <c r="N18" s="51">
        <f t="shared" si="1"/>
        <v>15.62</v>
      </c>
      <c r="O18" s="51">
        <f t="shared" si="2"/>
        <v>18.576287270853559</v>
      </c>
      <c r="P18" s="52">
        <v>8</v>
      </c>
      <c r="Q18" s="52">
        <v>10</v>
      </c>
      <c r="R18" s="52">
        <v>9</v>
      </c>
      <c r="S18" s="52">
        <v>9</v>
      </c>
      <c r="T18" s="52">
        <v>9</v>
      </c>
      <c r="U18" s="52">
        <v>9</v>
      </c>
      <c r="V18" s="52">
        <v>9</v>
      </c>
      <c r="W18" s="53" t="str">
        <f t="shared" si="6"/>
        <v>N</v>
      </c>
      <c r="X18" s="103">
        <f t="shared" si="7"/>
        <v>0</v>
      </c>
      <c r="Y18" s="103" t="str">
        <f t="shared" si="8"/>
        <v>0-4.9%</v>
      </c>
      <c r="Z18" s="8" t="s">
        <v>33</v>
      </c>
    </row>
    <row r="19" spans="1:26" ht="24" customHeight="1" x14ac:dyDescent="0.25">
      <c r="A19" s="69">
        <v>27</v>
      </c>
      <c r="B19" s="70">
        <v>0.21597222222222223</v>
      </c>
      <c r="C19" s="71" t="s">
        <v>23</v>
      </c>
      <c r="D19" s="71">
        <f t="shared" si="0"/>
        <v>7</v>
      </c>
      <c r="E19" s="72"/>
      <c r="F19" s="72" t="s">
        <v>24</v>
      </c>
      <c r="G19" s="73">
        <v>5.28</v>
      </c>
      <c r="H19" s="73">
        <v>9.02</v>
      </c>
      <c r="I19" s="73"/>
      <c r="J19" s="73"/>
      <c r="K19" s="73"/>
      <c r="L19" s="73"/>
      <c r="M19" s="73"/>
      <c r="N19" s="74">
        <f t="shared" si="1"/>
        <v>14.3</v>
      </c>
      <c r="O19" s="74">
        <f t="shared" si="2"/>
        <v>12.485514811767233</v>
      </c>
      <c r="P19" s="52">
        <v>8</v>
      </c>
      <c r="Q19" s="52">
        <v>10</v>
      </c>
      <c r="R19" s="52">
        <v>9</v>
      </c>
      <c r="S19" s="52">
        <v>9</v>
      </c>
      <c r="T19" s="52">
        <v>9</v>
      </c>
      <c r="U19" s="52">
        <v>9</v>
      </c>
      <c r="V19" s="52">
        <v>9</v>
      </c>
      <c r="W19" s="53" t="str">
        <f t="shared" si="6"/>
        <v>N</v>
      </c>
      <c r="X19" s="103">
        <f t="shared" si="7"/>
        <v>0</v>
      </c>
      <c r="Y19" s="103" t="str">
        <f t="shared" si="8"/>
        <v>0-4.9%</v>
      </c>
      <c r="Z19" s="75" t="s">
        <v>219</v>
      </c>
    </row>
    <row r="20" spans="1:26" s="82" customFormat="1" ht="24" customHeight="1" x14ac:dyDescent="0.2">
      <c r="A20" s="5">
        <v>19</v>
      </c>
      <c r="B20" s="5">
        <v>0.45347222222222222</v>
      </c>
      <c r="C20" s="5" t="s">
        <v>66</v>
      </c>
      <c r="D20" s="5">
        <f t="shared" si="0"/>
        <v>9</v>
      </c>
      <c r="E20" s="5"/>
      <c r="F20" s="5" t="s">
        <v>25</v>
      </c>
      <c r="G20" s="5">
        <v>6.38</v>
      </c>
      <c r="H20" s="5">
        <v>12.54</v>
      </c>
      <c r="I20" s="5">
        <v>7.04</v>
      </c>
      <c r="J20" s="5"/>
      <c r="K20" s="5"/>
      <c r="L20" s="5"/>
      <c r="M20" s="5"/>
      <c r="N20" s="5">
        <f t="shared" si="1"/>
        <v>25.959999999999997</v>
      </c>
      <c r="O20" s="5">
        <f t="shared" si="2"/>
        <v>182.71128928777154</v>
      </c>
      <c r="P20" s="52">
        <v>8</v>
      </c>
      <c r="Q20" s="52">
        <v>10</v>
      </c>
      <c r="R20" s="52">
        <v>9</v>
      </c>
      <c r="S20" s="52">
        <v>9</v>
      </c>
      <c r="T20" s="52">
        <v>9</v>
      </c>
      <c r="U20" s="52">
        <v>9</v>
      </c>
      <c r="V20" s="52">
        <v>9</v>
      </c>
      <c r="W20" s="53" t="str">
        <f t="shared" si="6"/>
        <v>Y</v>
      </c>
      <c r="X20" s="103">
        <f t="shared" si="7"/>
        <v>0.25399999999999989</v>
      </c>
      <c r="Y20" s="103" t="str">
        <f t="shared" si="8"/>
        <v>25-50%</v>
      </c>
      <c r="Z20" s="5" t="s">
        <v>215</v>
      </c>
    </row>
    <row r="21" spans="1:26" s="82" customFormat="1" ht="24" customHeight="1" x14ac:dyDescent="0.2">
      <c r="A21" s="5">
        <v>3</v>
      </c>
      <c r="B21" s="5">
        <v>0.31041666666666667</v>
      </c>
      <c r="C21" s="5" t="s">
        <v>91</v>
      </c>
      <c r="D21" s="5">
        <f t="shared" si="0"/>
        <v>9</v>
      </c>
      <c r="E21" s="5"/>
      <c r="F21" s="5" t="s">
        <v>25</v>
      </c>
      <c r="G21" s="5">
        <v>7.26</v>
      </c>
      <c r="H21" s="5">
        <v>8.36</v>
      </c>
      <c r="I21" s="5">
        <v>3.52</v>
      </c>
      <c r="J21" s="5"/>
      <c r="K21" s="5"/>
      <c r="L21" s="5"/>
      <c r="M21" s="5"/>
      <c r="N21" s="5">
        <f t="shared" si="1"/>
        <v>19.14</v>
      </c>
      <c r="O21" s="5">
        <f t="shared" si="2"/>
        <v>46.358885437776081</v>
      </c>
      <c r="P21" s="52">
        <v>8</v>
      </c>
      <c r="Q21" s="52">
        <v>10</v>
      </c>
      <c r="R21" s="52">
        <v>9</v>
      </c>
      <c r="S21" s="52">
        <v>9</v>
      </c>
      <c r="T21" s="52">
        <v>9</v>
      </c>
      <c r="U21" s="52">
        <v>9</v>
      </c>
      <c r="V21" s="52">
        <v>9</v>
      </c>
      <c r="W21" s="53" t="str">
        <f t="shared" si="6"/>
        <v>N</v>
      </c>
      <c r="X21" s="103">
        <f t="shared" si="7"/>
        <v>0</v>
      </c>
      <c r="Y21" s="103" t="str">
        <f t="shared" si="8"/>
        <v>0-4.9%</v>
      </c>
      <c r="Z21" s="5" t="s">
        <v>227</v>
      </c>
    </row>
    <row r="22" spans="1:26" s="82" customFormat="1" ht="24" customHeight="1" x14ac:dyDescent="0.2">
      <c r="A22" s="5">
        <v>9</v>
      </c>
      <c r="B22" s="5">
        <v>0.35416666666666669</v>
      </c>
      <c r="C22" s="5" t="s">
        <v>97</v>
      </c>
      <c r="D22" s="5">
        <f t="shared" si="0"/>
        <v>9</v>
      </c>
      <c r="E22" s="5"/>
      <c r="F22" s="5" t="s">
        <v>25</v>
      </c>
      <c r="G22" s="5">
        <v>8.36</v>
      </c>
      <c r="H22" s="5">
        <v>7.92</v>
      </c>
      <c r="I22" s="5">
        <v>6.16</v>
      </c>
      <c r="J22" s="5"/>
      <c r="K22" s="5"/>
      <c r="L22" s="5"/>
      <c r="M22" s="5"/>
      <c r="N22" s="5">
        <f t="shared" si="1"/>
        <v>22.44</v>
      </c>
      <c r="O22" s="5">
        <f t="shared" si="2"/>
        <v>94.841217882018356</v>
      </c>
      <c r="P22" s="52">
        <v>8</v>
      </c>
      <c r="Q22" s="52">
        <v>10</v>
      </c>
      <c r="R22" s="52">
        <v>9</v>
      </c>
      <c r="S22" s="52">
        <v>9</v>
      </c>
      <c r="T22" s="52">
        <v>9</v>
      </c>
      <c r="U22" s="52">
        <v>9</v>
      </c>
      <c r="V22" s="52">
        <v>9</v>
      </c>
      <c r="W22" s="53" t="str">
        <f t="shared" si="6"/>
        <v>Y</v>
      </c>
      <c r="X22" s="103">
        <f t="shared" si="7"/>
        <v>3.5999999999999942E-2</v>
      </c>
      <c r="Y22" s="103" t="str">
        <f t="shared" si="8"/>
        <v>0-4.9%</v>
      </c>
      <c r="Z22" s="5" t="s">
        <v>227</v>
      </c>
    </row>
    <row r="23" spans="1:26" s="82" customFormat="1" ht="24" customHeight="1" x14ac:dyDescent="0.2">
      <c r="A23" s="5">
        <v>18</v>
      </c>
      <c r="B23" s="5">
        <v>0.5229166666666667</v>
      </c>
      <c r="C23" s="5" t="s">
        <v>44</v>
      </c>
      <c r="D23" s="5">
        <f t="shared" si="0"/>
        <v>9</v>
      </c>
      <c r="E23" s="5"/>
      <c r="F23" s="5" t="s">
        <v>25</v>
      </c>
      <c r="G23" s="5">
        <v>5.72</v>
      </c>
      <c r="H23" s="5">
        <v>11.66</v>
      </c>
      <c r="I23" s="5">
        <v>6.82</v>
      </c>
      <c r="J23" s="5"/>
      <c r="K23" s="5"/>
      <c r="L23" s="5"/>
      <c r="M23" s="5"/>
      <c r="N23" s="5">
        <f t="shared" si="1"/>
        <v>24.2</v>
      </c>
      <c r="O23" s="5">
        <f t="shared" si="2"/>
        <v>133.21816049159366</v>
      </c>
      <c r="P23" s="52">
        <v>8</v>
      </c>
      <c r="Q23" s="52">
        <v>10</v>
      </c>
      <c r="R23" s="52">
        <v>9</v>
      </c>
      <c r="S23" s="52">
        <v>9</v>
      </c>
      <c r="T23" s="52">
        <v>9</v>
      </c>
      <c r="U23" s="52">
        <v>9</v>
      </c>
      <c r="V23" s="52">
        <v>9</v>
      </c>
      <c r="W23" s="53" t="str">
        <f t="shared" si="6"/>
        <v>Y</v>
      </c>
      <c r="X23" s="103">
        <f t="shared" si="7"/>
        <v>0.16600000000000001</v>
      </c>
      <c r="Y23" s="103" t="str">
        <f t="shared" si="8"/>
        <v>5-25%</v>
      </c>
      <c r="Z23" s="5" t="s">
        <v>215</v>
      </c>
    </row>
    <row r="24" spans="1:26" ht="24" customHeight="1" x14ac:dyDescent="0.25">
      <c r="A24" s="76">
        <v>1</v>
      </c>
      <c r="B24" s="77">
        <v>0.3263888888888889</v>
      </c>
      <c r="C24" s="78" t="s">
        <v>48</v>
      </c>
      <c r="D24" s="79">
        <f t="shared" si="0"/>
        <v>10</v>
      </c>
      <c r="E24" s="80"/>
      <c r="F24" s="78" t="s">
        <v>27</v>
      </c>
      <c r="G24" s="78">
        <v>8.36</v>
      </c>
      <c r="H24" s="78">
        <v>7.26</v>
      </c>
      <c r="I24" s="78">
        <v>15.84</v>
      </c>
      <c r="J24" s="78">
        <v>12.1</v>
      </c>
      <c r="K24" s="78">
        <v>0.88</v>
      </c>
      <c r="L24" s="78"/>
      <c r="M24" s="78"/>
      <c r="N24" s="51">
        <f t="shared" si="1"/>
        <v>44.440000000000005</v>
      </c>
      <c r="O24" s="51">
        <f t="shared" si="2"/>
        <v>2052.9459330280142</v>
      </c>
      <c r="P24" s="52">
        <v>8</v>
      </c>
      <c r="Q24" s="52">
        <v>10</v>
      </c>
      <c r="R24" s="52">
        <v>9</v>
      </c>
      <c r="S24" s="52">
        <v>9</v>
      </c>
      <c r="T24" s="52">
        <v>9</v>
      </c>
      <c r="U24" s="52">
        <v>9</v>
      </c>
      <c r="V24" s="52">
        <v>9</v>
      </c>
      <c r="W24" s="53" t="str">
        <f t="shared" si="6"/>
        <v>Y</v>
      </c>
      <c r="X24" s="103">
        <f t="shared" si="7"/>
        <v>0.68399999999999994</v>
      </c>
      <c r="Y24" s="103" t="str">
        <f t="shared" si="8"/>
        <v>Over 50%</v>
      </c>
      <c r="Z24" s="81" t="s">
        <v>219</v>
      </c>
    </row>
    <row r="25" spans="1:26" ht="24" customHeight="1" x14ac:dyDescent="0.25">
      <c r="A25" s="10">
        <v>3</v>
      </c>
      <c r="B25" s="33">
        <v>0.3444444444444445</v>
      </c>
      <c r="C25" s="32" t="s">
        <v>50</v>
      </c>
      <c r="D25" s="5">
        <f t="shared" si="0"/>
        <v>10</v>
      </c>
      <c r="E25" s="15"/>
      <c r="F25" s="32" t="s">
        <v>79</v>
      </c>
      <c r="G25" s="32">
        <v>4.62</v>
      </c>
      <c r="H25" s="32">
        <v>5.5</v>
      </c>
      <c r="I25" s="32">
        <v>9.02</v>
      </c>
      <c r="J25" s="32">
        <v>7.26</v>
      </c>
      <c r="K25" s="32">
        <v>8.8000000000000007</v>
      </c>
      <c r="L25" s="32">
        <v>7.7</v>
      </c>
      <c r="M25" s="32"/>
      <c r="N25" s="51">
        <f t="shared" si="1"/>
        <v>42.900000000000006</v>
      </c>
      <c r="O25" s="51">
        <f t="shared" si="2"/>
        <v>1751.6692270234039</v>
      </c>
      <c r="P25" s="52">
        <v>8</v>
      </c>
      <c r="Q25" s="52">
        <v>10</v>
      </c>
      <c r="R25" s="52">
        <v>9</v>
      </c>
      <c r="S25" s="52">
        <v>9</v>
      </c>
      <c r="T25" s="52">
        <v>9</v>
      </c>
      <c r="U25" s="52">
        <v>9</v>
      </c>
      <c r="V25" s="52">
        <v>9</v>
      </c>
      <c r="W25" s="53" t="str">
        <f t="shared" si="6"/>
        <v>Y</v>
      </c>
      <c r="X25" s="103">
        <f t="shared" si="7"/>
        <v>1.9999999999999575E-3</v>
      </c>
      <c r="Y25" s="103" t="str">
        <f t="shared" si="8"/>
        <v>0-4.9%</v>
      </c>
      <c r="Z25" s="8" t="s">
        <v>224</v>
      </c>
    </row>
    <row r="26" spans="1:26" ht="24" customHeight="1" x14ac:dyDescent="0.25">
      <c r="A26" s="10">
        <v>4</v>
      </c>
      <c r="B26" s="33">
        <v>0.35416666666666669</v>
      </c>
      <c r="C26" s="32" t="s">
        <v>51</v>
      </c>
      <c r="D26" s="5">
        <f t="shared" si="0"/>
        <v>10</v>
      </c>
      <c r="E26" s="15"/>
      <c r="F26" s="32" t="s">
        <v>31</v>
      </c>
      <c r="G26" s="32">
        <v>6.6159999999999997</v>
      </c>
      <c r="H26" s="32">
        <v>5.0599999999999996</v>
      </c>
      <c r="I26" s="32">
        <v>5.5</v>
      </c>
      <c r="J26" s="32">
        <v>8.58</v>
      </c>
      <c r="K26" s="32">
        <v>6.6</v>
      </c>
      <c r="L26" s="32">
        <v>6.38</v>
      </c>
      <c r="M26" s="32"/>
      <c r="N26" s="51">
        <f t="shared" si="1"/>
        <v>38.736000000000004</v>
      </c>
      <c r="O26" s="51">
        <f t="shared" si="2"/>
        <v>1106.3964154225375</v>
      </c>
      <c r="P26" s="52">
        <v>8</v>
      </c>
      <c r="Q26" s="52">
        <v>10</v>
      </c>
      <c r="R26" s="52">
        <v>9</v>
      </c>
      <c r="S26" s="52">
        <v>9</v>
      </c>
      <c r="T26" s="52">
        <v>9</v>
      </c>
      <c r="U26" s="52">
        <v>9</v>
      </c>
      <c r="V26" s="52">
        <v>9</v>
      </c>
      <c r="W26" s="53" t="str">
        <f t="shared" si="6"/>
        <v>N</v>
      </c>
      <c r="X26" s="103">
        <f t="shared" si="7"/>
        <v>0</v>
      </c>
      <c r="Y26" s="103" t="str">
        <f t="shared" si="8"/>
        <v>0-4.9%</v>
      </c>
      <c r="Z26" s="8" t="s">
        <v>215</v>
      </c>
    </row>
    <row r="27" spans="1:26" ht="24" customHeight="1" x14ac:dyDescent="0.25">
      <c r="A27" s="10">
        <v>5</v>
      </c>
      <c r="B27" s="33">
        <v>0.35694444444444445</v>
      </c>
      <c r="C27" s="32" t="s">
        <v>52</v>
      </c>
      <c r="D27" s="5">
        <f t="shared" si="0"/>
        <v>10</v>
      </c>
      <c r="E27" s="15"/>
      <c r="F27" s="32" t="s">
        <v>80</v>
      </c>
      <c r="G27" s="32">
        <v>5.0599999999999996</v>
      </c>
      <c r="H27" s="32">
        <v>3.74</v>
      </c>
      <c r="I27" s="32">
        <v>3.3</v>
      </c>
      <c r="J27" s="32">
        <v>4.4000000000000004</v>
      </c>
      <c r="K27" s="32">
        <v>4.18</v>
      </c>
      <c r="L27" s="32">
        <v>2.42</v>
      </c>
      <c r="M27" s="32"/>
      <c r="N27" s="51">
        <f t="shared" si="1"/>
        <v>23.1</v>
      </c>
      <c r="O27" s="51">
        <f t="shared" si="2"/>
        <v>108.0558278911695</v>
      </c>
      <c r="P27" s="52">
        <v>8</v>
      </c>
      <c r="Q27" s="52">
        <v>10</v>
      </c>
      <c r="R27" s="52">
        <v>9</v>
      </c>
      <c r="S27" s="52">
        <v>9</v>
      </c>
      <c r="T27" s="52">
        <v>9</v>
      </c>
      <c r="U27" s="52">
        <v>9</v>
      </c>
      <c r="V27" s="52">
        <v>9</v>
      </c>
      <c r="W27" s="53" t="str">
        <f t="shared" si="6"/>
        <v>N</v>
      </c>
      <c r="X27" s="103">
        <f t="shared" si="7"/>
        <v>0</v>
      </c>
      <c r="Y27" s="103" t="str">
        <f t="shared" si="8"/>
        <v>0-4.9%</v>
      </c>
      <c r="Z27" s="8" t="s">
        <v>165</v>
      </c>
    </row>
    <row r="28" spans="1:26" ht="24" customHeight="1" x14ac:dyDescent="0.25">
      <c r="A28" s="10">
        <v>6</v>
      </c>
      <c r="B28" s="33">
        <v>0.35902777777777778</v>
      </c>
      <c r="C28" s="32" t="s">
        <v>53</v>
      </c>
      <c r="D28" s="5">
        <f t="shared" si="0"/>
        <v>10</v>
      </c>
      <c r="E28" s="15"/>
      <c r="F28" s="32" t="s">
        <v>31</v>
      </c>
      <c r="G28" s="32">
        <v>6.16</v>
      </c>
      <c r="H28" s="32">
        <v>6.6</v>
      </c>
      <c r="I28" s="32">
        <v>6.82</v>
      </c>
      <c r="J28" s="32">
        <v>7.48</v>
      </c>
      <c r="K28" s="32">
        <v>7.7</v>
      </c>
      <c r="L28" s="32">
        <v>7.48</v>
      </c>
      <c r="M28" s="32"/>
      <c r="N28" s="51">
        <f t="shared" si="1"/>
        <v>42.239999999999995</v>
      </c>
      <c r="O28" s="51">
        <f t="shared" si="2"/>
        <v>1633.6231474404965</v>
      </c>
      <c r="P28" s="52">
        <v>8</v>
      </c>
      <c r="Q28" s="52">
        <v>10</v>
      </c>
      <c r="R28" s="52">
        <v>9</v>
      </c>
      <c r="S28" s="52">
        <v>9</v>
      </c>
      <c r="T28" s="52">
        <v>9</v>
      </c>
      <c r="U28" s="52">
        <v>9</v>
      </c>
      <c r="V28" s="52">
        <v>9</v>
      </c>
      <c r="W28" s="53" t="str">
        <f t="shared" si="6"/>
        <v>N</v>
      </c>
      <c r="X28" s="103">
        <f t="shared" si="7"/>
        <v>0</v>
      </c>
      <c r="Y28" s="103" t="str">
        <f t="shared" si="8"/>
        <v>0-4.9%</v>
      </c>
      <c r="Z28" s="8" t="s">
        <v>215</v>
      </c>
    </row>
    <row r="29" spans="1:26" ht="24" customHeight="1" x14ac:dyDescent="0.25">
      <c r="A29" s="10">
        <v>7</v>
      </c>
      <c r="B29" s="33">
        <v>0.36319444444444443</v>
      </c>
      <c r="C29" s="32" t="s">
        <v>54</v>
      </c>
      <c r="D29" s="5">
        <f t="shared" si="0"/>
        <v>10</v>
      </c>
      <c r="E29" s="15"/>
      <c r="F29" s="32" t="s">
        <v>28</v>
      </c>
      <c r="G29" s="32">
        <v>5.94</v>
      </c>
      <c r="H29" s="32">
        <v>7.48</v>
      </c>
      <c r="I29" s="32">
        <v>9.02</v>
      </c>
      <c r="J29" s="32">
        <v>5.28</v>
      </c>
      <c r="K29" s="32">
        <v>3.74</v>
      </c>
      <c r="L29" s="32">
        <v>3.3</v>
      </c>
      <c r="M29" s="32"/>
      <c r="N29" s="51">
        <f t="shared" si="1"/>
        <v>34.76</v>
      </c>
      <c r="O29" s="51">
        <f t="shared" si="2"/>
        <v>679.5997972057005</v>
      </c>
      <c r="P29" s="52">
        <v>8</v>
      </c>
      <c r="Q29" s="52">
        <v>10</v>
      </c>
      <c r="R29" s="52">
        <v>9</v>
      </c>
      <c r="S29" s="52">
        <v>9</v>
      </c>
      <c r="T29" s="52">
        <v>9</v>
      </c>
      <c r="U29" s="52">
        <v>9</v>
      </c>
      <c r="V29" s="52">
        <v>9</v>
      </c>
      <c r="W29" s="53" t="str">
        <f t="shared" si="6"/>
        <v>Y</v>
      </c>
      <c r="X29" s="103">
        <f t="shared" si="7"/>
        <v>1.9999999999999575E-3</v>
      </c>
      <c r="Y29" s="103" t="str">
        <f t="shared" si="8"/>
        <v>0-4.9%</v>
      </c>
      <c r="Z29" s="8" t="s">
        <v>215</v>
      </c>
    </row>
    <row r="30" spans="1:26" ht="24" customHeight="1" x14ac:dyDescent="0.25">
      <c r="A30" s="10">
        <v>8</v>
      </c>
      <c r="B30" s="33">
        <v>0.37152777777777773</v>
      </c>
      <c r="C30" s="32" t="s">
        <v>55</v>
      </c>
      <c r="D30" s="5">
        <f t="shared" si="0"/>
        <v>10</v>
      </c>
      <c r="E30" s="15"/>
      <c r="F30" s="32" t="s">
        <v>31</v>
      </c>
      <c r="G30" s="32">
        <v>6.38</v>
      </c>
      <c r="H30" s="32">
        <v>6.82</v>
      </c>
      <c r="I30" s="32">
        <v>7.04</v>
      </c>
      <c r="J30" s="32">
        <v>3.74</v>
      </c>
      <c r="K30" s="32">
        <v>3.3</v>
      </c>
      <c r="L30" s="32">
        <v>3.52</v>
      </c>
      <c r="M30" s="32"/>
      <c r="N30" s="51">
        <f t="shared" si="1"/>
        <v>30.799999999999997</v>
      </c>
      <c r="O30" s="51">
        <f t="shared" si="2"/>
        <v>394.3415234084319</v>
      </c>
      <c r="P30" s="52">
        <v>8</v>
      </c>
      <c r="Q30" s="52">
        <v>10</v>
      </c>
      <c r="R30" s="52">
        <v>9</v>
      </c>
      <c r="S30" s="52">
        <v>9</v>
      </c>
      <c r="T30" s="52">
        <v>9</v>
      </c>
      <c r="U30" s="52">
        <v>9</v>
      </c>
      <c r="V30" s="52">
        <v>9</v>
      </c>
      <c r="W30" s="53" t="str">
        <f t="shared" si="6"/>
        <v>N</v>
      </c>
      <c r="X30" s="103">
        <f t="shared" si="7"/>
        <v>0</v>
      </c>
      <c r="Y30" s="103" t="str">
        <f t="shared" si="8"/>
        <v>0-4.9%</v>
      </c>
      <c r="Z30" s="8" t="s">
        <v>33</v>
      </c>
    </row>
    <row r="31" spans="1:26" ht="24" customHeight="1" x14ac:dyDescent="0.25">
      <c r="A31" s="10">
        <v>9</v>
      </c>
      <c r="B31" s="33">
        <v>0.375</v>
      </c>
      <c r="C31" s="32" t="s">
        <v>56</v>
      </c>
      <c r="D31" s="5">
        <f t="shared" si="0"/>
        <v>10</v>
      </c>
      <c r="E31" s="15"/>
      <c r="F31" s="32" t="s">
        <v>27</v>
      </c>
      <c r="G31" s="32">
        <v>5.0599999999999996</v>
      </c>
      <c r="H31" s="32">
        <v>11.22</v>
      </c>
      <c r="I31" s="32">
        <v>13.2</v>
      </c>
      <c r="J31" s="32">
        <v>7.04</v>
      </c>
      <c r="K31" s="32">
        <v>2.64</v>
      </c>
      <c r="L31" s="32"/>
      <c r="M31" s="32"/>
      <c r="N31" s="51">
        <f t="shared" si="1"/>
        <v>39.160000000000004</v>
      </c>
      <c r="O31" s="51">
        <f t="shared" si="2"/>
        <v>1161.9471089118208</v>
      </c>
      <c r="P31" s="52">
        <v>8</v>
      </c>
      <c r="Q31" s="52">
        <v>10</v>
      </c>
      <c r="R31" s="52">
        <v>9</v>
      </c>
      <c r="S31" s="52">
        <v>9</v>
      </c>
      <c r="T31" s="52">
        <v>9</v>
      </c>
      <c r="U31" s="52">
        <v>9</v>
      </c>
      <c r="V31" s="52">
        <v>9</v>
      </c>
      <c r="W31" s="53" t="str">
        <f t="shared" si="6"/>
        <v>Y</v>
      </c>
      <c r="X31" s="103">
        <f t="shared" si="7"/>
        <v>0.41999999999999993</v>
      </c>
      <c r="Y31" s="103" t="str">
        <f t="shared" si="8"/>
        <v>25-50%</v>
      </c>
      <c r="Z31" s="8" t="s">
        <v>215</v>
      </c>
    </row>
    <row r="32" spans="1:26" ht="24" customHeight="1" x14ac:dyDescent="0.25">
      <c r="A32" s="10">
        <v>10</v>
      </c>
      <c r="B32" s="33">
        <v>0.37847222222222227</v>
      </c>
      <c r="C32" s="32" t="s">
        <v>57</v>
      </c>
      <c r="D32" s="5">
        <f t="shared" si="0"/>
        <v>10</v>
      </c>
      <c r="E32" s="15"/>
      <c r="F32" s="32" t="s">
        <v>27</v>
      </c>
      <c r="G32" s="32">
        <v>8.3000000000000007</v>
      </c>
      <c r="H32" s="32">
        <v>7.7</v>
      </c>
      <c r="I32" s="32">
        <v>11.88</v>
      </c>
      <c r="J32" s="32">
        <v>11.66</v>
      </c>
      <c r="K32" s="32">
        <v>3.74</v>
      </c>
      <c r="L32" s="32"/>
      <c r="M32" s="32"/>
      <c r="N32" s="51">
        <f t="shared" si="1"/>
        <v>43.280000000000008</v>
      </c>
      <c r="O32" s="51">
        <f t="shared" si="2"/>
        <v>1822.5813420808345</v>
      </c>
      <c r="P32" s="52">
        <v>8</v>
      </c>
      <c r="Q32" s="52">
        <v>10</v>
      </c>
      <c r="R32" s="52">
        <v>9</v>
      </c>
      <c r="S32" s="52">
        <v>9</v>
      </c>
      <c r="T32" s="52">
        <v>9</v>
      </c>
      <c r="U32" s="52">
        <v>9</v>
      </c>
      <c r="V32" s="52">
        <v>9</v>
      </c>
      <c r="W32" s="53" t="str">
        <f t="shared" si="6"/>
        <v>Y</v>
      </c>
      <c r="X32" s="103">
        <f t="shared" si="7"/>
        <v>0.28800000000000009</v>
      </c>
      <c r="Y32" s="103" t="str">
        <f t="shared" si="8"/>
        <v>25-50%</v>
      </c>
      <c r="Z32" s="8" t="s">
        <v>215</v>
      </c>
    </row>
    <row r="33" spans="1:26" ht="24" customHeight="1" x14ac:dyDescent="0.25">
      <c r="A33" s="10">
        <v>12</v>
      </c>
      <c r="B33" s="33">
        <v>0.3833333333333333</v>
      </c>
      <c r="C33" s="32" t="s">
        <v>59</v>
      </c>
      <c r="D33" s="5">
        <f t="shared" si="0"/>
        <v>10</v>
      </c>
      <c r="E33" s="15"/>
      <c r="F33" s="32" t="s">
        <v>31</v>
      </c>
      <c r="G33" s="32">
        <v>5.72</v>
      </c>
      <c r="H33" s="32">
        <v>7.04</v>
      </c>
      <c r="I33" s="32">
        <v>7.26</v>
      </c>
      <c r="J33" s="32">
        <v>9.9</v>
      </c>
      <c r="K33" s="32">
        <v>7.92</v>
      </c>
      <c r="L33" s="32">
        <v>5.5</v>
      </c>
      <c r="M33" s="32"/>
      <c r="N33" s="51">
        <f t="shared" si="1"/>
        <v>43.34</v>
      </c>
      <c r="O33" s="51">
        <f t="shared" si="2"/>
        <v>1833.9790361765456</v>
      </c>
      <c r="P33" s="52">
        <v>8</v>
      </c>
      <c r="Q33" s="52">
        <v>10</v>
      </c>
      <c r="R33" s="52">
        <v>9</v>
      </c>
      <c r="S33" s="52">
        <v>9</v>
      </c>
      <c r="T33" s="52">
        <v>9</v>
      </c>
      <c r="U33" s="52">
        <v>9</v>
      </c>
      <c r="V33" s="52">
        <v>9</v>
      </c>
      <c r="W33" s="53" t="str">
        <f t="shared" si="6"/>
        <v>Y</v>
      </c>
      <c r="X33" s="103">
        <f t="shared" si="7"/>
        <v>9.0000000000000038E-2</v>
      </c>
      <c r="Y33" s="103" t="str">
        <f t="shared" si="8"/>
        <v>5-25%</v>
      </c>
      <c r="Z33" s="8" t="s">
        <v>219</v>
      </c>
    </row>
    <row r="34" spans="1:26" ht="24" customHeight="1" x14ac:dyDescent="0.25">
      <c r="A34" s="10">
        <v>13</v>
      </c>
      <c r="B34" s="33">
        <v>0.3923611111111111</v>
      </c>
      <c r="C34" s="32" t="s">
        <v>60</v>
      </c>
      <c r="D34" s="5">
        <f t="shared" si="0"/>
        <v>10</v>
      </c>
      <c r="E34" s="15"/>
      <c r="F34" s="32" t="s">
        <v>26</v>
      </c>
      <c r="G34" s="32">
        <v>5.28</v>
      </c>
      <c r="H34" s="32">
        <v>2.86</v>
      </c>
      <c r="I34" s="32">
        <v>7.04</v>
      </c>
      <c r="J34" s="32">
        <v>6.38</v>
      </c>
      <c r="K34" s="32">
        <v>5.5</v>
      </c>
      <c r="L34" s="32">
        <v>4.18</v>
      </c>
      <c r="M34" s="32"/>
      <c r="N34" s="51">
        <f t="shared" si="1"/>
        <v>31.24</v>
      </c>
      <c r="O34" s="51">
        <f t="shared" si="2"/>
        <v>420.33339835167681</v>
      </c>
      <c r="P34" s="52">
        <v>8</v>
      </c>
      <c r="Q34" s="52">
        <v>10</v>
      </c>
      <c r="R34" s="52">
        <v>9</v>
      </c>
      <c r="S34" s="52">
        <v>9</v>
      </c>
      <c r="T34" s="52">
        <v>9</v>
      </c>
      <c r="U34" s="52">
        <v>9</v>
      </c>
      <c r="V34" s="52">
        <v>9</v>
      </c>
      <c r="W34" s="53" t="str">
        <f t="shared" si="6"/>
        <v>N</v>
      </c>
      <c r="X34" s="103">
        <f t="shared" si="7"/>
        <v>0</v>
      </c>
      <c r="Y34" s="103" t="str">
        <f t="shared" si="8"/>
        <v>0-4.9%</v>
      </c>
      <c r="Z34" s="8" t="s">
        <v>215</v>
      </c>
    </row>
    <row r="35" spans="1:26" ht="24" customHeight="1" x14ac:dyDescent="0.25">
      <c r="A35" s="10">
        <v>14</v>
      </c>
      <c r="B35" s="33">
        <v>0.40138888888888885</v>
      </c>
      <c r="C35" s="32" t="s">
        <v>61</v>
      </c>
      <c r="D35" s="5">
        <f t="shared" si="0"/>
        <v>10</v>
      </c>
      <c r="E35" s="15"/>
      <c r="F35" s="32" t="s">
        <v>26</v>
      </c>
      <c r="G35" s="32">
        <v>6.38</v>
      </c>
      <c r="H35" s="32">
        <v>4.62</v>
      </c>
      <c r="I35" s="32">
        <v>6.38</v>
      </c>
      <c r="J35" s="32">
        <v>7.04</v>
      </c>
      <c r="K35" s="32">
        <v>7.04</v>
      </c>
      <c r="L35" s="32">
        <v>7.48</v>
      </c>
      <c r="M35" s="32"/>
      <c r="N35" s="51">
        <f t="shared" si="1"/>
        <v>38.94</v>
      </c>
      <c r="O35" s="51">
        <f t="shared" si="2"/>
        <v>1132.8594921589984</v>
      </c>
      <c r="P35" s="52">
        <v>8</v>
      </c>
      <c r="Q35" s="52">
        <v>10</v>
      </c>
      <c r="R35" s="52">
        <v>9</v>
      </c>
      <c r="S35" s="52">
        <v>9</v>
      </c>
      <c r="T35" s="52">
        <v>9</v>
      </c>
      <c r="U35" s="52">
        <v>9</v>
      </c>
      <c r="V35" s="52">
        <v>9</v>
      </c>
      <c r="W35" s="53" t="str">
        <f t="shared" si="6"/>
        <v>N</v>
      </c>
      <c r="X35" s="103">
        <f t="shared" si="7"/>
        <v>0</v>
      </c>
      <c r="Y35" s="103" t="str">
        <f t="shared" si="8"/>
        <v>0-4.9%</v>
      </c>
      <c r="Z35" s="8" t="s">
        <v>223</v>
      </c>
    </row>
    <row r="36" spans="1:26" ht="24" customHeight="1" x14ac:dyDescent="0.25">
      <c r="A36" s="10">
        <v>15</v>
      </c>
      <c r="B36" s="33">
        <v>0.40416666666666662</v>
      </c>
      <c r="C36" s="32" t="s">
        <v>62</v>
      </c>
      <c r="D36" s="5">
        <f t="shared" si="0"/>
        <v>10</v>
      </c>
      <c r="E36" s="15"/>
      <c r="F36" s="32" t="s">
        <v>31</v>
      </c>
      <c r="G36" s="32">
        <v>8.4</v>
      </c>
      <c r="H36" s="32">
        <v>6.6</v>
      </c>
      <c r="I36" s="32">
        <v>6.38</v>
      </c>
      <c r="J36" s="32">
        <v>4.62</v>
      </c>
      <c r="K36" s="32">
        <v>5.28</v>
      </c>
      <c r="L36" s="32">
        <v>6.6</v>
      </c>
      <c r="M36" s="32"/>
      <c r="N36" s="51">
        <f t="shared" si="1"/>
        <v>37.880000000000003</v>
      </c>
      <c r="O36" s="51">
        <f t="shared" si="2"/>
        <v>1000.5508197017299</v>
      </c>
      <c r="P36" s="52">
        <v>8</v>
      </c>
      <c r="Q36" s="52">
        <v>10</v>
      </c>
      <c r="R36" s="52">
        <v>9</v>
      </c>
      <c r="S36" s="52">
        <v>9</v>
      </c>
      <c r="T36" s="52">
        <v>9</v>
      </c>
      <c r="U36" s="52">
        <v>9</v>
      </c>
      <c r="V36" s="52">
        <v>9</v>
      </c>
      <c r="W36" s="53" t="str">
        <f t="shared" si="6"/>
        <v>Y</v>
      </c>
      <c r="X36" s="103">
        <f t="shared" si="7"/>
        <v>4.0000000000000036E-2</v>
      </c>
      <c r="Y36" s="103" t="str">
        <f t="shared" si="8"/>
        <v>0-4.9%</v>
      </c>
      <c r="Z36" s="8" t="s">
        <v>215</v>
      </c>
    </row>
    <row r="37" spans="1:26" ht="24" customHeight="1" x14ac:dyDescent="0.25">
      <c r="A37" s="10">
        <v>17</v>
      </c>
      <c r="B37" s="33">
        <v>0.43611111111111112</v>
      </c>
      <c r="C37" s="32" t="s">
        <v>64</v>
      </c>
      <c r="D37" s="5">
        <f t="shared" si="0"/>
        <v>10</v>
      </c>
      <c r="E37" s="15"/>
      <c r="F37" s="32" t="s">
        <v>27</v>
      </c>
      <c r="G37" s="32">
        <v>6.6</v>
      </c>
      <c r="H37" s="32">
        <v>6.6</v>
      </c>
      <c r="I37" s="32">
        <v>10.56</v>
      </c>
      <c r="J37" s="32">
        <v>9.9</v>
      </c>
      <c r="K37" s="32">
        <v>0.88</v>
      </c>
      <c r="L37" s="32"/>
      <c r="M37" s="32"/>
      <c r="N37" s="51">
        <f t="shared" si="1"/>
        <v>34.54</v>
      </c>
      <c r="O37" s="51">
        <f t="shared" si="2"/>
        <v>660.45736139787107</v>
      </c>
      <c r="P37" s="52">
        <v>8</v>
      </c>
      <c r="Q37" s="52">
        <v>10</v>
      </c>
      <c r="R37" s="52">
        <v>9</v>
      </c>
      <c r="S37" s="52">
        <v>9</v>
      </c>
      <c r="T37" s="52">
        <v>9</v>
      </c>
      <c r="U37" s="52">
        <v>9</v>
      </c>
      <c r="V37" s="52">
        <v>9</v>
      </c>
      <c r="W37" s="53" t="str">
        <f t="shared" si="6"/>
        <v>Y</v>
      </c>
      <c r="X37" s="103">
        <f t="shared" si="7"/>
        <v>0.15600000000000006</v>
      </c>
      <c r="Y37" s="103" t="str">
        <f t="shared" si="8"/>
        <v>5-25%</v>
      </c>
      <c r="Z37" s="8" t="s">
        <v>215</v>
      </c>
    </row>
    <row r="38" spans="1:26" ht="24" customHeight="1" x14ac:dyDescent="0.25">
      <c r="A38" s="10">
        <v>18</v>
      </c>
      <c r="B38" s="55">
        <v>0.45</v>
      </c>
      <c r="C38" s="32" t="s">
        <v>65</v>
      </c>
      <c r="D38" s="5">
        <f t="shared" si="0"/>
        <v>10</v>
      </c>
      <c r="E38" s="15"/>
      <c r="F38" s="32" t="s">
        <v>31</v>
      </c>
      <c r="G38" s="32">
        <v>5.0599999999999996</v>
      </c>
      <c r="H38" s="32">
        <v>5.0599999999999996</v>
      </c>
      <c r="I38" s="32">
        <v>6.82</v>
      </c>
      <c r="J38" s="32">
        <v>5.28</v>
      </c>
      <c r="K38" s="32">
        <v>5.28</v>
      </c>
      <c r="L38" s="32">
        <v>6.6</v>
      </c>
      <c r="M38" s="32"/>
      <c r="N38" s="51">
        <f t="shared" si="1"/>
        <v>34.1</v>
      </c>
      <c r="O38" s="51">
        <f t="shared" si="2"/>
        <v>623.43185753727516</v>
      </c>
      <c r="P38" s="52">
        <v>8</v>
      </c>
      <c r="Q38" s="52">
        <v>10</v>
      </c>
      <c r="R38" s="52">
        <v>9</v>
      </c>
      <c r="S38" s="52">
        <v>9</v>
      </c>
      <c r="T38" s="52">
        <v>9</v>
      </c>
      <c r="U38" s="52">
        <v>9</v>
      </c>
      <c r="V38" s="52">
        <v>9</v>
      </c>
      <c r="W38" s="53" t="str">
        <f t="shared" si="6"/>
        <v>N</v>
      </c>
      <c r="X38" s="103">
        <f t="shared" si="7"/>
        <v>0</v>
      </c>
      <c r="Y38" s="103" t="str">
        <f t="shared" si="8"/>
        <v>0-4.9%</v>
      </c>
      <c r="Z38" s="8" t="s">
        <v>215</v>
      </c>
    </row>
    <row r="39" spans="1:26" ht="24" customHeight="1" x14ac:dyDescent="0.25">
      <c r="A39" s="10">
        <v>20</v>
      </c>
      <c r="B39" s="55">
        <v>0.45694444444444443</v>
      </c>
      <c r="C39" s="32" t="s">
        <v>67</v>
      </c>
      <c r="D39" s="5">
        <f t="shared" ref="D39:D70" si="9">IF(COUNT(G39:M39)&gt;3,10,IF(COUNT(G39:M39)&gt;2,9,7))</f>
        <v>10</v>
      </c>
      <c r="E39" s="15"/>
      <c r="F39" s="32" t="s">
        <v>31</v>
      </c>
      <c r="G39" s="32">
        <v>4.18</v>
      </c>
      <c r="H39" s="32">
        <v>5.5</v>
      </c>
      <c r="I39" s="32">
        <v>1.32</v>
      </c>
      <c r="J39" s="32">
        <v>2.86</v>
      </c>
      <c r="K39" s="32">
        <v>3.52</v>
      </c>
      <c r="L39" s="32">
        <v>5.5</v>
      </c>
      <c r="M39" s="32"/>
      <c r="N39" s="51">
        <f t="shared" ref="N39:N70" si="10">SUM(G39:M39)</f>
        <v>22.88</v>
      </c>
      <c r="O39" s="51">
        <f t="shared" ref="O39:O70" si="11">(N39/8.16)^4.5</f>
        <v>103.50143619715013</v>
      </c>
      <c r="P39" s="52">
        <v>8</v>
      </c>
      <c r="Q39" s="52">
        <v>10</v>
      </c>
      <c r="R39" s="52">
        <v>9</v>
      </c>
      <c r="S39" s="52">
        <v>9</v>
      </c>
      <c r="T39" s="52">
        <v>9</v>
      </c>
      <c r="U39" s="52">
        <v>9</v>
      </c>
      <c r="V39" s="52">
        <v>9</v>
      </c>
      <c r="W39" s="53" t="str">
        <f t="shared" si="6"/>
        <v>N</v>
      </c>
      <c r="X39" s="103">
        <f t="shared" si="7"/>
        <v>0</v>
      </c>
      <c r="Y39" s="103" t="str">
        <f t="shared" si="8"/>
        <v>0-4.9%</v>
      </c>
      <c r="Z39" s="8" t="s">
        <v>33</v>
      </c>
    </row>
    <row r="40" spans="1:26" ht="24" customHeight="1" x14ac:dyDescent="0.25">
      <c r="A40" s="10">
        <v>21</v>
      </c>
      <c r="B40" s="55">
        <v>0.4597222222222222</v>
      </c>
      <c r="C40" s="32" t="s">
        <v>68</v>
      </c>
      <c r="D40" s="5">
        <f t="shared" si="9"/>
        <v>10</v>
      </c>
      <c r="E40" s="15"/>
      <c r="F40" s="32" t="s">
        <v>31</v>
      </c>
      <c r="G40" s="32">
        <v>7.04</v>
      </c>
      <c r="H40" s="32">
        <v>1.76</v>
      </c>
      <c r="I40" s="32">
        <v>8.14</v>
      </c>
      <c r="J40" s="32">
        <v>9.9</v>
      </c>
      <c r="K40" s="32">
        <v>7.04</v>
      </c>
      <c r="L40" s="32">
        <v>8.36</v>
      </c>
      <c r="M40" s="32"/>
      <c r="N40" s="51">
        <f t="shared" si="10"/>
        <v>42.24</v>
      </c>
      <c r="O40" s="51">
        <f t="shared" si="11"/>
        <v>1633.6231474404979</v>
      </c>
      <c r="P40" s="52">
        <v>8</v>
      </c>
      <c r="Q40" s="52">
        <v>10</v>
      </c>
      <c r="R40" s="52">
        <v>9</v>
      </c>
      <c r="S40" s="52">
        <v>9</v>
      </c>
      <c r="T40" s="52">
        <v>9</v>
      </c>
      <c r="U40" s="52">
        <v>9</v>
      </c>
      <c r="V40" s="52">
        <v>9</v>
      </c>
      <c r="W40" s="53" t="str">
        <f t="shared" si="6"/>
        <v>Y</v>
      </c>
      <c r="X40" s="103">
        <f t="shared" si="7"/>
        <v>9.0000000000000038E-2</v>
      </c>
      <c r="Y40" s="103" t="str">
        <f t="shared" si="8"/>
        <v>5-25%</v>
      </c>
      <c r="Z40" s="8" t="s">
        <v>215</v>
      </c>
    </row>
    <row r="41" spans="1:26" ht="24" customHeight="1" x14ac:dyDescent="0.25">
      <c r="A41" s="10">
        <v>22</v>
      </c>
      <c r="B41" s="55">
        <v>0.46180555555555558</v>
      </c>
      <c r="C41" s="32" t="s">
        <v>69</v>
      </c>
      <c r="D41" s="5">
        <f t="shared" si="9"/>
        <v>10</v>
      </c>
      <c r="E41" s="15"/>
      <c r="F41" s="32" t="s">
        <v>31</v>
      </c>
      <c r="G41" s="32">
        <v>4.18</v>
      </c>
      <c r="H41" s="32">
        <v>7.26</v>
      </c>
      <c r="I41" s="32">
        <v>7.04</v>
      </c>
      <c r="J41" s="32">
        <v>9.02</v>
      </c>
      <c r="K41" s="32">
        <v>7.04</v>
      </c>
      <c r="L41" s="32">
        <v>5.94</v>
      </c>
      <c r="M41" s="32"/>
      <c r="N41" s="51">
        <f t="shared" si="10"/>
        <v>40.479999999999997</v>
      </c>
      <c r="O41" s="51">
        <f t="shared" si="11"/>
        <v>1348.8900553236656</v>
      </c>
      <c r="P41" s="52">
        <v>8</v>
      </c>
      <c r="Q41" s="52">
        <v>10</v>
      </c>
      <c r="R41" s="52">
        <v>9</v>
      </c>
      <c r="S41" s="52">
        <v>9</v>
      </c>
      <c r="T41" s="52">
        <v>9</v>
      </c>
      <c r="U41" s="52">
        <v>9</v>
      </c>
      <c r="V41" s="52">
        <v>9</v>
      </c>
      <c r="W41" s="53" t="str">
        <f t="shared" si="6"/>
        <v>Y</v>
      </c>
      <c r="X41" s="103">
        <f t="shared" si="7"/>
        <v>1.9999999999999575E-3</v>
      </c>
      <c r="Y41" s="103" t="str">
        <f t="shared" si="8"/>
        <v>0-4.9%</v>
      </c>
      <c r="Z41" s="8" t="s">
        <v>227</v>
      </c>
    </row>
    <row r="42" spans="1:26" ht="24" customHeight="1" x14ac:dyDescent="0.25">
      <c r="A42" s="10">
        <v>23</v>
      </c>
      <c r="B42" s="55">
        <v>0.46388888888888885</v>
      </c>
      <c r="C42" s="32" t="s">
        <v>70</v>
      </c>
      <c r="D42" s="5">
        <f t="shared" si="9"/>
        <v>10</v>
      </c>
      <c r="E42" s="15"/>
      <c r="F42" s="32" t="s">
        <v>31</v>
      </c>
      <c r="G42" s="32">
        <v>5.72</v>
      </c>
      <c r="H42" s="32">
        <v>10.119999999999999</v>
      </c>
      <c r="I42" s="32">
        <v>8.36</v>
      </c>
      <c r="J42" s="32">
        <v>8.8000000000000007</v>
      </c>
      <c r="K42" s="32">
        <v>6.38</v>
      </c>
      <c r="L42" s="32">
        <v>8.58</v>
      </c>
      <c r="M42" s="32"/>
      <c r="N42" s="51">
        <f t="shared" si="10"/>
        <v>47.96</v>
      </c>
      <c r="O42" s="51">
        <f t="shared" si="11"/>
        <v>2893.0142346038224</v>
      </c>
      <c r="P42" s="52">
        <v>8</v>
      </c>
      <c r="Q42" s="52">
        <v>10</v>
      </c>
      <c r="R42" s="52">
        <v>9</v>
      </c>
      <c r="S42" s="52">
        <v>9</v>
      </c>
      <c r="T42" s="52">
        <v>9</v>
      </c>
      <c r="U42" s="52">
        <v>9</v>
      </c>
      <c r="V42" s="52">
        <v>9</v>
      </c>
      <c r="W42" s="53" t="str">
        <f t="shared" si="6"/>
        <v>Y</v>
      </c>
      <c r="X42" s="103">
        <f t="shared" si="7"/>
        <v>1.1999999999999922E-2</v>
      </c>
      <c r="Y42" s="103" t="str">
        <f t="shared" si="8"/>
        <v>0-4.9%</v>
      </c>
      <c r="Z42" s="8" t="s">
        <v>219</v>
      </c>
    </row>
    <row r="43" spans="1:26" ht="24" customHeight="1" x14ac:dyDescent="0.25">
      <c r="A43" s="10">
        <v>24</v>
      </c>
      <c r="B43" s="55">
        <v>0.48055555555555557</v>
      </c>
      <c r="C43" s="32" t="s">
        <v>71</v>
      </c>
      <c r="D43" s="5">
        <f t="shared" si="9"/>
        <v>10</v>
      </c>
      <c r="E43" s="15"/>
      <c r="F43" s="32" t="s">
        <v>31</v>
      </c>
      <c r="G43" s="32">
        <v>5.5</v>
      </c>
      <c r="H43" s="32">
        <v>5.28</v>
      </c>
      <c r="I43" s="32">
        <v>4.84</v>
      </c>
      <c r="J43" s="32">
        <v>4.62</v>
      </c>
      <c r="K43" s="32">
        <v>4.4000000000000004</v>
      </c>
      <c r="L43" s="32">
        <v>5.72</v>
      </c>
      <c r="M43" s="32"/>
      <c r="N43" s="51">
        <f t="shared" si="10"/>
        <v>30.36</v>
      </c>
      <c r="O43" s="51">
        <f t="shared" si="11"/>
        <v>369.61725562742862</v>
      </c>
      <c r="P43" s="52">
        <v>8</v>
      </c>
      <c r="Q43" s="52">
        <v>10</v>
      </c>
      <c r="R43" s="52">
        <v>9</v>
      </c>
      <c r="S43" s="52">
        <v>9</v>
      </c>
      <c r="T43" s="52">
        <v>9</v>
      </c>
      <c r="U43" s="52">
        <v>9</v>
      </c>
      <c r="V43" s="52">
        <v>9</v>
      </c>
      <c r="W43" s="53" t="str">
        <f t="shared" si="6"/>
        <v>N</v>
      </c>
      <c r="X43" s="103">
        <f t="shared" si="7"/>
        <v>0</v>
      </c>
      <c r="Y43" s="103" t="str">
        <f t="shared" si="8"/>
        <v>0-4.9%</v>
      </c>
      <c r="Z43" s="8" t="s">
        <v>227</v>
      </c>
    </row>
    <row r="44" spans="1:26" ht="24" customHeight="1" x14ac:dyDescent="0.25">
      <c r="A44" s="10">
        <v>25</v>
      </c>
      <c r="B44" s="55">
        <v>0.49791666666666662</v>
      </c>
      <c r="C44" s="32" t="s">
        <v>72</v>
      </c>
      <c r="D44" s="5">
        <f t="shared" si="9"/>
        <v>10</v>
      </c>
      <c r="E44" s="15"/>
      <c r="F44" s="32" t="s">
        <v>31</v>
      </c>
      <c r="G44" s="32">
        <v>6.16</v>
      </c>
      <c r="H44" s="32">
        <v>6.6</v>
      </c>
      <c r="I44" s="32">
        <v>7.92</v>
      </c>
      <c r="J44" s="32">
        <v>7.92</v>
      </c>
      <c r="K44" s="32">
        <v>7.7</v>
      </c>
      <c r="L44" s="32">
        <v>7.7</v>
      </c>
      <c r="M44" s="32"/>
      <c r="N44" s="51">
        <f t="shared" si="10"/>
        <v>44.000000000000007</v>
      </c>
      <c r="O44" s="51">
        <f t="shared" si="11"/>
        <v>1963.0498568357609</v>
      </c>
      <c r="P44" s="52">
        <v>8</v>
      </c>
      <c r="Q44" s="52">
        <v>10</v>
      </c>
      <c r="R44" s="52">
        <v>9</v>
      </c>
      <c r="S44" s="52">
        <v>9</v>
      </c>
      <c r="T44" s="52">
        <v>9</v>
      </c>
      <c r="U44" s="52">
        <v>9</v>
      </c>
      <c r="V44" s="52">
        <v>9</v>
      </c>
      <c r="W44" s="53" t="str">
        <f t="shared" si="6"/>
        <v>N</v>
      </c>
      <c r="X44" s="103">
        <f t="shared" si="7"/>
        <v>0</v>
      </c>
      <c r="Y44" s="103" t="str">
        <f t="shared" si="8"/>
        <v>0-4.9%</v>
      </c>
      <c r="Z44" s="8" t="s">
        <v>227</v>
      </c>
    </row>
    <row r="45" spans="1:26" ht="24" customHeight="1" x14ac:dyDescent="0.25">
      <c r="A45" s="10">
        <v>26</v>
      </c>
      <c r="B45" s="55">
        <v>0.51041666666666663</v>
      </c>
      <c r="C45" s="32" t="s">
        <v>73</v>
      </c>
      <c r="D45" s="5">
        <f t="shared" si="9"/>
        <v>10</v>
      </c>
      <c r="E45" s="15"/>
      <c r="F45" s="32" t="s">
        <v>31</v>
      </c>
      <c r="G45" s="32">
        <v>6.6</v>
      </c>
      <c r="H45" s="32">
        <v>6.82</v>
      </c>
      <c r="I45" s="32">
        <v>5.28</v>
      </c>
      <c r="J45" s="32">
        <v>6.16</v>
      </c>
      <c r="K45" s="32">
        <v>5.94</v>
      </c>
      <c r="L45" s="32">
        <v>7.26</v>
      </c>
      <c r="M45" s="32"/>
      <c r="N45" s="51">
        <f t="shared" si="10"/>
        <v>38.06</v>
      </c>
      <c r="O45" s="51">
        <f t="shared" si="11"/>
        <v>1022.1245354768009</v>
      </c>
      <c r="P45" s="52">
        <v>8</v>
      </c>
      <c r="Q45" s="52">
        <v>10</v>
      </c>
      <c r="R45" s="52">
        <v>9</v>
      </c>
      <c r="S45" s="52">
        <v>9</v>
      </c>
      <c r="T45" s="52">
        <v>9</v>
      </c>
      <c r="U45" s="52">
        <v>9</v>
      </c>
      <c r="V45" s="52">
        <v>9</v>
      </c>
      <c r="W45" s="53" t="str">
        <f t="shared" si="6"/>
        <v>N</v>
      </c>
      <c r="X45" s="103">
        <f t="shared" si="7"/>
        <v>0</v>
      </c>
      <c r="Y45" s="103" t="str">
        <f t="shared" si="8"/>
        <v>0-4.9%</v>
      </c>
      <c r="Z45" s="8" t="s">
        <v>227</v>
      </c>
    </row>
    <row r="46" spans="1:26" ht="24" customHeight="1" x14ac:dyDescent="0.25">
      <c r="A46" s="10">
        <v>27</v>
      </c>
      <c r="B46" s="55">
        <v>0.51388888888888895</v>
      </c>
      <c r="C46" s="32" t="s">
        <v>74</v>
      </c>
      <c r="D46" s="5">
        <f t="shared" si="9"/>
        <v>10</v>
      </c>
      <c r="E46" s="15"/>
      <c r="F46" s="32" t="s">
        <v>31</v>
      </c>
      <c r="G46" s="32">
        <v>5.94</v>
      </c>
      <c r="H46" s="32">
        <v>8.36</v>
      </c>
      <c r="I46" s="32">
        <v>8.36</v>
      </c>
      <c r="J46" s="32">
        <v>10.78</v>
      </c>
      <c r="K46" s="32">
        <v>7.7</v>
      </c>
      <c r="L46" s="32">
        <v>7.7</v>
      </c>
      <c r="M46" s="32"/>
      <c r="N46" s="51">
        <f t="shared" si="10"/>
        <v>48.84</v>
      </c>
      <c r="O46" s="51">
        <f t="shared" si="11"/>
        <v>3139.6752852031764</v>
      </c>
      <c r="P46" s="52">
        <v>8</v>
      </c>
      <c r="Q46" s="52">
        <v>10</v>
      </c>
      <c r="R46" s="52">
        <v>9</v>
      </c>
      <c r="S46" s="52">
        <v>9</v>
      </c>
      <c r="T46" s="52">
        <v>9</v>
      </c>
      <c r="U46" s="52">
        <v>9</v>
      </c>
      <c r="V46" s="52">
        <v>9</v>
      </c>
      <c r="W46" s="53" t="str">
        <f t="shared" si="6"/>
        <v>Y</v>
      </c>
      <c r="X46" s="103">
        <f t="shared" si="7"/>
        <v>0.17799999999999994</v>
      </c>
      <c r="Y46" s="103" t="str">
        <f t="shared" si="8"/>
        <v>5-25%</v>
      </c>
      <c r="Z46" s="8" t="s">
        <v>227</v>
      </c>
    </row>
    <row r="47" spans="1:26" ht="24" customHeight="1" x14ac:dyDescent="0.25">
      <c r="A47" s="10">
        <v>28</v>
      </c>
      <c r="B47" s="55">
        <v>8.1944444444444445E-2</v>
      </c>
      <c r="C47" s="32" t="s">
        <v>75</v>
      </c>
      <c r="D47" s="5">
        <f t="shared" si="9"/>
        <v>10</v>
      </c>
      <c r="E47" s="15"/>
      <c r="F47" s="32" t="s">
        <v>31</v>
      </c>
      <c r="G47" s="32">
        <v>5.28</v>
      </c>
      <c r="H47" s="32">
        <v>4.84</v>
      </c>
      <c r="I47" s="32">
        <v>4.62</v>
      </c>
      <c r="J47" s="32">
        <v>6.38</v>
      </c>
      <c r="K47" s="32">
        <v>6.82</v>
      </c>
      <c r="L47" s="32">
        <v>9.02</v>
      </c>
      <c r="M47" s="32"/>
      <c r="N47" s="51">
        <f t="shared" si="10"/>
        <v>36.96</v>
      </c>
      <c r="O47" s="51">
        <f t="shared" si="11"/>
        <v>895.75268179311161</v>
      </c>
      <c r="P47" s="52">
        <v>8</v>
      </c>
      <c r="Q47" s="52">
        <v>10</v>
      </c>
      <c r="R47" s="52">
        <v>9</v>
      </c>
      <c r="S47" s="52">
        <v>9</v>
      </c>
      <c r="T47" s="52">
        <v>9</v>
      </c>
      <c r="U47" s="52">
        <v>9</v>
      </c>
      <c r="V47" s="52">
        <v>9</v>
      </c>
      <c r="W47" s="53" t="str">
        <f t="shared" si="6"/>
        <v>Y</v>
      </c>
      <c r="X47" s="103">
        <f t="shared" si="7"/>
        <v>1.9999999999999575E-3</v>
      </c>
      <c r="Y47" s="103" t="str">
        <f t="shared" si="8"/>
        <v>0-4.9%</v>
      </c>
      <c r="Z47" s="8" t="s">
        <v>219</v>
      </c>
    </row>
    <row r="48" spans="1:26" ht="24" customHeight="1" x14ac:dyDescent="0.25">
      <c r="A48" s="10">
        <v>29</v>
      </c>
      <c r="B48" s="55">
        <v>0.12013888888888889</v>
      </c>
      <c r="C48" s="32" t="s">
        <v>76</v>
      </c>
      <c r="D48" s="5">
        <f t="shared" si="9"/>
        <v>10</v>
      </c>
      <c r="E48" s="15"/>
      <c r="F48" s="32" t="s">
        <v>31</v>
      </c>
      <c r="G48" s="32">
        <v>5.28</v>
      </c>
      <c r="H48" s="32">
        <v>6.82</v>
      </c>
      <c r="I48" s="32">
        <v>6.16</v>
      </c>
      <c r="J48" s="32">
        <v>5.94</v>
      </c>
      <c r="K48" s="32">
        <v>7.04</v>
      </c>
      <c r="L48" s="32">
        <v>4.62</v>
      </c>
      <c r="M48" s="32"/>
      <c r="N48" s="51">
        <f t="shared" si="10"/>
        <v>35.86</v>
      </c>
      <c r="O48" s="51">
        <f t="shared" si="11"/>
        <v>781.8808368618968</v>
      </c>
      <c r="P48" s="52">
        <v>8</v>
      </c>
      <c r="Q48" s="52">
        <v>10</v>
      </c>
      <c r="R48" s="52">
        <v>9</v>
      </c>
      <c r="S48" s="52">
        <v>9</v>
      </c>
      <c r="T48" s="52">
        <v>9</v>
      </c>
      <c r="U48" s="52">
        <v>9</v>
      </c>
      <c r="V48" s="52">
        <v>9</v>
      </c>
      <c r="W48" s="53" t="str">
        <f t="shared" si="6"/>
        <v>N</v>
      </c>
      <c r="X48" s="103">
        <f t="shared" si="7"/>
        <v>0</v>
      </c>
      <c r="Y48" s="103" t="str">
        <f t="shared" si="8"/>
        <v>0-4.9%</v>
      </c>
      <c r="Z48" s="8" t="s">
        <v>33</v>
      </c>
    </row>
    <row r="49" spans="1:26" ht="24" customHeight="1" x14ac:dyDescent="0.25">
      <c r="A49" s="10">
        <v>30</v>
      </c>
      <c r="B49" s="55">
        <v>0.15763888888888888</v>
      </c>
      <c r="C49" s="32" t="s">
        <v>77</v>
      </c>
      <c r="D49" s="5">
        <f t="shared" si="9"/>
        <v>10</v>
      </c>
      <c r="E49" s="15"/>
      <c r="F49" s="32" t="s">
        <v>31</v>
      </c>
      <c r="G49" s="32">
        <v>5.72</v>
      </c>
      <c r="H49" s="32">
        <v>5.0599999999999996</v>
      </c>
      <c r="I49" s="32">
        <v>6.16</v>
      </c>
      <c r="J49" s="32">
        <v>5.28</v>
      </c>
      <c r="K49" s="32">
        <v>5.72</v>
      </c>
      <c r="L49" s="32">
        <v>4.62</v>
      </c>
      <c r="M49" s="32"/>
      <c r="N49" s="51">
        <f t="shared" si="10"/>
        <v>32.559999999999995</v>
      </c>
      <c r="O49" s="51">
        <f t="shared" si="11"/>
        <v>506.3771132032939</v>
      </c>
      <c r="P49" s="52">
        <v>8</v>
      </c>
      <c r="Q49" s="52">
        <v>10</v>
      </c>
      <c r="R49" s="52">
        <v>9</v>
      </c>
      <c r="S49" s="52">
        <v>9</v>
      </c>
      <c r="T49" s="52">
        <v>9</v>
      </c>
      <c r="U49" s="52">
        <v>9</v>
      </c>
      <c r="V49" s="52">
        <v>9</v>
      </c>
      <c r="W49" s="53" t="str">
        <f t="shared" si="6"/>
        <v>N</v>
      </c>
      <c r="X49" s="103">
        <f t="shared" si="7"/>
        <v>0</v>
      </c>
      <c r="Y49" s="103" t="str">
        <f t="shared" si="8"/>
        <v>0-4.9%</v>
      </c>
      <c r="Z49" s="8" t="s">
        <v>223</v>
      </c>
    </row>
    <row r="50" spans="1:26" ht="24" customHeight="1" x14ac:dyDescent="0.25">
      <c r="A50" s="10">
        <v>31</v>
      </c>
      <c r="B50" s="55">
        <v>0.22013888888888888</v>
      </c>
      <c r="C50" s="32" t="s">
        <v>78</v>
      </c>
      <c r="D50" s="5">
        <f t="shared" si="9"/>
        <v>10</v>
      </c>
      <c r="E50" s="15"/>
      <c r="F50" s="32" t="s">
        <v>31</v>
      </c>
      <c r="G50" s="32">
        <v>4.18</v>
      </c>
      <c r="H50" s="32">
        <v>5.94</v>
      </c>
      <c r="I50" s="32">
        <v>3.96</v>
      </c>
      <c r="J50" s="32">
        <v>1.1000000000000001</v>
      </c>
      <c r="K50" s="32">
        <v>3.74</v>
      </c>
      <c r="L50" s="32">
        <v>4.18</v>
      </c>
      <c r="M50" s="32"/>
      <c r="N50" s="51">
        <f t="shared" si="10"/>
        <v>23.1</v>
      </c>
      <c r="O50" s="51">
        <f t="shared" si="11"/>
        <v>108.0558278911695</v>
      </c>
      <c r="P50" s="52">
        <v>8</v>
      </c>
      <c r="Q50" s="52">
        <v>10</v>
      </c>
      <c r="R50" s="52">
        <v>9</v>
      </c>
      <c r="S50" s="52">
        <v>9</v>
      </c>
      <c r="T50" s="52">
        <v>9</v>
      </c>
      <c r="U50" s="52">
        <v>9</v>
      </c>
      <c r="V50" s="52">
        <v>9</v>
      </c>
      <c r="W50" s="53" t="str">
        <f t="shared" si="6"/>
        <v>N</v>
      </c>
      <c r="X50" s="103">
        <f t="shared" si="7"/>
        <v>0</v>
      </c>
      <c r="Y50" s="103" t="str">
        <f t="shared" si="8"/>
        <v>0-4.9%</v>
      </c>
      <c r="Z50" s="8" t="s">
        <v>165</v>
      </c>
    </row>
    <row r="51" spans="1:26" ht="24" customHeight="1" x14ac:dyDescent="0.25">
      <c r="A51" s="10">
        <v>4</v>
      </c>
      <c r="B51" s="9">
        <v>0.31597222222222221</v>
      </c>
      <c r="C51" s="5" t="s">
        <v>92</v>
      </c>
      <c r="D51" s="5">
        <f t="shared" si="9"/>
        <v>10</v>
      </c>
      <c r="E51" s="15"/>
      <c r="F51" s="39" t="s">
        <v>31</v>
      </c>
      <c r="G51" s="39">
        <v>5.72</v>
      </c>
      <c r="H51" s="39">
        <v>3.74</v>
      </c>
      <c r="I51" s="39">
        <v>3.74</v>
      </c>
      <c r="J51" s="39">
        <v>2.64</v>
      </c>
      <c r="K51" s="39">
        <v>2.64</v>
      </c>
      <c r="L51" s="39">
        <v>3.74</v>
      </c>
      <c r="M51" s="39"/>
      <c r="N51" s="51">
        <f t="shared" si="10"/>
        <v>22.22</v>
      </c>
      <c r="O51" s="51">
        <f t="shared" si="11"/>
        <v>90.72824941584075</v>
      </c>
      <c r="P51" s="52">
        <v>8</v>
      </c>
      <c r="Q51" s="52">
        <v>10</v>
      </c>
      <c r="R51" s="52">
        <v>9</v>
      </c>
      <c r="S51" s="52">
        <v>9</v>
      </c>
      <c r="T51" s="52">
        <v>9</v>
      </c>
      <c r="U51" s="52">
        <v>9</v>
      </c>
      <c r="V51" s="52">
        <v>9</v>
      </c>
      <c r="W51" s="53" t="str">
        <f t="shared" si="6"/>
        <v>N</v>
      </c>
      <c r="X51" s="103">
        <f t="shared" si="7"/>
        <v>0</v>
      </c>
      <c r="Y51" s="103" t="str">
        <f t="shared" si="8"/>
        <v>0-4.9%</v>
      </c>
      <c r="Z51" s="8" t="s">
        <v>219</v>
      </c>
    </row>
    <row r="52" spans="1:26" ht="24" customHeight="1" x14ac:dyDescent="0.25">
      <c r="A52" s="10">
        <v>5</v>
      </c>
      <c r="B52" s="9">
        <v>0.31805555555555554</v>
      </c>
      <c r="C52" s="5" t="s">
        <v>93</v>
      </c>
      <c r="D52" s="5">
        <f t="shared" si="9"/>
        <v>10</v>
      </c>
      <c r="E52" s="15"/>
      <c r="F52" s="39" t="s">
        <v>31</v>
      </c>
      <c r="G52" s="39">
        <v>6.38</v>
      </c>
      <c r="H52" s="39">
        <v>5.5</v>
      </c>
      <c r="I52" s="39">
        <v>6.82</v>
      </c>
      <c r="J52" s="39">
        <v>7.04</v>
      </c>
      <c r="K52" s="39">
        <v>5.5</v>
      </c>
      <c r="L52" s="39">
        <v>5.72</v>
      </c>
      <c r="M52" s="39"/>
      <c r="N52" s="51">
        <f t="shared" si="10"/>
        <v>36.96</v>
      </c>
      <c r="O52" s="51">
        <f t="shared" si="11"/>
        <v>895.75268179311161</v>
      </c>
      <c r="P52" s="52">
        <v>8</v>
      </c>
      <c r="Q52" s="52">
        <v>10</v>
      </c>
      <c r="R52" s="52">
        <v>9</v>
      </c>
      <c r="S52" s="52">
        <v>9</v>
      </c>
      <c r="T52" s="52">
        <v>9</v>
      </c>
      <c r="U52" s="52">
        <v>9</v>
      </c>
      <c r="V52" s="52">
        <v>9</v>
      </c>
      <c r="W52" s="53" t="str">
        <f t="shared" si="6"/>
        <v>N</v>
      </c>
      <c r="X52" s="103">
        <f t="shared" si="7"/>
        <v>0</v>
      </c>
      <c r="Y52" s="103" t="str">
        <f t="shared" si="8"/>
        <v>0-4.9%</v>
      </c>
      <c r="Z52" s="8" t="s">
        <v>223</v>
      </c>
    </row>
    <row r="53" spans="1:26" ht="24" customHeight="1" x14ac:dyDescent="0.25">
      <c r="A53" s="10">
        <v>6</v>
      </c>
      <c r="B53" s="9">
        <v>0.33680555555555558</v>
      </c>
      <c r="C53" s="5" t="s">
        <v>94</v>
      </c>
      <c r="D53" s="5">
        <f t="shared" si="9"/>
        <v>10</v>
      </c>
      <c r="E53" s="15"/>
      <c r="F53" s="39" t="s">
        <v>112</v>
      </c>
      <c r="G53" s="39">
        <v>7.26</v>
      </c>
      <c r="H53" s="39">
        <v>5.94</v>
      </c>
      <c r="I53" s="39">
        <v>5.28</v>
      </c>
      <c r="J53" s="39">
        <v>6.16</v>
      </c>
      <c r="K53" s="39">
        <v>5.28</v>
      </c>
      <c r="L53" s="39">
        <v>8.8000000000000007</v>
      </c>
      <c r="M53" s="39">
        <v>5.0599999999999996</v>
      </c>
      <c r="N53" s="51">
        <f t="shared" si="10"/>
        <v>43.78</v>
      </c>
      <c r="O53" s="51">
        <f t="shared" si="11"/>
        <v>1919.2661032010137</v>
      </c>
      <c r="P53" s="52">
        <v>8</v>
      </c>
      <c r="Q53" s="52">
        <v>10</v>
      </c>
      <c r="R53" s="52">
        <v>9</v>
      </c>
      <c r="S53" s="52">
        <v>9</v>
      </c>
      <c r="T53" s="52">
        <v>9</v>
      </c>
      <c r="U53" s="52">
        <v>9</v>
      </c>
      <c r="V53" s="52">
        <v>9</v>
      </c>
      <c r="W53" s="53" t="str">
        <f t="shared" si="6"/>
        <v>N</v>
      </c>
      <c r="X53" s="103">
        <f t="shared" si="7"/>
        <v>0</v>
      </c>
      <c r="Y53" s="103" t="str">
        <f t="shared" si="8"/>
        <v>0-4.9%</v>
      </c>
      <c r="Z53" s="8" t="s">
        <v>223</v>
      </c>
    </row>
    <row r="54" spans="1:26" ht="24" customHeight="1" x14ac:dyDescent="0.25">
      <c r="A54" s="10">
        <v>7</v>
      </c>
      <c r="B54" s="9">
        <v>0.34930555555555554</v>
      </c>
      <c r="C54" s="5" t="s">
        <v>95</v>
      </c>
      <c r="D54" s="5">
        <f t="shared" si="9"/>
        <v>10</v>
      </c>
      <c r="E54" s="15"/>
      <c r="F54" s="39" t="s">
        <v>112</v>
      </c>
      <c r="G54" s="39">
        <v>8.14</v>
      </c>
      <c r="H54" s="39">
        <v>8.58</v>
      </c>
      <c r="I54" s="39">
        <v>5.0599999999999996</v>
      </c>
      <c r="J54" s="39">
        <v>8.58</v>
      </c>
      <c r="K54" s="39">
        <v>7.92</v>
      </c>
      <c r="L54" s="39">
        <v>9.24</v>
      </c>
      <c r="M54" s="39">
        <v>6.38</v>
      </c>
      <c r="N54" s="51">
        <f t="shared" si="10"/>
        <v>53.900000000000006</v>
      </c>
      <c r="O54" s="51">
        <f t="shared" si="11"/>
        <v>4892.6452651537629</v>
      </c>
      <c r="P54" s="52">
        <v>8</v>
      </c>
      <c r="Q54" s="52">
        <v>10</v>
      </c>
      <c r="R54" s="52">
        <v>9</v>
      </c>
      <c r="S54" s="52">
        <v>9</v>
      </c>
      <c r="T54" s="52">
        <v>9</v>
      </c>
      <c r="U54" s="52">
        <v>9</v>
      </c>
      <c r="V54" s="52">
        <v>9</v>
      </c>
      <c r="W54" s="53" t="str">
        <f t="shared" si="6"/>
        <v>Y</v>
      </c>
      <c r="X54" s="103">
        <f t="shared" si="7"/>
        <v>2.4000000000000021E-2</v>
      </c>
      <c r="Y54" s="103" t="str">
        <f t="shared" si="8"/>
        <v>0-4.9%</v>
      </c>
      <c r="Z54" s="8" t="s">
        <v>227</v>
      </c>
    </row>
    <row r="55" spans="1:26" ht="24" customHeight="1" x14ac:dyDescent="0.25">
      <c r="A55" s="10">
        <v>11</v>
      </c>
      <c r="B55" s="9">
        <v>0.3666666666666667</v>
      </c>
      <c r="C55" s="5" t="s">
        <v>99</v>
      </c>
      <c r="D55" s="5">
        <f t="shared" si="9"/>
        <v>10</v>
      </c>
      <c r="E55" s="15"/>
      <c r="F55" s="39" t="s">
        <v>86</v>
      </c>
      <c r="G55" s="39">
        <v>5.5</v>
      </c>
      <c r="H55" s="39">
        <v>6.38</v>
      </c>
      <c r="I55" s="39">
        <v>12.32</v>
      </c>
      <c r="J55" s="39">
        <v>11.22</v>
      </c>
      <c r="K55" s="39">
        <v>0.66</v>
      </c>
      <c r="L55" s="39"/>
      <c r="M55" s="39"/>
      <c r="N55" s="51">
        <f t="shared" si="10"/>
        <v>36.08</v>
      </c>
      <c r="O55" s="51">
        <f t="shared" si="11"/>
        <v>803.69943963175024</v>
      </c>
      <c r="P55" s="52">
        <v>8</v>
      </c>
      <c r="Q55" s="52">
        <v>10</v>
      </c>
      <c r="R55" s="52">
        <v>9</v>
      </c>
      <c r="S55" s="52">
        <v>9</v>
      </c>
      <c r="T55" s="52">
        <v>9</v>
      </c>
      <c r="U55" s="52">
        <v>9</v>
      </c>
      <c r="V55" s="52">
        <v>9</v>
      </c>
      <c r="W55" s="53" t="str">
        <f t="shared" si="6"/>
        <v>Y</v>
      </c>
      <c r="X55" s="103">
        <f t="shared" si="7"/>
        <v>0.33200000000000002</v>
      </c>
      <c r="Y55" s="103" t="str">
        <f t="shared" si="8"/>
        <v>25-50%</v>
      </c>
      <c r="Z55" s="8" t="s">
        <v>227</v>
      </c>
    </row>
    <row r="56" spans="1:26" ht="24" customHeight="1" x14ac:dyDescent="0.25">
      <c r="A56" s="10">
        <v>12</v>
      </c>
      <c r="B56" s="9">
        <v>0.36944444444444446</v>
      </c>
      <c r="C56" s="5" t="s">
        <v>100</v>
      </c>
      <c r="D56" s="5">
        <f t="shared" si="9"/>
        <v>10</v>
      </c>
      <c r="E56" s="15"/>
      <c r="F56" s="39" t="s">
        <v>31</v>
      </c>
      <c r="G56" s="39">
        <v>5.72</v>
      </c>
      <c r="H56" s="39">
        <v>7.92</v>
      </c>
      <c r="I56" s="39">
        <v>6.6</v>
      </c>
      <c r="J56" s="39">
        <v>10.119999999999999</v>
      </c>
      <c r="K56" s="39">
        <v>6.38</v>
      </c>
      <c r="L56" s="39">
        <v>7.04</v>
      </c>
      <c r="M56" s="39"/>
      <c r="N56" s="51">
        <f t="shared" si="10"/>
        <v>43.78</v>
      </c>
      <c r="O56" s="51">
        <f t="shared" si="11"/>
        <v>1919.2661032010137</v>
      </c>
      <c r="P56" s="52">
        <v>8</v>
      </c>
      <c r="Q56" s="52">
        <v>10</v>
      </c>
      <c r="R56" s="52">
        <v>9</v>
      </c>
      <c r="S56" s="52">
        <v>9</v>
      </c>
      <c r="T56" s="52">
        <v>9</v>
      </c>
      <c r="U56" s="52">
        <v>9</v>
      </c>
      <c r="V56" s="52">
        <v>9</v>
      </c>
      <c r="W56" s="53" t="str">
        <f t="shared" si="6"/>
        <v>Y</v>
      </c>
      <c r="X56" s="103">
        <f t="shared" si="7"/>
        <v>0.11199999999999992</v>
      </c>
      <c r="Y56" s="103" t="str">
        <f t="shared" si="8"/>
        <v>5-25%</v>
      </c>
      <c r="Z56" s="8" t="s">
        <v>227</v>
      </c>
    </row>
    <row r="57" spans="1:26" ht="24" customHeight="1" x14ac:dyDescent="0.25">
      <c r="A57" s="10">
        <v>13</v>
      </c>
      <c r="B57" s="9">
        <v>0.37152777777777773</v>
      </c>
      <c r="C57" s="5" t="s">
        <v>101</v>
      </c>
      <c r="D57" s="5">
        <f t="shared" si="9"/>
        <v>10</v>
      </c>
      <c r="E57" s="15"/>
      <c r="F57" s="39" t="s">
        <v>31</v>
      </c>
      <c r="G57" s="39">
        <v>2.64</v>
      </c>
      <c r="H57" s="39">
        <v>3.74</v>
      </c>
      <c r="I57" s="39">
        <v>2.2000000000000002</v>
      </c>
      <c r="J57" s="39">
        <v>2.64</v>
      </c>
      <c r="K57" s="39">
        <v>2.2000000000000002</v>
      </c>
      <c r="L57" s="39">
        <v>5.28</v>
      </c>
      <c r="M57" s="39"/>
      <c r="N57" s="51">
        <f t="shared" si="10"/>
        <v>18.700000000000003</v>
      </c>
      <c r="O57" s="51">
        <f t="shared" si="11"/>
        <v>41.75240677665559</v>
      </c>
      <c r="P57" s="52">
        <v>8</v>
      </c>
      <c r="Q57" s="52">
        <v>10</v>
      </c>
      <c r="R57" s="52">
        <v>9</v>
      </c>
      <c r="S57" s="52">
        <v>9</v>
      </c>
      <c r="T57" s="52">
        <v>9</v>
      </c>
      <c r="U57" s="52">
        <v>9</v>
      </c>
      <c r="V57" s="52">
        <v>9</v>
      </c>
      <c r="W57" s="53" t="str">
        <f t="shared" si="6"/>
        <v>N</v>
      </c>
      <c r="X57" s="103">
        <f t="shared" si="7"/>
        <v>0</v>
      </c>
      <c r="Y57" s="103" t="str">
        <f t="shared" si="8"/>
        <v>0-4.9%</v>
      </c>
      <c r="Z57" s="8" t="s">
        <v>227</v>
      </c>
    </row>
    <row r="58" spans="1:26" ht="24" customHeight="1" x14ac:dyDescent="0.25">
      <c r="A58" s="10">
        <v>14</v>
      </c>
      <c r="B58" s="9">
        <v>0.40625</v>
      </c>
      <c r="C58" s="5" t="s">
        <v>102</v>
      </c>
      <c r="D58" s="5">
        <f t="shared" si="9"/>
        <v>10</v>
      </c>
      <c r="E58" s="15"/>
      <c r="F58" s="39" t="s">
        <v>31</v>
      </c>
      <c r="G58" s="39">
        <v>6.16</v>
      </c>
      <c r="H58" s="39">
        <v>7.7</v>
      </c>
      <c r="I58" s="39">
        <v>6.16</v>
      </c>
      <c r="J58" s="39">
        <v>7.7</v>
      </c>
      <c r="K58" s="39">
        <v>8.36</v>
      </c>
      <c r="L58" s="39">
        <v>5.72</v>
      </c>
      <c r="M58" s="39"/>
      <c r="N58" s="51">
        <f t="shared" si="10"/>
        <v>41.8</v>
      </c>
      <c r="O58" s="51">
        <f t="shared" si="11"/>
        <v>1558.4309105594323</v>
      </c>
      <c r="P58" s="52">
        <v>8</v>
      </c>
      <c r="Q58" s="52">
        <v>10</v>
      </c>
      <c r="R58" s="52">
        <v>9</v>
      </c>
      <c r="S58" s="52">
        <v>9</v>
      </c>
      <c r="T58" s="52">
        <v>9</v>
      </c>
      <c r="U58" s="52">
        <v>9</v>
      </c>
      <c r="V58" s="52">
        <v>9</v>
      </c>
      <c r="W58" s="53" t="str">
        <f t="shared" si="6"/>
        <v>N</v>
      </c>
      <c r="X58" s="103">
        <f t="shared" si="7"/>
        <v>0</v>
      </c>
      <c r="Y58" s="103" t="str">
        <f t="shared" si="8"/>
        <v>0-4.9%</v>
      </c>
      <c r="Z58" s="8" t="s">
        <v>227</v>
      </c>
    </row>
    <row r="59" spans="1:26" ht="24" customHeight="1" x14ac:dyDescent="0.25">
      <c r="A59" s="10">
        <v>15</v>
      </c>
      <c r="B59" s="9">
        <v>0.47430555555555554</v>
      </c>
      <c r="C59" s="5" t="s">
        <v>103</v>
      </c>
      <c r="D59" s="5">
        <f t="shared" si="9"/>
        <v>10</v>
      </c>
      <c r="E59" s="15"/>
      <c r="F59" s="39" t="s">
        <v>28</v>
      </c>
      <c r="G59" s="39">
        <v>6.38</v>
      </c>
      <c r="H59" s="39">
        <v>7.7</v>
      </c>
      <c r="I59" s="39">
        <v>11</v>
      </c>
      <c r="J59" s="39">
        <v>5.0599999999999996</v>
      </c>
      <c r="K59" s="39">
        <v>3.52</v>
      </c>
      <c r="L59" s="39"/>
      <c r="M59" s="39"/>
      <c r="N59" s="51">
        <f t="shared" si="10"/>
        <v>33.659999999999997</v>
      </c>
      <c r="O59" s="51">
        <f t="shared" si="11"/>
        <v>588.04124443751641</v>
      </c>
      <c r="P59" s="52">
        <v>8</v>
      </c>
      <c r="Q59" s="52">
        <v>10</v>
      </c>
      <c r="R59" s="52">
        <v>9</v>
      </c>
      <c r="S59" s="52">
        <v>9</v>
      </c>
      <c r="T59" s="52">
        <v>9</v>
      </c>
      <c r="U59" s="52">
        <v>9</v>
      </c>
      <c r="V59" s="52">
        <v>9</v>
      </c>
      <c r="W59" s="53" t="str">
        <f t="shared" si="6"/>
        <v>Y</v>
      </c>
      <c r="X59" s="103">
        <f t="shared" si="7"/>
        <v>0.2</v>
      </c>
      <c r="Y59" s="103" t="str">
        <f t="shared" si="8"/>
        <v>5-25%</v>
      </c>
      <c r="Z59" s="8" t="s">
        <v>215</v>
      </c>
    </row>
    <row r="60" spans="1:26" ht="24" customHeight="1" x14ac:dyDescent="0.25">
      <c r="A60" s="10">
        <v>16</v>
      </c>
      <c r="B60" s="9">
        <v>0.49305555555555558</v>
      </c>
      <c r="C60" s="5" t="s">
        <v>104</v>
      </c>
      <c r="D60" s="5">
        <f t="shared" si="9"/>
        <v>10</v>
      </c>
      <c r="E60" s="15"/>
      <c r="F60" s="39" t="s">
        <v>27</v>
      </c>
      <c r="G60" s="39">
        <v>6.38</v>
      </c>
      <c r="H60" s="39">
        <v>3.52</v>
      </c>
      <c r="I60" s="39">
        <v>12.76</v>
      </c>
      <c r="J60" s="39">
        <v>7.92</v>
      </c>
      <c r="K60" s="39">
        <v>2.86</v>
      </c>
      <c r="L60" s="39"/>
      <c r="M60" s="39"/>
      <c r="N60" s="51">
        <f t="shared" si="10"/>
        <v>33.44</v>
      </c>
      <c r="O60" s="51">
        <f t="shared" si="11"/>
        <v>570.94266130395704</v>
      </c>
      <c r="P60" s="52">
        <v>8</v>
      </c>
      <c r="Q60" s="52">
        <v>10</v>
      </c>
      <c r="R60" s="52">
        <v>9</v>
      </c>
      <c r="S60" s="52">
        <v>9</v>
      </c>
      <c r="T60" s="52">
        <v>9</v>
      </c>
      <c r="U60" s="52">
        <v>9</v>
      </c>
      <c r="V60" s="52">
        <v>9</v>
      </c>
      <c r="W60" s="53" t="str">
        <f t="shared" si="6"/>
        <v>Y</v>
      </c>
      <c r="X60" s="103">
        <f t="shared" si="7"/>
        <v>0.376</v>
      </c>
      <c r="Y60" s="103" t="str">
        <f t="shared" si="8"/>
        <v>25-50%</v>
      </c>
      <c r="Z60" s="8" t="s">
        <v>215</v>
      </c>
    </row>
    <row r="61" spans="1:26" ht="24" customHeight="1" x14ac:dyDescent="0.25">
      <c r="A61" s="10">
        <v>17</v>
      </c>
      <c r="B61" s="9">
        <v>0.49722222222222223</v>
      </c>
      <c r="C61" s="5" t="s">
        <v>105</v>
      </c>
      <c r="D61" s="5">
        <f t="shared" si="9"/>
        <v>10</v>
      </c>
      <c r="E61" s="15"/>
      <c r="F61" s="39" t="s">
        <v>29</v>
      </c>
      <c r="G61" s="39">
        <v>9.68</v>
      </c>
      <c r="H61" s="39">
        <v>3.74</v>
      </c>
      <c r="I61" s="39">
        <v>14.3</v>
      </c>
      <c r="J61" s="39">
        <v>8.36</v>
      </c>
      <c r="K61" s="39"/>
      <c r="L61" s="39"/>
      <c r="M61" s="39"/>
      <c r="N61" s="51">
        <f t="shared" si="10"/>
        <v>36.08</v>
      </c>
      <c r="O61" s="51">
        <f t="shared" si="11"/>
        <v>803.69943963175024</v>
      </c>
      <c r="P61" s="52">
        <v>8</v>
      </c>
      <c r="Q61" s="52">
        <v>10</v>
      </c>
      <c r="R61" s="52">
        <v>9</v>
      </c>
      <c r="S61" s="52">
        <v>9</v>
      </c>
      <c r="T61" s="52">
        <v>9</v>
      </c>
      <c r="U61" s="52">
        <v>9</v>
      </c>
      <c r="V61" s="52">
        <v>9</v>
      </c>
      <c r="W61" s="53" t="str">
        <f t="shared" si="6"/>
        <v>Y</v>
      </c>
      <c r="X61" s="103">
        <f t="shared" si="7"/>
        <v>0.53</v>
      </c>
      <c r="Y61" s="103" t="str">
        <f t="shared" si="8"/>
        <v>Over 50%</v>
      </c>
      <c r="Z61" s="8" t="s">
        <v>215</v>
      </c>
    </row>
    <row r="62" spans="1:26" ht="24" customHeight="1" x14ac:dyDescent="0.25">
      <c r="A62" s="10">
        <v>18</v>
      </c>
      <c r="B62" s="9">
        <v>0.50347222222222221</v>
      </c>
      <c r="C62" s="5" t="s">
        <v>106</v>
      </c>
      <c r="D62" s="5">
        <f t="shared" si="9"/>
        <v>10</v>
      </c>
      <c r="E62" s="15"/>
      <c r="F62" s="39" t="s">
        <v>26</v>
      </c>
      <c r="G62" s="39">
        <v>7.04</v>
      </c>
      <c r="H62" s="39">
        <v>0.44</v>
      </c>
      <c r="I62" s="39">
        <v>7.48</v>
      </c>
      <c r="J62" s="39">
        <v>3.08</v>
      </c>
      <c r="K62" s="39">
        <v>6.6</v>
      </c>
      <c r="L62" s="39">
        <v>5.5</v>
      </c>
      <c r="M62" s="39"/>
      <c r="N62" s="51">
        <f t="shared" si="10"/>
        <v>30.14</v>
      </c>
      <c r="O62" s="51">
        <f t="shared" si="11"/>
        <v>357.7164412483387</v>
      </c>
      <c r="P62" s="52">
        <v>8</v>
      </c>
      <c r="Q62" s="52">
        <v>10</v>
      </c>
      <c r="R62" s="52">
        <v>9</v>
      </c>
      <c r="S62" s="52">
        <v>9</v>
      </c>
      <c r="T62" s="52">
        <v>9</v>
      </c>
      <c r="U62" s="52">
        <v>9</v>
      </c>
      <c r="V62" s="52">
        <v>9</v>
      </c>
      <c r="W62" s="53" t="str">
        <f t="shared" si="6"/>
        <v>N</v>
      </c>
      <c r="X62" s="103">
        <f t="shared" si="7"/>
        <v>0</v>
      </c>
      <c r="Y62" s="103" t="str">
        <f t="shared" si="8"/>
        <v>0-4.9%</v>
      </c>
      <c r="Z62" s="8" t="s">
        <v>223</v>
      </c>
    </row>
    <row r="63" spans="1:26" ht="24" customHeight="1" x14ac:dyDescent="0.25">
      <c r="A63" s="10">
        <v>19</v>
      </c>
      <c r="B63" s="9">
        <v>0.51041666666666663</v>
      </c>
      <c r="C63" s="5" t="s">
        <v>107</v>
      </c>
      <c r="D63" s="5">
        <f t="shared" si="9"/>
        <v>10</v>
      </c>
      <c r="E63" s="15"/>
      <c r="F63" s="39" t="s">
        <v>31</v>
      </c>
      <c r="G63" s="39">
        <v>6.16</v>
      </c>
      <c r="H63" s="39">
        <v>8.36</v>
      </c>
      <c r="I63" s="39">
        <v>7.92</v>
      </c>
      <c r="J63" s="39">
        <v>7.26</v>
      </c>
      <c r="K63" s="39">
        <v>7.04</v>
      </c>
      <c r="L63" s="39">
        <v>7.04</v>
      </c>
      <c r="M63" s="39"/>
      <c r="N63" s="51">
        <f t="shared" si="10"/>
        <v>43.779999999999994</v>
      </c>
      <c r="O63" s="51">
        <f t="shared" si="11"/>
        <v>1919.2661032010121</v>
      </c>
      <c r="P63" s="52">
        <v>8</v>
      </c>
      <c r="Q63" s="52">
        <v>10</v>
      </c>
      <c r="R63" s="52">
        <v>9</v>
      </c>
      <c r="S63" s="52">
        <v>9</v>
      </c>
      <c r="T63" s="52">
        <v>9</v>
      </c>
      <c r="U63" s="52">
        <v>9</v>
      </c>
      <c r="V63" s="52">
        <v>9</v>
      </c>
      <c r="W63" s="53" t="str">
        <f t="shared" si="6"/>
        <v>N</v>
      </c>
      <c r="X63" s="103">
        <f t="shared" si="7"/>
        <v>0</v>
      </c>
      <c r="Y63" s="103" t="str">
        <f t="shared" si="8"/>
        <v>0-4.9%</v>
      </c>
      <c r="Z63" s="8" t="s">
        <v>33</v>
      </c>
    </row>
    <row r="64" spans="1:26" ht="24" customHeight="1" x14ac:dyDescent="0.25">
      <c r="A64" s="10">
        <v>20</v>
      </c>
      <c r="B64" s="9">
        <v>0.52083333333333337</v>
      </c>
      <c r="C64" s="5" t="s">
        <v>41</v>
      </c>
      <c r="D64" s="5">
        <f t="shared" si="9"/>
        <v>10</v>
      </c>
      <c r="E64" s="15"/>
      <c r="F64" s="39" t="s">
        <v>112</v>
      </c>
      <c r="G64" s="39">
        <v>7.26</v>
      </c>
      <c r="H64" s="39">
        <v>6.38</v>
      </c>
      <c r="I64" s="39">
        <v>4.18</v>
      </c>
      <c r="J64" s="39">
        <v>4.4000000000000004</v>
      </c>
      <c r="K64" s="39">
        <v>4.62</v>
      </c>
      <c r="L64" s="39">
        <v>2.64</v>
      </c>
      <c r="M64" s="39">
        <v>6.38</v>
      </c>
      <c r="N64" s="51">
        <f t="shared" si="10"/>
        <v>35.86</v>
      </c>
      <c r="O64" s="51">
        <f t="shared" si="11"/>
        <v>781.8808368618968</v>
      </c>
      <c r="P64" s="52">
        <v>8</v>
      </c>
      <c r="Q64" s="52">
        <v>10</v>
      </c>
      <c r="R64" s="52">
        <v>9</v>
      </c>
      <c r="S64" s="52">
        <v>9</v>
      </c>
      <c r="T64" s="52">
        <v>9</v>
      </c>
      <c r="U64" s="52">
        <v>9</v>
      </c>
      <c r="V64" s="52">
        <v>9</v>
      </c>
      <c r="W64" s="53" t="str">
        <f t="shared" si="6"/>
        <v>N</v>
      </c>
      <c r="X64" s="103">
        <f t="shared" si="7"/>
        <v>0</v>
      </c>
      <c r="Y64" s="103" t="str">
        <f t="shared" si="8"/>
        <v>0-4.9%</v>
      </c>
      <c r="Z64" s="8" t="s">
        <v>227</v>
      </c>
    </row>
    <row r="65" spans="1:26" ht="24" customHeight="1" x14ac:dyDescent="0.25">
      <c r="A65" s="10">
        <v>21</v>
      </c>
      <c r="B65" s="9">
        <v>0.1013888888888889</v>
      </c>
      <c r="C65" s="5" t="s">
        <v>42</v>
      </c>
      <c r="D65" s="5">
        <f t="shared" si="9"/>
        <v>10</v>
      </c>
      <c r="E65" s="15"/>
      <c r="F65" s="39" t="s">
        <v>31</v>
      </c>
      <c r="G65" s="39">
        <v>5.72</v>
      </c>
      <c r="H65" s="39">
        <v>10.119999999999999</v>
      </c>
      <c r="I65" s="39">
        <v>11.66</v>
      </c>
      <c r="J65" s="39">
        <v>9.4600000000000009</v>
      </c>
      <c r="K65" s="39">
        <v>6.38</v>
      </c>
      <c r="L65" s="39">
        <v>8.58</v>
      </c>
      <c r="M65" s="39"/>
      <c r="N65" s="51">
        <f t="shared" si="10"/>
        <v>51.92</v>
      </c>
      <c r="O65" s="51">
        <f t="shared" si="11"/>
        <v>4134.2845329510501</v>
      </c>
      <c r="P65" s="52">
        <v>8</v>
      </c>
      <c r="Q65" s="52">
        <v>10</v>
      </c>
      <c r="R65" s="52">
        <v>9</v>
      </c>
      <c r="S65" s="52">
        <v>9</v>
      </c>
      <c r="T65" s="52">
        <v>9</v>
      </c>
      <c r="U65" s="52">
        <v>9</v>
      </c>
      <c r="V65" s="52">
        <v>9</v>
      </c>
      <c r="W65" s="53" t="str">
        <f t="shared" si="6"/>
        <v>Y</v>
      </c>
      <c r="X65" s="103">
        <f t="shared" si="7"/>
        <v>0.26600000000000001</v>
      </c>
      <c r="Y65" s="103" t="str">
        <f t="shared" si="8"/>
        <v>25-50%</v>
      </c>
      <c r="Z65" s="8" t="s">
        <v>219</v>
      </c>
    </row>
    <row r="66" spans="1:26" ht="24" customHeight="1" x14ac:dyDescent="0.25">
      <c r="A66" s="10">
        <v>22</v>
      </c>
      <c r="B66" s="9">
        <v>0.11597222222222221</v>
      </c>
      <c r="C66" s="5" t="s">
        <v>108</v>
      </c>
      <c r="D66" s="5">
        <f t="shared" si="9"/>
        <v>10</v>
      </c>
      <c r="E66" s="15"/>
      <c r="F66" s="39" t="s">
        <v>113</v>
      </c>
      <c r="G66" s="39">
        <v>8.58</v>
      </c>
      <c r="H66" s="39">
        <v>6.38</v>
      </c>
      <c r="I66" s="39">
        <v>5.5</v>
      </c>
      <c r="J66" s="39">
        <v>9.24</v>
      </c>
      <c r="K66" s="39">
        <v>5.72</v>
      </c>
      <c r="L66" s="39">
        <v>7.7</v>
      </c>
      <c r="M66" s="39">
        <v>6.6</v>
      </c>
      <c r="N66" s="51">
        <f t="shared" si="10"/>
        <v>49.720000000000006</v>
      </c>
      <c r="O66" s="51">
        <f t="shared" si="11"/>
        <v>3402.3918191425073</v>
      </c>
      <c r="P66" s="52">
        <v>8</v>
      </c>
      <c r="Q66" s="52">
        <v>10</v>
      </c>
      <c r="R66" s="52">
        <v>9</v>
      </c>
      <c r="S66" s="52">
        <v>9</v>
      </c>
      <c r="T66" s="52">
        <v>9</v>
      </c>
      <c r="U66" s="52">
        <v>9</v>
      </c>
      <c r="V66" s="52">
        <v>9</v>
      </c>
      <c r="W66" s="53" t="str">
        <f t="shared" si="6"/>
        <v>Y</v>
      </c>
      <c r="X66" s="103">
        <f t="shared" si="7"/>
        <v>5.800000000000001E-2</v>
      </c>
      <c r="Y66" s="103" t="str">
        <f t="shared" si="8"/>
        <v>5-25%</v>
      </c>
      <c r="Z66" s="8" t="s">
        <v>219</v>
      </c>
    </row>
    <row r="67" spans="1:26" ht="24" customHeight="1" x14ac:dyDescent="0.25">
      <c r="A67" s="10">
        <v>24</v>
      </c>
      <c r="B67" s="9">
        <v>0.22916666666666666</v>
      </c>
      <c r="C67" s="5" t="s">
        <v>110</v>
      </c>
      <c r="D67" s="5">
        <f t="shared" si="9"/>
        <v>10</v>
      </c>
      <c r="E67" s="15"/>
      <c r="F67" s="39" t="s">
        <v>26</v>
      </c>
      <c r="G67" s="39">
        <v>6.16</v>
      </c>
      <c r="H67" s="39">
        <v>5.28</v>
      </c>
      <c r="I67" s="39">
        <v>5.94</v>
      </c>
      <c r="J67" s="39">
        <v>5.28</v>
      </c>
      <c r="K67" s="39">
        <v>6.38</v>
      </c>
      <c r="L67" s="39">
        <v>3.96</v>
      </c>
      <c r="M67" s="39"/>
      <c r="N67" s="51">
        <f t="shared" si="10"/>
        <v>33</v>
      </c>
      <c r="O67" s="51">
        <f t="shared" si="11"/>
        <v>537.90677593019154</v>
      </c>
      <c r="P67" s="52">
        <v>8</v>
      </c>
      <c r="Q67" s="52">
        <v>10</v>
      </c>
      <c r="R67" s="52">
        <v>9</v>
      </c>
      <c r="S67" s="52">
        <v>9</v>
      </c>
      <c r="T67" s="52">
        <v>9</v>
      </c>
      <c r="U67" s="52">
        <v>9</v>
      </c>
      <c r="V67" s="52">
        <v>9</v>
      </c>
      <c r="W67" s="53" t="str">
        <f t="shared" si="6"/>
        <v>N</v>
      </c>
      <c r="X67" s="103">
        <f t="shared" si="7"/>
        <v>0</v>
      </c>
      <c r="Y67" s="103" t="str">
        <f t="shared" si="8"/>
        <v>0-4.9%</v>
      </c>
      <c r="Z67" s="8" t="s">
        <v>219</v>
      </c>
    </row>
    <row r="68" spans="1:26" ht="24" customHeight="1" x14ac:dyDescent="0.25">
      <c r="A68" s="10">
        <v>25</v>
      </c>
      <c r="B68" s="9">
        <v>0.27083333333333331</v>
      </c>
      <c r="C68" s="5" t="s">
        <v>111</v>
      </c>
      <c r="D68" s="5">
        <f t="shared" si="9"/>
        <v>10</v>
      </c>
      <c r="E68" s="15"/>
      <c r="F68" s="39" t="s">
        <v>31</v>
      </c>
      <c r="G68" s="39">
        <v>7.04</v>
      </c>
      <c r="H68" s="39">
        <v>7.92</v>
      </c>
      <c r="I68" s="39">
        <v>6.16</v>
      </c>
      <c r="J68" s="39">
        <v>6.38</v>
      </c>
      <c r="K68" s="39">
        <v>7.04</v>
      </c>
      <c r="L68" s="39">
        <v>6.82</v>
      </c>
      <c r="M68" s="39"/>
      <c r="N68" s="51">
        <f t="shared" si="10"/>
        <v>41.36</v>
      </c>
      <c r="O68" s="51">
        <f t="shared" si="11"/>
        <v>1485.9584672236942</v>
      </c>
      <c r="P68" s="52">
        <v>8</v>
      </c>
      <c r="Q68" s="52">
        <v>10</v>
      </c>
      <c r="R68" s="52">
        <v>9</v>
      </c>
      <c r="S68" s="52">
        <v>9</v>
      </c>
      <c r="T68" s="52">
        <v>9</v>
      </c>
      <c r="U68" s="52">
        <v>9</v>
      </c>
      <c r="V68" s="52">
        <v>9</v>
      </c>
      <c r="W68" s="53" t="str">
        <f t="shared" si="6"/>
        <v>N</v>
      </c>
      <c r="X68" s="103">
        <f t="shared" si="7"/>
        <v>0</v>
      </c>
      <c r="Y68" s="103" t="str">
        <f t="shared" si="8"/>
        <v>0-4.9%</v>
      </c>
      <c r="Z68" s="8" t="s">
        <v>33</v>
      </c>
    </row>
    <row r="69" spans="1:26" ht="24" customHeight="1" x14ac:dyDescent="0.25">
      <c r="A69" s="10">
        <v>1</v>
      </c>
      <c r="B69" s="9">
        <v>0.2986111111111111</v>
      </c>
      <c r="C69" s="5" t="s">
        <v>126</v>
      </c>
      <c r="D69" s="5">
        <f t="shared" si="9"/>
        <v>10</v>
      </c>
      <c r="E69" s="15"/>
      <c r="F69" s="15" t="s">
        <v>31</v>
      </c>
      <c r="G69" s="19">
        <v>6.82</v>
      </c>
      <c r="H69" s="19">
        <v>0.44</v>
      </c>
      <c r="I69" s="19">
        <v>7.92</v>
      </c>
      <c r="J69" s="19">
        <v>4.18</v>
      </c>
      <c r="K69" s="19">
        <v>2.86</v>
      </c>
      <c r="L69" s="19">
        <v>4.4000000000000004</v>
      </c>
      <c r="M69" s="19"/>
      <c r="N69" s="51">
        <f t="shared" si="10"/>
        <v>26.619999999999997</v>
      </c>
      <c r="O69" s="51">
        <f t="shared" si="11"/>
        <v>204.56461635276912</v>
      </c>
      <c r="P69" s="52">
        <v>8</v>
      </c>
      <c r="Q69" s="52">
        <v>10</v>
      </c>
      <c r="R69" s="52">
        <v>9</v>
      </c>
      <c r="S69" s="52">
        <v>9</v>
      </c>
      <c r="T69" s="52">
        <v>9</v>
      </c>
      <c r="U69" s="52">
        <v>9</v>
      </c>
      <c r="V69" s="52">
        <v>9</v>
      </c>
      <c r="W69" s="53" t="str">
        <f t="shared" si="6"/>
        <v>N</v>
      </c>
      <c r="X69" s="103">
        <f t="shared" si="7"/>
        <v>0</v>
      </c>
      <c r="Y69" s="103" t="str">
        <f t="shared" si="8"/>
        <v>0-4.9%</v>
      </c>
      <c r="Z69" s="8" t="s">
        <v>224</v>
      </c>
    </row>
    <row r="70" spans="1:26" ht="24" customHeight="1" x14ac:dyDescent="0.25">
      <c r="A70" s="10">
        <v>2</v>
      </c>
      <c r="B70" s="9">
        <v>0.30208333333333331</v>
      </c>
      <c r="C70" s="5" t="s">
        <v>127</v>
      </c>
      <c r="D70" s="5">
        <f t="shared" si="9"/>
        <v>10</v>
      </c>
      <c r="E70" s="15"/>
      <c r="F70" s="15" t="s">
        <v>26</v>
      </c>
      <c r="G70" s="19">
        <v>5.5</v>
      </c>
      <c r="H70" s="19">
        <v>4.84</v>
      </c>
      <c r="I70" s="19">
        <v>5.28</v>
      </c>
      <c r="J70" s="19">
        <v>10.56</v>
      </c>
      <c r="K70" s="19">
        <v>8.8000000000000007</v>
      </c>
      <c r="L70" s="19">
        <v>6.38</v>
      </c>
      <c r="M70" s="19"/>
      <c r="N70" s="51">
        <f t="shared" si="10"/>
        <v>41.360000000000007</v>
      </c>
      <c r="O70" s="51">
        <f t="shared" si="11"/>
        <v>1485.9584672236956</v>
      </c>
      <c r="P70" s="52">
        <v>8</v>
      </c>
      <c r="Q70" s="52">
        <v>10</v>
      </c>
      <c r="R70" s="52">
        <v>9</v>
      </c>
      <c r="S70" s="52">
        <v>9</v>
      </c>
      <c r="T70" s="52">
        <v>9</v>
      </c>
      <c r="U70" s="52">
        <v>9</v>
      </c>
      <c r="V70" s="52">
        <v>9</v>
      </c>
      <c r="W70" s="53" t="str">
        <f t="shared" si="6"/>
        <v>Y</v>
      </c>
      <c r="X70" s="103">
        <f t="shared" si="7"/>
        <v>0.15600000000000006</v>
      </c>
      <c r="Y70" s="103" t="str">
        <f t="shared" si="8"/>
        <v>5-25%</v>
      </c>
      <c r="Z70" s="8" t="s">
        <v>215</v>
      </c>
    </row>
    <row r="71" spans="1:26" ht="24" customHeight="1" x14ac:dyDescent="0.25">
      <c r="A71" s="10">
        <v>3</v>
      </c>
      <c r="B71" s="9">
        <v>0.31597222222222221</v>
      </c>
      <c r="C71" s="5" t="s">
        <v>22</v>
      </c>
      <c r="D71" s="5">
        <f t="shared" ref="D71:D89" si="12">IF(COUNT(G71:M71)&gt;3,10,IF(COUNT(G71:M71)&gt;2,9,7))</f>
        <v>10</v>
      </c>
      <c r="E71" s="15"/>
      <c r="F71" s="15" t="s">
        <v>31</v>
      </c>
      <c r="G71" s="19">
        <v>6.6</v>
      </c>
      <c r="H71" s="19">
        <v>6.82</v>
      </c>
      <c r="I71" s="19">
        <v>5.72</v>
      </c>
      <c r="J71" s="19">
        <v>4.62</v>
      </c>
      <c r="K71" s="19">
        <v>4.62</v>
      </c>
      <c r="L71" s="19">
        <v>6.38</v>
      </c>
      <c r="M71" s="19"/>
      <c r="N71" s="51">
        <f t="shared" ref="N71:N89" si="13">SUM(G71:M71)</f>
        <v>34.760000000000005</v>
      </c>
      <c r="O71" s="51">
        <f t="shared" ref="O71:O89" si="14">(N71/8.16)^4.5</f>
        <v>679.59979720570118</v>
      </c>
      <c r="P71" s="52">
        <v>8</v>
      </c>
      <c r="Q71" s="52">
        <v>10</v>
      </c>
      <c r="R71" s="52">
        <v>9</v>
      </c>
      <c r="S71" s="52">
        <v>9</v>
      </c>
      <c r="T71" s="52">
        <v>9</v>
      </c>
      <c r="U71" s="52">
        <v>9</v>
      </c>
      <c r="V71" s="52">
        <v>9</v>
      </c>
      <c r="W71" s="53" t="str">
        <f t="shared" si="6"/>
        <v>N</v>
      </c>
      <c r="X71" s="103">
        <f t="shared" si="7"/>
        <v>0</v>
      </c>
      <c r="Y71" s="103" t="str">
        <f t="shared" si="8"/>
        <v>0-4.9%</v>
      </c>
      <c r="Z71" s="8" t="s">
        <v>227</v>
      </c>
    </row>
    <row r="72" spans="1:26" ht="24" customHeight="1" x14ac:dyDescent="0.25">
      <c r="A72" s="10">
        <v>5</v>
      </c>
      <c r="B72" s="9">
        <v>0.3444444444444445</v>
      </c>
      <c r="C72" s="5" t="s">
        <v>129</v>
      </c>
      <c r="D72" s="5">
        <f t="shared" si="12"/>
        <v>10</v>
      </c>
      <c r="E72" s="15"/>
      <c r="F72" s="15" t="s">
        <v>27</v>
      </c>
      <c r="G72" s="13">
        <v>8.8000000000000007</v>
      </c>
      <c r="H72" s="13">
        <v>8.36</v>
      </c>
      <c r="I72" s="13">
        <v>12.54</v>
      </c>
      <c r="J72" s="13">
        <v>6.6</v>
      </c>
      <c r="K72" s="13">
        <v>2.64</v>
      </c>
      <c r="L72" s="13"/>
      <c r="M72" s="13"/>
      <c r="N72" s="51">
        <f t="shared" si="13"/>
        <v>38.94</v>
      </c>
      <c r="O72" s="51">
        <f t="shared" si="14"/>
        <v>1132.8594921589984</v>
      </c>
      <c r="P72" s="52">
        <v>8</v>
      </c>
      <c r="Q72" s="52">
        <v>10</v>
      </c>
      <c r="R72" s="52">
        <v>9</v>
      </c>
      <c r="S72" s="52">
        <v>9</v>
      </c>
      <c r="T72" s="52">
        <v>9</v>
      </c>
      <c r="U72" s="52">
        <v>9</v>
      </c>
      <c r="V72" s="52">
        <v>9</v>
      </c>
      <c r="W72" s="53" t="str">
        <f t="shared" ref="W72:W89" si="15">IF(G72&gt;P72,"Y",IF(H72&gt;Q72,"Y",IF(I72&gt;R72,"Y",IF(J72&gt;S72,"Y",IF(K72&gt;T72,"Y",IF(L72&gt;U72,"Y",IF(M72&gt;V72,"Y","N")))))))</f>
        <v>Y</v>
      </c>
      <c r="X72" s="103">
        <f t="shared" ref="X72:X89" si="16">IF(W72="Y",MAX((G72-P72),(H72-Q72),(I72-R72),(J72-S72),(K72-T72),(L72-U72),(M72-V72))/10,0)</f>
        <v>0.35399999999999993</v>
      </c>
      <c r="Y72" s="103" t="str">
        <f t="shared" ref="Y72:Y89" si="17">IF(X72&lt;5%,"0-4.9%",IF(X72&lt;25%,"5-25%",IF(X72&lt;50%,"25-50%","Over 50%")))</f>
        <v>25-50%</v>
      </c>
      <c r="Z72" s="8" t="s">
        <v>215</v>
      </c>
    </row>
    <row r="73" spans="1:26" ht="24" customHeight="1" x14ac:dyDescent="0.25">
      <c r="A73" s="10">
        <v>6</v>
      </c>
      <c r="B73" s="9">
        <v>0.35069444444444442</v>
      </c>
      <c r="C73" s="5" t="s">
        <v>130</v>
      </c>
      <c r="D73" s="5">
        <f t="shared" si="12"/>
        <v>10</v>
      </c>
      <c r="E73" s="15"/>
      <c r="F73" s="15" t="s">
        <v>26</v>
      </c>
      <c r="G73" s="13">
        <v>1.65</v>
      </c>
      <c r="H73" s="13">
        <v>5.28</v>
      </c>
      <c r="I73" s="13">
        <v>6.6</v>
      </c>
      <c r="J73" s="13">
        <v>5.28</v>
      </c>
      <c r="K73" s="13">
        <v>5.94</v>
      </c>
      <c r="L73" s="13">
        <v>5.72</v>
      </c>
      <c r="M73" s="13"/>
      <c r="N73" s="51">
        <f t="shared" si="13"/>
        <v>30.47</v>
      </c>
      <c r="O73" s="51">
        <f t="shared" si="14"/>
        <v>375.68195012144616</v>
      </c>
      <c r="P73" s="52">
        <v>8</v>
      </c>
      <c r="Q73" s="52">
        <v>10</v>
      </c>
      <c r="R73" s="52">
        <v>9</v>
      </c>
      <c r="S73" s="52">
        <v>9</v>
      </c>
      <c r="T73" s="52">
        <v>9</v>
      </c>
      <c r="U73" s="52">
        <v>9</v>
      </c>
      <c r="V73" s="52">
        <v>9</v>
      </c>
      <c r="W73" s="53" t="str">
        <f t="shared" si="15"/>
        <v>N</v>
      </c>
      <c r="X73" s="103">
        <f t="shared" si="16"/>
        <v>0</v>
      </c>
      <c r="Y73" s="103" t="str">
        <f t="shared" si="17"/>
        <v>0-4.9%</v>
      </c>
      <c r="Z73" s="8" t="s">
        <v>219</v>
      </c>
    </row>
    <row r="74" spans="1:26" ht="24" customHeight="1" x14ac:dyDescent="0.25">
      <c r="A74" s="10">
        <v>7</v>
      </c>
      <c r="B74" s="9">
        <v>0.35416666666666669</v>
      </c>
      <c r="C74" s="5" t="s">
        <v>131</v>
      </c>
      <c r="D74" s="5">
        <f t="shared" si="12"/>
        <v>10</v>
      </c>
      <c r="E74" s="15"/>
      <c r="F74" s="22" t="s">
        <v>149</v>
      </c>
      <c r="G74" s="13">
        <v>5.94</v>
      </c>
      <c r="H74" s="13">
        <v>5.72</v>
      </c>
      <c r="I74" s="13">
        <v>4.62</v>
      </c>
      <c r="J74" s="13">
        <v>11</v>
      </c>
      <c r="K74" s="13">
        <v>8.36</v>
      </c>
      <c r="L74" s="13">
        <v>7.04</v>
      </c>
      <c r="M74" s="13"/>
      <c r="N74" s="51">
        <f t="shared" si="13"/>
        <v>42.68</v>
      </c>
      <c r="O74" s="51">
        <f t="shared" si="14"/>
        <v>1711.6073154218541</v>
      </c>
      <c r="P74" s="52">
        <v>8</v>
      </c>
      <c r="Q74" s="52">
        <v>10</v>
      </c>
      <c r="R74" s="52">
        <v>9</v>
      </c>
      <c r="S74" s="52">
        <v>9</v>
      </c>
      <c r="T74" s="52">
        <v>9</v>
      </c>
      <c r="U74" s="52">
        <v>9</v>
      </c>
      <c r="V74" s="52">
        <v>9</v>
      </c>
      <c r="W74" s="53" t="str">
        <f t="shared" si="15"/>
        <v>Y</v>
      </c>
      <c r="X74" s="103">
        <f t="shared" si="16"/>
        <v>0.2</v>
      </c>
      <c r="Y74" s="103" t="str">
        <f t="shared" si="17"/>
        <v>5-25%</v>
      </c>
      <c r="Z74" s="8" t="s">
        <v>219</v>
      </c>
    </row>
    <row r="75" spans="1:26" ht="24" customHeight="1" x14ac:dyDescent="0.25">
      <c r="A75" s="10">
        <v>8</v>
      </c>
      <c r="B75" s="9">
        <v>0.38611111111111113</v>
      </c>
      <c r="C75" s="5" t="s">
        <v>132</v>
      </c>
      <c r="D75" s="5">
        <f t="shared" si="12"/>
        <v>10</v>
      </c>
      <c r="E75" s="15"/>
      <c r="F75" s="15" t="s">
        <v>28</v>
      </c>
      <c r="G75" s="13">
        <v>7.92</v>
      </c>
      <c r="H75" s="13">
        <v>5.2</v>
      </c>
      <c r="I75" s="13">
        <v>14.96</v>
      </c>
      <c r="J75" s="13">
        <v>9.9</v>
      </c>
      <c r="K75" s="13">
        <v>1.32</v>
      </c>
      <c r="L75" s="13"/>
      <c r="M75" s="13"/>
      <c r="N75" s="51">
        <f t="shared" si="13"/>
        <v>39.300000000000004</v>
      </c>
      <c r="O75" s="51">
        <f t="shared" si="14"/>
        <v>1180.7576344828133</v>
      </c>
      <c r="P75" s="52">
        <v>8</v>
      </c>
      <c r="Q75" s="52">
        <v>10</v>
      </c>
      <c r="R75" s="52">
        <v>9</v>
      </c>
      <c r="S75" s="52">
        <v>9</v>
      </c>
      <c r="T75" s="52">
        <v>9</v>
      </c>
      <c r="U75" s="52">
        <v>9</v>
      </c>
      <c r="V75" s="52">
        <v>9</v>
      </c>
      <c r="W75" s="53" t="str">
        <f t="shared" si="15"/>
        <v>Y</v>
      </c>
      <c r="X75" s="103">
        <f t="shared" si="16"/>
        <v>0.59600000000000009</v>
      </c>
      <c r="Y75" s="103" t="str">
        <f t="shared" si="17"/>
        <v>Over 50%</v>
      </c>
      <c r="Z75" s="8" t="s">
        <v>215</v>
      </c>
    </row>
    <row r="76" spans="1:26" ht="24" customHeight="1" x14ac:dyDescent="0.25">
      <c r="A76" s="10">
        <v>10</v>
      </c>
      <c r="B76" s="9">
        <v>0.42222222222222222</v>
      </c>
      <c r="C76" s="5" t="s">
        <v>134</v>
      </c>
      <c r="D76" s="5">
        <f t="shared" si="12"/>
        <v>10</v>
      </c>
      <c r="E76" s="15"/>
      <c r="F76" s="15" t="s">
        <v>31</v>
      </c>
      <c r="G76" s="13">
        <v>5.5</v>
      </c>
      <c r="H76" s="13">
        <v>6.16</v>
      </c>
      <c r="I76" s="13">
        <v>5.94</v>
      </c>
      <c r="J76" s="13">
        <v>9.68</v>
      </c>
      <c r="K76" s="13">
        <v>6.6</v>
      </c>
      <c r="L76" s="13">
        <v>6.16</v>
      </c>
      <c r="M76" s="13"/>
      <c r="N76" s="51">
        <f t="shared" si="13"/>
        <v>40.040000000000006</v>
      </c>
      <c r="O76" s="51">
        <f t="shared" si="14"/>
        <v>1284.1554380823115</v>
      </c>
      <c r="P76" s="52">
        <v>8</v>
      </c>
      <c r="Q76" s="52">
        <v>10</v>
      </c>
      <c r="R76" s="52">
        <v>9</v>
      </c>
      <c r="S76" s="52">
        <v>9</v>
      </c>
      <c r="T76" s="52">
        <v>9</v>
      </c>
      <c r="U76" s="52">
        <v>9</v>
      </c>
      <c r="V76" s="52">
        <v>9</v>
      </c>
      <c r="W76" s="53" t="str">
        <f t="shared" si="15"/>
        <v>Y</v>
      </c>
      <c r="X76" s="103">
        <f t="shared" si="16"/>
        <v>6.7999999999999977E-2</v>
      </c>
      <c r="Y76" s="103" t="str">
        <f t="shared" si="17"/>
        <v>5-25%</v>
      </c>
      <c r="Z76" s="8" t="s">
        <v>227</v>
      </c>
    </row>
    <row r="77" spans="1:26" ht="24" customHeight="1" x14ac:dyDescent="0.25">
      <c r="A77" s="10">
        <v>11</v>
      </c>
      <c r="B77" s="9">
        <v>0.42499999999999999</v>
      </c>
      <c r="C77" s="5" t="s">
        <v>135</v>
      </c>
      <c r="D77" s="5">
        <f t="shared" si="12"/>
        <v>10</v>
      </c>
      <c r="E77" s="15"/>
      <c r="F77" s="15" t="s">
        <v>31</v>
      </c>
      <c r="G77" s="13">
        <v>5.94</v>
      </c>
      <c r="H77" s="13">
        <v>5.5</v>
      </c>
      <c r="I77" s="13">
        <v>4.4000000000000004</v>
      </c>
      <c r="J77" s="13">
        <v>5.28</v>
      </c>
      <c r="K77" s="13">
        <v>3.96</v>
      </c>
      <c r="L77" s="13">
        <v>3.96</v>
      </c>
      <c r="M77" s="13"/>
      <c r="N77" s="51">
        <f t="shared" si="13"/>
        <v>29.040000000000003</v>
      </c>
      <c r="O77" s="51">
        <f t="shared" si="14"/>
        <v>302.60704856154859</v>
      </c>
      <c r="P77" s="52">
        <v>8</v>
      </c>
      <c r="Q77" s="52">
        <v>10</v>
      </c>
      <c r="R77" s="52">
        <v>9</v>
      </c>
      <c r="S77" s="52">
        <v>9</v>
      </c>
      <c r="T77" s="52">
        <v>9</v>
      </c>
      <c r="U77" s="52">
        <v>9</v>
      </c>
      <c r="V77" s="52">
        <v>9</v>
      </c>
      <c r="W77" s="53" t="str">
        <f t="shared" si="15"/>
        <v>N</v>
      </c>
      <c r="X77" s="103">
        <f t="shared" si="16"/>
        <v>0</v>
      </c>
      <c r="Y77" s="103" t="str">
        <f t="shared" si="17"/>
        <v>0-4.9%</v>
      </c>
      <c r="Z77" s="8" t="s">
        <v>227</v>
      </c>
    </row>
    <row r="78" spans="1:26" ht="24" customHeight="1" x14ac:dyDescent="0.25">
      <c r="A78" s="10">
        <v>12</v>
      </c>
      <c r="B78" s="9">
        <v>0.43472222222222223</v>
      </c>
      <c r="C78" s="5" t="s">
        <v>136</v>
      </c>
      <c r="D78" s="5">
        <f t="shared" si="12"/>
        <v>10</v>
      </c>
      <c r="E78" s="15"/>
      <c r="F78" s="15" t="s">
        <v>31</v>
      </c>
      <c r="G78" s="13">
        <v>4.62</v>
      </c>
      <c r="H78" s="13">
        <v>5.0599999999999996</v>
      </c>
      <c r="I78" s="13">
        <v>1.98</v>
      </c>
      <c r="J78" s="13">
        <v>6.38</v>
      </c>
      <c r="K78" s="13">
        <v>5.5</v>
      </c>
      <c r="L78" s="13">
        <v>3.96</v>
      </c>
      <c r="M78" s="13"/>
      <c r="N78" s="51">
        <f t="shared" si="13"/>
        <v>27.5</v>
      </c>
      <c r="O78" s="51">
        <f t="shared" si="14"/>
        <v>236.80529434465282</v>
      </c>
      <c r="P78" s="52">
        <v>8</v>
      </c>
      <c r="Q78" s="52">
        <v>10</v>
      </c>
      <c r="R78" s="52">
        <v>9</v>
      </c>
      <c r="S78" s="52">
        <v>9</v>
      </c>
      <c r="T78" s="52">
        <v>9</v>
      </c>
      <c r="U78" s="52">
        <v>9</v>
      </c>
      <c r="V78" s="52">
        <v>9</v>
      </c>
      <c r="W78" s="53" t="str">
        <f t="shared" si="15"/>
        <v>N</v>
      </c>
      <c r="X78" s="103">
        <f t="shared" si="16"/>
        <v>0</v>
      </c>
      <c r="Y78" s="103" t="str">
        <f t="shared" si="17"/>
        <v>0-4.9%</v>
      </c>
      <c r="Z78" s="8" t="s">
        <v>33</v>
      </c>
    </row>
    <row r="79" spans="1:26" ht="24" customHeight="1" x14ac:dyDescent="0.25">
      <c r="A79" s="10">
        <v>13</v>
      </c>
      <c r="B79" s="9">
        <v>0.44236111111111115</v>
      </c>
      <c r="C79" s="5" t="s">
        <v>137</v>
      </c>
      <c r="D79" s="5">
        <f t="shared" si="12"/>
        <v>10</v>
      </c>
      <c r="E79" s="15"/>
      <c r="F79" s="15" t="s">
        <v>31</v>
      </c>
      <c r="G79" s="13">
        <v>4.62</v>
      </c>
      <c r="H79" s="13">
        <v>7.26</v>
      </c>
      <c r="I79" s="13">
        <v>6.16</v>
      </c>
      <c r="J79" s="13">
        <v>7.92</v>
      </c>
      <c r="K79" s="13">
        <v>7.26</v>
      </c>
      <c r="L79" s="13">
        <v>10.119999999999999</v>
      </c>
      <c r="M79" s="13"/>
      <c r="N79" s="51">
        <f t="shared" si="13"/>
        <v>43.339999999999996</v>
      </c>
      <c r="O79" s="51">
        <f t="shared" si="14"/>
        <v>1833.979036176544</v>
      </c>
      <c r="P79" s="52">
        <v>8</v>
      </c>
      <c r="Q79" s="52">
        <v>10</v>
      </c>
      <c r="R79" s="52">
        <v>9</v>
      </c>
      <c r="S79" s="52">
        <v>9</v>
      </c>
      <c r="T79" s="52">
        <v>9</v>
      </c>
      <c r="U79" s="52">
        <v>9</v>
      </c>
      <c r="V79" s="52">
        <v>9</v>
      </c>
      <c r="W79" s="53" t="str">
        <f t="shared" si="15"/>
        <v>Y</v>
      </c>
      <c r="X79" s="103">
        <f t="shared" si="16"/>
        <v>0.11199999999999992</v>
      </c>
      <c r="Y79" s="103" t="str">
        <f t="shared" si="17"/>
        <v>5-25%</v>
      </c>
      <c r="Z79" s="8" t="s">
        <v>215</v>
      </c>
    </row>
    <row r="80" spans="1:26" ht="24" customHeight="1" x14ac:dyDescent="0.25">
      <c r="A80" s="10">
        <v>14</v>
      </c>
      <c r="B80" s="9">
        <v>0.46875</v>
      </c>
      <c r="C80" s="5" t="s">
        <v>138</v>
      </c>
      <c r="D80" s="5">
        <f t="shared" si="12"/>
        <v>10</v>
      </c>
      <c r="E80" s="15"/>
      <c r="F80" s="15" t="s">
        <v>150</v>
      </c>
      <c r="G80" s="13">
        <v>6.38</v>
      </c>
      <c r="H80" s="13">
        <v>8.58</v>
      </c>
      <c r="I80" s="13">
        <v>3.96</v>
      </c>
      <c r="J80" s="13">
        <v>4.84</v>
      </c>
      <c r="K80" s="13">
        <v>4.62</v>
      </c>
      <c r="L80" s="13"/>
      <c r="M80" s="13"/>
      <c r="N80" s="51">
        <f t="shared" si="13"/>
        <v>28.380000000000003</v>
      </c>
      <c r="O80" s="51">
        <f t="shared" si="14"/>
        <v>272.86639025594889</v>
      </c>
      <c r="P80" s="52">
        <v>8</v>
      </c>
      <c r="Q80" s="52">
        <v>10</v>
      </c>
      <c r="R80" s="52">
        <v>9</v>
      </c>
      <c r="S80" s="52">
        <v>9</v>
      </c>
      <c r="T80" s="52">
        <v>9</v>
      </c>
      <c r="U80" s="52">
        <v>9</v>
      </c>
      <c r="V80" s="52">
        <v>9</v>
      </c>
      <c r="W80" s="53" t="str">
        <f t="shared" si="15"/>
        <v>N</v>
      </c>
      <c r="X80" s="103">
        <f t="shared" si="16"/>
        <v>0</v>
      </c>
      <c r="Y80" s="103" t="str">
        <f t="shared" si="17"/>
        <v>0-4.9%</v>
      </c>
      <c r="Z80" s="8" t="s">
        <v>33</v>
      </c>
    </row>
    <row r="81" spans="1:26" ht="24" customHeight="1" x14ac:dyDescent="0.25">
      <c r="A81" s="10">
        <v>15</v>
      </c>
      <c r="B81" s="9">
        <v>0.48055555555555557</v>
      </c>
      <c r="C81" s="5" t="s">
        <v>43</v>
      </c>
      <c r="D81" s="5">
        <f t="shared" si="12"/>
        <v>10</v>
      </c>
      <c r="E81" s="15"/>
      <c r="F81" s="15" t="s">
        <v>27</v>
      </c>
      <c r="G81" s="13">
        <v>6.6</v>
      </c>
      <c r="H81" s="13">
        <v>6.82</v>
      </c>
      <c r="I81" s="13">
        <v>13.42</v>
      </c>
      <c r="J81" s="13">
        <v>12.32</v>
      </c>
      <c r="K81" s="13">
        <v>1.1000000000000001</v>
      </c>
      <c r="L81" s="13"/>
      <c r="M81" s="13"/>
      <c r="N81" s="51">
        <f t="shared" si="13"/>
        <v>40.26</v>
      </c>
      <c r="O81" s="51">
        <f t="shared" si="14"/>
        <v>1316.21323384986</v>
      </c>
      <c r="P81" s="52">
        <v>8</v>
      </c>
      <c r="Q81" s="52">
        <v>10</v>
      </c>
      <c r="R81" s="52">
        <v>9</v>
      </c>
      <c r="S81" s="52">
        <v>9</v>
      </c>
      <c r="T81" s="52">
        <v>9</v>
      </c>
      <c r="U81" s="52">
        <v>9</v>
      </c>
      <c r="V81" s="52">
        <v>9</v>
      </c>
      <c r="W81" s="53" t="str">
        <f t="shared" si="15"/>
        <v>Y</v>
      </c>
      <c r="X81" s="103">
        <f t="shared" si="16"/>
        <v>0.442</v>
      </c>
      <c r="Y81" s="103" t="str">
        <f t="shared" si="17"/>
        <v>25-50%</v>
      </c>
      <c r="Z81" s="8" t="s">
        <v>219</v>
      </c>
    </row>
    <row r="82" spans="1:26" ht="24" customHeight="1" x14ac:dyDescent="0.25">
      <c r="A82" s="10">
        <v>19</v>
      </c>
      <c r="B82" s="9">
        <v>0.53055555555555556</v>
      </c>
      <c r="C82" s="5" t="s">
        <v>141</v>
      </c>
      <c r="D82" s="5">
        <f t="shared" si="12"/>
        <v>10</v>
      </c>
      <c r="E82" s="15"/>
      <c r="F82" s="15" t="s">
        <v>31</v>
      </c>
      <c r="G82" s="13">
        <v>6.6</v>
      </c>
      <c r="H82" s="13">
        <v>5.0599999999999996</v>
      </c>
      <c r="I82" s="13">
        <v>3.96</v>
      </c>
      <c r="J82" s="13">
        <v>6.82</v>
      </c>
      <c r="K82" s="13">
        <v>3.52</v>
      </c>
      <c r="L82" s="13">
        <v>4.18</v>
      </c>
      <c r="M82" s="13"/>
      <c r="N82" s="51">
        <f t="shared" si="13"/>
        <v>30.14</v>
      </c>
      <c r="O82" s="51">
        <f t="shared" si="14"/>
        <v>357.7164412483387</v>
      </c>
      <c r="P82" s="52">
        <v>8</v>
      </c>
      <c r="Q82" s="52">
        <v>10</v>
      </c>
      <c r="R82" s="52">
        <v>9</v>
      </c>
      <c r="S82" s="52">
        <v>9</v>
      </c>
      <c r="T82" s="52">
        <v>9</v>
      </c>
      <c r="U82" s="52">
        <v>9</v>
      </c>
      <c r="V82" s="52">
        <v>9</v>
      </c>
      <c r="W82" s="53" t="str">
        <f t="shared" si="15"/>
        <v>N</v>
      </c>
      <c r="X82" s="103">
        <f t="shared" si="16"/>
        <v>0</v>
      </c>
      <c r="Y82" s="103" t="str">
        <f t="shared" si="17"/>
        <v>0-4.9%</v>
      </c>
      <c r="Z82" s="8" t="s">
        <v>219</v>
      </c>
    </row>
    <row r="83" spans="1:26" ht="24" customHeight="1" x14ac:dyDescent="0.25">
      <c r="A83" s="10">
        <v>20</v>
      </c>
      <c r="B83" s="9">
        <v>6.805555555555555E-2</v>
      </c>
      <c r="C83" s="5" t="s">
        <v>142</v>
      </c>
      <c r="D83" s="5">
        <f t="shared" si="12"/>
        <v>10</v>
      </c>
      <c r="E83" s="15"/>
      <c r="F83" s="15" t="s">
        <v>27</v>
      </c>
      <c r="G83" s="13">
        <v>4.18</v>
      </c>
      <c r="H83" s="13">
        <v>8.36</v>
      </c>
      <c r="I83" s="13">
        <v>12.1</v>
      </c>
      <c r="J83" s="13">
        <v>9.9</v>
      </c>
      <c r="K83" s="13">
        <v>6.6</v>
      </c>
      <c r="L83" s="13"/>
      <c r="M83" s="13"/>
      <c r="N83" s="51">
        <f t="shared" si="13"/>
        <v>41.14</v>
      </c>
      <c r="O83" s="51">
        <f t="shared" si="14"/>
        <v>1450.719934314061</v>
      </c>
      <c r="P83" s="52">
        <v>8</v>
      </c>
      <c r="Q83" s="52">
        <v>10</v>
      </c>
      <c r="R83" s="52">
        <v>9</v>
      </c>
      <c r="S83" s="52">
        <v>9</v>
      </c>
      <c r="T83" s="52">
        <v>9</v>
      </c>
      <c r="U83" s="52">
        <v>9</v>
      </c>
      <c r="V83" s="52">
        <v>9</v>
      </c>
      <c r="W83" s="53" t="str">
        <f t="shared" si="15"/>
        <v>Y</v>
      </c>
      <c r="X83" s="103">
        <f t="shared" si="16"/>
        <v>0.30999999999999994</v>
      </c>
      <c r="Y83" s="103" t="str">
        <f t="shared" si="17"/>
        <v>25-50%</v>
      </c>
      <c r="Z83" s="8" t="s">
        <v>227</v>
      </c>
    </row>
    <row r="84" spans="1:26" ht="24" customHeight="1" x14ac:dyDescent="0.25">
      <c r="A84" s="10">
        <v>21</v>
      </c>
      <c r="B84" s="9">
        <v>7.0833333333333331E-2</v>
      </c>
      <c r="C84" s="5" t="s">
        <v>143</v>
      </c>
      <c r="D84" s="5">
        <f t="shared" si="12"/>
        <v>10</v>
      </c>
      <c r="E84" s="15"/>
      <c r="F84" s="15" t="s">
        <v>31</v>
      </c>
      <c r="G84" s="13">
        <v>6.82</v>
      </c>
      <c r="H84" s="13">
        <v>6.38</v>
      </c>
      <c r="I84" s="13">
        <v>3.3</v>
      </c>
      <c r="J84" s="13">
        <v>4.62</v>
      </c>
      <c r="K84" s="13">
        <v>4.4000000000000004</v>
      </c>
      <c r="L84" s="13">
        <v>3.96</v>
      </c>
      <c r="M84" s="13"/>
      <c r="N84" s="51">
        <f t="shared" si="13"/>
        <v>29.480000000000004</v>
      </c>
      <c r="O84" s="51">
        <f t="shared" si="14"/>
        <v>323.79336259204757</v>
      </c>
      <c r="P84" s="52">
        <v>8</v>
      </c>
      <c r="Q84" s="52">
        <v>10</v>
      </c>
      <c r="R84" s="52">
        <v>9</v>
      </c>
      <c r="S84" s="52">
        <v>9</v>
      </c>
      <c r="T84" s="52">
        <v>9</v>
      </c>
      <c r="U84" s="52">
        <v>9</v>
      </c>
      <c r="V84" s="52">
        <v>9</v>
      </c>
      <c r="W84" s="53" t="str">
        <f t="shared" si="15"/>
        <v>N</v>
      </c>
      <c r="X84" s="103">
        <f t="shared" si="16"/>
        <v>0</v>
      </c>
      <c r="Y84" s="103" t="str">
        <f t="shared" si="17"/>
        <v>0-4.9%</v>
      </c>
      <c r="Z84" s="8" t="s">
        <v>215</v>
      </c>
    </row>
    <row r="85" spans="1:26" ht="24" customHeight="1" x14ac:dyDescent="0.25">
      <c r="A85" s="10">
        <v>22</v>
      </c>
      <c r="B85" s="9">
        <v>7.3611111111111113E-2</v>
      </c>
      <c r="C85" s="5" t="s">
        <v>144</v>
      </c>
      <c r="D85" s="5">
        <f t="shared" si="12"/>
        <v>10</v>
      </c>
      <c r="E85" s="15"/>
      <c r="F85" s="15" t="s">
        <v>31</v>
      </c>
      <c r="G85" s="13">
        <v>5.72</v>
      </c>
      <c r="H85" s="13">
        <v>7.7</v>
      </c>
      <c r="I85" s="13">
        <v>7.04</v>
      </c>
      <c r="J85" s="13">
        <v>6.16</v>
      </c>
      <c r="K85" s="13">
        <v>6.16</v>
      </c>
      <c r="L85" s="13">
        <v>5.28</v>
      </c>
      <c r="M85" s="13"/>
      <c r="N85" s="51">
        <f t="shared" si="13"/>
        <v>38.06</v>
      </c>
      <c r="O85" s="51">
        <f t="shared" si="14"/>
        <v>1022.1245354768009</v>
      </c>
      <c r="P85" s="52">
        <v>8</v>
      </c>
      <c r="Q85" s="52">
        <v>10</v>
      </c>
      <c r="R85" s="52">
        <v>9</v>
      </c>
      <c r="S85" s="52">
        <v>9</v>
      </c>
      <c r="T85" s="52">
        <v>9</v>
      </c>
      <c r="U85" s="52">
        <v>9</v>
      </c>
      <c r="V85" s="52">
        <v>9</v>
      </c>
      <c r="W85" s="53" t="str">
        <f t="shared" si="15"/>
        <v>N</v>
      </c>
      <c r="X85" s="103">
        <f t="shared" si="16"/>
        <v>0</v>
      </c>
      <c r="Y85" s="103" t="str">
        <f t="shared" si="17"/>
        <v>0-4.9%</v>
      </c>
      <c r="Z85" s="8" t="s">
        <v>215</v>
      </c>
    </row>
    <row r="86" spans="1:26" ht="24" customHeight="1" x14ac:dyDescent="0.25">
      <c r="A86" s="10">
        <v>23</v>
      </c>
      <c r="B86" s="9">
        <v>0.12430555555555556</v>
      </c>
      <c r="C86" s="5" t="s">
        <v>145</v>
      </c>
      <c r="D86" s="5">
        <f t="shared" si="12"/>
        <v>10</v>
      </c>
      <c r="E86" s="15"/>
      <c r="F86" s="15" t="s">
        <v>31</v>
      </c>
      <c r="G86" s="13">
        <v>6.16</v>
      </c>
      <c r="H86" s="13">
        <v>9.24</v>
      </c>
      <c r="I86" s="13">
        <v>10.78</v>
      </c>
      <c r="J86" s="13">
        <v>5.0599999999999996</v>
      </c>
      <c r="K86" s="13">
        <v>5.28</v>
      </c>
      <c r="L86" s="13">
        <v>10.78</v>
      </c>
      <c r="M86" s="13"/>
      <c r="N86" s="51">
        <f t="shared" si="13"/>
        <v>47.3</v>
      </c>
      <c r="O86" s="51">
        <f t="shared" si="14"/>
        <v>2718.12496193679</v>
      </c>
      <c r="P86" s="52">
        <v>8</v>
      </c>
      <c r="Q86" s="52">
        <v>10</v>
      </c>
      <c r="R86" s="52">
        <v>9</v>
      </c>
      <c r="S86" s="52">
        <v>9</v>
      </c>
      <c r="T86" s="52">
        <v>9</v>
      </c>
      <c r="U86" s="52">
        <v>9</v>
      </c>
      <c r="V86" s="52">
        <v>9</v>
      </c>
      <c r="W86" s="53" t="str">
        <f t="shared" si="15"/>
        <v>Y</v>
      </c>
      <c r="X86" s="103">
        <f t="shared" si="16"/>
        <v>0.17799999999999994</v>
      </c>
      <c r="Y86" s="103" t="str">
        <f t="shared" si="17"/>
        <v>5-25%</v>
      </c>
      <c r="Z86" s="8" t="s">
        <v>215</v>
      </c>
    </row>
    <row r="87" spans="1:26" ht="24" customHeight="1" x14ac:dyDescent="0.25">
      <c r="A87" s="10">
        <v>24</v>
      </c>
      <c r="B87" s="9">
        <v>0.17013888888888887</v>
      </c>
      <c r="C87" s="5" t="s">
        <v>146</v>
      </c>
      <c r="D87" s="5">
        <f t="shared" si="12"/>
        <v>10</v>
      </c>
      <c r="E87" s="15"/>
      <c r="F87" s="15" t="s">
        <v>31</v>
      </c>
      <c r="G87" s="13">
        <v>6.38</v>
      </c>
      <c r="H87" s="13">
        <v>2.42</v>
      </c>
      <c r="I87" s="13">
        <v>10.119999999999999</v>
      </c>
      <c r="J87" s="13">
        <v>5.72</v>
      </c>
      <c r="K87" s="13">
        <v>4.62</v>
      </c>
      <c r="L87" s="13">
        <v>6.38</v>
      </c>
      <c r="M87" s="13"/>
      <c r="N87" s="51">
        <f t="shared" si="13"/>
        <v>35.64</v>
      </c>
      <c r="O87" s="51">
        <f t="shared" si="14"/>
        <v>760.52573546668998</v>
      </c>
      <c r="P87" s="52">
        <v>8</v>
      </c>
      <c r="Q87" s="52">
        <v>10</v>
      </c>
      <c r="R87" s="52">
        <v>9</v>
      </c>
      <c r="S87" s="52">
        <v>9</v>
      </c>
      <c r="T87" s="52">
        <v>9</v>
      </c>
      <c r="U87" s="52">
        <v>9</v>
      </c>
      <c r="V87" s="52">
        <v>9</v>
      </c>
      <c r="W87" s="53" t="str">
        <f t="shared" si="15"/>
        <v>Y</v>
      </c>
      <c r="X87" s="103">
        <f t="shared" si="16"/>
        <v>0.11199999999999992</v>
      </c>
      <c r="Y87" s="103" t="str">
        <f t="shared" si="17"/>
        <v>5-25%</v>
      </c>
      <c r="Z87" s="8" t="s">
        <v>33</v>
      </c>
    </row>
    <row r="88" spans="1:26" ht="24" customHeight="1" x14ac:dyDescent="0.25">
      <c r="A88" s="10">
        <v>25</v>
      </c>
      <c r="B88" s="9">
        <v>0.17361111111111113</v>
      </c>
      <c r="C88" s="5" t="s">
        <v>147</v>
      </c>
      <c r="D88" s="5">
        <f t="shared" si="12"/>
        <v>10</v>
      </c>
      <c r="E88" s="15"/>
      <c r="F88" s="15" t="s">
        <v>31</v>
      </c>
      <c r="G88" s="13">
        <v>4.62</v>
      </c>
      <c r="H88" s="13">
        <v>8.14</v>
      </c>
      <c r="I88" s="13">
        <v>2.42</v>
      </c>
      <c r="J88" s="13">
        <v>5.28</v>
      </c>
      <c r="K88" s="13">
        <v>2.64</v>
      </c>
      <c r="L88" s="13">
        <v>4.18</v>
      </c>
      <c r="M88" s="13"/>
      <c r="N88" s="51">
        <f t="shared" si="13"/>
        <v>27.28</v>
      </c>
      <c r="O88" s="51">
        <f t="shared" si="14"/>
        <v>228.39886033589252</v>
      </c>
      <c r="P88" s="52">
        <v>8</v>
      </c>
      <c r="Q88" s="52">
        <v>10</v>
      </c>
      <c r="R88" s="52">
        <v>9</v>
      </c>
      <c r="S88" s="52">
        <v>9</v>
      </c>
      <c r="T88" s="52">
        <v>9</v>
      </c>
      <c r="U88" s="52">
        <v>9</v>
      </c>
      <c r="V88" s="52">
        <v>9</v>
      </c>
      <c r="W88" s="53" t="str">
        <f t="shared" si="15"/>
        <v>N</v>
      </c>
      <c r="X88" s="103">
        <f t="shared" si="16"/>
        <v>0</v>
      </c>
      <c r="Y88" s="103" t="str">
        <f t="shared" si="17"/>
        <v>0-4.9%</v>
      </c>
      <c r="Z88" s="8" t="s">
        <v>223</v>
      </c>
    </row>
    <row r="89" spans="1:26" ht="24" customHeight="1" x14ac:dyDescent="0.25">
      <c r="A89" s="10">
        <v>26</v>
      </c>
      <c r="B89" s="9">
        <v>0.17847222222222223</v>
      </c>
      <c r="C89" s="5" t="s">
        <v>148</v>
      </c>
      <c r="D89" s="5">
        <f t="shared" si="12"/>
        <v>10</v>
      </c>
      <c r="E89" s="15"/>
      <c r="F89" s="15" t="s">
        <v>27</v>
      </c>
      <c r="G89" s="13">
        <v>7.04</v>
      </c>
      <c r="H89" s="13">
        <v>7.7</v>
      </c>
      <c r="I89" s="13">
        <v>9.9</v>
      </c>
      <c r="J89" s="13">
        <v>10.119999999999999</v>
      </c>
      <c r="K89" s="13">
        <v>2.64</v>
      </c>
      <c r="L89" s="13">
        <v>2.86</v>
      </c>
      <c r="M89" s="13"/>
      <c r="N89" s="51">
        <f t="shared" si="13"/>
        <v>40.26</v>
      </c>
      <c r="O89" s="51">
        <f t="shared" si="14"/>
        <v>1316.21323384986</v>
      </c>
      <c r="P89" s="52">
        <v>8</v>
      </c>
      <c r="Q89" s="52">
        <v>10</v>
      </c>
      <c r="R89" s="52">
        <v>9</v>
      </c>
      <c r="S89" s="52">
        <v>9</v>
      </c>
      <c r="T89" s="52">
        <v>9</v>
      </c>
      <c r="U89" s="52">
        <v>9</v>
      </c>
      <c r="V89" s="52">
        <v>9</v>
      </c>
      <c r="W89" s="53" t="str">
        <f t="shared" si="15"/>
        <v>Y</v>
      </c>
      <c r="X89" s="103">
        <f t="shared" si="16"/>
        <v>0.11199999999999992</v>
      </c>
      <c r="Y89" s="103" t="str">
        <f t="shared" si="17"/>
        <v>5-25%</v>
      </c>
      <c r="Z89" s="8" t="s">
        <v>227</v>
      </c>
    </row>
  </sheetData>
  <sortState xmlns:xlrd2="http://schemas.microsoft.com/office/spreadsheetml/2017/richdata2" ref="A7:AA89">
    <sortCondition ref="D7:D89"/>
  </sortState>
  <mergeCells count="17">
    <mergeCell ref="P5:V5"/>
    <mergeCell ref="A1:Z1"/>
    <mergeCell ref="A2:O2"/>
    <mergeCell ref="A4:B4"/>
    <mergeCell ref="A5:A6"/>
    <mergeCell ref="B5:B6"/>
    <mergeCell ref="C5:C6"/>
    <mergeCell ref="D5:D6"/>
    <mergeCell ref="E5:E6"/>
    <mergeCell ref="F5:F6"/>
    <mergeCell ref="H5:M5"/>
    <mergeCell ref="N5:N6"/>
    <mergeCell ref="O5:O6"/>
    <mergeCell ref="Z5:Z6"/>
    <mergeCell ref="W5:W6"/>
    <mergeCell ref="X5:X6"/>
    <mergeCell ref="Y5:Y6"/>
  </mergeCells>
  <printOptions horizontalCentered="1"/>
  <pageMargins left="0.7" right="0.7" top="0.75" bottom="0.75" header="0.3" footer="0.3"/>
  <pageSetup paperSize="9" scale="24" orientation="landscape" horizont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49"/>
  <sheetViews>
    <sheetView view="pageBreakPreview" zoomScale="55" zoomScaleNormal="100" zoomScaleSheetLayoutView="55"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P5" sqref="P5:Y7"/>
    </sheetView>
  </sheetViews>
  <sheetFormatPr defaultRowHeight="15" x14ac:dyDescent="0.25"/>
  <cols>
    <col min="1" max="1" width="6.140625" customWidth="1"/>
    <col min="2" max="2" width="9.140625" bestFit="1" customWidth="1"/>
    <col min="3" max="3" width="15.5703125" customWidth="1"/>
    <col min="4" max="4" width="10.7109375" customWidth="1"/>
    <col min="5" max="5" width="9.140625" style="16" customWidth="1"/>
    <col min="6" max="6" width="15.140625" style="16" customWidth="1"/>
    <col min="7" max="12" width="9.5703125" bestFit="1" customWidth="1"/>
    <col min="13" max="13" width="8.85546875" customWidth="1"/>
    <col min="14" max="14" width="13.140625" customWidth="1"/>
    <col min="15" max="25" width="13.28515625" customWidth="1"/>
    <col min="26" max="26" width="24.7109375" customWidth="1"/>
  </cols>
  <sheetData>
    <row r="1" spans="1:26" ht="18.75" x14ac:dyDescent="0.3">
      <c r="A1" s="83" t="s">
        <v>87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x14ac:dyDescent="0.25">
      <c r="A2" s="86" t="s">
        <v>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64"/>
      <c r="Q2" s="64"/>
      <c r="R2" s="64"/>
      <c r="S2" s="64"/>
      <c r="T2" s="64"/>
      <c r="U2" s="64"/>
      <c r="V2" s="64"/>
      <c r="W2" s="31"/>
      <c r="X2" s="31"/>
      <c r="Y2" s="31"/>
    </row>
    <row r="3" spans="1:26" x14ac:dyDescent="0.25">
      <c r="A3" s="2" t="s">
        <v>1</v>
      </c>
      <c r="B3" s="2"/>
      <c r="C3" s="2"/>
      <c r="D3" s="2" t="s">
        <v>88</v>
      </c>
      <c r="E3" s="14" t="s">
        <v>46</v>
      </c>
      <c r="F3" s="14"/>
      <c r="G3" s="2"/>
      <c r="H3" s="3"/>
      <c r="I3" s="2"/>
      <c r="J3" s="2"/>
      <c r="K3" s="2"/>
      <c r="L3" s="2"/>
      <c r="M3" s="3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6" ht="18.75" thickBot="1" x14ac:dyDescent="0.3">
      <c r="A4" s="95">
        <v>43675</v>
      </c>
      <c r="B4" s="95"/>
      <c r="C4" s="2"/>
      <c r="D4" s="6"/>
      <c r="E4" s="18"/>
      <c r="F4" s="14"/>
      <c r="G4" s="2"/>
      <c r="H4" s="35" t="s">
        <v>208</v>
      </c>
      <c r="I4" s="2"/>
      <c r="J4" s="2"/>
      <c r="K4" s="2"/>
      <c r="L4" s="2"/>
      <c r="M4" s="4"/>
      <c r="N4" s="4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6" s="1" customFormat="1" ht="14.45" customHeight="1" x14ac:dyDescent="0.25">
      <c r="A5" s="88" t="s">
        <v>3</v>
      </c>
      <c r="B5" s="90" t="s">
        <v>4</v>
      </c>
      <c r="C5" s="87" t="s">
        <v>5</v>
      </c>
      <c r="D5" s="87" t="s">
        <v>16</v>
      </c>
      <c r="E5" s="93" t="s">
        <v>6</v>
      </c>
      <c r="F5" s="93" t="s">
        <v>7</v>
      </c>
      <c r="G5" s="7" t="s">
        <v>17</v>
      </c>
      <c r="H5" s="87" t="s">
        <v>47</v>
      </c>
      <c r="I5" s="87"/>
      <c r="J5" s="87"/>
      <c r="K5" s="87"/>
      <c r="L5" s="87"/>
      <c r="M5" s="87"/>
      <c r="N5" s="87" t="s">
        <v>15</v>
      </c>
      <c r="O5" s="87" t="s">
        <v>18</v>
      </c>
      <c r="P5" s="99" t="s">
        <v>228</v>
      </c>
      <c r="Q5" s="100"/>
      <c r="R5" s="100"/>
      <c r="S5" s="100"/>
      <c r="T5" s="100"/>
      <c r="U5" s="100"/>
      <c r="V5" s="101"/>
      <c r="W5" s="96" t="s">
        <v>206</v>
      </c>
      <c r="X5" s="96" t="s">
        <v>207</v>
      </c>
      <c r="Y5" s="96" t="s">
        <v>229</v>
      </c>
      <c r="Z5" s="84" t="s">
        <v>19</v>
      </c>
    </row>
    <row r="6" spans="1:26" ht="13.9" customHeight="1" thickBot="1" x14ac:dyDescent="0.3">
      <c r="A6" s="89"/>
      <c r="B6" s="91"/>
      <c r="C6" s="92"/>
      <c r="D6" s="92"/>
      <c r="E6" s="94"/>
      <c r="F6" s="94"/>
      <c r="G6" s="20" t="s">
        <v>8</v>
      </c>
      <c r="H6" s="20" t="s">
        <v>9</v>
      </c>
      <c r="I6" s="20" t="s">
        <v>10</v>
      </c>
      <c r="J6" s="20" t="s">
        <v>11</v>
      </c>
      <c r="K6" s="20" t="s">
        <v>12</v>
      </c>
      <c r="L6" s="20" t="s">
        <v>13</v>
      </c>
      <c r="M6" s="20" t="s">
        <v>14</v>
      </c>
      <c r="N6" s="92"/>
      <c r="O6" s="92"/>
      <c r="P6" s="102" t="s">
        <v>8</v>
      </c>
      <c r="Q6" s="65" t="s">
        <v>9</v>
      </c>
      <c r="R6" s="102" t="s">
        <v>10</v>
      </c>
      <c r="S6" s="65" t="s">
        <v>11</v>
      </c>
      <c r="T6" s="102" t="s">
        <v>12</v>
      </c>
      <c r="U6" s="65" t="s">
        <v>13</v>
      </c>
      <c r="V6" s="102" t="s">
        <v>14</v>
      </c>
      <c r="W6" s="97"/>
      <c r="X6" s="97"/>
      <c r="Y6" s="97"/>
      <c r="Z6" s="85"/>
    </row>
    <row r="7" spans="1:26" ht="24" customHeight="1" x14ac:dyDescent="0.25">
      <c r="A7" s="10">
        <v>1</v>
      </c>
      <c r="B7" s="54">
        <v>0.3659722222222222</v>
      </c>
      <c r="C7" s="5" t="s">
        <v>114</v>
      </c>
      <c r="D7" s="5">
        <f t="shared" ref="D7:D37" si="0">IF(COUNT(G7:M7)&gt;3,10,IF(COUNT(G7:M7)&gt;2,9,7))</f>
        <v>7</v>
      </c>
      <c r="E7" s="15"/>
      <c r="F7" s="15" t="s">
        <v>24</v>
      </c>
      <c r="G7" s="13">
        <v>2.86</v>
      </c>
      <c r="H7" s="13">
        <v>1.98</v>
      </c>
      <c r="I7" s="13"/>
      <c r="J7" s="13"/>
      <c r="K7" s="13"/>
      <c r="L7" s="13"/>
      <c r="M7" s="13"/>
      <c r="N7" s="51">
        <f t="shared" ref="N7:N37" si="1">SUM(G7:M7)</f>
        <v>4.84</v>
      </c>
      <c r="O7" s="51">
        <f t="shared" ref="O7:O37" si="2">(N7/8.16)^4.5</f>
        <v>9.53231560629378E-2</v>
      </c>
      <c r="P7" s="52">
        <v>8</v>
      </c>
      <c r="Q7" s="52">
        <v>10</v>
      </c>
      <c r="R7" s="52">
        <v>9</v>
      </c>
      <c r="S7" s="52">
        <v>9</v>
      </c>
      <c r="T7" s="52">
        <v>9</v>
      </c>
      <c r="U7" s="52">
        <v>9</v>
      </c>
      <c r="V7" s="52">
        <v>9</v>
      </c>
      <c r="W7" s="53" t="str">
        <f t="shared" ref="W7" si="3">IF(G7&gt;P7,"Y",IF(H7&gt;Q7,"Y",IF(I7&gt;R7,"Y",IF(J7&gt;S7,"Y",IF(K7&gt;T7,"Y",IF(L7&gt;U7,"Y",IF(M7&gt;V7,"Y","N")))))))</f>
        <v>N</v>
      </c>
      <c r="X7" s="103">
        <f t="shared" ref="X7" si="4">IF(W7="Y",MAX((G7-P7),(H7-Q7),(I7-R7),(J7-S7),(K7-T7),(L7-U7),(M7-V7))/10,0)</f>
        <v>0</v>
      </c>
      <c r="Y7" s="103" t="str">
        <f t="shared" ref="Y7" si="5">IF(X7&lt;5%,"0-4.9%",IF(X7&lt;25%,"5-25%",IF(X7&lt;50%,"25-50%","Over 50%")))</f>
        <v>0-4.9%</v>
      </c>
      <c r="Z7" s="8" t="s">
        <v>39</v>
      </c>
    </row>
    <row r="8" spans="1:26" ht="24" customHeight="1" x14ac:dyDescent="0.25">
      <c r="A8" s="10">
        <v>9</v>
      </c>
      <c r="B8" s="54">
        <v>5.4166666666666669E-2</v>
      </c>
      <c r="C8" s="5" t="s">
        <v>122</v>
      </c>
      <c r="D8" s="5">
        <f t="shared" si="0"/>
        <v>7</v>
      </c>
      <c r="E8" s="15"/>
      <c r="F8" s="15" t="s">
        <v>24</v>
      </c>
      <c r="G8" s="13">
        <v>3.96</v>
      </c>
      <c r="H8" s="13">
        <v>6.6</v>
      </c>
      <c r="I8" s="13"/>
      <c r="J8" s="13"/>
      <c r="K8" s="13"/>
      <c r="L8" s="13"/>
      <c r="M8" s="13"/>
      <c r="N8" s="51">
        <f t="shared" si="1"/>
        <v>10.559999999999999</v>
      </c>
      <c r="O8" s="51">
        <f t="shared" si="2"/>
        <v>3.1906702098447215</v>
      </c>
      <c r="P8" s="52">
        <v>8</v>
      </c>
      <c r="Q8" s="52">
        <v>10</v>
      </c>
      <c r="R8" s="52">
        <v>9</v>
      </c>
      <c r="S8" s="52">
        <v>9</v>
      </c>
      <c r="T8" s="52">
        <v>9</v>
      </c>
      <c r="U8" s="52">
        <v>9</v>
      </c>
      <c r="V8" s="52">
        <v>9</v>
      </c>
      <c r="W8" s="53" t="str">
        <f t="shared" ref="W8:W37" si="6">IF(G8&gt;P8,"Y",IF(H8&gt;Q8,"Y",IF(I8&gt;R8,"Y",IF(J8&gt;S8,"Y",IF(K8&gt;T8,"Y",IF(L8&gt;U8,"Y",IF(M8&gt;V8,"Y","N")))))))</f>
        <v>N</v>
      </c>
      <c r="X8" s="103">
        <f t="shared" ref="X8:X37" si="7">IF(W8="Y",MAX((G8-P8),(H8-Q8),(I8-R8),(J8-S8),(K8-T8),(L8-U8),(M8-V8))/10,0)</f>
        <v>0</v>
      </c>
      <c r="Y8" s="103" t="str">
        <f t="shared" ref="Y8:Y37" si="8">IF(X8&lt;5%,"0-4.9%",IF(X8&lt;25%,"5-25%",IF(X8&lt;50%,"25-50%","Over 50%")))</f>
        <v>0-4.9%</v>
      </c>
      <c r="Z8" s="8" t="s">
        <v>165</v>
      </c>
    </row>
    <row r="9" spans="1:26" ht="24" customHeight="1" x14ac:dyDescent="0.25">
      <c r="A9" s="10">
        <v>10</v>
      </c>
      <c r="B9" s="54">
        <v>0.15694444444444444</v>
      </c>
      <c r="C9" s="5" t="s">
        <v>123</v>
      </c>
      <c r="D9" s="5">
        <f t="shared" si="0"/>
        <v>7</v>
      </c>
      <c r="E9" s="15"/>
      <c r="F9" s="15" t="s">
        <v>24</v>
      </c>
      <c r="G9" s="13">
        <v>6.38</v>
      </c>
      <c r="H9" s="13">
        <v>10.56</v>
      </c>
      <c r="I9" s="13"/>
      <c r="J9" s="13"/>
      <c r="K9" s="13"/>
      <c r="L9" s="13"/>
      <c r="M9" s="13"/>
      <c r="N9" s="51">
        <f t="shared" si="1"/>
        <v>16.940000000000001</v>
      </c>
      <c r="O9" s="51">
        <f t="shared" si="2"/>
        <v>26.761140156981412</v>
      </c>
      <c r="P9" s="52">
        <v>8</v>
      </c>
      <c r="Q9" s="52">
        <v>10</v>
      </c>
      <c r="R9" s="52">
        <v>9</v>
      </c>
      <c r="S9" s="52">
        <v>9</v>
      </c>
      <c r="T9" s="52">
        <v>9</v>
      </c>
      <c r="U9" s="52">
        <v>9</v>
      </c>
      <c r="V9" s="52">
        <v>9</v>
      </c>
      <c r="W9" s="53" t="str">
        <f t="shared" si="6"/>
        <v>Y</v>
      </c>
      <c r="X9" s="103">
        <f t="shared" si="7"/>
        <v>5.600000000000005E-2</v>
      </c>
      <c r="Y9" s="103" t="str">
        <f t="shared" si="8"/>
        <v>5-25%</v>
      </c>
      <c r="Z9" s="8" t="s">
        <v>33</v>
      </c>
    </row>
    <row r="10" spans="1:26" ht="24" customHeight="1" x14ac:dyDescent="0.25">
      <c r="A10" s="10">
        <v>12</v>
      </c>
      <c r="B10" s="9">
        <v>0.1875</v>
      </c>
      <c r="C10" s="5" t="s">
        <v>125</v>
      </c>
      <c r="D10" s="5">
        <f t="shared" si="0"/>
        <v>7</v>
      </c>
      <c r="E10" s="15"/>
      <c r="F10" s="15" t="s">
        <v>24</v>
      </c>
      <c r="G10" s="13">
        <v>7.48</v>
      </c>
      <c r="H10" s="13">
        <v>6.6</v>
      </c>
      <c r="I10" s="13"/>
      <c r="J10" s="13"/>
      <c r="K10" s="13"/>
      <c r="L10" s="13"/>
      <c r="M10" s="13"/>
      <c r="N10" s="51">
        <f t="shared" si="1"/>
        <v>14.08</v>
      </c>
      <c r="O10" s="51">
        <f t="shared" si="2"/>
        <v>11.644108196656488</v>
      </c>
      <c r="P10" s="52">
        <v>8</v>
      </c>
      <c r="Q10" s="52">
        <v>10</v>
      </c>
      <c r="R10" s="52">
        <v>9</v>
      </c>
      <c r="S10" s="52">
        <v>9</v>
      </c>
      <c r="T10" s="52">
        <v>9</v>
      </c>
      <c r="U10" s="52">
        <v>9</v>
      </c>
      <c r="V10" s="52">
        <v>9</v>
      </c>
      <c r="W10" s="53" t="str">
        <f t="shared" si="6"/>
        <v>N</v>
      </c>
      <c r="X10" s="103">
        <f t="shared" si="7"/>
        <v>0</v>
      </c>
      <c r="Y10" s="103" t="str">
        <f t="shared" si="8"/>
        <v>0-4.9%</v>
      </c>
      <c r="Z10" s="8" t="s">
        <v>33</v>
      </c>
    </row>
    <row r="11" spans="1:26" ht="24" customHeight="1" x14ac:dyDescent="0.25">
      <c r="A11" s="10">
        <v>4</v>
      </c>
      <c r="B11" s="9">
        <v>0.4513888888888889</v>
      </c>
      <c r="C11" s="5" t="s">
        <v>154</v>
      </c>
      <c r="D11" s="5">
        <f t="shared" si="0"/>
        <v>7</v>
      </c>
      <c r="E11" s="15"/>
      <c r="F11" s="15" t="s">
        <v>24</v>
      </c>
      <c r="G11" s="13">
        <v>6.6</v>
      </c>
      <c r="H11" s="13">
        <v>6.6</v>
      </c>
      <c r="I11" s="13"/>
      <c r="J11" s="13"/>
      <c r="K11" s="13"/>
      <c r="L11" s="13"/>
      <c r="M11" s="13"/>
      <c r="N11" s="51">
        <f t="shared" si="1"/>
        <v>13.2</v>
      </c>
      <c r="O11" s="51">
        <f t="shared" si="2"/>
        <v>8.7091741735794859</v>
      </c>
      <c r="P11" s="52">
        <v>8</v>
      </c>
      <c r="Q11" s="52">
        <v>10</v>
      </c>
      <c r="R11" s="52">
        <v>9</v>
      </c>
      <c r="S11" s="52">
        <v>9</v>
      </c>
      <c r="T11" s="52">
        <v>9</v>
      </c>
      <c r="U11" s="52">
        <v>9</v>
      </c>
      <c r="V11" s="52">
        <v>9</v>
      </c>
      <c r="W11" s="53" t="str">
        <f t="shared" si="6"/>
        <v>N</v>
      </c>
      <c r="X11" s="103">
        <f t="shared" si="7"/>
        <v>0</v>
      </c>
      <c r="Y11" s="103" t="str">
        <f t="shared" si="8"/>
        <v>0-4.9%</v>
      </c>
      <c r="Z11" s="8" t="s">
        <v>165</v>
      </c>
    </row>
    <row r="12" spans="1:26" ht="24" customHeight="1" x14ac:dyDescent="0.25">
      <c r="A12" s="10">
        <v>7</v>
      </c>
      <c r="B12" s="9">
        <v>4.5138888888888888E-2</v>
      </c>
      <c r="C12" s="5" t="s">
        <v>157</v>
      </c>
      <c r="D12" s="5">
        <f t="shared" si="0"/>
        <v>7</v>
      </c>
      <c r="E12" s="15"/>
      <c r="F12" s="15" t="s">
        <v>24</v>
      </c>
      <c r="G12" s="13">
        <v>2.42</v>
      </c>
      <c r="H12" s="13">
        <v>2.2000000000000002</v>
      </c>
      <c r="I12" s="13"/>
      <c r="J12" s="13"/>
      <c r="K12" s="13"/>
      <c r="L12" s="13"/>
      <c r="M12" s="13"/>
      <c r="N12" s="51">
        <f t="shared" si="1"/>
        <v>4.62</v>
      </c>
      <c r="O12" s="51">
        <f t="shared" si="2"/>
        <v>7.7318456489495244E-2</v>
      </c>
      <c r="P12" s="52">
        <v>8</v>
      </c>
      <c r="Q12" s="52">
        <v>10</v>
      </c>
      <c r="R12" s="52">
        <v>9</v>
      </c>
      <c r="S12" s="52">
        <v>9</v>
      </c>
      <c r="T12" s="52">
        <v>9</v>
      </c>
      <c r="U12" s="52">
        <v>9</v>
      </c>
      <c r="V12" s="52">
        <v>9</v>
      </c>
      <c r="W12" s="53" t="str">
        <f t="shared" si="6"/>
        <v>N</v>
      </c>
      <c r="X12" s="103">
        <f t="shared" si="7"/>
        <v>0</v>
      </c>
      <c r="Y12" s="103" t="str">
        <f t="shared" si="8"/>
        <v>0-4.9%</v>
      </c>
      <c r="Z12" s="8" t="s">
        <v>165</v>
      </c>
    </row>
    <row r="13" spans="1:26" ht="24" customHeight="1" x14ac:dyDescent="0.25">
      <c r="A13" s="10">
        <v>9</v>
      </c>
      <c r="B13" s="9">
        <v>0.12152777777777778</v>
      </c>
      <c r="C13" s="5" t="s">
        <v>159</v>
      </c>
      <c r="D13" s="5">
        <f t="shared" si="0"/>
        <v>7</v>
      </c>
      <c r="E13" s="15"/>
      <c r="F13" s="15" t="s">
        <v>24</v>
      </c>
      <c r="G13" s="13">
        <v>6.38</v>
      </c>
      <c r="H13" s="13">
        <v>4.84</v>
      </c>
      <c r="I13" s="13"/>
      <c r="J13" s="13"/>
      <c r="K13" s="13"/>
      <c r="L13" s="13"/>
      <c r="M13" s="13"/>
      <c r="N13" s="51">
        <f t="shared" si="1"/>
        <v>11.219999999999999</v>
      </c>
      <c r="O13" s="51">
        <f t="shared" si="2"/>
        <v>4.1914292687728754</v>
      </c>
      <c r="P13" s="52">
        <v>8</v>
      </c>
      <c r="Q13" s="52">
        <v>10</v>
      </c>
      <c r="R13" s="52">
        <v>9</v>
      </c>
      <c r="S13" s="52">
        <v>9</v>
      </c>
      <c r="T13" s="52">
        <v>9</v>
      </c>
      <c r="U13" s="52">
        <v>9</v>
      </c>
      <c r="V13" s="52">
        <v>9</v>
      </c>
      <c r="W13" s="53" t="str">
        <f t="shared" si="6"/>
        <v>N</v>
      </c>
      <c r="X13" s="103">
        <f t="shared" si="7"/>
        <v>0</v>
      </c>
      <c r="Y13" s="103" t="str">
        <f t="shared" si="8"/>
        <v>0-4.9%</v>
      </c>
      <c r="Z13" s="8" t="s">
        <v>165</v>
      </c>
    </row>
    <row r="14" spans="1:26" ht="24" customHeight="1" x14ac:dyDescent="0.25">
      <c r="A14" s="10">
        <v>11</v>
      </c>
      <c r="B14" s="9">
        <v>0.17708333333333334</v>
      </c>
      <c r="C14" s="5" t="s">
        <v>161</v>
      </c>
      <c r="D14" s="5">
        <f t="shared" si="0"/>
        <v>7</v>
      </c>
      <c r="E14" s="15"/>
      <c r="F14" s="15" t="s">
        <v>24</v>
      </c>
      <c r="G14" s="13">
        <v>5.28</v>
      </c>
      <c r="H14" s="13">
        <v>7.48</v>
      </c>
      <c r="I14" s="13"/>
      <c r="J14" s="13"/>
      <c r="K14" s="13"/>
      <c r="L14" s="13"/>
      <c r="M14" s="13"/>
      <c r="N14" s="51">
        <f t="shared" si="1"/>
        <v>12.760000000000002</v>
      </c>
      <c r="O14" s="51">
        <f t="shared" si="2"/>
        <v>7.4769128801114721</v>
      </c>
      <c r="P14" s="52">
        <v>8</v>
      </c>
      <c r="Q14" s="52">
        <v>10</v>
      </c>
      <c r="R14" s="52">
        <v>9</v>
      </c>
      <c r="S14" s="52">
        <v>9</v>
      </c>
      <c r="T14" s="52">
        <v>9</v>
      </c>
      <c r="U14" s="52">
        <v>9</v>
      </c>
      <c r="V14" s="52">
        <v>9</v>
      </c>
      <c r="W14" s="53" t="str">
        <f t="shared" si="6"/>
        <v>N</v>
      </c>
      <c r="X14" s="103">
        <f t="shared" si="7"/>
        <v>0</v>
      </c>
      <c r="Y14" s="103" t="str">
        <f t="shared" si="8"/>
        <v>0-4.9%</v>
      </c>
      <c r="Z14" s="8" t="s">
        <v>165</v>
      </c>
    </row>
    <row r="15" spans="1:26" ht="24" customHeight="1" x14ac:dyDescent="0.25">
      <c r="A15" s="10">
        <v>13</v>
      </c>
      <c r="B15" s="9">
        <v>0.20972222222222223</v>
      </c>
      <c r="C15" s="5" t="s">
        <v>21</v>
      </c>
      <c r="D15" s="5">
        <f t="shared" si="0"/>
        <v>7</v>
      </c>
      <c r="E15" s="15"/>
      <c r="F15" s="15" t="s">
        <v>24</v>
      </c>
      <c r="G15" s="13">
        <v>2.64</v>
      </c>
      <c r="H15" s="13">
        <v>3.3</v>
      </c>
      <c r="I15" s="13"/>
      <c r="J15" s="13"/>
      <c r="K15" s="13"/>
      <c r="L15" s="13"/>
      <c r="M15" s="13"/>
      <c r="N15" s="51">
        <f t="shared" si="1"/>
        <v>5.9399999999999995</v>
      </c>
      <c r="O15" s="51">
        <f t="shared" si="2"/>
        <v>0.23957047172688925</v>
      </c>
      <c r="P15" s="52">
        <v>8</v>
      </c>
      <c r="Q15" s="52">
        <v>10</v>
      </c>
      <c r="R15" s="52">
        <v>9</v>
      </c>
      <c r="S15" s="52">
        <v>9</v>
      </c>
      <c r="T15" s="52">
        <v>9</v>
      </c>
      <c r="U15" s="52">
        <v>9</v>
      </c>
      <c r="V15" s="52">
        <v>9</v>
      </c>
      <c r="W15" s="53" t="str">
        <f t="shared" si="6"/>
        <v>N</v>
      </c>
      <c r="X15" s="103">
        <f t="shared" si="7"/>
        <v>0</v>
      </c>
      <c r="Y15" s="103" t="str">
        <f t="shared" si="8"/>
        <v>0-4.9%</v>
      </c>
      <c r="Z15" s="8" t="s">
        <v>165</v>
      </c>
    </row>
    <row r="16" spans="1:26" ht="24" customHeight="1" x14ac:dyDescent="0.25">
      <c r="A16" s="10">
        <v>16</v>
      </c>
      <c r="B16" s="9">
        <v>0.25347222222222221</v>
      </c>
      <c r="C16" s="5" t="s">
        <v>164</v>
      </c>
      <c r="D16" s="5">
        <f t="shared" si="0"/>
        <v>7</v>
      </c>
      <c r="E16" s="15"/>
      <c r="F16" s="15" t="s">
        <v>24</v>
      </c>
      <c r="G16" s="13">
        <v>5.5</v>
      </c>
      <c r="H16" s="13">
        <v>8.5</v>
      </c>
      <c r="I16" s="13"/>
      <c r="J16" s="13"/>
      <c r="K16" s="13"/>
      <c r="L16" s="13"/>
      <c r="M16" s="13"/>
      <c r="N16" s="51">
        <f t="shared" si="1"/>
        <v>14</v>
      </c>
      <c r="O16" s="51">
        <f t="shared" si="2"/>
        <v>11.349335805508078</v>
      </c>
      <c r="P16" s="52">
        <v>8</v>
      </c>
      <c r="Q16" s="52">
        <v>10</v>
      </c>
      <c r="R16" s="52">
        <v>9</v>
      </c>
      <c r="S16" s="52">
        <v>9</v>
      </c>
      <c r="T16" s="52">
        <v>9</v>
      </c>
      <c r="U16" s="52">
        <v>9</v>
      </c>
      <c r="V16" s="52">
        <v>9</v>
      </c>
      <c r="W16" s="53" t="str">
        <f t="shared" si="6"/>
        <v>N</v>
      </c>
      <c r="X16" s="103">
        <f t="shared" si="7"/>
        <v>0</v>
      </c>
      <c r="Y16" s="103" t="str">
        <f t="shared" si="8"/>
        <v>0-4.9%</v>
      </c>
      <c r="Z16" s="8" t="s">
        <v>227</v>
      </c>
    </row>
    <row r="17" spans="1:26" s="46" customFormat="1" ht="24" customHeight="1" x14ac:dyDescent="0.25">
      <c r="A17" s="66">
        <v>11</v>
      </c>
      <c r="B17" s="40">
        <v>0.16250000000000001</v>
      </c>
      <c r="C17" s="41" t="s">
        <v>124</v>
      </c>
      <c r="D17" s="41">
        <f t="shared" si="0"/>
        <v>9</v>
      </c>
      <c r="E17" s="42"/>
      <c r="F17" s="42" t="s">
        <v>30</v>
      </c>
      <c r="G17" s="43">
        <v>7.48</v>
      </c>
      <c r="H17" s="43">
        <v>4.84</v>
      </c>
      <c r="I17" s="43">
        <v>4.18</v>
      </c>
      <c r="J17" s="43"/>
      <c r="K17" s="43"/>
      <c r="L17" s="43"/>
      <c r="M17" s="43"/>
      <c r="N17" s="67">
        <f t="shared" si="1"/>
        <v>16.5</v>
      </c>
      <c r="O17" s="67">
        <f t="shared" si="2"/>
        <v>23.77234555665196</v>
      </c>
      <c r="P17" s="52">
        <v>8</v>
      </c>
      <c r="Q17" s="52">
        <v>10</v>
      </c>
      <c r="R17" s="52">
        <v>9</v>
      </c>
      <c r="S17" s="52">
        <v>9</v>
      </c>
      <c r="T17" s="52">
        <v>9</v>
      </c>
      <c r="U17" s="52">
        <v>9</v>
      </c>
      <c r="V17" s="52">
        <v>9</v>
      </c>
      <c r="W17" s="53" t="str">
        <f t="shared" si="6"/>
        <v>N</v>
      </c>
      <c r="X17" s="103">
        <f t="shared" si="7"/>
        <v>0</v>
      </c>
      <c r="Y17" s="103" t="str">
        <f t="shared" si="8"/>
        <v>0-4.9%</v>
      </c>
      <c r="Z17" s="68" t="s">
        <v>33</v>
      </c>
    </row>
    <row r="18" spans="1:26" s="46" customFormat="1" ht="24" customHeight="1" x14ac:dyDescent="0.25">
      <c r="A18" s="66">
        <v>12</v>
      </c>
      <c r="B18" s="40">
        <v>0.20625000000000002</v>
      </c>
      <c r="C18" s="41" t="s">
        <v>20</v>
      </c>
      <c r="D18" s="41">
        <f t="shared" si="0"/>
        <v>9</v>
      </c>
      <c r="E18" s="42"/>
      <c r="F18" s="42" t="s">
        <v>25</v>
      </c>
      <c r="G18" s="43">
        <v>2.42</v>
      </c>
      <c r="H18" s="43">
        <v>2.42</v>
      </c>
      <c r="I18" s="43">
        <v>0.44</v>
      </c>
      <c r="J18" s="43"/>
      <c r="K18" s="43"/>
      <c r="L18" s="43"/>
      <c r="M18" s="43"/>
      <c r="N18" s="67">
        <f t="shared" si="1"/>
        <v>5.28</v>
      </c>
      <c r="O18" s="67">
        <f t="shared" si="2"/>
        <v>0.14100903386944427</v>
      </c>
      <c r="P18" s="52">
        <v>8</v>
      </c>
      <c r="Q18" s="52">
        <v>10</v>
      </c>
      <c r="R18" s="52">
        <v>9</v>
      </c>
      <c r="S18" s="52">
        <v>9</v>
      </c>
      <c r="T18" s="52">
        <v>9</v>
      </c>
      <c r="U18" s="52">
        <v>9</v>
      </c>
      <c r="V18" s="52">
        <v>9</v>
      </c>
      <c r="W18" s="53" t="str">
        <f t="shared" si="6"/>
        <v>N</v>
      </c>
      <c r="X18" s="103">
        <f t="shared" si="7"/>
        <v>0</v>
      </c>
      <c r="Y18" s="103" t="str">
        <f t="shared" si="8"/>
        <v>0-4.9%</v>
      </c>
      <c r="Z18" s="68" t="s">
        <v>165</v>
      </c>
    </row>
    <row r="19" spans="1:26" ht="24" customHeight="1" x14ac:dyDescent="0.25">
      <c r="A19" s="10">
        <v>1</v>
      </c>
      <c r="B19" s="56">
        <v>0.26250000000000001</v>
      </c>
      <c r="C19" s="32" t="s">
        <v>83</v>
      </c>
      <c r="D19" s="5">
        <f t="shared" si="0"/>
        <v>10</v>
      </c>
      <c r="E19" s="15"/>
      <c r="F19" s="32" t="s">
        <v>31</v>
      </c>
      <c r="G19" s="32">
        <v>4.4000000000000004</v>
      </c>
      <c r="H19" s="32">
        <v>1.98</v>
      </c>
      <c r="I19" s="32">
        <v>2.64</v>
      </c>
      <c r="J19" s="32">
        <v>2.64</v>
      </c>
      <c r="K19" s="32">
        <v>2.42</v>
      </c>
      <c r="L19" s="32">
        <v>3.08</v>
      </c>
      <c r="M19" s="32"/>
      <c r="N19" s="51">
        <f t="shared" si="1"/>
        <v>17.160000000000004</v>
      </c>
      <c r="O19" s="51">
        <f t="shared" si="2"/>
        <v>28.361034058857101</v>
      </c>
      <c r="P19" s="52">
        <v>8</v>
      </c>
      <c r="Q19" s="52">
        <v>10</v>
      </c>
      <c r="R19" s="52">
        <v>9</v>
      </c>
      <c r="S19" s="52">
        <v>9</v>
      </c>
      <c r="T19" s="52">
        <v>9</v>
      </c>
      <c r="U19" s="52">
        <v>9</v>
      </c>
      <c r="V19" s="52">
        <v>9</v>
      </c>
      <c r="W19" s="53" t="str">
        <f t="shared" si="6"/>
        <v>N</v>
      </c>
      <c r="X19" s="103">
        <f t="shared" si="7"/>
        <v>0</v>
      </c>
      <c r="Y19" s="103" t="str">
        <f t="shared" si="8"/>
        <v>0-4.9%</v>
      </c>
      <c r="Z19" s="8" t="s">
        <v>165</v>
      </c>
    </row>
    <row r="20" spans="1:26" ht="24" customHeight="1" x14ac:dyDescent="0.25">
      <c r="A20" s="10">
        <v>2</v>
      </c>
      <c r="B20" s="56">
        <v>0.2673611111111111</v>
      </c>
      <c r="C20" s="32" t="s">
        <v>84</v>
      </c>
      <c r="D20" s="5">
        <f t="shared" si="0"/>
        <v>10</v>
      </c>
      <c r="E20" s="15"/>
      <c r="F20" s="32" t="s">
        <v>31</v>
      </c>
      <c r="G20" s="32">
        <v>5.0599999999999996</v>
      </c>
      <c r="H20" s="32">
        <v>2.2000000000000002</v>
      </c>
      <c r="I20" s="32">
        <v>2.86</v>
      </c>
      <c r="J20" s="32">
        <v>2.86</v>
      </c>
      <c r="K20" s="32">
        <v>2.64</v>
      </c>
      <c r="L20" s="32">
        <v>2.42</v>
      </c>
      <c r="M20" s="32"/>
      <c r="N20" s="51">
        <f t="shared" si="1"/>
        <v>18.04</v>
      </c>
      <c r="O20" s="51">
        <f t="shared" si="2"/>
        <v>35.518832737464919</v>
      </c>
      <c r="P20" s="52">
        <v>8</v>
      </c>
      <c r="Q20" s="52">
        <v>10</v>
      </c>
      <c r="R20" s="52">
        <v>9</v>
      </c>
      <c r="S20" s="52">
        <v>9</v>
      </c>
      <c r="T20" s="52">
        <v>9</v>
      </c>
      <c r="U20" s="52">
        <v>9</v>
      </c>
      <c r="V20" s="52">
        <v>9</v>
      </c>
      <c r="W20" s="53" t="str">
        <f t="shared" si="6"/>
        <v>N</v>
      </c>
      <c r="X20" s="103">
        <f t="shared" si="7"/>
        <v>0</v>
      </c>
      <c r="Y20" s="103" t="str">
        <f t="shared" si="8"/>
        <v>0-4.9%</v>
      </c>
      <c r="Z20" s="8" t="s">
        <v>165</v>
      </c>
    </row>
    <row r="21" spans="1:26" ht="24" customHeight="1" x14ac:dyDescent="0.25">
      <c r="A21" s="10">
        <v>3</v>
      </c>
      <c r="B21" s="56">
        <v>0.26944444444444443</v>
      </c>
      <c r="C21" s="32" t="s">
        <v>85</v>
      </c>
      <c r="D21" s="5">
        <f t="shared" si="0"/>
        <v>10</v>
      </c>
      <c r="E21" s="15"/>
      <c r="F21" s="32" t="s">
        <v>86</v>
      </c>
      <c r="G21" s="32">
        <v>6.82</v>
      </c>
      <c r="H21" s="32">
        <v>5.72</v>
      </c>
      <c r="I21" s="32">
        <v>11.6</v>
      </c>
      <c r="J21" s="32">
        <v>6.16</v>
      </c>
      <c r="K21" s="32"/>
      <c r="L21" s="32"/>
      <c r="M21" s="32"/>
      <c r="N21" s="51">
        <f t="shared" si="1"/>
        <v>30.3</v>
      </c>
      <c r="O21" s="51">
        <f t="shared" si="2"/>
        <v>366.34149540103255</v>
      </c>
      <c r="P21" s="52">
        <v>8</v>
      </c>
      <c r="Q21" s="52">
        <v>10</v>
      </c>
      <c r="R21" s="52">
        <v>9</v>
      </c>
      <c r="S21" s="52">
        <v>9</v>
      </c>
      <c r="T21" s="52">
        <v>9</v>
      </c>
      <c r="U21" s="52">
        <v>9</v>
      </c>
      <c r="V21" s="52">
        <v>9</v>
      </c>
      <c r="W21" s="53" t="str">
        <f t="shared" si="6"/>
        <v>Y</v>
      </c>
      <c r="X21" s="103">
        <f t="shared" si="7"/>
        <v>0.25999999999999995</v>
      </c>
      <c r="Y21" s="103" t="str">
        <f t="shared" si="8"/>
        <v>25-50%</v>
      </c>
      <c r="Z21" s="8" t="s">
        <v>165</v>
      </c>
    </row>
    <row r="22" spans="1:26" ht="24" customHeight="1" x14ac:dyDescent="0.25">
      <c r="A22" s="10">
        <v>2</v>
      </c>
      <c r="B22" s="9">
        <v>0.38541666666666669</v>
      </c>
      <c r="C22" s="5" t="s">
        <v>115</v>
      </c>
      <c r="D22" s="5">
        <f t="shared" si="0"/>
        <v>10</v>
      </c>
      <c r="E22" s="15"/>
      <c r="F22" s="15" t="s">
        <v>26</v>
      </c>
      <c r="G22" s="13">
        <v>6.16</v>
      </c>
      <c r="H22" s="13">
        <v>8.58</v>
      </c>
      <c r="I22" s="13">
        <v>5.94</v>
      </c>
      <c r="J22" s="13">
        <v>7.7</v>
      </c>
      <c r="K22" s="13">
        <v>7.04</v>
      </c>
      <c r="L22" s="13">
        <v>6.16</v>
      </c>
      <c r="M22" s="13"/>
      <c r="N22" s="51">
        <f t="shared" si="1"/>
        <v>41.58</v>
      </c>
      <c r="O22" s="51">
        <f t="shared" si="2"/>
        <v>1521.8591790827356</v>
      </c>
      <c r="P22" s="52">
        <v>8</v>
      </c>
      <c r="Q22" s="52">
        <v>10</v>
      </c>
      <c r="R22" s="52">
        <v>9</v>
      </c>
      <c r="S22" s="52">
        <v>9</v>
      </c>
      <c r="T22" s="52">
        <v>9</v>
      </c>
      <c r="U22" s="52">
        <v>9</v>
      </c>
      <c r="V22" s="52">
        <v>9</v>
      </c>
      <c r="W22" s="53" t="str">
        <f t="shared" si="6"/>
        <v>N</v>
      </c>
      <c r="X22" s="103">
        <f t="shared" si="7"/>
        <v>0</v>
      </c>
      <c r="Y22" s="103" t="str">
        <f t="shared" si="8"/>
        <v>0-4.9%</v>
      </c>
      <c r="Z22" s="8" t="s">
        <v>165</v>
      </c>
    </row>
    <row r="23" spans="1:26" ht="24" customHeight="1" x14ac:dyDescent="0.25">
      <c r="A23" s="10">
        <v>3</v>
      </c>
      <c r="B23" s="9">
        <v>0.38750000000000001</v>
      </c>
      <c r="C23" s="5" t="s">
        <v>116</v>
      </c>
      <c r="D23" s="5">
        <f t="shared" si="0"/>
        <v>10</v>
      </c>
      <c r="E23" s="15"/>
      <c r="F23" s="15" t="s">
        <v>27</v>
      </c>
      <c r="G23" s="13">
        <v>2.86</v>
      </c>
      <c r="H23" s="13">
        <v>2.86</v>
      </c>
      <c r="I23" s="13">
        <v>3.3</v>
      </c>
      <c r="J23" s="13">
        <v>2.42</v>
      </c>
      <c r="K23" s="13">
        <v>2.2000000000000002</v>
      </c>
      <c r="L23" s="13"/>
      <c r="M23" s="13"/>
      <c r="N23" s="51">
        <f t="shared" si="1"/>
        <v>13.64</v>
      </c>
      <c r="O23" s="51">
        <f t="shared" si="2"/>
        <v>10.093898934924296</v>
      </c>
      <c r="P23" s="52">
        <v>8</v>
      </c>
      <c r="Q23" s="52">
        <v>10</v>
      </c>
      <c r="R23" s="52">
        <v>9</v>
      </c>
      <c r="S23" s="52">
        <v>9</v>
      </c>
      <c r="T23" s="52">
        <v>9</v>
      </c>
      <c r="U23" s="52">
        <v>9</v>
      </c>
      <c r="V23" s="52">
        <v>9</v>
      </c>
      <c r="W23" s="53" t="str">
        <f t="shared" si="6"/>
        <v>N</v>
      </c>
      <c r="X23" s="103">
        <f t="shared" si="7"/>
        <v>0</v>
      </c>
      <c r="Y23" s="103" t="str">
        <f t="shared" si="8"/>
        <v>0-4.9%</v>
      </c>
      <c r="Z23" s="8" t="s">
        <v>165</v>
      </c>
    </row>
    <row r="24" spans="1:26" ht="24" customHeight="1" x14ac:dyDescent="0.25">
      <c r="A24" s="10">
        <v>4</v>
      </c>
      <c r="B24" s="9">
        <v>0.4777777777777778</v>
      </c>
      <c r="C24" s="5" t="s">
        <v>117</v>
      </c>
      <c r="D24" s="5">
        <f t="shared" si="0"/>
        <v>10</v>
      </c>
      <c r="E24" s="15"/>
      <c r="F24" s="15" t="s">
        <v>26</v>
      </c>
      <c r="G24" s="13">
        <v>6.16</v>
      </c>
      <c r="H24" s="13">
        <v>7.7</v>
      </c>
      <c r="I24" s="13">
        <v>6.16</v>
      </c>
      <c r="J24" s="13">
        <v>8.36</v>
      </c>
      <c r="K24" s="13">
        <v>7.26</v>
      </c>
      <c r="L24" s="13">
        <v>7.26</v>
      </c>
      <c r="M24" s="13"/>
      <c r="N24" s="51">
        <f t="shared" si="1"/>
        <v>42.9</v>
      </c>
      <c r="O24" s="51">
        <f t="shared" si="2"/>
        <v>1751.6692270234023</v>
      </c>
      <c r="P24" s="52">
        <v>8</v>
      </c>
      <c r="Q24" s="52">
        <v>10</v>
      </c>
      <c r="R24" s="52">
        <v>9</v>
      </c>
      <c r="S24" s="52">
        <v>9</v>
      </c>
      <c r="T24" s="52">
        <v>9</v>
      </c>
      <c r="U24" s="52">
        <v>9</v>
      </c>
      <c r="V24" s="52">
        <v>9</v>
      </c>
      <c r="W24" s="53" t="str">
        <f t="shared" si="6"/>
        <v>N</v>
      </c>
      <c r="X24" s="103">
        <f t="shared" si="7"/>
        <v>0</v>
      </c>
      <c r="Y24" s="103" t="str">
        <f t="shared" si="8"/>
        <v>0-4.9%</v>
      </c>
      <c r="Z24" s="8" t="s">
        <v>165</v>
      </c>
    </row>
    <row r="25" spans="1:26" ht="24" customHeight="1" x14ac:dyDescent="0.25">
      <c r="A25" s="10">
        <v>5</v>
      </c>
      <c r="B25" s="9">
        <v>0.4826388888888889</v>
      </c>
      <c r="C25" s="5" t="s">
        <v>118</v>
      </c>
      <c r="D25" s="5">
        <f t="shared" si="0"/>
        <v>10</v>
      </c>
      <c r="E25" s="15"/>
      <c r="F25" s="15" t="s">
        <v>31</v>
      </c>
      <c r="G25" s="13">
        <v>5.28</v>
      </c>
      <c r="H25" s="13">
        <v>2.64</v>
      </c>
      <c r="I25" s="13">
        <v>2.64</v>
      </c>
      <c r="J25" s="13">
        <v>2.86</v>
      </c>
      <c r="K25" s="13">
        <v>3.08</v>
      </c>
      <c r="L25" s="13">
        <v>3.08</v>
      </c>
      <c r="M25" s="13"/>
      <c r="N25" s="51">
        <f t="shared" si="1"/>
        <v>19.579999999999998</v>
      </c>
      <c r="O25" s="51">
        <f t="shared" si="2"/>
        <v>51.351292505728225</v>
      </c>
      <c r="P25" s="52">
        <v>8</v>
      </c>
      <c r="Q25" s="52">
        <v>10</v>
      </c>
      <c r="R25" s="52">
        <v>9</v>
      </c>
      <c r="S25" s="52">
        <v>9</v>
      </c>
      <c r="T25" s="52">
        <v>9</v>
      </c>
      <c r="U25" s="52">
        <v>9</v>
      </c>
      <c r="V25" s="52">
        <v>9</v>
      </c>
      <c r="W25" s="53" t="str">
        <f t="shared" si="6"/>
        <v>N</v>
      </c>
      <c r="X25" s="103">
        <f t="shared" si="7"/>
        <v>0</v>
      </c>
      <c r="Y25" s="103" t="str">
        <f t="shared" si="8"/>
        <v>0-4.9%</v>
      </c>
      <c r="Z25" s="8" t="s">
        <v>165</v>
      </c>
    </row>
    <row r="26" spans="1:26" ht="24" customHeight="1" x14ac:dyDescent="0.25">
      <c r="A26" s="10">
        <v>6</v>
      </c>
      <c r="B26" s="9">
        <v>0.48819444444444443</v>
      </c>
      <c r="C26" s="5" t="s">
        <v>119</v>
      </c>
      <c r="D26" s="5">
        <f t="shared" si="0"/>
        <v>10</v>
      </c>
      <c r="E26" s="15"/>
      <c r="F26" s="15" t="s">
        <v>31</v>
      </c>
      <c r="G26" s="13">
        <v>4.4000000000000004</v>
      </c>
      <c r="H26" s="13">
        <v>2.64</v>
      </c>
      <c r="I26" s="13">
        <v>2.42</v>
      </c>
      <c r="J26" s="13">
        <v>3.3</v>
      </c>
      <c r="K26" s="13">
        <v>2.64</v>
      </c>
      <c r="L26" s="13">
        <v>2.86</v>
      </c>
      <c r="M26" s="13"/>
      <c r="N26" s="51">
        <f t="shared" si="1"/>
        <v>18.260000000000002</v>
      </c>
      <c r="O26" s="51">
        <f t="shared" si="2"/>
        <v>37.510060532367781</v>
      </c>
      <c r="P26" s="52">
        <v>8</v>
      </c>
      <c r="Q26" s="52">
        <v>10</v>
      </c>
      <c r="R26" s="52">
        <v>9</v>
      </c>
      <c r="S26" s="52">
        <v>9</v>
      </c>
      <c r="T26" s="52">
        <v>9</v>
      </c>
      <c r="U26" s="52">
        <v>9</v>
      </c>
      <c r="V26" s="52">
        <v>9</v>
      </c>
      <c r="W26" s="53" t="str">
        <f t="shared" si="6"/>
        <v>N</v>
      </c>
      <c r="X26" s="103">
        <f t="shared" si="7"/>
        <v>0</v>
      </c>
      <c r="Y26" s="103" t="str">
        <f t="shared" si="8"/>
        <v>0-4.9%</v>
      </c>
      <c r="Z26" s="8" t="s">
        <v>165</v>
      </c>
    </row>
    <row r="27" spans="1:26" ht="24" customHeight="1" x14ac:dyDescent="0.25">
      <c r="A27" s="10">
        <v>7</v>
      </c>
      <c r="B27" s="9">
        <v>0.50555555555555554</v>
      </c>
      <c r="C27" s="5" t="s">
        <v>120</v>
      </c>
      <c r="D27" s="5">
        <f t="shared" si="0"/>
        <v>10</v>
      </c>
      <c r="E27" s="15"/>
      <c r="F27" s="15" t="s">
        <v>112</v>
      </c>
      <c r="G27" s="13">
        <v>4.62</v>
      </c>
      <c r="H27" s="13">
        <v>3.52</v>
      </c>
      <c r="I27" s="13">
        <v>2.64</v>
      </c>
      <c r="J27" s="13">
        <v>1.54</v>
      </c>
      <c r="K27" s="13">
        <v>2.64</v>
      </c>
      <c r="L27" s="13">
        <v>1.54</v>
      </c>
      <c r="M27" s="13">
        <v>2.42</v>
      </c>
      <c r="N27" s="51">
        <f t="shared" si="1"/>
        <v>18.920000000000002</v>
      </c>
      <c r="O27" s="51">
        <f t="shared" si="2"/>
        <v>44.008785124755143</v>
      </c>
      <c r="P27" s="52">
        <v>8</v>
      </c>
      <c r="Q27" s="52">
        <v>10</v>
      </c>
      <c r="R27" s="52">
        <v>9</v>
      </c>
      <c r="S27" s="52">
        <v>9</v>
      </c>
      <c r="T27" s="52">
        <v>9</v>
      </c>
      <c r="U27" s="52">
        <v>9</v>
      </c>
      <c r="V27" s="52">
        <v>9</v>
      </c>
      <c r="W27" s="53" t="str">
        <f t="shared" si="6"/>
        <v>N</v>
      </c>
      <c r="X27" s="103">
        <f t="shared" si="7"/>
        <v>0</v>
      </c>
      <c r="Y27" s="103" t="str">
        <f t="shared" si="8"/>
        <v>0-4.9%</v>
      </c>
      <c r="Z27" s="8" t="s">
        <v>165</v>
      </c>
    </row>
    <row r="28" spans="1:26" ht="24" customHeight="1" x14ac:dyDescent="0.25">
      <c r="A28" s="10">
        <v>8</v>
      </c>
      <c r="B28" s="9">
        <v>4.3055555555555562E-2</v>
      </c>
      <c r="C28" s="5" t="s">
        <v>121</v>
      </c>
      <c r="D28" s="5">
        <f t="shared" si="0"/>
        <v>10</v>
      </c>
      <c r="E28" s="15"/>
      <c r="F28" s="15" t="s">
        <v>31</v>
      </c>
      <c r="G28" s="13">
        <v>5.0599999999999996</v>
      </c>
      <c r="H28" s="13">
        <v>2.2000000000000002</v>
      </c>
      <c r="I28" s="13">
        <v>1.98</v>
      </c>
      <c r="J28" s="13">
        <v>2.64</v>
      </c>
      <c r="K28" s="13">
        <v>2.86</v>
      </c>
      <c r="L28" s="13">
        <v>2.2000000000000002</v>
      </c>
      <c r="M28" s="13"/>
      <c r="N28" s="51">
        <f t="shared" si="1"/>
        <v>16.940000000000001</v>
      </c>
      <c r="O28" s="51">
        <f t="shared" si="2"/>
        <v>26.761140156981412</v>
      </c>
      <c r="P28" s="52">
        <v>8</v>
      </c>
      <c r="Q28" s="52">
        <v>10</v>
      </c>
      <c r="R28" s="52">
        <v>9</v>
      </c>
      <c r="S28" s="52">
        <v>9</v>
      </c>
      <c r="T28" s="52">
        <v>9</v>
      </c>
      <c r="U28" s="52">
        <v>9</v>
      </c>
      <c r="V28" s="52">
        <v>9</v>
      </c>
      <c r="W28" s="53" t="str">
        <f t="shared" si="6"/>
        <v>N</v>
      </c>
      <c r="X28" s="103">
        <f t="shared" si="7"/>
        <v>0</v>
      </c>
      <c r="Y28" s="103" t="str">
        <f t="shared" si="8"/>
        <v>0-4.9%</v>
      </c>
      <c r="Z28" s="8" t="s">
        <v>165</v>
      </c>
    </row>
    <row r="29" spans="1:26" s="46" customFormat="1" ht="24" customHeight="1" x14ac:dyDescent="0.25">
      <c r="A29" s="10">
        <v>1</v>
      </c>
      <c r="B29" s="9">
        <v>0.4152777777777778</v>
      </c>
      <c r="C29" s="5" t="s">
        <v>151</v>
      </c>
      <c r="D29" s="5">
        <f t="shared" si="0"/>
        <v>10</v>
      </c>
      <c r="E29" s="15"/>
      <c r="F29" s="15" t="s">
        <v>31</v>
      </c>
      <c r="G29" s="13">
        <v>5.72</v>
      </c>
      <c r="H29" s="13">
        <v>5.53</v>
      </c>
      <c r="I29" s="13">
        <v>2.86</v>
      </c>
      <c r="J29" s="13">
        <v>2.42</v>
      </c>
      <c r="K29" s="13">
        <v>2.86</v>
      </c>
      <c r="L29" s="13">
        <v>2.42</v>
      </c>
      <c r="M29" s="13"/>
      <c r="N29" s="51">
        <f t="shared" si="1"/>
        <v>21.810000000000002</v>
      </c>
      <c r="O29" s="51">
        <f t="shared" si="2"/>
        <v>83.43432959996386</v>
      </c>
      <c r="P29" s="52">
        <v>8</v>
      </c>
      <c r="Q29" s="52">
        <v>10</v>
      </c>
      <c r="R29" s="52">
        <v>9</v>
      </c>
      <c r="S29" s="52">
        <v>9</v>
      </c>
      <c r="T29" s="52">
        <v>9</v>
      </c>
      <c r="U29" s="52">
        <v>9</v>
      </c>
      <c r="V29" s="52">
        <v>9</v>
      </c>
      <c r="W29" s="53" t="str">
        <f t="shared" si="6"/>
        <v>N</v>
      </c>
      <c r="X29" s="103">
        <f t="shared" si="7"/>
        <v>0</v>
      </c>
      <c r="Y29" s="103" t="str">
        <f t="shared" si="8"/>
        <v>0-4.9%</v>
      </c>
      <c r="Z29" s="8" t="s">
        <v>165</v>
      </c>
    </row>
    <row r="30" spans="1:26" ht="24" customHeight="1" x14ac:dyDescent="0.25">
      <c r="A30" s="10">
        <v>2</v>
      </c>
      <c r="B30" s="9">
        <v>0.42708333333333331</v>
      </c>
      <c r="C30" s="5" t="s">
        <v>152</v>
      </c>
      <c r="D30" s="5">
        <f t="shared" si="0"/>
        <v>10</v>
      </c>
      <c r="E30" s="15"/>
      <c r="F30" s="15" t="s">
        <v>31</v>
      </c>
      <c r="G30" s="13">
        <v>4.62</v>
      </c>
      <c r="H30" s="13">
        <v>5.0599999999999996</v>
      </c>
      <c r="I30" s="13">
        <v>1.98</v>
      </c>
      <c r="J30" s="13">
        <v>6.38</v>
      </c>
      <c r="K30" s="13">
        <v>5.5</v>
      </c>
      <c r="L30" s="13">
        <v>3.96</v>
      </c>
      <c r="M30" s="13"/>
      <c r="N30" s="51">
        <f t="shared" si="1"/>
        <v>27.5</v>
      </c>
      <c r="O30" s="51">
        <f t="shared" si="2"/>
        <v>236.80529434465282</v>
      </c>
      <c r="P30" s="52">
        <v>8</v>
      </c>
      <c r="Q30" s="52">
        <v>10</v>
      </c>
      <c r="R30" s="52">
        <v>9</v>
      </c>
      <c r="S30" s="52">
        <v>9</v>
      </c>
      <c r="T30" s="52">
        <v>9</v>
      </c>
      <c r="U30" s="52">
        <v>9</v>
      </c>
      <c r="V30" s="52">
        <v>9</v>
      </c>
      <c r="W30" s="53" t="str">
        <f t="shared" si="6"/>
        <v>N</v>
      </c>
      <c r="X30" s="103">
        <f t="shared" si="7"/>
        <v>0</v>
      </c>
      <c r="Y30" s="103" t="str">
        <f t="shared" si="8"/>
        <v>0-4.9%</v>
      </c>
      <c r="Z30" s="8" t="s">
        <v>165</v>
      </c>
    </row>
    <row r="31" spans="1:26" ht="24" customHeight="1" x14ac:dyDescent="0.25">
      <c r="A31" s="10">
        <v>3</v>
      </c>
      <c r="B31" s="9">
        <v>0.43958333333333338</v>
      </c>
      <c r="C31" s="5" t="s">
        <v>153</v>
      </c>
      <c r="D31" s="5">
        <f t="shared" si="0"/>
        <v>10</v>
      </c>
      <c r="E31" s="15"/>
      <c r="F31" s="15" t="s">
        <v>31</v>
      </c>
      <c r="G31" s="13">
        <v>5.5</v>
      </c>
      <c r="H31" s="13">
        <v>2.42</v>
      </c>
      <c r="I31" s="13">
        <v>2.42</v>
      </c>
      <c r="J31" s="13">
        <v>2.2000000000000002</v>
      </c>
      <c r="K31" s="13">
        <v>2.2000000000000002</v>
      </c>
      <c r="L31" s="13">
        <v>2.2000000000000002</v>
      </c>
      <c r="M31" s="13"/>
      <c r="N31" s="51">
        <f t="shared" si="1"/>
        <v>16.939999999999998</v>
      </c>
      <c r="O31" s="51">
        <f t="shared" si="2"/>
        <v>26.761140156981387</v>
      </c>
      <c r="P31" s="52">
        <v>8</v>
      </c>
      <c r="Q31" s="52">
        <v>10</v>
      </c>
      <c r="R31" s="52">
        <v>9</v>
      </c>
      <c r="S31" s="52">
        <v>9</v>
      </c>
      <c r="T31" s="52">
        <v>9</v>
      </c>
      <c r="U31" s="52">
        <v>9</v>
      </c>
      <c r="V31" s="52">
        <v>9</v>
      </c>
      <c r="W31" s="53" t="str">
        <f t="shared" si="6"/>
        <v>N</v>
      </c>
      <c r="X31" s="103">
        <f t="shared" si="7"/>
        <v>0</v>
      </c>
      <c r="Y31" s="103" t="str">
        <f t="shared" si="8"/>
        <v>0-4.9%</v>
      </c>
      <c r="Z31" s="8" t="s">
        <v>165</v>
      </c>
    </row>
    <row r="32" spans="1:26" ht="24" customHeight="1" x14ac:dyDescent="0.25">
      <c r="A32" s="10">
        <v>5</v>
      </c>
      <c r="B32" s="9">
        <v>0.49305555555555558</v>
      </c>
      <c r="C32" s="5" t="s">
        <v>155</v>
      </c>
      <c r="D32" s="5">
        <f t="shared" si="0"/>
        <v>10</v>
      </c>
      <c r="E32" s="15"/>
      <c r="F32" s="15" t="s">
        <v>29</v>
      </c>
      <c r="G32" s="13">
        <v>3.3</v>
      </c>
      <c r="H32" s="13">
        <v>2.64</v>
      </c>
      <c r="I32" s="13">
        <v>4.84</v>
      </c>
      <c r="J32" s="13">
        <v>3.08</v>
      </c>
      <c r="K32" s="13"/>
      <c r="L32" s="13"/>
      <c r="M32" s="13"/>
      <c r="N32" s="51">
        <f t="shared" si="1"/>
        <v>13.86</v>
      </c>
      <c r="O32" s="51">
        <f t="shared" si="2"/>
        <v>10.847479095211362</v>
      </c>
      <c r="P32" s="52">
        <v>8</v>
      </c>
      <c r="Q32" s="52">
        <v>10</v>
      </c>
      <c r="R32" s="52">
        <v>9</v>
      </c>
      <c r="S32" s="52">
        <v>9</v>
      </c>
      <c r="T32" s="52">
        <v>9</v>
      </c>
      <c r="U32" s="52">
        <v>9</v>
      </c>
      <c r="V32" s="52">
        <v>9</v>
      </c>
      <c r="W32" s="53" t="str">
        <f t="shared" si="6"/>
        <v>N</v>
      </c>
      <c r="X32" s="103">
        <f t="shared" si="7"/>
        <v>0</v>
      </c>
      <c r="Y32" s="103" t="str">
        <f t="shared" si="8"/>
        <v>0-4.9%</v>
      </c>
      <c r="Z32" s="8" t="s">
        <v>165</v>
      </c>
    </row>
    <row r="33" spans="1:26" ht="24" customHeight="1" x14ac:dyDescent="0.25">
      <c r="A33" s="10">
        <v>6</v>
      </c>
      <c r="B33" s="9">
        <v>0.53333333333333333</v>
      </c>
      <c r="C33" s="5" t="s">
        <v>156</v>
      </c>
      <c r="D33" s="5">
        <f t="shared" si="0"/>
        <v>10</v>
      </c>
      <c r="E33" s="15"/>
      <c r="F33" s="15" t="s">
        <v>31</v>
      </c>
      <c r="G33" s="13">
        <v>6.16</v>
      </c>
      <c r="H33" s="13">
        <v>3.16</v>
      </c>
      <c r="I33" s="13">
        <v>3.16</v>
      </c>
      <c r="J33" s="13">
        <v>2.64</v>
      </c>
      <c r="K33" s="13">
        <v>1.98</v>
      </c>
      <c r="L33" s="13">
        <v>1.76</v>
      </c>
      <c r="M33" s="13"/>
      <c r="N33" s="51">
        <f t="shared" si="1"/>
        <v>18.860000000000003</v>
      </c>
      <c r="O33" s="51">
        <f t="shared" si="2"/>
        <v>43.384228959363611</v>
      </c>
      <c r="P33" s="52">
        <v>8</v>
      </c>
      <c r="Q33" s="52">
        <v>10</v>
      </c>
      <c r="R33" s="52">
        <v>9</v>
      </c>
      <c r="S33" s="52">
        <v>9</v>
      </c>
      <c r="T33" s="52">
        <v>9</v>
      </c>
      <c r="U33" s="52">
        <v>9</v>
      </c>
      <c r="V33" s="52">
        <v>9</v>
      </c>
      <c r="W33" s="53" t="str">
        <f t="shared" si="6"/>
        <v>N</v>
      </c>
      <c r="X33" s="103">
        <f t="shared" si="7"/>
        <v>0</v>
      </c>
      <c r="Y33" s="103" t="str">
        <f t="shared" si="8"/>
        <v>0-4.9%</v>
      </c>
      <c r="Z33" s="8" t="s">
        <v>165</v>
      </c>
    </row>
    <row r="34" spans="1:26" ht="24" customHeight="1" x14ac:dyDescent="0.25">
      <c r="A34" s="10">
        <v>8</v>
      </c>
      <c r="B34" s="40">
        <v>7.8472222222222221E-2</v>
      </c>
      <c r="C34" s="41" t="s">
        <v>158</v>
      </c>
      <c r="D34" s="5">
        <f t="shared" si="0"/>
        <v>10</v>
      </c>
      <c r="E34" s="42"/>
      <c r="F34" s="42" t="s">
        <v>26</v>
      </c>
      <c r="G34" s="43">
        <v>5.0599999999999996</v>
      </c>
      <c r="H34" s="43">
        <v>2.2000000000000002</v>
      </c>
      <c r="I34" s="43">
        <v>2.86</v>
      </c>
      <c r="J34" s="43">
        <v>3.08</v>
      </c>
      <c r="K34" s="43">
        <v>2.2000000000000002</v>
      </c>
      <c r="L34" s="43">
        <v>2.2000000000000002</v>
      </c>
      <c r="M34" s="43"/>
      <c r="N34" s="51">
        <f t="shared" si="1"/>
        <v>17.599999999999998</v>
      </c>
      <c r="O34" s="51">
        <f t="shared" si="2"/>
        <v>31.783468585310523</v>
      </c>
      <c r="P34" s="52">
        <v>8</v>
      </c>
      <c r="Q34" s="52">
        <v>10</v>
      </c>
      <c r="R34" s="52">
        <v>9</v>
      </c>
      <c r="S34" s="52">
        <v>9</v>
      </c>
      <c r="T34" s="52">
        <v>9</v>
      </c>
      <c r="U34" s="52">
        <v>9</v>
      </c>
      <c r="V34" s="52">
        <v>9</v>
      </c>
      <c r="W34" s="53" t="str">
        <f t="shared" si="6"/>
        <v>N</v>
      </c>
      <c r="X34" s="103">
        <f t="shared" si="7"/>
        <v>0</v>
      </c>
      <c r="Y34" s="103" t="str">
        <f t="shared" si="8"/>
        <v>0-4.9%</v>
      </c>
      <c r="Z34" s="8" t="s">
        <v>165</v>
      </c>
    </row>
    <row r="35" spans="1:26" ht="24" customHeight="1" x14ac:dyDescent="0.25">
      <c r="A35" s="10">
        <v>10</v>
      </c>
      <c r="B35" s="9">
        <v>0.15972222222222224</v>
      </c>
      <c r="C35" s="5" t="s">
        <v>160</v>
      </c>
      <c r="D35" s="5">
        <f t="shared" si="0"/>
        <v>10</v>
      </c>
      <c r="E35" s="15"/>
      <c r="F35" s="15" t="s">
        <v>27</v>
      </c>
      <c r="G35" s="13">
        <v>2.64</v>
      </c>
      <c r="H35" s="13">
        <v>4.18</v>
      </c>
      <c r="I35" s="13">
        <v>4.62</v>
      </c>
      <c r="J35" s="13">
        <v>2.64</v>
      </c>
      <c r="K35" s="13">
        <v>4.4000000000000004</v>
      </c>
      <c r="L35" s="13"/>
      <c r="M35" s="13"/>
      <c r="N35" s="51">
        <f t="shared" si="1"/>
        <v>18.480000000000004</v>
      </c>
      <c r="O35" s="51">
        <f t="shared" si="2"/>
        <v>39.587049722621614</v>
      </c>
      <c r="P35" s="52">
        <v>8</v>
      </c>
      <c r="Q35" s="52">
        <v>10</v>
      </c>
      <c r="R35" s="52">
        <v>9</v>
      </c>
      <c r="S35" s="52">
        <v>9</v>
      </c>
      <c r="T35" s="52">
        <v>9</v>
      </c>
      <c r="U35" s="52">
        <v>9</v>
      </c>
      <c r="V35" s="52">
        <v>9</v>
      </c>
      <c r="W35" s="53" t="str">
        <f t="shared" si="6"/>
        <v>N</v>
      </c>
      <c r="X35" s="103">
        <f t="shared" si="7"/>
        <v>0</v>
      </c>
      <c r="Y35" s="103" t="str">
        <f t="shared" si="8"/>
        <v>0-4.9%</v>
      </c>
      <c r="Z35" s="8" t="s">
        <v>165</v>
      </c>
    </row>
    <row r="36" spans="1:26" ht="24" customHeight="1" x14ac:dyDescent="0.25">
      <c r="A36" s="10">
        <v>14</v>
      </c>
      <c r="B36" s="9">
        <v>0.23611111111111113</v>
      </c>
      <c r="C36" s="5" t="s">
        <v>162</v>
      </c>
      <c r="D36" s="5">
        <f t="shared" si="0"/>
        <v>10</v>
      </c>
      <c r="E36" s="15"/>
      <c r="F36" s="15" t="s">
        <v>31</v>
      </c>
      <c r="G36" s="13">
        <v>4.84</v>
      </c>
      <c r="H36" s="13">
        <v>2.86</v>
      </c>
      <c r="I36" s="13">
        <v>2.86</v>
      </c>
      <c r="J36" s="13">
        <v>1.1000000000000001</v>
      </c>
      <c r="K36" s="13">
        <v>1.54</v>
      </c>
      <c r="L36" s="13">
        <v>1.98</v>
      </c>
      <c r="M36" s="13"/>
      <c r="N36" s="51">
        <f t="shared" si="1"/>
        <v>15.18</v>
      </c>
      <c r="O36" s="51">
        <f t="shared" si="2"/>
        <v>16.334929243607281</v>
      </c>
      <c r="P36" s="52">
        <v>8</v>
      </c>
      <c r="Q36" s="52">
        <v>10</v>
      </c>
      <c r="R36" s="52">
        <v>9</v>
      </c>
      <c r="S36" s="52">
        <v>9</v>
      </c>
      <c r="T36" s="52">
        <v>9</v>
      </c>
      <c r="U36" s="52">
        <v>9</v>
      </c>
      <c r="V36" s="52">
        <v>9</v>
      </c>
      <c r="W36" s="53" t="str">
        <f t="shared" si="6"/>
        <v>N</v>
      </c>
      <c r="X36" s="103">
        <f t="shared" si="7"/>
        <v>0</v>
      </c>
      <c r="Y36" s="103" t="str">
        <f t="shared" si="8"/>
        <v>0-4.9%</v>
      </c>
      <c r="Z36" s="8" t="s">
        <v>165</v>
      </c>
    </row>
    <row r="37" spans="1:26" ht="24" customHeight="1" x14ac:dyDescent="0.25">
      <c r="A37" s="10">
        <v>15</v>
      </c>
      <c r="B37" s="9">
        <v>0.26527777777777778</v>
      </c>
      <c r="C37" s="5" t="s">
        <v>163</v>
      </c>
      <c r="D37" s="5">
        <f t="shared" si="0"/>
        <v>10</v>
      </c>
      <c r="E37" s="15"/>
      <c r="F37" s="15" t="s">
        <v>31</v>
      </c>
      <c r="G37" s="13">
        <v>4.62</v>
      </c>
      <c r="H37" s="13">
        <v>3.08</v>
      </c>
      <c r="I37" s="13">
        <v>2.86</v>
      </c>
      <c r="J37" s="13">
        <v>2.2000000000000002</v>
      </c>
      <c r="K37" s="13">
        <v>2.64</v>
      </c>
      <c r="L37" s="13">
        <v>2.42</v>
      </c>
      <c r="M37" s="13"/>
      <c r="N37" s="51">
        <f t="shared" si="1"/>
        <v>17.82</v>
      </c>
      <c r="O37" s="51">
        <f t="shared" si="2"/>
        <v>33.610806550961442</v>
      </c>
      <c r="P37" s="52">
        <v>8</v>
      </c>
      <c r="Q37" s="52">
        <v>10</v>
      </c>
      <c r="R37" s="52">
        <v>9</v>
      </c>
      <c r="S37" s="52">
        <v>9</v>
      </c>
      <c r="T37" s="52">
        <v>9</v>
      </c>
      <c r="U37" s="52">
        <v>9</v>
      </c>
      <c r="V37" s="52">
        <v>9</v>
      </c>
      <c r="W37" s="53" t="str">
        <f t="shared" si="6"/>
        <v>N</v>
      </c>
      <c r="X37" s="103">
        <f t="shared" si="7"/>
        <v>0</v>
      </c>
      <c r="Y37" s="103" t="str">
        <f t="shared" si="8"/>
        <v>0-4.9%</v>
      </c>
      <c r="Z37" s="8" t="s">
        <v>165</v>
      </c>
    </row>
    <row r="38" spans="1:26" ht="24" customHeight="1" thickBot="1" x14ac:dyDescent="0.3">
      <c r="A38" s="11"/>
      <c r="B38" s="9"/>
      <c r="C38" s="5"/>
      <c r="D38" s="5"/>
      <c r="E38" s="15"/>
      <c r="F38" s="15"/>
      <c r="G38" s="13"/>
      <c r="H38" s="13"/>
      <c r="I38" s="13"/>
      <c r="J38" s="13"/>
      <c r="K38" s="13"/>
      <c r="L38" s="13"/>
      <c r="M38" s="13"/>
      <c r="N38" s="12"/>
      <c r="O38" s="12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8"/>
    </row>
    <row r="39" spans="1:26" ht="24" customHeight="1" thickBot="1" x14ac:dyDescent="0.3">
      <c r="A39" s="11"/>
      <c r="B39" s="9"/>
      <c r="C39" s="5"/>
      <c r="D39" s="5"/>
      <c r="E39" s="15"/>
      <c r="F39" s="15"/>
      <c r="G39" s="13"/>
      <c r="H39" s="13"/>
      <c r="I39" s="13"/>
      <c r="J39" s="13"/>
      <c r="K39" s="13"/>
      <c r="L39" s="13"/>
      <c r="M39" s="13"/>
      <c r="N39" s="12"/>
      <c r="O39" s="12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8"/>
    </row>
    <row r="40" spans="1:26" ht="24" customHeight="1" thickBot="1" x14ac:dyDescent="0.3">
      <c r="A40" s="11"/>
      <c r="B40" s="9"/>
      <c r="C40" s="5"/>
      <c r="D40" s="5"/>
      <c r="E40" s="15"/>
      <c r="F40" s="15"/>
      <c r="G40" s="13"/>
      <c r="H40" s="13"/>
      <c r="I40" s="13"/>
      <c r="J40" s="13"/>
      <c r="K40" s="13"/>
      <c r="L40" s="13"/>
      <c r="M40" s="13"/>
      <c r="N40" s="12"/>
      <c r="O40" s="12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8"/>
    </row>
    <row r="41" spans="1:26" ht="24" customHeight="1" thickBot="1" x14ac:dyDescent="0.3">
      <c r="A41" s="11"/>
      <c r="B41" s="9"/>
      <c r="C41" s="5"/>
      <c r="D41" s="5"/>
      <c r="E41" s="15"/>
      <c r="F41" s="15"/>
      <c r="G41" s="13"/>
      <c r="H41" s="13"/>
      <c r="I41" s="13"/>
      <c r="J41" s="13"/>
      <c r="K41" s="13"/>
      <c r="L41" s="13"/>
      <c r="M41" s="13"/>
      <c r="N41" s="12"/>
      <c r="O41" s="12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8"/>
    </row>
    <row r="42" spans="1:26" ht="24" customHeight="1" thickBot="1" x14ac:dyDescent="0.3">
      <c r="A42" s="11"/>
      <c r="B42" s="9"/>
      <c r="C42" s="5"/>
      <c r="D42" s="5"/>
      <c r="E42" s="15"/>
      <c r="F42" s="15"/>
      <c r="G42" s="13"/>
      <c r="H42" s="13"/>
      <c r="I42" s="13"/>
      <c r="J42" s="13"/>
      <c r="K42" s="13"/>
      <c r="L42" s="13"/>
      <c r="M42" s="13"/>
      <c r="N42" s="12"/>
      <c r="O42" s="12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8"/>
    </row>
    <row r="43" spans="1:26" ht="24" customHeight="1" thickBot="1" x14ac:dyDescent="0.3">
      <c r="A43" s="11"/>
      <c r="B43" s="9"/>
      <c r="C43" s="5"/>
      <c r="D43" s="5"/>
      <c r="E43" s="15"/>
      <c r="F43" s="15"/>
      <c r="G43" s="13"/>
      <c r="H43" s="13"/>
      <c r="I43" s="13"/>
      <c r="J43" s="13"/>
      <c r="K43" s="13"/>
      <c r="L43" s="13"/>
      <c r="M43" s="13"/>
      <c r="N43" s="12"/>
      <c r="O43" s="12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8"/>
    </row>
    <row r="44" spans="1:26" ht="24" customHeight="1" thickBot="1" x14ac:dyDescent="0.3">
      <c r="A44" s="11"/>
      <c r="B44" s="9"/>
      <c r="C44" s="5"/>
      <c r="D44" s="5"/>
      <c r="E44" s="15"/>
      <c r="F44" s="15"/>
      <c r="G44" s="13"/>
      <c r="H44" s="13"/>
      <c r="I44" s="13"/>
      <c r="J44" s="13"/>
      <c r="K44" s="13"/>
      <c r="L44" s="13"/>
      <c r="M44" s="13"/>
      <c r="N44" s="12"/>
      <c r="O44" s="12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8"/>
    </row>
    <row r="45" spans="1:26" ht="24" customHeight="1" thickBot="1" x14ac:dyDescent="0.3">
      <c r="A45" s="11"/>
      <c r="B45" s="9"/>
      <c r="C45" s="5"/>
      <c r="D45" s="5"/>
      <c r="E45" s="15"/>
      <c r="F45" s="15"/>
      <c r="G45" s="13"/>
      <c r="H45" s="13"/>
      <c r="I45" s="13"/>
      <c r="J45" s="13"/>
      <c r="K45" s="13"/>
      <c r="L45" s="13"/>
      <c r="M45" s="13"/>
      <c r="N45" s="12"/>
      <c r="O45" s="12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8"/>
    </row>
    <row r="46" spans="1:26" ht="24" customHeight="1" thickBot="1" x14ac:dyDescent="0.3">
      <c r="A46" s="11"/>
      <c r="B46" s="9"/>
      <c r="C46" s="5"/>
      <c r="D46" s="5"/>
      <c r="E46" s="15"/>
      <c r="F46" s="15"/>
      <c r="G46" s="13"/>
      <c r="H46" s="13"/>
      <c r="I46" s="13"/>
      <c r="J46" s="13"/>
      <c r="K46" s="13"/>
      <c r="L46" s="13"/>
      <c r="M46" s="13"/>
      <c r="N46" s="12"/>
      <c r="O46" s="12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8"/>
    </row>
    <row r="47" spans="1:26" ht="24" customHeight="1" thickBot="1" x14ac:dyDescent="0.3">
      <c r="A47" s="11"/>
      <c r="B47" s="9"/>
      <c r="C47" s="5"/>
      <c r="D47" s="5"/>
      <c r="E47" s="15"/>
      <c r="F47" s="15"/>
      <c r="G47" s="13"/>
      <c r="H47" s="13"/>
      <c r="I47" s="13"/>
      <c r="J47" s="13"/>
      <c r="K47" s="13"/>
      <c r="L47" s="13"/>
      <c r="M47" s="13"/>
      <c r="N47" s="12"/>
      <c r="O47" s="12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8"/>
    </row>
    <row r="48" spans="1:26" ht="24" customHeight="1" thickBot="1" x14ac:dyDescent="0.3">
      <c r="A48" s="11"/>
      <c r="B48" s="9"/>
      <c r="C48" s="5"/>
      <c r="D48" s="5"/>
      <c r="E48" s="15"/>
      <c r="F48" s="15"/>
      <c r="G48" s="13"/>
      <c r="H48" s="13"/>
      <c r="I48" s="13"/>
      <c r="J48" s="13"/>
      <c r="K48" s="13"/>
      <c r="L48" s="13"/>
      <c r="M48" s="13"/>
      <c r="N48" s="12"/>
      <c r="O48" s="12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8"/>
    </row>
    <row r="49" spans="1:26" ht="24" customHeight="1" thickBot="1" x14ac:dyDescent="0.3">
      <c r="A49" s="11"/>
      <c r="B49" s="9"/>
      <c r="C49" s="5"/>
      <c r="D49" s="5"/>
      <c r="E49" s="15"/>
      <c r="F49" s="15"/>
      <c r="G49" s="13"/>
      <c r="H49" s="13"/>
      <c r="I49" s="13"/>
      <c r="J49" s="13"/>
      <c r="K49" s="13"/>
      <c r="L49" s="13"/>
      <c r="M49" s="13"/>
      <c r="N49" s="12"/>
      <c r="O49" s="12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8"/>
    </row>
  </sheetData>
  <sortState xmlns:xlrd2="http://schemas.microsoft.com/office/spreadsheetml/2017/richdata2" ref="A7:AA41">
    <sortCondition ref="D7:D41"/>
  </sortState>
  <mergeCells count="17">
    <mergeCell ref="P5:V5"/>
    <mergeCell ref="A1:Z1"/>
    <mergeCell ref="A2:O2"/>
    <mergeCell ref="A4:B4"/>
    <mergeCell ref="A5:A6"/>
    <mergeCell ref="B5:B6"/>
    <mergeCell ref="C5:C6"/>
    <mergeCell ref="D5:D6"/>
    <mergeCell ref="E5:E6"/>
    <mergeCell ref="F5:F6"/>
    <mergeCell ref="H5:M5"/>
    <mergeCell ref="N5:N6"/>
    <mergeCell ref="O5:O6"/>
    <mergeCell ref="Z5:Z6"/>
    <mergeCell ref="W5:W6"/>
    <mergeCell ref="X5:X6"/>
    <mergeCell ref="Y5:Y6"/>
  </mergeCells>
  <printOptions horizontalCentered="1"/>
  <pageMargins left="0.7" right="0.7" top="0.75" bottom="0.75" header="0.3" footer="0.3"/>
  <pageSetup paperSize="9" scale="41" orientation="landscape" horizont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5C93-577F-4719-9371-DB938410B788}">
  <dimension ref="A1:Y60"/>
  <sheetViews>
    <sheetView tabSelected="1" view="pageBreakPreview" zoomScale="60" zoomScaleNormal="55" workbookViewId="0">
      <selection activeCell="K17" sqref="K17"/>
    </sheetView>
  </sheetViews>
  <sheetFormatPr defaultRowHeight="15" x14ac:dyDescent="0.25"/>
  <cols>
    <col min="2" max="2" width="20" customWidth="1"/>
    <col min="3" max="3" width="13.7109375" customWidth="1"/>
    <col min="4" max="4" width="13.5703125" customWidth="1"/>
    <col min="5" max="5" width="9.85546875" customWidth="1"/>
    <col min="6" max="6" width="16.7109375" customWidth="1"/>
    <col min="8" max="8" width="20.28515625" bestFit="1" customWidth="1"/>
    <col min="9" max="10" width="16.85546875" bestFit="1" customWidth="1"/>
    <col min="11" max="11" width="6" customWidth="1"/>
    <col min="13" max="14" width="14.5703125" customWidth="1"/>
    <col min="15" max="15" width="10.7109375" customWidth="1"/>
    <col min="16" max="16" width="14.5703125" customWidth="1"/>
    <col min="17" max="22" width="10.7109375" customWidth="1"/>
  </cols>
  <sheetData>
    <row r="1" spans="1:25" ht="21" x14ac:dyDescent="0.35">
      <c r="B1" s="104" t="s">
        <v>238</v>
      </c>
    </row>
    <row r="3" spans="1:25" ht="15.75" x14ac:dyDescent="0.25">
      <c r="A3" s="57" t="s">
        <v>209</v>
      </c>
      <c r="L3" s="57" t="s">
        <v>210</v>
      </c>
    </row>
    <row r="4" spans="1:25" ht="36.75" customHeight="1" x14ac:dyDescent="0.25">
      <c r="B4" s="105" t="s">
        <v>211</v>
      </c>
      <c r="C4" s="106" t="s">
        <v>239</v>
      </c>
      <c r="D4" s="106" t="s">
        <v>226</v>
      </c>
      <c r="E4" s="107" t="s">
        <v>212</v>
      </c>
      <c r="L4" s="58" t="s">
        <v>213</v>
      </c>
      <c r="M4" s="106" t="s">
        <v>239</v>
      </c>
      <c r="N4" s="106" t="s">
        <v>226</v>
      </c>
      <c r="O4" s="61"/>
      <c r="P4" s="108"/>
      <c r="Q4" s="61"/>
      <c r="R4" s="61"/>
      <c r="S4" s="61"/>
      <c r="T4" s="61"/>
      <c r="U4" s="61"/>
      <c r="V4" s="61"/>
      <c r="W4" s="61"/>
      <c r="X4" s="61"/>
      <c r="Y4" s="109"/>
    </row>
    <row r="5" spans="1:25" ht="15.75" x14ac:dyDescent="0.25">
      <c r="A5">
        <v>7</v>
      </c>
      <c r="B5" s="59" t="s">
        <v>214</v>
      </c>
      <c r="C5" s="59">
        <f>COUNTIF('Gulu-Nimule'!$D$7:$D$500,A5)</f>
        <v>13</v>
      </c>
      <c r="D5" s="59">
        <f>COUNTIF('Nimule-Gulu'!$D$7:$D$500,A5)</f>
        <v>10</v>
      </c>
      <c r="E5" s="59">
        <f>SUM(C5:D5)</f>
        <v>23</v>
      </c>
      <c r="L5" s="110" t="s">
        <v>215</v>
      </c>
      <c r="M5" s="63">
        <f>COUNTIF('Gulu-Nimule'!$Z$7:$Z$500,L5)/$M$16</f>
        <v>0.33734939759036142</v>
      </c>
      <c r="N5" s="63">
        <f>COUNTIF('Nimule-Gulu'!$Z$7:$Z$187,L5)/$N$16</f>
        <v>0</v>
      </c>
      <c r="Y5" s="58"/>
    </row>
    <row r="6" spans="1:25" ht="15.75" x14ac:dyDescent="0.25">
      <c r="A6">
        <v>9</v>
      </c>
      <c r="B6" s="59" t="s">
        <v>216</v>
      </c>
      <c r="C6" s="59">
        <f>COUNTIF('Gulu-Nimule'!$D$7:$D$500,A6)</f>
        <v>4</v>
      </c>
      <c r="D6" s="59">
        <f>COUNTIF('Nimule-Gulu'!$D$7:$D$500,A6)</f>
        <v>2</v>
      </c>
      <c r="E6" s="59">
        <f t="shared" ref="E6:E7" si="0">SUM(C6:D6)</f>
        <v>6</v>
      </c>
      <c r="L6" s="110" t="s">
        <v>217</v>
      </c>
      <c r="M6" s="63">
        <f>COUNTIF('Gulu-Nimule'!$Z$7:$Z$500,L6)/$M$16</f>
        <v>0</v>
      </c>
      <c r="N6" s="63">
        <f>COUNTIF('Nimule-Gulu'!$Z$7:$Z$187,L6)/$N$16</f>
        <v>0</v>
      </c>
      <c r="Y6" s="58"/>
    </row>
    <row r="7" spans="1:25" ht="15.75" x14ac:dyDescent="0.25">
      <c r="A7">
        <v>10</v>
      </c>
      <c r="B7" s="59" t="s">
        <v>218</v>
      </c>
      <c r="C7" s="59">
        <f>COUNTIF('Gulu-Nimule'!$D$7:$D$500,A7)</f>
        <v>66</v>
      </c>
      <c r="D7" s="59">
        <f>COUNTIF('Nimule-Gulu'!$D$7:$D$500,A7)</f>
        <v>19</v>
      </c>
      <c r="E7" s="59">
        <f t="shared" si="0"/>
        <v>85</v>
      </c>
      <c r="L7" s="110" t="s">
        <v>219</v>
      </c>
      <c r="M7" s="63">
        <f>COUNTIF('Gulu-Nimule'!$Z$7:$Z$500,L7)/$M$16</f>
        <v>0.16867469879518071</v>
      </c>
      <c r="N7" s="63">
        <f>COUNTIF('Nimule-Gulu'!$Z$7:$Z$187,L7)/$N$16</f>
        <v>0</v>
      </c>
    </row>
    <row r="8" spans="1:25" ht="15.75" x14ac:dyDescent="0.25">
      <c r="B8" s="62" t="s">
        <v>220</v>
      </c>
      <c r="C8" s="62">
        <f>SUM(C5:C7)</f>
        <v>83</v>
      </c>
      <c r="D8" s="62">
        <f>SUM(D5:D7)</f>
        <v>31</v>
      </c>
      <c r="E8" s="62">
        <f>SUM(E5:E7)</f>
        <v>114</v>
      </c>
      <c r="L8" s="110" t="s">
        <v>221</v>
      </c>
      <c r="M8" s="63">
        <f>COUNTIF('Gulu-Nimule'!$Z$7:$Z$500,L8)/$M$16</f>
        <v>0</v>
      </c>
      <c r="N8" s="63">
        <f>COUNTIF('Nimule-Gulu'!$Z$7:$Z$187,L8)/$N$16</f>
        <v>0</v>
      </c>
    </row>
    <row r="9" spans="1:25" ht="15.75" x14ac:dyDescent="0.25">
      <c r="L9" s="110" t="s">
        <v>222</v>
      </c>
      <c r="M9" s="63">
        <f>COUNTIF('Gulu-Nimule'!$Z$7:$Z$500,L9)/$M$16</f>
        <v>0</v>
      </c>
      <c r="N9" s="63">
        <f>COUNTIF('Nimule-Gulu'!$Z$7:$Z$187,L9)/$N$16</f>
        <v>0</v>
      </c>
    </row>
    <row r="10" spans="1:25" ht="15.75" x14ac:dyDescent="0.25">
      <c r="L10" s="110" t="s">
        <v>223</v>
      </c>
      <c r="M10" s="63">
        <f>COUNTIF('Gulu-Nimule'!$Z$7:$Z$500,L10)/$M$16</f>
        <v>7.2289156626506021E-2</v>
      </c>
      <c r="N10" s="63">
        <f>COUNTIF('Nimule-Gulu'!$Z$7:$Z$187,L10)/$N$16</f>
        <v>0</v>
      </c>
    </row>
    <row r="11" spans="1:25" ht="15.75" x14ac:dyDescent="0.25">
      <c r="L11" s="110" t="s">
        <v>224</v>
      </c>
      <c r="M11" s="63">
        <f>COUNTIF('Gulu-Nimule'!$Z$7:$Z$500,L11)/$M$16</f>
        <v>2.4096385542168676E-2</v>
      </c>
      <c r="N11" s="63">
        <f>COUNTIF('Nimule-Gulu'!$Z$7:$Z$187,L11)/$N$16</f>
        <v>0</v>
      </c>
    </row>
    <row r="12" spans="1:25" ht="15.75" x14ac:dyDescent="0.25">
      <c r="L12" s="110" t="s">
        <v>39</v>
      </c>
      <c r="M12" s="63">
        <f>COUNTIF('Gulu-Nimule'!$Z$7:$Z$500,L12)/$M$16</f>
        <v>0</v>
      </c>
      <c r="N12" s="63">
        <f>COUNTIF('Nimule-Gulu'!$Z$7:$Z$187,L12)/$N$16</f>
        <v>3.2258064516129031E-2</v>
      </c>
    </row>
    <row r="13" spans="1:25" ht="15.75" x14ac:dyDescent="0.25">
      <c r="L13" s="110" t="s">
        <v>227</v>
      </c>
      <c r="M13" s="63">
        <f>COUNTIF('Gulu-Nimule'!$Z$7:$Z$500,L13)/$M$16</f>
        <v>0.25301204819277107</v>
      </c>
      <c r="N13" s="63">
        <f>COUNTIF('Nimule-Gulu'!$Z$7:$Z$187,L13)/$N$16</f>
        <v>3.2258064516129031E-2</v>
      </c>
    </row>
    <row r="14" spans="1:25" ht="15.75" x14ac:dyDescent="0.25">
      <c r="L14" s="110" t="s">
        <v>165</v>
      </c>
      <c r="M14" s="63">
        <f>COUNTIF('Gulu-Nimule'!$Z$7:$Z$500,L14)/$M$16</f>
        <v>2.4096385542168676E-2</v>
      </c>
      <c r="N14" s="63">
        <f>COUNTIF('Nimule-Gulu'!$Z$7:$Z$187,L14)/$N$16</f>
        <v>0.83870967741935487</v>
      </c>
    </row>
    <row r="15" spans="1:25" ht="15.75" x14ac:dyDescent="0.25">
      <c r="L15" s="110" t="s">
        <v>33</v>
      </c>
      <c r="M15" s="63">
        <f>COUNTIF('Gulu-Nimule'!$Z$7:$Z$500,L15)/$M$16</f>
        <v>0.12048192771084337</v>
      </c>
      <c r="N15" s="63">
        <f>COUNTIF('Nimule-Gulu'!$Z$7:$Z$187,L15)/$N$16</f>
        <v>9.6774193548387094E-2</v>
      </c>
    </row>
    <row r="16" spans="1:25" ht="15.75" x14ac:dyDescent="0.25">
      <c r="L16" s="111" t="s">
        <v>225</v>
      </c>
      <c r="M16" s="62">
        <f>C8</f>
        <v>83</v>
      </c>
      <c r="N16" s="62">
        <f>D8</f>
        <v>31</v>
      </c>
      <c r="S16" s="58"/>
      <c r="T16" s="58"/>
    </row>
    <row r="27" spans="1:15" ht="15.75" x14ac:dyDescent="0.25">
      <c r="A27" s="57" t="s">
        <v>230</v>
      </c>
    </row>
    <row r="28" spans="1:15" ht="15.75" x14ac:dyDescent="0.25">
      <c r="B28" s="58" t="s">
        <v>211</v>
      </c>
      <c r="C28" s="105" t="s">
        <v>239</v>
      </c>
      <c r="D28" s="105" t="s">
        <v>226</v>
      </c>
      <c r="E28" s="58" t="s">
        <v>212</v>
      </c>
      <c r="F28" s="58" t="s">
        <v>231</v>
      </c>
      <c r="L28" s="57"/>
    </row>
    <row r="29" spans="1:15" x14ac:dyDescent="0.25">
      <c r="A29">
        <v>7</v>
      </c>
      <c r="B29" s="59" t="s">
        <v>214</v>
      </c>
      <c r="C29" s="60">
        <f>AVERAGEIF('Gulu-Nimule'!$D$7:$D$500,Graphs!A29,'Gulu-Nimule'!$N$7:$N$500)</f>
        <v>14.106153846153848</v>
      </c>
      <c r="D29" s="60">
        <f>AVERAGEIF('Nimule-Gulu'!$D$7:$D$500,Graphs!A29,'Nimule-Gulu'!$N$7:$N$500)</f>
        <v>10.816000000000001</v>
      </c>
      <c r="E29" s="60">
        <f>AVERAGE(C29:D29)</f>
        <v>12.461076923076924</v>
      </c>
      <c r="F29" s="59">
        <v>18</v>
      </c>
      <c r="N29" s="105"/>
      <c r="O29" s="105"/>
    </row>
    <row r="30" spans="1:15" x14ac:dyDescent="0.25">
      <c r="A30">
        <v>9</v>
      </c>
      <c r="B30" s="59" t="s">
        <v>216</v>
      </c>
      <c r="C30" s="60">
        <f>AVERAGEIF('Gulu-Nimule'!$D$7:$D$500,Graphs!A30,'Gulu-Nimule'!$N$7:$N$500)</f>
        <v>22.934999999999999</v>
      </c>
      <c r="D30" s="60">
        <f>AVERAGEIF('Nimule-Gulu'!$D$7:$D$500,Graphs!A30,'Nimule-Gulu'!$N$7:$N$500)</f>
        <v>10.89</v>
      </c>
      <c r="E30" s="60">
        <f>AVERAGE(C30:D30)</f>
        <v>16.912500000000001</v>
      </c>
      <c r="F30" s="59">
        <v>27</v>
      </c>
      <c r="N30" s="112"/>
      <c r="O30" s="112"/>
    </row>
    <row r="31" spans="1:15" x14ac:dyDescent="0.25">
      <c r="A31">
        <v>10</v>
      </c>
      <c r="B31" s="59" t="s">
        <v>218</v>
      </c>
      <c r="C31" s="60">
        <f>AVERAGEIF('Gulu-Nimule'!$D$7:$D$500,Graphs!A31,'Gulu-Nimule'!$N$7:$N$500)</f>
        <v>36.983727272727279</v>
      </c>
      <c r="D31" s="60">
        <f>AVERAGEIF('Nimule-Gulu'!$D$7:$D$500,Graphs!A31,'Nimule-Gulu'!$N$7:$N$500)</f>
        <v>21.33526315789474</v>
      </c>
      <c r="E31" s="60">
        <f>AVERAGE(C31:D31)</f>
        <v>29.159495215311011</v>
      </c>
      <c r="F31" s="59">
        <v>54</v>
      </c>
      <c r="N31" s="112"/>
      <c r="O31" s="112"/>
    </row>
    <row r="32" spans="1:15" x14ac:dyDescent="0.25">
      <c r="B32" s="62" t="s">
        <v>220</v>
      </c>
      <c r="C32" s="62"/>
      <c r="D32" s="62"/>
      <c r="E32" s="62"/>
      <c r="N32" s="112"/>
      <c r="O32" s="112"/>
    </row>
    <row r="35" spans="12:24" x14ac:dyDescent="0.25">
      <c r="U35" s="113"/>
      <c r="V35" s="113"/>
      <c r="W35" s="113"/>
      <c r="X35" s="113"/>
    </row>
    <row r="36" spans="12:24" x14ac:dyDescent="0.25">
      <c r="V36" s="114"/>
      <c r="W36" s="114"/>
      <c r="X36" s="114"/>
    </row>
    <row r="39" spans="12:24" x14ac:dyDescent="0.25">
      <c r="L39" s="58" t="s">
        <v>232</v>
      </c>
    </row>
    <row r="40" spans="12:24" x14ac:dyDescent="0.25">
      <c r="M40" s="58" t="s">
        <v>211</v>
      </c>
      <c r="N40" s="105" t="s">
        <v>239</v>
      </c>
      <c r="O40" s="105" t="s">
        <v>226</v>
      </c>
      <c r="P40" s="58" t="s">
        <v>212</v>
      </c>
    </row>
    <row r="41" spans="12:24" x14ac:dyDescent="0.25">
      <c r="M41" s="59" t="s">
        <v>233</v>
      </c>
      <c r="N41" s="63">
        <f>COUNTIF('Gulu-Nimule'!$Y$7:$Y$500,M41)/$N$45</f>
        <v>0.62650602409638556</v>
      </c>
      <c r="O41" s="63">
        <f>COUNTIF('Nimule-Gulu'!$Y$7:$Y$187,M41)/$O$45</f>
        <v>0.93548387096774188</v>
      </c>
      <c r="P41" s="63">
        <f>AVERAGE(N41:O41)</f>
        <v>0.78099494753206367</v>
      </c>
    </row>
    <row r="42" spans="12:24" x14ac:dyDescent="0.25">
      <c r="M42" s="59" t="s">
        <v>234</v>
      </c>
      <c r="N42" s="63">
        <f>COUNTIF('Gulu-Nimule'!$Y$7:$Y$500,M42)/$N$45</f>
        <v>0.20481927710843373</v>
      </c>
      <c r="O42" s="63">
        <f>COUNTIF('Nimule-Gulu'!$Y$7:$Y$187,M42)/$O$45</f>
        <v>3.2258064516129031E-2</v>
      </c>
      <c r="P42" s="63">
        <f t="shared" ref="P42:P44" si="1">AVERAGE(N42:O42)</f>
        <v>0.11853867081228138</v>
      </c>
    </row>
    <row r="43" spans="12:24" x14ac:dyDescent="0.25">
      <c r="M43" s="59" t="s">
        <v>235</v>
      </c>
      <c r="N43" s="63">
        <f>COUNTIF('Gulu-Nimule'!$Y$7:$Y$500,M43)/$N$45</f>
        <v>0.13253012048192772</v>
      </c>
      <c r="O43" s="63">
        <f>COUNTIF('Nimule-Gulu'!$Y$7:$Y$187,M43)/$O$45</f>
        <v>3.2258064516129031E-2</v>
      </c>
      <c r="P43" s="63">
        <f t="shared" si="1"/>
        <v>8.2394092499028376E-2</v>
      </c>
    </row>
    <row r="44" spans="12:24" x14ac:dyDescent="0.25">
      <c r="M44" s="59" t="s">
        <v>236</v>
      </c>
      <c r="N44" s="63">
        <f>COUNTIF('Gulu-Nimule'!$Y$7:$Y$500,M44)/$N$45</f>
        <v>3.614457831325301E-2</v>
      </c>
      <c r="O44" s="63">
        <f>COUNTIF('Nimule-Gulu'!$Y$7:$Y$187,M44)/$O$45</f>
        <v>0</v>
      </c>
      <c r="P44" s="63">
        <f t="shared" si="1"/>
        <v>1.8072289156626505E-2</v>
      </c>
    </row>
    <row r="45" spans="12:24" x14ac:dyDescent="0.25">
      <c r="N45">
        <f>C8</f>
        <v>83</v>
      </c>
      <c r="O45">
        <f>D8</f>
        <v>31</v>
      </c>
    </row>
    <row r="55" spans="1:5" x14ac:dyDescent="0.25">
      <c r="A55" s="58" t="s">
        <v>232</v>
      </c>
    </row>
    <row r="56" spans="1:5" x14ac:dyDescent="0.25">
      <c r="B56" s="58" t="s">
        <v>211</v>
      </c>
      <c r="C56" s="105" t="s">
        <v>239</v>
      </c>
      <c r="D56" s="105" t="s">
        <v>226</v>
      </c>
      <c r="E56" s="58" t="s">
        <v>212</v>
      </c>
    </row>
    <row r="57" spans="1:5" x14ac:dyDescent="0.25">
      <c r="A57">
        <v>7</v>
      </c>
      <c r="B57" s="59" t="s">
        <v>214</v>
      </c>
      <c r="C57" s="63">
        <f>COUNTIF('Gulu-Nimule'!W7:W19,"Y")/C5</f>
        <v>0.30769230769230771</v>
      </c>
      <c r="D57" s="63">
        <f>COUNTIF('Nimule-Gulu'!W7:W16,"Y")/D5</f>
        <v>0.1</v>
      </c>
      <c r="E57" s="63">
        <f>AVERAGE(C57:D57)</f>
        <v>0.20384615384615384</v>
      </c>
    </row>
    <row r="58" spans="1:5" x14ac:dyDescent="0.25">
      <c r="A58">
        <v>9</v>
      </c>
      <c r="B58" s="59" t="s">
        <v>216</v>
      </c>
      <c r="C58" s="63">
        <f>COUNTIF('Gulu-Nimule'!W20:W23,"Y")/C6</f>
        <v>0.75</v>
      </c>
      <c r="D58" s="63">
        <f>COUNTIF('Nimule-Gulu'!W17:W18,"y")/D6</f>
        <v>0</v>
      </c>
      <c r="E58" s="63">
        <f t="shared" ref="E58:E59" si="2">AVERAGE(C58:D58)</f>
        <v>0.375</v>
      </c>
    </row>
    <row r="59" spans="1:5" x14ac:dyDescent="0.25">
      <c r="A59">
        <v>10</v>
      </c>
      <c r="B59" s="59" t="s">
        <v>218</v>
      </c>
      <c r="C59" s="63">
        <f>COUNTIF('Gulu-Nimule'!W24:W500,"Y")/C7</f>
        <v>0.48484848484848486</v>
      </c>
      <c r="D59" s="63">
        <f>COUNTIF('Nimule-Gulu'!W19:W187,"Y")/D7</f>
        <v>5.2631578947368418E-2</v>
      </c>
      <c r="E59" s="63">
        <f t="shared" si="2"/>
        <v>0.26874003189792661</v>
      </c>
    </row>
    <row r="60" spans="1:5" x14ac:dyDescent="0.25">
      <c r="B60" s="62" t="s">
        <v>237</v>
      </c>
      <c r="C60" s="115">
        <f>COUNTIF('Gulu-Nimule'!W7:W500,"Y")/C8</f>
        <v>0.46987951807228917</v>
      </c>
      <c r="D60" s="115">
        <f>COUNTIF('Nimule-Gulu'!W7:W187,"Y")/D8</f>
        <v>6.4516129032258063E-2</v>
      </c>
    </row>
  </sheetData>
  <pageMargins left="0.25" right="0.25" top="0.75" bottom="0.75" header="0.3" footer="0.3"/>
  <pageSetup scale="43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4"/>
  <sheetViews>
    <sheetView zoomScale="84" zoomScaleNormal="84" workbookViewId="0">
      <selection activeCell="F42" sqref="F42"/>
    </sheetView>
  </sheetViews>
  <sheetFormatPr defaultRowHeight="12.75" x14ac:dyDescent="0.2"/>
  <cols>
    <col min="1" max="2" width="9.140625" style="47"/>
    <col min="3" max="3" width="12.7109375" style="47" customWidth="1"/>
    <col min="4" max="14" width="9.140625" style="47"/>
    <col min="15" max="15" width="11.140625" style="47" customWidth="1"/>
    <col min="16" max="16384" width="9.140625" style="47"/>
  </cols>
  <sheetData>
    <row r="1" spans="1:15" x14ac:dyDescent="0.2">
      <c r="I1" s="98" t="s">
        <v>7</v>
      </c>
      <c r="J1" s="98"/>
      <c r="K1" s="98"/>
      <c r="L1" s="98"/>
      <c r="M1" s="98"/>
      <c r="N1" s="98"/>
    </row>
    <row r="2" spans="1:15" x14ac:dyDescent="0.2">
      <c r="A2" s="47" t="s">
        <v>166</v>
      </c>
      <c r="I2" s="47" t="s">
        <v>167</v>
      </c>
      <c r="J2" s="47" t="s">
        <v>167</v>
      </c>
      <c r="K2" s="47" t="s">
        <v>168</v>
      </c>
      <c r="L2" s="47" t="s">
        <v>169</v>
      </c>
      <c r="M2" s="47" t="s">
        <v>170</v>
      </c>
      <c r="N2" s="47" t="s">
        <v>171</v>
      </c>
      <c r="O2" s="47" t="s">
        <v>172</v>
      </c>
    </row>
    <row r="4" spans="1:15" x14ac:dyDescent="0.2">
      <c r="A4" s="47">
        <v>7</v>
      </c>
      <c r="B4" s="47" t="s">
        <v>173</v>
      </c>
      <c r="I4" s="47">
        <v>1.1000000000000001</v>
      </c>
      <c r="J4" s="47">
        <v>1.2</v>
      </c>
    </row>
    <row r="5" spans="1:15" x14ac:dyDescent="0.2">
      <c r="A5" s="47">
        <v>8</v>
      </c>
      <c r="B5" s="47" t="s">
        <v>174</v>
      </c>
      <c r="K5" s="47">
        <v>1.22</v>
      </c>
    </row>
    <row r="6" spans="1:15" x14ac:dyDescent="0.2">
      <c r="A6" s="47">
        <v>9</v>
      </c>
      <c r="B6" s="47" t="s">
        <v>175</v>
      </c>
      <c r="L6" s="47" t="s">
        <v>176</v>
      </c>
    </row>
    <row r="7" spans="1:15" x14ac:dyDescent="0.2">
      <c r="L7" s="48">
        <v>1.222</v>
      </c>
    </row>
    <row r="10" spans="1:15" x14ac:dyDescent="0.2">
      <c r="A10" s="47">
        <v>10</v>
      </c>
      <c r="B10" s="47" t="s">
        <v>177</v>
      </c>
      <c r="M10" s="47" t="s">
        <v>178</v>
      </c>
    </row>
    <row r="11" spans="1:15" x14ac:dyDescent="0.2">
      <c r="M11" s="47" t="s">
        <v>179</v>
      </c>
    </row>
    <row r="12" spans="1:15" x14ac:dyDescent="0.2">
      <c r="M12" s="47" t="s">
        <v>180</v>
      </c>
    </row>
    <row r="13" spans="1:15" x14ac:dyDescent="0.2">
      <c r="A13" s="47">
        <v>11</v>
      </c>
      <c r="B13" s="47" t="s">
        <v>181</v>
      </c>
      <c r="N13" s="47" t="s">
        <v>182</v>
      </c>
    </row>
    <row r="14" spans="1:15" x14ac:dyDescent="0.2">
      <c r="N14" s="47" t="s">
        <v>183</v>
      </c>
    </row>
    <row r="15" spans="1:15" x14ac:dyDescent="0.2">
      <c r="N15" s="47" t="s">
        <v>184</v>
      </c>
    </row>
    <row r="16" spans="1:15" x14ac:dyDescent="0.2">
      <c r="N16" s="47" t="s">
        <v>185</v>
      </c>
    </row>
    <row r="17" spans="1:15" x14ac:dyDescent="0.2">
      <c r="N17" s="47" t="s">
        <v>186</v>
      </c>
    </row>
    <row r="18" spans="1:15" x14ac:dyDescent="0.2">
      <c r="N18" s="47" t="s">
        <v>187</v>
      </c>
    </row>
    <row r="19" spans="1:15" x14ac:dyDescent="0.2">
      <c r="A19" s="47">
        <v>12</v>
      </c>
      <c r="B19" s="47" t="s">
        <v>188</v>
      </c>
      <c r="O19" s="47" t="s">
        <v>189</v>
      </c>
    </row>
    <row r="20" spans="1:15" x14ac:dyDescent="0.2">
      <c r="O20" s="47" t="s">
        <v>190</v>
      </c>
    </row>
    <row r="21" spans="1:15" x14ac:dyDescent="0.2">
      <c r="O21" s="47" t="s">
        <v>191</v>
      </c>
    </row>
    <row r="29" spans="1:15" ht="15.75" x14ac:dyDescent="0.2">
      <c r="B29" s="49" t="s">
        <v>192</v>
      </c>
    </row>
    <row r="30" spans="1:15" ht="15.75" x14ac:dyDescent="0.2">
      <c r="B30" s="49" t="s">
        <v>193</v>
      </c>
    </row>
    <row r="31" spans="1:15" ht="15.75" x14ac:dyDescent="0.2">
      <c r="B31" s="49" t="s">
        <v>194</v>
      </c>
    </row>
    <row r="32" spans="1:15" ht="15.75" x14ac:dyDescent="0.2">
      <c r="B32" s="49" t="s">
        <v>195</v>
      </c>
    </row>
    <row r="35" spans="2:5" x14ac:dyDescent="0.2">
      <c r="B35" s="47" t="s">
        <v>196</v>
      </c>
      <c r="C35" s="47" t="s">
        <v>197</v>
      </c>
      <c r="D35" s="47">
        <v>7</v>
      </c>
      <c r="E35" s="47">
        <v>18</v>
      </c>
    </row>
    <row r="36" spans="2:5" x14ac:dyDescent="0.2">
      <c r="B36" s="47" t="s">
        <v>24</v>
      </c>
      <c r="C36" s="47" t="s">
        <v>197</v>
      </c>
      <c r="D36" s="47">
        <v>7</v>
      </c>
      <c r="E36" s="47">
        <v>18</v>
      </c>
    </row>
    <row r="37" spans="2:5" x14ac:dyDescent="0.2">
      <c r="B37" s="47" t="s">
        <v>30</v>
      </c>
      <c r="C37" s="47" t="s">
        <v>198</v>
      </c>
      <c r="D37" s="47">
        <v>8</v>
      </c>
      <c r="E37" s="47">
        <v>26</v>
      </c>
    </row>
    <row r="38" spans="2:5" x14ac:dyDescent="0.2">
      <c r="B38" s="47" t="s">
        <v>25</v>
      </c>
      <c r="C38" s="47" t="s">
        <v>199</v>
      </c>
      <c r="D38" s="47">
        <v>9</v>
      </c>
      <c r="E38" s="47">
        <v>26</v>
      </c>
    </row>
    <row r="39" spans="2:5" x14ac:dyDescent="0.2">
      <c r="B39" s="47" t="s">
        <v>200</v>
      </c>
      <c r="C39" s="47" t="s">
        <v>201</v>
      </c>
      <c r="D39" s="47">
        <v>10</v>
      </c>
      <c r="E39" s="47">
        <v>46</v>
      </c>
    </row>
    <row r="40" spans="2:5" x14ac:dyDescent="0.2">
      <c r="B40" s="47" t="s">
        <v>202</v>
      </c>
      <c r="C40" s="47" t="s">
        <v>201</v>
      </c>
      <c r="D40" s="47">
        <v>10</v>
      </c>
      <c r="E40" s="47">
        <v>46</v>
      </c>
    </row>
    <row r="41" spans="2:5" x14ac:dyDescent="0.2">
      <c r="B41" s="47" t="s">
        <v>203</v>
      </c>
      <c r="C41" s="47" t="s">
        <v>201</v>
      </c>
      <c r="D41" s="47">
        <v>10</v>
      </c>
      <c r="E41" s="47">
        <v>46</v>
      </c>
    </row>
    <row r="42" spans="2:5" x14ac:dyDescent="0.2">
      <c r="B42" s="47" t="s">
        <v>204</v>
      </c>
      <c r="C42" s="47" t="s">
        <v>201</v>
      </c>
      <c r="D42" s="47">
        <v>10</v>
      </c>
      <c r="E42" s="47">
        <v>46</v>
      </c>
    </row>
    <row r="43" spans="2:5" x14ac:dyDescent="0.2">
      <c r="B43" s="47" t="s">
        <v>205</v>
      </c>
      <c r="C43" s="47" t="s">
        <v>201</v>
      </c>
      <c r="D43" s="47">
        <v>10</v>
      </c>
      <c r="E43" s="47">
        <v>46</v>
      </c>
    </row>
    <row r="44" spans="2:5" x14ac:dyDescent="0.2">
      <c r="B44" s="47" t="s">
        <v>29</v>
      </c>
      <c r="C44" s="47" t="s">
        <v>199</v>
      </c>
      <c r="D44" s="47">
        <v>9</v>
      </c>
      <c r="E44" s="47">
        <v>34</v>
      </c>
    </row>
  </sheetData>
  <mergeCells count="1">
    <mergeCell ref="I1:N1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DAY1</vt:lpstr>
      <vt:lpstr>DAY2</vt:lpstr>
      <vt:lpstr>DAY3</vt:lpstr>
      <vt:lpstr>Gulu-Nimule</vt:lpstr>
      <vt:lpstr>Nimule-Gulu</vt:lpstr>
      <vt:lpstr>Graphs</vt:lpstr>
      <vt:lpstr>KEY</vt:lpstr>
      <vt:lpstr>Graphs!Print_Area</vt:lpstr>
      <vt:lpstr>'Gulu-Nimule'!Print_Area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KATO SAIDI</dc:creator>
  <cp:lastModifiedBy>USER</cp:lastModifiedBy>
  <cp:lastPrinted>2019-11-03T12:40:33Z</cp:lastPrinted>
  <dcterms:created xsi:type="dcterms:W3CDTF">2015-05-11T13:42:40Z</dcterms:created>
  <dcterms:modified xsi:type="dcterms:W3CDTF">2020-03-22T23:57:24Z</dcterms:modified>
</cp:coreProperties>
</file>