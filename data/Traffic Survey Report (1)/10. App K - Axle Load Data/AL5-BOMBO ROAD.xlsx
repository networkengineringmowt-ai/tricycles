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ing Folder\EDMP\Analysed Data\JT, FERRY, AXLE Data\Analyed Data\Axle Load Data_ Analysed\"/>
    </mc:Choice>
  </mc:AlternateContent>
  <xr:revisionPtr revIDLastSave="0" documentId="13_ncr:1_{4A2246DA-AAAA-423F-A195-9051331B635C}" xr6:coauthVersionLast="45" xr6:coauthVersionMax="45" xr10:uidLastSave="{00000000-0000-0000-0000-000000000000}"/>
  <bookViews>
    <workbookView xWindow="-120" yWindow="-120" windowWidth="20730" windowHeight="11160" firstSheet="2" activeTab="5" xr2:uid="{00000000-000D-0000-FFFF-FFFF00000000}"/>
  </bookViews>
  <sheets>
    <sheet name="DAY1" sheetId="1" r:id="rId1"/>
    <sheet name="DAY2" sheetId="5" r:id="rId2"/>
    <sheet name="DAY3" sheetId="6" r:id="rId3"/>
    <sheet name="Kla-Bombo" sheetId="8" r:id="rId4"/>
    <sheet name="Bombo-Kla" sheetId="9" r:id="rId5"/>
    <sheet name="Graphs" sheetId="12" r:id="rId6"/>
    <sheet name="KEY" sheetId="7" r:id="rId7"/>
    <sheet name="Desc" sheetId="11" r:id="rId8"/>
  </sheets>
  <definedNames>
    <definedName name="_xlnm.Print_Area" localSheetId="4">'Bombo-Kla'!$A$1:$Z$154</definedName>
    <definedName name="_xlnm.Print_Area" localSheetId="5">Graphs!$A$1:$X$78</definedName>
    <definedName name="_xlnm.Print_Area" localSheetId="3">'Kla-Bombo'!$A$1:$Z$466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60" i="12" l="1"/>
  <c r="C60" i="12"/>
  <c r="O42" i="12"/>
  <c r="O43" i="12"/>
  <c r="O44" i="12"/>
  <c r="O41" i="12"/>
  <c r="N42" i="12"/>
  <c r="N43" i="12"/>
  <c r="N44" i="12"/>
  <c r="N41" i="12"/>
  <c r="N6" i="12"/>
  <c r="N7" i="12"/>
  <c r="N8" i="12"/>
  <c r="N9" i="12"/>
  <c r="N10" i="12"/>
  <c r="N11" i="12"/>
  <c r="N12" i="12"/>
  <c r="N13" i="12"/>
  <c r="N14" i="12"/>
  <c r="N15" i="12"/>
  <c r="N5" i="12"/>
  <c r="M6" i="12"/>
  <c r="M7" i="12"/>
  <c r="M8" i="12"/>
  <c r="M9" i="12"/>
  <c r="M10" i="12"/>
  <c r="M11" i="12"/>
  <c r="M12" i="12"/>
  <c r="M13" i="12"/>
  <c r="M14" i="12"/>
  <c r="M15" i="12"/>
  <c r="M5" i="12"/>
  <c r="D59" i="12"/>
  <c r="D58" i="12"/>
  <c r="D57" i="12"/>
  <c r="C59" i="12"/>
  <c r="C58" i="12"/>
  <c r="C57" i="12"/>
  <c r="D30" i="12"/>
  <c r="D31" i="12"/>
  <c r="D29" i="12"/>
  <c r="C30" i="12"/>
  <c r="C31" i="12"/>
  <c r="C29" i="12"/>
  <c r="D7" i="12"/>
  <c r="D6" i="12"/>
  <c r="D5" i="12"/>
  <c r="C7" i="12"/>
  <c r="C6" i="12"/>
  <c r="C5" i="12"/>
  <c r="E30" i="12"/>
  <c r="W8" i="8"/>
  <c r="X8" i="8" s="1"/>
  <c r="Y8" i="8" s="1"/>
  <c r="W9" i="8"/>
  <c r="X9" i="8"/>
  <c r="Y9" i="8" s="1"/>
  <c r="W10" i="8"/>
  <c r="X10" i="8"/>
  <c r="Y10" i="8" s="1"/>
  <c r="W11" i="8"/>
  <c r="X11" i="8" s="1"/>
  <c r="Y11" i="8" s="1"/>
  <c r="W12" i="8"/>
  <c r="X12" i="8" s="1"/>
  <c r="Y12" i="8" s="1"/>
  <c r="W13" i="8"/>
  <c r="X13" i="8" s="1"/>
  <c r="Y13" i="8" s="1"/>
  <c r="W14" i="8"/>
  <c r="X14" i="8" s="1"/>
  <c r="Y14" i="8"/>
  <c r="W15" i="8"/>
  <c r="X15" i="8"/>
  <c r="Y15" i="8"/>
  <c r="W16" i="8"/>
  <c r="X16" i="8" s="1"/>
  <c r="Y16" i="8" s="1"/>
  <c r="W17" i="8"/>
  <c r="X17" i="8"/>
  <c r="Y17" i="8" s="1"/>
  <c r="W18" i="8"/>
  <c r="X18" i="8"/>
  <c r="Y18" i="8" s="1"/>
  <c r="W19" i="8"/>
  <c r="X19" i="8" s="1"/>
  <c r="Y19" i="8" s="1"/>
  <c r="W20" i="8"/>
  <c r="X20" i="8" s="1"/>
  <c r="Y20" i="8" s="1"/>
  <c r="W21" i="8"/>
  <c r="X21" i="8" s="1"/>
  <c r="Y21" i="8" s="1"/>
  <c r="W22" i="8"/>
  <c r="X22" i="8" s="1"/>
  <c r="Y22" i="8" s="1"/>
  <c r="W23" i="8"/>
  <c r="X23" i="8"/>
  <c r="Y23" i="8"/>
  <c r="W24" i="8"/>
  <c r="X24" i="8" s="1"/>
  <c r="Y24" i="8" s="1"/>
  <c r="W25" i="8"/>
  <c r="X25" i="8"/>
  <c r="Y25" i="8" s="1"/>
  <c r="W26" i="8"/>
  <c r="X26" i="8"/>
  <c r="Y26" i="8" s="1"/>
  <c r="W27" i="8"/>
  <c r="X27" i="8" s="1"/>
  <c r="Y27" i="8" s="1"/>
  <c r="W28" i="8"/>
  <c r="X28" i="8" s="1"/>
  <c r="Y28" i="8" s="1"/>
  <c r="W29" i="8"/>
  <c r="X29" i="8" s="1"/>
  <c r="Y29" i="8" s="1"/>
  <c r="W30" i="8"/>
  <c r="X30" i="8" s="1"/>
  <c r="Y30" i="8" s="1"/>
  <c r="W31" i="8"/>
  <c r="X31" i="8"/>
  <c r="Y31" i="8"/>
  <c r="W32" i="8"/>
  <c r="X32" i="8" s="1"/>
  <c r="Y32" i="8" s="1"/>
  <c r="W33" i="8"/>
  <c r="X33" i="8"/>
  <c r="Y33" i="8" s="1"/>
  <c r="W34" i="8"/>
  <c r="X34" i="8"/>
  <c r="Y34" i="8" s="1"/>
  <c r="W35" i="8"/>
  <c r="X35" i="8" s="1"/>
  <c r="Y35" i="8" s="1"/>
  <c r="W36" i="8"/>
  <c r="X36" i="8" s="1"/>
  <c r="Y36" i="8" s="1"/>
  <c r="W37" i="8"/>
  <c r="X37" i="8" s="1"/>
  <c r="Y37" i="8" s="1"/>
  <c r="W38" i="8"/>
  <c r="X38" i="8" s="1"/>
  <c r="Y38" i="8" s="1"/>
  <c r="W39" i="8"/>
  <c r="X39" i="8"/>
  <c r="Y39" i="8"/>
  <c r="W40" i="8"/>
  <c r="X40" i="8" s="1"/>
  <c r="Y40" i="8" s="1"/>
  <c r="W41" i="8"/>
  <c r="X41" i="8"/>
  <c r="Y41" i="8" s="1"/>
  <c r="W42" i="8"/>
  <c r="X42" i="8"/>
  <c r="Y42" i="8" s="1"/>
  <c r="W43" i="8"/>
  <c r="X43" i="8" s="1"/>
  <c r="Y43" i="8" s="1"/>
  <c r="W44" i="8"/>
  <c r="X44" i="8" s="1"/>
  <c r="Y44" i="8" s="1"/>
  <c r="W45" i="8"/>
  <c r="X45" i="8" s="1"/>
  <c r="Y45" i="8" s="1"/>
  <c r="W46" i="8"/>
  <c r="X46" i="8" s="1"/>
  <c r="Y46" i="8"/>
  <c r="W47" i="8"/>
  <c r="X47" i="8"/>
  <c r="Y47" i="8"/>
  <c r="W48" i="8"/>
  <c r="X48" i="8" s="1"/>
  <c r="Y48" i="8" s="1"/>
  <c r="W49" i="8"/>
  <c r="X49" i="8"/>
  <c r="Y49" i="8" s="1"/>
  <c r="W50" i="8"/>
  <c r="X50" i="8"/>
  <c r="Y50" i="8" s="1"/>
  <c r="W51" i="8"/>
  <c r="X51" i="8" s="1"/>
  <c r="Y51" i="8" s="1"/>
  <c r="W52" i="8"/>
  <c r="X52" i="8" s="1"/>
  <c r="Y52" i="8" s="1"/>
  <c r="W53" i="8"/>
  <c r="X53" i="8" s="1"/>
  <c r="Y53" i="8" s="1"/>
  <c r="W54" i="8"/>
  <c r="X54" i="8" s="1"/>
  <c r="Y54" i="8" s="1"/>
  <c r="W55" i="8"/>
  <c r="X55" i="8"/>
  <c r="Y55" i="8"/>
  <c r="W56" i="8"/>
  <c r="X56" i="8" s="1"/>
  <c r="Y56" i="8" s="1"/>
  <c r="W57" i="8"/>
  <c r="X57" i="8"/>
  <c r="Y57" i="8" s="1"/>
  <c r="W58" i="8"/>
  <c r="X58" i="8"/>
  <c r="Y58" i="8" s="1"/>
  <c r="W59" i="8"/>
  <c r="X59" i="8" s="1"/>
  <c r="Y59" i="8" s="1"/>
  <c r="W60" i="8"/>
  <c r="X60" i="8" s="1"/>
  <c r="Y60" i="8" s="1"/>
  <c r="W61" i="8"/>
  <c r="X61" i="8" s="1"/>
  <c r="Y61" i="8" s="1"/>
  <c r="W62" i="8"/>
  <c r="X62" i="8" s="1"/>
  <c r="Y62" i="8"/>
  <c r="W63" i="8"/>
  <c r="X63" i="8"/>
  <c r="Y63" i="8"/>
  <c r="W64" i="8"/>
  <c r="X64" i="8" s="1"/>
  <c r="Y64" i="8" s="1"/>
  <c r="W65" i="8"/>
  <c r="X65" i="8"/>
  <c r="Y65" i="8" s="1"/>
  <c r="W66" i="8"/>
  <c r="X66" i="8"/>
  <c r="Y66" i="8" s="1"/>
  <c r="W67" i="8"/>
  <c r="X67" i="8" s="1"/>
  <c r="Y67" i="8" s="1"/>
  <c r="W68" i="8"/>
  <c r="X68" i="8" s="1"/>
  <c r="Y68" i="8" s="1"/>
  <c r="W69" i="8"/>
  <c r="X69" i="8" s="1"/>
  <c r="Y69" i="8" s="1"/>
  <c r="W70" i="8"/>
  <c r="X70" i="8" s="1"/>
  <c r="Y70" i="8"/>
  <c r="W71" i="8"/>
  <c r="X71" i="8"/>
  <c r="Y71" i="8"/>
  <c r="W72" i="8"/>
  <c r="X72" i="8" s="1"/>
  <c r="Y72" i="8" s="1"/>
  <c r="W73" i="8"/>
  <c r="X73" i="8"/>
  <c r="Y73" i="8" s="1"/>
  <c r="W74" i="8"/>
  <c r="X74" i="8"/>
  <c r="Y74" i="8" s="1"/>
  <c r="W75" i="8"/>
  <c r="X75" i="8" s="1"/>
  <c r="Y75" i="8" s="1"/>
  <c r="W76" i="8"/>
  <c r="X76" i="8" s="1"/>
  <c r="Y76" i="8" s="1"/>
  <c r="W77" i="8"/>
  <c r="X77" i="8" s="1"/>
  <c r="Y77" i="8" s="1"/>
  <c r="W78" i="8"/>
  <c r="X78" i="8" s="1"/>
  <c r="Y78" i="8"/>
  <c r="W79" i="8"/>
  <c r="X79" i="8"/>
  <c r="Y79" i="8"/>
  <c r="W80" i="8"/>
  <c r="X80" i="8" s="1"/>
  <c r="Y80" i="8" s="1"/>
  <c r="W81" i="8"/>
  <c r="X81" i="8"/>
  <c r="Y81" i="8" s="1"/>
  <c r="W82" i="8"/>
  <c r="X82" i="8"/>
  <c r="Y82" i="8" s="1"/>
  <c r="W83" i="8"/>
  <c r="X83" i="8" s="1"/>
  <c r="Y83" i="8" s="1"/>
  <c r="W84" i="8"/>
  <c r="X84" i="8" s="1"/>
  <c r="Y84" i="8" s="1"/>
  <c r="W85" i="8"/>
  <c r="X85" i="8" s="1"/>
  <c r="Y85" i="8" s="1"/>
  <c r="W86" i="8"/>
  <c r="X86" i="8"/>
  <c r="Y86" i="8"/>
  <c r="W87" i="8"/>
  <c r="X87" i="8"/>
  <c r="Y87" i="8"/>
  <c r="W88" i="8"/>
  <c r="X88" i="8" s="1"/>
  <c r="Y88" i="8" s="1"/>
  <c r="W89" i="8"/>
  <c r="X89" i="8"/>
  <c r="Y89" i="8" s="1"/>
  <c r="W90" i="8"/>
  <c r="X90" i="8"/>
  <c r="Y90" i="8" s="1"/>
  <c r="W91" i="8"/>
  <c r="X91" i="8" s="1"/>
  <c r="Y91" i="8" s="1"/>
  <c r="W92" i="8"/>
  <c r="X92" i="8" s="1"/>
  <c r="Y92" i="8" s="1"/>
  <c r="W93" i="8"/>
  <c r="X93" i="8" s="1"/>
  <c r="Y93" i="8" s="1"/>
  <c r="W94" i="8"/>
  <c r="X94" i="8"/>
  <c r="Y94" i="8"/>
  <c r="W95" i="8"/>
  <c r="X95" i="8"/>
  <c r="Y95" i="8"/>
  <c r="W96" i="8"/>
  <c r="X96" i="8" s="1"/>
  <c r="Y96" i="8" s="1"/>
  <c r="W97" i="8"/>
  <c r="X97" i="8"/>
  <c r="Y97" i="8" s="1"/>
  <c r="W98" i="8"/>
  <c r="X98" i="8"/>
  <c r="Y98" i="8" s="1"/>
  <c r="W99" i="8"/>
  <c r="X99" i="8" s="1"/>
  <c r="Y99" i="8" s="1"/>
  <c r="W100" i="8"/>
  <c r="X100" i="8" s="1"/>
  <c r="Y100" i="8" s="1"/>
  <c r="W101" i="8"/>
  <c r="X101" i="8" s="1"/>
  <c r="Y101" i="8" s="1"/>
  <c r="W102" i="8"/>
  <c r="X102" i="8"/>
  <c r="Y102" i="8"/>
  <c r="W103" i="8"/>
  <c r="X103" i="8"/>
  <c r="Y103" i="8"/>
  <c r="W104" i="8"/>
  <c r="X104" i="8" s="1"/>
  <c r="Y104" i="8" s="1"/>
  <c r="W105" i="8"/>
  <c r="X105" i="8"/>
  <c r="Y105" i="8" s="1"/>
  <c r="W106" i="8"/>
  <c r="X106" i="8"/>
  <c r="Y106" i="8" s="1"/>
  <c r="W107" i="8"/>
  <c r="X107" i="8" s="1"/>
  <c r="Y107" i="8" s="1"/>
  <c r="W108" i="8"/>
  <c r="X108" i="8" s="1"/>
  <c r="Y108" i="8" s="1"/>
  <c r="W109" i="8"/>
  <c r="X109" i="8" s="1"/>
  <c r="Y109" i="8" s="1"/>
  <c r="W110" i="8"/>
  <c r="X110" i="8"/>
  <c r="Y110" i="8"/>
  <c r="W111" i="8"/>
  <c r="X111" i="8"/>
  <c r="Y111" i="8"/>
  <c r="W112" i="8"/>
  <c r="X112" i="8" s="1"/>
  <c r="Y112" i="8" s="1"/>
  <c r="W113" i="8"/>
  <c r="X113" i="8"/>
  <c r="Y113" i="8" s="1"/>
  <c r="W114" i="8"/>
  <c r="X114" i="8"/>
  <c r="Y114" i="8" s="1"/>
  <c r="W115" i="8"/>
  <c r="X115" i="8" s="1"/>
  <c r="Y115" i="8" s="1"/>
  <c r="W116" i="8"/>
  <c r="X116" i="8" s="1"/>
  <c r="Y116" i="8" s="1"/>
  <c r="W117" i="8"/>
  <c r="X117" i="8" s="1"/>
  <c r="Y117" i="8" s="1"/>
  <c r="W118" i="8"/>
  <c r="X118" i="8"/>
  <c r="Y118" i="8"/>
  <c r="W119" i="8"/>
  <c r="X119" i="8"/>
  <c r="Y119" i="8"/>
  <c r="W120" i="8"/>
  <c r="X120" i="8" s="1"/>
  <c r="Y120" i="8" s="1"/>
  <c r="W121" i="8"/>
  <c r="X121" i="8"/>
  <c r="Y121" i="8" s="1"/>
  <c r="W122" i="8"/>
  <c r="X122" i="8"/>
  <c r="Y122" i="8" s="1"/>
  <c r="W123" i="8"/>
  <c r="X123" i="8" s="1"/>
  <c r="Y123" i="8" s="1"/>
  <c r="W124" i="8"/>
  <c r="X124" i="8" s="1"/>
  <c r="Y124" i="8" s="1"/>
  <c r="W125" i="8"/>
  <c r="X125" i="8" s="1"/>
  <c r="Y125" i="8" s="1"/>
  <c r="W126" i="8"/>
  <c r="X126" i="8"/>
  <c r="Y126" i="8"/>
  <c r="W127" i="8"/>
  <c r="X127" i="8"/>
  <c r="Y127" i="8"/>
  <c r="W128" i="8"/>
  <c r="X128" i="8" s="1"/>
  <c r="Y128" i="8" s="1"/>
  <c r="W129" i="8"/>
  <c r="X129" i="8"/>
  <c r="Y129" i="8" s="1"/>
  <c r="W130" i="8"/>
  <c r="X130" i="8"/>
  <c r="Y130" i="8" s="1"/>
  <c r="W131" i="8"/>
  <c r="X131" i="8" s="1"/>
  <c r="Y131" i="8" s="1"/>
  <c r="W132" i="8"/>
  <c r="X132" i="8" s="1"/>
  <c r="Y132" i="8" s="1"/>
  <c r="W133" i="8"/>
  <c r="X133" i="8" s="1"/>
  <c r="Y133" i="8" s="1"/>
  <c r="W134" i="8"/>
  <c r="X134" i="8"/>
  <c r="Y134" i="8"/>
  <c r="W135" i="8"/>
  <c r="X135" i="8"/>
  <c r="Y135" i="8"/>
  <c r="W136" i="8"/>
  <c r="X136" i="8" s="1"/>
  <c r="Y136" i="8" s="1"/>
  <c r="W137" i="8"/>
  <c r="X137" i="8"/>
  <c r="Y137" i="8" s="1"/>
  <c r="W138" i="8"/>
  <c r="X138" i="8"/>
  <c r="Y138" i="8" s="1"/>
  <c r="W139" i="8"/>
  <c r="X139" i="8" s="1"/>
  <c r="Y139" i="8" s="1"/>
  <c r="W140" i="8"/>
  <c r="X140" i="8" s="1"/>
  <c r="Y140" i="8" s="1"/>
  <c r="W141" i="8"/>
  <c r="X141" i="8" s="1"/>
  <c r="Y141" i="8" s="1"/>
  <c r="W142" i="8"/>
  <c r="X142" i="8"/>
  <c r="Y142" i="8"/>
  <c r="W143" i="8"/>
  <c r="X143" i="8"/>
  <c r="Y143" i="8"/>
  <c r="W144" i="8"/>
  <c r="X144" i="8" s="1"/>
  <c r="Y144" i="8" s="1"/>
  <c r="W145" i="8"/>
  <c r="X145" i="8"/>
  <c r="Y145" i="8" s="1"/>
  <c r="W146" i="8"/>
  <c r="X146" i="8"/>
  <c r="Y146" i="8" s="1"/>
  <c r="W147" i="8"/>
  <c r="X147" i="8" s="1"/>
  <c r="Y147" i="8" s="1"/>
  <c r="W148" i="8"/>
  <c r="X148" i="8" s="1"/>
  <c r="Y148" i="8" s="1"/>
  <c r="W149" i="8"/>
  <c r="X149" i="8" s="1"/>
  <c r="Y149" i="8" s="1"/>
  <c r="W150" i="8"/>
  <c r="X150" i="8"/>
  <c r="Y150" i="8"/>
  <c r="W151" i="8"/>
  <c r="X151" i="8"/>
  <c r="Y151" i="8"/>
  <c r="W152" i="8"/>
  <c r="X152" i="8" s="1"/>
  <c r="Y152" i="8" s="1"/>
  <c r="W153" i="8"/>
  <c r="X153" i="8"/>
  <c r="Y153" i="8" s="1"/>
  <c r="W154" i="8"/>
  <c r="X154" i="8"/>
  <c r="Y154" i="8" s="1"/>
  <c r="W155" i="8"/>
  <c r="X155" i="8" s="1"/>
  <c r="Y155" i="8" s="1"/>
  <c r="W156" i="8"/>
  <c r="X156" i="8" s="1"/>
  <c r="Y156" i="8" s="1"/>
  <c r="W157" i="8"/>
  <c r="X157" i="8" s="1"/>
  <c r="Y157" i="8" s="1"/>
  <c r="W158" i="8"/>
  <c r="X158" i="8"/>
  <c r="Y158" i="8"/>
  <c r="W159" i="8"/>
  <c r="X159" i="8"/>
  <c r="Y159" i="8"/>
  <c r="W160" i="8"/>
  <c r="X160" i="8" s="1"/>
  <c r="Y160" i="8" s="1"/>
  <c r="W161" i="8"/>
  <c r="X161" i="8"/>
  <c r="Y161" i="8" s="1"/>
  <c r="W162" i="8"/>
  <c r="X162" i="8"/>
  <c r="Y162" i="8" s="1"/>
  <c r="W163" i="8"/>
  <c r="X163" i="8" s="1"/>
  <c r="Y163" i="8" s="1"/>
  <c r="W164" i="8"/>
  <c r="X164" i="8" s="1"/>
  <c r="Y164" i="8" s="1"/>
  <c r="W165" i="8"/>
  <c r="X165" i="8" s="1"/>
  <c r="Y165" i="8" s="1"/>
  <c r="W166" i="8"/>
  <c r="X166" i="8"/>
  <c r="Y166" i="8"/>
  <c r="W167" i="8"/>
  <c r="X167" i="8"/>
  <c r="Y167" i="8"/>
  <c r="W168" i="8"/>
  <c r="X168" i="8" s="1"/>
  <c r="Y168" i="8" s="1"/>
  <c r="W169" i="8"/>
  <c r="X169" i="8"/>
  <c r="Y169" i="8" s="1"/>
  <c r="W170" i="8"/>
  <c r="X170" i="8"/>
  <c r="Y170" i="8" s="1"/>
  <c r="W171" i="8"/>
  <c r="X171" i="8" s="1"/>
  <c r="Y171" i="8" s="1"/>
  <c r="W172" i="8"/>
  <c r="X172" i="8" s="1"/>
  <c r="Y172" i="8" s="1"/>
  <c r="W173" i="8"/>
  <c r="X173" i="8" s="1"/>
  <c r="Y173" i="8" s="1"/>
  <c r="W174" i="8"/>
  <c r="X174" i="8"/>
  <c r="Y174" i="8"/>
  <c r="W175" i="8"/>
  <c r="X175" i="8"/>
  <c r="Y175" i="8"/>
  <c r="W176" i="8"/>
  <c r="X176" i="8" s="1"/>
  <c r="Y176" i="8" s="1"/>
  <c r="W177" i="8"/>
  <c r="X177" i="8"/>
  <c r="Y177" i="8" s="1"/>
  <c r="W178" i="8"/>
  <c r="X178" i="8"/>
  <c r="Y178" i="8" s="1"/>
  <c r="W179" i="8"/>
  <c r="X179" i="8" s="1"/>
  <c r="Y179" i="8" s="1"/>
  <c r="W180" i="8"/>
  <c r="X180" i="8" s="1"/>
  <c r="Y180" i="8" s="1"/>
  <c r="W181" i="8"/>
  <c r="X181" i="8" s="1"/>
  <c r="Y181" i="8" s="1"/>
  <c r="W182" i="8"/>
  <c r="X182" i="8"/>
  <c r="Y182" i="8"/>
  <c r="W183" i="8"/>
  <c r="X183" i="8"/>
  <c r="Y183" i="8"/>
  <c r="W184" i="8"/>
  <c r="X184" i="8" s="1"/>
  <c r="Y184" i="8" s="1"/>
  <c r="W185" i="8"/>
  <c r="X185" i="8"/>
  <c r="Y185" i="8" s="1"/>
  <c r="W186" i="8"/>
  <c r="X186" i="8"/>
  <c r="Y186" i="8" s="1"/>
  <c r="W187" i="8"/>
  <c r="X187" i="8" s="1"/>
  <c r="Y187" i="8" s="1"/>
  <c r="W188" i="8"/>
  <c r="X188" i="8" s="1"/>
  <c r="Y188" i="8" s="1"/>
  <c r="W189" i="8"/>
  <c r="X189" i="8" s="1"/>
  <c r="Y189" i="8" s="1"/>
  <c r="W190" i="8"/>
  <c r="X190" i="8"/>
  <c r="Y190" i="8"/>
  <c r="W191" i="8"/>
  <c r="X191" i="8"/>
  <c r="Y191" i="8"/>
  <c r="W192" i="8"/>
  <c r="X192" i="8" s="1"/>
  <c r="Y192" i="8" s="1"/>
  <c r="W193" i="8"/>
  <c r="X193" i="8"/>
  <c r="Y193" i="8" s="1"/>
  <c r="W194" i="8"/>
  <c r="X194" i="8"/>
  <c r="Y194" i="8" s="1"/>
  <c r="W195" i="8"/>
  <c r="X195" i="8" s="1"/>
  <c r="Y195" i="8" s="1"/>
  <c r="W196" i="8"/>
  <c r="X196" i="8" s="1"/>
  <c r="Y196" i="8" s="1"/>
  <c r="W197" i="8"/>
  <c r="X197" i="8" s="1"/>
  <c r="Y197" i="8" s="1"/>
  <c r="W198" i="8"/>
  <c r="X198" i="8"/>
  <c r="Y198" i="8"/>
  <c r="W199" i="8"/>
  <c r="X199" i="8"/>
  <c r="Y199" i="8"/>
  <c r="W200" i="8"/>
  <c r="X200" i="8" s="1"/>
  <c r="Y200" i="8" s="1"/>
  <c r="W201" i="8"/>
  <c r="X201" i="8"/>
  <c r="Y201" i="8" s="1"/>
  <c r="W202" i="8"/>
  <c r="X202" i="8"/>
  <c r="Y202" i="8" s="1"/>
  <c r="W203" i="8"/>
  <c r="X203" i="8" s="1"/>
  <c r="Y203" i="8" s="1"/>
  <c r="W204" i="8"/>
  <c r="X204" i="8" s="1"/>
  <c r="Y204" i="8" s="1"/>
  <c r="W205" i="8"/>
  <c r="X205" i="8" s="1"/>
  <c r="Y205" i="8" s="1"/>
  <c r="W206" i="8"/>
  <c r="X206" i="8"/>
  <c r="Y206" i="8"/>
  <c r="W207" i="8"/>
  <c r="X207" i="8"/>
  <c r="Y207" i="8"/>
  <c r="W208" i="8"/>
  <c r="X208" i="8" s="1"/>
  <c r="Y208" i="8" s="1"/>
  <c r="W209" i="8"/>
  <c r="X209" i="8"/>
  <c r="Y209" i="8" s="1"/>
  <c r="W210" i="8"/>
  <c r="X210" i="8"/>
  <c r="Y210" i="8" s="1"/>
  <c r="W211" i="8"/>
  <c r="X211" i="8" s="1"/>
  <c r="Y211" i="8" s="1"/>
  <c r="W212" i="8"/>
  <c r="X212" i="8" s="1"/>
  <c r="Y212" i="8" s="1"/>
  <c r="W213" i="8"/>
  <c r="X213" i="8" s="1"/>
  <c r="Y213" i="8" s="1"/>
  <c r="W214" i="8"/>
  <c r="X214" i="8"/>
  <c r="Y214" i="8"/>
  <c r="W215" i="8"/>
  <c r="X215" i="8"/>
  <c r="Y215" i="8"/>
  <c r="W216" i="8"/>
  <c r="X216" i="8" s="1"/>
  <c r="Y216" i="8" s="1"/>
  <c r="W217" i="8"/>
  <c r="X217" i="8"/>
  <c r="Y217" i="8" s="1"/>
  <c r="W218" i="8"/>
  <c r="X218" i="8"/>
  <c r="Y218" i="8" s="1"/>
  <c r="W219" i="8"/>
  <c r="X219" i="8" s="1"/>
  <c r="Y219" i="8" s="1"/>
  <c r="W220" i="8"/>
  <c r="X220" i="8" s="1"/>
  <c r="Y220" i="8" s="1"/>
  <c r="W221" i="8"/>
  <c r="X221" i="8" s="1"/>
  <c r="Y221" i="8" s="1"/>
  <c r="W222" i="8"/>
  <c r="X222" i="8"/>
  <c r="Y222" i="8"/>
  <c r="W223" i="8"/>
  <c r="X223" i="8"/>
  <c r="Y223" i="8"/>
  <c r="W224" i="8"/>
  <c r="X224" i="8" s="1"/>
  <c r="Y224" i="8" s="1"/>
  <c r="W225" i="8"/>
  <c r="X225" i="8"/>
  <c r="Y225" i="8" s="1"/>
  <c r="W226" i="8"/>
  <c r="X226" i="8"/>
  <c r="Y226" i="8" s="1"/>
  <c r="W227" i="8"/>
  <c r="X227" i="8" s="1"/>
  <c r="Y227" i="8" s="1"/>
  <c r="W228" i="8"/>
  <c r="X228" i="8" s="1"/>
  <c r="Y228" i="8" s="1"/>
  <c r="W229" i="8"/>
  <c r="X229" i="8" s="1"/>
  <c r="Y229" i="8" s="1"/>
  <c r="W230" i="8"/>
  <c r="X230" i="8"/>
  <c r="Y230" i="8"/>
  <c r="W231" i="8"/>
  <c r="X231" i="8"/>
  <c r="Y231" i="8"/>
  <c r="W232" i="8"/>
  <c r="X232" i="8" s="1"/>
  <c r="Y232" i="8" s="1"/>
  <c r="W233" i="8"/>
  <c r="X233" i="8"/>
  <c r="Y233" i="8" s="1"/>
  <c r="W234" i="8"/>
  <c r="X234" i="8"/>
  <c r="Y234" i="8" s="1"/>
  <c r="W235" i="8"/>
  <c r="X235" i="8" s="1"/>
  <c r="Y235" i="8" s="1"/>
  <c r="W236" i="8"/>
  <c r="X236" i="8" s="1"/>
  <c r="Y236" i="8" s="1"/>
  <c r="W237" i="8"/>
  <c r="X237" i="8" s="1"/>
  <c r="Y237" i="8" s="1"/>
  <c r="W238" i="8"/>
  <c r="X238" i="8"/>
  <c r="Y238" i="8"/>
  <c r="W239" i="8"/>
  <c r="X239" i="8"/>
  <c r="Y239" i="8"/>
  <c r="W240" i="8"/>
  <c r="X240" i="8" s="1"/>
  <c r="Y240" i="8" s="1"/>
  <c r="W241" i="8"/>
  <c r="X241" i="8"/>
  <c r="Y241" i="8" s="1"/>
  <c r="W242" i="8"/>
  <c r="X242" i="8"/>
  <c r="Y242" i="8" s="1"/>
  <c r="W243" i="8"/>
  <c r="X243" i="8" s="1"/>
  <c r="Y243" i="8" s="1"/>
  <c r="W244" i="8"/>
  <c r="X244" i="8" s="1"/>
  <c r="Y244" i="8" s="1"/>
  <c r="W245" i="8"/>
  <c r="X245" i="8" s="1"/>
  <c r="Y245" i="8" s="1"/>
  <c r="W246" i="8"/>
  <c r="X246" i="8"/>
  <c r="Y246" i="8"/>
  <c r="W247" i="8"/>
  <c r="X247" i="8"/>
  <c r="Y247" i="8"/>
  <c r="W248" i="8"/>
  <c r="X248" i="8" s="1"/>
  <c r="Y248" i="8" s="1"/>
  <c r="W249" i="8"/>
  <c r="X249" i="8"/>
  <c r="Y249" i="8" s="1"/>
  <c r="W250" i="8"/>
  <c r="X250" i="8"/>
  <c r="Y250" i="8" s="1"/>
  <c r="W251" i="8"/>
  <c r="X251" i="8" s="1"/>
  <c r="Y251" i="8" s="1"/>
  <c r="W252" i="8"/>
  <c r="X252" i="8" s="1"/>
  <c r="Y252" i="8" s="1"/>
  <c r="W253" i="8"/>
  <c r="X253" i="8" s="1"/>
  <c r="Y253" i="8" s="1"/>
  <c r="W254" i="8"/>
  <c r="X254" i="8"/>
  <c r="Y254" i="8"/>
  <c r="W255" i="8"/>
  <c r="X255" i="8"/>
  <c r="Y255" i="8"/>
  <c r="W256" i="8"/>
  <c r="X256" i="8" s="1"/>
  <c r="Y256" i="8" s="1"/>
  <c r="W257" i="8"/>
  <c r="X257" i="8"/>
  <c r="Y257" i="8" s="1"/>
  <c r="W258" i="8"/>
  <c r="X258" i="8"/>
  <c r="Y258" i="8" s="1"/>
  <c r="W259" i="8"/>
  <c r="X259" i="8" s="1"/>
  <c r="Y259" i="8" s="1"/>
  <c r="W260" i="8"/>
  <c r="X260" i="8" s="1"/>
  <c r="Y260" i="8" s="1"/>
  <c r="W261" i="8"/>
  <c r="X261" i="8" s="1"/>
  <c r="Y261" i="8" s="1"/>
  <c r="W262" i="8"/>
  <c r="X262" i="8"/>
  <c r="Y262" i="8"/>
  <c r="W263" i="8"/>
  <c r="X263" i="8"/>
  <c r="Y263" i="8"/>
  <c r="W264" i="8"/>
  <c r="X264" i="8" s="1"/>
  <c r="Y264" i="8" s="1"/>
  <c r="W265" i="8"/>
  <c r="X265" i="8"/>
  <c r="Y265" i="8" s="1"/>
  <c r="W266" i="8"/>
  <c r="X266" i="8"/>
  <c r="Y266" i="8" s="1"/>
  <c r="W267" i="8"/>
  <c r="X267" i="8" s="1"/>
  <c r="Y267" i="8" s="1"/>
  <c r="W268" i="8"/>
  <c r="X268" i="8" s="1"/>
  <c r="Y268" i="8" s="1"/>
  <c r="W269" i="8"/>
  <c r="X269" i="8" s="1"/>
  <c r="Y269" i="8" s="1"/>
  <c r="W270" i="8"/>
  <c r="X270" i="8"/>
  <c r="Y270" i="8"/>
  <c r="W271" i="8"/>
  <c r="X271" i="8"/>
  <c r="Y271" i="8"/>
  <c r="W272" i="8"/>
  <c r="X272" i="8" s="1"/>
  <c r="Y272" i="8" s="1"/>
  <c r="W273" i="8"/>
  <c r="X273" i="8"/>
  <c r="Y273" i="8" s="1"/>
  <c r="W274" i="8"/>
  <c r="X274" i="8"/>
  <c r="Y274" i="8" s="1"/>
  <c r="W275" i="8"/>
  <c r="X275" i="8" s="1"/>
  <c r="Y275" i="8" s="1"/>
  <c r="W276" i="8"/>
  <c r="X276" i="8" s="1"/>
  <c r="Y276" i="8" s="1"/>
  <c r="W277" i="8"/>
  <c r="X277" i="8" s="1"/>
  <c r="Y277" i="8" s="1"/>
  <c r="W278" i="8"/>
  <c r="X278" i="8"/>
  <c r="Y278" i="8"/>
  <c r="W279" i="8"/>
  <c r="X279" i="8"/>
  <c r="Y279" i="8"/>
  <c r="W280" i="8"/>
  <c r="X280" i="8" s="1"/>
  <c r="Y280" i="8" s="1"/>
  <c r="W281" i="8"/>
  <c r="X281" i="8"/>
  <c r="Y281" i="8" s="1"/>
  <c r="W282" i="8"/>
  <c r="X282" i="8"/>
  <c r="Y282" i="8" s="1"/>
  <c r="W283" i="8"/>
  <c r="X283" i="8" s="1"/>
  <c r="Y283" i="8" s="1"/>
  <c r="W284" i="8"/>
  <c r="X284" i="8" s="1"/>
  <c r="Y284" i="8" s="1"/>
  <c r="W285" i="8"/>
  <c r="X285" i="8"/>
  <c r="Y285" i="8" s="1"/>
  <c r="W286" i="8"/>
  <c r="X286" i="8"/>
  <c r="Y286" i="8"/>
  <c r="W287" i="8"/>
  <c r="X287" i="8"/>
  <c r="Y287" i="8"/>
  <c r="W288" i="8"/>
  <c r="X288" i="8" s="1"/>
  <c r="Y288" i="8" s="1"/>
  <c r="W289" i="8"/>
  <c r="X289" i="8"/>
  <c r="Y289" i="8" s="1"/>
  <c r="W290" i="8"/>
  <c r="X290" i="8"/>
  <c r="Y290" i="8" s="1"/>
  <c r="W291" i="8"/>
  <c r="X291" i="8" s="1"/>
  <c r="Y291" i="8" s="1"/>
  <c r="W292" i="8"/>
  <c r="X292" i="8" s="1"/>
  <c r="Y292" i="8" s="1"/>
  <c r="W293" i="8"/>
  <c r="X293" i="8"/>
  <c r="Y293" i="8" s="1"/>
  <c r="W294" i="8"/>
  <c r="X294" i="8"/>
  <c r="Y294" i="8" s="1"/>
  <c r="W295" i="8"/>
  <c r="X295" i="8"/>
  <c r="Y295" i="8"/>
  <c r="W296" i="8"/>
  <c r="X296" i="8" s="1"/>
  <c r="Y296" i="8" s="1"/>
  <c r="W297" i="8"/>
  <c r="X297" i="8" s="1"/>
  <c r="Y297" i="8" s="1"/>
  <c r="W298" i="8"/>
  <c r="X298" i="8"/>
  <c r="Y298" i="8"/>
  <c r="W299" i="8"/>
  <c r="X299" i="8" s="1"/>
  <c r="Y299" i="8"/>
  <c r="W300" i="8"/>
  <c r="X300" i="8" s="1"/>
  <c r="Y300" i="8" s="1"/>
  <c r="W301" i="8"/>
  <c r="X301" i="8" s="1"/>
  <c r="Y301" i="8" s="1"/>
  <c r="W302" i="8"/>
  <c r="X302" i="8"/>
  <c r="Y302" i="8"/>
  <c r="W303" i="8"/>
  <c r="X303" i="8"/>
  <c r="Y303" i="8"/>
  <c r="W304" i="8"/>
  <c r="X304" i="8" s="1"/>
  <c r="Y304" i="8" s="1"/>
  <c r="W305" i="8"/>
  <c r="X305" i="8"/>
  <c r="Y305" i="8" s="1"/>
  <c r="W306" i="8"/>
  <c r="X306" i="8"/>
  <c r="Y306" i="8" s="1"/>
  <c r="W307" i="8"/>
  <c r="X307" i="8" s="1"/>
  <c r="Y307" i="8"/>
  <c r="W308" i="8"/>
  <c r="X308" i="8" s="1"/>
  <c r="Y308" i="8" s="1"/>
  <c r="W309" i="8"/>
  <c r="X309" i="8"/>
  <c r="Y309" i="8" s="1"/>
  <c r="W310" i="8"/>
  <c r="X310" i="8"/>
  <c r="Y310" i="8" s="1"/>
  <c r="W311" i="8"/>
  <c r="X311" i="8"/>
  <c r="Y311" i="8"/>
  <c r="W312" i="8"/>
  <c r="X312" i="8" s="1"/>
  <c r="Y312" i="8" s="1"/>
  <c r="W313" i="8"/>
  <c r="X313" i="8" s="1"/>
  <c r="Y313" i="8" s="1"/>
  <c r="W314" i="8"/>
  <c r="X314" i="8" s="1"/>
  <c r="Y314" i="8" s="1"/>
  <c r="W315" i="8"/>
  <c r="X315" i="8" s="1"/>
  <c r="Y315" i="8"/>
  <c r="W316" i="8"/>
  <c r="X316" i="8" s="1"/>
  <c r="Y316" i="8"/>
  <c r="W317" i="8"/>
  <c r="X317" i="8"/>
  <c r="Y317" i="8" s="1"/>
  <c r="W318" i="8"/>
  <c r="X318" i="8"/>
  <c r="Y318" i="8"/>
  <c r="W319" i="8"/>
  <c r="X319" i="8"/>
  <c r="Y319" i="8"/>
  <c r="W320" i="8"/>
  <c r="X320" i="8" s="1"/>
  <c r="Y320" i="8" s="1"/>
  <c r="W321" i="8"/>
  <c r="X321" i="8" s="1"/>
  <c r="Y321" i="8" s="1"/>
  <c r="W322" i="8"/>
  <c r="X322" i="8"/>
  <c r="Y322" i="8"/>
  <c r="W323" i="8"/>
  <c r="X323" i="8" s="1"/>
  <c r="Y323" i="8"/>
  <c r="W324" i="8"/>
  <c r="X324" i="8" s="1"/>
  <c r="Y324" i="8"/>
  <c r="W325" i="8"/>
  <c r="X325" i="8"/>
  <c r="Y325" i="8" s="1"/>
  <c r="W326" i="8"/>
  <c r="X326" i="8"/>
  <c r="Y326" i="8" s="1"/>
  <c r="W327" i="8"/>
  <c r="X327" i="8"/>
  <c r="Y327" i="8"/>
  <c r="W328" i="8"/>
  <c r="X328" i="8" s="1"/>
  <c r="Y328" i="8" s="1"/>
  <c r="W329" i="8"/>
  <c r="X329" i="8"/>
  <c r="Y329" i="8" s="1"/>
  <c r="W330" i="8"/>
  <c r="X330" i="8" s="1"/>
  <c r="Y330" i="8" s="1"/>
  <c r="W331" i="8"/>
  <c r="X331" i="8" s="1"/>
  <c r="Y331" i="8"/>
  <c r="W332" i="8"/>
  <c r="X332" i="8" s="1"/>
  <c r="Y332" i="8"/>
  <c r="W333" i="8"/>
  <c r="X333" i="8"/>
  <c r="Y333" i="8" s="1"/>
  <c r="W334" i="8"/>
  <c r="X334" i="8"/>
  <c r="Y334" i="8" s="1"/>
  <c r="W335" i="8"/>
  <c r="X335" i="8"/>
  <c r="Y335" i="8"/>
  <c r="W336" i="8"/>
  <c r="X336" i="8" s="1"/>
  <c r="Y336" i="8" s="1"/>
  <c r="W337" i="8"/>
  <c r="X337" i="8" s="1"/>
  <c r="Y337" i="8" s="1"/>
  <c r="W338" i="8"/>
  <c r="X338" i="8" s="1"/>
  <c r="Y338" i="8" s="1"/>
  <c r="W339" i="8"/>
  <c r="X339" i="8" s="1"/>
  <c r="Y339" i="8"/>
  <c r="W340" i="8"/>
  <c r="X340" i="8" s="1"/>
  <c r="Y340" i="8"/>
  <c r="W341" i="8"/>
  <c r="X341" i="8"/>
  <c r="Y341" i="8" s="1"/>
  <c r="W342" i="8"/>
  <c r="X342" i="8"/>
  <c r="Y342" i="8"/>
  <c r="W343" i="8"/>
  <c r="X343" i="8"/>
  <c r="Y343" i="8" s="1"/>
  <c r="W344" i="8"/>
  <c r="X344" i="8" s="1"/>
  <c r="Y344" i="8" s="1"/>
  <c r="W345" i="8"/>
  <c r="X345" i="8" s="1"/>
  <c r="Y345" i="8" s="1"/>
  <c r="W346" i="8"/>
  <c r="X346" i="8"/>
  <c r="Y346" i="8" s="1"/>
  <c r="W347" i="8"/>
  <c r="X347" i="8" s="1"/>
  <c r="Y347" i="8" s="1"/>
  <c r="W348" i="8"/>
  <c r="X348" i="8"/>
  <c r="Y348" i="8"/>
  <c r="W349" i="8"/>
  <c r="X349" i="8" s="1"/>
  <c r="Y349" i="8" s="1"/>
  <c r="W350" i="8"/>
  <c r="X350" i="8"/>
  <c r="Y350" i="8" s="1"/>
  <c r="W351" i="8"/>
  <c r="X351" i="8"/>
  <c r="Y351" i="8"/>
  <c r="W352" i="8"/>
  <c r="X352" i="8"/>
  <c r="Y352" i="8" s="1"/>
  <c r="W353" i="8"/>
  <c r="X353" i="8" s="1"/>
  <c r="Y353" i="8" s="1"/>
  <c r="W354" i="8"/>
  <c r="X354" i="8"/>
  <c r="Y354" i="8" s="1"/>
  <c r="W355" i="8"/>
  <c r="X355" i="8" s="1"/>
  <c r="Y355" i="8" s="1"/>
  <c r="W356" i="8"/>
  <c r="X356" i="8"/>
  <c r="Y356" i="8"/>
  <c r="W357" i="8"/>
  <c r="X357" i="8" s="1"/>
  <c r="Y357" i="8" s="1"/>
  <c r="W358" i="8"/>
  <c r="X358" i="8"/>
  <c r="Y358" i="8" s="1"/>
  <c r="W359" i="8"/>
  <c r="X359" i="8"/>
  <c r="Y359" i="8"/>
  <c r="W360" i="8"/>
  <c r="X360" i="8"/>
  <c r="Y360" i="8" s="1"/>
  <c r="W361" i="8"/>
  <c r="X361" i="8" s="1"/>
  <c r="Y361" i="8" s="1"/>
  <c r="W362" i="8"/>
  <c r="X362" i="8"/>
  <c r="Y362" i="8" s="1"/>
  <c r="W363" i="8"/>
  <c r="X363" i="8" s="1"/>
  <c r="Y363" i="8" s="1"/>
  <c r="W364" i="8"/>
  <c r="X364" i="8"/>
  <c r="Y364" i="8"/>
  <c r="W365" i="8"/>
  <c r="X365" i="8" s="1"/>
  <c r="Y365" i="8" s="1"/>
  <c r="W366" i="8"/>
  <c r="X366" i="8"/>
  <c r="Y366" i="8" s="1"/>
  <c r="W367" i="8"/>
  <c r="X367" i="8"/>
  <c r="Y367" i="8"/>
  <c r="W368" i="8"/>
  <c r="X368" i="8"/>
  <c r="Y368" i="8" s="1"/>
  <c r="W369" i="8"/>
  <c r="X369" i="8" s="1"/>
  <c r="Y369" i="8" s="1"/>
  <c r="W370" i="8"/>
  <c r="X370" i="8"/>
  <c r="Y370" i="8" s="1"/>
  <c r="W371" i="8"/>
  <c r="X371" i="8" s="1"/>
  <c r="Y371" i="8" s="1"/>
  <c r="W372" i="8"/>
  <c r="X372" i="8"/>
  <c r="Y372" i="8"/>
  <c r="W373" i="8"/>
  <c r="X373" i="8" s="1"/>
  <c r="Y373" i="8" s="1"/>
  <c r="W374" i="8"/>
  <c r="X374" i="8"/>
  <c r="Y374" i="8" s="1"/>
  <c r="W375" i="8"/>
  <c r="X375" i="8"/>
  <c r="Y375" i="8"/>
  <c r="W376" i="8"/>
  <c r="X376" i="8"/>
  <c r="Y376" i="8" s="1"/>
  <c r="W377" i="8"/>
  <c r="X377" i="8" s="1"/>
  <c r="Y377" i="8" s="1"/>
  <c r="W378" i="8"/>
  <c r="X378" i="8"/>
  <c r="Y378" i="8" s="1"/>
  <c r="W379" i="8"/>
  <c r="X379" i="8" s="1"/>
  <c r="Y379" i="8" s="1"/>
  <c r="W380" i="8"/>
  <c r="X380" i="8"/>
  <c r="Y380" i="8"/>
  <c r="W381" i="8"/>
  <c r="X381" i="8" s="1"/>
  <c r="Y381" i="8" s="1"/>
  <c r="W382" i="8"/>
  <c r="X382" i="8"/>
  <c r="Y382" i="8" s="1"/>
  <c r="W383" i="8"/>
  <c r="X383" i="8"/>
  <c r="Y383" i="8"/>
  <c r="W384" i="8"/>
  <c r="X384" i="8"/>
  <c r="Y384" i="8" s="1"/>
  <c r="W385" i="8"/>
  <c r="X385" i="8" s="1"/>
  <c r="Y385" i="8" s="1"/>
  <c r="W386" i="8"/>
  <c r="X386" i="8"/>
  <c r="Y386" i="8" s="1"/>
  <c r="W387" i="8"/>
  <c r="X387" i="8" s="1"/>
  <c r="Y387" i="8" s="1"/>
  <c r="W388" i="8"/>
  <c r="X388" i="8"/>
  <c r="Y388" i="8"/>
  <c r="W389" i="8"/>
  <c r="X389" i="8" s="1"/>
  <c r="Y389" i="8" s="1"/>
  <c r="W390" i="8"/>
  <c r="X390" i="8"/>
  <c r="Y390" i="8" s="1"/>
  <c r="W391" i="8"/>
  <c r="X391" i="8"/>
  <c r="Y391" i="8"/>
  <c r="W392" i="8"/>
  <c r="X392" i="8"/>
  <c r="Y392" i="8" s="1"/>
  <c r="W393" i="8"/>
  <c r="X393" i="8" s="1"/>
  <c r="Y393" i="8" s="1"/>
  <c r="W394" i="8"/>
  <c r="X394" i="8"/>
  <c r="Y394" i="8" s="1"/>
  <c r="W395" i="8"/>
  <c r="X395" i="8" s="1"/>
  <c r="Y395" i="8" s="1"/>
  <c r="W396" i="8"/>
  <c r="X396" i="8"/>
  <c r="Y396" i="8"/>
  <c r="W397" i="8"/>
  <c r="X397" i="8" s="1"/>
  <c r="Y397" i="8" s="1"/>
  <c r="W398" i="8"/>
  <c r="X398" i="8"/>
  <c r="Y398" i="8" s="1"/>
  <c r="W399" i="8"/>
  <c r="X399" i="8"/>
  <c r="Y399" i="8"/>
  <c r="W400" i="8"/>
  <c r="X400" i="8"/>
  <c r="Y400" i="8" s="1"/>
  <c r="W401" i="8"/>
  <c r="X401" i="8" s="1"/>
  <c r="Y401" i="8" s="1"/>
  <c r="W402" i="8"/>
  <c r="X402" i="8"/>
  <c r="Y402" i="8" s="1"/>
  <c r="W403" i="8"/>
  <c r="X403" i="8" s="1"/>
  <c r="Y403" i="8" s="1"/>
  <c r="W404" i="8"/>
  <c r="X404" i="8"/>
  <c r="Y404" i="8"/>
  <c r="W405" i="8"/>
  <c r="X405" i="8" s="1"/>
  <c r="Y405" i="8" s="1"/>
  <c r="W406" i="8"/>
  <c r="X406" i="8"/>
  <c r="Y406" i="8" s="1"/>
  <c r="W407" i="8"/>
  <c r="X407" i="8"/>
  <c r="Y407" i="8"/>
  <c r="W408" i="8"/>
  <c r="X408" i="8"/>
  <c r="Y408" i="8" s="1"/>
  <c r="W409" i="8"/>
  <c r="X409" i="8" s="1"/>
  <c r="Y409" i="8" s="1"/>
  <c r="W410" i="8"/>
  <c r="X410" i="8"/>
  <c r="Y410" i="8" s="1"/>
  <c r="W411" i="8"/>
  <c r="X411" i="8" s="1"/>
  <c r="Y411" i="8" s="1"/>
  <c r="W412" i="8"/>
  <c r="X412" i="8"/>
  <c r="Y412" i="8"/>
  <c r="W413" i="8"/>
  <c r="X413" i="8" s="1"/>
  <c r="Y413" i="8" s="1"/>
  <c r="W414" i="8"/>
  <c r="X414" i="8"/>
  <c r="Y414" i="8" s="1"/>
  <c r="W415" i="8"/>
  <c r="X415" i="8"/>
  <c r="Y415" i="8"/>
  <c r="W416" i="8"/>
  <c r="X416" i="8"/>
  <c r="Y416" i="8" s="1"/>
  <c r="W417" i="8"/>
  <c r="X417" i="8" s="1"/>
  <c r="Y417" i="8" s="1"/>
  <c r="W418" i="8"/>
  <c r="X418" i="8" s="1"/>
  <c r="Y418" i="8" s="1"/>
  <c r="W419" i="8"/>
  <c r="X419" i="8" s="1"/>
  <c r="Y419" i="8" s="1"/>
  <c r="W420" i="8"/>
  <c r="X420" i="8"/>
  <c r="Y420" i="8"/>
  <c r="W421" i="8"/>
  <c r="X421" i="8" s="1"/>
  <c r="Y421" i="8" s="1"/>
  <c r="W422" i="8"/>
  <c r="X422" i="8"/>
  <c r="Y422" i="8" s="1"/>
  <c r="W423" i="8"/>
  <c r="X423" i="8"/>
  <c r="Y423" i="8" s="1"/>
  <c r="W424" i="8"/>
  <c r="X424" i="8"/>
  <c r="Y424" i="8" s="1"/>
  <c r="W425" i="8"/>
  <c r="X425" i="8" s="1"/>
  <c r="Y425" i="8" s="1"/>
  <c r="W426" i="8"/>
  <c r="X426" i="8" s="1"/>
  <c r="Y426" i="8" s="1"/>
  <c r="W427" i="8"/>
  <c r="X427" i="8" s="1"/>
  <c r="Y427" i="8" s="1"/>
  <c r="W428" i="8"/>
  <c r="X428" i="8"/>
  <c r="Y428" i="8"/>
  <c r="W429" i="8"/>
  <c r="X429" i="8" s="1"/>
  <c r="Y429" i="8" s="1"/>
  <c r="W430" i="8"/>
  <c r="X430" i="8"/>
  <c r="Y430" i="8" s="1"/>
  <c r="W431" i="8"/>
  <c r="X431" i="8"/>
  <c r="Y431" i="8" s="1"/>
  <c r="W432" i="8"/>
  <c r="X432" i="8"/>
  <c r="Y432" i="8" s="1"/>
  <c r="W433" i="8"/>
  <c r="X433" i="8" s="1"/>
  <c r="Y433" i="8" s="1"/>
  <c r="W434" i="8"/>
  <c r="X434" i="8" s="1"/>
  <c r="Y434" i="8" s="1"/>
  <c r="W435" i="8"/>
  <c r="X435" i="8" s="1"/>
  <c r="Y435" i="8" s="1"/>
  <c r="W436" i="8"/>
  <c r="X436" i="8"/>
  <c r="Y436" i="8"/>
  <c r="W437" i="8"/>
  <c r="X437" i="8" s="1"/>
  <c r="Y437" i="8" s="1"/>
  <c r="W438" i="8"/>
  <c r="X438" i="8"/>
  <c r="Y438" i="8" s="1"/>
  <c r="W439" i="8"/>
  <c r="X439" i="8"/>
  <c r="Y439" i="8" s="1"/>
  <c r="W440" i="8"/>
  <c r="X440" i="8"/>
  <c r="Y440" i="8" s="1"/>
  <c r="W441" i="8"/>
  <c r="X441" i="8" s="1"/>
  <c r="Y441" i="8" s="1"/>
  <c r="W442" i="8"/>
  <c r="X442" i="8" s="1"/>
  <c r="Y442" i="8" s="1"/>
  <c r="W443" i="8"/>
  <c r="X443" i="8" s="1"/>
  <c r="Y443" i="8" s="1"/>
  <c r="W444" i="8"/>
  <c r="X444" i="8"/>
  <c r="Y444" i="8"/>
  <c r="W445" i="8"/>
  <c r="X445" i="8" s="1"/>
  <c r="Y445" i="8" s="1"/>
  <c r="W446" i="8"/>
  <c r="X446" i="8"/>
  <c r="Y446" i="8" s="1"/>
  <c r="W447" i="8"/>
  <c r="X447" i="8"/>
  <c r="Y447" i="8" s="1"/>
  <c r="W448" i="8"/>
  <c r="X448" i="8"/>
  <c r="Y448" i="8" s="1"/>
  <c r="W449" i="8"/>
  <c r="X449" i="8" s="1"/>
  <c r="Y449" i="8" s="1"/>
  <c r="W450" i="8"/>
  <c r="X450" i="8" s="1"/>
  <c r="Y450" i="8" s="1"/>
  <c r="W451" i="8"/>
  <c r="X451" i="8" s="1"/>
  <c r="Y451" i="8" s="1"/>
  <c r="W452" i="8"/>
  <c r="X452" i="8"/>
  <c r="Y452" i="8"/>
  <c r="W453" i="8"/>
  <c r="X453" i="8" s="1"/>
  <c r="Y453" i="8" s="1"/>
  <c r="W454" i="8"/>
  <c r="X454" i="8"/>
  <c r="Y454" i="8" s="1"/>
  <c r="W455" i="8"/>
  <c r="X455" i="8"/>
  <c r="Y455" i="8" s="1"/>
  <c r="W456" i="8"/>
  <c r="X456" i="8"/>
  <c r="Y456" i="8" s="1"/>
  <c r="W457" i="8"/>
  <c r="X457" i="8" s="1"/>
  <c r="Y457" i="8" s="1"/>
  <c r="W458" i="8"/>
  <c r="X458" i="8" s="1"/>
  <c r="Y458" i="8" s="1"/>
  <c r="W459" i="8"/>
  <c r="X459" i="8" s="1"/>
  <c r="Y459" i="8" s="1"/>
  <c r="W460" i="8"/>
  <c r="X460" i="8"/>
  <c r="Y460" i="8"/>
  <c r="W461" i="8"/>
  <c r="X461" i="8" s="1"/>
  <c r="Y461" i="8" s="1"/>
  <c r="W462" i="8"/>
  <c r="X462" i="8"/>
  <c r="Y462" i="8" s="1"/>
  <c r="W463" i="8"/>
  <c r="X463" i="8"/>
  <c r="Y463" i="8" s="1"/>
  <c r="W464" i="8"/>
  <c r="X464" i="8"/>
  <c r="Y464" i="8" s="1"/>
  <c r="W465" i="8"/>
  <c r="X465" i="8" s="1"/>
  <c r="Y465" i="8" s="1"/>
  <c r="W466" i="8"/>
  <c r="X466" i="8" s="1"/>
  <c r="Y466" i="8" s="1"/>
  <c r="W8" i="9"/>
  <c r="X8" i="9" s="1"/>
  <c r="Y8" i="9" s="1"/>
  <c r="W9" i="9"/>
  <c r="X9" i="9"/>
  <c r="Y9" i="9" s="1"/>
  <c r="W10" i="9"/>
  <c r="X10" i="9"/>
  <c r="Y10" i="9" s="1"/>
  <c r="W11" i="9"/>
  <c r="X11" i="9" s="1"/>
  <c r="Y11" i="9" s="1"/>
  <c r="W12" i="9"/>
  <c r="X12" i="9" s="1"/>
  <c r="Y12" i="9" s="1"/>
  <c r="W13" i="9"/>
  <c r="X13" i="9" s="1"/>
  <c r="Y13" i="9" s="1"/>
  <c r="W14" i="9"/>
  <c r="X14" i="9"/>
  <c r="Y14" i="9"/>
  <c r="W15" i="9"/>
  <c r="X15" i="9"/>
  <c r="Y15" i="9"/>
  <c r="W16" i="9"/>
  <c r="X16" i="9" s="1"/>
  <c r="Y16" i="9" s="1"/>
  <c r="W17" i="9"/>
  <c r="X17" i="9"/>
  <c r="Y17" i="9" s="1"/>
  <c r="W18" i="9"/>
  <c r="X18" i="9"/>
  <c r="Y18" i="9" s="1"/>
  <c r="W19" i="9"/>
  <c r="X19" i="9" s="1"/>
  <c r="Y19" i="9" s="1"/>
  <c r="W20" i="9"/>
  <c r="X20" i="9" s="1"/>
  <c r="Y20" i="9" s="1"/>
  <c r="W21" i="9"/>
  <c r="X21" i="9" s="1"/>
  <c r="Y21" i="9" s="1"/>
  <c r="W22" i="9"/>
  <c r="X22" i="9"/>
  <c r="Y22" i="9"/>
  <c r="W23" i="9"/>
  <c r="X23" i="9"/>
  <c r="Y23" i="9"/>
  <c r="W24" i="9"/>
  <c r="X24" i="9" s="1"/>
  <c r="Y24" i="9" s="1"/>
  <c r="W25" i="9"/>
  <c r="X25" i="9"/>
  <c r="Y25" i="9" s="1"/>
  <c r="W26" i="9"/>
  <c r="X26" i="9"/>
  <c r="Y26" i="9" s="1"/>
  <c r="W27" i="9"/>
  <c r="X27" i="9" s="1"/>
  <c r="Y27" i="9" s="1"/>
  <c r="W28" i="9"/>
  <c r="X28" i="9" s="1"/>
  <c r="Y28" i="9" s="1"/>
  <c r="W29" i="9"/>
  <c r="X29" i="9" s="1"/>
  <c r="Y29" i="9" s="1"/>
  <c r="W30" i="9"/>
  <c r="X30" i="9"/>
  <c r="Y30" i="9"/>
  <c r="W31" i="9"/>
  <c r="X31" i="9"/>
  <c r="Y31" i="9"/>
  <c r="W32" i="9"/>
  <c r="X32" i="9" s="1"/>
  <c r="Y32" i="9" s="1"/>
  <c r="W33" i="9"/>
  <c r="X33" i="9"/>
  <c r="Y33" i="9" s="1"/>
  <c r="W34" i="9"/>
  <c r="X34" i="9"/>
  <c r="Y34" i="9" s="1"/>
  <c r="W35" i="9"/>
  <c r="X35" i="9" s="1"/>
  <c r="Y35" i="9" s="1"/>
  <c r="W36" i="9"/>
  <c r="X36" i="9" s="1"/>
  <c r="Y36" i="9" s="1"/>
  <c r="W37" i="9"/>
  <c r="X37" i="9" s="1"/>
  <c r="Y37" i="9" s="1"/>
  <c r="W38" i="9"/>
  <c r="X38" i="9"/>
  <c r="Y38" i="9"/>
  <c r="W39" i="9"/>
  <c r="X39" i="9"/>
  <c r="Y39" i="9"/>
  <c r="W40" i="9"/>
  <c r="X40" i="9" s="1"/>
  <c r="Y40" i="9" s="1"/>
  <c r="W41" i="9"/>
  <c r="X41" i="9"/>
  <c r="Y41" i="9" s="1"/>
  <c r="W42" i="9"/>
  <c r="X42" i="9"/>
  <c r="Y42" i="9" s="1"/>
  <c r="W43" i="9"/>
  <c r="X43" i="9" s="1"/>
  <c r="Y43" i="9" s="1"/>
  <c r="W44" i="9"/>
  <c r="X44" i="9" s="1"/>
  <c r="Y44" i="9" s="1"/>
  <c r="W45" i="9"/>
  <c r="X45" i="9" s="1"/>
  <c r="Y45" i="9" s="1"/>
  <c r="W46" i="9"/>
  <c r="X46" i="9"/>
  <c r="Y46" i="9"/>
  <c r="W47" i="9"/>
  <c r="X47" i="9"/>
  <c r="Y47" i="9"/>
  <c r="W48" i="9"/>
  <c r="X48" i="9" s="1"/>
  <c r="Y48" i="9" s="1"/>
  <c r="W49" i="9"/>
  <c r="X49" i="9"/>
  <c r="Y49" i="9" s="1"/>
  <c r="W50" i="9"/>
  <c r="X50" i="9"/>
  <c r="Y50" i="9" s="1"/>
  <c r="W51" i="9"/>
  <c r="X51" i="9" s="1"/>
  <c r="Y51" i="9" s="1"/>
  <c r="W52" i="9"/>
  <c r="X52" i="9" s="1"/>
  <c r="Y52" i="9" s="1"/>
  <c r="W53" i="9"/>
  <c r="X53" i="9" s="1"/>
  <c r="Y53" i="9" s="1"/>
  <c r="W54" i="9"/>
  <c r="X54" i="9"/>
  <c r="Y54" i="9"/>
  <c r="W55" i="9"/>
  <c r="X55" i="9"/>
  <c r="Y55" i="9"/>
  <c r="W56" i="9"/>
  <c r="X56" i="9" s="1"/>
  <c r="Y56" i="9" s="1"/>
  <c r="W57" i="9"/>
  <c r="X57" i="9"/>
  <c r="Y57" i="9" s="1"/>
  <c r="W58" i="9"/>
  <c r="X58" i="9"/>
  <c r="Y58" i="9" s="1"/>
  <c r="W59" i="9"/>
  <c r="X59" i="9" s="1"/>
  <c r="Y59" i="9" s="1"/>
  <c r="W60" i="9"/>
  <c r="X60" i="9" s="1"/>
  <c r="Y60" i="9" s="1"/>
  <c r="W61" i="9"/>
  <c r="X61" i="9" s="1"/>
  <c r="Y61" i="9" s="1"/>
  <c r="W62" i="9"/>
  <c r="X62" i="9"/>
  <c r="Y62" i="9"/>
  <c r="W63" i="9"/>
  <c r="X63" i="9"/>
  <c r="Y63" i="9"/>
  <c r="W64" i="9"/>
  <c r="X64" i="9" s="1"/>
  <c r="Y64" i="9" s="1"/>
  <c r="W65" i="9"/>
  <c r="X65" i="9"/>
  <c r="Y65" i="9" s="1"/>
  <c r="W66" i="9"/>
  <c r="X66" i="9"/>
  <c r="Y66" i="9" s="1"/>
  <c r="W67" i="9"/>
  <c r="X67" i="9" s="1"/>
  <c r="Y67" i="9" s="1"/>
  <c r="W68" i="9"/>
  <c r="X68" i="9" s="1"/>
  <c r="Y68" i="9" s="1"/>
  <c r="W69" i="9"/>
  <c r="X69" i="9" s="1"/>
  <c r="Y69" i="9" s="1"/>
  <c r="W70" i="9"/>
  <c r="X70" i="9"/>
  <c r="Y70" i="9"/>
  <c r="W71" i="9"/>
  <c r="X71" i="9"/>
  <c r="Y71" i="9"/>
  <c r="W72" i="9"/>
  <c r="X72" i="9" s="1"/>
  <c r="Y72" i="9" s="1"/>
  <c r="W73" i="9"/>
  <c r="X73" i="9"/>
  <c r="Y73" i="9" s="1"/>
  <c r="W74" i="9"/>
  <c r="X74" i="9"/>
  <c r="Y74" i="9" s="1"/>
  <c r="W75" i="9"/>
  <c r="X75" i="9" s="1"/>
  <c r="Y75" i="9" s="1"/>
  <c r="W76" i="9"/>
  <c r="X76" i="9" s="1"/>
  <c r="Y76" i="9" s="1"/>
  <c r="W77" i="9"/>
  <c r="X77" i="9" s="1"/>
  <c r="Y77" i="9" s="1"/>
  <c r="W78" i="9"/>
  <c r="X78" i="9"/>
  <c r="Y78" i="9"/>
  <c r="W79" i="9"/>
  <c r="X79" i="9"/>
  <c r="Y79" i="9"/>
  <c r="W80" i="9"/>
  <c r="X80" i="9" s="1"/>
  <c r="Y80" i="9" s="1"/>
  <c r="W81" i="9"/>
  <c r="X81" i="9"/>
  <c r="Y81" i="9" s="1"/>
  <c r="W82" i="9"/>
  <c r="X82" i="9"/>
  <c r="Y82" i="9" s="1"/>
  <c r="W83" i="9"/>
  <c r="X83" i="9" s="1"/>
  <c r="Y83" i="9" s="1"/>
  <c r="W84" i="9"/>
  <c r="X84" i="9" s="1"/>
  <c r="Y84" i="9" s="1"/>
  <c r="W85" i="9"/>
  <c r="X85" i="9" s="1"/>
  <c r="Y85" i="9" s="1"/>
  <c r="W86" i="9"/>
  <c r="X86" i="9"/>
  <c r="Y86" i="9"/>
  <c r="W87" i="9"/>
  <c r="X87" i="9"/>
  <c r="Y87" i="9"/>
  <c r="W88" i="9"/>
  <c r="X88" i="9" s="1"/>
  <c r="Y88" i="9" s="1"/>
  <c r="W89" i="9"/>
  <c r="X89" i="9"/>
  <c r="Y89" i="9" s="1"/>
  <c r="W90" i="9"/>
  <c r="X90" i="9"/>
  <c r="Y90" i="9" s="1"/>
  <c r="W91" i="9"/>
  <c r="X91" i="9" s="1"/>
  <c r="Y91" i="9" s="1"/>
  <c r="W92" i="9"/>
  <c r="X92" i="9" s="1"/>
  <c r="Y92" i="9" s="1"/>
  <c r="W93" i="9"/>
  <c r="X93" i="9" s="1"/>
  <c r="Y93" i="9" s="1"/>
  <c r="W94" i="9"/>
  <c r="X94" i="9"/>
  <c r="Y94" i="9"/>
  <c r="W95" i="9"/>
  <c r="X95" i="9"/>
  <c r="Y95" i="9"/>
  <c r="W96" i="9"/>
  <c r="X96" i="9" s="1"/>
  <c r="Y96" i="9" s="1"/>
  <c r="W97" i="9"/>
  <c r="X97" i="9"/>
  <c r="Y97" i="9" s="1"/>
  <c r="W98" i="9"/>
  <c r="X98" i="9"/>
  <c r="Y98" i="9" s="1"/>
  <c r="W99" i="9"/>
  <c r="X99" i="9" s="1"/>
  <c r="Y99" i="9" s="1"/>
  <c r="W100" i="9"/>
  <c r="X100" i="9" s="1"/>
  <c r="Y100" i="9" s="1"/>
  <c r="W101" i="9"/>
  <c r="X101" i="9" s="1"/>
  <c r="Y101" i="9" s="1"/>
  <c r="W102" i="9"/>
  <c r="X102" i="9"/>
  <c r="Y102" i="9"/>
  <c r="W103" i="9"/>
  <c r="X103" i="9"/>
  <c r="Y103" i="9"/>
  <c r="W104" i="9"/>
  <c r="X104" i="9" s="1"/>
  <c r="Y104" i="9" s="1"/>
  <c r="W105" i="9"/>
  <c r="X105" i="9"/>
  <c r="Y105" i="9" s="1"/>
  <c r="W106" i="9"/>
  <c r="X106" i="9"/>
  <c r="Y106" i="9" s="1"/>
  <c r="W107" i="9"/>
  <c r="X107" i="9" s="1"/>
  <c r="Y107" i="9" s="1"/>
  <c r="W108" i="9"/>
  <c r="X108" i="9" s="1"/>
  <c r="Y108" i="9" s="1"/>
  <c r="W109" i="9"/>
  <c r="X109" i="9" s="1"/>
  <c r="Y109" i="9" s="1"/>
  <c r="W110" i="9"/>
  <c r="X110" i="9"/>
  <c r="Y110" i="9"/>
  <c r="W111" i="9"/>
  <c r="X111" i="9"/>
  <c r="Y111" i="9"/>
  <c r="W112" i="9"/>
  <c r="X112" i="9" s="1"/>
  <c r="Y112" i="9" s="1"/>
  <c r="W113" i="9"/>
  <c r="X113" i="9"/>
  <c r="Y113" i="9" s="1"/>
  <c r="W114" i="9"/>
  <c r="X114" i="9"/>
  <c r="Y114" i="9" s="1"/>
  <c r="W115" i="9"/>
  <c r="X115" i="9" s="1"/>
  <c r="Y115" i="9" s="1"/>
  <c r="W116" i="9"/>
  <c r="X116" i="9" s="1"/>
  <c r="Y116" i="9" s="1"/>
  <c r="W117" i="9"/>
  <c r="X117" i="9" s="1"/>
  <c r="Y117" i="9" s="1"/>
  <c r="W118" i="9"/>
  <c r="X118" i="9"/>
  <c r="Y118" i="9"/>
  <c r="W119" i="9"/>
  <c r="X119" i="9"/>
  <c r="Y119" i="9"/>
  <c r="W120" i="9"/>
  <c r="X120" i="9" s="1"/>
  <c r="Y120" i="9" s="1"/>
  <c r="W121" i="9"/>
  <c r="X121" i="9"/>
  <c r="Y121" i="9" s="1"/>
  <c r="W122" i="9"/>
  <c r="X122" i="9"/>
  <c r="Y122" i="9" s="1"/>
  <c r="W123" i="9"/>
  <c r="X123" i="9" s="1"/>
  <c r="Y123" i="9" s="1"/>
  <c r="W124" i="9"/>
  <c r="X124" i="9" s="1"/>
  <c r="Y124" i="9" s="1"/>
  <c r="W125" i="9"/>
  <c r="X125" i="9" s="1"/>
  <c r="Y125" i="9" s="1"/>
  <c r="W126" i="9"/>
  <c r="X126" i="9"/>
  <c r="Y126" i="9"/>
  <c r="W127" i="9"/>
  <c r="X127" i="9"/>
  <c r="Y127" i="9"/>
  <c r="W128" i="9"/>
  <c r="X128" i="9" s="1"/>
  <c r="Y128" i="9" s="1"/>
  <c r="W129" i="9"/>
  <c r="X129" i="9"/>
  <c r="Y129" i="9" s="1"/>
  <c r="W130" i="9"/>
  <c r="X130" i="9"/>
  <c r="Y130" i="9" s="1"/>
  <c r="W131" i="9"/>
  <c r="X131" i="9" s="1"/>
  <c r="Y131" i="9" s="1"/>
  <c r="W132" i="9"/>
  <c r="X132" i="9" s="1"/>
  <c r="Y132" i="9" s="1"/>
  <c r="W133" i="9"/>
  <c r="X133" i="9" s="1"/>
  <c r="Y133" i="9" s="1"/>
  <c r="W134" i="9"/>
  <c r="X134" i="9"/>
  <c r="Y134" i="9"/>
  <c r="W135" i="9"/>
  <c r="X135" i="9"/>
  <c r="Y135" i="9"/>
  <c r="W136" i="9"/>
  <c r="X136" i="9" s="1"/>
  <c r="Y136" i="9" s="1"/>
  <c r="W137" i="9"/>
  <c r="X137" i="9"/>
  <c r="Y137" i="9" s="1"/>
  <c r="W138" i="9"/>
  <c r="X138" i="9"/>
  <c r="Y138" i="9" s="1"/>
  <c r="W139" i="9"/>
  <c r="X139" i="9" s="1"/>
  <c r="Y139" i="9" s="1"/>
  <c r="W140" i="9"/>
  <c r="X140" i="9" s="1"/>
  <c r="Y140" i="9" s="1"/>
  <c r="W141" i="9"/>
  <c r="X141" i="9" s="1"/>
  <c r="Y141" i="9" s="1"/>
  <c r="W142" i="9"/>
  <c r="X142" i="9"/>
  <c r="Y142" i="9"/>
  <c r="W143" i="9"/>
  <c r="X143" i="9"/>
  <c r="Y143" i="9"/>
  <c r="W144" i="9"/>
  <c r="X144" i="9" s="1"/>
  <c r="Y144" i="9" s="1"/>
  <c r="W145" i="9"/>
  <c r="X145" i="9"/>
  <c r="Y145" i="9" s="1"/>
  <c r="W146" i="9"/>
  <c r="X146" i="9"/>
  <c r="Y146" i="9" s="1"/>
  <c r="W147" i="9"/>
  <c r="X147" i="9" s="1"/>
  <c r="Y147" i="9" s="1"/>
  <c r="W148" i="9"/>
  <c r="X148" i="9" s="1"/>
  <c r="Y148" i="9" s="1"/>
  <c r="W149" i="9"/>
  <c r="X149" i="9" s="1"/>
  <c r="Y149" i="9" s="1"/>
  <c r="W150" i="9"/>
  <c r="X150" i="9"/>
  <c r="Y150" i="9"/>
  <c r="W151" i="9"/>
  <c r="X151" i="9"/>
  <c r="Y151" i="9"/>
  <c r="W152" i="9"/>
  <c r="X152" i="9" s="1"/>
  <c r="Y152" i="9" s="1"/>
  <c r="W153" i="9"/>
  <c r="X153" i="9"/>
  <c r="Y153" i="9" s="1"/>
  <c r="W154" i="9"/>
  <c r="X154" i="9"/>
  <c r="Y154" i="9" s="1"/>
  <c r="G8" i="9"/>
  <c r="N8" i="9" s="1"/>
  <c r="H8" i="9"/>
  <c r="I8" i="9"/>
  <c r="J8" i="9"/>
  <c r="K8" i="9"/>
  <c r="L8" i="9"/>
  <c r="M8" i="9"/>
  <c r="G9" i="9"/>
  <c r="N9" i="9" s="1"/>
  <c r="H9" i="9"/>
  <c r="I9" i="9"/>
  <c r="J9" i="9"/>
  <c r="K9" i="9"/>
  <c r="L9" i="9"/>
  <c r="M9" i="9"/>
  <c r="G10" i="9"/>
  <c r="H10" i="9"/>
  <c r="I10" i="9"/>
  <c r="J10" i="9"/>
  <c r="K10" i="9"/>
  <c r="L10" i="9"/>
  <c r="M10" i="9"/>
  <c r="G11" i="9"/>
  <c r="H11" i="9"/>
  <c r="I11" i="9"/>
  <c r="J11" i="9"/>
  <c r="K11" i="9"/>
  <c r="L11" i="9"/>
  <c r="M11" i="9"/>
  <c r="G12" i="9"/>
  <c r="H12" i="9"/>
  <c r="I12" i="9"/>
  <c r="J12" i="9"/>
  <c r="K12" i="9"/>
  <c r="L12" i="9"/>
  <c r="M12" i="9"/>
  <c r="G13" i="9"/>
  <c r="H13" i="9"/>
  <c r="I13" i="9"/>
  <c r="J13" i="9"/>
  <c r="K13" i="9"/>
  <c r="L13" i="9"/>
  <c r="M13" i="9"/>
  <c r="G14" i="9"/>
  <c r="H14" i="9"/>
  <c r="I14" i="9"/>
  <c r="J14" i="9"/>
  <c r="K14" i="9"/>
  <c r="L14" i="9"/>
  <c r="M14" i="9"/>
  <c r="G15" i="9"/>
  <c r="H15" i="9"/>
  <c r="I15" i="9"/>
  <c r="J15" i="9"/>
  <c r="K15" i="9"/>
  <c r="L15" i="9"/>
  <c r="M15" i="9"/>
  <c r="G16" i="9"/>
  <c r="H16" i="9"/>
  <c r="I16" i="9"/>
  <c r="J16" i="9"/>
  <c r="K16" i="9"/>
  <c r="L16" i="9"/>
  <c r="M16" i="9"/>
  <c r="G17" i="9"/>
  <c r="N17" i="9" s="1"/>
  <c r="H17" i="9"/>
  <c r="I17" i="9"/>
  <c r="J17" i="9"/>
  <c r="K17" i="9"/>
  <c r="L17" i="9"/>
  <c r="M17" i="9"/>
  <c r="G18" i="9"/>
  <c r="H18" i="9"/>
  <c r="I18" i="9"/>
  <c r="J18" i="9"/>
  <c r="K18" i="9"/>
  <c r="L18" i="9"/>
  <c r="M18" i="9"/>
  <c r="G19" i="9"/>
  <c r="H19" i="9"/>
  <c r="I19" i="9"/>
  <c r="J19" i="9"/>
  <c r="K19" i="9"/>
  <c r="L19" i="9"/>
  <c r="M19" i="9"/>
  <c r="G20" i="9"/>
  <c r="H20" i="9"/>
  <c r="I20" i="9"/>
  <c r="J20" i="9"/>
  <c r="K20" i="9"/>
  <c r="L20" i="9"/>
  <c r="M20" i="9"/>
  <c r="G21" i="9"/>
  <c r="H21" i="9"/>
  <c r="I21" i="9"/>
  <c r="J21" i="9"/>
  <c r="K21" i="9"/>
  <c r="L21" i="9"/>
  <c r="M21" i="9"/>
  <c r="G22" i="9"/>
  <c r="H22" i="9"/>
  <c r="I22" i="9"/>
  <c r="J22" i="9"/>
  <c r="K22" i="9"/>
  <c r="L22" i="9"/>
  <c r="M22" i="9"/>
  <c r="G23" i="9"/>
  <c r="H23" i="9"/>
  <c r="I23" i="9"/>
  <c r="J23" i="9"/>
  <c r="K23" i="9"/>
  <c r="L23" i="9"/>
  <c r="M23" i="9"/>
  <c r="G24" i="9"/>
  <c r="H24" i="9"/>
  <c r="I24" i="9"/>
  <c r="J24" i="9"/>
  <c r="K24" i="9"/>
  <c r="L24" i="9"/>
  <c r="M24" i="9"/>
  <c r="G25" i="9"/>
  <c r="N25" i="9" s="1"/>
  <c r="H25" i="9"/>
  <c r="I25" i="9"/>
  <c r="J25" i="9"/>
  <c r="K25" i="9"/>
  <c r="L25" i="9"/>
  <c r="M25" i="9"/>
  <c r="G26" i="9"/>
  <c r="H26" i="9"/>
  <c r="I26" i="9"/>
  <c r="J26" i="9"/>
  <c r="K26" i="9"/>
  <c r="L26" i="9"/>
  <c r="M26" i="9"/>
  <c r="G27" i="9"/>
  <c r="H27" i="9"/>
  <c r="I27" i="9"/>
  <c r="J27" i="9"/>
  <c r="K27" i="9"/>
  <c r="L27" i="9"/>
  <c r="M27" i="9"/>
  <c r="G28" i="9"/>
  <c r="H28" i="9"/>
  <c r="I28" i="9"/>
  <c r="J28" i="9"/>
  <c r="K28" i="9"/>
  <c r="L28" i="9"/>
  <c r="M28" i="9"/>
  <c r="G29" i="9"/>
  <c r="H29" i="9"/>
  <c r="I29" i="9"/>
  <c r="J29" i="9"/>
  <c r="K29" i="9"/>
  <c r="L29" i="9"/>
  <c r="M29" i="9"/>
  <c r="G30" i="9"/>
  <c r="H30" i="9"/>
  <c r="I30" i="9"/>
  <c r="J30" i="9"/>
  <c r="K30" i="9"/>
  <c r="L30" i="9"/>
  <c r="M30" i="9"/>
  <c r="G31" i="9"/>
  <c r="H31" i="9"/>
  <c r="I31" i="9"/>
  <c r="J31" i="9"/>
  <c r="K31" i="9"/>
  <c r="L31" i="9"/>
  <c r="M31" i="9"/>
  <c r="G32" i="9"/>
  <c r="H32" i="9"/>
  <c r="I32" i="9"/>
  <c r="J32" i="9"/>
  <c r="K32" i="9"/>
  <c r="L32" i="9"/>
  <c r="M32" i="9"/>
  <c r="G33" i="9"/>
  <c r="N33" i="9" s="1"/>
  <c r="H33" i="9"/>
  <c r="I33" i="9"/>
  <c r="J33" i="9"/>
  <c r="K33" i="9"/>
  <c r="L33" i="9"/>
  <c r="M33" i="9"/>
  <c r="G34" i="9"/>
  <c r="H34" i="9"/>
  <c r="I34" i="9"/>
  <c r="J34" i="9"/>
  <c r="K34" i="9"/>
  <c r="L34" i="9"/>
  <c r="M34" i="9"/>
  <c r="G35" i="9"/>
  <c r="H35" i="9"/>
  <c r="I35" i="9"/>
  <c r="J35" i="9"/>
  <c r="K35" i="9"/>
  <c r="L35" i="9"/>
  <c r="M35" i="9"/>
  <c r="G36" i="9"/>
  <c r="H36" i="9"/>
  <c r="I36" i="9"/>
  <c r="J36" i="9"/>
  <c r="K36" i="9"/>
  <c r="L36" i="9"/>
  <c r="M36" i="9"/>
  <c r="G37" i="9"/>
  <c r="H37" i="9"/>
  <c r="I37" i="9"/>
  <c r="J37" i="9"/>
  <c r="K37" i="9"/>
  <c r="L37" i="9"/>
  <c r="M37" i="9"/>
  <c r="G38" i="9"/>
  <c r="H38" i="9"/>
  <c r="I38" i="9"/>
  <c r="J38" i="9"/>
  <c r="K38" i="9"/>
  <c r="L38" i="9"/>
  <c r="M38" i="9"/>
  <c r="G39" i="9"/>
  <c r="H39" i="9"/>
  <c r="I39" i="9"/>
  <c r="J39" i="9"/>
  <c r="K39" i="9"/>
  <c r="L39" i="9"/>
  <c r="M39" i="9"/>
  <c r="G40" i="9"/>
  <c r="H40" i="9"/>
  <c r="I40" i="9"/>
  <c r="J40" i="9"/>
  <c r="K40" i="9"/>
  <c r="L40" i="9"/>
  <c r="M40" i="9"/>
  <c r="G41" i="9"/>
  <c r="N41" i="9" s="1"/>
  <c r="H41" i="9"/>
  <c r="I41" i="9"/>
  <c r="J41" i="9"/>
  <c r="K41" i="9"/>
  <c r="L41" i="9"/>
  <c r="M41" i="9"/>
  <c r="G42" i="9"/>
  <c r="H42" i="9"/>
  <c r="I42" i="9"/>
  <c r="J42" i="9"/>
  <c r="K42" i="9"/>
  <c r="L42" i="9"/>
  <c r="M42" i="9"/>
  <c r="G43" i="9"/>
  <c r="H43" i="9"/>
  <c r="I43" i="9"/>
  <c r="J43" i="9"/>
  <c r="K43" i="9"/>
  <c r="L43" i="9"/>
  <c r="M43" i="9"/>
  <c r="G44" i="9"/>
  <c r="H44" i="9"/>
  <c r="I44" i="9"/>
  <c r="J44" i="9"/>
  <c r="K44" i="9"/>
  <c r="L44" i="9"/>
  <c r="M44" i="9"/>
  <c r="G45" i="9"/>
  <c r="H45" i="9"/>
  <c r="I45" i="9"/>
  <c r="J45" i="9"/>
  <c r="K45" i="9"/>
  <c r="L45" i="9"/>
  <c r="M45" i="9"/>
  <c r="G46" i="9"/>
  <c r="H46" i="9"/>
  <c r="I46" i="9"/>
  <c r="J46" i="9"/>
  <c r="K46" i="9"/>
  <c r="L46" i="9"/>
  <c r="M46" i="9"/>
  <c r="G47" i="9"/>
  <c r="H47" i="9"/>
  <c r="I47" i="9"/>
  <c r="J47" i="9"/>
  <c r="K47" i="9"/>
  <c r="L47" i="9"/>
  <c r="M47" i="9"/>
  <c r="G48" i="9"/>
  <c r="H48" i="9"/>
  <c r="I48" i="9"/>
  <c r="J48" i="9"/>
  <c r="K48" i="9"/>
  <c r="L48" i="9"/>
  <c r="M48" i="9"/>
  <c r="G49" i="9"/>
  <c r="N49" i="9" s="1"/>
  <c r="H49" i="9"/>
  <c r="I49" i="9"/>
  <c r="J49" i="9"/>
  <c r="K49" i="9"/>
  <c r="L49" i="9"/>
  <c r="M49" i="9"/>
  <c r="G50" i="9"/>
  <c r="H50" i="9"/>
  <c r="I50" i="9"/>
  <c r="J50" i="9"/>
  <c r="K50" i="9"/>
  <c r="L50" i="9"/>
  <c r="M50" i="9"/>
  <c r="G51" i="9"/>
  <c r="H51" i="9"/>
  <c r="I51" i="9"/>
  <c r="J51" i="9"/>
  <c r="K51" i="9"/>
  <c r="L51" i="9"/>
  <c r="M51" i="9"/>
  <c r="G52" i="9"/>
  <c r="H52" i="9"/>
  <c r="I52" i="9"/>
  <c r="J52" i="9"/>
  <c r="K52" i="9"/>
  <c r="L52" i="9"/>
  <c r="M52" i="9"/>
  <c r="G53" i="9"/>
  <c r="H53" i="9"/>
  <c r="I53" i="9"/>
  <c r="J53" i="9"/>
  <c r="K53" i="9"/>
  <c r="L53" i="9"/>
  <c r="M53" i="9"/>
  <c r="G54" i="9"/>
  <c r="H54" i="9"/>
  <c r="I54" i="9"/>
  <c r="J54" i="9"/>
  <c r="K54" i="9"/>
  <c r="L54" i="9"/>
  <c r="M54" i="9"/>
  <c r="G55" i="9"/>
  <c r="H55" i="9"/>
  <c r="I55" i="9"/>
  <c r="J55" i="9"/>
  <c r="K55" i="9"/>
  <c r="L55" i="9"/>
  <c r="M55" i="9"/>
  <c r="G56" i="9"/>
  <c r="H56" i="9"/>
  <c r="I56" i="9"/>
  <c r="J56" i="9"/>
  <c r="K56" i="9"/>
  <c r="L56" i="9"/>
  <c r="M56" i="9"/>
  <c r="G57" i="9"/>
  <c r="N57" i="9" s="1"/>
  <c r="H57" i="9"/>
  <c r="I57" i="9"/>
  <c r="J57" i="9"/>
  <c r="K57" i="9"/>
  <c r="L57" i="9"/>
  <c r="M57" i="9"/>
  <c r="G58" i="9"/>
  <c r="H58" i="9"/>
  <c r="I58" i="9"/>
  <c r="J58" i="9"/>
  <c r="K58" i="9"/>
  <c r="L58" i="9"/>
  <c r="M58" i="9"/>
  <c r="G59" i="9"/>
  <c r="H59" i="9"/>
  <c r="I59" i="9"/>
  <c r="J59" i="9"/>
  <c r="K59" i="9"/>
  <c r="L59" i="9"/>
  <c r="M59" i="9"/>
  <c r="G60" i="9"/>
  <c r="H60" i="9"/>
  <c r="I60" i="9"/>
  <c r="J60" i="9"/>
  <c r="K60" i="9"/>
  <c r="L60" i="9"/>
  <c r="M60" i="9"/>
  <c r="G61" i="9"/>
  <c r="H61" i="9"/>
  <c r="I61" i="9"/>
  <c r="J61" i="9"/>
  <c r="K61" i="9"/>
  <c r="L61" i="9"/>
  <c r="M61" i="9"/>
  <c r="G62" i="9"/>
  <c r="H62" i="9"/>
  <c r="I62" i="9"/>
  <c r="J62" i="9"/>
  <c r="K62" i="9"/>
  <c r="L62" i="9"/>
  <c r="M62" i="9"/>
  <c r="G63" i="9"/>
  <c r="H63" i="9"/>
  <c r="I63" i="9"/>
  <c r="J63" i="9"/>
  <c r="K63" i="9"/>
  <c r="L63" i="9"/>
  <c r="M63" i="9"/>
  <c r="G64" i="9"/>
  <c r="H64" i="9"/>
  <c r="I64" i="9"/>
  <c r="J64" i="9"/>
  <c r="K64" i="9"/>
  <c r="L64" i="9"/>
  <c r="M64" i="9"/>
  <c r="G65" i="9"/>
  <c r="N65" i="9" s="1"/>
  <c r="H65" i="9"/>
  <c r="I65" i="9"/>
  <c r="J65" i="9"/>
  <c r="K65" i="9"/>
  <c r="L65" i="9"/>
  <c r="M65" i="9"/>
  <c r="G66" i="9"/>
  <c r="H66" i="9"/>
  <c r="I66" i="9"/>
  <c r="J66" i="9"/>
  <c r="K66" i="9"/>
  <c r="L66" i="9"/>
  <c r="M66" i="9"/>
  <c r="G67" i="9"/>
  <c r="H67" i="9"/>
  <c r="I67" i="9"/>
  <c r="J67" i="9"/>
  <c r="K67" i="9"/>
  <c r="L67" i="9"/>
  <c r="M67" i="9"/>
  <c r="G68" i="9"/>
  <c r="N68" i="9" s="1"/>
  <c r="H68" i="9"/>
  <c r="I68" i="9"/>
  <c r="J68" i="9"/>
  <c r="K68" i="9"/>
  <c r="L68" i="9"/>
  <c r="M68" i="9"/>
  <c r="G69" i="9"/>
  <c r="H69" i="9"/>
  <c r="I69" i="9"/>
  <c r="J69" i="9"/>
  <c r="K69" i="9"/>
  <c r="L69" i="9"/>
  <c r="M69" i="9"/>
  <c r="G70" i="9"/>
  <c r="H70" i="9"/>
  <c r="I70" i="9"/>
  <c r="J70" i="9"/>
  <c r="K70" i="9"/>
  <c r="L70" i="9"/>
  <c r="M70" i="9"/>
  <c r="G71" i="9"/>
  <c r="N71" i="9" s="1"/>
  <c r="H71" i="9"/>
  <c r="I71" i="9"/>
  <c r="J71" i="9"/>
  <c r="K71" i="9"/>
  <c r="L71" i="9"/>
  <c r="M71" i="9"/>
  <c r="G72" i="9"/>
  <c r="H72" i="9"/>
  <c r="I72" i="9"/>
  <c r="J72" i="9"/>
  <c r="K72" i="9"/>
  <c r="L72" i="9"/>
  <c r="M72" i="9"/>
  <c r="G73" i="9"/>
  <c r="N73" i="9" s="1"/>
  <c r="H73" i="9"/>
  <c r="I73" i="9"/>
  <c r="J73" i="9"/>
  <c r="K73" i="9"/>
  <c r="L73" i="9"/>
  <c r="M73" i="9"/>
  <c r="G74" i="9"/>
  <c r="H74" i="9"/>
  <c r="I74" i="9"/>
  <c r="J74" i="9"/>
  <c r="K74" i="9"/>
  <c r="L74" i="9"/>
  <c r="M74" i="9"/>
  <c r="G75" i="9"/>
  <c r="H75" i="9"/>
  <c r="I75" i="9"/>
  <c r="J75" i="9"/>
  <c r="K75" i="9"/>
  <c r="L75" i="9"/>
  <c r="M75" i="9"/>
  <c r="G76" i="9"/>
  <c r="N76" i="9" s="1"/>
  <c r="H76" i="9"/>
  <c r="I76" i="9"/>
  <c r="J76" i="9"/>
  <c r="K76" i="9"/>
  <c r="L76" i="9"/>
  <c r="M76" i="9"/>
  <c r="G77" i="9"/>
  <c r="H77" i="9"/>
  <c r="I77" i="9"/>
  <c r="J77" i="9"/>
  <c r="K77" i="9"/>
  <c r="L77" i="9"/>
  <c r="M77" i="9"/>
  <c r="G78" i="9"/>
  <c r="H78" i="9"/>
  <c r="I78" i="9"/>
  <c r="J78" i="9"/>
  <c r="K78" i="9"/>
  <c r="L78" i="9"/>
  <c r="M78" i="9"/>
  <c r="G79" i="9"/>
  <c r="N79" i="9" s="1"/>
  <c r="H79" i="9"/>
  <c r="I79" i="9"/>
  <c r="J79" i="9"/>
  <c r="K79" i="9"/>
  <c r="L79" i="9"/>
  <c r="M79" i="9"/>
  <c r="G80" i="9"/>
  <c r="H80" i="9"/>
  <c r="I80" i="9"/>
  <c r="J80" i="9"/>
  <c r="K80" i="9"/>
  <c r="L80" i="9"/>
  <c r="M80" i="9"/>
  <c r="G81" i="9"/>
  <c r="N81" i="9" s="1"/>
  <c r="H81" i="9"/>
  <c r="I81" i="9"/>
  <c r="J81" i="9"/>
  <c r="K81" i="9"/>
  <c r="L81" i="9"/>
  <c r="M81" i="9"/>
  <c r="G82" i="9"/>
  <c r="H82" i="9"/>
  <c r="I82" i="9"/>
  <c r="J82" i="9"/>
  <c r="K82" i="9"/>
  <c r="L82" i="9"/>
  <c r="M82" i="9"/>
  <c r="G83" i="9"/>
  <c r="H83" i="9"/>
  <c r="I83" i="9"/>
  <c r="J83" i="9"/>
  <c r="K83" i="9"/>
  <c r="L83" i="9"/>
  <c r="M83" i="9"/>
  <c r="G84" i="9"/>
  <c r="N84" i="9" s="1"/>
  <c r="H84" i="9"/>
  <c r="I84" i="9"/>
  <c r="J84" i="9"/>
  <c r="K84" i="9"/>
  <c r="L84" i="9"/>
  <c r="M84" i="9"/>
  <c r="G85" i="9"/>
  <c r="H85" i="9"/>
  <c r="I85" i="9"/>
  <c r="J85" i="9"/>
  <c r="K85" i="9"/>
  <c r="L85" i="9"/>
  <c r="M85" i="9"/>
  <c r="G86" i="9"/>
  <c r="H86" i="9"/>
  <c r="I86" i="9"/>
  <c r="J86" i="9"/>
  <c r="K86" i="9"/>
  <c r="L86" i="9"/>
  <c r="M86" i="9"/>
  <c r="G87" i="9"/>
  <c r="N87" i="9" s="1"/>
  <c r="H87" i="9"/>
  <c r="I87" i="9"/>
  <c r="J87" i="9"/>
  <c r="K87" i="9"/>
  <c r="L87" i="9"/>
  <c r="M87" i="9"/>
  <c r="G88" i="9"/>
  <c r="H88" i="9"/>
  <c r="I88" i="9"/>
  <c r="J88" i="9"/>
  <c r="K88" i="9"/>
  <c r="L88" i="9"/>
  <c r="M88" i="9"/>
  <c r="G89" i="9"/>
  <c r="N89" i="9" s="1"/>
  <c r="H89" i="9"/>
  <c r="I89" i="9"/>
  <c r="J89" i="9"/>
  <c r="K89" i="9"/>
  <c r="L89" i="9"/>
  <c r="M89" i="9"/>
  <c r="G90" i="9"/>
  <c r="H90" i="9"/>
  <c r="I90" i="9"/>
  <c r="J90" i="9"/>
  <c r="K90" i="9"/>
  <c r="L90" i="9"/>
  <c r="M90" i="9"/>
  <c r="G91" i="9"/>
  <c r="H91" i="9"/>
  <c r="I91" i="9"/>
  <c r="J91" i="9"/>
  <c r="K91" i="9"/>
  <c r="L91" i="9"/>
  <c r="M91" i="9"/>
  <c r="G92" i="9"/>
  <c r="H92" i="9"/>
  <c r="I92" i="9"/>
  <c r="J92" i="9"/>
  <c r="K92" i="9"/>
  <c r="L92" i="9"/>
  <c r="M92" i="9"/>
  <c r="G93" i="9"/>
  <c r="N93" i="9" s="1"/>
  <c r="H93" i="9"/>
  <c r="I93" i="9"/>
  <c r="J93" i="9"/>
  <c r="K93" i="9"/>
  <c r="L93" i="9"/>
  <c r="M93" i="9"/>
  <c r="G94" i="9"/>
  <c r="N94" i="9" s="1"/>
  <c r="H94" i="9"/>
  <c r="I94" i="9"/>
  <c r="J94" i="9"/>
  <c r="K94" i="9"/>
  <c r="L94" i="9"/>
  <c r="M94" i="9"/>
  <c r="G95" i="9"/>
  <c r="N95" i="9" s="1"/>
  <c r="H95" i="9"/>
  <c r="I95" i="9"/>
  <c r="J95" i="9"/>
  <c r="K95" i="9"/>
  <c r="L95" i="9"/>
  <c r="M95" i="9"/>
  <c r="G96" i="9"/>
  <c r="N96" i="9" s="1"/>
  <c r="H96" i="9"/>
  <c r="I96" i="9"/>
  <c r="J96" i="9"/>
  <c r="K96" i="9"/>
  <c r="L96" i="9"/>
  <c r="M96" i="9"/>
  <c r="G97" i="9"/>
  <c r="N97" i="9" s="1"/>
  <c r="H97" i="9"/>
  <c r="I97" i="9"/>
  <c r="J97" i="9"/>
  <c r="K97" i="9"/>
  <c r="L97" i="9"/>
  <c r="M97" i="9"/>
  <c r="G98" i="9"/>
  <c r="N98" i="9" s="1"/>
  <c r="H98" i="9"/>
  <c r="I98" i="9"/>
  <c r="J98" i="9"/>
  <c r="K98" i="9"/>
  <c r="L98" i="9"/>
  <c r="M98" i="9"/>
  <c r="G99" i="9"/>
  <c r="N99" i="9" s="1"/>
  <c r="H99" i="9"/>
  <c r="I99" i="9"/>
  <c r="J99" i="9"/>
  <c r="K99" i="9"/>
  <c r="L99" i="9"/>
  <c r="M99" i="9"/>
  <c r="G100" i="9"/>
  <c r="N100" i="9" s="1"/>
  <c r="H100" i="9"/>
  <c r="I100" i="9"/>
  <c r="J100" i="9"/>
  <c r="K100" i="9"/>
  <c r="L100" i="9"/>
  <c r="M100" i="9"/>
  <c r="G101" i="9"/>
  <c r="N101" i="9" s="1"/>
  <c r="H101" i="9"/>
  <c r="I101" i="9"/>
  <c r="J101" i="9"/>
  <c r="K101" i="9"/>
  <c r="L101" i="9"/>
  <c r="M101" i="9"/>
  <c r="G102" i="9"/>
  <c r="N102" i="9" s="1"/>
  <c r="H102" i="9"/>
  <c r="I102" i="9"/>
  <c r="J102" i="9"/>
  <c r="K102" i="9"/>
  <c r="L102" i="9"/>
  <c r="M102" i="9"/>
  <c r="G103" i="9"/>
  <c r="N103" i="9" s="1"/>
  <c r="H103" i="9"/>
  <c r="I103" i="9"/>
  <c r="J103" i="9"/>
  <c r="K103" i="9"/>
  <c r="L103" i="9"/>
  <c r="M103" i="9"/>
  <c r="G104" i="9"/>
  <c r="N104" i="9" s="1"/>
  <c r="H104" i="9"/>
  <c r="I104" i="9"/>
  <c r="J104" i="9"/>
  <c r="K104" i="9"/>
  <c r="L104" i="9"/>
  <c r="M104" i="9"/>
  <c r="G105" i="9"/>
  <c r="N105" i="9" s="1"/>
  <c r="H105" i="9"/>
  <c r="I105" i="9"/>
  <c r="J105" i="9"/>
  <c r="K105" i="9"/>
  <c r="L105" i="9"/>
  <c r="M105" i="9"/>
  <c r="G106" i="9"/>
  <c r="N106" i="9" s="1"/>
  <c r="H106" i="9"/>
  <c r="I106" i="9"/>
  <c r="J106" i="9"/>
  <c r="K106" i="9"/>
  <c r="L106" i="9"/>
  <c r="M106" i="9"/>
  <c r="G107" i="9"/>
  <c r="N107" i="9" s="1"/>
  <c r="H107" i="9"/>
  <c r="I107" i="9"/>
  <c r="J107" i="9"/>
  <c r="K107" i="9"/>
  <c r="L107" i="9"/>
  <c r="M107" i="9"/>
  <c r="G108" i="9"/>
  <c r="N108" i="9" s="1"/>
  <c r="H108" i="9"/>
  <c r="I108" i="9"/>
  <c r="J108" i="9"/>
  <c r="K108" i="9"/>
  <c r="L108" i="9"/>
  <c r="M108" i="9"/>
  <c r="G109" i="9"/>
  <c r="N109" i="9" s="1"/>
  <c r="H109" i="9"/>
  <c r="I109" i="9"/>
  <c r="J109" i="9"/>
  <c r="K109" i="9"/>
  <c r="L109" i="9"/>
  <c r="M109" i="9"/>
  <c r="G110" i="9"/>
  <c r="N110" i="9" s="1"/>
  <c r="H110" i="9"/>
  <c r="I110" i="9"/>
  <c r="J110" i="9"/>
  <c r="K110" i="9"/>
  <c r="L110" i="9"/>
  <c r="M110" i="9"/>
  <c r="G111" i="9"/>
  <c r="N111" i="9" s="1"/>
  <c r="H111" i="9"/>
  <c r="I111" i="9"/>
  <c r="J111" i="9"/>
  <c r="K111" i="9"/>
  <c r="L111" i="9"/>
  <c r="M111" i="9"/>
  <c r="G112" i="9"/>
  <c r="N112" i="9" s="1"/>
  <c r="H112" i="9"/>
  <c r="I112" i="9"/>
  <c r="J112" i="9"/>
  <c r="K112" i="9"/>
  <c r="L112" i="9"/>
  <c r="M112" i="9"/>
  <c r="G113" i="9"/>
  <c r="N113" i="9" s="1"/>
  <c r="H113" i="9"/>
  <c r="I113" i="9"/>
  <c r="J113" i="9"/>
  <c r="K113" i="9"/>
  <c r="L113" i="9"/>
  <c r="M113" i="9"/>
  <c r="G114" i="9"/>
  <c r="N114" i="9" s="1"/>
  <c r="H114" i="9"/>
  <c r="I114" i="9"/>
  <c r="J114" i="9"/>
  <c r="K114" i="9"/>
  <c r="L114" i="9"/>
  <c r="M114" i="9"/>
  <c r="G115" i="9"/>
  <c r="N115" i="9" s="1"/>
  <c r="H115" i="9"/>
  <c r="I115" i="9"/>
  <c r="J115" i="9"/>
  <c r="K115" i="9"/>
  <c r="L115" i="9"/>
  <c r="M115" i="9"/>
  <c r="G116" i="9"/>
  <c r="N116" i="9" s="1"/>
  <c r="H116" i="9"/>
  <c r="I116" i="9"/>
  <c r="J116" i="9"/>
  <c r="K116" i="9"/>
  <c r="L116" i="9"/>
  <c r="M116" i="9"/>
  <c r="G117" i="9"/>
  <c r="N117" i="9" s="1"/>
  <c r="H117" i="9"/>
  <c r="I117" i="9"/>
  <c r="J117" i="9"/>
  <c r="K117" i="9"/>
  <c r="L117" i="9"/>
  <c r="M117" i="9"/>
  <c r="G118" i="9"/>
  <c r="N118" i="9" s="1"/>
  <c r="H118" i="9"/>
  <c r="I118" i="9"/>
  <c r="J118" i="9"/>
  <c r="K118" i="9"/>
  <c r="L118" i="9"/>
  <c r="M118" i="9"/>
  <c r="G119" i="9"/>
  <c r="N119" i="9" s="1"/>
  <c r="H119" i="9"/>
  <c r="I119" i="9"/>
  <c r="J119" i="9"/>
  <c r="K119" i="9"/>
  <c r="L119" i="9"/>
  <c r="M119" i="9"/>
  <c r="G120" i="9"/>
  <c r="N120" i="9" s="1"/>
  <c r="H120" i="9"/>
  <c r="I120" i="9"/>
  <c r="J120" i="9"/>
  <c r="K120" i="9"/>
  <c r="L120" i="9"/>
  <c r="M120" i="9"/>
  <c r="G121" i="9"/>
  <c r="N121" i="9" s="1"/>
  <c r="H121" i="9"/>
  <c r="I121" i="9"/>
  <c r="J121" i="9"/>
  <c r="K121" i="9"/>
  <c r="L121" i="9"/>
  <c r="M121" i="9"/>
  <c r="G122" i="9"/>
  <c r="N122" i="9" s="1"/>
  <c r="H122" i="9"/>
  <c r="I122" i="9"/>
  <c r="J122" i="9"/>
  <c r="K122" i="9"/>
  <c r="L122" i="9"/>
  <c r="M122" i="9"/>
  <c r="G123" i="9"/>
  <c r="N123" i="9" s="1"/>
  <c r="H123" i="9"/>
  <c r="I123" i="9"/>
  <c r="J123" i="9"/>
  <c r="K123" i="9"/>
  <c r="L123" i="9"/>
  <c r="M123" i="9"/>
  <c r="G124" i="9"/>
  <c r="N124" i="9" s="1"/>
  <c r="H124" i="9"/>
  <c r="I124" i="9"/>
  <c r="J124" i="9"/>
  <c r="K124" i="9"/>
  <c r="L124" i="9"/>
  <c r="M124" i="9"/>
  <c r="G125" i="9"/>
  <c r="N125" i="9" s="1"/>
  <c r="H125" i="9"/>
  <c r="I125" i="9"/>
  <c r="J125" i="9"/>
  <c r="K125" i="9"/>
  <c r="L125" i="9"/>
  <c r="M125" i="9"/>
  <c r="G126" i="9"/>
  <c r="N126" i="9" s="1"/>
  <c r="H126" i="9"/>
  <c r="I126" i="9"/>
  <c r="J126" i="9"/>
  <c r="K126" i="9"/>
  <c r="L126" i="9"/>
  <c r="M126" i="9"/>
  <c r="G127" i="9"/>
  <c r="N127" i="9" s="1"/>
  <c r="H127" i="9"/>
  <c r="I127" i="9"/>
  <c r="J127" i="9"/>
  <c r="K127" i="9"/>
  <c r="L127" i="9"/>
  <c r="M127" i="9"/>
  <c r="G128" i="9"/>
  <c r="N128" i="9" s="1"/>
  <c r="H128" i="9"/>
  <c r="I128" i="9"/>
  <c r="J128" i="9"/>
  <c r="K128" i="9"/>
  <c r="L128" i="9"/>
  <c r="M128" i="9"/>
  <c r="G129" i="9"/>
  <c r="N129" i="9" s="1"/>
  <c r="H129" i="9"/>
  <c r="I129" i="9"/>
  <c r="J129" i="9"/>
  <c r="K129" i="9"/>
  <c r="L129" i="9"/>
  <c r="M129" i="9"/>
  <c r="G130" i="9"/>
  <c r="N130" i="9" s="1"/>
  <c r="H130" i="9"/>
  <c r="I130" i="9"/>
  <c r="J130" i="9"/>
  <c r="K130" i="9"/>
  <c r="L130" i="9"/>
  <c r="M130" i="9"/>
  <c r="G131" i="9"/>
  <c r="N131" i="9" s="1"/>
  <c r="H131" i="9"/>
  <c r="I131" i="9"/>
  <c r="J131" i="9"/>
  <c r="K131" i="9"/>
  <c r="L131" i="9"/>
  <c r="M131" i="9"/>
  <c r="G132" i="9"/>
  <c r="N132" i="9" s="1"/>
  <c r="H132" i="9"/>
  <c r="I132" i="9"/>
  <c r="J132" i="9"/>
  <c r="K132" i="9"/>
  <c r="L132" i="9"/>
  <c r="M132" i="9"/>
  <c r="G133" i="9"/>
  <c r="N133" i="9" s="1"/>
  <c r="H133" i="9"/>
  <c r="I133" i="9"/>
  <c r="J133" i="9"/>
  <c r="K133" i="9"/>
  <c r="L133" i="9"/>
  <c r="M133" i="9"/>
  <c r="G134" i="9"/>
  <c r="N134" i="9" s="1"/>
  <c r="H134" i="9"/>
  <c r="I134" i="9"/>
  <c r="J134" i="9"/>
  <c r="K134" i="9"/>
  <c r="L134" i="9"/>
  <c r="M134" i="9"/>
  <c r="G135" i="9"/>
  <c r="N135" i="9" s="1"/>
  <c r="H135" i="9"/>
  <c r="I135" i="9"/>
  <c r="J135" i="9"/>
  <c r="K135" i="9"/>
  <c r="L135" i="9"/>
  <c r="M135" i="9"/>
  <c r="G136" i="9"/>
  <c r="N136" i="9" s="1"/>
  <c r="H136" i="9"/>
  <c r="I136" i="9"/>
  <c r="J136" i="9"/>
  <c r="K136" i="9"/>
  <c r="L136" i="9"/>
  <c r="M136" i="9"/>
  <c r="G137" i="9"/>
  <c r="N137" i="9" s="1"/>
  <c r="H137" i="9"/>
  <c r="I137" i="9"/>
  <c r="J137" i="9"/>
  <c r="K137" i="9"/>
  <c r="L137" i="9"/>
  <c r="M137" i="9"/>
  <c r="G138" i="9"/>
  <c r="N138" i="9" s="1"/>
  <c r="H138" i="9"/>
  <c r="I138" i="9"/>
  <c r="J138" i="9"/>
  <c r="K138" i="9"/>
  <c r="L138" i="9"/>
  <c r="M138" i="9"/>
  <c r="G139" i="9"/>
  <c r="N139" i="9" s="1"/>
  <c r="H139" i="9"/>
  <c r="I139" i="9"/>
  <c r="J139" i="9"/>
  <c r="K139" i="9"/>
  <c r="L139" i="9"/>
  <c r="M139" i="9"/>
  <c r="G140" i="9"/>
  <c r="N140" i="9" s="1"/>
  <c r="H140" i="9"/>
  <c r="I140" i="9"/>
  <c r="J140" i="9"/>
  <c r="K140" i="9"/>
  <c r="L140" i="9"/>
  <c r="M140" i="9"/>
  <c r="G141" i="9"/>
  <c r="N141" i="9" s="1"/>
  <c r="H141" i="9"/>
  <c r="I141" i="9"/>
  <c r="J141" i="9"/>
  <c r="K141" i="9"/>
  <c r="L141" i="9"/>
  <c r="M141" i="9"/>
  <c r="G142" i="9"/>
  <c r="N142" i="9" s="1"/>
  <c r="H142" i="9"/>
  <c r="I142" i="9"/>
  <c r="J142" i="9"/>
  <c r="K142" i="9"/>
  <c r="L142" i="9"/>
  <c r="M142" i="9"/>
  <c r="G143" i="9"/>
  <c r="N143" i="9" s="1"/>
  <c r="H143" i="9"/>
  <c r="I143" i="9"/>
  <c r="J143" i="9"/>
  <c r="K143" i="9"/>
  <c r="L143" i="9"/>
  <c r="M143" i="9"/>
  <c r="G144" i="9"/>
  <c r="N144" i="9" s="1"/>
  <c r="H144" i="9"/>
  <c r="I144" i="9"/>
  <c r="J144" i="9"/>
  <c r="K144" i="9"/>
  <c r="L144" i="9"/>
  <c r="M144" i="9"/>
  <c r="G145" i="9"/>
  <c r="N145" i="9" s="1"/>
  <c r="H145" i="9"/>
  <c r="I145" i="9"/>
  <c r="J145" i="9"/>
  <c r="K145" i="9"/>
  <c r="L145" i="9"/>
  <c r="M145" i="9"/>
  <c r="G146" i="9"/>
  <c r="N146" i="9" s="1"/>
  <c r="H146" i="9"/>
  <c r="I146" i="9"/>
  <c r="J146" i="9"/>
  <c r="K146" i="9"/>
  <c r="L146" i="9"/>
  <c r="M146" i="9"/>
  <c r="G147" i="9"/>
  <c r="N147" i="9" s="1"/>
  <c r="H147" i="9"/>
  <c r="I147" i="9"/>
  <c r="J147" i="9"/>
  <c r="K147" i="9"/>
  <c r="L147" i="9"/>
  <c r="M147" i="9"/>
  <c r="G148" i="9"/>
  <c r="N148" i="9" s="1"/>
  <c r="H148" i="9"/>
  <c r="I148" i="9"/>
  <c r="J148" i="9"/>
  <c r="K148" i="9"/>
  <c r="L148" i="9"/>
  <c r="M148" i="9"/>
  <c r="G149" i="9"/>
  <c r="N149" i="9" s="1"/>
  <c r="H149" i="9"/>
  <c r="I149" i="9"/>
  <c r="J149" i="9"/>
  <c r="K149" i="9"/>
  <c r="L149" i="9"/>
  <c r="M149" i="9"/>
  <c r="G150" i="9"/>
  <c r="N150" i="9" s="1"/>
  <c r="H150" i="9"/>
  <c r="I150" i="9"/>
  <c r="J150" i="9"/>
  <c r="K150" i="9"/>
  <c r="L150" i="9"/>
  <c r="M150" i="9"/>
  <c r="G151" i="9"/>
  <c r="N151" i="9" s="1"/>
  <c r="H151" i="9"/>
  <c r="I151" i="9"/>
  <c r="J151" i="9"/>
  <c r="K151" i="9"/>
  <c r="L151" i="9"/>
  <c r="M151" i="9"/>
  <c r="G152" i="9"/>
  <c r="N152" i="9" s="1"/>
  <c r="H152" i="9"/>
  <c r="I152" i="9"/>
  <c r="J152" i="9"/>
  <c r="K152" i="9"/>
  <c r="L152" i="9"/>
  <c r="M152" i="9"/>
  <c r="G153" i="9"/>
  <c r="N153" i="9" s="1"/>
  <c r="H153" i="9"/>
  <c r="I153" i="9"/>
  <c r="J153" i="9"/>
  <c r="K153" i="9"/>
  <c r="L153" i="9"/>
  <c r="M153" i="9"/>
  <c r="G154" i="9"/>
  <c r="N154" i="9" s="1"/>
  <c r="H154" i="9"/>
  <c r="I154" i="9"/>
  <c r="J154" i="9"/>
  <c r="K154" i="9"/>
  <c r="L154" i="9"/>
  <c r="M154" i="9"/>
  <c r="M7" i="9"/>
  <c r="L7" i="9"/>
  <c r="K7" i="9"/>
  <c r="J7" i="9"/>
  <c r="I7" i="9"/>
  <c r="H7" i="9"/>
  <c r="G7" i="9"/>
  <c r="N7" i="9" s="1"/>
  <c r="G8" i="8"/>
  <c r="H8" i="8"/>
  <c r="I8" i="8"/>
  <c r="J8" i="8"/>
  <c r="K8" i="8"/>
  <c r="L8" i="8"/>
  <c r="M8" i="8"/>
  <c r="N8" i="8"/>
  <c r="G9" i="8"/>
  <c r="H9" i="8"/>
  <c r="I9" i="8"/>
  <c r="J9" i="8"/>
  <c r="K9" i="8"/>
  <c r="N9" i="8" s="1"/>
  <c r="L9" i="8"/>
  <c r="M9" i="8"/>
  <c r="G10" i="8"/>
  <c r="H10" i="8"/>
  <c r="I10" i="8"/>
  <c r="J10" i="8"/>
  <c r="K10" i="8"/>
  <c r="L10" i="8"/>
  <c r="M10" i="8"/>
  <c r="N10" i="8"/>
  <c r="G11" i="8"/>
  <c r="H11" i="8"/>
  <c r="I11" i="8"/>
  <c r="J11" i="8"/>
  <c r="K11" i="8"/>
  <c r="L11" i="8"/>
  <c r="M11" i="8"/>
  <c r="N11" i="8"/>
  <c r="G12" i="8"/>
  <c r="H12" i="8"/>
  <c r="I12" i="8"/>
  <c r="J12" i="8"/>
  <c r="K12" i="8"/>
  <c r="L12" i="8"/>
  <c r="M12" i="8"/>
  <c r="N12" i="8"/>
  <c r="G13" i="8"/>
  <c r="H13" i="8"/>
  <c r="I13" i="8"/>
  <c r="J13" i="8"/>
  <c r="K13" i="8"/>
  <c r="L13" i="8"/>
  <c r="M13" i="8"/>
  <c r="N13" i="8"/>
  <c r="G14" i="8"/>
  <c r="H14" i="8"/>
  <c r="I14" i="8"/>
  <c r="J14" i="8"/>
  <c r="K14" i="8"/>
  <c r="L14" i="8"/>
  <c r="M14" i="8"/>
  <c r="N14" i="8"/>
  <c r="G15" i="8"/>
  <c r="H15" i="8"/>
  <c r="I15" i="8"/>
  <c r="J15" i="8"/>
  <c r="K15" i="8"/>
  <c r="L15" i="8"/>
  <c r="M15" i="8"/>
  <c r="N15" i="8"/>
  <c r="G16" i="8"/>
  <c r="H16" i="8"/>
  <c r="I16" i="8"/>
  <c r="J16" i="8"/>
  <c r="K16" i="8"/>
  <c r="L16" i="8"/>
  <c r="M16" i="8"/>
  <c r="N16" i="8"/>
  <c r="G17" i="8"/>
  <c r="H17" i="8"/>
  <c r="I17" i="8"/>
  <c r="J17" i="8"/>
  <c r="K17" i="8"/>
  <c r="L17" i="8"/>
  <c r="M17" i="8"/>
  <c r="N17" i="8"/>
  <c r="G18" i="8"/>
  <c r="H18" i="8"/>
  <c r="I18" i="8"/>
  <c r="J18" i="8"/>
  <c r="K18" i="8"/>
  <c r="L18" i="8"/>
  <c r="M18" i="8"/>
  <c r="N18" i="8"/>
  <c r="G19" i="8"/>
  <c r="H19" i="8"/>
  <c r="I19" i="8"/>
  <c r="J19" i="8"/>
  <c r="K19" i="8"/>
  <c r="L19" i="8"/>
  <c r="M19" i="8"/>
  <c r="N19" i="8"/>
  <c r="G20" i="8"/>
  <c r="H20" i="8"/>
  <c r="I20" i="8"/>
  <c r="J20" i="8"/>
  <c r="K20" i="8"/>
  <c r="L20" i="8"/>
  <c r="M20" i="8"/>
  <c r="N20" i="8"/>
  <c r="G21" i="8"/>
  <c r="H21" i="8"/>
  <c r="I21" i="8"/>
  <c r="J21" i="8"/>
  <c r="K21" i="8"/>
  <c r="L21" i="8"/>
  <c r="M21" i="8"/>
  <c r="N21" i="8"/>
  <c r="G22" i="8"/>
  <c r="H22" i="8"/>
  <c r="I22" i="8"/>
  <c r="J22" i="8"/>
  <c r="K22" i="8"/>
  <c r="L22" i="8"/>
  <c r="M22" i="8"/>
  <c r="N22" i="8"/>
  <c r="G23" i="8"/>
  <c r="H23" i="8"/>
  <c r="I23" i="8"/>
  <c r="J23" i="8"/>
  <c r="K23" i="8"/>
  <c r="L23" i="8"/>
  <c r="M23" i="8"/>
  <c r="N23" i="8"/>
  <c r="G24" i="8"/>
  <c r="H24" i="8"/>
  <c r="I24" i="8"/>
  <c r="J24" i="8"/>
  <c r="K24" i="8"/>
  <c r="L24" i="8"/>
  <c r="M24" i="8"/>
  <c r="N24" i="8"/>
  <c r="G25" i="8"/>
  <c r="H25" i="8"/>
  <c r="I25" i="8"/>
  <c r="J25" i="8"/>
  <c r="K25" i="8"/>
  <c r="L25" i="8"/>
  <c r="M25" i="8"/>
  <c r="N25" i="8"/>
  <c r="G26" i="8"/>
  <c r="H26" i="8"/>
  <c r="I26" i="8"/>
  <c r="J26" i="8"/>
  <c r="K26" i="8"/>
  <c r="L26" i="8"/>
  <c r="M26" i="8"/>
  <c r="N26" i="8"/>
  <c r="G27" i="8"/>
  <c r="H27" i="8"/>
  <c r="I27" i="8"/>
  <c r="J27" i="8"/>
  <c r="K27" i="8"/>
  <c r="L27" i="8"/>
  <c r="M27" i="8"/>
  <c r="N27" i="8"/>
  <c r="G28" i="8"/>
  <c r="H28" i="8"/>
  <c r="I28" i="8"/>
  <c r="J28" i="8"/>
  <c r="K28" i="8"/>
  <c r="L28" i="8"/>
  <c r="M28" i="8"/>
  <c r="N28" i="8"/>
  <c r="G29" i="8"/>
  <c r="H29" i="8"/>
  <c r="I29" i="8"/>
  <c r="J29" i="8"/>
  <c r="K29" i="8"/>
  <c r="L29" i="8"/>
  <c r="M29" i="8"/>
  <c r="N29" i="8"/>
  <c r="G30" i="8"/>
  <c r="H30" i="8"/>
  <c r="I30" i="8"/>
  <c r="J30" i="8"/>
  <c r="K30" i="8"/>
  <c r="L30" i="8"/>
  <c r="M30" i="8"/>
  <c r="N30" i="8"/>
  <c r="G31" i="8"/>
  <c r="H31" i="8"/>
  <c r="I31" i="8"/>
  <c r="J31" i="8"/>
  <c r="K31" i="8"/>
  <c r="L31" i="8"/>
  <c r="M31" i="8"/>
  <c r="N31" i="8"/>
  <c r="G32" i="8"/>
  <c r="H32" i="8"/>
  <c r="I32" i="8"/>
  <c r="J32" i="8"/>
  <c r="K32" i="8"/>
  <c r="L32" i="8"/>
  <c r="M32" i="8"/>
  <c r="N32" i="8"/>
  <c r="G33" i="8"/>
  <c r="H33" i="8"/>
  <c r="I33" i="8"/>
  <c r="J33" i="8"/>
  <c r="K33" i="8"/>
  <c r="L33" i="8"/>
  <c r="M33" i="8"/>
  <c r="N33" i="8"/>
  <c r="G34" i="8"/>
  <c r="H34" i="8"/>
  <c r="I34" i="8"/>
  <c r="J34" i="8"/>
  <c r="K34" i="8"/>
  <c r="L34" i="8"/>
  <c r="M34" i="8"/>
  <c r="N34" i="8"/>
  <c r="G35" i="8"/>
  <c r="H35" i="8"/>
  <c r="I35" i="8"/>
  <c r="J35" i="8"/>
  <c r="K35" i="8"/>
  <c r="L35" i="8"/>
  <c r="M35" i="8"/>
  <c r="N35" i="8"/>
  <c r="G36" i="8"/>
  <c r="H36" i="8"/>
  <c r="I36" i="8"/>
  <c r="J36" i="8"/>
  <c r="K36" i="8"/>
  <c r="L36" i="8"/>
  <c r="M36" i="8"/>
  <c r="N36" i="8"/>
  <c r="G37" i="8"/>
  <c r="H37" i="8"/>
  <c r="I37" i="8"/>
  <c r="J37" i="8"/>
  <c r="K37" i="8"/>
  <c r="L37" i="8"/>
  <c r="M37" i="8"/>
  <c r="N37" i="8"/>
  <c r="G38" i="8"/>
  <c r="H38" i="8"/>
  <c r="I38" i="8"/>
  <c r="J38" i="8"/>
  <c r="K38" i="8"/>
  <c r="L38" i="8"/>
  <c r="M38" i="8"/>
  <c r="N38" i="8"/>
  <c r="G39" i="8"/>
  <c r="H39" i="8"/>
  <c r="I39" i="8"/>
  <c r="J39" i="8"/>
  <c r="K39" i="8"/>
  <c r="L39" i="8"/>
  <c r="M39" i="8"/>
  <c r="N39" i="8"/>
  <c r="G40" i="8"/>
  <c r="H40" i="8"/>
  <c r="I40" i="8"/>
  <c r="J40" i="8"/>
  <c r="K40" i="8"/>
  <c r="L40" i="8"/>
  <c r="M40" i="8"/>
  <c r="N40" i="8"/>
  <c r="G41" i="8"/>
  <c r="H41" i="8"/>
  <c r="I41" i="8"/>
  <c r="J41" i="8"/>
  <c r="K41" i="8"/>
  <c r="L41" i="8"/>
  <c r="M41" i="8"/>
  <c r="N41" i="8"/>
  <c r="G42" i="8"/>
  <c r="H42" i="8"/>
  <c r="I42" i="8"/>
  <c r="J42" i="8"/>
  <c r="K42" i="8"/>
  <c r="L42" i="8"/>
  <c r="M42" i="8"/>
  <c r="N42" i="8"/>
  <c r="G43" i="8"/>
  <c r="H43" i="8"/>
  <c r="I43" i="8"/>
  <c r="J43" i="8"/>
  <c r="K43" i="8"/>
  <c r="L43" i="8"/>
  <c r="M43" i="8"/>
  <c r="N43" i="8"/>
  <c r="G44" i="8"/>
  <c r="H44" i="8"/>
  <c r="I44" i="8"/>
  <c r="J44" i="8"/>
  <c r="K44" i="8"/>
  <c r="L44" i="8"/>
  <c r="M44" i="8"/>
  <c r="N44" i="8"/>
  <c r="G45" i="8"/>
  <c r="H45" i="8"/>
  <c r="I45" i="8"/>
  <c r="J45" i="8"/>
  <c r="K45" i="8"/>
  <c r="L45" i="8"/>
  <c r="M45" i="8"/>
  <c r="N45" i="8"/>
  <c r="G46" i="8"/>
  <c r="H46" i="8"/>
  <c r="I46" i="8"/>
  <c r="J46" i="8"/>
  <c r="K46" i="8"/>
  <c r="L46" i="8"/>
  <c r="M46" i="8"/>
  <c r="N46" i="8"/>
  <c r="G47" i="8"/>
  <c r="H47" i="8"/>
  <c r="I47" i="8"/>
  <c r="J47" i="8"/>
  <c r="K47" i="8"/>
  <c r="L47" i="8"/>
  <c r="M47" i="8"/>
  <c r="N47" i="8"/>
  <c r="G48" i="8"/>
  <c r="H48" i="8"/>
  <c r="I48" i="8"/>
  <c r="J48" i="8"/>
  <c r="K48" i="8"/>
  <c r="L48" i="8"/>
  <c r="M48" i="8"/>
  <c r="N48" i="8"/>
  <c r="G49" i="8"/>
  <c r="H49" i="8"/>
  <c r="I49" i="8"/>
  <c r="J49" i="8"/>
  <c r="K49" i="8"/>
  <c r="L49" i="8"/>
  <c r="M49" i="8"/>
  <c r="N49" i="8"/>
  <c r="G50" i="8"/>
  <c r="H50" i="8"/>
  <c r="I50" i="8"/>
  <c r="J50" i="8"/>
  <c r="K50" i="8"/>
  <c r="L50" i="8"/>
  <c r="M50" i="8"/>
  <c r="N50" i="8"/>
  <c r="G51" i="8"/>
  <c r="H51" i="8"/>
  <c r="I51" i="8"/>
  <c r="J51" i="8"/>
  <c r="K51" i="8"/>
  <c r="L51" i="8"/>
  <c r="M51" i="8"/>
  <c r="N51" i="8"/>
  <c r="G52" i="8"/>
  <c r="H52" i="8"/>
  <c r="I52" i="8"/>
  <c r="J52" i="8"/>
  <c r="K52" i="8"/>
  <c r="L52" i="8"/>
  <c r="M52" i="8"/>
  <c r="N52" i="8"/>
  <c r="G53" i="8"/>
  <c r="H53" i="8"/>
  <c r="I53" i="8"/>
  <c r="J53" i="8"/>
  <c r="K53" i="8"/>
  <c r="L53" i="8"/>
  <c r="M53" i="8"/>
  <c r="N53" i="8"/>
  <c r="G54" i="8"/>
  <c r="H54" i="8"/>
  <c r="I54" i="8"/>
  <c r="J54" i="8"/>
  <c r="K54" i="8"/>
  <c r="L54" i="8"/>
  <c r="M54" i="8"/>
  <c r="N54" i="8"/>
  <c r="G55" i="8"/>
  <c r="H55" i="8"/>
  <c r="I55" i="8"/>
  <c r="J55" i="8"/>
  <c r="K55" i="8"/>
  <c r="L55" i="8"/>
  <c r="M55" i="8"/>
  <c r="N55" i="8"/>
  <c r="G56" i="8"/>
  <c r="H56" i="8"/>
  <c r="I56" i="8"/>
  <c r="J56" i="8"/>
  <c r="K56" i="8"/>
  <c r="L56" i="8"/>
  <c r="M56" i="8"/>
  <c r="N56" i="8"/>
  <c r="G57" i="8"/>
  <c r="H57" i="8"/>
  <c r="I57" i="8"/>
  <c r="J57" i="8"/>
  <c r="K57" i="8"/>
  <c r="L57" i="8"/>
  <c r="M57" i="8"/>
  <c r="N57" i="8"/>
  <c r="G58" i="8"/>
  <c r="H58" i="8"/>
  <c r="I58" i="8"/>
  <c r="J58" i="8"/>
  <c r="K58" i="8"/>
  <c r="L58" i="8"/>
  <c r="M58" i="8"/>
  <c r="N58" i="8"/>
  <c r="G59" i="8"/>
  <c r="H59" i="8"/>
  <c r="I59" i="8"/>
  <c r="J59" i="8"/>
  <c r="K59" i="8"/>
  <c r="L59" i="8"/>
  <c r="M59" i="8"/>
  <c r="N59" i="8"/>
  <c r="G60" i="8"/>
  <c r="H60" i="8"/>
  <c r="I60" i="8"/>
  <c r="J60" i="8"/>
  <c r="K60" i="8"/>
  <c r="L60" i="8"/>
  <c r="M60" i="8"/>
  <c r="N60" i="8"/>
  <c r="G61" i="8"/>
  <c r="H61" i="8"/>
  <c r="I61" i="8"/>
  <c r="J61" i="8"/>
  <c r="K61" i="8"/>
  <c r="L61" i="8"/>
  <c r="M61" i="8"/>
  <c r="N61" i="8"/>
  <c r="G62" i="8"/>
  <c r="H62" i="8"/>
  <c r="I62" i="8"/>
  <c r="J62" i="8"/>
  <c r="K62" i="8"/>
  <c r="L62" i="8"/>
  <c r="M62" i="8"/>
  <c r="N62" i="8"/>
  <c r="G63" i="8"/>
  <c r="H63" i="8"/>
  <c r="I63" i="8"/>
  <c r="J63" i="8"/>
  <c r="K63" i="8"/>
  <c r="L63" i="8"/>
  <c r="M63" i="8"/>
  <c r="N63" i="8"/>
  <c r="G64" i="8"/>
  <c r="H64" i="8"/>
  <c r="I64" i="8"/>
  <c r="J64" i="8"/>
  <c r="K64" i="8"/>
  <c r="L64" i="8"/>
  <c r="M64" i="8"/>
  <c r="N64" i="8"/>
  <c r="G65" i="8"/>
  <c r="H65" i="8"/>
  <c r="I65" i="8"/>
  <c r="J65" i="8"/>
  <c r="K65" i="8"/>
  <c r="L65" i="8"/>
  <c r="M65" i="8"/>
  <c r="N65" i="8"/>
  <c r="G66" i="8"/>
  <c r="H66" i="8"/>
  <c r="I66" i="8"/>
  <c r="J66" i="8"/>
  <c r="K66" i="8"/>
  <c r="L66" i="8"/>
  <c r="M66" i="8"/>
  <c r="N66" i="8"/>
  <c r="G67" i="8"/>
  <c r="H67" i="8"/>
  <c r="I67" i="8"/>
  <c r="J67" i="8"/>
  <c r="K67" i="8"/>
  <c r="L67" i="8"/>
  <c r="M67" i="8"/>
  <c r="N67" i="8"/>
  <c r="G68" i="8"/>
  <c r="H68" i="8"/>
  <c r="I68" i="8"/>
  <c r="J68" i="8"/>
  <c r="K68" i="8"/>
  <c r="N68" i="8" s="1"/>
  <c r="L68" i="8"/>
  <c r="M68" i="8"/>
  <c r="G69" i="8"/>
  <c r="H69" i="8"/>
  <c r="I69" i="8"/>
  <c r="J69" i="8"/>
  <c r="K69" i="8"/>
  <c r="N69" i="8" s="1"/>
  <c r="L69" i="8"/>
  <c r="M69" i="8"/>
  <c r="G70" i="8"/>
  <c r="H70" i="8"/>
  <c r="I70" i="8"/>
  <c r="J70" i="8"/>
  <c r="K70" i="8"/>
  <c r="L70" i="8"/>
  <c r="M70" i="8"/>
  <c r="N70" i="8"/>
  <c r="G71" i="8"/>
  <c r="H71" i="8"/>
  <c r="I71" i="8"/>
  <c r="J71" i="8"/>
  <c r="K71" i="8"/>
  <c r="L71" i="8"/>
  <c r="M71" i="8"/>
  <c r="N71" i="8"/>
  <c r="G72" i="8"/>
  <c r="H72" i="8"/>
  <c r="I72" i="8"/>
  <c r="J72" i="8"/>
  <c r="K72" i="8"/>
  <c r="L72" i="8"/>
  <c r="M72" i="8"/>
  <c r="N72" i="8"/>
  <c r="G73" i="8"/>
  <c r="H73" i="8"/>
  <c r="I73" i="8"/>
  <c r="J73" i="8"/>
  <c r="K73" i="8"/>
  <c r="L73" i="8"/>
  <c r="M73" i="8"/>
  <c r="N73" i="8"/>
  <c r="G74" i="8"/>
  <c r="H74" i="8"/>
  <c r="I74" i="8"/>
  <c r="J74" i="8"/>
  <c r="K74" i="8"/>
  <c r="L74" i="8"/>
  <c r="M74" i="8"/>
  <c r="N74" i="8"/>
  <c r="G75" i="8"/>
  <c r="H75" i="8"/>
  <c r="I75" i="8"/>
  <c r="J75" i="8"/>
  <c r="K75" i="8"/>
  <c r="L75" i="8"/>
  <c r="M75" i="8"/>
  <c r="N75" i="8"/>
  <c r="G76" i="8"/>
  <c r="H76" i="8"/>
  <c r="I76" i="8"/>
  <c r="J76" i="8"/>
  <c r="K76" i="8"/>
  <c r="L76" i="8"/>
  <c r="M76" i="8"/>
  <c r="N76" i="8"/>
  <c r="G77" i="8"/>
  <c r="H77" i="8"/>
  <c r="I77" i="8"/>
  <c r="J77" i="8"/>
  <c r="K77" i="8"/>
  <c r="L77" i="8"/>
  <c r="M77" i="8"/>
  <c r="N77" i="8"/>
  <c r="G78" i="8"/>
  <c r="H78" i="8"/>
  <c r="I78" i="8"/>
  <c r="J78" i="8"/>
  <c r="K78" i="8"/>
  <c r="L78" i="8"/>
  <c r="M78" i="8"/>
  <c r="N78" i="8"/>
  <c r="G79" i="8"/>
  <c r="H79" i="8"/>
  <c r="I79" i="8"/>
  <c r="J79" i="8"/>
  <c r="K79" i="8"/>
  <c r="L79" i="8"/>
  <c r="M79" i="8"/>
  <c r="N79" i="8"/>
  <c r="G80" i="8"/>
  <c r="H80" i="8"/>
  <c r="I80" i="8"/>
  <c r="J80" i="8"/>
  <c r="K80" i="8"/>
  <c r="L80" i="8"/>
  <c r="M80" i="8"/>
  <c r="N80" i="8"/>
  <c r="G81" i="8"/>
  <c r="H81" i="8"/>
  <c r="I81" i="8"/>
  <c r="J81" i="8"/>
  <c r="K81" i="8"/>
  <c r="L81" i="8"/>
  <c r="M81" i="8"/>
  <c r="N81" i="8"/>
  <c r="G82" i="8"/>
  <c r="H82" i="8"/>
  <c r="I82" i="8"/>
  <c r="J82" i="8"/>
  <c r="K82" i="8"/>
  <c r="L82" i="8"/>
  <c r="M82" i="8"/>
  <c r="N82" i="8"/>
  <c r="G83" i="8"/>
  <c r="H83" i="8"/>
  <c r="I83" i="8"/>
  <c r="J83" i="8"/>
  <c r="K83" i="8"/>
  <c r="L83" i="8"/>
  <c r="M83" i="8"/>
  <c r="N83" i="8"/>
  <c r="G84" i="8"/>
  <c r="H84" i="8"/>
  <c r="I84" i="8"/>
  <c r="J84" i="8"/>
  <c r="K84" i="8"/>
  <c r="L84" i="8"/>
  <c r="M84" i="8"/>
  <c r="N84" i="8"/>
  <c r="G85" i="8"/>
  <c r="H85" i="8"/>
  <c r="I85" i="8"/>
  <c r="J85" i="8"/>
  <c r="K85" i="8"/>
  <c r="L85" i="8"/>
  <c r="M85" i="8"/>
  <c r="N85" i="8"/>
  <c r="G86" i="8"/>
  <c r="H86" i="8"/>
  <c r="I86" i="8"/>
  <c r="J86" i="8"/>
  <c r="K86" i="8"/>
  <c r="L86" i="8"/>
  <c r="M86" i="8"/>
  <c r="N86" i="8"/>
  <c r="G87" i="8"/>
  <c r="H87" i="8"/>
  <c r="I87" i="8"/>
  <c r="J87" i="8"/>
  <c r="K87" i="8"/>
  <c r="L87" i="8"/>
  <c r="M87" i="8"/>
  <c r="N87" i="8"/>
  <c r="G88" i="8"/>
  <c r="H88" i="8"/>
  <c r="I88" i="8"/>
  <c r="J88" i="8"/>
  <c r="K88" i="8"/>
  <c r="L88" i="8"/>
  <c r="M88" i="8"/>
  <c r="N88" i="8"/>
  <c r="G89" i="8"/>
  <c r="H89" i="8"/>
  <c r="I89" i="8"/>
  <c r="J89" i="8"/>
  <c r="K89" i="8"/>
  <c r="L89" i="8"/>
  <c r="M89" i="8"/>
  <c r="N89" i="8"/>
  <c r="G90" i="8"/>
  <c r="H90" i="8"/>
  <c r="I90" i="8"/>
  <c r="J90" i="8"/>
  <c r="K90" i="8"/>
  <c r="L90" i="8"/>
  <c r="M90" i="8"/>
  <c r="N90" i="8"/>
  <c r="G91" i="8"/>
  <c r="H91" i="8"/>
  <c r="I91" i="8"/>
  <c r="J91" i="8"/>
  <c r="K91" i="8"/>
  <c r="L91" i="8"/>
  <c r="M91" i="8"/>
  <c r="N91" i="8"/>
  <c r="G92" i="8"/>
  <c r="H92" i="8"/>
  <c r="I92" i="8"/>
  <c r="J92" i="8"/>
  <c r="K92" i="8"/>
  <c r="L92" i="8"/>
  <c r="M92" i="8"/>
  <c r="N92" i="8"/>
  <c r="G93" i="8"/>
  <c r="H93" i="8"/>
  <c r="I93" i="8"/>
  <c r="J93" i="8"/>
  <c r="K93" i="8"/>
  <c r="L93" i="8"/>
  <c r="M93" i="8"/>
  <c r="N93" i="8"/>
  <c r="G94" i="8"/>
  <c r="H94" i="8"/>
  <c r="I94" i="8"/>
  <c r="J94" i="8"/>
  <c r="K94" i="8"/>
  <c r="L94" i="8"/>
  <c r="M94" i="8"/>
  <c r="N94" i="8"/>
  <c r="G95" i="8"/>
  <c r="H95" i="8"/>
  <c r="I95" i="8"/>
  <c r="J95" i="8"/>
  <c r="K95" i="8"/>
  <c r="L95" i="8"/>
  <c r="M95" i="8"/>
  <c r="N95" i="8"/>
  <c r="G96" i="8"/>
  <c r="H96" i="8"/>
  <c r="I96" i="8"/>
  <c r="J96" i="8"/>
  <c r="K96" i="8"/>
  <c r="L96" i="8"/>
  <c r="M96" i="8"/>
  <c r="N96" i="8"/>
  <c r="G97" i="8"/>
  <c r="H97" i="8"/>
  <c r="I97" i="8"/>
  <c r="J97" i="8"/>
  <c r="K97" i="8"/>
  <c r="L97" i="8"/>
  <c r="M97" i="8"/>
  <c r="N97" i="8"/>
  <c r="G98" i="8"/>
  <c r="H98" i="8"/>
  <c r="I98" i="8"/>
  <c r="J98" i="8"/>
  <c r="K98" i="8"/>
  <c r="L98" i="8"/>
  <c r="M98" i="8"/>
  <c r="N98" i="8"/>
  <c r="G99" i="8"/>
  <c r="H99" i="8"/>
  <c r="I99" i="8"/>
  <c r="J99" i="8"/>
  <c r="K99" i="8"/>
  <c r="L99" i="8"/>
  <c r="M99" i="8"/>
  <c r="N99" i="8"/>
  <c r="G100" i="8"/>
  <c r="H100" i="8"/>
  <c r="I100" i="8"/>
  <c r="J100" i="8"/>
  <c r="K100" i="8"/>
  <c r="L100" i="8"/>
  <c r="M100" i="8"/>
  <c r="N100" i="8"/>
  <c r="G101" i="8"/>
  <c r="H101" i="8"/>
  <c r="I101" i="8"/>
  <c r="J101" i="8"/>
  <c r="K101" i="8"/>
  <c r="L101" i="8"/>
  <c r="M101" i="8"/>
  <c r="N101" i="8"/>
  <c r="G102" i="8"/>
  <c r="H102" i="8"/>
  <c r="I102" i="8"/>
  <c r="J102" i="8"/>
  <c r="K102" i="8"/>
  <c r="L102" i="8"/>
  <c r="M102" i="8"/>
  <c r="N102" i="8"/>
  <c r="G103" i="8"/>
  <c r="H103" i="8"/>
  <c r="I103" i="8"/>
  <c r="J103" i="8"/>
  <c r="K103" i="8"/>
  <c r="L103" i="8"/>
  <c r="M103" i="8"/>
  <c r="N103" i="8"/>
  <c r="G104" i="8"/>
  <c r="H104" i="8"/>
  <c r="I104" i="8"/>
  <c r="J104" i="8"/>
  <c r="K104" i="8"/>
  <c r="L104" i="8"/>
  <c r="M104" i="8"/>
  <c r="N104" i="8"/>
  <c r="G105" i="8"/>
  <c r="H105" i="8"/>
  <c r="I105" i="8"/>
  <c r="J105" i="8"/>
  <c r="K105" i="8"/>
  <c r="L105" i="8"/>
  <c r="M105" i="8"/>
  <c r="N105" i="8"/>
  <c r="G106" i="8"/>
  <c r="H106" i="8"/>
  <c r="I106" i="8"/>
  <c r="J106" i="8"/>
  <c r="K106" i="8"/>
  <c r="L106" i="8"/>
  <c r="M106" i="8"/>
  <c r="N106" i="8"/>
  <c r="G107" i="8"/>
  <c r="H107" i="8"/>
  <c r="I107" i="8"/>
  <c r="J107" i="8"/>
  <c r="K107" i="8"/>
  <c r="L107" i="8"/>
  <c r="M107" i="8"/>
  <c r="N107" i="8"/>
  <c r="G108" i="8"/>
  <c r="H108" i="8"/>
  <c r="I108" i="8"/>
  <c r="J108" i="8"/>
  <c r="K108" i="8"/>
  <c r="L108" i="8"/>
  <c r="M108" i="8"/>
  <c r="N108" i="8"/>
  <c r="G109" i="8"/>
  <c r="H109" i="8"/>
  <c r="I109" i="8"/>
  <c r="J109" i="8"/>
  <c r="K109" i="8"/>
  <c r="L109" i="8"/>
  <c r="M109" i="8"/>
  <c r="N109" i="8"/>
  <c r="G110" i="8"/>
  <c r="H110" i="8"/>
  <c r="I110" i="8"/>
  <c r="J110" i="8"/>
  <c r="K110" i="8"/>
  <c r="L110" i="8"/>
  <c r="M110" i="8"/>
  <c r="N110" i="8"/>
  <c r="G111" i="8"/>
  <c r="H111" i="8"/>
  <c r="I111" i="8"/>
  <c r="J111" i="8"/>
  <c r="K111" i="8"/>
  <c r="L111" i="8"/>
  <c r="M111" i="8"/>
  <c r="N111" i="8"/>
  <c r="G112" i="8"/>
  <c r="H112" i="8"/>
  <c r="I112" i="8"/>
  <c r="J112" i="8"/>
  <c r="K112" i="8"/>
  <c r="L112" i="8"/>
  <c r="M112" i="8"/>
  <c r="N112" i="8"/>
  <c r="G113" i="8"/>
  <c r="H113" i="8"/>
  <c r="I113" i="8"/>
  <c r="J113" i="8"/>
  <c r="K113" i="8"/>
  <c r="L113" i="8"/>
  <c r="M113" i="8"/>
  <c r="N113" i="8"/>
  <c r="G114" i="8"/>
  <c r="H114" i="8"/>
  <c r="I114" i="8"/>
  <c r="J114" i="8"/>
  <c r="K114" i="8"/>
  <c r="L114" i="8"/>
  <c r="M114" i="8"/>
  <c r="N114" i="8"/>
  <c r="G115" i="8"/>
  <c r="H115" i="8"/>
  <c r="I115" i="8"/>
  <c r="J115" i="8"/>
  <c r="K115" i="8"/>
  <c r="L115" i="8"/>
  <c r="M115" i="8"/>
  <c r="N115" i="8"/>
  <c r="G116" i="8"/>
  <c r="H116" i="8"/>
  <c r="I116" i="8"/>
  <c r="J116" i="8"/>
  <c r="K116" i="8"/>
  <c r="L116" i="8"/>
  <c r="M116" i="8"/>
  <c r="N116" i="8"/>
  <c r="G117" i="8"/>
  <c r="H117" i="8"/>
  <c r="I117" i="8"/>
  <c r="J117" i="8"/>
  <c r="K117" i="8"/>
  <c r="L117" i="8"/>
  <c r="M117" i="8"/>
  <c r="N117" i="8"/>
  <c r="G118" i="8"/>
  <c r="H118" i="8"/>
  <c r="I118" i="8"/>
  <c r="J118" i="8"/>
  <c r="K118" i="8"/>
  <c r="L118" i="8"/>
  <c r="M118" i="8"/>
  <c r="N118" i="8"/>
  <c r="G119" i="8"/>
  <c r="H119" i="8"/>
  <c r="I119" i="8"/>
  <c r="J119" i="8"/>
  <c r="K119" i="8"/>
  <c r="L119" i="8"/>
  <c r="M119" i="8"/>
  <c r="N119" i="8"/>
  <c r="G120" i="8"/>
  <c r="H120" i="8"/>
  <c r="I120" i="8"/>
  <c r="J120" i="8"/>
  <c r="K120" i="8"/>
  <c r="L120" i="8"/>
  <c r="M120" i="8"/>
  <c r="N120" i="8"/>
  <c r="G121" i="8"/>
  <c r="H121" i="8"/>
  <c r="I121" i="8"/>
  <c r="J121" i="8"/>
  <c r="K121" i="8"/>
  <c r="L121" i="8"/>
  <c r="M121" i="8"/>
  <c r="N121" i="8"/>
  <c r="G122" i="8"/>
  <c r="H122" i="8"/>
  <c r="I122" i="8"/>
  <c r="J122" i="8"/>
  <c r="K122" i="8"/>
  <c r="L122" i="8"/>
  <c r="M122" i="8"/>
  <c r="N122" i="8"/>
  <c r="G123" i="8"/>
  <c r="H123" i="8"/>
  <c r="I123" i="8"/>
  <c r="J123" i="8"/>
  <c r="K123" i="8"/>
  <c r="L123" i="8"/>
  <c r="M123" i="8"/>
  <c r="N123" i="8"/>
  <c r="G124" i="8"/>
  <c r="H124" i="8"/>
  <c r="I124" i="8"/>
  <c r="J124" i="8"/>
  <c r="K124" i="8"/>
  <c r="L124" i="8"/>
  <c r="M124" i="8"/>
  <c r="N124" i="8"/>
  <c r="G125" i="8"/>
  <c r="H125" i="8"/>
  <c r="I125" i="8"/>
  <c r="J125" i="8"/>
  <c r="K125" i="8"/>
  <c r="L125" i="8"/>
  <c r="M125" i="8"/>
  <c r="N125" i="8"/>
  <c r="G126" i="8"/>
  <c r="H126" i="8"/>
  <c r="I126" i="8"/>
  <c r="J126" i="8"/>
  <c r="K126" i="8"/>
  <c r="L126" i="8"/>
  <c r="M126" i="8"/>
  <c r="N126" i="8"/>
  <c r="G127" i="8"/>
  <c r="H127" i="8"/>
  <c r="I127" i="8"/>
  <c r="J127" i="8"/>
  <c r="K127" i="8"/>
  <c r="L127" i="8"/>
  <c r="M127" i="8"/>
  <c r="N127" i="8"/>
  <c r="G128" i="8"/>
  <c r="H128" i="8"/>
  <c r="I128" i="8"/>
  <c r="J128" i="8"/>
  <c r="K128" i="8"/>
  <c r="L128" i="8"/>
  <c r="M128" i="8"/>
  <c r="N128" i="8"/>
  <c r="G129" i="8"/>
  <c r="H129" i="8"/>
  <c r="I129" i="8"/>
  <c r="J129" i="8"/>
  <c r="K129" i="8"/>
  <c r="L129" i="8"/>
  <c r="M129" i="8"/>
  <c r="N129" i="8"/>
  <c r="G130" i="8"/>
  <c r="H130" i="8"/>
  <c r="I130" i="8"/>
  <c r="J130" i="8"/>
  <c r="K130" i="8"/>
  <c r="L130" i="8"/>
  <c r="M130" i="8"/>
  <c r="N130" i="8"/>
  <c r="G131" i="8"/>
  <c r="H131" i="8"/>
  <c r="I131" i="8"/>
  <c r="J131" i="8"/>
  <c r="K131" i="8"/>
  <c r="L131" i="8"/>
  <c r="M131" i="8"/>
  <c r="N131" i="8"/>
  <c r="G132" i="8"/>
  <c r="H132" i="8"/>
  <c r="I132" i="8"/>
  <c r="J132" i="8"/>
  <c r="K132" i="8"/>
  <c r="L132" i="8"/>
  <c r="M132" i="8"/>
  <c r="N132" i="8"/>
  <c r="G133" i="8"/>
  <c r="H133" i="8"/>
  <c r="I133" i="8"/>
  <c r="J133" i="8"/>
  <c r="K133" i="8"/>
  <c r="L133" i="8"/>
  <c r="M133" i="8"/>
  <c r="N133" i="8"/>
  <c r="G134" i="8"/>
  <c r="H134" i="8"/>
  <c r="I134" i="8"/>
  <c r="J134" i="8"/>
  <c r="K134" i="8"/>
  <c r="L134" i="8"/>
  <c r="M134" i="8"/>
  <c r="N134" i="8"/>
  <c r="G135" i="8"/>
  <c r="H135" i="8"/>
  <c r="I135" i="8"/>
  <c r="J135" i="8"/>
  <c r="K135" i="8"/>
  <c r="L135" i="8"/>
  <c r="M135" i="8"/>
  <c r="N135" i="8"/>
  <c r="G136" i="8"/>
  <c r="H136" i="8"/>
  <c r="I136" i="8"/>
  <c r="J136" i="8"/>
  <c r="K136" i="8"/>
  <c r="L136" i="8"/>
  <c r="M136" i="8"/>
  <c r="N136" i="8"/>
  <c r="G137" i="8"/>
  <c r="H137" i="8"/>
  <c r="I137" i="8"/>
  <c r="J137" i="8"/>
  <c r="K137" i="8"/>
  <c r="L137" i="8"/>
  <c r="M137" i="8"/>
  <c r="N137" i="8"/>
  <c r="G138" i="8"/>
  <c r="H138" i="8"/>
  <c r="I138" i="8"/>
  <c r="J138" i="8"/>
  <c r="K138" i="8"/>
  <c r="L138" i="8"/>
  <c r="M138" i="8"/>
  <c r="N138" i="8"/>
  <c r="G139" i="8"/>
  <c r="H139" i="8"/>
  <c r="I139" i="8"/>
  <c r="J139" i="8"/>
  <c r="K139" i="8"/>
  <c r="L139" i="8"/>
  <c r="M139" i="8"/>
  <c r="N139" i="8"/>
  <c r="G140" i="8"/>
  <c r="H140" i="8"/>
  <c r="I140" i="8"/>
  <c r="J140" i="8"/>
  <c r="K140" i="8"/>
  <c r="L140" i="8"/>
  <c r="M140" i="8"/>
  <c r="N140" i="8"/>
  <c r="G141" i="8"/>
  <c r="H141" i="8"/>
  <c r="I141" i="8"/>
  <c r="J141" i="8"/>
  <c r="K141" i="8"/>
  <c r="L141" i="8"/>
  <c r="M141" i="8"/>
  <c r="N141" i="8"/>
  <c r="G142" i="8"/>
  <c r="H142" i="8"/>
  <c r="I142" i="8"/>
  <c r="J142" i="8"/>
  <c r="K142" i="8"/>
  <c r="L142" i="8"/>
  <c r="M142" i="8"/>
  <c r="N142" i="8"/>
  <c r="G143" i="8"/>
  <c r="H143" i="8"/>
  <c r="I143" i="8"/>
  <c r="J143" i="8"/>
  <c r="K143" i="8"/>
  <c r="L143" i="8"/>
  <c r="M143" i="8"/>
  <c r="N143" i="8"/>
  <c r="G144" i="8"/>
  <c r="H144" i="8"/>
  <c r="I144" i="8"/>
  <c r="J144" i="8"/>
  <c r="K144" i="8"/>
  <c r="L144" i="8"/>
  <c r="M144" i="8"/>
  <c r="N144" i="8"/>
  <c r="G145" i="8"/>
  <c r="H145" i="8"/>
  <c r="I145" i="8"/>
  <c r="J145" i="8"/>
  <c r="K145" i="8"/>
  <c r="L145" i="8"/>
  <c r="M145" i="8"/>
  <c r="N145" i="8"/>
  <c r="G146" i="8"/>
  <c r="H146" i="8"/>
  <c r="I146" i="8"/>
  <c r="J146" i="8"/>
  <c r="K146" i="8"/>
  <c r="L146" i="8"/>
  <c r="M146" i="8"/>
  <c r="N146" i="8"/>
  <c r="G147" i="8"/>
  <c r="H147" i="8"/>
  <c r="I147" i="8"/>
  <c r="J147" i="8"/>
  <c r="K147" i="8"/>
  <c r="L147" i="8"/>
  <c r="M147" i="8"/>
  <c r="N147" i="8"/>
  <c r="G148" i="8"/>
  <c r="H148" i="8"/>
  <c r="I148" i="8"/>
  <c r="J148" i="8"/>
  <c r="K148" i="8"/>
  <c r="L148" i="8"/>
  <c r="M148" i="8"/>
  <c r="N148" i="8"/>
  <c r="G149" i="8"/>
  <c r="H149" i="8"/>
  <c r="I149" i="8"/>
  <c r="J149" i="8"/>
  <c r="K149" i="8"/>
  <c r="L149" i="8"/>
  <c r="M149" i="8"/>
  <c r="N149" i="8"/>
  <c r="G150" i="8"/>
  <c r="H150" i="8"/>
  <c r="I150" i="8"/>
  <c r="J150" i="8"/>
  <c r="K150" i="8"/>
  <c r="L150" i="8"/>
  <c r="M150" i="8"/>
  <c r="N150" i="8"/>
  <c r="G151" i="8"/>
  <c r="H151" i="8"/>
  <c r="I151" i="8"/>
  <c r="J151" i="8"/>
  <c r="K151" i="8"/>
  <c r="L151" i="8"/>
  <c r="M151" i="8"/>
  <c r="N151" i="8"/>
  <c r="G152" i="8"/>
  <c r="H152" i="8"/>
  <c r="I152" i="8"/>
  <c r="J152" i="8"/>
  <c r="K152" i="8"/>
  <c r="L152" i="8"/>
  <c r="M152" i="8"/>
  <c r="N152" i="8"/>
  <c r="G153" i="8"/>
  <c r="H153" i="8"/>
  <c r="I153" i="8"/>
  <c r="J153" i="8"/>
  <c r="K153" i="8"/>
  <c r="L153" i="8"/>
  <c r="M153" i="8"/>
  <c r="N153" i="8"/>
  <c r="G154" i="8"/>
  <c r="H154" i="8"/>
  <c r="I154" i="8"/>
  <c r="J154" i="8"/>
  <c r="K154" i="8"/>
  <c r="L154" i="8"/>
  <c r="M154" i="8"/>
  <c r="N154" i="8"/>
  <c r="G155" i="8"/>
  <c r="H155" i="8"/>
  <c r="I155" i="8"/>
  <c r="J155" i="8"/>
  <c r="K155" i="8"/>
  <c r="L155" i="8"/>
  <c r="M155" i="8"/>
  <c r="N155" i="8"/>
  <c r="G156" i="8"/>
  <c r="H156" i="8"/>
  <c r="I156" i="8"/>
  <c r="J156" i="8"/>
  <c r="K156" i="8"/>
  <c r="L156" i="8"/>
  <c r="M156" i="8"/>
  <c r="N156" i="8"/>
  <c r="G157" i="8"/>
  <c r="H157" i="8"/>
  <c r="I157" i="8"/>
  <c r="J157" i="8"/>
  <c r="K157" i="8"/>
  <c r="L157" i="8"/>
  <c r="M157" i="8"/>
  <c r="N157" i="8"/>
  <c r="G158" i="8"/>
  <c r="H158" i="8"/>
  <c r="I158" i="8"/>
  <c r="J158" i="8"/>
  <c r="K158" i="8"/>
  <c r="L158" i="8"/>
  <c r="M158" i="8"/>
  <c r="N158" i="8"/>
  <c r="G159" i="8"/>
  <c r="H159" i="8"/>
  <c r="I159" i="8"/>
  <c r="J159" i="8"/>
  <c r="K159" i="8"/>
  <c r="L159" i="8"/>
  <c r="M159" i="8"/>
  <c r="N159" i="8"/>
  <c r="G160" i="8"/>
  <c r="H160" i="8"/>
  <c r="I160" i="8"/>
  <c r="J160" i="8"/>
  <c r="K160" i="8"/>
  <c r="L160" i="8"/>
  <c r="M160" i="8"/>
  <c r="N160" i="8"/>
  <c r="G161" i="8"/>
  <c r="H161" i="8"/>
  <c r="I161" i="8"/>
  <c r="J161" i="8"/>
  <c r="K161" i="8"/>
  <c r="L161" i="8"/>
  <c r="M161" i="8"/>
  <c r="N161" i="8"/>
  <c r="G162" i="8"/>
  <c r="H162" i="8"/>
  <c r="I162" i="8"/>
  <c r="J162" i="8"/>
  <c r="K162" i="8"/>
  <c r="L162" i="8"/>
  <c r="M162" i="8"/>
  <c r="N162" i="8"/>
  <c r="G163" i="8"/>
  <c r="H163" i="8"/>
  <c r="I163" i="8"/>
  <c r="J163" i="8"/>
  <c r="K163" i="8"/>
  <c r="L163" i="8"/>
  <c r="M163" i="8"/>
  <c r="N163" i="8"/>
  <c r="G164" i="8"/>
  <c r="H164" i="8"/>
  <c r="I164" i="8"/>
  <c r="J164" i="8"/>
  <c r="K164" i="8"/>
  <c r="L164" i="8"/>
  <c r="M164" i="8"/>
  <c r="N164" i="8"/>
  <c r="G165" i="8"/>
  <c r="H165" i="8"/>
  <c r="I165" i="8"/>
  <c r="J165" i="8"/>
  <c r="K165" i="8"/>
  <c r="L165" i="8"/>
  <c r="M165" i="8"/>
  <c r="N165" i="8"/>
  <c r="G166" i="8"/>
  <c r="H166" i="8"/>
  <c r="I166" i="8"/>
  <c r="J166" i="8"/>
  <c r="K166" i="8"/>
  <c r="L166" i="8"/>
  <c r="M166" i="8"/>
  <c r="N166" i="8"/>
  <c r="G167" i="8"/>
  <c r="H167" i="8"/>
  <c r="I167" i="8"/>
  <c r="J167" i="8"/>
  <c r="K167" i="8"/>
  <c r="L167" i="8"/>
  <c r="M167" i="8"/>
  <c r="N167" i="8"/>
  <c r="G168" i="8"/>
  <c r="H168" i="8"/>
  <c r="I168" i="8"/>
  <c r="J168" i="8"/>
  <c r="K168" i="8"/>
  <c r="L168" i="8"/>
  <c r="M168" i="8"/>
  <c r="N168" i="8"/>
  <c r="G169" i="8"/>
  <c r="H169" i="8"/>
  <c r="I169" i="8"/>
  <c r="J169" i="8"/>
  <c r="K169" i="8"/>
  <c r="L169" i="8"/>
  <c r="M169" i="8"/>
  <c r="N169" i="8"/>
  <c r="G170" i="8"/>
  <c r="H170" i="8"/>
  <c r="I170" i="8"/>
  <c r="J170" i="8"/>
  <c r="K170" i="8"/>
  <c r="L170" i="8"/>
  <c r="M170" i="8"/>
  <c r="N170" i="8"/>
  <c r="G171" i="8"/>
  <c r="H171" i="8"/>
  <c r="I171" i="8"/>
  <c r="J171" i="8"/>
  <c r="K171" i="8"/>
  <c r="L171" i="8"/>
  <c r="M171" i="8"/>
  <c r="N171" i="8"/>
  <c r="G172" i="8"/>
  <c r="H172" i="8"/>
  <c r="I172" i="8"/>
  <c r="J172" i="8"/>
  <c r="K172" i="8"/>
  <c r="L172" i="8"/>
  <c r="M172" i="8"/>
  <c r="N172" i="8"/>
  <c r="G173" i="8"/>
  <c r="H173" i="8"/>
  <c r="I173" i="8"/>
  <c r="J173" i="8"/>
  <c r="K173" i="8"/>
  <c r="L173" i="8"/>
  <c r="M173" i="8"/>
  <c r="N173" i="8"/>
  <c r="G174" i="8"/>
  <c r="H174" i="8"/>
  <c r="I174" i="8"/>
  <c r="J174" i="8"/>
  <c r="K174" i="8"/>
  <c r="L174" i="8"/>
  <c r="M174" i="8"/>
  <c r="N174" i="8"/>
  <c r="G175" i="8"/>
  <c r="H175" i="8"/>
  <c r="I175" i="8"/>
  <c r="J175" i="8"/>
  <c r="K175" i="8"/>
  <c r="L175" i="8"/>
  <c r="M175" i="8"/>
  <c r="N175" i="8"/>
  <c r="G176" i="8"/>
  <c r="H176" i="8"/>
  <c r="I176" i="8"/>
  <c r="J176" i="8"/>
  <c r="K176" i="8"/>
  <c r="L176" i="8"/>
  <c r="M176" i="8"/>
  <c r="N176" i="8"/>
  <c r="G177" i="8"/>
  <c r="H177" i="8"/>
  <c r="I177" i="8"/>
  <c r="J177" i="8"/>
  <c r="K177" i="8"/>
  <c r="L177" i="8"/>
  <c r="M177" i="8"/>
  <c r="N177" i="8"/>
  <c r="G178" i="8"/>
  <c r="H178" i="8"/>
  <c r="I178" i="8"/>
  <c r="J178" i="8"/>
  <c r="K178" i="8"/>
  <c r="L178" i="8"/>
  <c r="M178" i="8"/>
  <c r="N178" i="8"/>
  <c r="G179" i="8"/>
  <c r="H179" i="8"/>
  <c r="I179" i="8"/>
  <c r="J179" i="8"/>
  <c r="K179" i="8"/>
  <c r="L179" i="8"/>
  <c r="M179" i="8"/>
  <c r="N179" i="8"/>
  <c r="G180" i="8"/>
  <c r="H180" i="8"/>
  <c r="I180" i="8"/>
  <c r="J180" i="8"/>
  <c r="K180" i="8"/>
  <c r="L180" i="8"/>
  <c r="M180" i="8"/>
  <c r="N180" i="8"/>
  <c r="G181" i="8"/>
  <c r="H181" i="8"/>
  <c r="I181" i="8"/>
  <c r="J181" i="8"/>
  <c r="K181" i="8"/>
  <c r="L181" i="8"/>
  <c r="M181" i="8"/>
  <c r="N181" i="8"/>
  <c r="G182" i="8"/>
  <c r="H182" i="8"/>
  <c r="I182" i="8"/>
  <c r="J182" i="8"/>
  <c r="K182" i="8"/>
  <c r="L182" i="8"/>
  <c r="M182" i="8"/>
  <c r="N182" i="8"/>
  <c r="G183" i="8"/>
  <c r="H183" i="8"/>
  <c r="I183" i="8"/>
  <c r="J183" i="8"/>
  <c r="K183" i="8"/>
  <c r="L183" i="8"/>
  <c r="M183" i="8"/>
  <c r="N183" i="8"/>
  <c r="G184" i="8"/>
  <c r="H184" i="8"/>
  <c r="I184" i="8"/>
  <c r="J184" i="8"/>
  <c r="K184" i="8"/>
  <c r="L184" i="8"/>
  <c r="M184" i="8"/>
  <c r="N184" i="8"/>
  <c r="G185" i="8"/>
  <c r="H185" i="8"/>
  <c r="I185" i="8"/>
  <c r="J185" i="8"/>
  <c r="K185" i="8"/>
  <c r="L185" i="8"/>
  <c r="M185" i="8"/>
  <c r="N185" i="8"/>
  <c r="G186" i="8"/>
  <c r="H186" i="8"/>
  <c r="I186" i="8"/>
  <c r="J186" i="8"/>
  <c r="K186" i="8"/>
  <c r="L186" i="8"/>
  <c r="M186" i="8"/>
  <c r="N186" i="8"/>
  <c r="G187" i="8"/>
  <c r="H187" i="8"/>
  <c r="I187" i="8"/>
  <c r="J187" i="8"/>
  <c r="K187" i="8"/>
  <c r="N187" i="8" s="1"/>
  <c r="L187" i="8"/>
  <c r="M187" i="8"/>
  <c r="G188" i="8"/>
  <c r="H188" i="8"/>
  <c r="I188" i="8"/>
  <c r="J188" i="8"/>
  <c r="K188" i="8"/>
  <c r="L188" i="8"/>
  <c r="M188" i="8"/>
  <c r="N188" i="8"/>
  <c r="G189" i="8"/>
  <c r="H189" i="8"/>
  <c r="I189" i="8"/>
  <c r="J189" i="8"/>
  <c r="K189" i="8"/>
  <c r="L189" i="8"/>
  <c r="M189" i="8"/>
  <c r="N189" i="8"/>
  <c r="G190" i="8"/>
  <c r="H190" i="8"/>
  <c r="I190" i="8"/>
  <c r="J190" i="8"/>
  <c r="K190" i="8"/>
  <c r="L190" i="8"/>
  <c r="M190" i="8"/>
  <c r="N190" i="8"/>
  <c r="G191" i="8"/>
  <c r="H191" i="8"/>
  <c r="I191" i="8"/>
  <c r="J191" i="8"/>
  <c r="K191" i="8"/>
  <c r="L191" i="8"/>
  <c r="M191" i="8"/>
  <c r="N191" i="8"/>
  <c r="G192" i="8"/>
  <c r="H192" i="8"/>
  <c r="I192" i="8"/>
  <c r="J192" i="8"/>
  <c r="K192" i="8"/>
  <c r="L192" i="8"/>
  <c r="M192" i="8"/>
  <c r="N192" i="8"/>
  <c r="G193" i="8"/>
  <c r="H193" i="8"/>
  <c r="I193" i="8"/>
  <c r="J193" i="8"/>
  <c r="K193" i="8"/>
  <c r="L193" i="8"/>
  <c r="M193" i="8"/>
  <c r="N193" i="8"/>
  <c r="G194" i="8"/>
  <c r="H194" i="8"/>
  <c r="I194" i="8"/>
  <c r="J194" i="8"/>
  <c r="K194" i="8"/>
  <c r="L194" i="8"/>
  <c r="M194" i="8"/>
  <c r="N194" i="8"/>
  <c r="G195" i="8"/>
  <c r="H195" i="8"/>
  <c r="I195" i="8"/>
  <c r="J195" i="8"/>
  <c r="K195" i="8"/>
  <c r="L195" i="8"/>
  <c r="M195" i="8"/>
  <c r="N195" i="8"/>
  <c r="G196" i="8"/>
  <c r="H196" i="8"/>
  <c r="I196" i="8"/>
  <c r="J196" i="8"/>
  <c r="K196" i="8"/>
  <c r="L196" i="8"/>
  <c r="M196" i="8"/>
  <c r="N196" i="8"/>
  <c r="G197" i="8"/>
  <c r="H197" i="8"/>
  <c r="I197" i="8"/>
  <c r="J197" i="8"/>
  <c r="K197" i="8"/>
  <c r="L197" i="8"/>
  <c r="M197" i="8"/>
  <c r="N197" i="8"/>
  <c r="G198" i="8"/>
  <c r="H198" i="8"/>
  <c r="I198" i="8"/>
  <c r="J198" i="8"/>
  <c r="K198" i="8"/>
  <c r="L198" i="8"/>
  <c r="M198" i="8"/>
  <c r="N198" i="8"/>
  <c r="G199" i="8"/>
  <c r="H199" i="8"/>
  <c r="I199" i="8"/>
  <c r="J199" i="8"/>
  <c r="K199" i="8"/>
  <c r="L199" i="8"/>
  <c r="M199" i="8"/>
  <c r="N199" i="8"/>
  <c r="G200" i="8"/>
  <c r="H200" i="8"/>
  <c r="I200" i="8"/>
  <c r="J200" i="8"/>
  <c r="K200" i="8"/>
  <c r="L200" i="8"/>
  <c r="M200" i="8"/>
  <c r="N200" i="8"/>
  <c r="G201" i="8"/>
  <c r="H201" i="8"/>
  <c r="I201" i="8"/>
  <c r="J201" i="8"/>
  <c r="K201" i="8"/>
  <c r="L201" i="8"/>
  <c r="M201" i="8"/>
  <c r="N201" i="8"/>
  <c r="G202" i="8"/>
  <c r="H202" i="8"/>
  <c r="I202" i="8"/>
  <c r="J202" i="8"/>
  <c r="K202" i="8"/>
  <c r="L202" i="8"/>
  <c r="M202" i="8"/>
  <c r="N202" i="8"/>
  <c r="G203" i="8"/>
  <c r="H203" i="8"/>
  <c r="I203" i="8"/>
  <c r="J203" i="8"/>
  <c r="K203" i="8"/>
  <c r="L203" i="8"/>
  <c r="M203" i="8"/>
  <c r="N203" i="8"/>
  <c r="G204" i="8"/>
  <c r="H204" i="8"/>
  <c r="I204" i="8"/>
  <c r="J204" i="8"/>
  <c r="K204" i="8"/>
  <c r="L204" i="8"/>
  <c r="M204" i="8"/>
  <c r="N204" i="8"/>
  <c r="G205" i="8"/>
  <c r="H205" i="8"/>
  <c r="I205" i="8"/>
  <c r="J205" i="8"/>
  <c r="K205" i="8"/>
  <c r="L205" i="8"/>
  <c r="M205" i="8"/>
  <c r="N205" i="8"/>
  <c r="G206" i="8"/>
  <c r="H206" i="8"/>
  <c r="I206" i="8"/>
  <c r="J206" i="8"/>
  <c r="K206" i="8"/>
  <c r="L206" i="8"/>
  <c r="M206" i="8"/>
  <c r="N206" i="8"/>
  <c r="G207" i="8"/>
  <c r="H207" i="8"/>
  <c r="I207" i="8"/>
  <c r="J207" i="8"/>
  <c r="K207" i="8"/>
  <c r="L207" i="8"/>
  <c r="M207" i="8"/>
  <c r="N207" i="8"/>
  <c r="G208" i="8"/>
  <c r="H208" i="8"/>
  <c r="I208" i="8"/>
  <c r="J208" i="8"/>
  <c r="K208" i="8"/>
  <c r="L208" i="8"/>
  <c r="M208" i="8"/>
  <c r="N208" i="8"/>
  <c r="G209" i="8"/>
  <c r="H209" i="8"/>
  <c r="I209" i="8"/>
  <c r="J209" i="8"/>
  <c r="K209" i="8"/>
  <c r="L209" i="8"/>
  <c r="M209" i="8"/>
  <c r="N209" i="8"/>
  <c r="G210" i="8"/>
  <c r="H210" i="8"/>
  <c r="I210" i="8"/>
  <c r="J210" i="8"/>
  <c r="K210" i="8"/>
  <c r="L210" i="8"/>
  <c r="M210" i="8"/>
  <c r="N210" i="8"/>
  <c r="G211" i="8"/>
  <c r="H211" i="8"/>
  <c r="I211" i="8"/>
  <c r="J211" i="8"/>
  <c r="K211" i="8"/>
  <c r="L211" i="8"/>
  <c r="M211" i="8"/>
  <c r="N211" i="8"/>
  <c r="G212" i="8"/>
  <c r="H212" i="8"/>
  <c r="I212" i="8"/>
  <c r="J212" i="8"/>
  <c r="K212" i="8"/>
  <c r="L212" i="8"/>
  <c r="M212" i="8"/>
  <c r="N212" i="8"/>
  <c r="G213" i="8"/>
  <c r="H213" i="8"/>
  <c r="I213" i="8"/>
  <c r="J213" i="8"/>
  <c r="K213" i="8"/>
  <c r="L213" i="8"/>
  <c r="M213" i="8"/>
  <c r="N213" i="8"/>
  <c r="G214" i="8"/>
  <c r="H214" i="8"/>
  <c r="I214" i="8"/>
  <c r="J214" i="8"/>
  <c r="K214" i="8"/>
  <c r="L214" i="8"/>
  <c r="M214" i="8"/>
  <c r="N214" i="8"/>
  <c r="G215" i="8"/>
  <c r="H215" i="8"/>
  <c r="I215" i="8"/>
  <c r="J215" i="8"/>
  <c r="K215" i="8"/>
  <c r="L215" i="8"/>
  <c r="M215" i="8"/>
  <c r="N215" i="8"/>
  <c r="G216" i="8"/>
  <c r="H216" i="8"/>
  <c r="I216" i="8"/>
  <c r="J216" i="8"/>
  <c r="K216" i="8"/>
  <c r="L216" i="8"/>
  <c r="M216" i="8"/>
  <c r="N216" i="8"/>
  <c r="G217" i="8"/>
  <c r="H217" i="8"/>
  <c r="I217" i="8"/>
  <c r="J217" i="8"/>
  <c r="K217" i="8"/>
  <c r="L217" i="8"/>
  <c r="M217" i="8"/>
  <c r="N217" i="8"/>
  <c r="G218" i="8"/>
  <c r="H218" i="8"/>
  <c r="I218" i="8"/>
  <c r="J218" i="8"/>
  <c r="K218" i="8"/>
  <c r="L218" i="8"/>
  <c r="M218" i="8"/>
  <c r="N218" i="8"/>
  <c r="G219" i="8"/>
  <c r="H219" i="8"/>
  <c r="I219" i="8"/>
  <c r="J219" i="8"/>
  <c r="K219" i="8"/>
  <c r="L219" i="8"/>
  <c r="M219" i="8"/>
  <c r="N219" i="8"/>
  <c r="G220" i="8"/>
  <c r="H220" i="8"/>
  <c r="I220" i="8"/>
  <c r="J220" i="8"/>
  <c r="K220" i="8"/>
  <c r="L220" i="8"/>
  <c r="M220" i="8"/>
  <c r="N220" i="8"/>
  <c r="G221" i="8"/>
  <c r="H221" i="8"/>
  <c r="I221" i="8"/>
  <c r="J221" i="8"/>
  <c r="K221" i="8"/>
  <c r="L221" i="8"/>
  <c r="M221" i="8"/>
  <c r="N221" i="8"/>
  <c r="G222" i="8"/>
  <c r="H222" i="8"/>
  <c r="I222" i="8"/>
  <c r="J222" i="8"/>
  <c r="K222" i="8"/>
  <c r="L222" i="8"/>
  <c r="M222" i="8"/>
  <c r="N222" i="8"/>
  <c r="G223" i="8"/>
  <c r="H223" i="8"/>
  <c r="I223" i="8"/>
  <c r="J223" i="8"/>
  <c r="K223" i="8"/>
  <c r="L223" i="8"/>
  <c r="M223" i="8"/>
  <c r="N223" i="8"/>
  <c r="G224" i="8"/>
  <c r="H224" i="8"/>
  <c r="I224" i="8"/>
  <c r="J224" i="8"/>
  <c r="K224" i="8"/>
  <c r="L224" i="8"/>
  <c r="M224" i="8"/>
  <c r="N224" i="8"/>
  <c r="G225" i="8"/>
  <c r="H225" i="8"/>
  <c r="I225" i="8"/>
  <c r="J225" i="8"/>
  <c r="K225" i="8"/>
  <c r="L225" i="8"/>
  <c r="M225" i="8"/>
  <c r="N225" i="8"/>
  <c r="G226" i="8"/>
  <c r="H226" i="8"/>
  <c r="I226" i="8"/>
  <c r="J226" i="8"/>
  <c r="K226" i="8"/>
  <c r="L226" i="8"/>
  <c r="M226" i="8"/>
  <c r="N226" i="8"/>
  <c r="G227" i="8"/>
  <c r="H227" i="8"/>
  <c r="I227" i="8"/>
  <c r="J227" i="8"/>
  <c r="K227" i="8"/>
  <c r="L227" i="8"/>
  <c r="M227" i="8"/>
  <c r="N227" i="8"/>
  <c r="G228" i="8"/>
  <c r="H228" i="8"/>
  <c r="I228" i="8"/>
  <c r="J228" i="8"/>
  <c r="K228" i="8"/>
  <c r="L228" i="8"/>
  <c r="M228" i="8"/>
  <c r="N228" i="8"/>
  <c r="G229" i="8"/>
  <c r="H229" i="8"/>
  <c r="I229" i="8"/>
  <c r="J229" i="8"/>
  <c r="K229" i="8"/>
  <c r="N229" i="8" s="1"/>
  <c r="L229" i="8"/>
  <c r="M229" i="8"/>
  <c r="G230" i="8"/>
  <c r="H230" i="8"/>
  <c r="I230" i="8"/>
  <c r="J230" i="8"/>
  <c r="K230" i="8"/>
  <c r="L230" i="8"/>
  <c r="M230" i="8"/>
  <c r="N230" i="8"/>
  <c r="G231" i="8"/>
  <c r="H231" i="8"/>
  <c r="I231" i="8"/>
  <c r="J231" i="8"/>
  <c r="K231" i="8"/>
  <c r="L231" i="8"/>
  <c r="M231" i="8"/>
  <c r="N231" i="8"/>
  <c r="G232" i="8"/>
  <c r="H232" i="8"/>
  <c r="I232" i="8"/>
  <c r="J232" i="8"/>
  <c r="K232" i="8"/>
  <c r="L232" i="8"/>
  <c r="M232" i="8"/>
  <c r="N232" i="8"/>
  <c r="G233" i="8"/>
  <c r="H233" i="8"/>
  <c r="I233" i="8"/>
  <c r="J233" i="8"/>
  <c r="K233" i="8"/>
  <c r="L233" i="8"/>
  <c r="M233" i="8"/>
  <c r="N233" i="8"/>
  <c r="G234" i="8"/>
  <c r="H234" i="8"/>
  <c r="I234" i="8"/>
  <c r="J234" i="8"/>
  <c r="K234" i="8"/>
  <c r="L234" i="8"/>
  <c r="M234" i="8"/>
  <c r="N234" i="8"/>
  <c r="G235" i="8"/>
  <c r="H235" i="8"/>
  <c r="I235" i="8"/>
  <c r="J235" i="8"/>
  <c r="K235" i="8"/>
  <c r="L235" i="8"/>
  <c r="M235" i="8"/>
  <c r="N235" i="8"/>
  <c r="G236" i="8"/>
  <c r="H236" i="8"/>
  <c r="I236" i="8"/>
  <c r="J236" i="8"/>
  <c r="K236" i="8"/>
  <c r="L236" i="8"/>
  <c r="M236" i="8"/>
  <c r="N236" i="8"/>
  <c r="G237" i="8"/>
  <c r="H237" i="8"/>
  <c r="I237" i="8"/>
  <c r="J237" i="8"/>
  <c r="K237" i="8"/>
  <c r="L237" i="8"/>
  <c r="M237" i="8"/>
  <c r="N237" i="8"/>
  <c r="G238" i="8"/>
  <c r="H238" i="8"/>
  <c r="I238" i="8"/>
  <c r="J238" i="8"/>
  <c r="K238" i="8"/>
  <c r="N238" i="8" s="1"/>
  <c r="L238" i="8"/>
  <c r="M238" i="8"/>
  <c r="G239" i="8"/>
  <c r="H239" i="8"/>
  <c r="I239" i="8"/>
  <c r="J239" i="8"/>
  <c r="K239" i="8"/>
  <c r="L239" i="8"/>
  <c r="M239" i="8"/>
  <c r="N239" i="8"/>
  <c r="G240" i="8"/>
  <c r="H240" i="8"/>
  <c r="I240" i="8"/>
  <c r="J240" i="8"/>
  <c r="K240" i="8"/>
  <c r="L240" i="8"/>
  <c r="M240" i="8"/>
  <c r="N240" i="8"/>
  <c r="G241" i="8"/>
  <c r="H241" i="8"/>
  <c r="I241" i="8"/>
  <c r="J241" i="8"/>
  <c r="K241" i="8"/>
  <c r="L241" i="8"/>
  <c r="M241" i="8"/>
  <c r="N241" i="8"/>
  <c r="G242" i="8"/>
  <c r="H242" i="8"/>
  <c r="I242" i="8"/>
  <c r="J242" i="8"/>
  <c r="K242" i="8"/>
  <c r="L242" i="8"/>
  <c r="M242" i="8"/>
  <c r="N242" i="8"/>
  <c r="G243" i="8"/>
  <c r="H243" i="8"/>
  <c r="I243" i="8"/>
  <c r="J243" i="8"/>
  <c r="K243" i="8"/>
  <c r="L243" i="8"/>
  <c r="M243" i="8"/>
  <c r="N243" i="8"/>
  <c r="G244" i="8"/>
  <c r="H244" i="8"/>
  <c r="I244" i="8"/>
  <c r="J244" i="8"/>
  <c r="K244" i="8"/>
  <c r="L244" i="8"/>
  <c r="M244" i="8"/>
  <c r="N244" i="8"/>
  <c r="G245" i="8"/>
  <c r="H245" i="8"/>
  <c r="I245" i="8"/>
  <c r="J245" i="8"/>
  <c r="K245" i="8"/>
  <c r="L245" i="8"/>
  <c r="M245" i="8"/>
  <c r="N245" i="8"/>
  <c r="G246" i="8"/>
  <c r="H246" i="8"/>
  <c r="I246" i="8"/>
  <c r="J246" i="8"/>
  <c r="K246" i="8"/>
  <c r="L246" i="8"/>
  <c r="M246" i="8"/>
  <c r="N246" i="8"/>
  <c r="G247" i="8"/>
  <c r="H247" i="8"/>
  <c r="I247" i="8"/>
  <c r="J247" i="8"/>
  <c r="K247" i="8"/>
  <c r="L247" i="8"/>
  <c r="M247" i="8"/>
  <c r="N247" i="8"/>
  <c r="G248" i="8"/>
  <c r="H248" i="8"/>
  <c r="I248" i="8"/>
  <c r="J248" i="8"/>
  <c r="K248" i="8"/>
  <c r="L248" i="8"/>
  <c r="M248" i="8"/>
  <c r="N248" i="8"/>
  <c r="G249" i="8"/>
  <c r="H249" i="8"/>
  <c r="I249" i="8"/>
  <c r="J249" i="8"/>
  <c r="K249" i="8"/>
  <c r="L249" i="8"/>
  <c r="M249" i="8"/>
  <c r="N249" i="8"/>
  <c r="G250" i="8"/>
  <c r="H250" i="8"/>
  <c r="I250" i="8"/>
  <c r="J250" i="8"/>
  <c r="K250" i="8"/>
  <c r="L250" i="8"/>
  <c r="M250" i="8"/>
  <c r="N250" i="8"/>
  <c r="G251" i="8"/>
  <c r="H251" i="8"/>
  <c r="I251" i="8"/>
  <c r="J251" i="8"/>
  <c r="K251" i="8"/>
  <c r="L251" i="8"/>
  <c r="M251" i="8"/>
  <c r="N251" i="8"/>
  <c r="G252" i="8"/>
  <c r="H252" i="8"/>
  <c r="I252" i="8"/>
  <c r="J252" i="8"/>
  <c r="K252" i="8"/>
  <c r="L252" i="8"/>
  <c r="M252" i="8"/>
  <c r="N252" i="8"/>
  <c r="G253" i="8"/>
  <c r="H253" i="8"/>
  <c r="I253" i="8"/>
  <c r="J253" i="8"/>
  <c r="K253" i="8"/>
  <c r="L253" i="8"/>
  <c r="M253" i="8"/>
  <c r="N253" i="8"/>
  <c r="G254" i="8"/>
  <c r="H254" i="8"/>
  <c r="I254" i="8"/>
  <c r="J254" i="8"/>
  <c r="K254" i="8"/>
  <c r="L254" i="8"/>
  <c r="M254" i="8"/>
  <c r="N254" i="8"/>
  <c r="G255" i="8"/>
  <c r="H255" i="8"/>
  <c r="I255" i="8"/>
  <c r="J255" i="8"/>
  <c r="K255" i="8"/>
  <c r="L255" i="8"/>
  <c r="M255" i="8"/>
  <c r="N255" i="8"/>
  <c r="G256" i="8"/>
  <c r="H256" i="8"/>
  <c r="I256" i="8"/>
  <c r="J256" i="8"/>
  <c r="K256" i="8"/>
  <c r="L256" i="8"/>
  <c r="M256" i="8"/>
  <c r="N256" i="8"/>
  <c r="G257" i="8"/>
  <c r="H257" i="8"/>
  <c r="I257" i="8"/>
  <c r="J257" i="8"/>
  <c r="K257" i="8"/>
  <c r="L257" i="8"/>
  <c r="M257" i="8"/>
  <c r="N257" i="8"/>
  <c r="G258" i="8"/>
  <c r="H258" i="8"/>
  <c r="I258" i="8"/>
  <c r="J258" i="8"/>
  <c r="K258" i="8"/>
  <c r="L258" i="8"/>
  <c r="M258" i="8"/>
  <c r="N258" i="8"/>
  <c r="G259" i="8"/>
  <c r="H259" i="8"/>
  <c r="I259" i="8"/>
  <c r="J259" i="8"/>
  <c r="K259" i="8"/>
  <c r="L259" i="8"/>
  <c r="M259" i="8"/>
  <c r="N259" i="8"/>
  <c r="G260" i="8"/>
  <c r="H260" i="8"/>
  <c r="I260" i="8"/>
  <c r="J260" i="8"/>
  <c r="K260" i="8"/>
  <c r="L260" i="8"/>
  <c r="M260" i="8"/>
  <c r="N260" i="8"/>
  <c r="G261" i="8"/>
  <c r="H261" i="8"/>
  <c r="I261" i="8"/>
  <c r="J261" i="8"/>
  <c r="K261" i="8"/>
  <c r="L261" i="8"/>
  <c r="M261" i="8"/>
  <c r="N261" i="8"/>
  <c r="G262" i="8"/>
  <c r="H262" i="8"/>
  <c r="I262" i="8"/>
  <c r="J262" i="8"/>
  <c r="K262" i="8"/>
  <c r="L262" i="8"/>
  <c r="M262" i="8"/>
  <c r="N262" i="8"/>
  <c r="G263" i="8"/>
  <c r="H263" i="8"/>
  <c r="I263" i="8"/>
  <c r="J263" i="8"/>
  <c r="K263" i="8"/>
  <c r="L263" i="8"/>
  <c r="M263" i="8"/>
  <c r="N263" i="8"/>
  <c r="G264" i="8"/>
  <c r="H264" i="8"/>
  <c r="I264" i="8"/>
  <c r="J264" i="8"/>
  <c r="K264" i="8"/>
  <c r="L264" i="8"/>
  <c r="M264" i="8"/>
  <c r="N264" i="8"/>
  <c r="G265" i="8"/>
  <c r="H265" i="8"/>
  <c r="I265" i="8"/>
  <c r="J265" i="8"/>
  <c r="K265" i="8"/>
  <c r="L265" i="8"/>
  <c r="M265" i="8"/>
  <c r="N265" i="8"/>
  <c r="G266" i="8"/>
  <c r="H266" i="8"/>
  <c r="I266" i="8"/>
  <c r="J266" i="8"/>
  <c r="K266" i="8"/>
  <c r="L266" i="8"/>
  <c r="M266" i="8"/>
  <c r="N266" i="8"/>
  <c r="G267" i="8"/>
  <c r="H267" i="8"/>
  <c r="I267" i="8"/>
  <c r="J267" i="8"/>
  <c r="K267" i="8"/>
  <c r="L267" i="8"/>
  <c r="M267" i="8"/>
  <c r="N267" i="8"/>
  <c r="G268" i="8"/>
  <c r="H268" i="8"/>
  <c r="I268" i="8"/>
  <c r="J268" i="8"/>
  <c r="K268" i="8"/>
  <c r="L268" i="8"/>
  <c r="M268" i="8"/>
  <c r="N268" i="8"/>
  <c r="G269" i="8"/>
  <c r="H269" i="8"/>
  <c r="I269" i="8"/>
  <c r="J269" i="8"/>
  <c r="K269" i="8"/>
  <c r="L269" i="8"/>
  <c r="M269" i="8"/>
  <c r="N269" i="8"/>
  <c r="G270" i="8"/>
  <c r="H270" i="8"/>
  <c r="I270" i="8"/>
  <c r="J270" i="8"/>
  <c r="K270" i="8"/>
  <c r="L270" i="8"/>
  <c r="M270" i="8"/>
  <c r="N270" i="8"/>
  <c r="G271" i="8"/>
  <c r="H271" i="8"/>
  <c r="I271" i="8"/>
  <c r="J271" i="8"/>
  <c r="K271" i="8"/>
  <c r="L271" i="8"/>
  <c r="M271" i="8"/>
  <c r="N271" i="8"/>
  <c r="G272" i="8"/>
  <c r="H272" i="8"/>
  <c r="I272" i="8"/>
  <c r="J272" i="8"/>
  <c r="K272" i="8"/>
  <c r="L272" i="8"/>
  <c r="M272" i="8"/>
  <c r="N272" i="8"/>
  <c r="G273" i="8"/>
  <c r="H273" i="8"/>
  <c r="I273" i="8"/>
  <c r="J273" i="8"/>
  <c r="K273" i="8"/>
  <c r="L273" i="8"/>
  <c r="M273" i="8"/>
  <c r="N273" i="8"/>
  <c r="G274" i="8"/>
  <c r="H274" i="8"/>
  <c r="I274" i="8"/>
  <c r="J274" i="8"/>
  <c r="K274" i="8"/>
  <c r="L274" i="8"/>
  <c r="M274" i="8"/>
  <c r="N274" i="8"/>
  <c r="G275" i="8"/>
  <c r="H275" i="8"/>
  <c r="I275" i="8"/>
  <c r="J275" i="8"/>
  <c r="K275" i="8"/>
  <c r="L275" i="8"/>
  <c r="M275" i="8"/>
  <c r="N275" i="8"/>
  <c r="G276" i="8"/>
  <c r="H276" i="8"/>
  <c r="I276" i="8"/>
  <c r="J276" i="8"/>
  <c r="K276" i="8"/>
  <c r="L276" i="8"/>
  <c r="M276" i="8"/>
  <c r="N276" i="8"/>
  <c r="G277" i="8"/>
  <c r="H277" i="8"/>
  <c r="I277" i="8"/>
  <c r="J277" i="8"/>
  <c r="K277" i="8"/>
  <c r="L277" i="8"/>
  <c r="M277" i="8"/>
  <c r="N277" i="8"/>
  <c r="G278" i="8"/>
  <c r="H278" i="8"/>
  <c r="I278" i="8"/>
  <c r="J278" i="8"/>
  <c r="K278" i="8"/>
  <c r="L278" i="8"/>
  <c r="M278" i="8"/>
  <c r="N278" i="8"/>
  <c r="G279" i="8"/>
  <c r="H279" i="8"/>
  <c r="I279" i="8"/>
  <c r="J279" i="8"/>
  <c r="K279" i="8"/>
  <c r="L279" i="8"/>
  <c r="M279" i="8"/>
  <c r="N279" i="8"/>
  <c r="G280" i="8"/>
  <c r="H280" i="8"/>
  <c r="I280" i="8"/>
  <c r="J280" i="8"/>
  <c r="K280" i="8"/>
  <c r="L280" i="8"/>
  <c r="M280" i="8"/>
  <c r="N280" i="8"/>
  <c r="G281" i="8"/>
  <c r="H281" i="8"/>
  <c r="I281" i="8"/>
  <c r="J281" i="8"/>
  <c r="K281" i="8"/>
  <c r="L281" i="8"/>
  <c r="M281" i="8"/>
  <c r="N281" i="8"/>
  <c r="G282" i="8"/>
  <c r="H282" i="8"/>
  <c r="I282" i="8"/>
  <c r="J282" i="8"/>
  <c r="K282" i="8"/>
  <c r="L282" i="8"/>
  <c r="M282" i="8"/>
  <c r="N282" i="8"/>
  <c r="G283" i="8"/>
  <c r="H283" i="8"/>
  <c r="I283" i="8"/>
  <c r="J283" i="8"/>
  <c r="K283" i="8"/>
  <c r="L283" i="8"/>
  <c r="M283" i="8"/>
  <c r="N283" i="8"/>
  <c r="G284" i="8"/>
  <c r="H284" i="8"/>
  <c r="I284" i="8"/>
  <c r="J284" i="8"/>
  <c r="K284" i="8"/>
  <c r="L284" i="8"/>
  <c r="M284" i="8"/>
  <c r="N284" i="8"/>
  <c r="G285" i="8"/>
  <c r="H285" i="8"/>
  <c r="I285" i="8"/>
  <c r="J285" i="8"/>
  <c r="K285" i="8"/>
  <c r="L285" i="8"/>
  <c r="M285" i="8"/>
  <c r="N285" i="8"/>
  <c r="G286" i="8"/>
  <c r="H286" i="8"/>
  <c r="I286" i="8"/>
  <c r="J286" i="8"/>
  <c r="K286" i="8"/>
  <c r="L286" i="8"/>
  <c r="M286" i="8"/>
  <c r="N286" i="8"/>
  <c r="G287" i="8"/>
  <c r="H287" i="8"/>
  <c r="I287" i="8"/>
  <c r="J287" i="8"/>
  <c r="K287" i="8"/>
  <c r="L287" i="8"/>
  <c r="M287" i="8"/>
  <c r="N287" i="8"/>
  <c r="G288" i="8"/>
  <c r="H288" i="8"/>
  <c r="I288" i="8"/>
  <c r="J288" i="8"/>
  <c r="K288" i="8"/>
  <c r="L288" i="8"/>
  <c r="M288" i="8"/>
  <c r="N288" i="8"/>
  <c r="G289" i="8"/>
  <c r="H289" i="8"/>
  <c r="I289" i="8"/>
  <c r="J289" i="8"/>
  <c r="K289" i="8"/>
  <c r="L289" i="8"/>
  <c r="M289" i="8"/>
  <c r="N289" i="8"/>
  <c r="G290" i="8"/>
  <c r="H290" i="8"/>
  <c r="I290" i="8"/>
  <c r="J290" i="8"/>
  <c r="K290" i="8"/>
  <c r="L290" i="8"/>
  <c r="M290" i="8"/>
  <c r="N290" i="8"/>
  <c r="G291" i="8"/>
  <c r="H291" i="8"/>
  <c r="I291" i="8"/>
  <c r="J291" i="8"/>
  <c r="K291" i="8"/>
  <c r="L291" i="8"/>
  <c r="M291" i="8"/>
  <c r="N291" i="8"/>
  <c r="G292" i="8"/>
  <c r="H292" i="8"/>
  <c r="I292" i="8"/>
  <c r="J292" i="8"/>
  <c r="K292" i="8"/>
  <c r="L292" i="8"/>
  <c r="M292" i="8"/>
  <c r="N292" i="8"/>
  <c r="G293" i="8"/>
  <c r="H293" i="8"/>
  <c r="I293" i="8"/>
  <c r="J293" i="8"/>
  <c r="K293" i="8"/>
  <c r="L293" i="8"/>
  <c r="M293" i="8"/>
  <c r="N293" i="8"/>
  <c r="G294" i="8"/>
  <c r="H294" i="8"/>
  <c r="I294" i="8"/>
  <c r="J294" i="8"/>
  <c r="K294" i="8"/>
  <c r="L294" i="8"/>
  <c r="M294" i="8"/>
  <c r="N294" i="8"/>
  <c r="G295" i="8"/>
  <c r="H295" i="8"/>
  <c r="I295" i="8"/>
  <c r="J295" i="8"/>
  <c r="K295" i="8"/>
  <c r="L295" i="8"/>
  <c r="M295" i="8"/>
  <c r="N295" i="8"/>
  <c r="G296" i="8"/>
  <c r="H296" i="8"/>
  <c r="I296" i="8"/>
  <c r="J296" i="8"/>
  <c r="K296" i="8"/>
  <c r="L296" i="8"/>
  <c r="M296" i="8"/>
  <c r="N296" i="8"/>
  <c r="G297" i="8"/>
  <c r="H297" i="8"/>
  <c r="I297" i="8"/>
  <c r="J297" i="8"/>
  <c r="K297" i="8"/>
  <c r="L297" i="8"/>
  <c r="M297" i="8"/>
  <c r="N297" i="8"/>
  <c r="G298" i="8"/>
  <c r="H298" i="8"/>
  <c r="I298" i="8"/>
  <c r="J298" i="8"/>
  <c r="K298" i="8"/>
  <c r="L298" i="8"/>
  <c r="M298" i="8"/>
  <c r="N298" i="8"/>
  <c r="G299" i="8"/>
  <c r="H299" i="8"/>
  <c r="I299" i="8"/>
  <c r="J299" i="8"/>
  <c r="K299" i="8"/>
  <c r="L299" i="8"/>
  <c r="M299" i="8"/>
  <c r="N299" i="8"/>
  <c r="G300" i="8"/>
  <c r="H300" i="8"/>
  <c r="I300" i="8"/>
  <c r="J300" i="8"/>
  <c r="K300" i="8"/>
  <c r="L300" i="8"/>
  <c r="M300" i="8"/>
  <c r="N300" i="8"/>
  <c r="G301" i="8"/>
  <c r="H301" i="8"/>
  <c r="I301" i="8"/>
  <c r="J301" i="8"/>
  <c r="K301" i="8"/>
  <c r="L301" i="8"/>
  <c r="M301" i="8"/>
  <c r="N301" i="8"/>
  <c r="G302" i="8"/>
  <c r="H302" i="8"/>
  <c r="I302" i="8"/>
  <c r="J302" i="8"/>
  <c r="K302" i="8"/>
  <c r="L302" i="8"/>
  <c r="M302" i="8"/>
  <c r="N302" i="8"/>
  <c r="G303" i="8"/>
  <c r="H303" i="8"/>
  <c r="I303" i="8"/>
  <c r="J303" i="8"/>
  <c r="K303" i="8"/>
  <c r="L303" i="8"/>
  <c r="M303" i="8"/>
  <c r="N303" i="8"/>
  <c r="G304" i="8"/>
  <c r="H304" i="8"/>
  <c r="I304" i="8"/>
  <c r="J304" i="8"/>
  <c r="K304" i="8"/>
  <c r="L304" i="8"/>
  <c r="M304" i="8"/>
  <c r="N304" i="8"/>
  <c r="G305" i="8"/>
  <c r="H305" i="8"/>
  <c r="I305" i="8"/>
  <c r="J305" i="8"/>
  <c r="K305" i="8"/>
  <c r="L305" i="8"/>
  <c r="M305" i="8"/>
  <c r="N305" i="8"/>
  <c r="G306" i="8"/>
  <c r="H306" i="8"/>
  <c r="I306" i="8"/>
  <c r="J306" i="8"/>
  <c r="K306" i="8"/>
  <c r="L306" i="8"/>
  <c r="M306" i="8"/>
  <c r="N306" i="8"/>
  <c r="G307" i="8"/>
  <c r="H307" i="8"/>
  <c r="I307" i="8"/>
  <c r="J307" i="8"/>
  <c r="K307" i="8"/>
  <c r="L307" i="8"/>
  <c r="M307" i="8"/>
  <c r="N307" i="8"/>
  <c r="G308" i="8"/>
  <c r="H308" i="8"/>
  <c r="I308" i="8"/>
  <c r="J308" i="8"/>
  <c r="K308" i="8"/>
  <c r="L308" i="8"/>
  <c r="M308" i="8"/>
  <c r="N308" i="8"/>
  <c r="G309" i="8"/>
  <c r="H309" i="8"/>
  <c r="I309" i="8"/>
  <c r="J309" i="8"/>
  <c r="K309" i="8"/>
  <c r="L309" i="8"/>
  <c r="M309" i="8"/>
  <c r="N309" i="8"/>
  <c r="G310" i="8"/>
  <c r="H310" i="8"/>
  <c r="I310" i="8"/>
  <c r="J310" i="8"/>
  <c r="K310" i="8"/>
  <c r="L310" i="8"/>
  <c r="M310" i="8"/>
  <c r="N310" i="8"/>
  <c r="G311" i="8"/>
  <c r="H311" i="8"/>
  <c r="I311" i="8"/>
  <c r="J311" i="8"/>
  <c r="K311" i="8"/>
  <c r="L311" i="8"/>
  <c r="M311" i="8"/>
  <c r="N311" i="8"/>
  <c r="G312" i="8"/>
  <c r="H312" i="8"/>
  <c r="I312" i="8"/>
  <c r="J312" i="8"/>
  <c r="K312" i="8"/>
  <c r="L312" i="8"/>
  <c r="M312" i="8"/>
  <c r="N312" i="8"/>
  <c r="G313" i="8"/>
  <c r="H313" i="8"/>
  <c r="I313" i="8"/>
  <c r="J313" i="8"/>
  <c r="K313" i="8"/>
  <c r="L313" i="8"/>
  <c r="M313" i="8"/>
  <c r="N313" i="8"/>
  <c r="G314" i="8"/>
  <c r="H314" i="8"/>
  <c r="I314" i="8"/>
  <c r="J314" i="8"/>
  <c r="K314" i="8"/>
  <c r="L314" i="8"/>
  <c r="M314" i="8"/>
  <c r="N314" i="8"/>
  <c r="G315" i="8"/>
  <c r="H315" i="8"/>
  <c r="I315" i="8"/>
  <c r="J315" i="8"/>
  <c r="K315" i="8"/>
  <c r="L315" i="8"/>
  <c r="M315" i="8"/>
  <c r="N315" i="8"/>
  <c r="G316" i="8"/>
  <c r="H316" i="8"/>
  <c r="I316" i="8"/>
  <c r="J316" i="8"/>
  <c r="K316" i="8"/>
  <c r="L316" i="8"/>
  <c r="M316" i="8"/>
  <c r="N316" i="8"/>
  <c r="G317" i="8"/>
  <c r="H317" i="8"/>
  <c r="I317" i="8"/>
  <c r="J317" i="8"/>
  <c r="K317" i="8"/>
  <c r="L317" i="8"/>
  <c r="M317" i="8"/>
  <c r="N317" i="8"/>
  <c r="G318" i="8"/>
  <c r="H318" i="8"/>
  <c r="I318" i="8"/>
  <c r="J318" i="8"/>
  <c r="K318" i="8"/>
  <c r="L318" i="8"/>
  <c r="M318" i="8"/>
  <c r="N318" i="8"/>
  <c r="G319" i="8"/>
  <c r="H319" i="8"/>
  <c r="I319" i="8"/>
  <c r="J319" i="8"/>
  <c r="K319" i="8"/>
  <c r="L319" i="8"/>
  <c r="M319" i="8"/>
  <c r="N319" i="8"/>
  <c r="G320" i="8"/>
  <c r="H320" i="8"/>
  <c r="I320" i="8"/>
  <c r="J320" i="8"/>
  <c r="K320" i="8"/>
  <c r="L320" i="8"/>
  <c r="M320" i="8"/>
  <c r="N320" i="8"/>
  <c r="G321" i="8"/>
  <c r="H321" i="8"/>
  <c r="I321" i="8"/>
  <c r="J321" i="8"/>
  <c r="K321" i="8"/>
  <c r="L321" i="8"/>
  <c r="M321" i="8"/>
  <c r="N321" i="8"/>
  <c r="G322" i="8"/>
  <c r="H322" i="8"/>
  <c r="I322" i="8"/>
  <c r="J322" i="8"/>
  <c r="K322" i="8"/>
  <c r="L322" i="8"/>
  <c r="M322" i="8"/>
  <c r="N322" i="8"/>
  <c r="G323" i="8"/>
  <c r="H323" i="8"/>
  <c r="I323" i="8"/>
  <c r="J323" i="8"/>
  <c r="K323" i="8"/>
  <c r="L323" i="8"/>
  <c r="M323" i="8"/>
  <c r="N323" i="8"/>
  <c r="G324" i="8"/>
  <c r="H324" i="8"/>
  <c r="I324" i="8"/>
  <c r="J324" i="8"/>
  <c r="K324" i="8"/>
  <c r="L324" i="8"/>
  <c r="M324" i="8"/>
  <c r="N324" i="8"/>
  <c r="G325" i="8"/>
  <c r="H325" i="8"/>
  <c r="I325" i="8"/>
  <c r="J325" i="8"/>
  <c r="K325" i="8"/>
  <c r="L325" i="8"/>
  <c r="M325" i="8"/>
  <c r="N325" i="8"/>
  <c r="G326" i="8"/>
  <c r="H326" i="8"/>
  <c r="I326" i="8"/>
  <c r="J326" i="8"/>
  <c r="K326" i="8"/>
  <c r="L326" i="8"/>
  <c r="M326" i="8"/>
  <c r="N326" i="8"/>
  <c r="G327" i="8"/>
  <c r="H327" i="8"/>
  <c r="I327" i="8"/>
  <c r="J327" i="8"/>
  <c r="K327" i="8"/>
  <c r="L327" i="8"/>
  <c r="M327" i="8"/>
  <c r="N327" i="8"/>
  <c r="G328" i="8"/>
  <c r="H328" i="8"/>
  <c r="I328" i="8"/>
  <c r="J328" i="8"/>
  <c r="K328" i="8"/>
  <c r="L328" i="8"/>
  <c r="M328" i="8"/>
  <c r="N328" i="8"/>
  <c r="G329" i="8"/>
  <c r="H329" i="8"/>
  <c r="I329" i="8"/>
  <c r="J329" i="8"/>
  <c r="K329" i="8"/>
  <c r="L329" i="8"/>
  <c r="M329" i="8"/>
  <c r="N329" i="8"/>
  <c r="G330" i="8"/>
  <c r="H330" i="8"/>
  <c r="I330" i="8"/>
  <c r="J330" i="8"/>
  <c r="K330" i="8"/>
  <c r="L330" i="8"/>
  <c r="M330" i="8"/>
  <c r="N330" i="8"/>
  <c r="G331" i="8"/>
  <c r="H331" i="8"/>
  <c r="I331" i="8"/>
  <c r="J331" i="8"/>
  <c r="K331" i="8"/>
  <c r="L331" i="8"/>
  <c r="M331" i="8"/>
  <c r="N331" i="8"/>
  <c r="G332" i="8"/>
  <c r="H332" i="8"/>
  <c r="I332" i="8"/>
  <c r="J332" i="8"/>
  <c r="K332" i="8"/>
  <c r="L332" i="8"/>
  <c r="M332" i="8"/>
  <c r="N332" i="8"/>
  <c r="G333" i="8"/>
  <c r="H333" i="8"/>
  <c r="I333" i="8"/>
  <c r="J333" i="8"/>
  <c r="K333" i="8"/>
  <c r="L333" i="8"/>
  <c r="M333" i="8"/>
  <c r="N333" i="8"/>
  <c r="G334" i="8"/>
  <c r="H334" i="8"/>
  <c r="I334" i="8"/>
  <c r="J334" i="8"/>
  <c r="K334" i="8"/>
  <c r="L334" i="8"/>
  <c r="M334" i="8"/>
  <c r="N334" i="8"/>
  <c r="G335" i="8"/>
  <c r="H335" i="8"/>
  <c r="I335" i="8"/>
  <c r="J335" i="8"/>
  <c r="K335" i="8"/>
  <c r="L335" i="8"/>
  <c r="M335" i="8"/>
  <c r="N335" i="8"/>
  <c r="G336" i="8"/>
  <c r="H336" i="8"/>
  <c r="I336" i="8"/>
  <c r="J336" i="8"/>
  <c r="K336" i="8"/>
  <c r="L336" i="8"/>
  <c r="M336" i="8"/>
  <c r="N336" i="8"/>
  <c r="G337" i="8"/>
  <c r="H337" i="8"/>
  <c r="I337" i="8"/>
  <c r="J337" i="8"/>
  <c r="K337" i="8"/>
  <c r="L337" i="8"/>
  <c r="M337" i="8"/>
  <c r="N337" i="8"/>
  <c r="G338" i="8"/>
  <c r="H338" i="8"/>
  <c r="I338" i="8"/>
  <c r="J338" i="8"/>
  <c r="K338" i="8"/>
  <c r="L338" i="8"/>
  <c r="M338" i="8"/>
  <c r="N338" i="8"/>
  <c r="G339" i="8"/>
  <c r="H339" i="8"/>
  <c r="I339" i="8"/>
  <c r="J339" i="8"/>
  <c r="K339" i="8"/>
  <c r="L339" i="8"/>
  <c r="M339" i="8"/>
  <c r="N339" i="8"/>
  <c r="G340" i="8"/>
  <c r="H340" i="8"/>
  <c r="I340" i="8"/>
  <c r="J340" i="8"/>
  <c r="K340" i="8"/>
  <c r="L340" i="8"/>
  <c r="M340" i="8"/>
  <c r="N340" i="8"/>
  <c r="G341" i="8"/>
  <c r="H341" i="8"/>
  <c r="I341" i="8"/>
  <c r="J341" i="8"/>
  <c r="K341" i="8"/>
  <c r="L341" i="8"/>
  <c r="M341" i="8"/>
  <c r="N341" i="8"/>
  <c r="G342" i="8"/>
  <c r="H342" i="8"/>
  <c r="I342" i="8"/>
  <c r="J342" i="8"/>
  <c r="K342" i="8"/>
  <c r="L342" i="8"/>
  <c r="M342" i="8"/>
  <c r="N342" i="8"/>
  <c r="G343" i="8"/>
  <c r="H343" i="8"/>
  <c r="I343" i="8"/>
  <c r="J343" i="8"/>
  <c r="K343" i="8"/>
  <c r="L343" i="8"/>
  <c r="M343" i="8"/>
  <c r="N343" i="8"/>
  <c r="G344" i="8"/>
  <c r="H344" i="8"/>
  <c r="I344" i="8"/>
  <c r="J344" i="8"/>
  <c r="K344" i="8"/>
  <c r="L344" i="8"/>
  <c r="M344" i="8"/>
  <c r="N344" i="8"/>
  <c r="G345" i="8"/>
  <c r="H345" i="8"/>
  <c r="I345" i="8"/>
  <c r="J345" i="8"/>
  <c r="K345" i="8"/>
  <c r="L345" i="8"/>
  <c r="M345" i="8"/>
  <c r="N345" i="8"/>
  <c r="G346" i="8"/>
  <c r="H346" i="8"/>
  <c r="I346" i="8"/>
  <c r="J346" i="8"/>
  <c r="K346" i="8"/>
  <c r="L346" i="8"/>
  <c r="M346" i="8"/>
  <c r="N346" i="8"/>
  <c r="G347" i="8"/>
  <c r="H347" i="8"/>
  <c r="I347" i="8"/>
  <c r="J347" i="8"/>
  <c r="K347" i="8"/>
  <c r="L347" i="8"/>
  <c r="M347" i="8"/>
  <c r="N347" i="8"/>
  <c r="G348" i="8"/>
  <c r="H348" i="8"/>
  <c r="I348" i="8"/>
  <c r="J348" i="8"/>
  <c r="K348" i="8"/>
  <c r="L348" i="8"/>
  <c r="M348" i="8"/>
  <c r="N348" i="8"/>
  <c r="G349" i="8"/>
  <c r="H349" i="8"/>
  <c r="I349" i="8"/>
  <c r="J349" i="8"/>
  <c r="K349" i="8"/>
  <c r="L349" i="8"/>
  <c r="M349" i="8"/>
  <c r="N349" i="8"/>
  <c r="G350" i="8"/>
  <c r="H350" i="8"/>
  <c r="I350" i="8"/>
  <c r="J350" i="8"/>
  <c r="K350" i="8"/>
  <c r="L350" i="8"/>
  <c r="M350" i="8"/>
  <c r="N350" i="8"/>
  <c r="G351" i="8"/>
  <c r="H351" i="8"/>
  <c r="I351" i="8"/>
  <c r="J351" i="8"/>
  <c r="K351" i="8"/>
  <c r="L351" i="8"/>
  <c r="M351" i="8"/>
  <c r="N351" i="8"/>
  <c r="G352" i="8"/>
  <c r="H352" i="8"/>
  <c r="I352" i="8"/>
  <c r="J352" i="8"/>
  <c r="K352" i="8"/>
  <c r="L352" i="8"/>
  <c r="M352" i="8"/>
  <c r="N352" i="8"/>
  <c r="G353" i="8"/>
  <c r="H353" i="8"/>
  <c r="I353" i="8"/>
  <c r="J353" i="8"/>
  <c r="K353" i="8"/>
  <c r="L353" i="8"/>
  <c r="M353" i="8"/>
  <c r="N353" i="8"/>
  <c r="G354" i="8"/>
  <c r="H354" i="8"/>
  <c r="I354" i="8"/>
  <c r="J354" i="8"/>
  <c r="K354" i="8"/>
  <c r="L354" i="8"/>
  <c r="M354" i="8"/>
  <c r="N354" i="8"/>
  <c r="G355" i="8"/>
  <c r="H355" i="8"/>
  <c r="I355" i="8"/>
  <c r="J355" i="8"/>
  <c r="K355" i="8"/>
  <c r="L355" i="8"/>
  <c r="M355" i="8"/>
  <c r="N355" i="8"/>
  <c r="G356" i="8"/>
  <c r="H356" i="8"/>
  <c r="I356" i="8"/>
  <c r="J356" i="8"/>
  <c r="K356" i="8"/>
  <c r="L356" i="8"/>
  <c r="M356" i="8"/>
  <c r="N356" i="8"/>
  <c r="G357" i="8"/>
  <c r="H357" i="8"/>
  <c r="I357" i="8"/>
  <c r="J357" i="8"/>
  <c r="K357" i="8"/>
  <c r="L357" i="8"/>
  <c r="M357" i="8"/>
  <c r="N357" i="8"/>
  <c r="G358" i="8"/>
  <c r="H358" i="8"/>
  <c r="I358" i="8"/>
  <c r="J358" i="8"/>
  <c r="K358" i="8"/>
  <c r="L358" i="8"/>
  <c r="M358" i="8"/>
  <c r="N358" i="8"/>
  <c r="G359" i="8"/>
  <c r="H359" i="8"/>
  <c r="I359" i="8"/>
  <c r="J359" i="8"/>
  <c r="K359" i="8"/>
  <c r="L359" i="8"/>
  <c r="M359" i="8"/>
  <c r="N359" i="8"/>
  <c r="G360" i="8"/>
  <c r="H360" i="8"/>
  <c r="I360" i="8"/>
  <c r="J360" i="8"/>
  <c r="K360" i="8"/>
  <c r="L360" i="8"/>
  <c r="M360" i="8"/>
  <c r="N360" i="8"/>
  <c r="G361" i="8"/>
  <c r="H361" i="8"/>
  <c r="I361" i="8"/>
  <c r="J361" i="8"/>
  <c r="K361" i="8"/>
  <c r="L361" i="8"/>
  <c r="M361" i="8"/>
  <c r="N361" i="8"/>
  <c r="G362" i="8"/>
  <c r="H362" i="8"/>
  <c r="I362" i="8"/>
  <c r="J362" i="8"/>
  <c r="K362" i="8"/>
  <c r="L362" i="8"/>
  <c r="M362" i="8"/>
  <c r="N362" i="8"/>
  <c r="G363" i="8"/>
  <c r="H363" i="8"/>
  <c r="I363" i="8"/>
  <c r="J363" i="8"/>
  <c r="K363" i="8"/>
  <c r="L363" i="8"/>
  <c r="M363" i="8"/>
  <c r="N363" i="8"/>
  <c r="G364" i="8"/>
  <c r="H364" i="8"/>
  <c r="I364" i="8"/>
  <c r="J364" i="8"/>
  <c r="K364" i="8"/>
  <c r="L364" i="8"/>
  <c r="M364" i="8"/>
  <c r="N364" i="8"/>
  <c r="G365" i="8"/>
  <c r="H365" i="8"/>
  <c r="I365" i="8"/>
  <c r="J365" i="8"/>
  <c r="K365" i="8"/>
  <c r="L365" i="8"/>
  <c r="M365" i="8"/>
  <c r="N365" i="8"/>
  <c r="G366" i="8"/>
  <c r="H366" i="8"/>
  <c r="I366" i="8"/>
  <c r="J366" i="8"/>
  <c r="K366" i="8"/>
  <c r="L366" i="8"/>
  <c r="M366" i="8"/>
  <c r="N366" i="8"/>
  <c r="G367" i="8"/>
  <c r="H367" i="8"/>
  <c r="I367" i="8"/>
  <c r="J367" i="8"/>
  <c r="K367" i="8"/>
  <c r="L367" i="8"/>
  <c r="M367" i="8"/>
  <c r="N367" i="8"/>
  <c r="G368" i="8"/>
  <c r="H368" i="8"/>
  <c r="I368" i="8"/>
  <c r="J368" i="8"/>
  <c r="K368" i="8"/>
  <c r="L368" i="8"/>
  <c r="M368" i="8"/>
  <c r="N368" i="8"/>
  <c r="G369" i="8"/>
  <c r="H369" i="8"/>
  <c r="I369" i="8"/>
  <c r="J369" i="8"/>
  <c r="K369" i="8"/>
  <c r="L369" i="8"/>
  <c r="M369" i="8"/>
  <c r="N369" i="8"/>
  <c r="G370" i="8"/>
  <c r="H370" i="8"/>
  <c r="I370" i="8"/>
  <c r="J370" i="8"/>
  <c r="K370" i="8"/>
  <c r="L370" i="8"/>
  <c r="M370" i="8"/>
  <c r="N370" i="8"/>
  <c r="G371" i="8"/>
  <c r="H371" i="8"/>
  <c r="I371" i="8"/>
  <c r="J371" i="8"/>
  <c r="K371" i="8"/>
  <c r="L371" i="8"/>
  <c r="M371" i="8"/>
  <c r="N371" i="8"/>
  <c r="G372" i="8"/>
  <c r="H372" i="8"/>
  <c r="I372" i="8"/>
  <c r="J372" i="8"/>
  <c r="K372" i="8"/>
  <c r="L372" i="8"/>
  <c r="M372" i="8"/>
  <c r="N372" i="8"/>
  <c r="G373" i="8"/>
  <c r="H373" i="8"/>
  <c r="I373" i="8"/>
  <c r="J373" i="8"/>
  <c r="K373" i="8"/>
  <c r="L373" i="8"/>
  <c r="M373" i="8"/>
  <c r="N373" i="8"/>
  <c r="G374" i="8"/>
  <c r="H374" i="8"/>
  <c r="I374" i="8"/>
  <c r="J374" i="8"/>
  <c r="K374" i="8"/>
  <c r="L374" i="8"/>
  <c r="M374" i="8"/>
  <c r="N374" i="8"/>
  <c r="G375" i="8"/>
  <c r="H375" i="8"/>
  <c r="I375" i="8"/>
  <c r="J375" i="8"/>
  <c r="K375" i="8"/>
  <c r="L375" i="8"/>
  <c r="M375" i="8"/>
  <c r="N375" i="8"/>
  <c r="G376" i="8"/>
  <c r="H376" i="8"/>
  <c r="I376" i="8"/>
  <c r="J376" i="8"/>
  <c r="K376" i="8"/>
  <c r="L376" i="8"/>
  <c r="M376" i="8"/>
  <c r="N376" i="8"/>
  <c r="G377" i="8"/>
  <c r="H377" i="8"/>
  <c r="I377" i="8"/>
  <c r="J377" i="8"/>
  <c r="K377" i="8"/>
  <c r="L377" i="8"/>
  <c r="M377" i="8"/>
  <c r="N377" i="8"/>
  <c r="G378" i="8"/>
  <c r="H378" i="8"/>
  <c r="I378" i="8"/>
  <c r="J378" i="8"/>
  <c r="K378" i="8"/>
  <c r="L378" i="8"/>
  <c r="M378" i="8"/>
  <c r="N378" i="8"/>
  <c r="G379" i="8"/>
  <c r="H379" i="8"/>
  <c r="I379" i="8"/>
  <c r="J379" i="8"/>
  <c r="K379" i="8"/>
  <c r="L379" i="8"/>
  <c r="M379" i="8"/>
  <c r="N379" i="8"/>
  <c r="G380" i="8"/>
  <c r="H380" i="8"/>
  <c r="I380" i="8"/>
  <c r="J380" i="8"/>
  <c r="K380" i="8"/>
  <c r="L380" i="8"/>
  <c r="M380" i="8"/>
  <c r="N380" i="8"/>
  <c r="G381" i="8"/>
  <c r="H381" i="8"/>
  <c r="I381" i="8"/>
  <c r="J381" i="8"/>
  <c r="K381" i="8"/>
  <c r="L381" i="8"/>
  <c r="M381" i="8"/>
  <c r="N381" i="8"/>
  <c r="G382" i="8"/>
  <c r="H382" i="8"/>
  <c r="I382" i="8"/>
  <c r="J382" i="8"/>
  <c r="K382" i="8"/>
  <c r="L382" i="8"/>
  <c r="M382" i="8"/>
  <c r="N382" i="8"/>
  <c r="G383" i="8"/>
  <c r="H383" i="8"/>
  <c r="I383" i="8"/>
  <c r="J383" i="8"/>
  <c r="K383" i="8"/>
  <c r="L383" i="8"/>
  <c r="M383" i="8"/>
  <c r="N383" i="8"/>
  <c r="G384" i="8"/>
  <c r="H384" i="8"/>
  <c r="I384" i="8"/>
  <c r="J384" i="8"/>
  <c r="K384" i="8"/>
  <c r="L384" i="8"/>
  <c r="M384" i="8"/>
  <c r="N384" i="8"/>
  <c r="G385" i="8"/>
  <c r="H385" i="8"/>
  <c r="I385" i="8"/>
  <c r="J385" i="8"/>
  <c r="K385" i="8"/>
  <c r="L385" i="8"/>
  <c r="M385" i="8"/>
  <c r="N385" i="8"/>
  <c r="G386" i="8"/>
  <c r="H386" i="8"/>
  <c r="I386" i="8"/>
  <c r="J386" i="8"/>
  <c r="K386" i="8"/>
  <c r="L386" i="8"/>
  <c r="M386" i="8"/>
  <c r="N386" i="8"/>
  <c r="G387" i="8"/>
  <c r="H387" i="8"/>
  <c r="I387" i="8"/>
  <c r="J387" i="8"/>
  <c r="K387" i="8"/>
  <c r="L387" i="8"/>
  <c r="M387" i="8"/>
  <c r="N387" i="8"/>
  <c r="G388" i="8"/>
  <c r="H388" i="8"/>
  <c r="I388" i="8"/>
  <c r="J388" i="8"/>
  <c r="K388" i="8"/>
  <c r="L388" i="8"/>
  <c r="M388" i="8"/>
  <c r="N388" i="8"/>
  <c r="G389" i="8"/>
  <c r="H389" i="8"/>
  <c r="I389" i="8"/>
  <c r="J389" i="8"/>
  <c r="K389" i="8"/>
  <c r="L389" i="8"/>
  <c r="M389" i="8"/>
  <c r="N389" i="8"/>
  <c r="G390" i="8"/>
  <c r="H390" i="8"/>
  <c r="I390" i="8"/>
  <c r="J390" i="8"/>
  <c r="K390" i="8"/>
  <c r="L390" i="8"/>
  <c r="M390" i="8"/>
  <c r="N390" i="8"/>
  <c r="G391" i="8"/>
  <c r="H391" i="8"/>
  <c r="I391" i="8"/>
  <c r="J391" i="8"/>
  <c r="K391" i="8"/>
  <c r="L391" i="8"/>
  <c r="M391" i="8"/>
  <c r="N391" i="8"/>
  <c r="G392" i="8"/>
  <c r="H392" i="8"/>
  <c r="I392" i="8"/>
  <c r="J392" i="8"/>
  <c r="K392" i="8"/>
  <c r="L392" i="8"/>
  <c r="M392" i="8"/>
  <c r="N392" i="8"/>
  <c r="G393" i="8"/>
  <c r="H393" i="8"/>
  <c r="I393" i="8"/>
  <c r="J393" i="8"/>
  <c r="K393" i="8"/>
  <c r="L393" i="8"/>
  <c r="M393" i="8"/>
  <c r="N393" i="8"/>
  <c r="G394" i="8"/>
  <c r="H394" i="8"/>
  <c r="I394" i="8"/>
  <c r="J394" i="8"/>
  <c r="K394" i="8"/>
  <c r="L394" i="8"/>
  <c r="M394" i="8"/>
  <c r="N394" i="8"/>
  <c r="G395" i="8"/>
  <c r="H395" i="8"/>
  <c r="I395" i="8"/>
  <c r="J395" i="8"/>
  <c r="K395" i="8"/>
  <c r="L395" i="8"/>
  <c r="M395" i="8"/>
  <c r="N395" i="8"/>
  <c r="G396" i="8"/>
  <c r="H396" i="8"/>
  <c r="I396" i="8"/>
  <c r="J396" i="8"/>
  <c r="K396" i="8"/>
  <c r="L396" i="8"/>
  <c r="M396" i="8"/>
  <c r="N396" i="8"/>
  <c r="G397" i="8"/>
  <c r="H397" i="8"/>
  <c r="I397" i="8"/>
  <c r="J397" i="8"/>
  <c r="K397" i="8"/>
  <c r="L397" i="8"/>
  <c r="M397" i="8"/>
  <c r="N397" i="8"/>
  <c r="G398" i="8"/>
  <c r="H398" i="8"/>
  <c r="I398" i="8"/>
  <c r="J398" i="8"/>
  <c r="K398" i="8"/>
  <c r="L398" i="8"/>
  <c r="M398" i="8"/>
  <c r="N398" i="8"/>
  <c r="G399" i="8"/>
  <c r="H399" i="8"/>
  <c r="I399" i="8"/>
  <c r="J399" i="8"/>
  <c r="K399" i="8"/>
  <c r="L399" i="8"/>
  <c r="M399" i="8"/>
  <c r="N399" i="8"/>
  <c r="G400" i="8"/>
  <c r="H400" i="8"/>
  <c r="I400" i="8"/>
  <c r="J400" i="8"/>
  <c r="K400" i="8"/>
  <c r="L400" i="8"/>
  <c r="M400" i="8"/>
  <c r="N400" i="8"/>
  <c r="G401" i="8"/>
  <c r="H401" i="8"/>
  <c r="I401" i="8"/>
  <c r="J401" i="8"/>
  <c r="K401" i="8"/>
  <c r="L401" i="8"/>
  <c r="M401" i="8"/>
  <c r="N401" i="8"/>
  <c r="G402" i="8"/>
  <c r="H402" i="8"/>
  <c r="I402" i="8"/>
  <c r="J402" i="8"/>
  <c r="K402" i="8"/>
  <c r="L402" i="8"/>
  <c r="M402" i="8"/>
  <c r="N402" i="8"/>
  <c r="G403" i="8"/>
  <c r="H403" i="8"/>
  <c r="I403" i="8"/>
  <c r="J403" i="8"/>
  <c r="K403" i="8"/>
  <c r="L403" i="8"/>
  <c r="M403" i="8"/>
  <c r="N403" i="8"/>
  <c r="G404" i="8"/>
  <c r="H404" i="8"/>
  <c r="I404" i="8"/>
  <c r="J404" i="8"/>
  <c r="K404" i="8"/>
  <c r="L404" i="8"/>
  <c r="M404" i="8"/>
  <c r="N404" i="8"/>
  <c r="G405" i="8"/>
  <c r="H405" i="8"/>
  <c r="I405" i="8"/>
  <c r="J405" i="8"/>
  <c r="K405" i="8"/>
  <c r="L405" i="8"/>
  <c r="M405" i="8"/>
  <c r="N405" i="8"/>
  <c r="G406" i="8"/>
  <c r="H406" i="8"/>
  <c r="I406" i="8"/>
  <c r="J406" i="8"/>
  <c r="K406" i="8"/>
  <c r="L406" i="8"/>
  <c r="M406" i="8"/>
  <c r="N406" i="8"/>
  <c r="G407" i="8"/>
  <c r="H407" i="8"/>
  <c r="I407" i="8"/>
  <c r="J407" i="8"/>
  <c r="K407" i="8"/>
  <c r="L407" i="8"/>
  <c r="M407" i="8"/>
  <c r="N407" i="8"/>
  <c r="G408" i="8"/>
  <c r="H408" i="8"/>
  <c r="I408" i="8"/>
  <c r="J408" i="8"/>
  <c r="K408" i="8"/>
  <c r="L408" i="8"/>
  <c r="M408" i="8"/>
  <c r="N408" i="8"/>
  <c r="G409" i="8"/>
  <c r="H409" i="8"/>
  <c r="I409" i="8"/>
  <c r="J409" i="8"/>
  <c r="K409" i="8"/>
  <c r="L409" i="8"/>
  <c r="M409" i="8"/>
  <c r="N409" i="8"/>
  <c r="G410" i="8"/>
  <c r="H410" i="8"/>
  <c r="I410" i="8"/>
  <c r="J410" i="8"/>
  <c r="K410" i="8"/>
  <c r="L410" i="8"/>
  <c r="M410" i="8"/>
  <c r="N410" i="8"/>
  <c r="G411" i="8"/>
  <c r="H411" i="8"/>
  <c r="I411" i="8"/>
  <c r="J411" i="8"/>
  <c r="K411" i="8"/>
  <c r="L411" i="8"/>
  <c r="M411" i="8"/>
  <c r="N411" i="8"/>
  <c r="G412" i="8"/>
  <c r="H412" i="8"/>
  <c r="I412" i="8"/>
  <c r="J412" i="8"/>
  <c r="K412" i="8"/>
  <c r="L412" i="8"/>
  <c r="M412" i="8"/>
  <c r="N412" i="8"/>
  <c r="G413" i="8"/>
  <c r="H413" i="8"/>
  <c r="I413" i="8"/>
  <c r="J413" i="8"/>
  <c r="K413" i="8"/>
  <c r="L413" i="8"/>
  <c r="M413" i="8"/>
  <c r="N413" i="8"/>
  <c r="G414" i="8"/>
  <c r="H414" i="8"/>
  <c r="I414" i="8"/>
  <c r="J414" i="8"/>
  <c r="K414" i="8"/>
  <c r="L414" i="8"/>
  <c r="M414" i="8"/>
  <c r="N414" i="8"/>
  <c r="G415" i="8"/>
  <c r="H415" i="8"/>
  <c r="I415" i="8"/>
  <c r="J415" i="8"/>
  <c r="K415" i="8"/>
  <c r="L415" i="8"/>
  <c r="M415" i="8"/>
  <c r="N415" i="8"/>
  <c r="G416" i="8"/>
  <c r="H416" i="8"/>
  <c r="I416" i="8"/>
  <c r="J416" i="8"/>
  <c r="K416" i="8"/>
  <c r="L416" i="8"/>
  <c r="M416" i="8"/>
  <c r="N416" i="8"/>
  <c r="G417" i="8"/>
  <c r="H417" i="8"/>
  <c r="I417" i="8"/>
  <c r="J417" i="8"/>
  <c r="K417" i="8"/>
  <c r="L417" i="8"/>
  <c r="M417" i="8"/>
  <c r="N417" i="8"/>
  <c r="G418" i="8"/>
  <c r="H418" i="8"/>
  <c r="I418" i="8"/>
  <c r="J418" i="8"/>
  <c r="K418" i="8"/>
  <c r="L418" i="8"/>
  <c r="M418" i="8"/>
  <c r="N418" i="8"/>
  <c r="G419" i="8"/>
  <c r="H419" i="8"/>
  <c r="I419" i="8"/>
  <c r="J419" i="8"/>
  <c r="K419" i="8"/>
  <c r="L419" i="8"/>
  <c r="M419" i="8"/>
  <c r="N419" i="8"/>
  <c r="G420" i="8"/>
  <c r="H420" i="8"/>
  <c r="I420" i="8"/>
  <c r="J420" i="8"/>
  <c r="K420" i="8"/>
  <c r="L420" i="8"/>
  <c r="M420" i="8"/>
  <c r="N420" i="8"/>
  <c r="G421" i="8"/>
  <c r="H421" i="8"/>
  <c r="I421" i="8"/>
  <c r="J421" i="8"/>
  <c r="K421" i="8"/>
  <c r="L421" i="8"/>
  <c r="M421" i="8"/>
  <c r="N421" i="8"/>
  <c r="G422" i="8"/>
  <c r="H422" i="8"/>
  <c r="I422" i="8"/>
  <c r="J422" i="8"/>
  <c r="K422" i="8"/>
  <c r="L422" i="8"/>
  <c r="M422" i="8"/>
  <c r="N422" i="8"/>
  <c r="G423" i="8"/>
  <c r="H423" i="8"/>
  <c r="I423" i="8"/>
  <c r="J423" i="8"/>
  <c r="K423" i="8"/>
  <c r="L423" i="8"/>
  <c r="M423" i="8"/>
  <c r="N423" i="8"/>
  <c r="G424" i="8"/>
  <c r="H424" i="8"/>
  <c r="I424" i="8"/>
  <c r="J424" i="8"/>
  <c r="K424" i="8"/>
  <c r="L424" i="8"/>
  <c r="M424" i="8"/>
  <c r="N424" i="8"/>
  <c r="G425" i="8"/>
  <c r="H425" i="8"/>
  <c r="I425" i="8"/>
  <c r="J425" i="8"/>
  <c r="K425" i="8"/>
  <c r="L425" i="8"/>
  <c r="M425" i="8"/>
  <c r="N425" i="8"/>
  <c r="G426" i="8"/>
  <c r="H426" i="8"/>
  <c r="I426" i="8"/>
  <c r="J426" i="8"/>
  <c r="K426" i="8"/>
  <c r="L426" i="8"/>
  <c r="M426" i="8"/>
  <c r="N426" i="8"/>
  <c r="G427" i="8"/>
  <c r="H427" i="8"/>
  <c r="I427" i="8"/>
  <c r="J427" i="8"/>
  <c r="K427" i="8"/>
  <c r="L427" i="8"/>
  <c r="M427" i="8"/>
  <c r="N427" i="8"/>
  <c r="G428" i="8"/>
  <c r="H428" i="8"/>
  <c r="I428" i="8"/>
  <c r="J428" i="8"/>
  <c r="K428" i="8"/>
  <c r="L428" i="8"/>
  <c r="M428" i="8"/>
  <c r="N428" i="8"/>
  <c r="G429" i="8"/>
  <c r="H429" i="8"/>
  <c r="I429" i="8"/>
  <c r="J429" i="8"/>
  <c r="K429" i="8"/>
  <c r="L429" i="8"/>
  <c r="M429" i="8"/>
  <c r="N429" i="8"/>
  <c r="G430" i="8"/>
  <c r="H430" i="8"/>
  <c r="I430" i="8"/>
  <c r="J430" i="8"/>
  <c r="K430" i="8"/>
  <c r="L430" i="8"/>
  <c r="M430" i="8"/>
  <c r="N430" i="8"/>
  <c r="G431" i="8"/>
  <c r="H431" i="8"/>
  <c r="I431" i="8"/>
  <c r="J431" i="8"/>
  <c r="K431" i="8"/>
  <c r="L431" i="8"/>
  <c r="M431" i="8"/>
  <c r="N431" i="8"/>
  <c r="G432" i="8"/>
  <c r="H432" i="8"/>
  <c r="I432" i="8"/>
  <c r="J432" i="8"/>
  <c r="K432" i="8"/>
  <c r="L432" i="8"/>
  <c r="M432" i="8"/>
  <c r="N432" i="8"/>
  <c r="G433" i="8"/>
  <c r="H433" i="8"/>
  <c r="I433" i="8"/>
  <c r="J433" i="8"/>
  <c r="K433" i="8"/>
  <c r="L433" i="8"/>
  <c r="M433" i="8"/>
  <c r="N433" i="8"/>
  <c r="G434" i="8"/>
  <c r="H434" i="8"/>
  <c r="I434" i="8"/>
  <c r="J434" i="8"/>
  <c r="K434" i="8"/>
  <c r="L434" i="8"/>
  <c r="M434" i="8"/>
  <c r="N434" i="8"/>
  <c r="G435" i="8"/>
  <c r="H435" i="8"/>
  <c r="I435" i="8"/>
  <c r="J435" i="8"/>
  <c r="K435" i="8"/>
  <c r="L435" i="8"/>
  <c r="M435" i="8"/>
  <c r="N435" i="8"/>
  <c r="G436" i="8"/>
  <c r="H436" i="8"/>
  <c r="I436" i="8"/>
  <c r="J436" i="8"/>
  <c r="K436" i="8"/>
  <c r="L436" i="8"/>
  <c r="M436" i="8"/>
  <c r="N436" i="8"/>
  <c r="G437" i="8"/>
  <c r="H437" i="8"/>
  <c r="I437" i="8"/>
  <c r="J437" i="8"/>
  <c r="K437" i="8"/>
  <c r="L437" i="8"/>
  <c r="M437" i="8"/>
  <c r="N437" i="8"/>
  <c r="G438" i="8"/>
  <c r="H438" i="8"/>
  <c r="I438" i="8"/>
  <c r="J438" i="8"/>
  <c r="K438" i="8"/>
  <c r="L438" i="8"/>
  <c r="M438" i="8"/>
  <c r="N438" i="8"/>
  <c r="G439" i="8"/>
  <c r="H439" i="8"/>
  <c r="I439" i="8"/>
  <c r="J439" i="8"/>
  <c r="K439" i="8"/>
  <c r="L439" i="8"/>
  <c r="M439" i="8"/>
  <c r="N439" i="8"/>
  <c r="G440" i="8"/>
  <c r="H440" i="8"/>
  <c r="I440" i="8"/>
  <c r="J440" i="8"/>
  <c r="K440" i="8"/>
  <c r="L440" i="8"/>
  <c r="M440" i="8"/>
  <c r="N440" i="8"/>
  <c r="G441" i="8"/>
  <c r="H441" i="8"/>
  <c r="I441" i="8"/>
  <c r="J441" i="8"/>
  <c r="K441" i="8"/>
  <c r="L441" i="8"/>
  <c r="M441" i="8"/>
  <c r="N441" i="8"/>
  <c r="G442" i="8"/>
  <c r="H442" i="8"/>
  <c r="I442" i="8"/>
  <c r="J442" i="8"/>
  <c r="K442" i="8"/>
  <c r="L442" i="8"/>
  <c r="M442" i="8"/>
  <c r="N442" i="8"/>
  <c r="G443" i="8"/>
  <c r="H443" i="8"/>
  <c r="I443" i="8"/>
  <c r="J443" i="8"/>
  <c r="K443" i="8"/>
  <c r="L443" i="8"/>
  <c r="M443" i="8"/>
  <c r="N443" i="8"/>
  <c r="G444" i="8"/>
  <c r="H444" i="8"/>
  <c r="I444" i="8"/>
  <c r="J444" i="8"/>
  <c r="K444" i="8"/>
  <c r="L444" i="8"/>
  <c r="M444" i="8"/>
  <c r="N444" i="8"/>
  <c r="G445" i="8"/>
  <c r="H445" i="8"/>
  <c r="I445" i="8"/>
  <c r="J445" i="8"/>
  <c r="K445" i="8"/>
  <c r="L445" i="8"/>
  <c r="M445" i="8"/>
  <c r="N445" i="8"/>
  <c r="G446" i="8"/>
  <c r="H446" i="8"/>
  <c r="I446" i="8"/>
  <c r="J446" i="8"/>
  <c r="K446" i="8"/>
  <c r="L446" i="8"/>
  <c r="M446" i="8"/>
  <c r="N446" i="8"/>
  <c r="G447" i="8"/>
  <c r="H447" i="8"/>
  <c r="I447" i="8"/>
  <c r="J447" i="8"/>
  <c r="K447" i="8"/>
  <c r="L447" i="8"/>
  <c r="M447" i="8"/>
  <c r="N447" i="8"/>
  <c r="G448" i="8"/>
  <c r="H448" i="8"/>
  <c r="I448" i="8"/>
  <c r="J448" i="8"/>
  <c r="K448" i="8"/>
  <c r="L448" i="8"/>
  <c r="M448" i="8"/>
  <c r="N448" i="8"/>
  <c r="G449" i="8"/>
  <c r="H449" i="8"/>
  <c r="I449" i="8"/>
  <c r="J449" i="8"/>
  <c r="K449" i="8"/>
  <c r="L449" i="8"/>
  <c r="M449" i="8"/>
  <c r="N449" i="8"/>
  <c r="G450" i="8"/>
  <c r="H450" i="8"/>
  <c r="I450" i="8"/>
  <c r="J450" i="8"/>
  <c r="K450" i="8"/>
  <c r="L450" i="8"/>
  <c r="M450" i="8"/>
  <c r="N450" i="8"/>
  <c r="G451" i="8"/>
  <c r="H451" i="8"/>
  <c r="I451" i="8"/>
  <c r="J451" i="8"/>
  <c r="K451" i="8"/>
  <c r="L451" i="8"/>
  <c r="M451" i="8"/>
  <c r="N451" i="8"/>
  <c r="G452" i="8"/>
  <c r="H452" i="8"/>
  <c r="I452" i="8"/>
  <c r="J452" i="8"/>
  <c r="K452" i="8"/>
  <c r="L452" i="8"/>
  <c r="M452" i="8"/>
  <c r="N452" i="8"/>
  <c r="G453" i="8"/>
  <c r="H453" i="8"/>
  <c r="I453" i="8"/>
  <c r="J453" i="8"/>
  <c r="K453" i="8"/>
  <c r="L453" i="8"/>
  <c r="M453" i="8"/>
  <c r="N453" i="8"/>
  <c r="G454" i="8"/>
  <c r="H454" i="8"/>
  <c r="I454" i="8"/>
  <c r="J454" i="8"/>
  <c r="K454" i="8"/>
  <c r="L454" i="8"/>
  <c r="M454" i="8"/>
  <c r="N454" i="8"/>
  <c r="G455" i="8"/>
  <c r="H455" i="8"/>
  <c r="I455" i="8"/>
  <c r="J455" i="8"/>
  <c r="K455" i="8"/>
  <c r="L455" i="8"/>
  <c r="M455" i="8"/>
  <c r="N455" i="8"/>
  <c r="G456" i="8"/>
  <c r="H456" i="8"/>
  <c r="I456" i="8"/>
  <c r="J456" i="8"/>
  <c r="K456" i="8"/>
  <c r="L456" i="8"/>
  <c r="M456" i="8"/>
  <c r="N456" i="8"/>
  <c r="G457" i="8"/>
  <c r="H457" i="8"/>
  <c r="I457" i="8"/>
  <c r="J457" i="8"/>
  <c r="K457" i="8"/>
  <c r="L457" i="8"/>
  <c r="M457" i="8"/>
  <c r="N457" i="8"/>
  <c r="G458" i="8"/>
  <c r="H458" i="8"/>
  <c r="I458" i="8"/>
  <c r="J458" i="8"/>
  <c r="K458" i="8"/>
  <c r="L458" i="8"/>
  <c r="M458" i="8"/>
  <c r="N458" i="8"/>
  <c r="G459" i="8"/>
  <c r="H459" i="8"/>
  <c r="I459" i="8"/>
  <c r="J459" i="8"/>
  <c r="K459" i="8"/>
  <c r="L459" i="8"/>
  <c r="M459" i="8"/>
  <c r="N459" i="8"/>
  <c r="G460" i="8"/>
  <c r="H460" i="8"/>
  <c r="I460" i="8"/>
  <c r="J460" i="8"/>
  <c r="K460" i="8"/>
  <c r="L460" i="8"/>
  <c r="M460" i="8"/>
  <c r="N460" i="8"/>
  <c r="G461" i="8"/>
  <c r="H461" i="8"/>
  <c r="I461" i="8"/>
  <c r="J461" i="8"/>
  <c r="K461" i="8"/>
  <c r="L461" i="8"/>
  <c r="M461" i="8"/>
  <c r="N461" i="8"/>
  <c r="G462" i="8"/>
  <c r="H462" i="8"/>
  <c r="I462" i="8"/>
  <c r="J462" i="8"/>
  <c r="K462" i="8"/>
  <c r="L462" i="8"/>
  <c r="M462" i="8"/>
  <c r="N462" i="8"/>
  <c r="G463" i="8"/>
  <c r="H463" i="8"/>
  <c r="I463" i="8"/>
  <c r="J463" i="8"/>
  <c r="K463" i="8"/>
  <c r="L463" i="8"/>
  <c r="M463" i="8"/>
  <c r="N463" i="8"/>
  <c r="G464" i="8"/>
  <c r="H464" i="8"/>
  <c r="I464" i="8"/>
  <c r="J464" i="8"/>
  <c r="K464" i="8"/>
  <c r="L464" i="8"/>
  <c r="M464" i="8"/>
  <c r="N464" i="8"/>
  <c r="G465" i="8"/>
  <c r="H465" i="8"/>
  <c r="I465" i="8"/>
  <c r="J465" i="8"/>
  <c r="K465" i="8"/>
  <c r="L465" i="8"/>
  <c r="M465" i="8"/>
  <c r="N465" i="8"/>
  <c r="G466" i="8"/>
  <c r="H466" i="8"/>
  <c r="I466" i="8"/>
  <c r="J466" i="8"/>
  <c r="K466" i="8"/>
  <c r="L466" i="8"/>
  <c r="M466" i="8"/>
  <c r="N466" i="8"/>
  <c r="N7" i="8"/>
  <c r="H7" i="8"/>
  <c r="I7" i="8"/>
  <c r="J7" i="8"/>
  <c r="K7" i="8"/>
  <c r="L7" i="8"/>
  <c r="M7" i="8"/>
  <c r="G7" i="8"/>
  <c r="W7" i="8" s="1"/>
  <c r="X7" i="8" s="1"/>
  <c r="Y7" i="8" s="1"/>
  <c r="W7" i="9"/>
  <c r="X7" i="9" s="1"/>
  <c r="Y7" i="9" s="1"/>
  <c r="E31" i="12" l="1"/>
  <c r="E29" i="12"/>
  <c r="E5" i="12"/>
  <c r="E57" i="12"/>
  <c r="E59" i="12"/>
  <c r="D8" i="12"/>
  <c r="O45" i="12" s="1"/>
  <c r="N16" i="12"/>
  <c r="E7" i="12"/>
  <c r="E6" i="12"/>
  <c r="C8" i="12"/>
  <c r="E58" i="12"/>
  <c r="N90" i="9"/>
  <c r="N82" i="9"/>
  <c r="N74" i="9"/>
  <c r="N66" i="9"/>
  <c r="N58" i="9"/>
  <c r="N50" i="9"/>
  <c r="N42" i="9"/>
  <c r="N34" i="9"/>
  <c r="N26" i="9"/>
  <c r="N18" i="9"/>
  <c r="N10" i="9"/>
  <c r="N91" i="9"/>
  <c r="N83" i="9"/>
  <c r="N75" i="9"/>
  <c r="N67" i="9"/>
  <c r="N59" i="9"/>
  <c r="N51" i="9"/>
  <c r="N43" i="9"/>
  <c r="N35" i="9"/>
  <c r="N27" i="9"/>
  <c r="N19" i="9"/>
  <c r="N11" i="9"/>
  <c r="N92" i="9"/>
  <c r="N60" i="9"/>
  <c r="N52" i="9"/>
  <c r="N44" i="9"/>
  <c r="N36" i="9"/>
  <c r="N28" i="9"/>
  <c r="N20" i="9"/>
  <c r="N12" i="9"/>
  <c r="N85" i="9"/>
  <c r="N77" i="9"/>
  <c r="N69" i="9"/>
  <c r="N61" i="9"/>
  <c r="N53" i="9"/>
  <c r="N45" i="9"/>
  <c r="N37" i="9"/>
  <c r="N29" i="9"/>
  <c r="N21" i="9"/>
  <c r="N13" i="9"/>
  <c r="N86" i="9"/>
  <c r="N78" i="9"/>
  <c r="N70" i="9"/>
  <c r="N62" i="9"/>
  <c r="N54" i="9"/>
  <c r="N46" i="9"/>
  <c r="N38" i="9"/>
  <c r="N30" i="9"/>
  <c r="N22" i="9"/>
  <c r="N14" i="9"/>
  <c r="N63" i="9"/>
  <c r="N55" i="9"/>
  <c r="N47" i="9"/>
  <c r="N39" i="9"/>
  <c r="N31" i="9"/>
  <c r="N23" i="9"/>
  <c r="N15" i="9"/>
  <c r="N88" i="9"/>
  <c r="N80" i="9"/>
  <c r="N72" i="9"/>
  <c r="N64" i="9"/>
  <c r="N56" i="9"/>
  <c r="N48" i="9"/>
  <c r="N40" i="9"/>
  <c r="N32" i="9"/>
  <c r="N24" i="9"/>
  <c r="N16" i="9"/>
  <c r="E8" i="12" l="1"/>
  <c r="M16" i="12"/>
  <c r="N45" i="12"/>
  <c r="O8" i="8"/>
  <c r="O9" i="8"/>
  <c r="O10" i="8"/>
  <c r="O11" i="8"/>
  <c r="O12" i="8"/>
  <c r="O14" i="8"/>
  <c r="O372" i="8"/>
  <c r="O15" i="8"/>
  <c r="O16" i="8"/>
  <c r="O17" i="8"/>
  <c r="O18" i="8"/>
  <c r="O373" i="8"/>
  <c r="O20" i="8"/>
  <c r="O21" i="8"/>
  <c r="O22" i="8"/>
  <c r="O23" i="8"/>
  <c r="O374" i="8"/>
  <c r="O24" i="8"/>
  <c r="O25" i="8"/>
  <c r="O28" i="8"/>
  <c r="O375" i="8"/>
  <c r="O376" i="8"/>
  <c r="O29" i="8"/>
  <c r="O377" i="8"/>
  <c r="O30" i="8"/>
  <c r="O31" i="8"/>
  <c r="O328" i="8"/>
  <c r="O32" i="8"/>
  <c r="O33" i="8"/>
  <c r="O35" i="8"/>
  <c r="O329" i="8"/>
  <c r="O378" i="8"/>
  <c r="O37" i="8"/>
  <c r="O38" i="8"/>
  <c r="O39" i="8"/>
  <c r="O330" i="8"/>
  <c r="O40" i="8"/>
  <c r="O41" i="8"/>
  <c r="O43" i="8"/>
  <c r="O44" i="8"/>
  <c r="O46" i="8"/>
  <c r="O47" i="8"/>
  <c r="O48" i="8"/>
  <c r="O49" i="8"/>
  <c r="O50" i="8"/>
  <c r="O51" i="8"/>
  <c r="O53" i="8"/>
  <c r="O54" i="8"/>
  <c r="O331" i="8"/>
  <c r="O55" i="8"/>
  <c r="O380" i="8"/>
  <c r="O59" i="8"/>
  <c r="O332" i="8"/>
  <c r="O60" i="8"/>
  <c r="O61" i="8"/>
  <c r="O63" i="8"/>
  <c r="O65" i="8"/>
  <c r="O381" i="8"/>
  <c r="O66" i="8"/>
  <c r="O67" i="8"/>
  <c r="O68" i="8"/>
  <c r="O70" i="8"/>
  <c r="O382" i="8"/>
  <c r="O383" i="8"/>
  <c r="O73" i="8"/>
  <c r="O75" i="8"/>
  <c r="O76" i="8"/>
  <c r="O77" i="8"/>
  <c r="O78" i="8"/>
  <c r="O79" i="8"/>
  <c r="O80" i="8"/>
  <c r="O389" i="8"/>
  <c r="O84" i="8"/>
  <c r="O390" i="8"/>
  <c r="O391" i="8"/>
  <c r="O87" i="8"/>
  <c r="O89" i="8"/>
  <c r="O90" i="8"/>
  <c r="O394" i="8"/>
  <c r="O92" i="8"/>
  <c r="O395" i="8"/>
  <c r="O396" i="8"/>
  <c r="O397" i="8"/>
  <c r="O334" i="8"/>
  <c r="O95" i="8"/>
  <c r="O398" i="8"/>
  <c r="O399" i="8"/>
  <c r="O335" i="8"/>
  <c r="O97" i="8"/>
  <c r="O400" i="8"/>
  <c r="O401" i="8"/>
  <c r="O98" i="8"/>
  <c r="O337" i="8"/>
  <c r="O99" i="8"/>
  <c r="O101" i="8"/>
  <c r="O103" i="8"/>
  <c r="O105" i="8"/>
  <c r="O404" i="8"/>
  <c r="O108" i="8"/>
  <c r="O338" i="8"/>
  <c r="O109" i="8"/>
  <c r="O110" i="8"/>
  <c r="O339" i="8"/>
  <c r="O340" i="8"/>
  <c r="O112" i="8"/>
  <c r="O113" i="8"/>
  <c r="O114" i="8"/>
  <c r="O405" i="8"/>
  <c r="O116" i="8"/>
  <c r="O406" i="8"/>
  <c r="O118" i="8"/>
  <c r="O343" i="8"/>
  <c r="O120" i="8"/>
  <c r="O122" i="8"/>
  <c r="O123" i="8"/>
  <c r="O125" i="8"/>
  <c r="O126" i="8"/>
  <c r="O128" i="8"/>
  <c r="O129" i="8"/>
  <c r="O131" i="8"/>
  <c r="O132" i="8"/>
  <c r="O137" i="8"/>
  <c r="O139" i="8"/>
  <c r="O140" i="8"/>
  <c r="O142" i="8"/>
  <c r="O410" i="8"/>
  <c r="O144" i="8"/>
  <c r="O145" i="8"/>
  <c r="O146" i="8"/>
  <c r="O147" i="8"/>
  <c r="O149" i="8"/>
  <c r="O150" i="8"/>
  <c r="O151" i="8"/>
  <c r="O154" i="8"/>
  <c r="O156" i="8"/>
  <c r="O158" i="8"/>
  <c r="O159" i="8"/>
  <c r="O160" i="8"/>
  <c r="O161" i="8"/>
  <c r="O162" i="8"/>
  <c r="O165" i="8"/>
  <c r="O168" i="8"/>
  <c r="O169" i="8"/>
  <c r="O170" i="8"/>
  <c r="O172" i="8"/>
  <c r="O173" i="8"/>
  <c r="O413" i="8"/>
  <c r="O346" i="8"/>
  <c r="O347" i="8"/>
  <c r="O415" i="8"/>
  <c r="O416" i="8"/>
  <c r="O348" i="8"/>
  <c r="O349" i="8"/>
  <c r="O176" i="8"/>
  <c r="O177" i="8"/>
  <c r="O418" i="8"/>
  <c r="O419" i="8"/>
  <c r="O178" i="8"/>
  <c r="O420" i="8"/>
  <c r="O179" i="8"/>
  <c r="O180" i="8"/>
  <c r="O421" i="8"/>
  <c r="O351" i="8"/>
  <c r="O182" i="8"/>
  <c r="O184" i="8"/>
  <c r="O185" i="8"/>
  <c r="O422" i="8"/>
  <c r="O187" i="8"/>
  <c r="O352" i="8"/>
  <c r="O188" i="8"/>
  <c r="O423" i="8"/>
  <c r="O189" i="8"/>
  <c r="O190" i="8"/>
  <c r="O191" i="8"/>
  <c r="O192" i="8"/>
  <c r="O425" i="8"/>
  <c r="O353" i="8"/>
  <c r="O426" i="8"/>
  <c r="O194" i="8"/>
  <c r="O354" i="8"/>
  <c r="O196" i="8"/>
  <c r="O197" i="8"/>
  <c r="O198" i="8"/>
  <c r="O199" i="8"/>
  <c r="O200" i="8"/>
  <c r="O427" i="8"/>
  <c r="O202" i="8"/>
  <c r="O203" i="8"/>
  <c r="O204" i="8"/>
  <c r="O205" i="8"/>
  <c r="O206" i="8"/>
  <c r="O355" i="8"/>
  <c r="O207" i="8"/>
  <c r="O430" i="8"/>
  <c r="O208" i="8"/>
  <c r="O356" i="8"/>
  <c r="O357" i="8"/>
  <c r="O209" i="8"/>
  <c r="O210" i="8"/>
  <c r="O211" i="8"/>
  <c r="O213" i="8"/>
  <c r="O431" i="8"/>
  <c r="O432" i="8"/>
  <c r="O433" i="8"/>
  <c r="O358" i="8"/>
  <c r="O214" i="8"/>
  <c r="O434" i="8"/>
  <c r="O436" i="8"/>
  <c r="O437" i="8"/>
  <c r="O215" i="8"/>
  <c r="O216" i="8"/>
  <c r="O217" i="8"/>
  <c r="O218" i="8"/>
  <c r="O219" i="8"/>
  <c r="O438" i="8"/>
  <c r="O221" i="8"/>
  <c r="O222" i="8"/>
  <c r="O223" i="8"/>
  <c r="O224" i="8"/>
  <c r="O225" i="8"/>
  <c r="O226" i="8"/>
  <c r="O439" i="8"/>
  <c r="O440" i="8"/>
  <c r="O228" i="8"/>
  <c r="O229" i="8"/>
  <c r="O230" i="8"/>
  <c r="O231" i="8"/>
  <c r="O359" i="8"/>
  <c r="O442" i="8"/>
  <c r="O360" i="8"/>
  <c r="O232" i="8"/>
  <c r="O234" i="8"/>
  <c r="O235" i="8"/>
  <c r="O361" i="8"/>
  <c r="O237" i="8"/>
  <c r="O238" i="8"/>
  <c r="O239" i="8"/>
  <c r="O443" i="8"/>
  <c r="O444" i="8"/>
  <c r="O362" i="8"/>
  <c r="O240" i="8"/>
  <c r="O446" i="8"/>
  <c r="O447" i="8"/>
  <c r="O241" i="8"/>
  <c r="O242" i="8"/>
  <c r="O243" i="8"/>
  <c r="O244" i="8"/>
  <c r="O245" i="8"/>
  <c r="O247" i="8"/>
  <c r="O248" i="8"/>
  <c r="O249" i="8"/>
  <c r="O250" i="8"/>
  <c r="O448" i="8"/>
  <c r="O251" i="8"/>
  <c r="O252" i="8"/>
  <c r="O363" i="8"/>
  <c r="O253" i="8"/>
  <c r="O364" i="8"/>
  <c r="O450" i="8"/>
  <c r="O255" i="8"/>
  <c r="O365" i="8"/>
  <c r="O257" i="8"/>
  <c r="O258" i="8"/>
  <c r="O259" i="8"/>
  <c r="O260" i="8"/>
  <c r="O261" i="8"/>
  <c r="O262" i="8"/>
  <c r="O263" i="8"/>
  <c r="O264" i="8"/>
  <c r="O265" i="8"/>
  <c r="O266" i="8"/>
  <c r="O451" i="8"/>
  <c r="O267" i="8"/>
  <c r="O268" i="8"/>
  <c r="O269" i="8"/>
  <c r="O270" i="8"/>
  <c r="O271" i="8"/>
  <c r="O272" i="8"/>
  <c r="O273" i="8"/>
  <c r="O452" i="8"/>
  <c r="O274" i="8"/>
  <c r="O275" i="8"/>
  <c r="O276" i="8"/>
  <c r="O277" i="8"/>
  <c r="O278" i="8"/>
  <c r="O279" i="8"/>
  <c r="O280" i="8"/>
  <c r="O281" i="8"/>
  <c r="O282" i="8"/>
  <c r="O366" i="8"/>
  <c r="O453" i="8"/>
  <c r="O454" i="8"/>
  <c r="O455" i="8"/>
  <c r="O283" i="8"/>
  <c r="O284" i="8"/>
  <c r="O285" i="8"/>
  <c r="O286" i="8"/>
  <c r="O287" i="8"/>
  <c r="O456" i="8"/>
  <c r="O288" i="8"/>
  <c r="O289" i="8"/>
  <c r="O290" i="8"/>
  <c r="O367" i="8"/>
  <c r="O291" i="8"/>
  <c r="O368" i="8"/>
  <c r="O293" i="8"/>
  <c r="O294" i="8"/>
  <c r="O295" i="8"/>
  <c r="O296" i="8"/>
  <c r="O297" i="8"/>
  <c r="O298" i="8"/>
  <c r="O369" i="8"/>
  <c r="O457" i="8"/>
  <c r="O458" i="8"/>
  <c r="O459" i="8"/>
  <c r="O299" i="8"/>
  <c r="O300" i="8"/>
  <c r="O301" i="8"/>
  <c r="O302" i="8"/>
  <c r="O303" i="8"/>
  <c r="O460" i="8"/>
  <c r="O304" i="8"/>
  <c r="O305" i="8"/>
  <c r="O306" i="8"/>
  <c r="O307" i="8"/>
  <c r="O308" i="8"/>
  <c r="O309" i="8"/>
  <c r="O310" i="8"/>
  <c r="O461" i="8"/>
  <c r="O311" i="8"/>
  <c r="O312" i="8"/>
  <c r="O463" i="8"/>
  <c r="O313" i="8"/>
  <c r="O314" i="8"/>
  <c r="O315" i="8"/>
  <c r="O316" i="8"/>
  <c r="O317" i="8"/>
  <c r="O318" i="8"/>
  <c r="O319" i="8"/>
  <c r="O320" i="8"/>
  <c r="O464" i="8"/>
  <c r="O465" i="8"/>
  <c r="O321" i="8"/>
  <c r="O322" i="8"/>
  <c r="O323" i="8"/>
  <c r="O466" i="8"/>
  <c r="O324" i="8"/>
  <c r="O325" i="8"/>
  <c r="O326" i="8"/>
  <c r="O370" i="8"/>
  <c r="O8" i="9"/>
  <c r="O9" i="9"/>
  <c r="O10" i="9"/>
  <c r="O11" i="9"/>
  <c r="O115" i="9"/>
  <c r="O14" i="9"/>
  <c r="O116" i="9"/>
  <c r="O15" i="9"/>
  <c r="O16" i="9"/>
  <c r="O17" i="9"/>
  <c r="O117" i="9"/>
  <c r="O119" i="9"/>
  <c r="O120" i="9"/>
  <c r="O18" i="9"/>
  <c r="O19" i="9"/>
  <c r="O20" i="9"/>
  <c r="O121" i="9"/>
  <c r="O123" i="9"/>
  <c r="O124" i="9"/>
  <c r="O21" i="9"/>
  <c r="O22" i="9"/>
  <c r="O125" i="9"/>
  <c r="O126" i="9"/>
  <c r="O25" i="9"/>
  <c r="O26" i="9"/>
  <c r="O127" i="9"/>
  <c r="O28" i="9"/>
  <c r="O29" i="9"/>
  <c r="O30" i="9"/>
  <c r="O32" i="9"/>
  <c r="O33" i="9"/>
  <c r="O106" i="9"/>
  <c r="O34" i="9"/>
  <c r="O129" i="9"/>
  <c r="O107" i="9"/>
  <c r="O35" i="9"/>
  <c r="O131" i="9"/>
  <c r="O36" i="9"/>
  <c r="O37" i="9"/>
  <c r="O38" i="9"/>
  <c r="O132" i="9"/>
  <c r="O40" i="9"/>
  <c r="O108" i="9"/>
  <c r="O41" i="9"/>
  <c r="O134" i="9"/>
  <c r="O135" i="9"/>
  <c r="O136" i="9"/>
  <c r="O137" i="9"/>
  <c r="O109" i="9"/>
  <c r="O43" i="9"/>
  <c r="O44" i="9"/>
  <c r="O45" i="9"/>
  <c r="O46" i="9"/>
  <c r="O47" i="9"/>
  <c r="O139" i="9"/>
  <c r="O49" i="9"/>
  <c r="O50" i="9"/>
  <c r="O51" i="9"/>
  <c r="O52" i="9"/>
  <c r="O53" i="9"/>
  <c r="O54" i="9"/>
  <c r="O56" i="9"/>
  <c r="O57" i="9"/>
  <c r="O59" i="9"/>
  <c r="O60" i="9"/>
  <c r="O141" i="9"/>
  <c r="O62" i="9"/>
  <c r="O63" i="9"/>
  <c r="O65" i="9"/>
  <c r="O66" i="9"/>
  <c r="O67" i="9"/>
  <c r="O68" i="9"/>
  <c r="O70" i="9"/>
  <c r="O71" i="9"/>
  <c r="O72" i="9"/>
  <c r="O73" i="9"/>
  <c r="O74" i="9"/>
  <c r="O110" i="9"/>
  <c r="O111" i="9"/>
  <c r="O77" i="9"/>
  <c r="O78" i="9"/>
  <c r="O79" i="9"/>
  <c r="O80" i="9"/>
  <c r="O142" i="9"/>
  <c r="O81" i="9"/>
  <c r="O83" i="9"/>
  <c r="O84" i="9"/>
  <c r="O143" i="9"/>
  <c r="O85" i="9"/>
  <c r="O87" i="9"/>
  <c r="O89" i="9"/>
  <c r="O145" i="9"/>
  <c r="O91" i="9"/>
  <c r="O92" i="9"/>
  <c r="O93" i="9"/>
  <c r="O95" i="9"/>
  <c r="O147" i="9"/>
  <c r="O148" i="9"/>
  <c r="O149" i="9"/>
  <c r="O112" i="9"/>
  <c r="O96" i="9"/>
  <c r="O97" i="9"/>
  <c r="O99" i="9"/>
  <c r="O151" i="9"/>
  <c r="O100" i="9"/>
  <c r="O152" i="9"/>
  <c r="O113" i="9"/>
  <c r="O101" i="9"/>
  <c r="O153" i="9"/>
  <c r="O154" i="9"/>
  <c r="O103" i="9"/>
  <c r="O104" i="9"/>
  <c r="O114" i="9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14" i="9"/>
  <c r="P43" i="12" l="1"/>
  <c r="P42" i="12"/>
  <c r="P41" i="12"/>
  <c r="P44" i="12"/>
  <c r="O7" i="9"/>
  <c r="O105" i="9"/>
  <c r="O371" i="8"/>
  <c r="O144" i="9"/>
  <c r="O150" i="9"/>
  <c r="O94" i="9"/>
  <c r="O76" i="9"/>
  <c r="O58" i="9"/>
  <c r="O42" i="9"/>
  <c r="O133" i="9"/>
  <c r="O128" i="9"/>
  <c r="O12" i="9"/>
  <c r="O90" i="9"/>
  <c r="O86" i="9"/>
  <c r="O64" i="9"/>
  <c r="O140" i="9"/>
  <c r="O27" i="9"/>
  <c r="O23" i="9"/>
  <c r="O104" i="8"/>
  <c r="O333" i="8"/>
  <c r="O83" i="8"/>
  <c r="O201" i="8"/>
  <c r="O167" i="8"/>
  <c r="O412" i="8"/>
  <c r="O124" i="8"/>
  <c r="O102" i="8"/>
  <c r="O72" i="8"/>
  <c r="O34" i="8"/>
  <c r="O183" i="8"/>
  <c r="O138" i="8"/>
  <c r="O388" i="8"/>
  <c r="O417" i="8"/>
  <c r="O27" i="8"/>
  <c r="O342" i="8"/>
  <c r="O106" i="8"/>
  <c r="O58" i="8"/>
  <c r="O82" i="8"/>
  <c r="O462" i="8"/>
  <c r="O292" i="8"/>
  <c r="O254" i="8"/>
  <c r="O233" i="8"/>
  <c r="O193" i="8"/>
  <c r="O414" i="8"/>
  <c r="O174" i="8"/>
  <c r="O384" i="8"/>
  <c r="O134" i="8"/>
  <c r="O119" i="8"/>
  <c r="O407" i="8"/>
  <c r="O392" i="8"/>
  <c r="O88" i="8"/>
  <c r="O445" i="8"/>
  <c r="O152" i="8"/>
  <c r="O85" i="8"/>
  <c r="O246" i="8"/>
  <c r="O429" i="8"/>
  <c r="O166" i="8"/>
  <c r="O45" i="8"/>
  <c r="O42" i="8"/>
  <c r="O13" i="8"/>
  <c r="O449" i="8"/>
  <c r="O220" i="8"/>
  <c r="O195" i="8"/>
  <c r="O186" i="8"/>
  <c r="O350" i="8"/>
  <c r="O408" i="8"/>
  <c r="O387" i="8"/>
  <c r="O81" i="8"/>
  <c r="O157" i="8"/>
  <c r="O107" i="8"/>
  <c r="O141" i="8"/>
  <c r="O136" i="8"/>
  <c r="O130" i="8"/>
  <c r="O94" i="8"/>
  <c r="O227" i="8"/>
  <c r="O164" i="8"/>
  <c r="O344" i="8"/>
  <c r="O115" i="8"/>
  <c r="O256" i="8"/>
  <c r="O212" i="8"/>
  <c r="O441" i="8"/>
  <c r="O428" i="8"/>
  <c r="O424" i="8"/>
  <c r="O181" i="8"/>
  <c r="O175" i="8"/>
  <c r="O135" i="8"/>
  <c r="O91" i="8"/>
  <c r="O236" i="8"/>
  <c r="O435" i="8"/>
  <c r="O163" i="8"/>
  <c r="O345" i="8"/>
  <c r="O133" i="8"/>
  <c r="O409" i="8"/>
  <c r="O403" i="8"/>
  <c r="O386" i="8"/>
  <c r="O69" i="8"/>
  <c r="O148" i="8"/>
  <c r="O143" i="8"/>
  <c r="O111" i="8"/>
  <c r="O96" i="8"/>
  <c r="O71" i="8"/>
  <c r="O56" i="8"/>
  <c r="O26" i="8"/>
  <c r="O155" i="8"/>
  <c r="O153" i="8"/>
  <c r="O411" i="8"/>
  <c r="O341" i="8"/>
  <c r="O86" i="8"/>
  <c r="O74" i="8"/>
  <c r="O336" i="8"/>
  <c r="O393" i="8"/>
  <c r="O57" i="8"/>
  <c r="O36" i="8"/>
  <c r="O117" i="8"/>
  <c r="O100" i="8"/>
  <c r="O385" i="8"/>
  <c r="O62" i="8"/>
  <c r="O52" i="8"/>
  <c r="O19" i="8"/>
  <c r="O379" i="8"/>
  <c r="O171" i="8"/>
  <c r="O127" i="8"/>
  <c r="O121" i="8"/>
  <c r="O402" i="8"/>
  <c r="O93" i="8"/>
  <c r="O64" i="8"/>
  <c r="O327" i="8"/>
  <c r="O102" i="9"/>
  <c r="O98" i="9"/>
  <c r="O146" i="9"/>
  <c r="O88" i="9"/>
  <c r="O82" i="9"/>
  <c r="O75" i="9"/>
  <c r="O69" i="9"/>
  <c r="O61" i="9"/>
  <c r="O55" i="9"/>
  <c r="O48" i="9"/>
  <c r="O138" i="9"/>
  <c r="O39" i="9"/>
  <c r="O130" i="9"/>
  <c r="O31" i="9"/>
  <c r="O24" i="9"/>
  <c r="O122" i="9"/>
  <c r="O118" i="9"/>
  <c r="O13" i="9"/>
  <c r="O7" i="8"/>
</calcChain>
</file>

<file path=xl/sharedStrings.xml><?xml version="1.0" encoding="utf-8"?>
<sst xmlns="http://schemas.openxmlformats.org/spreadsheetml/2006/main" count="3940" uniqueCount="149">
  <si>
    <t>AXLE LOAD SURVEY FORM</t>
  </si>
  <si>
    <t>Date:</t>
  </si>
  <si>
    <t>Station Name:</t>
  </si>
  <si>
    <t>S/No.</t>
  </si>
  <si>
    <t>Time</t>
  </si>
  <si>
    <t>Reg. Number</t>
  </si>
  <si>
    <t>Number of Axles</t>
  </si>
  <si>
    <t>Axle Configuration</t>
  </si>
  <si>
    <t>Axle 1</t>
  </si>
  <si>
    <t>Axle 2</t>
  </si>
  <si>
    <t>Axle 3</t>
  </si>
  <si>
    <t>Axle 4</t>
  </si>
  <si>
    <t>Axle 5</t>
  </si>
  <si>
    <t>Axle 6</t>
  </si>
  <si>
    <t>Axle 7</t>
  </si>
  <si>
    <t>Total (Tonnes)</t>
  </si>
  <si>
    <t>Vehicle Type</t>
  </si>
  <si>
    <t>Front</t>
  </si>
  <si>
    <t>Total (ESA's)</t>
  </si>
  <si>
    <t>COMMENTS</t>
  </si>
  <si>
    <t>UGANDA</t>
  </si>
  <si>
    <t>KENYA</t>
  </si>
  <si>
    <t>SUDAN</t>
  </si>
  <si>
    <t>1*2</t>
  </si>
  <si>
    <t>1*22+22*22</t>
  </si>
  <si>
    <t>1*22+2*22</t>
  </si>
  <si>
    <t>1*22-222</t>
  </si>
  <si>
    <t>1*12-222</t>
  </si>
  <si>
    <t>1*12-111</t>
  </si>
  <si>
    <t>1*21</t>
  </si>
  <si>
    <t>1*22</t>
  </si>
  <si>
    <t>11*22</t>
  </si>
  <si>
    <t>1*21-222</t>
  </si>
  <si>
    <t>11*222</t>
  </si>
  <si>
    <t>1*222</t>
  </si>
  <si>
    <t>Others</t>
  </si>
  <si>
    <t>Processed foods and beverages</t>
  </si>
  <si>
    <t/>
  </si>
  <si>
    <t>Agric Produce</t>
  </si>
  <si>
    <t>Livestock</t>
  </si>
  <si>
    <t>Building mat./H. ware</t>
  </si>
  <si>
    <t>Shop items</t>
  </si>
  <si>
    <t>Fuels(gas &amp; Liquid)</t>
  </si>
  <si>
    <t>Equipment</t>
  </si>
  <si>
    <t>1*221</t>
  </si>
  <si>
    <t>1*12*222</t>
  </si>
  <si>
    <t>1*12-22</t>
  </si>
  <si>
    <t>11*22+2*22</t>
  </si>
  <si>
    <t>1*22-111</t>
  </si>
  <si>
    <t>1*22+222</t>
  </si>
  <si>
    <t>Fertilizer &amp; Chemicals</t>
  </si>
  <si>
    <t>1*12</t>
  </si>
  <si>
    <t>Consultancy services for Preparation of Expressway Development Master Plan (EDMP) for Uganda</t>
  </si>
  <si>
    <t>KGS</t>
  </si>
  <si>
    <t>BOMBO-KAMPALA</t>
  </si>
  <si>
    <t>KAMPALA-BOMBO</t>
  </si>
  <si>
    <t>KAMPALA - BOMBO</t>
  </si>
  <si>
    <t>Matugga</t>
  </si>
  <si>
    <t xml:space="preserve"> TRUCK TYPES</t>
  </si>
  <si>
    <t>2-Axles</t>
  </si>
  <si>
    <t>3-Axle</t>
  </si>
  <si>
    <t>4-Axle</t>
  </si>
  <si>
    <t>5-Axle</t>
  </si>
  <si>
    <t>6-Axle</t>
  </si>
  <si>
    <t>7-Axle</t>
  </si>
  <si>
    <t xml:space="preserve">LIGHT SINGLE UNIT TRUCK-DYNAS AND TRACTORS(2 axles) </t>
  </si>
  <si>
    <t xml:space="preserve">LIGHT/MEDIUM SINGLE UNIT TRUCKS (3 axles) </t>
  </si>
  <si>
    <t>MEDIUM - SINGLE UNIT TRUCKS-LORRIES, FUSOS (4 axles)</t>
  </si>
  <si>
    <t>1.1-22</t>
  </si>
  <si>
    <t>HEAVY TRUCK RIGID (5 axles)</t>
  </si>
  <si>
    <t>1.1-222</t>
  </si>
  <si>
    <t>1.2-222</t>
  </si>
  <si>
    <t>1.22-22</t>
  </si>
  <si>
    <t>TRUCK TRAILER AND SEMI TRAILER (6 axles)</t>
  </si>
  <si>
    <t>1.12-222</t>
  </si>
  <si>
    <t>1.22-222</t>
  </si>
  <si>
    <t>1.22+1-22</t>
  </si>
  <si>
    <t>1.22+2-22</t>
  </si>
  <si>
    <t>1.21-222</t>
  </si>
  <si>
    <t>1.22-111</t>
  </si>
  <si>
    <t>TRUCK TRAILER  TYPE 2 (7 axles)</t>
  </si>
  <si>
    <t>1.11+11-11</t>
  </si>
  <si>
    <t>1.22+22-22</t>
  </si>
  <si>
    <t>1.12+11-22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</si>
  <si>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</si>
  <si>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</si>
  <si>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</si>
  <si>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</si>
  <si>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1*1</t>
  </si>
  <si>
    <t>Light Truck</t>
  </si>
  <si>
    <t>Medium Truck</t>
  </si>
  <si>
    <t>Heavy Truck</t>
  </si>
  <si>
    <t>1*2*2</t>
  </si>
  <si>
    <t>Truck Trailer</t>
  </si>
  <si>
    <t>1*2*22</t>
  </si>
  <si>
    <t>1*22-22</t>
  </si>
  <si>
    <t>1*2*2*2</t>
  </si>
  <si>
    <t>1*22*2*22</t>
  </si>
  <si>
    <t>BOMBO - KAMPALA</t>
  </si>
  <si>
    <t>OVERLOADED?</t>
  </si>
  <si>
    <t>Overloaded by?</t>
  </si>
  <si>
    <t>Vehicle Categories</t>
  </si>
  <si>
    <t>Load Description</t>
  </si>
  <si>
    <t>Truck Type</t>
  </si>
  <si>
    <t>Both Directions</t>
  </si>
  <si>
    <t>Category</t>
  </si>
  <si>
    <t>Light/Medium Trucks</t>
  </si>
  <si>
    <t>Agricultural produce</t>
  </si>
  <si>
    <t>Heavy Trucks</t>
  </si>
  <si>
    <t>Perishable</t>
  </si>
  <si>
    <t>Truck/Trailer</t>
  </si>
  <si>
    <t>Construction Material</t>
  </si>
  <si>
    <t>Totals</t>
  </si>
  <si>
    <t>Metal/machinery</t>
  </si>
  <si>
    <t>Forestry products</t>
  </si>
  <si>
    <t>Fuels</t>
  </si>
  <si>
    <t>Chemical Products</t>
  </si>
  <si>
    <t xml:space="preserve">Household retail products </t>
  </si>
  <si>
    <t>Empty</t>
  </si>
  <si>
    <t>Total</t>
  </si>
  <si>
    <t>Comment</t>
  </si>
  <si>
    <t>Food crop</t>
  </si>
  <si>
    <t xml:space="preserve"> (Maize,rice,wheat etc)</t>
  </si>
  <si>
    <t>Cash Crops</t>
  </si>
  <si>
    <t xml:space="preserve"> (coffee,tea etc)</t>
  </si>
  <si>
    <t xml:space="preserve"> (fish,milk,tea etc)</t>
  </si>
  <si>
    <t xml:space="preserve">Construction Material </t>
  </si>
  <si>
    <t>(cement, gravel,stones,gravel,pipes)</t>
  </si>
  <si>
    <t xml:space="preserve"> (timber &amp; charcoal)</t>
  </si>
  <si>
    <t xml:space="preserve"> (any petroleum products)</t>
  </si>
  <si>
    <t xml:space="preserve"> (fertilizer,paints)</t>
  </si>
  <si>
    <t xml:space="preserve"> (cows,goats,camel etc)</t>
  </si>
  <si>
    <t>(beverage,oil,sugar,salt,flour)</t>
  </si>
  <si>
    <t>Others (Pl specify)</t>
  </si>
  <si>
    <t>Load limit (Tonnes)</t>
  </si>
  <si>
    <t>Overload Bands</t>
  </si>
  <si>
    <t>1*3</t>
  </si>
  <si>
    <t>Average Total Loading (Tonnes)</t>
  </si>
  <si>
    <t>Limit</t>
  </si>
  <si>
    <t>Proportion of Overloaded Trucks</t>
  </si>
  <si>
    <t>0-4.9%</t>
  </si>
  <si>
    <t>5-25%</t>
  </si>
  <si>
    <t>25-50%</t>
  </si>
  <si>
    <t>Over 50%</t>
  </si>
  <si>
    <t>AXLE LOAD DATA ANALYSIS (KAMPALA - GULU HIGHWAY)</t>
  </si>
  <si>
    <t>Household retail products</t>
  </si>
  <si>
    <t>Overall</t>
  </si>
  <si>
    <t>Kampala-Gulu</t>
  </si>
  <si>
    <t>Gulu-Kampala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</si>
</sst>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64" formatCode="h:mm;@"/>
    <numFmt numFmtId="165" formatCode="0.000"/>
    <numFmt numFmtId="166" formatCode="0.0"/>
    <numFmt numFmtId="167" formatCode="0.0%"/>
    <numFmt numFmtId="168" formatCode="_-* #,##0.0_-;\-* #,##0.0_-;_-* &quot;-&quot;_-;_-@_-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u/>
      <sz val="11"/>
      <color theme="1"/>
      <name val="Arial"/>
      <family val="2"/>
    </font>
    <font>
      <u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Arial"/>
      <family val="2"/>
    </font>
    <font>
      <sz val="10"/>
      <name val="Arial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6">
    <xf numFmtId="0" fontId="0" fillId="0" borderId="0"/>
    <xf numFmtId="0" fontId="6" fillId="0" borderId="0"/>
    <xf numFmtId="9" fontId="6" fillId="0" borderId="0" applyFont="0" applyFill="0" applyBorder="0" applyAlignment="0" applyProtection="0"/>
    <xf numFmtId="0" fontId="9" fillId="0" borderId="0"/>
    <xf numFmtId="0" fontId="12" fillId="0" borderId="0"/>
    <xf numFmtId="41" fontId="6" fillId="0" borderId="0" applyFont="0" applyFill="0" applyBorder="0" applyAlignment="0" applyProtection="0"/>
  </cellStyleXfs>
  <cellXfs count="87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Border="1"/>
    <xf numFmtId="0" fontId="2" fillId="0" borderId="0" xfId="0" applyFont="1"/>
    <xf numFmtId="0" fontId="3" fillId="0" borderId="0" xfId="0" applyFont="1" applyBorder="1" applyAlignment="1"/>
    <xf numFmtId="0" fontId="2" fillId="0" borderId="1" xfId="0" applyFont="1" applyBorder="1"/>
    <xf numFmtId="0" fontId="4" fillId="0" borderId="0" xfId="0" applyFont="1" applyBorder="1"/>
    <xf numFmtId="0" fontId="1" fillId="0" borderId="4" xfId="0" applyFont="1" applyBorder="1" applyAlignment="1">
      <alignment vertical="top" wrapText="1"/>
    </xf>
    <xf numFmtId="0" fontId="0" fillId="0" borderId="6" xfId="0" applyBorder="1"/>
    <xf numFmtId="164" fontId="2" fillId="0" borderId="2" xfId="0" applyNumberFormat="1" applyFont="1" applyBorder="1"/>
    <xf numFmtId="0" fontId="2" fillId="0" borderId="12" xfId="0" applyFont="1" applyBorder="1"/>
    <xf numFmtId="0" fontId="2" fillId="0" borderId="13" xfId="0" applyFont="1" applyBorder="1"/>
    <xf numFmtId="165" fontId="2" fillId="0" borderId="3" xfId="0" applyNumberFormat="1" applyFont="1" applyBorder="1"/>
    <xf numFmtId="165" fontId="2" fillId="0" borderId="1" xfId="0" applyNumberFormat="1" applyFont="1" applyBorder="1"/>
    <xf numFmtId="49" fontId="1" fillId="0" borderId="0" xfId="0" applyNumberFormat="1" applyFont="1" applyBorder="1"/>
    <xf numFmtId="49" fontId="2" fillId="0" borderId="1" xfId="0" applyNumberFormat="1" applyFont="1" applyBorder="1"/>
    <xf numFmtId="49" fontId="0" fillId="0" borderId="0" xfId="0" applyNumberFormat="1"/>
    <xf numFmtId="2" fontId="2" fillId="0" borderId="3" xfId="0" applyNumberFormat="1" applyFont="1" applyBorder="1"/>
    <xf numFmtId="49" fontId="2" fillId="0" borderId="0" xfId="0" applyNumberFormat="1" applyFont="1"/>
    <xf numFmtId="2" fontId="2" fillId="0" borderId="1" xfId="0" applyNumberFormat="1" applyFont="1" applyBorder="1"/>
    <xf numFmtId="0" fontId="1" fillId="0" borderId="7" xfId="0" applyFont="1" applyBorder="1" applyAlignment="1">
      <alignment horizontal="center"/>
    </xf>
    <xf numFmtId="0" fontId="1" fillId="0" borderId="1" xfId="0" applyFont="1" applyBorder="1"/>
    <xf numFmtId="49" fontId="2" fillId="0" borderId="0" xfId="0" applyNumberFormat="1" applyFont="1" applyBorder="1"/>
    <xf numFmtId="164" fontId="2" fillId="2" borderId="2" xfId="0" applyNumberFormat="1" applyFont="1" applyFill="1" applyBorder="1"/>
    <xf numFmtId="0" fontId="2" fillId="2" borderId="1" xfId="0" applyFont="1" applyFill="1" applyBorder="1"/>
    <xf numFmtId="49" fontId="2" fillId="2" borderId="1" xfId="0" applyNumberFormat="1" applyFont="1" applyFill="1" applyBorder="1"/>
    <xf numFmtId="165" fontId="2" fillId="2" borderId="1" xfId="0" applyNumberFormat="1" applyFont="1" applyFill="1" applyBorder="1"/>
    <xf numFmtId="165" fontId="2" fillId="2" borderId="3" xfId="0" applyNumberFormat="1" applyFont="1" applyFill="1" applyBorder="1"/>
    <xf numFmtId="0" fontId="0" fillId="2" borderId="6" xfId="0" applyFill="1" applyBorder="1"/>
    <xf numFmtId="0" fontId="0" fillId="2" borderId="0" xfId="0" applyFill="1"/>
    <xf numFmtId="0" fontId="8" fillId="0" borderId="0" xfId="0" applyFont="1"/>
    <xf numFmtId="165" fontId="8" fillId="2" borderId="1" xfId="0" applyNumberFormat="1" applyFont="1" applyFill="1" applyBorder="1"/>
    <xf numFmtId="0" fontId="2" fillId="0" borderId="14" xfId="0" applyFont="1" applyBorder="1"/>
    <xf numFmtId="0" fontId="2" fillId="2" borderId="15" xfId="0" applyFont="1" applyFill="1" applyBorder="1"/>
    <xf numFmtId="0" fontId="1" fillId="0" borderId="0" xfId="0" applyFont="1" applyBorder="1" applyAlignment="1">
      <alignment horizontal="center"/>
    </xf>
    <xf numFmtId="0" fontId="9" fillId="0" borderId="0" xfId="3"/>
    <xf numFmtId="0" fontId="9" fillId="0" borderId="0" xfId="3" applyAlignment="1">
      <alignment horizontal="left"/>
    </xf>
    <xf numFmtId="0" fontId="10" fillId="0" borderId="1" xfId="0" applyFont="1" applyBorder="1" applyAlignment="1">
      <alignment horizontal="left" vertical="center"/>
    </xf>
    <xf numFmtId="1" fontId="2" fillId="0" borderId="1" xfId="0" applyNumberFormat="1" applyFont="1" applyBorder="1"/>
    <xf numFmtId="166" fontId="2" fillId="0" borderId="3" xfId="0" applyNumberFormat="1" applyFont="1" applyBorder="1"/>
    <xf numFmtId="166" fontId="2" fillId="0" borderId="16" xfId="0" applyNumberFormat="1" applyFont="1" applyBorder="1"/>
    <xf numFmtId="166" fontId="2" fillId="0" borderId="16" xfId="0" applyNumberFormat="1" applyFont="1" applyBorder="1" applyAlignment="1">
      <alignment horizontal="center"/>
    </xf>
    <xf numFmtId="0" fontId="11" fillId="0" borderId="0" xfId="0" applyFont="1"/>
    <xf numFmtId="0" fontId="5" fillId="0" borderId="0" xfId="0" applyFont="1"/>
    <xf numFmtId="0" fontId="0" fillId="0" borderId="1" xfId="0" applyBorder="1"/>
    <xf numFmtId="166" fontId="0" fillId="0" borderId="1" xfId="0" applyNumberFormat="1" applyBorder="1"/>
    <xf numFmtId="0" fontId="13" fillId="0" borderId="0" xfId="4" applyFont="1" applyAlignment="1">
      <alignment vertical="center"/>
    </xf>
    <xf numFmtId="0" fontId="13" fillId="0" borderId="19" xfId="4" applyFont="1" applyBorder="1" applyAlignment="1">
      <alignment vertical="center" wrapText="1"/>
    </xf>
    <xf numFmtId="0" fontId="5" fillId="0" borderId="1" xfId="0" applyFont="1" applyBorder="1"/>
    <xf numFmtId="167" fontId="0" fillId="0" borderId="1" xfId="2" applyNumberFormat="1" applyFont="1" applyBorder="1"/>
    <xf numFmtId="0" fontId="13" fillId="0" borderId="0" xfId="4" applyFont="1" applyAlignment="1">
      <alignment vertical="center" wrapText="1"/>
    </xf>
    <xf numFmtId="0" fontId="13" fillId="0" borderId="20" xfId="4" applyFont="1" applyBorder="1" applyAlignment="1">
      <alignment vertical="center"/>
    </xf>
    <xf numFmtId="0" fontId="13" fillId="0" borderId="0" xfId="4" applyFont="1"/>
    <xf numFmtId="0" fontId="1" fillId="0" borderId="0" xfId="0" applyFont="1" applyBorder="1" applyAlignment="1">
      <alignment horizontal="center"/>
    </xf>
    <xf numFmtId="0" fontId="1" fillId="0" borderId="18" xfId="0" applyFont="1" applyBorder="1" applyAlignment="1">
      <alignment horizontal="center" vertical="top" wrapText="1"/>
    </xf>
    <xf numFmtId="0" fontId="1" fillId="0" borderId="18" xfId="0" applyFont="1" applyBorder="1" applyAlignment="1">
      <alignment vertical="top" wrapText="1"/>
    </xf>
    <xf numFmtId="167" fontId="2" fillId="0" borderId="16" xfId="2" applyNumberFormat="1" applyFont="1" applyBorder="1"/>
    <xf numFmtId="0" fontId="16" fillId="0" borderId="0" xfId="0" applyFont="1"/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wrapText="1"/>
    </xf>
    <xf numFmtId="0" fontId="14" fillId="0" borderId="0" xfId="4" applyFont="1" applyAlignment="1">
      <alignment vertical="center"/>
    </xf>
    <xf numFmtId="0" fontId="13" fillId="0" borderId="1" xfId="4" applyFont="1" applyBorder="1" applyAlignment="1">
      <alignment vertical="center"/>
    </xf>
    <xf numFmtId="0" fontId="14" fillId="0" borderId="1" xfId="4" applyFont="1" applyBorder="1" applyAlignment="1">
      <alignment vertical="center"/>
    </xf>
    <xf numFmtId="168" fontId="0" fillId="0" borderId="0" xfId="5" applyNumberFormat="1" applyFont="1" applyBorder="1"/>
    <xf numFmtId="41" fontId="0" fillId="0" borderId="0" xfId="5" applyFont="1"/>
    <xf numFmtId="41" fontId="0" fillId="0" borderId="0" xfId="0" applyNumberFormat="1"/>
    <xf numFmtId="167" fontId="5" fillId="0" borderId="1" xfId="2" applyNumberFormat="1" applyFont="1" applyBorder="1"/>
    <xf numFmtId="0" fontId="7" fillId="0" borderId="0" xfId="0" applyFont="1" applyAlignment="1">
      <alignment horizontal="center"/>
    </xf>
    <xf numFmtId="0" fontId="5" fillId="0" borderId="5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1" fillId="0" borderId="0" xfId="0" applyFont="1" applyBorder="1" applyAlignment="1">
      <alignment horizontal="center"/>
    </xf>
    <xf numFmtId="0" fontId="1" fillId="0" borderId="4" xfId="0" applyFont="1" applyBorder="1" applyAlignment="1">
      <alignment horizontal="center" vertical="top" wrapText="1"/>
    </xf>
    <xf numFmtId="0" fontId="1" fillId="0" borderId="11" xfId="0" applyFont="1" applyBorder="1" applyAlignment="1">
      <alignment horizontal="center" vertical="top" wrapText="1"/>
    </xf>
    <xf numFmtId="0" fontId="1" fillId="0" borderId="13" xfId="0" applyFont="1" applyBorder="1" applyAlignment="1">
      <alignment horizontal="center" vertical="top" wrapText="1"/>
    </xf>
    <xf numFmtId="0" fontId="1" fillId="0" borderId="9" xfId="0" applyFont="1" applyBorder="1" applyAlignment="1">
      <alignment horizontal="center" vertical="top" wrapText="1"/>
    </xf>
    <xf numFmtId="0" fontId="1" fillId="0" borderId="10" xfId="0" applyFont="1" applyBorder="1" applyAlignment="1">
      <alignment horizontal="center" vertical="top" wrapText="1"/>
    </xf>
    <xf numFmtId="0" fontId="1" fillId="0" borderId="7" xfId="0" applyFont="1" applyBorder="1" applyAlignment="1">
      <alignment horizontal="center" vertical="top" wrapText="1"/>
    </xf>
    <xf numFmtId="49" fontId="1" fillId="0" borderId="4" xfId="0" applyNumberFormat="1" applyFont="1" applyBorder="1" applyAlignment="1">
      <alignment horizontal="center" vertical="top" wrapText="1"/>
    </xf>
    <xf numFmtId="49" fontId="1" fillId="0" borderId="7" xfId="0" applyNumberFormat="1" applyFont="1" applyBorder="1" applyAlignment="1">
      <alignment horizontal="center" vertical="top" wrapText="1"/>
    </xf>
    <xf numFmtId="15" fontId="4" fillId="0" borderId="0" xfId="0" applyNumberFormat="1" applyFont="1" applyBorder="1" applyAlignment="1">
      <alignment horizontal="center"/>
    </xf>
    <xf numFmtId="0" fontId="1" fillId="0" borderId="21" xfId="0" applyFont="1" applyBorder="1" applyAlignment="1">
      <alignment horizontal="center" vertical="top" wrapText="1"/>
    </xf>
    <xf numFmtId="0" fontId="1" fillId="0" borderId="22" xfId="0" applyFont="1" applyBorder="1" applyAlignment="1">
      <alignment horizontal="center" vertical="top" wrapText="1"/>
    </xf>
    <xf numFmtId="0" fontId="1" fillId="0" borderId="23" xfId="0" applyFont="1" applyBorder="1" applyAlignment="1">
      <alignment horizontal="center" vertical="top" wrapText="1"/>
    </xf>
    <xf numFmtId="0" fontId="1" fillId="0" borderId="17" xfId="0" applyFont="1" applyBorder="1" applyAlignment="1">
      <alignment horizontal="center" vertical="top" wrapText="1"/>
    </xf>
    <xf numFmtId="0" fontId="1" fillId="0" borderId="18" xfId="0" applyFont="1" applyBorder="1" applyAlignment="1">
      <alignment horizontal="center" vertical="top" wrapText="1"/>
    </xf>
    <xf numFmtId="0" fontId="9" fillId="0" borderId="0" xfId="3" applyAlignment="1">
      <alignment horizontal="center"/>
    </xf>
  </cellXfs>
  <cellStyles count="6">
    <cellStyle name="Comma [0]" xfId="5" builtinId="6"/>
    <cellStyle name="Normal" xfId="0" builtinId="0"/>
    <cellStyle name="Normal 2" xfId="3" xr:uid="{00000000-0005-0000-0000-000001000000}"/>
    <cellStyle name="Normal 2 2" xfId="4" xr:uid="{00000000-0005-0000-0000-000002000000}"/>
    <cellStyle name="Normal 3" xfId="1" xr:uid="{00000000-0005-0000-0000-000003000000}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400" b="1"/>
              <a:t>Truck Composition for Kampala - Gulu</a:t>
            </a:r>
            <a:r>
              <a:rPr lang="en-US" sz="1400" b="1" baseline="0"/>
              <a:t> Highway</a:t>
            </a:r>
            <a:endParaRPr lang="en-US" sz="1400" b="1"/>
          </a:p>
        </c:rich>
      </c:tx>
      <c:layout>
        <c:manualLayout>
          <c:xMode val="edge"/>
          <c:yMode val="edge"/>
          <c:x val="0.18979532600532667"/>
          <c:y val="4.56442527608693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2374999999999999"/>
          <c:y val="0.13726649305555555"/>
          <c:w val="0.8525880758807588"/>
          <c:h val="0.732776498139042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Graphs!$C$4</c:f>
              <c:strCache>
                <c:ptCount val="1"/>
                <c:pt idx="0">
                  <c:v>Kampala-Gulu</c:v>
                </c:pt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explosion val="4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0CA-437C-84FD-93579F336C45}"/>
              </c:ext>
            </c:extLst>
          </c:dPt>
          <c:dPt>
            <c:idx val="1"/>
            <c:invertIfNegative val="0"/>
            <c:bubble3D val="0"/>
            <c:explosion val="16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0CA-437C-84FD-93579F336C45}"/>
              </c:ext>
            </c:extLst>
          </c:dPt>
          <c:dPt>
            <c:idx val="2"/>
            <c:invertIfNegative val="0"/>
            <c:bubble3D val="0"/>
            <c:explosion val="19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0CA-437C-84FD-93579F336C45}"/>
              </c:ext>
            </c:extLst>
          </c:dPt>
          <c:cat>
            <c:strRef>
              <c:f>Graphs!$B$5:$B$7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Graphs!$C$5:$C$7</c:f>
              <c:numCache>
                <c:formatCode>General</c:formatCode>
                <c:ptCount val="3"/>
                <c:pt idx="0">
                  <c:v>319</c:v>
                </c:pt>
                <c:pt idx="1">
                  <c:v>45</c:v>
                </c:pt>
                <c:pt idx="2">
                  <c:v>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0CA-437C-84FD-93579F336C45}"/>
            </c:ext>
          </c:extLst>
        </c:ser>
        <c:ser>
          <c:idx val="1"/>
          <c:order val="1"/>
          <c:tx>
            <c:strRef>
              <c:f>Graphs!$D$4</c:f>
              <c:strCache>
                <c:ptCount val="1"/>
                <c:pt idx="0">
                  <c:v>Gulu-Kampala</c:v>
                </c:pt>
              </c:strCache>
            </c:strRef>
          </c:tx>
          <c:spPr>
            <a:solidFill>
              <a:schemeClr val="accent2"/>
            </a:solidFill>
            <a:ln w="19050">
              <a:solidFill>
                <a:schemeClr val="lt1"/>
              </a:solidFill>
            </a:ln>
            <a:effectLst/>
          </c:spPr>
          <c:invertIfNegative val="0"/>
          <c:val>
            <c:numRef>
              <c:f>Graphs!$D$5:$D$7</c:f>
              <c:numCache>
                <c:formatCode>General</c:formatCode>
                <c:ptCount val="3"/>
                <c:pt idx="0">
                  <c:v>98</c:v>
                </c:pt>
                <c:pt idx="1">
                  <c:v>9</c:v>
                </c:pt>
                <c:pt idx="2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0CA-437C-84FD-93579F336C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735989920"/>
        <c:axId val="624706576"/>
      </c:barChart>
      <c:catAx>
        <c:axId val="7359899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24706576"/>
        <c:crosses val="autoZero"/>
        <c:auto val="1"/>
        <c:lblAlgn val="ctr"/>
        <c:lblOffset val="100"/>
        <c:noMultiLvlLbl val="0"/>
      </c:catAx>
      <c:valAx>
        <c:axId val="624706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>
                    <a:solidFill>
                      <a:sysClr val="windowText" lastClr="000000"/>
                    </a:solidFill>
                  </a:rPr>
                  <a:t>Truck</a:t>
                </a:r>
                <a:r>
                  <a:rPr lang="en-US" sz="1200" b="1" baseline="0">
                    <a:solidFill>
                      <a:sysClr val="windowText" lastClr="000000"/>
                    </a:solidFill>
                  </a:rPr>
                  <a:t> Composition</a:t>
                </a:r>
                <a:endParaRPr lang="en-US" sz="1200" b="1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73598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400" b="1">
                <a:solidFill>
                  <a:sysClr val="windowText" lastClr="000000"/>
                </a:solidFill>
              </a:rPr>
              <a:t>Average Truck Loading (Kampala - Gulu Higwhay)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Graphs!$C$28</c:f>
              <c:strCache>
                <c:ptCount val="1"/>
                <c:pt idx="0">
                  <c:v>Kampala-Gulu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Graphs!$B$29:$B$31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Graphs!$C$29:$C$31</c:f>
              <c:numCache>
                <c:formatCode>0.0</c:formatCode>
                <c:ptCount val="3"/>
                <c:pt idx="0">
                  <c:v>11.221567398119124</c:v>
                </c:pt>
                <c:pt idx="1">
                  <c:v>23.822222222222226</c:v>
                </c:pt>
                <c:pt idx="2">
                  <c:v>63.601041666666674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71-4664-B6A2-F8350FD10A0C}"/>
            </c:ext>
          </c:extLst>
        </c:ser>
        <c:ser>
          <c:idx val="1"/>
          <c:order val="1"/>
          <c:tx>
            <c:strRef>
              <c:f>Graphs!$D$28</c:f>
              <c:strCache>
                <c:ptCount val="1"/>
                <c:pt idx="0">
                  <c:v>Gulu-Kampala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Graphs!$B$29:$B$31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Graphs!$D$29:$D$31</c:f>
              <c:numCache>
                <c:formatCode>0.0</c:formatCode>
                <c:ptCount val="3"/>
                <c:pt idx="0">
                  <c:v>14.822040816326526</c:v>
                </c:pt>
                <c:pt idx="1">
                  <c:v>19.228888888888889</c:v>
                </c:pt>
                <c:pt idx="2">
                  <c:v>50.475560975609746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71-4664-B6A2-F8350FD10A0C}"/>
            </c:ext>
          </c:extLst>
        </c:ser>
        <c:ser>
          <c:idx val="2"/>
          <c:order val="2"/>
          <c:tx>
            <c:strRef>
              <c:f>Graphs!$E$28</c:f>
              <c:strCache>
                <c:ptCount val="1"/>
                <c:pt idx="0">
                  <c:v>Both Directions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Graphs!$B$29:$B$31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Graphs!$E$29:$E$31</c:f>
              <c:numCache>
                <c:formatCode>0.0</c:formatCode>
                <c:ptCount val="3"/>
                <c:pt idx="0">
                  <c:v>13.021804107222824</c:v>
                </c:pt>
                <c:pt idx="1">
                  <c:v>21.525555555555556</c:v>
                </c:pt>
                <c:pt idx="2">
                  <c:v>57.038301321138206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371-4664-B6A2-F8350FD10A0C}"/>
            </c:ext>
          </c:extLst>
        </c:ser>
        <c:ser>
          <c:idx val="3"/>
          <c:order val="3"/>
          <c:tx>
            <c:strRef>
              <c:f>Graphs!$F$28</c:f>
              <c:strCache>
                <c:ptCount val="1"/>
                <c:pt idx="0">
                  <c:v>Limit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Graphs!$B$29:$B$31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Graphs!$F$29:$F$31</c:f>
              <c:numCache>
                <c:formatCode>General</c:formatCode>
                <c:ptCount val="3"/>
                <c:pt idx="0">
                  <c:v>18</c:v>
                </c:pt>
                <c:pt idx="1">
                  <c:v>27</c:v>
                </c:pt>
                <c:pt idx="2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71-4664-B6A2-F8350FD10A0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7"/>
        <c:axId val="663656440"/>
        <c:axId val="663661032"/>
      </c:barChart>
      <c:catAx>
        <c:axId val="663656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63661032"/>
        <c:crosses val="autoZero"/>
        <c:auto val="1"/>
        <c:lblAlgn val="ctr"/>
        <c:lblOffset val="100"/>
        <c:noMultiLvlLbl val="0"/>
      </c:catAx>
      <c:valAx>
        <c:axId val="663661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</a:rPr>
                  <a:t>Truck Loading (Ton)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63656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Average Proportion of Overloaded Trucks (Kampala-Gulu)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Graphs!$C$28</c:f>
              <c:strCache>
                <c:ptCount val="1"/>
                <c:pt idx="0">
                  <c:v>Kampala-Gulu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Graphs!$B$29:$B$31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Graphs!$C$57:$C$59</c:f>
              <c:numCache>
                <c:formatCode>0.0%</c:formatCode>
                <c:ptCount val="3"/>
                <c:pt idx="0">
                  <c:v>0.27586206896551724</c:v>
                </c:pt>
                <c:pt idx="1">
                  <c:v>0.4</c:v>
                </c:pt>
                <c:pt idx="2">
                  <c:v>0.85416666666666663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80-4B6D-A9A2-99717ABE4D5E}"/>
            </c:ext>
          </c:extLst>
        </c:ser>
        <c:ser>
          <c:idx val="1"/>
          <c:order val="1"/>
          <c:tx>
            <c:strRef>
              <c:f>Graphs!$D$28</c:f>
              <c:strCache>
                <c:ptCount val="1"/>
                <c:pt idx="0">
                  <c:v>Gulu-Kampala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Graphs!$B$29:$B$31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Graphs!$D$57:$D$59</c:f>
              <c:numCache>
                <c:formatCode>0.0%</c:formatCode>
                <c:ptCount val="3"/>
                <c:pt idx="0">
                  <c:v>0.5</c:v>
                </c:pt>
                <c:pt idx="1">
                  <c:v>0.33333333333333331</c:v>
                </c:pt>
                <c:pt idx="2">
                  <c:v>0.6097560975609756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80-4B6D-A9A2-99717ABE4D5E}"/>
            </c:ext>
          </c:extLst>
        </c:ser>
        <c:ser>
          <c:idx val="2"/>
          <c:order val="2"/>
          <c:tx>
            <c:strRef>
              <c:f>Graphs!$E$28</c:f>
              <c:strCache>
                <c:ptCount val="1"/>
                <c:pt idx="0">
                  <c:v>Both Directions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Graphs!$B$29:$B$31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Graphs!$E$57:$E$59</c:f>
              <c:numCache>
                <c:formatCode>0.0%</c:formatCode>
                <c:ptCount val="3"/>
                <c:pt idx="0">
                  <c:v>0.38793103448275862</c:v>
                </c:pt>
                <c:pt idx="1">
                  <c:v>0.3666666666666667</c:v>
                </c:pt>
                <c:pt idx="2">
                  <c:v>0.73196138211382111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80-4B6D-A9A2-99717ABE4D5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7"/>
        <c:axId val="663656440"/>
        <c:axId val="663661032"/>
      </c:barChart>
      <c:catAx>
        <c:axId val="663656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63661032"/>
        <c:crosses val="autoZero"/>
        <c:auto val="1"/>
        <c:lblAlgn val="ctr"/>
        <c:lblOffset val="100"/>
        <c:noMultiLvlLbl val="0"/>
      </c:catAx>
      <c:valAx>
        <c:axId val="663661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Percentage of Overloading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663656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400" b="1">
                <a:solidFill>
                  <a:sysClr val="windowText" lastClr="000000"/>
                </a:solidFill>
              </a:rPr>
              <a:t>Percentage By Which Vehicles Are</a:t>
            </a:r>
            <a:r>
              <a:rPr lang="en-US" sz="1400" b="1" baseline="0">
                <a:solidFill>
                  <a:sysClr val="windowText" lastClr="000000"/>
                </a:solidFill>
              </a:rPr>
              <a:t> Overloaded (Kampala-Gulu)</a:t>
            </a:r>
            <a:endParaRPr lang="en-US" sz="14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2413569001226599"/>
          <c:y val="9.7963675213675216E-2"/>
          <c:w val="0.82436564718183825"/>
          <c:h val="0.6738940170940170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Graphs!$N$40</c:f>
              <c:strCache>
                <c:ptCount val="1"/>
                <c:pt idx="0">
                  <c:v>Kampala-Gulu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Graphs!$M$41:$M$44</c:f>
              <c:strCache>
                <c:ptCount val="4"/>
                <c:pt idx="0">
                  <c:v>0-4.9%</c:v>
                </c:pt>
                <c:pt idx="1">
                  <c:v>5-25%</c:v>
                </c:pt>
                <c:pt idx="2">
                  <c:v>25-50%</c:v>
                </c:pt>
                <c:pt idx="3">
                  <c:v>Over 50%</c:v>
                </c:pt>
              </c:strCache>
            </c:strRef>
          </c:cat>
          <c:val>
            <c:numRef>
              <c:f>Graphs!$N$41:$N$44</c:f>
              <c:numCache>
                <c:formatCode>0.0%</c:formatCode>
                <c:ptCount val="4"/>
                <c:pt idx="0">
                  <c:v>0.60217391304347823</c:v>
                </c:pt>
                <c:pt idx="1">
                  <c:v>3.4782608695652174E-2</c:v>
                </c:pt>
                <c:pt idx="2">
                  <c:v>0.1108695652173913</c:v>
                </c:pt>
                <c:pt idx="3">
                  <c:v>0.25217391304347825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6B-4224-AABF-6DBAFA83E107}"/>
            </c:ext>
          </c:extLst>
        </c:ser>
        <c:ser>
          <c:idx val="1"/>
          <c:order val="1"/>
          <c:tx>
            <c:strRef>
              <c:f>Graphs!$O$40</c:f>
              <c:strCache>
                <c:ptCount val="1"/>
                <c:pt idx="0">
                  <c:v>Gulu-Kampala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Graphs!$M$41:$M$44</c:f>
              <c:strCache>
                <c:ptCount val="4"/>
                <c:pt idx="0">
                  <c:v>0-4.9%</c:v>
                </c:pt>
                <c:pt idx="1">
                  <c:v>5-25%</c:v>
                </c:pt>
                <c:pt idx="2">
                  <c:v>25-50%</c:v>
                </c:pt>
                <c:pt idx="3">
                  <c:v>Over 50%</c:v>
                </c:pt>
              </c:strCache>
            </c:strRef>
          </c:cat>
          <c:val>
            <c:numRef>
              <c:f>Graphs!$O$41:$O$44</c:f>
              <c:numCache>
                <c:formatCode>0.0%</c:formatCode>
                <c:ptCount val="4"/>
                <c:pt idx="0">
                  <c:v>0.51351351351351349</c:v>
                </c:pt>
                <c:pt idx="1">
                  <c:v>0.12837837837837837</c:v>
                </c:pt>
                <c:pt idx="2">
                  <c:v>0.12837837837837837</c:v>
                </c:pt>
                <c:pt idx="3">
                  <c:v>0.22972972972972974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6B-4224-AABF-6DBAFA83E10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9"/>
        <c:axId val="620641328"/>
        <c:axId val="620643624"/>
      </c:barChart>
      <c:catAx>
        <c:axId val="6206413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20643624"/>
        <c:crosses val="autoZero"/>
        <c:auto val="1"/>
        <c:lblAlgn val="ctr"/>
        <c:lblOffset val="100"/>
        <c:noMultiLvlLbl val="0"/>
      </c:catAx>
      <c:valAx>
        <c:axId val="620643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</a:rPr>
                  <a:t>Percentage By Which Overloaded</a:t>
                </a:r>
              </a:p>
            </c:rich>
          </c:tx>
          <c:layout>
            <c:manualLayout>
              <c:xMode val="edge"/>
              <c:yMode val="edge"/>
              <c:x val="0.36296796766604333"/>
              <c:y val="0.8489722222222222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20641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400" b="1">
                <a:solidFill>
                  <a:sysClr val="windowText" lastClr="000000"/>
                </a:solidFill>
              </a:rPr>
              <a:t>Load Description (Kampala-Gulu Highway)</a:t>
            </a:r>
          </a:p>
        </c:rich>
      </c:tx>
      <c:layout>
        <c:manualLayout>
          <c:xMode val="edge"/>
          <c:yMode val="edge"/>
          <c:x val="0.32064069134850776"/>
          <c:y val="1.68366389941112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Graphs!$M$4</c:f>
              <c:strCache>
                <c:ptCount val="1"/>
                <c:pt idx="0">
                  <c:v>Kampala-Gulu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Graphs!$L$5:$L$15</c:f>
              <c:strCache>
                <c:ptCount val="11"/>
                <c:pt idx="0">
                  <c:v>Agricultural produce</c:v>
                </c:pt>
                <c:pt idx="1">
                  <c:v>Perishable</c:v>
                </c:pt>
                <c:pt idx="2">
                  <c:v>Construction Material</c:v>
                </c:pt>
                <c:pt idx="3">
                  <c:v>Metal/machinery</c:v>
                </c:pt>
                <c:pt idx="4">
                  <c:v>Forestry products</c:v>
                </c:pt>
                <c:pt idx="5">
                  <c:v>Fuels</c:v>
                </c:pt>
                <c:pt idx="6">
                  <c:v>Chemical Products</c:v>
                </c:pt>
                <c:pt idx="7">
                  <c:v>Livestock</c:v>
                </c:pt>
                <c:pt idx="8">
                  <c:v>Household retail products</c:v>
                </c:pt>
                <c:pt idx="9">
                  <c:v>Empty</c:v>
                </c:pt>
                <c:pt idx="10">
                  <c:v>Others</c:v>
                </c:pt>
              </c:strCache>
            </c:strRef>
          </c:cat>
          <c:val>
            <c:numRef>
              <c:f>Graphs!$M$5:$M$15</c:f>
              <c:numCache>
                <c:formatCode>0.0%</c:formatCode>
                <c:ptCount val="11"/>
                <c:pt idx="0">
                  <c:v>5.2173913043478258E-2</c:v>
                </c:pt>
                <c:pt idx="1">
                  <c:v>0</c:v>
                </c:pt>
                <c:pt idx="2">
                  <c:v>0.1108695652173913</c:v>
                </c:pt>
                <c:pt idx="3">
                  <c:v>2.1739130434782608E-2</c:v>
                </c:pt>
                <c:pt idx="4">
                  <c:v>0</c:v>
                </c:pt>
                <c:pt idx="5">
                  <c:v>3.6956521739130437E-2</c:v>
                </c:pt>
                <c:pt idx="6">
                  <c:v>2.1739130434782609E-3</c:v>
                </c:pt>
                <c:pt idx="7">
                  <c:v>4.3478260869565218E-3</c:v>
                </c:pt>
                <c:pt idx="8">
                  <c:v>0.23478260869565218</c:v>
                </c:pt>
                <c:pt idx="9">
                  <c:v>0.40869565217391307</c:v>
                </c:pt>
                <c:pt idx="10">
                  <c:v>0.12608695652173912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14-400F-A9C5-E8EFB58A59EF}"/>
            </c:ext>
          </c:extLst>
        </c:ser>
        <c:ser>
          <c:idx val="1"/>
          <c:order val="1"/>
          <c:tx>
            <c:strRef>
              <c:f>Graphs!$N$4</c:f>
              <c:strCache>
                <c:ptCount val="1"/>
                <c:pt idx="0">
                  <c:v>Gulu-Kampala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Graphs!$L$5:$L$15</c:f>
              <c:strCache>
                <c:ptCount val="11"/>
                <c:pt idx="0">
                  <c:v>Agricultural produce</c:v>
                </c:pt>
                <c:pt idx="1">
                  <c:v>Perishable</c:v>
                </c:pt>
                <c:pt idx="2">
                  <c:v>Construction Material</c:v>
                </c:pt>
                <c:pt idx="3">
                  <c:v>Metal/machinery</c:v>
                </c:pt>
                <c:pt idx="4">
                  <c:v>Forestry products</c:v>
                </c:pt>
                <c:pt idx="5">
                  <c:v>Fuels</c:v>
                </c:pt>
                <c:pt idx="6">
                  <c:v>Chemical Products</c:v>
                </c:pt>
                <c:pt idx="7">
                  <c:v>Livestock</c:v>
                </c:pt>
                <c:pt idx="8">
                  <c:v>Household retail products</c:v>
                </c:pt>
                <c:pt idx="9">
                  <c:v>Empty</c:v>
                </c:pt>
                <c:pt idx="10">
                  <c:v>Others</c:v>
                </c:pt>
              </c:strCache>
            </c:strRef>
          </c:cat>
          <c:val>
            <c:numRef>
              <c:f>Graphs!$N$5:$N$15</c:f>
              <c:numCache>
                <c:formatCode>0.0%</c:formatCode>
                <c:ptCount val="11"/>
                <c:pt idx="0">
                  <c:v>8.7837837837837843E-2</c:v>
                </c:pt>
                <c:pt idx="1">
                  <c:v>0</c:v>
                </c:pt>
                <c:pt idx="2">
                  <c:v>0.33783783783783783</c:v>
                </c:pt>
                <c:pt idx="3">
                  <c:v>2.0270270270270271E-2</c:v>
                </c:pt>
                <c:pt idx="4">
                  <c:v>0</c:v>
                </c:pt>
                <c:pt idx="5">
                  <c:v>2.0270270270270271E-2</c:v>
                </c:pt>
                <c:pt idx="6">
                  <c:v>6.7567567567567571E-3</c:v>
                </c:pt>
                <c:pt idx="7">
                  <c:v>2.0270270270270271E-2</c:v>
                </c:pt>
                <c:pt idx="8">
                  <c:v>8.1081081081081086E-2</c:v>
                </c:pt>
                <c:pt idx="9">
                  <c:v>0.27702702702702703</c:v>
                </c:pt>
                <c:pt idx="10">
                  <c:v>0.14864864864864866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14-400F-A9C5-E8EFB58A59E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2"/>
        <c:axId val="619720880"/>
        <c:axId val="619721536"/>
      </c:barChart>
      <c:catAx>
        <c:axId val="61972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19721536"/>
        <c:crosses val="autoZero"/>
        <c:auto val="1"/>
        <c:lblAlgn val="ctr"/>
        <c:lblOffset val="100"/>
        <c:noMultiLvlLbl val="0"/>
      </c:catAx>
      <c:valAx>
        <c:axId val="619721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19720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e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2</xdr:row>
      <xdr:rowOff>0</xdr:rowOff>
    </xdr:from>
    <xdr:to>
      <xdr:col>13</xdr:col>
      <xdr:colOff>297180</xdr:colOff>
      <xdr:row>4</xdr:row>
      <xdr:rowOff>15240</xdr:rowOff>
    </xdr:to>
    <xdr:pic>
      <xdr:nvPicPr>
        <xdr:cNvPr id="1025" name="Picture 1">
          <a:extLs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12077700" y="182880"/>
          <a:ext cx="1516380" cy="381000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2</xdr:row>
      <xdr:rowOff>0</xdr:rowOff>
    </xdr:from>
    <xdr:to>
      <xdr:col>13</xdr:col>
      <xdr:colOff>297180</xdr:colOff>
      <xdr:row>4</xdr:row>
      <xdr:rowOff>15240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8553450" y="190500"/>
          <a:ext cx="887730" cy="405765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2</xdr:row>
      <xdr:rowOff>0</xdr:rowOff>
    </xdr:from>
    <xdr:to>
      <xdr:col>13</xdr:col>
      <xdr:colOff>297180</xdr:colOff>
      <xdr:row>4</xdr:row>
      <xdr:rowOff>15240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8553450" y="190500"/>
          <a:ext cx="887730" cy="405765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2</xdr:row>
      <xdr:rowOff>0</xdr:rowOff>
    </xdr:from>
    <xdr:to>
      <xdr:col>13</xdr:col>
      <xdr:colOff>297180</xdr:colOff>
      <xdr:row>4</xdr:row>
      <xdr:rowOff>15240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8A2425-B4B6-4C29-B59B-8EEE5B5FE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8905875" y="428625"/>
          <a:ext cx="887730" cy="443865"/>
        </a:xfrm>
        <a:prstGeom prst="rect">
          <a:avLst/>
        </a:prstGeom>
        <a:noFill/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2</xdr:row>
      <xdr:rowOff>0</xdr:rowOff>
    </xdr:from>
    <xdr:to>
      <xdr:col>13</xdr:col>
      <xdr:colOff>297180</xdr:colOff>
      <xdr:row>4</xdr:row>
      <xdr:rowOff>15240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6AB53E-8A8A-401A-879E-C7F1165260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8905875" y="428625"/>
          <a:ext cx="887730" cy="443865"/>
        </a:xfrm>
        <a:prstGeom prst="rect">
          <a:avLst/>
        </a:prstGeom>
        <a:noFill/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12314</xdr:colOff>
      <xdr:row>2</xdr:row>
      <xdr:rowOff>165870</xdr:rowOff>
    </xdr:from>
    <xdr:to>
      <xdr:col>9</xdr:col>
      <xdr:colOff>1047981</xdr:colOff>
      <xdr:row>25</xdr:row>
      <xdr:rowOff>117203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9DC58F-EC0E-4607-B5FD-B1CEB74B50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14429</xdr:colOff>
      <xdr:row>26</xdr:row>
      <xdr:rowOff>160095</xdr:rowOff>
    </xdr:from>
    <xdr:to>
      <xdr:col>9</xdr:col>
      <xdr:colOff>1050096</xdr:colOff>
      <xdr:row>51</xdr:row>
      <xdr:rowOff>5595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76BFB27-4D99-4CDF-B481-9D479D099F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14622</xdr:colOff>
      <xdr:row>53</xdr:row>
      <xdr:rowOff>61672</xdr:rowOff>
    </xdr:from>
    <xdr:to>
      <xdr:col>9</xdr:col>
      <xdr:colOff>1063144</xdr:colOff>
      <xdr:row>77</xdr:row>
      <xdr:rowOff>127480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817C0EE-C4D1-48FF-8A6E-281BFEA59B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602287</xdr:colOff>
      <xdr:row>44</xdr:row>
      <xdr:rowOff>188096</xdr:rowOff>
    </xdr:from>
    <xdr:to>
      <xdr:col>21</xdr:col>
      <xdr:colOff>444500</xdr:colOff>
      <xdr:row>68</xdr:row>
      <xdr:rowOff>158750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E17553A-B36E-4BF9-8D6B-1D2F7B9D22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69273</xdr:colOff>
      <xdr:row>1</xdr:row>
      <xdr:rowOff>65806</xdr:rowOff>
    </xdr:from>
    <xdr:to>
      <xdr:col>23</xdr:col>
      <xdr:colOff>398318</xdr:colOff>
      <xdr:row>36</xdr:row>
      <xdr:rowOff>142875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8DC717-EEE6-4734-91CD-007B4FB0CF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421821</xdr:colOff>
      <xdr:row>1</xdr:row>
      <xdr:rowOff>149678</xdr:rowOff>
    </xdr:from>
    <xdr:to>
      <xdr:col>20</xdr:col>
      <xdr:colOff>555170</xdr:colOff>
      <xdr:row>28</xdr:row>
      <xdr:rowOff>62593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93FC76AC-0E49-475F-831A-FCC5A01C3B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37296" y="311603"/>
          <a:ext cx="3181349" cy="42848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22</xdr:col>
      <xdr:colOff>485775</xdr:colOff>
      <xdr:row>1</xdr:row>
      <xdr:rowOff>57149</xdr:rowOff>
    </xdr:from>
    <xdr:to>
      <xdr:col>31</xdr:col>
      <xdr:colOff>464910</xdr:colOff>
      <xdr:row>44</xdr:row>
      <xdr:rowOff>52887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1C3EC4E-66CA-4B54-A618-B503450391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68450" y="219074"/>
          <a:ext cx="5465535" cy="7110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282"/>
  <sheetViews>
    <sheetView view="pageBreakPreview" zoomScale="75" zoomScaleNormal="100" zoomScaleSheetLayoutView="75" workbookViewId="0">
      <pane xSplit="1" ySplit="6" topLeftCell="B31" activePane="bottomRight" state="frozen"/>
      <selection pane="topRight" activeCell="B1" sqref="B1"/>
      <selection pane="bottomLeft" activeCell="A6" sqref="A6"/>
      <selection pane="bottomRight" sqref="A1:P1"/>
    </sheetView>
  </sheetViews>
  <sheetFormatPr defaultRowHeight="15" x14ac:dyDescent="0.25"/>
  <cols>
    <col min="1" max="1" width="6.140625" customWidth="1"/>
    <col min="2" max="2" width="9.28515625" bestFit="1" customWidth="1"/>
    <col min="3" max="3" width="15.5703125" customWidth="1"/>
    <col min="4" max="4" width="15.7109375" customWidth="1"/>
    <col min="5" max="5" width="9.140625" style="16" customWidth="1"/>
    <col min="6" max="6" width="15.140625" style="16" customWidth="1"/>
    <col min="7" max="7" width="9.85546875" bestFit="1" customWidth="1"/>
    <col min="8" max="10" width="11" bestFit="1" customWidth="1"/>
    <col min="11" max="12" width="9.85546875" bestFit="1" customWidth="1"/>
    <col min="13" max="13" width="8.85546875" customWidth="1"/>
    <col min="14" max="14" width="13.140625" customWidth="1"/>
    <col min="15" max="15" width="13.28515625" customWidth="1"/>
    <col min="16" max="16" width="24.7109375" customWidth="1"/>
  </cols>
  <sheetData>
    <row r="1" spans="1:16" ht="18.75" x14ac:dyDescent="0.3">
      <c r="A1" s="68" t="s">
        <v>52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</row>
    <row r="2" spans="1:16" x14ac:dyDescent="0.25">
      <c r="A2" s="71" t="s">
        <v>0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</row>
    <row r="3" spans="1:16" x14ac:dyDescent="0.25">
      <c r="A3" s="2" t="s">
        <v>1</v>
      </c>
      <c r="B3" s="2"/>
      <c r="C3" s="2"/>
      <c r="D3" s="2" t="s">
        <v>2</v>
      </c>
      <c r="E3" s="14" t="s">
        <v>57</v>
      </c>
      <c r="F3" s="14"/>
      <c r="G3" s="2"/>
      <c r="H3" s="3"/>
      <c r="I3" s="2"/>
      <c r="J3" s="2"/>
      <c r="K3" s="2"/>
      <c r="L3" s="2"/>
      <c r="M3" s="3"/>
      <c r="N3" s="4"/>
      <c r="O3" s="2"/>
    </row>
    <row r="4" spans="1:16" ht="18.75" thickBot="1" x14ac:dyDescent="0.3">
      <c r="A4" s="80">
        <v>43697</v>
      </c>
      <c r="B4" s="80"/>
      <c r="C4" s="2"/>
      <c r="D4" s="6"/>
      <c r="E4" s="18"/>
      <c r="F4" s="14"/>
      <c r="G4" s="2"/>
      <c r="H4" s="30" t="s">
        <v>56</v>
      </c>
      <c r="I4" s="2"/>
      <c r="J4" s="2"/>
      <c r="K4" s="2"/>
      <c r="L4" s="2"/>
      <c r="M4" s="4"/>
      <c r="N4" s="4"/>
      <c r="O4" s="2"/>
    </row>
    <row r="5" spans="1:16" s="1" customFormat="1" ht="14.45" customHeight="1" x14ac:dyDescent="0.25">
      <c r="A5" s="73" t="s">
        <v>3</v>
      </c>
      <c r="B5" s="75" t="s">
        <v>4</v>
      </c>
      <c r="C5" s="72" t="s">
        <v>5</v>
      </c>
      <c r="D5" s="72" t="s">
        <v>16</v>
      </c>
      <c r="E5" s="78" t="s">
        <v>6</v>
      </c>
      <c r="F5" s="78" t="s">
        <v>7</v>
      </c>
      <c r="G5" s="7" t="s">
        <v>17</v>
      </c>
      <c r="H5" s="72" t="s">
        <v>53</v>
      </c>
      <c r="I5" s="72"/>
      <c r="J5" s="72"/>
      <c r="K5" s="72"/>
      <c r="L5" s="72"/>
      <c r="M5" s="72"/>
      <c r="N5" s="72" t="s">
        <v>15</v>
      </c>
      <c r="O5" s="72" t="s">
        <v>18</v>
      </c>
      <c r="P5" s="69" t="s">
        <v>19</v>
      </c>
    </row>
    <row r="6" spans="1:16" ht="13.9" customHeight="1" thickBot="1" x14ac:dyDescent="0.3">
      <c r="A6" s="74"/>
      <c r="B6" s="76"/>
      <c r="C6" s="77"/>
      <c r="D6" s="77"/>
      <c r="E6" s="79"/>
      <c r="F6" s="79"/>
      <c r="G6" s="20" t="s">
        <v>8</v>
      </c>
      <c r="H6" s="20" t="s">
        <v>9</v>
      </c>
      <c r="I6" s="20" t="s">
        <v>10</v>
      </c>
      <c r="J6" s="20" t="s">
        <v>11</v>
      </c>
      <c r="K6" s="20" t="s">
        <v>12</v>
      </c>
      <c r="L6" s="20" t="s">
        <v>13</v>
      </c>
      <c r="M6" s="20" t="s">
        <v>14</v>
      </c>
      <c r="N6" s="77"/>
      <c r="O6" s="77"/>
      <c r="P6" s="70"/>
    </row>
    <row r="7" spans="1:16" ht="24" customHeight="1" x14ac:dyDescent="0.25">
      <c r="A7" s="10">
        <v>1</v>
      </c>
      <c r="B7" s="9">
        <v>0.3430555555555555</v>
      </c>
      <c r="C7" s="5" t="s">
        <v>20</v>
      </c>
      <c r="D7" s="5">
        <v>7</v>
      </c>
      <c r="E7" s="15"/>
      <c r="F7" s="15" t="s">
        <v>23</v>
      </c>
      <c r="G7" s="19">
        <v>2440</v>
      </c>
      <c r="H7" s="19">
        <v>3360</v>
      </c>
      <c r="I7" s="19"/>
      <c r="J7" s="19"/>
      <c r="K7" s="19"/>
      <c r="L7" s="19"/>
      <c r="M7" s="19"/>
      <c r="N7" s="17"/>
      <c r="O7" s="12"/>
      <c r="P7" s="8" t="s">
        <v>35</v>
      </c>
    </row>
    <row r="8" spans="1:16" ht="24" customHeight="1" x14ac:dyDescent="0.25">
      <c r="A8" s="10">
        <v>2</v>
      </c>
      <c r="B8" s="9">
        <v>0.34375</v>
      </c>
      <c r="C8" s="5" t="s">
        <v>20</v>
      </c>
      <c r="D8" s="5">
        <v>13</v>
      </c>
      <c r="E8" s="15"/>
      <c r="F8" s="15" t="s">
        <v>24</v>
      </c>
      <c r="G8" s="19">
        <v>7400</v>
      </c>
      <c r="H8" s="19">
        <v>12260</v>
      </c>
      <c r="I8" s="19">
        <v>11880</v>
      </c>
      <c r="J8" s="19">
        <v>10400</v>
      </c>
      <c r="K8" s="19">
        <v>10520</v>
      </c>
      <c r="L8" s="19">
        <v>11520</v>
      </c>
      <c r="M8" s="19">
        <v>10900</v>
      </c>
      <c r="N8" s="17"/>
      <c r="O8" s="12"/>
      <c r="P8" s="8" t="s">
        <v>36</v>
      </c>
    </row>
    <row r="9" spans="1:16" ht="24" customHeight="1" x14ac:dyDescent="0.25">
      <c r="A9" s="10">
        <v>3</v>
      </c>
      <c r="B9" s="9">
        <v>0.3444444444444445</v>
      </c>
      <c r="C9" s="5" t="s">
        <v>20</v>
      </c>
      <c r="D9" s="5">
        <v>8</v>
      </c>
      <c r="E9" s="15"/>
      <c r="F9" s="15" t="s">
        <v>23</v>
      </c>
      <c r="G9" s="19">
        <v>2440</v>
      </c>
      <c r="H9" s="19">
        <v>3360</v>
      </c>
      <c r="I9" s="19"/>
      <c r="J9" s="19"/>
      <c r="K9" s="19"/>
      <c r="L9" s="19"/>
      <c r="M9" s="19"/>
      <c r="N9" s="17"/>
      <c r="O9" s="12"/>
      <c r="P9" s="8" t="s">
        <v>35</v>
      </c>
    </row>
    <row r="10" spans="1:16" ht="24" customHeight="1" x14ac:dyDescent="0.25">
      <c r="A10" s="10">
        <v>4</v>
      </c>
      <c r="B10" s="9">
        <v>0.34652777777777777</v>
      </c>
      <c r="C10" s="5" t="s">
        <v>20</v>
      </c>
      <c r="D10" s="5">
        <v>7</v>
      </c>
      <c r="E10" s="15"/>
      <c r="F10" s="15" t="s">
        <v>23</v>
      </c>
      <c r="G10" s="13">
        <v>3600</v>
      </c>
      <c r="H10" s="13">
        <v>2880</v>
      </c>
      <c r="I10" s="13"/>
      <c r="J10" s="13"/>
      <c r="K10" s="13"/>
      <c r="L10" s="13"/>
      <c r="M10" s="13"/>
      <c r="N10" s="17"/>
      <c r="O10" s="12"/>
      <c r="P10" s="8" t="s">
        <v>37</v>
      </c>
    </row>
    <row r="11" spans="1:16" ht="24" customHeight="1" x14ac:dyDescent="0.25">
      <c r="A11" s="10">
        <v>5</v>
      </c>
      <c r="B11" s="9">
        <v>0.34722222222222227</v>
      </c>
      <c r="C11" s="5" t="s">
        <v>20</v>
      </c>
      <c r="D11" s="21">
        <v>7</v>
      </c>
      <c r="E11" s="15"/>
      <c r="F11" s="15" t="s">
        <v>23</v>
      </c>
      <c r="G11" s="13">
        <v>5360</v>
      </c>
      <c r="H11" s="13">
        <v>7820</v>
      </c>
      <c r="I11" s="13"/>
      <c r="J11" s="13"/>
      <c r="K11" s="13"/>
      <c r="L11" s="13"/>
      <c r="M11" s="13"/>
      <c r="N11" s="17"/>
      <c r="O11" s="12"/>
      <c r="P11" s="8" t="s">
        <v>38</v>
      </c>
    </row>
    <row r="12" spans="1:16" ht="24" customHeight="1" x14ac:dyDescent="0.25">
      <c r="A12" s="10">
        <v>6</v>
      </c>
      <c r="B12" s="9">
        <v>0.34791666666666665</v>
      </c>
      <c r="C12" s="5" t="s">
        <v>20</v>
      </c>
      <c r="D12" s="5">
        <v>7</v>
      </c>
      <c r="E12" s="15"/>
      <c r="F12" s="15" t="s">
        <v>23</v>
      </c>
      <c r="G12" s="13">
        <v>2020</v>
      </c>
      <c r="H12" s="13">
        <v>2080</v>
      </c>
      <c r="I12" s="13"/>
      <c r="J12" s="13"/>
      <c r="K12" s="13"/>
      <c r="L12" s="13"/>
      <c r="M12" s="13"/>
      <c r="N12" s="17"/>
      <c r="O12" s="12"/>
      <c r="P12" s="8" t="s">
        <v>39</v>
      </c>
    </row>
    <row r="13" spans="1:16" ht="24" customHeight="1" x14ac:dyDescent="0.25">
      <c r="A13" s="10">
        <v>7</v>
      </c>
      <c r="B13" s="9">
        <v>0.35069444444444442</v>
      </c>
      <c r="C13" s="5" t="s">
        <v>20</v>
      </c>
      <c r="D13" s="5">
        <v>7</v>
      </c>
      <c r="E13" s="15"/>
      <c r="F13" s="15" t="s">
        <v>23</v>
      </c>
      <c r="G13" s="13">
        <v>4940</v>
      </c>
      <c r="H13" s="13">
        <v>7060</v>
      </c>
      <c r="I13" s="13"/>
      <c r="J13" s="13"/>
      <c r="K13" s="13"/>
      <c r="L13" s="13"/>
      <c r="M13" s="13"/>
      <c r="N13" s="17"/>
      <c r="O13" s="12"/>
      <c r="P13" s="8" t="s">
        <v>38</v>
      </c>
    </row>
    <row r="14" spans="1:16" ht="24" customHeight="1" x14ac:dyDescent="0.25">
      <c r="A14" s="10">
        <v>8</v>
      </c>
      <c r="B14" s="9">
        <v>0.3527777777777778</v>
      </c>
      <c r="C14" s="5" t="s">
        <v>20</v>
      </c>
      <c r="D14" s="5">
        <v>7</v>
      </c>
      <c r="E14" s="15"/>
      <c r="F14" s="15" t="s">
        <v>23</v>
      </c>
      <c r="G14" s="13">
        <v>3180</v>
      </c>
      <c r="H14" s="13">
        <v>4580</v>
      </c>
      <c r="I14" s="13"/>
      <c r="J14" s="13"/>
      <c r="K14" s="13"/>
      <c r="L14" s="13"/>
      <c r="M14" s="13"/>
      <c r="N14" s="17"/>
      <c r="O14" s="12"/>
      <c r="P14" s="8" t="s">
        <v>37</v>
      </c>
    </row>
    <row r="15" spans="1:16" ht="24" customHeight="1" x14ac:dyDescent="0.25">
      <c r="A15" s="10">
        <v>9</v>
      </c>
      <c r="B15" s="9">
        <v>0.3576388888888889</v>
      </c>
      <c r="C15" s="5" t="s">
        <v>20</v>
      </c>
      <c r="D15" s="5">
        <v>7</v>
      </c>
      <c r="E15" s="15"/>
      <c r="F15" s="15" t="s">
        <v>23</v>
      </c>
      <c r="G15" s="13">
        <v>2940</v>
      </c>
      <c r="H15" s="13">
        <v>3200</v>
      </c>
      <c r="I15" s="13"/>
      <c r="J15" s="13"/>
      <c r="K15" s="13"/>
      <c r="L15" s="13"/>
      <c r="M15" s="13"/>
      <c r="N15" s="17"/>
      <c r="O15" s="12"/>
      <c r="P15" s="8" t="s">
        <v>37</v>
      </c>
    </row>
    <row r="16" spans="1:16" ht="24" customHeight="1" x14ac:dyDescent="0.25">
      <c r="A16" s="10">
        <v>10</v>
      </c>
      <c r="B16" s="9">
        <v>0.35902777777777778</v>
      </c>
      <c r="C16" s="5" t="s">
        <v>20</v>
      </c>
      <c r="D16" s="5">
        <v>12</v>
      </c>
      <c r="E16" s="15"/>
      <c r="F16" s="15" t="s">
        <v>25</v>
      </c>
      <c r="G16" s="13">
        <v>8580</v>
      </c>
      <c r="H16" s="13">
        <v>11500</v>
      </c>
      <c r="I16" s="13">
        <v>12000</v>
      </c>
      <c r="J16" s="13">
        <v>12320</v>
      </c>
      <c r="K16" s="13">
        <v>10060</v>
      </c>
      <c r="L16" s="13">
        <v>9840</v>
      </c>
      <c r="M16" s="13"/>
      <c r="N16" s="17"/>
      <c r="O16" s="12"/>
      <c r="P16" s="8" t="s">
        <v>36</v>
      </c>
    </row>
    <row r="17" spans="1:16" ht="24" customHeight="1" x14ac:dyDescent="0.25">
      <c r="A17" s="10">
        <v>11</v>
      </c>
      <c r="B17" s="9">
        <v>0.36458333333333331</v>
      </c>
      <c r="C17" s="5" t="s">
        <v>20</v>
      </c>
      <c r="D17" s="5">
        <v>7</v>
      </c>
      <c r="E17" s="15"/>
      <c r="F17" s="15" t="s">
        <v>23</v>
      </c>
      <c r="G17" s="13">
        <v>2320</v>
      </c>
      <c r="H17" s="13">
        <v>7780</v>
      </c>
      <c r="I17" s="13"/>
      <c r="J17" s="13"/>
      <c r="K17" s="13"/>
      <c r="L17" s="13"/>
      <c r="M17" s="13"/>
      <c r="N17" s="12"/>
      <c r="O17" s="12"/>
      <c r="P17" s="8" t="s">
        <v>40</v>
      </c>
    </row>
    <row r="18" spans="1:16" ht="24" customHeight="1" x14ac:dyDescent="0.25">
      <c r="A18" s="10">
        <v>12</v>
      </c>
      <c r="B18" s="9">
        <v>0.3659722222222222</v>
      </c>
      <c r="C18" s="5" t="s">
        <v>20</v>
      </c>
      <c r="D18" s="5">
        <v>8</v>
      </c>
      <c r="E18" s="15"/>
      <c r="F18" s="22" t="s">
        <v>23</v>
      </c>
      <c r="G18" s="13">
        <v>4440</v>
      </c>
      <c r="H18" s="13">
        <v>6080</v>
      </c>
      <c r="I18" s="13"/>
      <c r="J18" s="13"/>
      <c r="K18" s="13"/>
      <c r="L18" s="13"/>
      <c r="M18" s="13"/>
      <c r="N18" s="12"/>
      <c r="O18" s="12"/>
      <c r="P18" s="8" t="s">
        <v>35</v>
      </c>
    </row>
    <row r="19" spans="1:16" ht="24" customHeight="1" x14ac:dyDescent="0.25">
      <c r="A19" s="10">
        <v>13</v>
      </c>
      <c r="B19" s="9">
        <v>0.3743055555555555</v>
      </c>
      <c r="C19" s="5" t="s">
        <v>20</v>
      </c>
      <c r="D19" s="5">
        <v>7</v>
      </c>
      <c r="E19" s="15"/>
      <c r="F19" s="15" t="s">
        <v>23</v>
      </c>
      <c r="G19" s="13">
        <v>2920</v>
      </c>
      <c r="H19" s="13">
        <v>2860</v>
      </c>
      <c r="I19" s="13"/>
      <c r="J19" s="13"/>
      <c r="K19" s="13"/>
      <c r="L19" s="13"/>
      <c r="M19" s="13"/>
      <c r="N19" s="17"/>
      <c r="O19" s="12"/>
      <c r="P19" s="8" t="s">
        <v>37</v>
      </c>
    </row>
    <row r="20" spans="1:16" ht="24" customHeight="1" x14ac:dyDescent="0.25">
      <c r="A20" s="10">
        <v>14</v>
      </c>
      <c r="B20" s="9">
        <v>0.37847222222222227</v>
      </c>
      <c r="C20" s="5" t="s">
        <v>20</v>
      </c>
      <c r="D20" s="5">
        <v>5</v>
      </c>
      <c r="E20" s="15"/>
      <c r="F20" s="15" t="s">
        <v>23</v>
      </c>
      <c r="G20" s="13">
        <v>8980</v>
      </c>
      <c r="H20" s="13">
        <v>14780</v>
      </c>
      <c r="I20" s="13"/>
      <c r="J20" s="13"/>
      <c r="K20" s="13"/>
      <c r="L20" s="13"/>
      <c r="M20" s="13"/>
      <c r="N20" s="17"/>
      <c r="O20" s="12"/>
      <c r="P20" s="8" t="s">
        <v>35</v>
      </c>
    </row>
    <row r="21" spans="1:16" ht="24" customHeight="1" x14ac:dyDescent="0.25">
      <c r="A21" s="10">
        <v>15</v>
      </c>
      <c r="B21" s="9">
        <v>0.37986111111111115</v>
      </c>
      <c r="C21" s="5" t="s">
        <v>20</v>
      </c>
      <c r="D21" s="5">
        <v>12</v>
      </c>
      <c r="E21" s="15"/>
      <c r="F21" s="15" t="s">
        <v>26</v>
      </c>
      <c r="G21" s="13">
        <v>7020</v>
      </c>
      <c r="H21" s="13">
        <v>11080</v>
      </c>
      <c r="I21" s="13">
        <v>10060</v>
      </c>
      <c r="J21" s="13">
        <v>14800</v>
      </c>
      <c r="K21" s="13">
        <v>11740</v>
      </c>
      <c r="L21" s="13">
        <v>11000</v>
      </c>
      <c r="M21" s="13"/>
      <c r="N21" s="17"/>
      <c r="O21" s="12"/>
      <c r="P21" s="8" t="s">
        <v>40</v>
      </c>
    </row>
    <row r="22" spans="1:16" ht="24" customHeight="1" x14ac:dyDescent="0.25">
      <c r="A22" s="10">
        <v>16</v>
      </c>
      <c r="B22" s="9">
        <v>0.3888888888888889</v>
      </c>
      <c r="C22" s="5" t="s">
        <v>20</v>
      </c>
      <c r="D22" s="5">
        <v>7</v>
      </c>
      <c r="E22" s="15"/>
      <c r="F22" s="15" t="s">
        <v>23</v>
      </c>
      <c r="G22" s="13">
        <v>3060</v>
      </c>
      <c r="H22" s="13">
        <v>5860</v>
      </c>
      <c r="I22" s="13"/>
      <c r="J22" s="13"/>
      <c r="K22" s="13"/>
      <c r="L22" s="13"/>
      <c r="M22" s="13"/>
      <c r="N22" s="17"/>
      <c r="O22" s="12"/>
      <c r="P22" s="8" t="s">
        <v>36</v>
      </c>
    </row>
    <row r="23" spans="1:16" ht="24" customHeight="1" x14ac:dyDescent="0.25">
      <c r="A23" s="10">
        <v>17</v>
      </c>
      <c r="B23" s="9">
        <v>0.39513888888888887</v>
      </c>
      <c r="C23" s="5" t="s">
        <v>20</v>
      </c>
      <c r="D23" s="5">
        <v>7</v>
      </c>
      <c r="E23" s="15"/>
      <c r="F23" s="15" t="s">
        <v>23</v>
      </c>
      <c r="G23" s="13">
        <v>1900</v>
      </c>
      <c r="H23" s="13">
        <v>2140</v>
      </c>
      <c r="I23" s="13"/>
      <c r="J23" s="13"/>
      <c r="K23" s="13"/>
      <c r="L23" s="13"/>
      <c r="M23" s="13"/>
      <c r="N23" s="17"/>
      <c r="O23" s="12"/>
      <c r="P23" s="8" t="s">
        <v>36</v>
      </c>
    </row>
    <row r="24" spans="1:16" ht="24" customHeight="1" x14ac:dyDescent="0.25">
      <c r="A24" s="10">
        <v>18</v>
      </c>
      <c r="B24" s="9">
        <v>0.4069444444444445</v>
      </c>
      <c r="C24" s="5" t="s">
        <v>20</v>
      </c>
      <c r="D24" s="5">
        <v>7</v>
      </c>
      <c r="E24" s="15"/>
      <c r="F24" s="15" t="s">
        <v>23</v>
      </c>
      <c r="G24" s="13">
        <v>2680</v>
      </c>
      <c r="H24" s="13">
        <v>3580</v>
      </c>
      <c r="I24" s="13"/>
      <c r="J24" s="13"/>
      <c r="K24" s="13"/>
      <c r="L24" s="13"/>
      <c r="M24" s="13"/>
      <c r="N24" s="17"/>
      <c r="O24" s="12"/>
      <c r="P24" s="8" t="s">
        <v>35</v>
      </c>
    </row>
    <row r="25" spans="1:16" ht="24" customHeight="1" x14ac:dyDescent="0.25">
      <c r="A25" s="10">
        <v>19</v>
      </c>
      <c r="B25" s="9">
        <v>0.41180555555555554</v>
      </c>
      <c r="C25" s="5" t="s">
        <v>20</v>
      </c>
      <c r="D25" s="5">
        <v>7</v>
      </c>
      <c r="E25" s="15"/>
      <c r="F25" s="15" t="s">
        <v>23</v>
      </c>
      <c r="G25" s="13">
        <v>2240</v>
      </c>
      <c r="H25" s="13">
        <v>2160</v>
      </c>
      <c r="I25" s="13"/>
      <c r="J25" s="13"/>
      <c r="K25" s="13"/>
      <c r="L25" s="13"/>
      <c r="M25" s="13"/>
      <c r="N25" s="17"/>
      <c r="O25" s="12"/>
      <c r="P25" s="8" t="s">
        <v>37</v>
      </c>
    </row>
    <row r="26" spans="1:16" ht="24" customHeight="1" x14ac:dyDescent="0.25">
      <c r="A26" s="10">
        <v>20</v>
      </c>
      <c r="B26" s="9">
        <v>0.41736111111111113</v>
      </c>
      <c r="C26" s="5" t="s">
        <v>20</v>
      </c>
      <c r="D26" s="5">
        <v>5</v>
      </c>
      <c r="E26" s="15"/>
      <c r="F26" s="15" t="s">
        <v>23</v>
      </c>
      <c r="G26" s="13">
        <v>8180</v>
      </c>
      <c r="H26" s="13">
        <v>18460</v>
      </c>
      <c r="I26" s="13"/>
      <c r="J26" s="13"/>
      <c r="K26" s="13"/>
      <c r="L26" s="13"/>
      <c r="M26" s="13"/>
      <c r="N26" s="17"/>
      <c r="O26" s="12"/>
      <c r="P26" s="8" t="s">
        <v>35</v>
      </c>
    </row>
    <row r="27" spans="1:16" ht="24" customHeight="1" x14ac:dyDescent="0.25">
      <c r="A27" s="10">
        <v>21</v>
      </c>
      <c r="B27" s="9">
        <v>0.42083333333333334</v>
      </c>
      <c r="C27" s="5" t="s">
        <v>20</v>
      </c>
      <c r="D27" s="5">
        <v>12</v>
      </c>
      <c r="E27" s="15"/>
      <c r="F27" s="15" t="s">
        <v>27</v>
      </c>
      <c r="G27" s="13">
        <v>6900</v>
      </c>
      <c r="H27" s="13">
        <v>2520</v>
      </c>
      <c r="I27" s="13">
        <v>5120</v>
      </c>
      <c r="J27" s="13">
        <v>3620</v>
      </c>
      <c r="K27" s="13">
        <v>4120</v>
      </c>
      <c r="L27" s="13">
        <v>3580</v>
      </c>
      <c r="M27" s="13"/>
      <c r="N27" s="17"/>
      <c r="O27" s="12"/>
      <c r="P27" s="8" t="s">
        <v>37</v>
      </c>
    </row>
    <row r="28" spans="1:16" ht="24" customHeight="1" x14ac:dyDescent="0.25">
      <c r="A28" s="10">
        <v>22</v>
      </c>
      <c r="B28" s="9">
        <v>0.42708333333333331</v>
      </c>
      <c r="C28" s="5" t="s">
        <v>20</v>
      </c>
      <c r="D28" s="5">
        <v>7</v>
      </c>
      <c r="E28" s="15"/>
      <c r="F28" s="15" t="s">
        <v>23</v>
      </c>
      <c r="G28" s="13">
        <v>2640</v>
      </c>
      <c r="H28" s="13">
        <v>2720</v>
      </c>
      <c r="I28" s="13"/>
      <c r="J28" s="13"/>
      <c r="K28" s="13"/>
      <c r="L28" s="13"/>
      <c r="M28" s="13"/>
      <c r="N28" s="17"/>
      <c r="O28" s="12"/>
      <c r="P28" s="8" t="s">
        <v>37</v>
      </c>
    </row>
    <row r="29" spans="1:16" ht="24" customHeight="1" x14ac:dyDescent="0.25">
      <c r="A29" s="10">
        <v>23</v>
      </c>
      <c r="B29" s="9">
        <v>0.4375</v>
      </c>
      <c r="C29" s="5" t="s">
        <v>20</v>
      </c>
      <c r="D29" s="5">
        <v>8</v>
      </c>
      <c r="E29" s="15"/>
      <c r="F29" s="15" t="s">
        <v>23</v>
      </c>
      <c r="G29" s="13">
        <v>6260</v>
      </c>
      <c r="H29" s="13">
        <v>19240</v>
      </c>
      <c r="I29" s="13"/>
      <c r="J29" s="13"/>
      <c r="K29" s="13"/>
      <c r="L29" s="13"/>
      <c r="M29" s="13"/>
      <c r="N29" s="17"/>
      <c r="O29" s="12"/>
      <c r="P29" s="8" t="s">
        <v>40</v>
      </c>
    </row>
    <row r="30" spans="1:16" ht="24" customHeight="1" x14ac:dyDescent="0.25">
      <c r="A30" s="10">
        <v>24</v>
      </c>
      <c r="B30" s="9">
        <v>0.44027777777777777</v>
      </c>
      <c r="C30" s="5" t="s">
        <v>20</v>
      </c>
      <c r="D30" s="5">
        <v>7</v>
      </c>
      <c r="E30" s="15"/>
      <c r="F30" s="15" t="s">
        <v>23</v>
      </c>
      <c r="G30" s="13">
        <v>2400</v>
      </c>
      <c r="H30" s="13">
        <v>1840</v>
      </c>
      <c r="I30" s="13"/>
      <c r="J30" s="13"/>
      <c r="K30" s="13"/>
      <c r="L30" s="13"/>
      <c r="M30" s="13"/>
      <c r="N30" s="17"/>
      <c r="O30" s="12"/>
      <c r="P30" s="8" t="s">
        <v>37</v>
      </c>
    </row>
    <row r="31" spans="1:16" ht="24" customHeight="1" x14ac:dyDescent="0.25">
      <c r="A31" s="10">
        <v>25</v>
      </c>
      <c r="B31" s="9">
        <v>0.44166666666666665</v>
      </c>
      <c r="C31" s="5" t="s">
        <v>20</v>
      </c>
      <c r="D31" s="5">
        <v>7</v>
      </c>
      <c r="E31" s="15"/>
      <c r="F31" s="15" t="s">
        <v>23</v>
      </c>
      <c r="G31" s="13">
        <v>2880</v>
      </c>
      <c r="H31" s="13">
        <v>2750</v>
      </c>
      <c r="I31" s="13"/>
      <c r="J31" s="13"/>
      <c r="K31" s="13"/>
      <c r="L31" s="13"/>
      <c r="M31" s="13"/>
      <c r="N31" s="17"/>
      <c r="O31" s="12"/>
      <c r="P31" s="8" t="s">
        <v>37</v>
      </c>
    </row>
    <row r="32" spans="1:16" ht="24" customHeight="1" x14ac:dyDescent="0.25">
      <c r="A32" s="10">
        <v>26</v>
      </c>
      <c r="B32" s="9">
        <v>0.4465277777777778</v>
      </c>
      <c r="C32" s="5" t="s">
        <v>20</v>
      </c>
      <c r="D32" s="5">
        <v>5</v>
      </c>
      <c r="E32" s="15"/>
      <c r="F32" s="15" t="s">
        <v>23</v>
      </c>
      <c r="G32" s="13">
        <v>4740</v>
      </c>
      <c r="H32" s="13">
        <v>10380</v>
      </c>
      <c r="I32" s="13"/>
      <c r="J32" s="13"/>
      <c r="K32" s="13"/>
      <c r="L32" s="13"/>
      <c r="M32" s="13"/>
      <c r="N32" s="17"/>
      <c r="O32" s="12"/>
      <c r="P32" s="8" t="s">
        <v>35</v>
      </c>
    </row>
    <row r="33" spans="1:16" ht="24" customHeight="1" x14ac:dyDescent="0.25">
      <c r="A33" s="10">
        <v>27</v>
      </c>
      <c r="B33" s="9">
        <v>0.44722222222222219</v>
      </c>
      <c r="C33" s="5" t="s">
        <v>20</v>
      </c>
      <c r="D33" s="5">
        <v>12</v>
      </c>
      <c r="E33" s="15"/>
      <c r="F33" s="15" t="s">
        <v>28</v>
      </c>
      <c r="G33" s="13">
        <v>8220</v>
      </c>
      <c r="H33" s="13">
        <v>10220</v>
      </c>
      <c r="I33" s="13">
        <v>15560</v>
      </c>
      <c r="J33" s="13">
        <v>12600</v>
      </c>
      <c r="K33" s="13">
        <v>11120</v>
      </c>
      <c r="L33" s="13">
        <v>10960</v>
      </c>
      <c r="M33" s="13"/>
      <c r="N33" s="17"/>
      <c r="O33" s="12"/>
      <c r="P33" s="8" t="s">
        <v>36</v>
      </c>
    </row>
    <row r="34" spans="1:16" ht="24" customHeight="1" x14ac:dyDescent="0.25">
      <c r="A34" s="10">
        <v>28</v>
      </c>
      <c r="B34" s="9">
        <v>0.44791666666666669</v>
      </c>
      <c r="C34" s="5" t="s">
        <v>20</v>
      </c>
      <c r="D34" s="5">
        <v>12</v>
      </c>
      <c r="E34" s="15"/>
      <c r="F34" s="15" t="s">
        <v>26</v>
      </c>
      <c r="G34" s="13">
        <v>6260</v>
      </c>
      <c r="H34" s="13">
        <v>4180</v>
      </c>
      <c r="I34" s="13">
        <v>3940</v>
      </c>
      <c r="J34" s="13">
        <v>3040</v>
      </c>
      <c r="K34" s="13">
        <v>2740</v>
      </c>
      <c r="L34" s="13">
        <v>4460</v>
      </c>
      <c r="M34" s="13"/>
      <c r="N34" s="17"/>
      <c r="O34" s="12"/>
      <c r="P34" s="8" t="s">
        <v>37</v>
      </c>
    </row>
    <row r="35" spans="1:16" ht="24" customHeight="1" x14ac:dyDescent="0.25">
      <c r="A35" s="10">
        <v>29</v>
      </c>
      <c r="B35" s="9">
        <v>0.45</v>
      </c>
      <c r="C35" s="5" t="s">
        <v>20</v>
      </c>
      <c r="D35" s="5">
        <v>5</v>
      </c>
      <c r="E35" s="15"/>
      <c r="F35" s="15" t="s">
        <v>23</v>
      </c>
      <c r="G35" s="13">
        <v>8640</v>
      </c>
      <c r="H35" s="13">
        <v>13020</v>
      </c>
      <c r="I35" s="13"/>
      <c r="J35" s="13"/>
      <c r="K35" s="13"/>
      <c r="L35" s="13"/>
      <c r="M35" s="13"/>
      <c r="N35" s="17"/>
      <c r="O35" s="12"/>
      <c r="P35" s="8" t="s">
        <v>35</v>
      </c>
    </row>
    <row r="36" spans="1:16" ht="24" customHeight="1" x14ac:dyDescent="0.25">
      <c r="A36" s="10">
        <v>30</v>
      </c>
      <c r="B36" s="9">
        <v>0.4513888888888889</v>
      </c>
      <c r="C36" s="5" t="s">
        <v>20</v>
      </c>
      <c r="D36" s="5">
        <v>13</v>
      </c>
      <c r="E36" s="15"/>
      <c r="F36" s="15" t="s">
        <v>24</v>
      </c>
      <c r="G36" s="13">
        <v>11540</v>
      </c>
      <c r="H36" s="13">
        <v>11740</v>
      </c>
      <c r="I36" s="13">
        <v>12600</v>
      </c>
      <c r="J36" s="13">
        <v>13040</v>
      </c>
      <c r="K36" s="13">
        <v>12060</v>
      </c>
      <c r="L36" s="13">
        <v>13460</v>
      </c>
      <c r="M36" s="13">
        <v>13760</v>
      </c>
      <c r="N36" s="17"/>
      <c r="O36" s="12"/>
      <c r="P36" s="8" t="s">
        <v>36</v>
      </c>
    </row>
    <row r="37" spans="1:16" ht="24" customHeight="1" x14ac:dyDescent="0.25">
      <c r="A37" s="10">
        <v>31</v>
      </c>
      <c r="B37" s="9">
        <v>0.4548611111111111</v>
      </c>
      <c r="C37" s="5" t="s">
        <v>20</v>
      </c>
      <c r="D37" s="5">
        <v>8</v>
      </c>
      <c r="E37" s="15"/>
      <c r="F37" s="15" t="s">
        <v>23</v>
      </c>
      <c r="G37" s="13">
        <v>7200</v>
      </c>
      <c r="H37" s="13">
        <v>12780</v>
      </c>
      <c r="I37" s="13"/>
      <c r="J37" s="13"/>
      <c r="K37" s="13"/>
      <c r="L37" s="13"/>
      <c r="M37" s="13"/>
      <c r="N37" s="17"/>
      <c r="O37" s="12"/>
      <c r="P37" s="8" t="s">
        <v>38</v>
      </c>
    </row>
    <row r="38" spans="1:16" ht="24" customHeight="1" x14ac:dyDescent="0.25">
      <c r="A38" s="10">
        <v>32</v>
      </c>
      <c r="B38" s="9">
        <v>0.45555555555555555</v>
      </c>
      <c r="C38" s="5" t="s">
        <v>20</v>
      </c>
      <c r="D38" s="5">
        <v>9</v>
      </c>
      <c r="E38" s="15"/>
      <c r="F38" s="15" t="s">
        <v>29</v>
      </c>
      <c r="G38" s="13">
        <v>9840</v>
      </c>
      <c r="H38" s="13">
        <v>16540</v>
      </c>
      <c r="I38" s="13">
        <v>4940</v>
      </c>
      <c r="J38" s="13"/>
      <c r="K38" s="13"/>
      <c r="L38" s="13"/>
      <c r="M38" s="13"/>
      <c r="N38" s="17"/>
      <c r="O38" s="12"/>
      <c r="P38" s="8" t="s">
        <v>38</v>
      </c>
    </row>
    <row r="39" spans="1:16" ht="24" customHeight="1" x14ac:dyDescent="0.25">
      <c r="A39" s="10">
        <v>33</v>
      </c>
      <c r="B39" s="9">
        <v>0.45902777777777781</v>
      </c>
      <c r="C39" s="5" t="s">
        <v>20</v>
      </c>
      <c r="D39" s="5">
        <v>7</v>
      </c>
      <c r="E39" s="15"/>
      <c r="F39" s="15" t="s">
        <v>23</v>
      </c>
      <c r="G39" s="13">
        <v>3040</v>
      </c>
      <c r="H39" s="13">
        <v>2940</v>
      </c>
      <c r="I39" s="13"/>
      <c r="J39" s="13"/>
      <c r="K39" s="13"/>
      <c r="L39" s="13"/>
      <c r="M39" s="13"/>
      <c r="N39" s="17"/>
      <c r="O39" s="12"/>
      <c r="P39" s="8" t="s">
        <v>37</v>
      </c>
    </row>
    <row r="40" spans="1:16" ht="24" customHeight="1" x14ac:dyDescent="0.25">
      <c r="A40" s="10">
        <v>34</v>
      </c>
      <c r="B40" s="9">
        <v>0.46111111111111108</v>
      </c>
      <c r="C40" s="5" t="s">
        <v>20</v>
      </c>
      <c r="D40" s="5">
        <v>9</v>
      </c>
      <c r="E40" s="15"/>
      <c r="F40" s="15" t="s">
        <v>30</v>
      </c>
      <c r="G40" s="13">
        <v>6300</v>
      </c>
      <c r="H40" s="13">
        <v>5240</v>
      </c>
      <c r="I40" s="13">
        <v>5420</v>
      </c>
      <c r="J40" s="13"/>
      <c r="K40" s="13"/>
      <c r="L40" s="13"/>
      <c r="M40" s="13"/>
      <c r="N40" s="17"/>
      <c r="O40" s="12"/>
      <c r="P40" s="8" t="s">
        <v>37</v>
      </c>
    </row>
    <row r="41" spans="1:16" ht="24" customHeight="1" x14ac:dyDescent="0.25">
      <c r="A41" s="10">
        <v>35</v>
      </c>
      <c r="B41" s="9">
        <v>0.46388888888888885</v>
      </c>
      <c r="C41" s="5" t="s">
        <v>20</v>
      </c>
      <c r="D41" s="5">
        <v>7</v>
      </c>
      <c r="E41" s="15"/>
      <c r="F41" s="15" t="s">
        <v>23</v>
      </c>
      <c r="G41" s="13">
        <v>2560</v>
      </c>
      <c r="H41" s="13">
        <v>2880</v>
      </c>
      <c r="I41" s="13"/>
      <c r="J41" s="13"/>
      <c r="K41" s="13"/>
      <c r="L41" s="13"/>
      <c r="M41" s="13"/>
      <c r="N41" s="17"/>
      <c r="O41" s="12"/>
      <c r="P41" s="8" t="s">
        <v>37</v>
      </c>
    </row>
    <row r="42" spans="1:16" ht="24" customHeight="1" x14ac:dyDescent="0.25">
      <c r="A42" s="10">
        <v>36</v>
      </c>
      <c r="B42" s="9">
        <v>0.46527777777777773</v>
      </c>
      <c r="C42" s="5" t="s">
        <v>20</v>
      </c>
      <c r="D42" s="5">
        <v>8</v>
      </c>
      <c r="E42" s="15"/>
      <c r="F42" s="15" t="s">
        <v>23</v>
      </c>
      <c r="G42" s="13">
        <v>3500</v>
      </c>
      <c r="H42" s="13">
        <v>3560</v>
      </c>
      <c r="I42" s="13"/>
      <c r="J42" s="13"/>
      <c r="K42" s="13"/>
      <c r="L42" s="13"/>
      <c r="M42" s="13"/>
      <c r="N42" s="17"/>
      <c r="O42" s="12"/>
      <c r="P42" s="8" t="s">
        <v>37</v>
      </c>
    </row>
    <row r="43" spans="1:16" ht="24" customHeight="1" x14ac:dyDescent="0.25">
      <c r="A43" s="10">
        <v>37</v>
      </c>
      <c r="B43" s="9">
        <v>0.46597222222222223</v>
      </c>
      <c r="C43" s="5" t="s">
        <v>20</v>
      </c>
      <c r="D43" s="5">
        <v>8</v>
      </c>
      <c r="E43" s="15"/>
      <c r="F43" s="15" t="s">
        <v>23</v>
      </c>
      <c r="G43" s="13">
        <v>4900</v>
      </c>
      <c r="H43" s="13">
        <v>4720</v>
      </c>
      <c r="I43" s="13"/>
      <c r="J43" s="13"/>
      <c r="K43" s="13"/>
      <c r="L43" s="13"/>
      <c r="M43" s="13"/>
      <c r="N43" s="17"/>
      <c r="O43" s="12"/>
      <c r="P43" s="8" t="s">
        <v>38</v>
      </c>
    </row>
    <row r="44" spans="1:16" ht="24" customHeight="1" x14ac:dyDescent="0.25">
      <c r="A44" s="10">
        <v>38</v>
      </c>
      <c r="B44" s="9">
        <v>0.4680555555555555</v>
      </c>
      <c r="C44" s="5" t="s">
        <v>20</v>
      </c>
      <c r="D44" s="5">
        <v>8</v>
      </c>
      <c r="E44" s="15"/>
      <c r="F44" s="15" t="s">
        <v>23</v>
      </c>
      <c r="G44" s="13">
        <v>6520</v>
      </c>
      <c r="H44" s="13">
        <v>18280</v>
      </c>
      <c r="I44" s="13"/>
      <c r="J44" s="13"/>
      <c r="K44" s="13"/>
      <c r="L44" s="13"/>
      <c r="M44" s="13"/>
      <c r="N44" s="17"/>
      <c r="O44" s="12"/>
      <c r="P44" s="8" t="s">
        <v>38</v>
      </c>
    </row>
    <row r="45" spans="1:16" ht="24" customHeight="1" x14ac:dyDescent="0.25">
      <c r="A45" s="10">
        <v>39</v>
      </c>
      <c r="B45" s="9">
        <v>0.47152777777777777</v>
      </c>
      <c r="C45" s="5" t="s">
        <v>20</v>
      </c>
      <c r="D45" s="5">
        <v>9</v>
      </c>
      <c r="E45" s="15"/>
      <c r="F45" s="15" t="s">
        <v>29</v>
      </c>
      <c r="G45" s="13">
        <v>10260</v>
      </c>
      <c r="H45" s="13">
        <v>13160</v>
      </c>
      <c r="I45" s="13">
        <v>7800</v>
      </c>
      <c r="J45" s="13"/>
      <c r="K45" s="13"/>
      <c r="L45" s="13"/>
      <c r="M45" s="13"/>
      <c r="N45" s="17"/>
      <c r="O45" s="12"/>
      <c r="P45" s="8" t="s">
        <v>36</v>
      </c>
    </row>
    <row r="46" spans="1:16" ht="24" customHeight="1" x14ac:dyDescent="0.25">
      <c r="A46" s="10">
        <v>40</v>
      </c>
      <c r="B46" s="9">
        <v>0.47361111111111115</v>
      </c>
      <c r="C46" s="5" t="s">
        <v>20</v>
      </c>
      <c r="D46" s="5">
        <v>7</v>
      </c>
      <c r="E46" s="15"/>
      <c r="F46" s="15" t="s">
        <v>23</v>
      </c>
      <c r="G46" s="13">
        <v>2680</v>
      </c>
      <c r="H46" s="13">
        <v>2420</v>
      </c>
      <c r="I46" s="13"/>
      <c r="J46" s="13"/>
      <c r="K46" s="13"/>
      <c r="L46" s="13"/>
      <c r="M46" s="13"/>
      <c r="N46" s="17"/>
      <c r="O46" s="12"/>
      <c r="P46" s="8" t="s">
        <v>37</v>
      </c>
    </row>
    <row r="47" spans="1:16" ht="24" customHeight="1" x14ac:dyDescent="0.25">
      <c r="A47" s="10">
        <v>41</v>
      </c>
      <c r="B47" s="9">
        <v>0.47500000000000003</v>
      </c>
      <c r="C47" s="5" t="s">
        <v>20</v>
      </c>
      <c r="D47" s="5">
        <v>10</v>
      </c>
      <c r="E47" s="15"/>
      <c r="F47" s="15" t="s">
        <v>31</v>
      </c>
      <c r="G47" s="13">
        <v>4040</v>
      </c>
      <c r="H47" s="13">
        <v>3980</v>
      </c>
      <c r="I47" s="13">
        <v>3680</v>
      </c>
      <c r="J47" s="13">
        <v>4640</v>
      </c>
      <c r="K47" s="13"/>
      <c r="L47" s="13"/>
      <c r="M47" s="13"/>
      <c r="N47" s="17"/>
      <c r="O47" s="12"/>
      <c r="P47" s="8" t="s">
        <v>37</v>
      </c>
    </row>
    <row r="48" spans="1:16" ht="24" customHeight="1" x14ac:dyDescent="0.25">
      <c r="A48" s="10">
        <v>42</v>
      </c>
      <c r="B48" s="9">
        <v>0.47638888888888892</v>
      </c>
      <c r="C48" s="5" t="s">
        <v>20</v>
      </c>
      <c r="D48" s="5">
        <v>7</v>
      </c>
      <c r="E48" s="15"/>
      <c r="F48" s="15" t="s">
        <v>23</v>
      </c>
      <c r="G48" s="13">
        <v>2780</v>
      </c>
      <c r="H48" s="13">
        <v>5040</v>
      </c>
      <c r="I48" s="13"/>
      <c r="J48" s="13"/>
      <c r="K48" s="13"/>
      <c r="L48" s="13"/>
      <c r="M48" s="13"/>
      <c r="N48" s="17"/>
      <c r="O48" s="12"/>
      <c r="P48" s="8" t="s">
        <v>41</v>
      </c>
    </row>
    <row r="49" spans="1:16" ht="24" customHeight="1" x14ac:dyDescent="0.25">
      <c r="A49" s="10">
        <v>43</v>
      </c>
      <c r="B49" s="9">
        <v>0.47847222222222219</v>
      </c>
      <c r="C49" s="5" t="s">
        <v>20</v>
      </c>
      <c r="D49" s="5">
        <v>7</v>
      </c>
      <c r="E49" s="15"/>
      <c r="F49" s="15" t="s">
        <v>23</v>
      </c>
      <c r="G49" s="13">
        <v>2960</v>
      </c>
      <c r="H49" s="13">
        <v>3200</v>
      </c>
      <c r="I49" s="13"/>
      <c r="J49" s="13"/>
      <c r="K49" s="13"/>
      <c r="L49" s="13"/>
      <c r="M49" s="13"/>
      <c r="N49" s="17"/>
      <c r="O49" s="12"/>
      <c r="P49" s="8" t="s">
        <v>37</v>
      </c>
    </row>
    <row r="50" spans="1:16" ht="24" customHeight="1" x14ac:dyDescent="0.25">
      <c r="A50" s="10">
        <v>44</v>
      </c>
      <c r="B50" s="9">
        <v>0.47847222222222219</v>
      </c>
      <c r="C50" s="5" t="s">
        <v>20</v>
      </c>
      <c r="D50" s="5">
        <v>7</v>
      </c>
      <c r="E50" s="15"/>
      <c r="F50" s="15" t="s">
        <v>23</v>
      </c>
      <c r="G50" s="13">
        <v>2380</v>
      </c>
      <c r="H50" s="13">
        <v>2680</v>
      </c>
      <c r="I50" s="13"/>
      <c r="J50" s="13"/>
      <c r="K50" s="13"/>
      <c r="L50" s="13"/>
      <c r="M50" s="13"/>
      <c r="N50" s="12"/>
      <c r="O50" s="12"/>
      <c r="P50" s="8" t="s">
        <v>36</v>
      </c>
    </row>
    <row r="51" spans="1:16" ht="24" customHeight="1" x14ac:dyDescent="0.25">
      <c r="A51" s="10">
        <v>45</v>
      </c>
      <c r="B51" s="9">
        <v>0.47986111111111113</v>
      </c>
      <c r="C51" s="5" t="s">
        <v>20</v>
      </c>
      <c r="D51" s="5">
        <v>9</v>
      </c>
      <c r="E51" s="15"/>
      <c r="F51" s="15" t="s">
        <v>30</v>
      </c>
      <c r="G51" s="13">
        <v>6820</v>
      </c>
      <c r="H51" s="13">
        <v>4800</v>
      </c>
      <c r="I51" s="13">
        <v>6320</v>
      </c>
      <c r="J51" s="13"/>
      <c r="K51" s="13"/>
      <c r="L51" s="13"/>
      <c r="M51" s="13"/>
      <c r="N51" s="12"/>
      <c r="O51" s="12"/>
      <c r="P51" s="8" t="s">
        <v>37</v>
      </c>
    </row>
    <row r="52" spans="1:16" ht="24" customHeight="1" x14ac:dyDescent="0.25">
      <c r="A52" s="10">
        <v>46</v>
      </c>
      <c r="B52" s="9">
        <v>0.48194444444444445</v>
      </c>
      <c r="C52" s="5" t="s">
        <v>20</v>
      </c>
      <c r="D52" s="5">
        <v>5</v>
      </c>
      <c r="E52" s="15"/>
      <c r="F52" s="15" t="s">
        <v>23</v>
      </c>
      <c r="G52" s="13">
        <v>7840</v>
      </c>
      <c r="H52" s="13">
        <v>15380</v>
      </c>
      <c r="I52" s="13"/>
      <c r="J52" s="13"/>
      <c r="K52" s="13"/>
      <c r="L52" s="13"/>
      <c r="M52" s="13"/>
      <c r="N52" s="12"/>
      <c r="O52" s="12"/>
      <c r="P52" s="8" t="s">
        <v>35</v>
      </c>
    </row>
    <row r="53" spans="1:16" ht="24" customHeight="1" x14ac:dyDescent="0.25">
      <c r="A53" s="10">
        <v>47</v>
      </c>
      <c r="B53" s="9">
        <v>0.48402777777777778</v>
      </c>
      <c r="C53" s="5" t="s">
        <v>20</v>
      </c>
      <c r="D53" s="5">
        <v>7</v>
      </c>
      <c r="E53" s="15"/>
      <c r="F53" s="15" t="s">
        <v>23</v>
      </c>
      <c r="G53" s="13">
        <v>2760</v>
      </c>
      <c r="H53" s="13">
        <v>2300</v>
      </c>
      <c r="I53" s="13"/>
      <c r="J53" s="13"/>
      <c r="K53" s="13"/>
      <c r="L53" s="13"/>
      <c r="M53" s="13"/>
      <c r="N53" s="12"/>
      <c r="O53" s="12"/>
      <c r="P53" s="8" t="s">
        <v>37</v>
      </c>
    </row>
    <row r="54" spans="1:16" ht="24" customHeight="1" x14ac:dyDescent="0.25">
      <c r="A54" s="10">
        <v>48</v>
      </c>
      <c r="B54" s="9">
        <v>0.48472222222222222</v>
      </c>
      <c r="C54" s="5" t="s">
        <v>20</v>
      </c>
      <c r="D54" s="5">
        <v>8</v>
      </c>
      <c r="E54" s="15"/>
      <c r="F54" s="15" t="s">
        <v>23</v>
      </c>
      <c r="G54" s="13">
        <v>3420</v>
      </c>
      <c r="H54" s="13">
        <v>5540</v>
      </c>
      <c r="I54" s="13"/>
      <c r="J54" s="13"/>
      <c r="K54" s="13"/>
      <c r="L54" s="13"/>
      <c r="M54" s="13"/>
      <c r="N54" s="12"/>
      <c r="O54" s="12"/>
      <c r="P54" s="8" t="s">
        <v>35</v>
      </c>
    </row>
    <row r="55" spans="1:16" ht="24" customHeight="1" x14ac:dyDescent="0.25">
      <c r="A55" s="10">
        <v>49</v>
      </c>
      <c r="B55" s="9">
        <v>0.48541666666666666</v>
      </c>
      <c r="C55" s="5" t="s">
        <v>20</v>
      </c>
      <c r="D55" s="5">
        <v>12</v>
      </c>
      <c r="E55" s="15"/>
      <c r="F55" s="15" t="s">
        <v>26</v>
      </c>
      <c r="G55" s="13">
        <v>8540</v>
      </c>
      <c r="H55" s="13">
        <v>16400</v>
      </c>
      <c r="I55" s="13"/>
      <c r="J55" s="13"/>
      <c r="K55" s="13"/>
      <c r="L55" s="13"/>
      <c r="M55" s="13"/>
      <c r="N55" s="12"/>
      <c r="O55" s="12"/>
      <c r="P55" s="8" t="s">
        <v>40</v>
      </c>
    </row>
    <row r="56" spans="1:16" ht="24" customHeight="1" x14ac:dyDescent="0.25">
      <c r="A56" s="10">
        <v>50</v>
      </c>
      <c r="B56" s="9">
        <v>0.48958333333333331</v>
      </c>
      <c r="C56" s="5" t="s">
        <v>20</v>
      </c>
      <c r="D56" s="5">
        <v>8</v>
      </c>
      <c r="E56" s="15"/>
      <c r="F56" s="15" t="s">
        <v>23</v>
      </c>
      <c r="G56" s="13">
        <v>3660</v>
      </c>
      <c r="H56" s="13">
        <v>6000</v>
      </c>
      <c r="I56" s="13"/>
      <c r="J56" s="13"/>
      <c r="K56" s="13"/>
      <c r="L56" s="13"/>
      <c r="M56" s="13"/>
      <c r="N56" s="12"/>
      <c r="O56" s="12"/>
      <c r="P56" s="8" t="s">
        <v>35</v>
      </c>
    </row>
    <row r="57" spans="1:16" ht="24" customHeight="1" x14ac:dyDescent="0.25">
      <c r="A57" s="10">
        <v>51</v>
      </c>
      <c r="B57" s="9">
        <v>0.48958333333333331</v>
      </c>
      <c r="C57" s="5" t="s">
        <v>20</v>
      </c>
      <c r="D57" s="5">
        <v>7</v>
      </c>
      <c r="E57" s="15"/>
      <c r="F57" s="15" t="s">
        <v>23</v>
      </c>
      <c r="G57" s="13">
        <v>2100</v>
      </c>
      <c r="H57" s="13">
        <v>8620</v>
      </c>
      <c r="I57" s="13"/>
      <c r="J57" s="13"/>
      <c r="K57" s="13"/>
      <c r="L57" s="13"/>
      <c r="M57" s="13"/>
      <c r="N57" s="12"/>
      <c r="O57" s="12"/>
      <c r="P57" s="8" t="s">
        <v>40</v>
      </c>
    </row>
    <row r="58" spans="1:16" ht="24" customHeight="1" x14ac:dyDescent="0.25">
      <c r="A58" s="10">
        <v>52</v>
      </c>
      <c r="B58" s="9">
        <v>0.49027777777777781</v>
      </c>
      <c r="C58" s="5" t="s">
        <v>20</v>
      </c>
      <c r="D58" s="5">
        <v>7</v>
      </c>
      <c r="E58" s="15"/>
      <c r="F58" s="15" t="s">
        <v>23</v>
      </c>
      <c r="G58" s="13">
        <v>1820</v>
      </c>
      <c r="H58" s="13">
        <v>2040</v>
      </c>
      <c r="I58" s="13"/>
      <c r="J58" s="13"/>
      <c r="K58" s="13"/>
      <c r="L58" s="13"/>
      <c r="M58" s="13"/>
      <c r="N58" s="12"/>
      <c r="O58" s="12"/>
      <c r="P58" s="8" t="s">
        <v>35</v>
      </c>
    </row>
    <row r="59" spans="1:16" ht="24" customHeight="1" x14ac:dyDescent="0.25">
      <c r="A59" s="10">
        <v>53</v>
      </c>
      <c r="B59" s="9">
        <v>0.49305555555555558</v>
      </c>
      <c r="C59" s="5" t="s">
        <v>20</v>
      </c>
      <c r="D59" s="5">
        <v>8</v>
      </c>
      <c r="E59" s="15"/>
      <c r="F59" s="15" t="s">
        <v>23</v>
      </c>
      <c r="G59" s="13">
        <v>3320</v>
      </c>
      <c r="H59" s="13">
        <v>3920</v>
      </c>
      <c r="I59" s="13"/>
      <c r="J59" s="13"/>
      <c r="K59" s="13"/>
      <c r="L59" s="13"/>
      <c r="M59" s="13"/>
      <c r="N59" s="12"/>
      <c r="O59" s="12"/>
      <c r="P59" s="8" t="s">
        <v>36</v>
      </c>
    </row>
    <row r="60" spans="1:16" ht="24" customHeight="1" x14ac:dyDescent="0.25">
      <c r="A60" s="10">
        <v>54</v>
      </c>
      <c r="B60" s="9">
        <v>0.49444444444444446</v>
      </c>
      <c r="C60" s="5" t="s">
        <v>20</v>
      </c>
      <c r="D60" s="5">
        <v>8</v>
      </c>
      <c r="E60" s="15"/>
      <c r="F60" s="15" t="s">
        <v>23</v>
      </c>
      <c r="G60" s="13">
        <v>2360</v>
      </c>
      <c r="H60" s="13">
        <v>2460</v>
      </c>
      <c r="I60" s="13"/>
      <c r="J60" s="13"/>
      <c r="K60" s="13"/>
      <c r="L60" s="13"/>
      <c r="M60" s="13"/>
      <c r="N60" s="12"/>
      <c r="O60" s="12"/>
      <c r="P60" s="8" t="s">
        <v>37</v>
      </c>
    </row>
    <row r="61" spans="1:16" ht="24" customHeight="1" x14ac:dyDescent="0.25">
      <c r="A61" s="10">
        <v>55</v>
      </c>
      <c r="B61" s="9">
        <v>0.50138888888888888</v>
      </c>
      <c r="C61" s="5" t="s">
        <v>20</v>
      </c>
      <c r="D61" s="5">
        <v>8</v>
      </c>
      <c r="E61" s="15"/>
      <c r="F61" s="15" t="s">
        <v>23</v>
      </c>
      <c r="G61" s="13">
        <v>3220</v>
      </c>
      <c r="H61" s="13">
        <v>2460</v>
      </c>
      <c r="I61" s="13"/>
      <c r="J61" s="13"/>
      <c r="K61" s="13"/>
      <c r="L61" s="13"/>
      <c r="M61" s="13"/>
      <c r="N61" s="12"/>
      <c r="O61" s="12"/>
      <c r="P61" s="8" t="s">
        <v>37</v>
      </c>
    </row>
    <row r="62" spans="1:16" ht="24" customHeight="1" x14ac:dyDescent="0.25">
      <c r="A62" s="10">
        <v>56</v>
      </c>
      <c r="B62" s="9"/>
      <c r="C62" s="5" t="s">
        <v>20</v>
      </c>
      <c r="D62" s="5">
        <v>12</v>
      </c>
      <c r="E62" s="15"/>
      <c r="F62" s="15" t="s">
        <v>26</v>
      </c>
      <c r="G62" s="13">
        <v>7700</v>
      </c>
      <c r="H62" s="13">
        <v>13580</v>
      </c>
      <c r="I62" s="13">
        <v>10820</v>
      </c>
      <c r="J62" s="13">
        <v>14260</v>
      </c>
      <c r="K62" s="13">
        <v>11620</v>
      </c>
      <c r="L62" s="13">
        <v>14140</v>
      </c>
      <c r="M62" s="13"/>
      <c r="N62" s="12"/>
      <c r="O62" s="12"/>
      <c r="P62" s="8" t="s">
        <v>36</v>
      </c>
    </row>
    <row r="63" spans="1:16" ht="24" customHeight="1" x14ac:dyDescent="0.25">
      <c r="A63" s="10">
        <v>57</v>
      </c>
      <c r="B63" s="9">
        <v>0.50347222222222221</v>
      </c>
      <c r="C63" s="5" t="s">
        <v>20</v>
      </c>
      <c r="D63" s="5">
        <v>7</v>
      </c>
      <c r="E63" s="15"/>
      <c r="F63" s="15" t="s">
        <v>23</v>
      </c>
      <c r="G63" s="13">
        <v>2740</v>
      </c>
      <c r="H63" s="13">
        <v>2880</v>
      </c>
      <c r="I63" s="13"/>
      <c r="J63" s="13"/>
      <c r="K63" s="13"/>
      <c r="L63" s="13"/>
      <c r="M63" s="13"/>
      <c r="N63" s="12"/>
      <c r="O63" s="12"/>
      <c r="P63" s="8" t="s">
        <v>37</v>
      </c>
    </row>
    <row r="64" spans="1:16" ht="24" customHeight="1" x14ac:dyDescent="0.25">
      <c r="A64" s="10">
        <v>58</v>
      </c>
      <c r="B64" s="9">
        <v>0.50416666666666665</v>
      </c>
      <c r="C64" s="5" t="s">
        <v>20</v>
      </c>
      <c r="D64" s="5">
        <v>5</v>
      </c>
      <c r="E64" s="15"/>
      <c r="F64" s="15" t="s">
        <v>23</v>
      </c>
      <c r="G64" s="13">
        <v>7040</v>
      </c>
      <c r="H64" s="13">
        <v>9680</v>
      </c>
      <c r="I64" s="13"/>
      <c r="J64" s="13"/>
      <c r="K64" s="13"/>
      <c r="L64" s="13"/>
      <c r="M64" s="13"/>
      <c r="N64" s="12"/>
      <c r="O64" s="12"/>
      <c r="P64" s="8" t="s">
        <v>37</v>
      </c>
    </row>
    <row r="65" spans="1:16" ht="24" customHeight="1" x14ac:dyDescent="0.25">
      <c r="A65" s="10">
        <v>59</v>
      </c>
      <c r="B65" s="9">
        <v>0.50486111111111109</v>
      </c>
      <c r="C65" s="5" t="s">
        <v>20</v>
      </c>
      <c r="D65" s="5">
        <v>8</v>
      </c>
      <c r="E65" s="15"/>
      <c r="F65" s="15" t="s">
        <v>23</v>
      </c>
      <c r="G65" s="13">
        <v>5220</v>
      </c>
      <c r="H65" s="13">
        <v>5540</v>
      </c>
      <c r="I65" s="13"/>
      <c r="J65" s="13"/>
      <c r="K65" s="13"/>
      <c r="L65" s="13"/>
      <c r="M65" s="13"/>
      <c r="N65" s="12"/>
      <c r="O65" s="12"/>
      <c r="P65" s="8" t="s">
        <v>37</v>
      </c>
    </row>
    <row r="66" spans="1:16" ht="24" customHeight="1" x14ac:dyDescent="0.25">
      <c r="A66" s="10">
        <v>60</v>
      </c>
      <c r="B66" s="9">
        <v>0.50763888888888886</v>
      </c>
      <c r="C66" s="5" t="s">
        <v>20</v>
      </c>
      <c r="D66" s="5">
        <v>8</v>
      </c>
      <c r="E66" s="15"/>
      <c r="F66" s="15" t="s">
        <v>23</v>
      </c>
      <c r="G66" s="13">
        <v>2900</v>
      </c>
      <c r="H66" s="13">
        <v>2640</v>
      </c>
      <c r="I66" s="13"/>
      <c r="J66" s="13"/>
      <c r="K66" s="13"/>
      <c r="L66" s="13"/>
      <c r="M66" s="13"/>
      <c r="N66" s="12"/>
      <c r="O66" s="12"/>
      <c r="P66" s="8" t="s">
        <v>37</v>
      </c>
    </row>
    <row r="67" spans="1:16" ht="24" customHeight="1" x14ac:dyDescent="0.25">
      <c r="A67" s="10">
        <v>61</v>
      </c>
      <c r="B67" s="9">
        <v>0.5083333333333333</v>
      </c>
      <c r="C67" s="5" t="s">
        <v>20</v>
      </c>
      <c r="D67" s="5">
        <v>7</v>
      </c>
      <c r="E67" s="15"/>
      <c r="F67" s="15" t="s">
        <v>23</v>
      </c>
      <c r="G67" s="13">
        <v>3140</v>
      </c>
      <c r="H67" s="13">
        <v>3560</v>
      </c>
      <c r="I67" s="13"/>
      <c r="J67" s="13"/>
      <c r="K67" s="13"/>
      <c r="L67" s="13"/>
      <c r="M67" s="13"/>
      <c r="N67" s="12"/>
      <c r="O67" s="12"/>
      <c r="P67" s="8" t="s">
        <v>37</v>
      </c>
    </row>
    <row r="68" spans="1:16" ht="24" customHeight="1" x14ac:dyDescent="0.25">
      <c r="A68" s="10">
        <v>62</v>
      </c>
      <c r="B68" s="9">
        <v>0.50972222222222219</v>
      </c>
      <c r="C68" s="5" t="s">
        <v>20</v>
      </c>
      <c r="D68" s="5">
        <v>9</v>
      </c>
      <c r="E68" s="15"/>
      <c r="F68" s="15" t="s">
        <v>30</v>
      </c>
      <c r="G68" s="13">
        <v>6280</v>
      </c>
      <c r="H68" s="13">
        <v>4620</v>
      </c>
      <c r="I68" s="13">
        <v>4740</v>
      </c>
      <c r="J68" s="13"/>
      <c r="K68" s="13"/>
      <c r="L68" s="13"/>
      <c r="M68" s="13"/>
      <c r="N68" s="12"/>
      <c r="O68" s="12"/>
      <c r="P68" s="8" t="s">
        <v>37</v>
      </c>
    </row>
    <row r="69" spans="1:16" ht="24" customHeight="1" x14ac:dyDescent="0.25">
      <c r="A69" s="10">
        <v>63</v>
      </c>
      <c r="B69" s="9">
        <v>0.51041666666666663</v>
      </c>
      <c r="C69" s="5" t="s">
        <v>20</v>
      </c>
      <c r="D69" s="5">
        <v>7</v>
      </c>
      <c r="E69" s="15"/>
      <c r="F69" s="15" t="s">
        <v>23</v>
      </c>
      <c r="G69" s="13">
        <v>3200</v>
      </c>
      <c r="H69" s="13">
        <v>2820</v>
      </c>
      <c r="I69" s="13"/>
      <c r="J69" s="13"/>
      <c r="K69" s="13"/>
      <c r="L69" s="13"/>
      <c r="M69" s="13"/>
      <c r="N69" s="12"/>
      <c r="O69" s="12"/>
      <c r="P69" s="8" t="s">
        <v>37</v>
      </c>
    </row>
    <row r="70" spans="1:16" ht="24" customHeight="1" x14ac:dyDescent="0.25">
      <c r="A70" s="10">
        <v>64</v>
      </c>
      <c r="B70" s="9">
        <v>0.51250000000000007</v>
      </c>
      <c r="C70" s="5" t="s">
        <v>20</v>
      </c>
      <c r="D70" s="5">
        <v>8</v>
      </c>
      <c r="E70" s="15"/>
      <c r="F70" s="15" t="s">
        <v>23</v>
      </c>
      <c r="G70" s="13">
        <v>5080</v>
      </c>
      <c r="H70" s="13">
        <v>8000</v>
      </c>
      <c r="I70" s="13"/>
      <c r="J70" s="13"/>
      <c r="K70" s="13"/>
      <c r="L70" s="13"/>
      <c r="M70" s="13"/>
      <c r="N70" s="12"/>
      <c r="O70" s="12"/>
      <c r="P70" s="8" t="s">
        <v>36</v>
      </c>
    </row>
    <row r="71" spans="1:16" ht="24" customHeight="1" x14ac:dyDescent="0.25">
      <c r="A71" s="10">
        <v>65</v>
      </c>
      <c r="B71" s="9">
        <v>0.5131944444444444</v>
      </c>
      <c r="C71" s="5" t="s">
        <v>20</v>
      </c>
      <c r="D71" s="5">
        <v>12</v>
      </c>
      <c r="E71" s="15"/>
      <c r="F71" s="15" t="s">
        <v>26</v>
      </c>
      <c r="G71" s="13">
        <v>6420</v>
      </c>
      <c r="H71" s="13">
        <v>12480</v>
      </c>
      <c r="I71" s="13">
        <v>11460</v>
      </c>
      <c r="J71" s="13">
        <v>14800</v>
      </c>
      <c r="K71" s="13">
        <v>13120</v>
      </c>
      <c r="L71" s="13">
        <v>11900</v>
      </c>
      <c r="M71" s="13"/>
      <c r="N71" s="12"/>
      <c r="O71" s="12"/>
      <c r="P71" s="8" t="s">
        <v>36</v>
      </c>
    </row>
    <row r="72" spans="1:16" ht="24" customHeight="1" x14ac:dyDescent="0.25">
      <c r="A72" s="10">
        <v>66</v>
      </c>
      <c r="B72" s="9">
        <v>0.51458333333333328</v>
      </c>
      <c r="C72" s="5" t="s">
        <v>20</v>
      </c>
      <c r="D72" s="5">
        <v>5</v>
      </c>
      <c r="E72" s="15"/>
      <c r="F72" s="15" t="s">
        <v>23</v>
      </c>
      <c r="G72" s="13">
        <v>9400</v>
      </c>
      <c r="H72" s="13">
        <v>14340</v>
      </c>
      <c r="I72" s="13"/>
      <c r="J72" s="13"/>
      <c r="K72" s="13"/>
      <c r="L72" s="13"/>
      <c r="M72" s="13"/>
      <c r="N72" s="12"/>
      <c r="O72" s="12"/>
      <c r="P72" s="8" t="s">
        <v>35</v>
      </c>
    </row>
    <row r="73" spans="1:16" ht="24" customHeight="1" x14ac:dyDescent="0.25">
      <c r="A73" s="10">
        <v>67</v>
      </c>
      <c r="B73" s="9">
        <v>0.51458333333333328</v>
      </c>
      <c r="C73" s="5" t="s">
        <v>20</v>
      </c>
      <c r="D73" s="5">
        <v>8</v>
      </c>
      <c r="E73" s="15"/>
      <c r="F73" s="15" t="s">
        <v>23</v>
      </c>
      <c r="G73" s="13">
        <v>7580</v>
      </c>
      <c r="H73" s="13">
        <v>16200</v>
      </c>
      <c r="I73" s="13"/>
      <c r="J73" s="13"/>
      <c r="K73" s="13"/>
      <c r="L73" s="13"/>
      <c r="M73" s="13"/>
      <c r="N73" s="12"/>
      <c r="O73" s="12"/>
      <c r="P73" s="8" t="s">
        <v>41</v>
      </c>
    </row>
    <row r="74" spans="1:16" ht="24" customHeight="1" x14ac:dyDescent="0.25">
      <c r="A74" s="10">
        <v>68</v>
      </c>
      <c r="B74" s="9">
        <v>0.51736111111111105</v>
      </c>
      <c r="C74" s="5" t="s">
        <v>20</v>
      </c>
      <c r="D74" s="5">
        <v>5</v>
      </c>
      <c r="E74" s="15"/>
      <c r="F74" s="15" t="s">
        <v>23</v>
      </c>
      <c r="G74" s="13">
        <v>10080</v>
      </c>
      <c r="H74" s="13">
        <v>15420</v>
      </c>
      <c r="I74" s="13"/>
      <c r="J74" s="13"/>
      <c r="K74" s="13"/>
      <c r="L74" s="13"/>
      <c r="M74" s="13"/>
      <c r="N74" s="12"/>
      <c r="O74" s="12"/>
      <c r="P74" s="8" t="s">
        <v>35</v>
      </c>
    </row>
    <row r="75" spans="1:16" ht="24" customHeight="1" x14ac:dyDescent="0.25">
      <c r="A75" s="10">
        <v>69</v>
      </c>
      <c r="B75" s="9">
        <v>0.51736111111111105</v>
      </c>
      <c r="C75" s="5" t="s">
        <v>20</v>
      </c>
      <c r="D75" s="5">
        <v>9</v>
      </c>
      <c r="E75" s="15"/>
      <c r="F75" s="15" t="s">
        <v>30</v>
      </c>
      <c r="G75" s="13">
        <v>9880</v>
      </c>
      <c r="H75" s="13">
        <v>10220</v>
      </c>
      <c r="I75" s="13">
        <v>12800</v>
      </c>
      <c r="J75" s="13"/>
      <c r="K75" s="13"/>
      <c r="L75" s="13"/>
      <c r="M75" s="13"/>
      <c r="N75" s="12"/>
      <c r="O75" s="12"/>
      <c r="P75" s="8" t="s">
        <v>40</v>
      </c>
    </row>
    <row r="76" spans="1:16" ht="24" customHeight="1" x14ac:dyDescent="0.25">
      <c r="A76" s="10">
        <v>70</v>
      </c>
      <c r="B76" s="9">
        <v>0.5180555555555556</v>
      </c>
      <c r="C76" s="5" t="s">
        <v>20</v>
      </c>
      <c r="D76" s="5">
        <v>7</v>
      </c>
      <c r="E76" s="15"/>
      <c r="F76" s="15" t="s">
        <v>23</v>
      </c>
      <c r="G76" s="13">
        <v>3000</v>
      </c>
      <c r="H76" s="13">
        <v>4020</v>
      </c>
      <c r="I76" s="13"/>
      <c r="J76" s="13"/>
      <c r="K76" s="13"/>
      <c r="L76" s="13"/>
      <c r="M76" s="13"/>
      <c r="N76" s="12"/>
      <c r="O76" s="12"/>
      <c r="P76" s="8" t="s">
        <v>37</v>
      </c>
    </row>
    <row r="77" spans="1:16" ht="24" customHeight="1" x14ac:dyDescent="0.25">
      <c r="A77" s="10">
        <v>71</v>
      </c>
      <c r="B77" s="9">
        <v>0.51874999999999993</v>
      </c>
      <c r="C77" s="5" t="s">
        <v>20</v>
      </c>
      <c r="D77" s="5">
        <v>13</v>
      </c>
      <c r="E77" s="15"/>
      <c r="F77" s="15" t="s">
        <v>24</v>
      </c>
      <c r="G77" s="13">
        <v>10040</v>
      </c>
      <c r="H77" s="13">
        <v>12520</v>
      </c>
      <c r="I77" s="13"/>
      <c r="J77" s="13"/>
      <c r="K77" s="13"/>
      <c r="L77" s="13"/>
      <c r="M77" s="13"/>
      <c r="N77" s="12"/>
      <c r="O77" s="12"/>
      <c r="P77" s="8" t="s">
        <v>41</v>
      </c>
    </row>
    <row r="78" spans="1:16" ht="24" customHeight="1" x14ac:dyDescent="0.25">
      <c r="A78" s="10">
        <v>72</v>
      </c>
      <c r="B78" s="9">
        <v>0.51944444444444449</v>
      </c>
      <c r="C78" s="5" t="s">
        <v>20</v>
      </c>
      <c r="D78" s="5">
        <v>7</v>
      </c>
      <c r="E78" s="15"/>
      <c r="F78" s="15" t="s">
        <v>23</v>
      </c>
      <c r="G78" s="13">
        <v>2380</v>
      </c>
      <c r="H78" s="13">
        <v>2260</v>
      </c>
      <c r="I78" s="13"/>
      <c r="J78" s="13"/>
      <c r="K78" s="13"/>
      <c r="L78" s="13"/>
      <c r="M78" s="13"/>
      <c r="N78" s="12"/>
      <c r="O78" s="12"/>
      <c r="P78" s="8" t="s">
        <v>35</v>
      </c>
    </row>
    <row r="79" spans="1:16" ht="24" customHeight="1" x14ac:dyDescent="0.25">
      <c r="A79" s="10">
        <v>73</v>
      </c>
      <c r="B79" s="9">
        <v>0.51944444444444449</v>
      </c>
      <c r="C79" s="5" t="s">
        <v>20</v>
      </c>
      <c r="D79" s="5">
        <v>5</v>
      </c>
      <c r="E79" s="15"/>
      <c r="F79" s="15" t="s">
        <v>23</v>
      </c>
      <c r="G79" s="13">
        <v>8320</v>
      </c>
      <c r="H79" s="13">
        <v>18060</v>
      </c>
      <c r="I79" s="13"/>
      <c r="J79" s="13"/>
      <c r="K79" s="13"/>
      <c r="L79" s="13"/>
      <c r="M79" s="13"/>
      <c r="N79" s="12"/>
      <c r="O79" s="12"/>
      <c r="P79" s="8" t="s">
        <v>35</v>
      </c>
    </row>
    <row r="80" spans="1:16" ht="24" customHeight="1" x14ac:dyDescent="0.25">
      <c r="A80" s="10">
        <v>74</v>
      </c>
      <c r="B80" s="9">
        <v>0.52152777777777781</v>
      </c>
      <c r="C80" s="5" t="s">
        <v>20</v>
      </c>
      <c r="D80" s="5">
        <v>7</v>
      </c>
      <c r="E80" s="15"/>
      <c r="F80" s="15" t="s">
        <v>23</v>
      </c>
      <c r="G80" s="13">
        <v>1860</v>
      </c>
      <c r="H80" s="13">
        <v>3340</v>
      </c>
      <c r="I80" s="13"/>
      <c r="J80" s="13"/>
      <c r="K80" s="13"/>
      <c r="L80" s="13"/>
      <c r="M80" s="13"/>
      <c r="N80" s="12"/>
      <c r="O80" s="12"/>
      <c r="P80" s="8" t="s">
        <v>35</v>
      </c>
    </row>
    <row r="81" spans="1:16" ht="24" customHeight="1" x14ac:dyDescent="0.25">
      <c r="A81" s="10">
        <v>75</v>
      </c>
      <c r="B81" s="9">
        <v>0.52222222222222225</v>
      </c>
      <c r="C81" s="5" t="s">
        <v>20</v>
      </c>
      <c r="D81" s="5">
        <v>8</v>
      </c>
      <c r="E81" s="15"/>
      <c r="F81" s="15" t="s">
        <v>23</v>
      </c>
      <c r="G81" s="13">
        <v>3320</v>
      </c>
      <c r="H81" s="13">
        <v>3760</v>
      </c>
      <c r="I81" s="13"/>
      <c r="J81" s="13"/>
      <c r="K81" s="13"/>
      <c r="L81" s="13"/>
      <c r="M81" s="13"/>
      <c r="N81" s="12"/>
      <c r="O81" s="12"/>
      <c r="P81" s="8" t="s">
        <v>37</v>
      </c>
    </row>
    <row r="82" spans="1:16" ht="24" customHeight="1" x14ac:dyDescent="0.25">
      <c r="A82" s="10">
        <v>76</v>
      </c>
      <c r="B82" s="9">
        <v>0.53333333333333333</v>
      </c>
      <c r="C82" s="5" t="s">
        <v>20</v>
      </c>
      <c r="D82" s="5">
        <v>13</v>
      </c>
      <c r="E82" s="15"/>
      <c r="F82" s="15" t="s">
        <v>24</v>
      </c>
      <c r="G82" s="13">
        <v>8160</v>
      </c>
      <c r="H82" s="13">
        <v>12280</v>
      </c>
      <c r="I82" s="13">
        <v>11840</v>
      </c>
      <c r="J82" s="13">
        <v>11500</v>
      </c>
      <c r="K82" s="13">
        <v>14300</v>
      </c>
      <c r="L82" s="13">
        <v>11940</v>
      </c>
      <c r="M82" s="13"/>
      <c r="N82" s="12"/>
      <c r="O82" s="12"/>
      <c r="P82" s="8" t="s">
        <v>36</v>
      </c>
    </row>
    <row r="83" spans="1:16" ht="24" customHeight="1" x14ac:dyDescent="0.25">
      <c r="A83" s="10">
        <v>77</v>
      </c>
      <c r="B83" s="9">
        <v>0.53472222222222221</v>
      </c>
      <c r="C83" s="5" t="s">
        <v>20</v>
      </c>
      <c r="D83" s="5">
        <v>8</v>
      </c>
      <c r="E83" s="15"/>
      <c r="F83" s="15" t="s">
        <v>23</v>
      </c>
      <c r="G83" s="13">
        <v>2700</v>
      </c>
      <c r="H83" s="13">
        <v>3200</v>
      </c>
      <c r="I83" s="13"/>
      <c r="J83" s="13"/>
      <c r="K83" s="13"/>
      <c r="L83" s="13"/>
      <c r="M83" s="13"/>
      <c r="N83" s="12"/>
      <c r="O83" s="12"/>
      <c r="P83" s="8" t="s">
        <v>37</v>
      </c>
    </row>
    <row r="84" spans="1:16" ht="24" customHeight="1" x14ac:dyDescent="0.25">
      <c r="A84" s="10">
        <v>78</v>
      </c>
      <c r="B84" s="9">
        <v>0.53611111111111109</v>
      </c>
      <c r="C84" s="5" t="s">
        <v>20</v>
      </c>
      <c r="D84" s="5">
        <v>8</v>
      </c>
      <c r="E84" s="15"/>
      <c r="F84" s="15" t="s">
        <v>23</v>
      </c>
      <c r="G84" s="13">
        <v>3940</v>
      </c>
      <c r="H84" s="13">
        <v>8880</v>
      </c>
      <c r="I84" s="13"/>
      <c r="J84" s="13"/>
      <c r="K84" s="13"/>
      <c r="L84" s="13"/>
      <c r="M84" s="13"/>
      <c r="N84" s="12"/>
      <c r="O84" s="12"/>
      <c r="P84" s="8" t="s">
        <v>41</v>
      </c>
    </row>
    <row r="85" spans="1:16" ht="24" customHeight="1" x14ac:dyDescent="0.25">
      <c r="A85" s="10">
        <v>79</v>
      </c>
      <c r="B85" s="9">
        <v>0.53680555555555554</v>
      </c>
      <c r="C85" s="5" t="s">
        <v>20</v>
      </c>
      <c r="D85" s="5">
        <v>8</v>
      </c>
      <c r="E85" s="15"/>
      <c r="F85" s="15" t="s">
        <v>23</v>
      </c>
      <c r="G85" s="13">
        <v>4800</v>
      </c>
      <c r="H85" s="13">
        <v>16740</v>
      </c>
      <c r="I85" s="13"/>
      <c r="J85" s="13"/>
      <c r="K85" s="13"/>
      <c r="L85" s="13"/>
      <c r="M85" s="13"/>
      <c r="N85" s="12"/>
      <c r="O85" s="12"/>
      <c r="P85" s="8" t="s">
        <v>35</v>
      </c>
    </row>
    <row r="86" spans="1:16" ht="24" customHeight="1" x14ac:dyDescent="0.25">
      <c r="A86" s="10">
        <v>80</v>
      </c>
      <c r="B86" s="9">
        <v>0.53749999999999998</v>
      </c>
      <c r="C86" s="5" t="s">
        <v>20</v>
      </c>
      <c r="D86" s="5">
        <v>7</v>
      </c>
      <c r="E86" s="15"/>
      <c r="F86" s="15" t="s">
        <v>23</v>
      </c>
      <c r="G86" s="13">
        <v>2300</v>
      </c>
      <c r="H86" s="13">
        <v>2000</v>
      </c>
      <c r="I86" s="13"/>
      <c r="J86" s="13"/>
      <c r="K86" s="13"/>
      <c r="L86" s="13"/>
      <c r="M86" s="13"/>
      <c r="N86" s="12"/>
      <c r="O86" s="12"/>
      <c r="P86" s="8" t="s">
        <v>35</v>
      </c>
    </row>
    <row r="87" spans="1:16" ht="24" customHeight="1" x14ac:dyDescent="0.25">
      <c r="A87" s="10">
        <v>81</v>
      </c>
      <c r="B87" s="9">
        <v>0.53749999999999998</v>
      </c>
      <c r="C87" s="5" t="s">
        <v>20</v>
      </c>
      <c r="D87" s="5">
        <v>7</v>
      </c>
      <c r="E87" s="15"/>
      <c r="F87" s="15" t="s">
        <v>23</v>
      </c>
      <c r="G87" s="13">
        <v>2820</v>
      </c>
      <c r="H87" s="13">
        <v>2760</v>
      </c>
      <c r="I87" s="13"/>
      <c r="J87" s="13"/>
      <c r="K87" s="13"/>
      <c r="L87" s="13"/>
      <c r="M87" s="13"/>
      <c r="N87" s="12"/>
      <c r="O87" s="12"/>
      <c r="P87" s="8" t="s">
        <v>37</v>
      </c>
    </row>
    <row r="88" spans="1:16" ht="24" customHeight="1" x14ac:dyDescent="0.25">
      <c r="A88" s="10">
        <v>82</v>
      </c>
      <c r="B88" s="9">
        <v>0.53819444444444442</v>
      </c>
      <c r="C88" s="5" t="s">
        <v>20</v>
      </c>
      <c r="D88" s="5">
        <v>8</v>
      </c>
      <c r="E88" s="15"/>
      <c r="F88" s="15" t="s">
        <v>23</v>
      </c>
      <c r="G88" s="13">
        <v>4440</v>
      </c>
      <c r="H88" s="13">
        <v>5240</v>
      </c>
      <c r="I88" s="13"/>
      <c r="J88" s="13"/>
      <c r="K88" s="13"/>
      <c r="L88" s="13"/>
      <c r="M88" s="13"/>
      <c r="N88" s="12"/>
      <c r="O88" s="12"/>
      <c r="P88" s="8" t="s">
        <v>37</v>
      </c>
    </row>
    <row r="89" spans="1:16" ht="24" customHeight="1" x14ac:dyDescent="0.25">
      <c r="A89" s="10">
        <v>83</v>
      </c>
      <c r="B89" s="9">
        <v>0.53888888888888886</v>
      </c>
      <c r="C89" s="5" t="s">
        <v>20</v>
      </c>
      <c r="D89" s="5">
        <v>10</v>
      </c>
      <c r="E89" s="15"/>
      <c r="F89" s="15" t="s">
        <v>27</v>
      </c>
      <c r="G89" s="13">
        <v>6060</v>
      </c>
      <c r="H89" s="13">
        <v>7380</v>
      </c>
      <c r="I89" s="13">
        <v>15160</v>
      </c>
      <c r="J89" s="13">
        <v>14800</v>
      </c>
      <c r="K89" s="13">
        <v>12440</v>
      </c>
      <c r="L89" s="13">
        <v>14620</v>
      </c>
      <c r="M89" s="13"/>
      <c r="N89" s="12"/>
      <c r="O89" s="12"/>
      <c r="P89" s="8" t="s">
        <v>40</v>
      </c>
    </row>
    <row r="90" spans="1:16" ht="24" customHeight="1" x14ac:dyDescent="0.25">
      <c r="A90" s="10">
        <v>84</v>
      </c>
      <c r="B90" s="9">
        <v>4.2361111111111106E-2</v>
      </c>
      <c r="C90" s="5" t="s">
        <v>20</v>
      </c>
      <c r="D90" s="5">
        <v>8</v>
      </c>
      <c r="E90" s="15"/>
      <c r="F90" s="15" t="s">
        <v>23</v>
      </c>
      <c r="G90" s="13">
        <v>5980</v>
      </c>
      <c r="H90" s="13">
        <v>10540</v>
      </c>
      <c r="I90" s="13"/>
      <c r="J90" s="13"/>
      <c r="K90" s="13"/>
      <c r="L90" s="13"/>
      <c r="M90" s="13"/>
      <c r="N90" s="12"/>
      <c r="O90" s="12"/>
      <c r="P90" s="8" t="s">
        <v>42</v>
      </c>
    </row>
    <row r="91" spans="1:16" ht="24" customHeight="1" x14ac:dyDescent="0.25">
      <c r="A91" s="10">
        <v>85</v>
      </c>
      <c r="B91" s="9">
        <v>4.4444444444444446E-2</v>
      </c>
      <c r="C91" s="5" t="s">
        <v>20</v>
      </c>
      <c r="D91" s="5">
        <v>12</v>
      </c>
      <c r="E91" s="15"/>
      <c r="F91" s="15" t="s">
        <v>25</v>
      </c>
      <c r="G91" s="13">
        <v>10200</v>
      </c>
      <c r="H91" s="13">
        <v>12360</v>
      </c>
      <c r="I91" s="13">
        <v>10540</v>
      </c>
      <c r="J91" s="13">
        <v>12400</v>
      </c>
      <c r="K91" s="13">
        <v>11280</v>
      </c>
      <c r="L91" s="13">
        <v>11940</v>
      </c>
      <c r="M91" s="13"/>
      <c r="N91" s="12"/>
      <c r="O91" s="12"/>
      <c r="P91" s="8" t="s">
        <v>36</v>
      </c>
    </row>
    <row r="92" spans="1:16" ht="24" customHeight="1" x14ac:dyDescent="0.25">
      <c r="A92" s="10">
        <v>86</v>
      </c>
      <c r="B92" s="9">
        <v>4.7222222222222221E-2</v>
      </c>
      <c r="C92" s="5" t="s">
        <v>20</v>
      </c>
      <c r="D92" s="5">
        <v>12</v>
      </c>
      <c r="E92" s="15"/>
      <c r="F92" s="15" t="s">
        <v>32</v>
      </c>
      <c r="G92" s="13">
        <v>6480</v>
      </c>
      <c r="H92" s="13">
        <v>10240</v>
      </c>
      <c r="I92" s="13">
        <v>15020</v>
      </c>
      <c r="J92" s="13">
        <v>12780</v>
      </c>
      <c r="K92" s="13">
        <v>12840</v>
      </c>
      <c r="L92" s="13">
        <v>13880</v>
      </c>
      <c r="M92" s="13"/>
      <c r="N92" s="12"/>
      <c r="O92" s="12"/>
      <c r="P92" s="8" t="s">
        <v>40</v>
      </c>
    </row>
    <row r="93" spans="1:16" ht="24" customHeight="1" x14ac:dyDescent="0.25">
      <c r="A93" s="10">
        <v>87</v>
      </c>
      <c r="B93" s="9">
        <v>4.9999999999999996E-2</v>
      </c>
      <c r="C93" s="5" t="s">
        <v>21</v>
      </c>
      <c r="D93" s="5">
        <v>8</v>
      </c>
      <c r="E93" s="15"/>
      <c r="F93" s="15" t="s">
        <v>23</v>
      </c>
      <c r="G93" s="13">
        <v>3660</v>
      </c>
      <c r="H93" s="13">
        <v>3980</v>
      </c>
      <c r="I93" s="13"/>
      <c r="J93" s="13"/>
      <c r="K93" s="13"/>
      <c r="L93" s="13"/>
      <c r="M93" s="13"/>
      <c r="N93" s="12"/>
      <c r="O93" s="12"/>
      <c r="P93" s="8" t="s">
        <v>37</v>
      </c>
    </row>
    <row r="94" spans="1:16" ht="24" customHeight="1" x14ac:dyDescent="0.25">
      <c r="A94" s="10">
        <v>88</v>
      </c>
      <c r="B94" s="9">
        <v>5.5555555555555552E-2</v>
      </c>
      <c r="C94" s="5" t="s">
        <v>20</v>
      </c>
      <c r="D94" s="5">
        <v>8</v>
      </c>
      <c r="E94" s="15"/>
      <c r="F94" s="15" t="s">
        <v>23</v>
      </c>
      <c r="G94" s="13">
        <v>5620</v>
      </c>
      <c r="H94" s="13">
        <v>8980</v>
      </c>
      <c r="I94" s="13"/>
      <c r="J94" s="13"/>
      <c r="K94" s="13"/>
      <c r="L94" s="13"/>
      <c r="M94" s="13"/>
      <c r="N94" s="12"/>
      <c r="O94" s="12"/>
      <c r="P94" s="8" t="s">
        <v>41</v>
      </c>
    </row>
    <row r="95" spans="1:16" ht="24" customHeight="1" x14ac:dyDescent="0.25">
      <c r="A95" s="10">
        <v>89</v>
      </c>
      <c r="B95" s="9">
        <v>5.6250000000000001E-2</v>
      </c>
      <c r="C95" s="5" t="s">
        <v>20</v>
      </c>
      <c r="D95" s="5">
        <v>7</v>
      </c>
      <c r="E95" s="15"/>
      <c r="F95" s="15" t="s">
        <v>23</v>
      </c>
      <c r="G95" s="13">
        <v>2960</v>
      </c>
      <c r="H95" s="13">
        <v>4500</v>
      </c>
      <c r="I95" s="13"/>
      <c r="J95" s="13"/>
      <c r="K95" s="13"/>
      <c r="L95" s="13"/>
      <c r="M95" s="13"/>
      <c r="N95" s="12"/>
      <c r="O95" s="12"/>
      <c r="P95" s="8" t="s">
        <v>35</v>
      </c>
    </row>
    <row r="96" spans="1:16" ht="24" customHeight="1" x14ac:dyDescent="0.25">
      <c r="A96" s="10">
        <v>90</v>
      </c>
      <c r="B96" s="9">
        <v>5.6250000000000001E-2</v>
      </c>
      <c r="C96" s="5" t="s">
        <v>20</v>
      </c>
      <c r="D96" s="5">
        <v>11</v>
      </c>
      <c r="E96" s="15"/>
      <c r="F96" s="15" t="s">
        <v>33</v>
      </c>
      <c r="G96" s="13">
        <v>3960</v>
      </c>
      <c r="H96" s="13">
        <v>5200</v>
      </c>
      <c r="I96" s="13">
        <v>4560</v>
      </c>
      <c r="J96" s="13">
        <v>4620</v>
      </c>
      <c r="K96" s="13">
        <v>3360</v>
      </c>
      <c r="L96" s="13"/>
      <c r="M96" s="13"/>
      <c r="N96" s="12"/>
      <c r="O96" s="12"/>
      <c r="P96" s="8" t="s">
        <v>37</v>
      </c>
    </row>
    <row r="97" spans="1:16" ht="24" customHeight="1" x14ac:dyDescent="0.25">
      <c r="A97" s="10">
        <v>91</v>
      </c>
      <c r="B97" s="9">
        <v>5.6250000000000001E-2</v>
      </c>
      <c r="C97" s="5" t="s">
        <v>20</v>
      </c>
      <c r="D97" s="5">
        <v>5</v>
      </c>
      <c r="E97" s="15"/>
      <c r="F97" s="15" t="s">
        <v>23</v>
      </c>
      <c r="G97" s="13">
        <v>7920</v>
      </c>
      <c r="H97" s="13">
        <v>12400</v>
      </c>
      <c r="I97" s="13"/>
      <c r="J97" s="13"/>
      <c r="K97" s="13"/>
      <c r="L97" s="13"/>
      <c r="M97" s="13"/>
      <c r="N97" s="12"/>
      <c r="O97" s="12"/>
      <c r="P97" s="8" t="s">
        <v>35</v>
      </c>
    </row>
    <row r="98" spans="1:16" ht="24" customHeight="1" x14ac:dyDescent="0.25">
      <c r="A98" s="10">
        <v>92</v>
      </c>
      <c r="B98" s="9">
        <v>5.8333333333333327E-2</v>
      </c>
      <c r="C98" s="5" t="s">
        <v>20</v>
      </c>
      <c r="D98" s="5">
        <v>8</v>
      </c>
      <c r="E98" s="15"/>
      <c r="F98" s="15" t="s">
        <v>23</v>
      </c>
      <c r="G98" s="13">
        <v>1520</v>
      </c>
      <c r="H98" s="13">
        <v>2340</v>
      </c>
      <c r="I98" s="13"/>
      <c r="J98" s="13"/>
      <c r="K98" s="13"/>
      <c r="L98" s="13"/>
      <c r="M98" s="13"/>
      <c r="N98" s="12"/>
      <c r="O98" s="12"/>
      <c r="P98" s="8" t="s">
        <v>41</v>
      </c>
    </row>
    <row r="99" spans="1:16" ht="24" customHeight="1" x14ac:dyDescent="0.25">
      <c r="A99" s="10">
        <v>93</v>
      </c>
      <c r="B99" s="9">
        <v>5.9722222222222225E-2</v>
      </c>
      <c r="C99" s="5" t="s">
        <v>20</v>
      </c>
      <c r="D99" s="5">
        <v>8</v>
      </c>
      <c r="E99" s="15"/>
      <c r="F99" s="15" t="s">
        <v>23</v>
      </c>
      <c r="G99" s="13">
        <v>5120</v>
      </c>
      <c r="H99" s="13">
        <v>15560</v>
      </c>
      <c r="I99" s="13"/>
      <c r="J99" s="13"/>
      <c r="K99" s="13"/>
      <c r="L99" s="13"/>
      <c r="M99" s="13"/>
      <c r="N99" s="12"/>
      <c r="O99" s="12"/>
      <c r="P99" s="8" t="s">
        <v>42</v>
      </c>
    </row>
    <row r="100" spans="1:16" ht="24" customHeight="1" x14ac:dyDescent="0.25">
      <c r="A100" s="10">
        <v>94</v>
      </c>
      <c r="B100" s="9">
        <v>6.0416666666666667E-2</v>
      </c>
      <c r="C100" s="5" t="s">
        <v>20</v>
      </c>
      <c r="D100" s="5">
        <v>8</v>
      </c>
      <c r="E100" s="15"/>
      <c r="F100" s="15" t="s">
        <v>23</v>
      </c>
      <c r="G100" s="13">
        <v>2260</v>
      </c>
      <c r="H100" s="13">
        <v>2640</v>
      </c>
      <c r="I100" s="13"/>
      <c r="J100" s="13"/>
      <c r="K100" s="13"/>
      <c r="L100" s="13"/>
      <c r="M100" s="13"/>
      <c r="N100" s="12"/>
      <c r="O100" s="12"/>
      <c r="P100" s="8" t="s">
        <v>37</v>
      </c>
    </row>
    <row r="101" spans="1:16" ht="24" customHeight="1" x14ac:dyDescent="0.25">
      <c r="A101" s="10">
        <v>95</v>
      </c>
      <c r="B101" s="9">
        <v>6.1805555555555558E-2</v>
      </c>
      <c r="C101" s="5" t="s">
        <v>20</v>
      </c>
      <c r="D101" s="5">
        <v>8</v>
      </c>
      <c r="E101" s="15"/>
      <c r="F101" s="15" t="s">
        <v>23</v>
      </c>
      <c r="G101" s="13">
        <v>4200</v>
      </c>
      <c r="H101" s="13">
        <v>4120</v>
      </c>
      <c r="I101" s="13"/>
      <c r="J101" s="13"/>
      <c r="K101" s="13"/>
      <c r="L101" s="13"/>
      <c r="M101" s="13"/>
      <c r="N101" s="12"/>
      <c r="O101" s="12"/>
      <c r="P101" s="8" t="s">
        <v>37</v>
      </c>
    </row>
    <row r="102" spans="1:16" ht="24" customHeight="1" x14ac:dyDescent="0.25">
      <c r="A102" s="10">
        <v>96</v>
      </c>
      <c r="B102" s="9">
        <v>6.5972222222222224E-2</v>
      </c>
      <c r="C102" s="5" t="s">
        <v>20</v>
      </c>
      <c r="D102" s="5">
        <v>8</v>
      </c>
      <c r="E102" s="15"/>
      <c r="F102" s="15" t="s">
        <v>23</v>
      </c>
      <c r="G102" s="13">
        <v>3240</v>
      </c>
      <c r="H102" s="13">
        <v>2540</v>
      </c>
      <c r="I102" s="13"/>
      <c r="J102" s="13"/>
      <c r="K102" s="13"/>
      <c r="L102" s="13"/>
      <c r="M102" s="13"/>
      <c r="N102" s="12"/>
      <c r="O102" s="12"/>
      <c r="P102" s="8" t="s">
        <v>37</v>
      </c>
    </row>
    <row r="103" spans="1:16" ht="24" customHeight="1" x14ac:dyDescent="0.25">
      <c r="A103" s="10">
        <v>97</v>
      </c>
      <c r="B103" s="9">
        <v>6.7361111111111108E-2</v>
      </c>
      <c r="C103" s="5" t="s">
        <v>20</v>
      </c>
      <c r="D103" s="5">
        <v>8</v>
      </c>
      <c r="E103" s="15"/>
      <c r="F103" s="15" t="s">
        <v>23</v>
      </c>
      <c r="G103" s="13">
        <v>3620</v>
      </c>
      <c r="H103" s="13">
        <v>4820</v>
      </c>
      <c r="I103" s="13"/>
      <c r="J103" s="13"/>
      <c r="K103" s="13"/>
      <c r="L103" s="13"/>
      <c r="M103" s="13"/>
      <c r="N103" s="12"/>
      <c r="O103" s="12"/>
      <c r="P103" s="8" t="s">
        <v>37</v>
      </c>
    </row>
    <row r="104" spans="1:16" ht="24" customHeight="1" x14ac:dyDescent="0.25">
      <c r="A104" s="10">
        <v>98</v>
      </c>
      <c r="B104" s="9">
        <v>7.1527777777777787E-2</v>
      </c>
      <c r="C104" s="5" t="s">
        <v>20</v>
      </c>
      <c r="D104" s="5">
        <v>12</v>
      </c>
      <c r="E104" s="15"/>
      <c r="F104" s="15" t="s">
        <v>26</v>
      </c>
      <c r="G104" s="13">
        <v>8380</v>
      </c>
      <c r="H104" s="13">
        <v>12980</v>
      </c>
      <c r="I104" s="13">
        <v>11500</v>
      </c>
      <c r="J104" s="13">
        <v>11520</v>
      </c>
      <c r="K104" s="13">
        <v>9980</v>
      </c>
      <c r="L104" s="13">
        <v>11520</v>
      </c>
      <c r="M104" s="13"/>
      <c r="N104" s="12"/>
      <c r="O104" s="12"/>
      <c r="P104" s="8" t="s">
        <v>36</v>
      </c>
    </row>
    <row r="105" spans="1:16" ht="24" customHeight="1" x14ac:dyDescent="0.25">
      <c r="A105" s="10">
        <v>99</v>
      </c>
      <c r="B105" s="9">
        <v>7.4305555555555555E-2</v>
      </c>
      <c r="C105" s="5" t="s">
        <v>20</v>
      </c>
      <c r="D105" s="5">
        <v>12</v>
      </c>
      <c r="E105" s="15"/>
      <c r="F105" s="15" t="s">
        <v>26</v>
      </c>
      <c r="G105" s="13">
        <v>7680</v>
      </c>
      <c r="H105" s="13">
        <v>13940</v>
      </c>
      <c r="I105" s="13">
        <v>13760</v>
      </c>
      <c r="J105" s="13">
        <v>13520</v>
      </c>
      <c r="K105" s="13">
        <v>12580</v>
      </c>
      <c r="L105" s="13">
        <v>15640</v>
      </c>
      <c r="M105" s="13"/>
      <c r="N105" s="12"/>
      <c r="O105" s="12"/>
      <c r="P105" s="8" t="s">
        <v>40</v>
      </c>
    </row>
    <row r="106" spans="1:16" ht="24" customHeight="1" x14ac:dyDescent="0.25">
      <c r="A106" s="10">
        <v>100</v>
      </c>
      <c r="B106" s="9">
        <v>7.5694444444444439E-2</v>
      </c>
      <c r="C106" s="5" t="s">
        <v>20</v>
      </c>
      <c r="D106" s="5">
        <v>12</v>
      </c>
      <c r="E106" s="15"/>
      <c r="F106" s="15" t="s">
        <v>26</v>
      </c>
      <c r="G106" s="13">
        <v>7540</v>
      </c>
      <c r="H106" s="13">
        <v>14340</v>
      </c>
      <c r="I106" s="13">
        <v>13820</v>
      </c>
      <c r="J106" s="13">
        <v>14200</v>
      </c>
      <c r="K106" s="13">
        <v>11840</v>
      </c>
      <c r="L106" s="13">
        <v>15800</v>
      </c>
      <c r="M106" s="13"/>
      <c r="N106" s="12"/>
      <c r="O106" s="12"/>
      <c r="P106" s="8" t="s">
        <v>40</v>
      </c>
    </row>
    <row r="107" spans="1:16" ht="24" customHeight="1" x14ac:dyDescent="0.25">
      <c r="A107" s="10">
        <v>101</v>
      </c>
      <c r="B107" s="9">
        <v>7.6388888888888895E-2</v>
      </c>
      <c r="C107" s="5" t="s">
        <v>20</v>
      </c>
      <c r="D107" s="5">
        <v>12</v>
      </c>
      <c r="E107" s="15"/>
      <c r="F107" s="15" t="s">
        <v>26</v>
      </c>
      <c r="G107" s="13">
        <v>7500</v>
      </c>
      <c r="H107" s="13">
        <v>11200</v>
      </c>
      <c r="I107" s="13">
        <v>10480</v>
      </c>
      <c r="J107" s="13">
        <v>1480</v>
      </c>
      <c r="K107" s="13">
        <v>12520</v>
      </c>
      <c r="L107" s="13">
        <v>14030</v>
      </c>
      <c r="M107" s="13"/>
      <c r="N107" s="12"/>
      <c r="O107" s="12"/>
      <c r="P107" s="8" t="s">
        <v>36</v>
      </c>
    </row>
    <row r="108" spans="1:16" ht="24" customHeight="1" x14ac:dyDescent="0.25">
      <c r="A108" s="10">
        <v>102</v>
      </c>
      <c r="B108" s="9">
        <v>7.8472222222222221E-2</v>
      </c>
      <c r="C108" s="5" t="s">
        <v>20</v>
      </c>
      <c r="D108" s="5">
        <v>8</v>
      </c>
      <c r="E108" s="15"/>
      <c r="F108" s="15" t="s">
        <v>23</v>
      </c>
      <c r="G108" s="13">
        <v>3880</v>
      </c>
      <c r="H108" s="13">
        <v>16720</v>
      </c>
      <c r="I108" s="13"/>
      <c r="J108" s="13"/>
      <c r="K108" s="13"/>
      <c r="L108" s="13"/>
      <c r="M108" s="13"/>
      <c r="N108" s="12"/>
      <c r="O108" s="12"/>
      <c r="P108" s="8" t="s">
        <v>42</v>
      </c>
    </row>
    <row r="109" spans="1:16" ht="24" customHeight="1" x14ac:dyDescent="0.25">
      <c r="A109" s="10">
        <v>103</v>
      </c>
      <c r="B109" s="9">
        <v>7.9861111111111105E-2</v>
      </c>
      <c r="C109" s="5" t="s">
        <v>20</v>
      </c>
      <c r="D109" s="5">
        <v>5</v>
      </c>
      <c r="E109" s="15"/>
      <c r="F109" s="15" t="s">
        <v>23</v>
      </c>
      <c r="G109" s="13">
        <v>9300</v>
      </c>
      <c r="H109" s="13">
        <v>16360</v>
      </c>
      <c r="I109" s="13"/>
      <c r="J109" s="13"/>
      <c r="K109" s="13"/>
      <c r="L109" s="13"/>
      <c r="M109" s="13"/>
      <c r="N109" s="12"/>
      <c r="O109" s="12"/>
      <c r="P109" s="8" t="s">
        <v>35</v>
      </c>
    </row>
    <row r="110" spans="1:16" ht="24" customHeight="1" x14ac:dyDescent="0.25">
      <c r="A110" s="10">
        <v>104</v>
      </c>
      <c r="B110" s="9">
        <v>8.1250000000000003E-2</v>
      </c>
      <c r="C110" s="5" t="s">
        <v>20</v>
      </c>
      <c r="D110" s="5">
        <v>8</v>
      </c>
      <c r="E110" s="15"/>
      <c r="F110" s="15" t="s">
        <v>23</v>
      </c>
      <c r="G110" s="13">
        <v>3060</v>
      </c>
      <c r="H110" s="13">
        <v>3160</v>
      </c>
      <c r="I110" s="13"/>
      <c r="J110" s="13"/>
      <c r="K110" s="13"/>
      <c r="L110" s="13"/>
      <c r="M110" s="13"/>
      <c r="N110" s="12"/>
      <c r="O110" s="12"/>
      <c r="P110" s="8" t="s">
        <v>37</v>
      </c>
    </row>
    <row r="111" spans="1:16" ht="24" customHeight="1" x14ac:dyDescent="0.25">
      <c r="A111" s="10">
        <v>105</v>
      </c>
      <c r="B111" s="9">
        <v>8.2638888888888887E-2</v>
      </c>
      <c r="C111" s="5" t="s">
        <v>20</v>
      </c>
      <c r="D111" s="5">
        <v>12</v>
      </c>
      <c r="E111" s="15"/>
      <c r="F111" s="15" t="s">
        <v>26</v>
      </c>
      <c r="G111" s="13">
        <v>8720</v>
      </c>
      <c r="H111" s="13">
        <v>13700</v>
      </c>
      <c r="I111" s="13">
        <v>14740</v>
      </c>
      <c r="J111" s="13">
        <v>16080</v>
      </c>
      <c r="K111" s="13">
        <v>13900</v>
      </c>
      <c r="L111" s="13">
        <v>10960</v>
      </c>
      <c r="M111" s="13"/>
      <c r="N111" s="12"/>
      <c r="O111" s="12"/>
      <c r="P111" s="8" t="s">
        <v>37</v>
      </c>
    </row>
    <row r="112" spans="1:16" ht="24" customHeight="1" x14ac:dyDescent="0.25">
      <c r="A112" s="10">
        <v>106</v>
      </c>
      <c r="B112" s="9">
        <v>8.4027777777777771E-2</v>
      </c>
      <c r="C112" s="5" t="s">
        <v>20</v>
      </c>
      <c r="D112" s="5">
        <v>8</v>
      </c>
      <c r="E112" s="15"/>
      <c r="F112" s="15" t="s">
        <v>23</v>
      </c>
      <c r="G112" s="13">
        <v>6360</v>
      </c>
      <c r="H112" s="13">
        <v>16420</v>
      </c>
      <c r="I112" s="13"/>
      <c r="J112" s="13"/>
      <c r="K112" s="13"/>
      <c r="L112" s="13"/>
      <c r="M112" s="13"/>
      <c r="N112" s="12"/>
      <c r="O112" s="12"/>
      <c r="P112" s="8" t="s">
        <v>37</v>
      </c>
    </row>
    <row r="113" spans="1:16" ht="24" customHeight="1" x14ac:dyDescent="0.25">
      <c r="A113" s="10">
        <v>107</v>
      </c>
      <c r="B113" s="9">
        <v>8.5416666666666655E-2</v>
      </c>
      <c r="C113" s="5" t="s">
        <v>20</v>
      </c>
      <c r="D113" s="5">
        <v>12</v>
      </c>
      <c r="E113" s="15"/>
      <c r="F113" s="15" t="s">
        <v>26</v>
      </c>
      <c r="G113" s="13">
        <v>8320</v>
      </c>
      <c r="H113" s="13">
        <v>12440</v>
      </c>
      <c r="I113" s="13">
        <v>12240</v>
      </c>
      <c r="J113" s="13">
        <v>16320</v>
      </c>
      <c r="K113" s="13">
        <v>11730</v>
      </c>
      <c r="L113" s="13">
        <v>11500</v>
      </c>
      <c r="M113" s="13"/>
      <c r="N113" s="12"/>
      <c r="O113" s="12"/>
      <c r="P113" s="8" t="s">
        <v>37</v>
      </c>
    </row>
    <row r="114" spans="1:16" ht="24" customHeight="1" x14ac:dyDescent="0.25">
      <c r="A114" s="10">
        <v>108</v>
      </c>
      <c r="B114" s="9">
        <v>8.6111111111111124E-2</v>
      </c>
      <c r="C114" s="5" t="s">
        <v>20</v>
      </c>
      <c r="D114" s="5">
        <v>8</v>
      </c>
      <c r="E114" s="15"/>
      <c r="F114" s="15" t="s">
        <v>23</v>
      </c>
      <c r="G114" s="13">
        <v>3040</v>
      </c>
      <c r="H114" s="13">
        <v>3320</v>
      </c>
      <c r="I114" s="13"/>
      <c r="J114" s="13"/>
      <c r="K114" s="13"/>
      <c r="L114" s="13"/>
      <c r="M114" s="13"/>
      <c r="N114" s="12"/>
      <c r="O114" s="12"/>
      <c r="P114" s="8" t="s">
        <v>37</v>
      </c>
    </row>
    <row r="115" spans="1:16" ht="24" customHeight="1" x14ac:dyDescent="0.25">
      <c r="A115" s="10">
        <v>109</v>
      </c>
      <c r="B115" s="9">
        <v>8.6805555555555566E-2</v>
      </c>
      <c r="C115" s="5" t="s">
        <v>20</v>
      </c>
      <c r="D115" s="5">
        <v>5</v>
      </c>
      <c r="E115" s="15"/>
      <c r="F115" s="15" t="s">
        <v>23</v>
      </c>
      <c r="G115" s="13">
        <v>9200</v>
      </c>
      <c r="H115" s="13">
        <v>14100</v>
      </c>
      <c r="I115" s="13"/>
      <c r="J115" s="13"/>
      <c r="K115" s="13"/>
      <c r="L115" s="13"/>
      <c r="M115" s="13"/>
      <c r="N115" s="12"/>
      <c r="O115" s="12"/>
      <c r="P115" s="8" t="s">
        <v>35</v>
      </c>
    </row>
    <row r="116" spans="1:16" ht="24" customHeight="1" x14ac:dyDescent="0.25">
      <c r="A116" s="10">
        <v>110</v>
      </c>
      <c r="B116" s="9">
        <v>8.7500000000000008E-2</v>
      </c>
      <c r="C116" s="5" t="s">
        <v>20</v>
      </c>
      <c r="D116" s="5">
        <v>5</v>
      </c>
      <c r="E116" s="15"/>
      <c r="F116" s="15" t="s">
        <v>23</v>
      </c>
      <c r="G116" s="13">
        <v>10540</v>
      </c>
      <c r="H116" s="13">
        <v>16620</v>
      </c>
      <c r="I116" s="13"/>
      <c r="J116" s="13"/>
      <c r="K116" s="13"/>
      <c r="L116" s="13"/>
      <c r="M116" s="13"/>
      <c r="N116" s="12"/>
      <c r="O116" s="12"/>
      <c r="P116" s="8" t="s">
        <v>35</v>
      </c>
    </row>
    <row r="117" spans="1:16" ht="24" customHeight="1" x14ac:dyDescent="0.25">
      <c r="A117" s="10">
        <v>111</v>
      </c>
      <c r="B117" s="9">
        <v>8.9583333333333334E-2</v>
      </c>
      <c r="C117" s="5" t="s">
        <v>20</v>
      </c>
      <c r="D117" s="5">
        <v>12</v>
      </c>
      <c r="E117" s="15"/>
      <c r="F117" s="15" t="s">
        <v>26</v>
      </c>
      <c r="G117" s="13">
        <v>7940</v>
      </c>
      <c r="H117" s="13">
        <v>11140</v>
      </c>
      <c r="I117" s="13">
        <v>11140</v>
      </c>
      <c r="J117" s="13">
        <v>12960</v>
      </c>
      <c r="K117" s="13">
        <v>12460</v>
      </c>
      <c r="L117" s="13">
        <v>12320</v>
      </c>
      <c r="M117" s="13"/>
      <c r="N117" s="12"/>
      <c r="O117" s="12"/>
      <c r="P117" s="8" t="s">
        <v>36</v>
      </c>
    </row>
    <row r="118" spans="1:16" ht="24" customHeight="1" x14ac:dyDescent="0.25">
      <c r="A118" s="10">
        <v>112</v>
      </c>
      <c r="B118" s="9">
        <v>9.3055555555555558E-2</v>
      </c>
      <c r="C118" s="5" t="s">
        <v>20</v>
      </c>
      <c r="D118" s="5">
        <v>12</v>
      </c>
      <c r="E118" s="15"/>
      <c r="F118" s="15" t="s">
        <v>27</v>
      </c>
      <c r="G118" s="13">
        <v>7660</v>
      </c>
      <c r="H118" s="13">
        <v>8060</v>
      </c>
      <c r="I118" s="13">
        <v>14400</v>
      </c>
      <c r="J118" s="13">
        <v>16120</v>
      </c>
      <c r="K118" s="13">
        <v>15260</v>
      </c>
      <c r="L118" s="13">
        <v>15580</v>
      </c>
      <c r="M118" s="13"/>
      <c r="N118" s="12"/>
      <c r="O118" s="12"/>
      <c r="P118" s="8" t="s">
        <v>36</v>
      </c>
    </row>
    <row r="119" spans="1:16" ht="24" customHeight="1" x14ac:dyDescent="0.25">
      <c r="A119" s="10">
        <v>113</v>
      </c>
      <c r="B119" s="9">
        <v>9.375E-2</v>
      </c>
      <c r="C119" s="5" t="s">
        <v>20</v>
      </c>
      <c r="D119" s="5">
        <v>5</v>
      </c>
      <c r="E119" s="15"/>
      <c r="F119" s="15" t="s">
        <v>23</v>
      </c>
      <c r="G119" s="13">
        <v>8620</v>
      </c>
      <c r="H119" s="13">
        <v>14160</v>
      </c>
      <c r="I119" s="13"/>
      <c r="J119" s="13"/>
      <c r="K119" s="13"/>
      <c r="L119" s="13"/>
      <c r="M119" s="13"/>
      <c r="N119" s="12"/>
      <c r="O119" s="12"/>
      <c r="P119" s="8" t="s">
        <v>35</v>
      </c>
    </row>
    <row r="120" spans="1:16" ht="24" customHeight="1" x14ac:dyDescent="0.25">
      <c r="A120" s="10">
        <v>114</v>
      </c>
      <c r="B120" s="9">
        <v>9.4444444444444442E-2</v>
      </c>
      <c r="C120" s="5" t="s">
        <v>20</v>
      </c>
      <c r="D120" s="5">
        <v>5</v>
      </c>
      <c r="E120" s="15"/>
      <c r="F120" s="15" t="s">
        <v>23</v>
      </c>
      <c r="G120" s="13">
        <v>10240</v>
      </c>
      <c r="H120" s="13">
        <v>15180</v>
      </c>
      <c r="I120" s="13"/>
      <c r="J120" s="13"/>
      <c r="K120" s="13"/>
      <c r="L120" s="13"/>
      <c r="M120" s="13"/>
      <c r="N120" s="12"/>
      <c r="O120" s="12"/>
      <c r="P120" s="8" t="s">
        <v>35</v>
      </c>
    </row>
    <row r="121" spans="1:16" ht="24" customHeight="1" x14ac:dyDescent="0.25">
      <c r="A121" s="10">
        <v>115</v>
      </c>
      <c r="B121" s="9">
        <v>9.7222222222222224E-2</v>
      </c>
      <c r="C121" s="5" t="s">
        <v>20</v>
      </c>
      <c r="D121" s="5">
        <v>12</v>
      </c>
      <c r="E121" s="15"/>
      <c r="F121" s="15" t="s">
        <v>26</v>
      </c>
      <c r="G121" s="13">
        <v>6400</v>
      </c>
      <c r="H121" s="13">
        <v>13880</v>
      </c>
      <c r="I121" s="13">
        <v>12800</v>
      </c>
      <c r="J121" s="13">
        <v>13860</v>
      </c>
      <c r="K121" s="13">
        <v>18820</v>
      </c>
      <c r="L121" s="13">
        <v>14360</v>
      </c>
      <c r="M121" s="13"/>
      <c r="N121" s="12"/>
      <c r="O121" s="12"/>
      <c r="P121" s="8" t="s">
        <v>40</v>
      </c>
    </row>
    <row r="122" spans="1:16" ht="24" customHeight="1" x14ac:dyDescent="0.25">
      <c r="A122" s="10">
        <v>116</v>
      </c>
      <c r="B122" s="9">
        <v>9.8611111111111108E-2</v>
      </c>
      <c r="C122" s="5" t="s">
        <v>20</v>
      </c>
      <c r="D122" s="5">
        <v>5</v>
      </c>
      <c r="E122" s="15"/>
      <c r="F122" s="15" t="s">
        <v>23</v>
      </c>
      <c r="G122" s="13">
        <v>9780</v>
      </c>
      <c r="H122" s="13">
        <v>16340</v>
      </c>
      <c r="I122" s="13"/>
      <c r="J122" s="13"/>
      <c r="K122" s="13"/>
      <c r="L122" s="13"/>
      <c r="M122" s="13"/>
      <c r="N122" s="12"/>
      <c r="O122" s="12"/>
      <c r="P122" s="8" t="s">
        <v>35</v>
      </c>
    </row>
    <row r="123" spans="1:16" ht="24" customHeight="1" x14ac:dyDescent="0.25">
      <c r="A123" s="10">
        <v>117</v>
      </c>
      <c r="B123" s="9">
        <v>0.10069444444444443</v>
      </c>
      <c r="C123" s="5" t="s">
        <v>20</v>
      </c>
      <c r="D123" s="5">
        <v>12</v>
      </c>
      <c r="E123" s="15"/>
      <c r="F123" s="15" t="s">
        <v>25</v>
      </c>
      <c r="G123" s="13">
        <v>8720</v>
      </c>
      <c r="H123" s="13">
        <v>14340</v>
      </c>
      <c r="I123" s="13">
        <v>14420</v>
      </c>
      <c r="J123" s="13">
        <v>13060</v>
      </c>
      <c r="K123" s="13">
        <v>8600</v>
      </c>
      <c r="L123" s="13">
        <v>13760</v>
      </c>
      <c r="M123" s="13"/>
      <c r="N123" s="12"/>
      <c r="O123" s="12"/>
      <c r="P123" s="8" t="s">
        <v>37</v>
      </c>
    </row>
    <row r="124" spans="1:16" ht="24" customHeight="1" x14ac:dyDescent="0.25">
      <c r="A124" s="10">
        <v>118</v>
      </c>
      <c r="B124" s="9">
        <v>0.10277777777777779</v>
      </c>
      <c r="C124" s="5" t="s">
        <v>20</v>
      </c>
      <c r="D124" s="5">
        <v>13</v>
      </c>
      <c r="E124" s="15"/>
      <c r="F124" s="15" t="s">
        <v>24</v>
      </c>
      <c r="G124" s="13">
        <v>8620</v>
      </c>
      <c r="H124" s="13">
        <v>12360</v>
      </c>
      <c r="I124" s="13">
        <v>13780</v>
      </c>
      <c r="J124" s="13">
        <v>14760</v>
      </c>
      <c r="K124" s="13">
        <v>13220</v>
      </c>
      <c r="L124" s="13">
        <v>11140</v>
      </c>
      <c r="M124" s="13">
        <v>11140</v>
      </c>
      <c r="N124" s="12"/>
      <c r="O124" s="12"/>
      <c r="P124" s="8" t="s">
        <v>37</v>
      </c>
    </row>
    <row r="125" spans="1:16" ht="24" customHeight="1" x14ac:dyDescent="0.25">
      <c r="A125" s="10">
        <v>119</v>
      </c>
      <c r="B125" s="9">
        <v>0.10347222222222223</v>
      </c>
      <c r="C125" s="5" t="s">
        <v>20</v>
      </c>
      <c r="D125" s="5">
        <v>9</v>
      </c>
      <c r="E125" s="15"/>
      <c r="F125" s="15" t="s">
        <v>30</v>
      </c>
      <c r="G125" s="13">
        <v>900</v>
      </c>
      <c r="H125" s="13">
        <v>5240</v>
      </c>
      <c r="I125" s="13">
        <v>6200</v>
      </c>
      <c r="J125" s="13"/>
      <c r="K125" s="13"/>
      <c r="L125" s="13"/>
      <c r="M125" s="13"/>
      <c r="N125" s="12"/>
      <c r="O125" s="12"/>
      <c r="P125" s="8" t="s">
        <v>37</v>
      </c>
    </row>
    <row r="126" spans="1:16" ht="24" customHeight="1" x14ac:dyDescent="0.25">
      <c r="A126" s="10">
        <v>120</v>
      </c>
      <c r="B126" s="9">
        <v>0.10555555555555556</v>
      </c>
      <c r="C126" s="5" t="s">
        <v>20</v>
      </c>
      <c r="D126" s="5">
        <v>8</v>
      </c>
      <c r="E126" s="15"/>
      <c r="F126" s="15" t="s">
        <v>23</v>
      </c>
      <c r="G126" s="13">
        <v>6320</v>
      </c>
      <c r="H126" s="13">
        <v>16800</v>
      </c>
      <c r="I126" s="13"/>
      <c r="J126" s="13"/>
      <c r="K126" s="13"/>
      <c r="L126" s="13"/>
      <c r="M126" s="13"/>
      <c r="N126" s="12"/>
      <c r="O126" s="12"/>
      <c r="P126" s="8" t="s">
        <v>37</v>
      </c>
    </row>
    <row r="127" spans="1:16" ht="24" customHeight="1" x14ac:dyDescent="0.25">
      <c r="A127" s="10">
        <v>121</v>
      </c>
      <c r="B127" s="9">
        <v>0.11041666666666666</v>
      </c>
      <c r="C127" s="5" t="s">
        <v>20</v>
      </c>
      <c r="D127" s="5">
        <v>10</v>
      </c>
      <c r="E127" s="15"/>
      <c r="F127" s="15" t="s">
        <v>31</v>
      </c>
      <c r="G127" s="13">
        <v>9620</v>
      </c>
      <c r="H127" s="13">
        <v>9840</v>
      </c>
      <c r="I127" s="13">
        <v>12520</v>
      </c>
      <c r="J127" s="13">
        <v>11720</v>
      </c>
      <c r="K127" s="13"/>
      <c r="L127" s="13"/>
      <c r="M127" s="13"/>
      <c r="N127" s="12"/>
      <c r="O127" s="12"/>
      <c r="P127" s="8" t="s">
        <v>43</v>
      </c>
    </row>
    <row r="128" spans="1:16" ht="24" customHeight="1" x14ac:dyDescent="0.25">
      <c r="A128" s="10">
        <v>122</v>
      </c>
      <c r="B128" s="9">
        <v>0.1111111111111111</v>
      </c>
      <c r="C128" s="5" t="s">
        <v>20</v>
      </c>
      <c r="D128" s="5">
        <v>8</v>
      </c>
      <c r="E128" s="15"/>
      <c r="F128" s="15" t="s">
        <v>23</v>
      </c>
      <c r="G128" s="13">
        <v>4440</v>
      </c>
      <c r="H128" s="13">
        <v>5980</v>
      </c>
      <c r="I128" s="13"/>
      <c r="J128" s="13"/>
      <c r="K128" s="13"/>
      <c r="L128" s="13"/>
      <c r="M128" s="13"/>
      <c r="N128" s="12"/>
      <c r="O128" s="12"/>
      <c r="P128" s="8" t="s">
        <v>38</v>
      </c>
    </row>
    <row r="129" spans="1:16" ht="24" customHeight="1" x14ac:dyDescent="0.25">
      <c r="A129" s="10">
        <v>123</v>
      </c>
      <c r="B129" s="9">
        <v>0.11319444444444444</v>
      </c>
      <c r="C129" s="5" t="s">
        <v>20</v>
      </c>
      <c r="D129" s="5">
        <v>9</v>
      </c>
      <c r="E129" s="15"/>
      <c r="F129" s="15" t="s">
        <v>30</v>
      </c>
      <c r="G129" s="13">
        <v>10260</v>
      </c>
      <c r="H129" s="13">
        <v>13260</v>
      </c>
      <c r="I129" s="13">
        <v>12440</v>
      </c>
      <c r="J129" s="13"/>
      <c r="K129" s="13"/>
      <c r="L129" s="13"/>
      <c r="M129" s="13"/>
      <c r="N129" s="12"/>
      <c r="O129" s="12"/>
      <c r="P129" s="8" t="s">
        <v>40</v>
      </c>
    </row>
    <row r="130" spans="1:16" ht="24" customHeight="1" x14ac:dyDescent="0.25">
      <c r="A130" s="10">
        <v>124</v>
      </c>
      <c r="B130" s="9">
        <v>0.11458333333333333</v>
      </c>
      <c r="C130" s="5" t="s">
        <v>20</v>
      </c>
      <c r="D130" s="5">
        <v>8</v>
      </c>
      <c r="E130" s="15"/>
      <c r="F130" s="15" t="s">
        <v>23</v>
      </c>
      <c r="G130" s="13">
        <v>2900</v>
      </c>
      <c r="H130" s="13">
        <v>3260</v>
      </c>
      <c r="I130" s="13"/>
      <c r="J130" s="13"/>
      <c r="K130" s="13"/>
      <c r="L130" s="13"/>
      <c r="M130" s="13"/>
      <c r="N130" s="12"/>
      <c r="O130" s="12"/>
      <c r="P130" s="8" t="s">
        <v>37</v>
      </c>
    </row>
    <row r="131" spans="1:16" ht="24" customHeight="1" x14ac:dyDescent="0.25">
      <c r="A131" s="10">
        <v>125</v>
      </c>
      <c r="B131" s="9">
        <v>0.11527777777777777</v>
      </c>
      <c r="C131" s="5" t="s">
        <v>22</v>
      </c>
      <c r="D131" s="5">
        <v>12</v>
      </c>
      <c r="E131" s="15"/>
      <c r="F131" s="15" t="s">
        <v>26</v>
      </c>
      <c r="G131" s="13">
        <v>8240</v>
      </c>
      <c r="H131" s="13">
        <v>11320</v>
      </c>
      <c r="I131" s="13">
        <v>12400</v>
      </c>
      <c r="J131" s="13">
        <v>15140</v>
      </c>
      <c r="K131" s="13">
        <v>15240</v>
      </c>
      <c r="L131" s="13">
        <v>17540</v>
      </c>
      <c r="M131" s="13"/>
      <c r="N131" s="12"/>
      <c r="O131" s="12"/>
      <c r="P131" s="8" t="s">
        <v>41</v>
      </c>
    </row>
    <row r="132" spans="1:16" ht="24" customHeight="1" x14ac:dyDescent="0.25">
      <c r="A132" s="10">
        <v>126</v>
      </c>
      <c r="B132" s="9">
        <v>0.11805555555555557</v>
      </c>
      <c r="C132" s="5" t="s">
        <v>21</v>
      </c>
      <c r="D132" s="5">
        <v>12</v>
      </c>
      <c r="E132" s="15"/>
      <c r="F132" s="15" t="s">
        <v>26</v>
      </c>
      <c r="G132" s="13">
        <v>7160</v>
      </c>
      <c r="H132" s="13">
        <v>8120</v>
      </c>
      <c r="I132" s="13">
        <v>7540</v>
      </c>
      <c r="J132" s="13">
        <v>8820</v>
      </c>
      <c r="K132" s="13">
        <v>8100</v>
      </c>
      <c r="L132" s="13">
        <v>8220</v>
      </c>
      <c r="M132" s="13"/>
      <c r="N132" s="12"/>
      <c r="O132" s="12"/>
      <c r="P132" s="8" t="s">
        <v>37</v>
      </c>
    </row>
    <row r="133" spans="1:16" ht="24" customHeight="1" x14ac:dyDescent="0.25">
      <c r="A133" s="10">
        <v>127</v>
      </c>
      <c r="B133" s="9">
        <v>0.11875000000000001</v>
      </c>
      <c r="C133" s="5" t="s">
        <v>20</v>
      </c>
      <c r="D133" s="5">
        <v>9</v>
      </c>
      <c r="E133" s="15"/>
      <c r="F133" s="15" t="s">
        <v>30</v>
      </c>
      <c r="G133" s="13">
        <v>8160</v>
      </c>
      <c r="H133" s="13">
        <v>17220</v>
      </c>
      <c r="I133" s="13">
        <v>9660</v>
      </c>
      <c r="J133" s="13"/>
      <c r="K133" s="13"/>
      <c r="L133" s="13"/>
      <c r="M133" s="13"/>
      <c r="N133" s="12"/>
      <c r="O133" s="12"/>
      <c r="P133" s="8" t="s">
        <v>36</v>
      </c>
    </row>
    <row r="134" spans="1:16" ht="24" customHeight="1" x14ac:dyDescent="0.25">
      <c r="A134" s="10">
        <v>128</v>
      </c>
      <c r="B134" s="9">
        <v>0.11944444444444445</v>
      </c>
      <c r="C134" s="5" t="s">
        <v>20</v>
      </c>
      <c r="D134" s="5">
        <v>5</v>
      </c>
      <c r="E134" s="15"/>
      <c r="F134" s="15" t="s">
        <v>23</v>
      </c>
      <c r="G134" s="13">
        <v>9800</v>
      </c>
      <c r="H134" s="13">
        <v>14250</v>
      </c>
      <c r="I134" s="13"/>
      <c r="J134" s="13"/>
      <c r="K134" s="13"/>
      <c r="L134" s="13"/>
      <c r="M134" s="13"/>
      <c r="N134" s="12"/>
      <c r="O134" s="12"/>
      <c r="P134" s="8" t="s">
        <v>35</v>
      </c>
    </row>
    <row r="135" spans="1:16" ht="24" customHeight="1" x14ac:dyDescent="0.25">
      <c r="A135" s="10">
        <v>129</v>
      </c>
      <c r="B135" s="9">
        <v>0.11944444444444445</v>
      </c>
      <c r="C135" s="5" t="s">
        <v>20</v>
      </c>
      <c r="D135" s="5">
        <v>8</v>
      </c>
      <c r="E135" s="15"/>
      <c r="F135" s="15" t="s">
        <v>23</v>
      </c>
      <c r="G135" s="13">
        <v>3560</v>
      </c>
      <c r="H135" s="13">
        <v>5020</v>
      </c>
      <c r="I135" s="13"/>
      <c r="J135" s="13"/>
      <c r="K135" s="13"/>
      <c r="L135" s="13"/>
      <c r="M135" s="13"/>
      <c r="N135" s="12"/>
      <c r="O135" s="12"/>
      <c r="P135" s="8" t="s">
        <v>38</v>
      </c>
    </row>
    <row r="136" spans="1:16" ht="24" customHeight="1" x14ac:dyDescent="0.25">
      <c r="A136" s="10">
        <v>130</v>
      </c>
      <c r="B136" s="9">
        <v>0.12013888888888889</v>
      </c>
      <c r="C136" s="5" t="s">
        <v>20</v>
      </c>
      <c r="D136" s="5">
        <v>9</v>
      </c>
      <c r="E136" s="15"/>
      <c r="F136" s="15" t="s">
        <v>30</v>
      </c>
      <c r="G136" s="13">
        <v>6620</v>
      </c>
      <c r="H136" s="13">
        <v>5600</v>
      </c>
      <c r="I136" s="13">
        <v>4620</v>
      </c>
      <c r="J136" s="13"/>
      <c r="K136" s="13"/>
      <c r="L136" s="13"/>
      <c r="M136" s="13"/>
      <c r="N136" s="12"/>
      <c r="O136" s="12"/>
      <c r="P136" s="8" t="s">
        <v>37</v>
      </c>
    </row>
    <row r="137" spans="1:16" ht="24" customHeight="1" x14ac:dyDescent="0.25">
      <c r="A137" s="10">
        <v>131</v>
      </c>
      <c r="B137" s="9">
        <v>0.12361111111111112</v>
      </c>
      <c r="C137" s="5" t="s">
        <v>20</v>
      </c>
      <c r="D137" s="5">
        <v>12</v>
      </c>
      <c r="E137" s="15"/>
      <c r="F137" s="15" t="s">
        <v>26</v>
      </c>
      <c r="G137" s="13">
        <v>8040</v>
      </c>
      <c r="H137" s="13">
        <v>11580</v>
      </c>
      <c r="I137" s="13">
        <v>11500</v>
      </c>
      <c r="J137" s="13">
        <v>13920</v>
      </c>
      <c r="K137" s="13">
        <v>10600</v>
      </c>
      <c r="L137" s="13">
        <v>16340</v>
      </c>
      <c r="M137" s="13"/>
      <c r="N137" s="12"/>
      <c r="O137" s="12"/>
      <c r="P137" s="8" t="s">
        <v>36</v>
      </c>
    </row>
    <row r="138" spans="1:16" ht="24" customHeight="1" x14ac:dyDescent="0.25">
      <c r="A138" s="10">
        <v>132</v>
      </c>
      <c r="B138" s="9">
        <v>0.12430555555555556</v>
      </c>
      <c r="C138" s="5" t="s">
        <v>20</v>
      </c>
      <c r="D138" s="5">
        <v>10</v>
      </c>
      <c r="E138" s="15"/>
      <c r="F138" s="15" t="s">
        <v>34</v>
      </c>
      <c r="G138" s="13">
        <v>9740</v>
      </c>
      <c r="H138" s="13">
        <v>19440</v>
      </c>
      <c r="I138" s="13">
        <v>19060</v>
      </c>
      <c r="J138" s="13">
        <v>6680</v>
      </c>
      <c r="K138" s="13"/>
      <c r="L138" s="13"/>
      <c r="M138" s="13"/>
      <c r="N138" s="12"/>
      <c r="O138" s="12"/>
      <c r="P138" s="8" t="s">
        <v>43</v>
      </c>
    </row>
    <row r="139" spans="1:16" ht="24" customHeight="1" x14ac:dyDescent="0.25">
      <c r="A139" s="10">
        <v>133</v>
      </c>
      <c r="B139" s="9">
        <v>0.13125000000000001</v>
      </c>
      <c r="C139" s="5" t="s">
        <v>20</v>
      </c>
      <c r="D139" s="5">
        <v>8</v>
      </c>
      <c r="E139" s="15"/>
      <c r="F139" s="15" t="s">
        <v>23</v>
      </c>
      <c r="G139" s="13">
        <v>5340</v>
      </c>
      <c r="H139" s="13">
        <v>15020</v>
      </c>
      <c r="I139" s="13"/>
      <c r="J139" s="13"/>
      <c r="K139" s="13"/>
      <c r="L139" s="13"/>
      <c r="M139" s="13"/>
      <c r="N139" s="12"/>
      <c r="O139" s="12"/>
      <c r="P139" s="8" t="s">
        <v>36</v>
      </c>
    </row>
    <row r="140" spans="1:16" ht="24" customHeight="1" x14ac:dyDescent="0.25">
      <c r="A140" s="10">
        <v>134</v>
      </c>
      <c r="B140" s="9">
        <v>0.13194444444444445</v>
      </c>
      <c r="C140" s="5" t="s">
        <v>20</v>
      </c>
      <c r="D140" s="5">
        <v>9</v>
      </c>
      <c r="E140" s="15"/>
      <c r="F140" s="15" t="s">
        <v>30</v>
      </c>
      <c r="G140" s="13">
        <v>5540</v>
      </c>
      <c r="H140" s="13">
        <v>5400</v>
      </c>
      <c r="I140" s="13">
        <v>6920</v>
      </c>
      <c r="J140" s="13"/>
      <c r="K140" s="13"/>
      <c r="L140" s="13"/>
      <c r="M140" s="13"/>
      <c r="N140" s="12"/>
      <c r="O140" s="12"/>
      <c r="P140" s="8" t="s">
        <v>37</v>
      </c>
    </row>
    <row r="141" spans="1:16" ht="24" customHeight="1" x14ac:dyDescent="0.25">
      <c r="A141" s="10">
        <v>135</v>
      </c>
      <c r="B141" s="9">
        <v>0.13541666666666666</v>
      </c>
      <c r="C141" s="5" t="s">
        <v>20</v>
      </c>
      <c r="D141" s="5">
        <v>8</v>
      </c>
      <c r="E141" s="15"/>
      <c r="F141" s="15" t="s">
        <v>23</v>
      </c>
      <c r="G141" s="13">
        <v>7300</v>
      </c>
      <c r="H141" s="13">
        <v>15640</v>
      </c>
      <c r="I141" s="13"/>
      <c r="J141" s="13"/>
      <c r="K141" s="13"/>
      <c r="L141" s="13"/>
      <c r="M141" s="13"/>
      <c r="N141" s="12"/>
      <c r="O141" s="12"/>
      <c r="P141" s="8" t="s">
        <v>40</v>
      </c>
    </row>
    <row r="142" spans="1:16" ht="24" customHeight="1" x14ac:dyDescent="0.25">
      <c r="A142" s="10">
        <v>136</v>
      </c>
      <c r="B142" s="9">
        <v>0.13749999999999998</v>
      </c>
      <c r="C142" s="5" t="s">
        <v>20</v>
      </c>
      <c r="D142" s="5">
        <v>8</v>
      </c>
      <c r="E142" s="15"/>
      <c r="F142" s="15" t="s">
        <v>23</v>
      </c>
      <c r="G142" s="13">
        <v>6040</v>
      </c>
      <c r="H142" s="13">
        <v>16160</v>
      </c>
      <c r="I142" s="13"/>
      <c r="J142" s="13"/>
      <c r="K142" s="13"/>
      <c r="L142" s="13"/>
      <c r="M142" s="13"/>
      <c r="N142" s="12"/>
      <c r="O142" s="12"/>
      <c r="P142" s="8" t="s">
        <v>36</v>
      </c>
    </row>
    <row r="143" spans="1:16" ht="24" customHeight="1" x14ac:dyDescent="0.25">
      <c r="A143" s="10">
        <v>137</v>
      </c>
      <c r="B143" s="9">
        <v>0.13749999999999998</v>
      </c>
      <c r="C143" s="5" t="s">
        <v>20</v>
      </c>
      <c r="D143" s="5">
        <v>8</v>
      </c>
      <c r="E143" s="15"/>
      <c r="F143" s="15" t="s">
        <v>23</v>
      </c>
      <c r="G143" s="13">
        <v>3260</v>
      </c>
      <c r="H143" s="13">
        <v>4000</v>
      </c>
      <c r="I143" s="13"/>
      <c r="J143" s="13"/>
      <c r="K143" s="13"/>
      <c r="L143" s="13"/>
      <c r="M143" s="13"/>
      <c r="N143" s="12"/>
      <c r="O143" s="12"/>
      <c r="P143" s="8" t="s">
        <v>37</v>
      </c>
    </row>
    <row r="144" spans="1:16" ht="24" customHeight="1" x14ac:dyDescent="0.25">
      <c r="A144" s="10">
        <v>138</v>
      </c>
      <c r="B144" s="9">
        <v>0.13749999999999998</v>
      </c>
      <c r="C144" s="5" t="s">
        <v>20</v>
      </c>
      <c r="D144" s="5">
        <v>10</v>
      </c>
      <c r="E144" s="15"/>
      <c r="F144" s="15" t="s">
        <v>31</v>
      </c>
      <c r="G144" s="13">
        <v>3740</v>
      </c>
      <c r="H144" s="13">
        <v>5300</v>
      </c>
      <c r="I144" s="13">
        <v>3820</v>
      </c>
      <c r="J144" s="13">
        <v>4240</v>
      </c>
      <c r="K144" s="13"/>
      <c r="L144" s="13"/>
      <c r="M144" s="13"/>
      <c r="N144" s="12"/>
      <c r="O144" s="12"/>
      <c r="P144" s="8" t="s">
        <v>37</v>
      </c>
    </row>
    <row r="145" spans="1:16" ht="24" customHeight="1" x14ac:dyDescent="0.25">
      <c r="A145" s="10">
        <v>139</v>
      </c>
      <c r="B145" s="9">
        <v>0.14097222222222222</v>
      </c>
      <c r="C145" s="5" t="s">
        <v>20</v>
      </c>
      <c r="D145" s="5">
        <v>8</v>
      </c>
      <c r="E145" s="15"/>
      <c r="F145" s="15" t="s">
        <v>23</v>
      </c>
      <c r="G145" s="13">
        <v>2120</v>
      </c>
      <c r="H145" s="13">
        <v>3020</v>
      </c>
      <c r="I145" s="13"/>
      <c r="J145" s="13"/>
      <c r="K145" s="13"/>
      <c r="L145" s="13"/>
      <c r="M145" s="13"/>
      <c r="N145" s="12"/>
      <c r="O145" s="12"/>
      <c r="P145" s="8" t="s">
        <v>37</v>
      </c>
    </row>
    <row r="146" spans="1:16" ht="24" customHeight="1" x14ac:dyDescent="0.25">
      <c r="A146" s="10">
        <v>140</v>
      </c>
      <c r="B146" s="9">
        <v>0.14166666666666666</v>
      </c>
      <c r="C146" s="5" t="s">
        <v>20</v>
      </c>
      <c r="D146" s="5">
        <v>8</v>
      </c>
      <c r="E146" s="15"/>
      <c r="F146" s="15" t="s">
        <v>23</v>
      </c>
      <c r="G146" s="13">
        <v>2040</v>
      </c>
      <c r="H146" s="13">
        <v>3160</v>
      </c>
      <c r="I146" s="13"/>
      <c r="J146" s="13"/>
      <c r="K146" s="13"/>
      <c r="L146" s="13"/>
      <c r="M146" s="13"/>
      <c r="N146" s="12"/>
      <c r="O146" s="12"/>
      <c r="P146" s="8" t="s">
        <v>37</v>
      </c>
    </row>
    <row r="147" spans="1:16" ht="24" customHeight="1" x14ac:dyDescent="0.25">
      <c r="A147" s="10">
        <v>141</v>
      </c>
      <c r="B147" s="9">
        <v>0.14305555555555557</v>
      </c>
      <c r="C147" s="5" t="s">
        <v>20</v>
      </c>
      <c r="D147" s="5">
        <v>8</v>
      </c>
      <c r="E147" s="15"/>
      <c r="F147" s="15" t="s">
        <v>23</v>
      </c>
      <c r="G147" s="13">
        <v>2380</v>
      </c>
      <c r="H147" s="13">
        <v>4200</v>
      </c>
      <c r="I147" s="13"/>
      <c r="J147" s="13"/>
      <c r="K147" s="13"/>
      <c r="L147" s="13"/>
      <c r="M147" s="13"/>
      <c r="N147" s="12"/>
      <c r="O147" s="12"/>
      <c r="P147" s="8" t="s">
        <v>38</v>
      </c>
    </row>
    <row r="148" spans="1:16" ht="24" customHeight="1" x14ac:dyDescent="0.25">
      <c r="A148" s="10">
        <v>142</v>
      </c>
      <c r="B148" s="9">
        <v>0.14444444444444446</v>
      </c>
      <c r="C148" s="5" t="s">
        <v>20</v>
      </c>
      <c r="D148" s="5">
        <v>8</v>
      </c>
      <c r="E148" s="15"/>
      <c r="F148" s="15" t="s">
        <v>23</v>
      </c>
      <c r="G148" s="13">
        <v>5360</v>
      </c>
      <c r="H148" s="13">
        <v>17380</v>
      </c>
      <c r="I148" s="13"/>
      <c r="J148" s="13"/>
      <c r="K148" s="13"/>
      <c r="L148" s="13"/>
      <c r="M148" s="13"/>
      <c r="N148" s="12"/>
      <c r="O148" s="12"/>
      <c r="P148" s="8" t="s">
        <v>36</v>
      </c>
    </row>
    <row r="149" spans="1:16" ht="24" customHeight="1" x14ac:dyDescent="0.25">
      <c r="A149" s="10">
        <v>143</v>
      </c>
      <c r="B149" s="9">
        <v>0.1451388888888889</v>
      </c>
      <c r="C149" s="5" t="s">
        <v>20</v>
      </c>
      <c r="D149" s="5">
        <v>8</v>
      </c>
      <c r="E149" s="15"/>
      <c r="F149" s="15" t="s">
        <v>23</v>
      </c>
      <c r="G149" s="13">
        <v>2960</v>
      </c>
      <c r="H149" s="13">
        <v>3020</v>
      </c>
      <c r="I149" s="13"/>
      <c r="J149" s="13"/>
      <c r="K149" s="13"/>
      <c r="L149" s="13"/>
      <c r="M149" s="13"/>
      <c r="N149" s="12"/>
      <c r="O149" s="12"/>
      <c r="P149" s="8" t="s">
        <v>37</v>
      </c>
    </row>
    <row r="150" spans="1:16" ht="24" customHeight="1" x14ac:dyDescent="0.25">
      <c r="A150" s="10">
        <v>144</v>
      </c>
      <c r="B150" s="9">
        <v>0.14583333333333334</v>
      </c>
      <c r="C150" s="5" t="s">
        <v>20</v>
      </c>
      <c r="D150" s="5">
        <v>12</v>
      </c>
      <c r="E150" s="15"/>
      <c r="F150" s="15" t="s">
        <v>27</v>
      </c>
      <c r="G150" s="13">
        <v>7080</v>
      </c>
      <c r="H150" s="13">
        <v>8760</v>
      </c>
      <c r="I150" s="13">
        <v>16000</v>
      </c>
      <c r="J150" s="13">
        <v>17140</v>
      </c>
      <c r="K150" s="13">
        <v>13360</v>
      </c>
      <c r="L150" s="13">
        <v>15560</v>
      </c>
      <c r="M150" s="13"/>
      <c r="N150" s="12"/>
      <c r="O150" s="12"/>
      <c r="P150" s="8" t="s">
        <v>37</v>
      </c>
    </row>
    <row r="151" spans="1:16" ht="24" customHeight="1" x14ac:dyDescent="0.25">
      <c r="A151" s="10">
        <v>145</v>
      </c>
      <c r="B151" s="9">
        <v>0.14583333333333334</v>
      </c>
      <c r="C151" s="5" t="s">
        <v>20</v>
      </c>
      <c r="D151" s="5">
        <v>10</v>
      </c>
      <c r="E151" s="15"/>
      <c r="F151" s="15" t="s">
        <v>31</v>
      </c>
      <c r="G151" s="13">
        <v>8180</v>
      </c>
      <c r="H151" s="13">
        <v>14020</v>
      </c>
      <c r="I151" s="13">
        <v>9460</v>
      </c>
      <c r="J151" s="13">
        <v>8070</v>
      </c>
      <c r="K151" s="13"/>
      <c r="L151" s="13"/>
      <c r="M151" s="13"/>
      <c r="N151" s="12"/>
      <c r="O151" s="12"/>
      <c r="P151" s="8" t="s">
        <v>40</v>
      </c>
    </row>
    <row r="152" spans="1:16" ht="24" customHeight="1" x14ac:dyDescent="0.25">
      <c r="A152" s="10">
        <v>146</v>
      </c>
      <c r="B152" s="9">
        <v>0.14791666666666667</v>
      </c>
      <c r="C152" s="5" t="s">
        <v>20</v>
      </c>
      <c r="D152" s="5">
        <v>8</v>
      </c>
      <c r="E152" s="15"/>
      <c r="F152" s="15" t="s">
        <v>23</v>
      </c>
      <c r="G152" s="13">
        <v>5260</v>
      </c>
      <c r="H152" s="13">
        <v>18980</v>
      </c>
      <c r="I152" s="13"/>
      <c r="J152" s="13"/>
      <c r="K152" s="13"/>
      <c r="L152" s="13"/>
      <c r="M152" s="13"/>
      <c r="N152" s="12"/>
      <c r="O152" s="12"/>
      <c r="P152" s="8" t="s">
        <v>40</v>
      </c>
    </row>
    <row r="153" spans="1:16" ht="24" customHeight="1" x14ac:dyDescent="0.25">
      <c r="A153" s="10">
        <v>147</v>
      </c>
      <c r="B153" s="9">
        <v>0.14861111111111111</v>
      </c>
      <c r="C153" s="5" t="s">
        <v>20</v>
      </c>
      <c r="D153" s="5">
        <v>8</v>
      </c>
      <c r="E153" s="15"/>
      <c r="F153" s="15" t="s">
        <v>23</v>
      </c>
      <c r="G153" s="13">
        <v>2080</v>
      </c>
      <c r="H153" s="13">
        <v>5580</v>
      </c>
      <c r="I153" s="13"/>
      <c r="J153" s="13"/>
      <c r="K153" s="13"/>
      <c r="L153" s="13"/>
      <c r="M153" s="13"/>
      <c r="N153" s="12"/>
      <c r="O153" s="12"/>
      <c r="P153" s="8" t="s">
        <v>37</v>
      </c>
    </row>
    <row r="154" spans="1:16" ht="24" customHeight="1" x14ac:dyDescent="0.25">
      <c r="A154" s="10">
        <v>148</v>
      </c>
      <c r="B154" s="9">
        <v>0.15555555555555556</v>
      </c>
      <c r="C154" s="5" t="s">
        <v>20</v>
      </c>
      <c r="D154" s="5">
        <v>9</v>
      </c>
      <c r="E154" s="15"/>
      <c r="F154" s="15" t="s">
        <v>30</v>
      </c>
      <c r="G154" s="13">
        <v>5760</v>
      </c>
      <c r="H154" s="13">
        <v>4880</v>
      </c>
      <c r="I154" s="13">
        <v>4920</v>
      </c>
      <c r="J154" s="13"/>
      <c r="K154" s="13"/>
      <c r="L154" s="13"/>
      <c r="M154" s="13"/>
      <c r="N154" s="12"/>
      <c r="O154" s="12"/>
      <c r="P154" s="8" t="s">
        <v>37</v>
      </c>
    </row>
    <row r="155" spans="1:16" ht="24" customHeight="1" x14ac:dyDescent="0.25">
      <c r="A155" s="10">
        <v>149</v>
      </c>
      <c r="B155" s="9">
        <v>0.15694444444444444</v>
      </c>
      <c r="C155" s="5" t="s">
        <v>20</v>
      </c>
      <c r="D155" s="5">
        <v>8</v>
      </c>
      <c r="E155" s="15"/>
      <c r="F155" s="15" t="s">
        <v>23</v>
      </c>
      <c r="G155" s="13">
        <v>2940</v>
      </c>
      <c r="H155" s="13">
        <v>3380</v>
      </c>
      <c r="I155" s="13"/>
      <c r="J155" s="13"/>
      <c r="K155" s="13"/>
      <c r="L155" s="13"/>
      <c r="M155" s="13"/>
      <c r="N155" s="12"/>
      <c r="O155" s="12"/>
      <c r="P155" s="8" t="s">
        <v>37</v>
      </c>
    </row>
    <row r="156" spans="1:16" ht="24" customHeight="1" x14ac:dyDescent="0.25">
      <c r="A156" s="10">
        <v>150</v>
      </c>
      <c r="B156" s="9">
        <v>0.15833333333333333</v>
      </c>
      <c r="C156" s="5" t="s">
        <v>20</v>
      </c>
      <c r="D156" s="5">
        <v>8</v>
      </c>
      <c r="E156" s="15"/>
      <c r="F156" s="15" t="s">
        <v>23</v>
      </c>
      <c r="G156" s="13">
        <v>8060</v>
      </c>
      <c r="H156" s="13">
        <v>2040</v>
      </c>
      <c r="I156" s="13"/>
      <c r="J156" s="13"/>
      <c r="K156" s="13"/>
      <c r="L156" s="13"/>
      <c r="M156" s="13"/>
      <c r="N156" s="12"/>
      <c r="O156" s="12"/>
      <c r="P156" s="8" t="s">
        <v>37</v>
      </c>
    </row>
    <row r="157" spans="1:16" ht="24" customHeight="1" x14ac:dyDescent="0.25">
      <c r="A157" s="10">
        <v>151</v>
      </c>
      <c r="B157" s="9">
        <v>0.15902777777777777</v>
      </c>
      <c r="C157" s="5" t="s">
        <v>20</v>
      </c>
      <c r="D157" s="5">
        <v>9</v>
      </c>
      <c r="E157" s="15"/>
      <c r="F157" s="15" t="s">
        <v>30</v>
      </c>
      <c r="G157" s="13">
        <v>6980</v>
      </c>
      <c r="H157" s="13">
        <v>19580</v>
      </c>
      <c r="I157" s="13">
        <v>4360</v>
      </c>
      <c r="J157" s="13"/>
      <c r="K157" s="13"/>
      <c r="L157" s="13"/>
      <c r="M157" s="13"/>
      <c r="N157" s="12"/>
      <c r="O157" s="12"/>
      <c r="P157" s="8" t="s">
        <v>41</v>
      </c>
    </row>
    <row r="158" spans="1:16" ht="24" customHeight="1" x14ac:dyDescent="0.25">
      <c r="A158" s="10">
        <v>152</v>
      </c>
      <c r="B158" s="9">
        <v>0.15902777777777777</v>
      </c>
      <c r="C158" s="5" t="s">
        <v>20</v>
      </c>
      <c r="D158" s="5">
        <v>8</v>
      </c>
      <c r="E158" s="15"/>
      <c r="F158" s="15" t="s">
        <v>23</v>
      </c>
      <c r="G158" s="13">
        <v>8040</v>
      </c>
      <c r="H158" s="13">
        <v>16960</v>
      </c>
      <c r="I158" s="13"/>
      <c r="J158" s="13"/>
      <c r="K158" s="13"/>
      <c r="L158" s="13"/>
      <c r="M158" s="13"/>
      <c r="N158" s="12"/>
      <c r="O158" s="12"/>
      <c r="P158" s="8" t="s">
        <v>41</v>
      </c>
    </row>
    <row r="159" spans="1:16" s="29" customFormat="1" ht="24" customHeight="1" x14ac:dyDescent="0.25">
      <c r="A159" s="24"/>
      <c r="B159" s="23"/>
      <c r="C159" s="24"/>
      <c r="D159" s="24"/>
      <c r="E159" s="25"/>
      <c r="F159" s="25"/>
      <c r="G159" s="26"/>
      <c r="H159" s="31" t="s">
        <v>54</v>
      </c>
      <c r="I159" s="26"/>
      <c r="J159" s="26"/>
      <c r="K159" s="26"/>
      <c r="L159" s="26"/>
      <c r="M159" s="26"/>
      <c r="N159" s="27"/>
      <c r="O159" s="27"/>
      <c r="P159" s="28"/>
    </row>
    <row r="160" spans="1:16" ht="24" customHeight="1" x14ac:dyDescent="0.25">
      <c r="A160" s="5">
        <v>1</v>
      </c>
      <c r="B160" s="9">
        <v>0.3611111111111111</v>
      </c>
      <c r="C160" s="5" t="s">
        <v>22</v>
      </c>
      <c r="D160" s="5">
        <v>12</v>
      </c>
      <c r="E160" s="15"/>
      <c r="F160" s="15" t="s">
        <v>26</v>
      </c>
      <c r="G160" s="13">
        <v>5840</v>
      </c>
      <c r="H160" s="13">
        <v>5280</v>
      </c>
      <c r="I160" s="13">
        <v>4960</v>
      </c>
      <c r="J160" s="13">
        <v>5240</v>
      </c>
      <c r="K160" s="13">
        <v>4160</v>
      </c>
      <c r="L160" s="13">
        <v>6200</v>
      </c>
      <c r="M160" s="13"/>
      <c r="N160" s="12"/>
      <c r="O160" s="12"/>
      <c r="P160" s="8" t="s">
        <v>37</v>
      </c>
    </row>
    <row r="161" spans="1:16" ht="24" customHeight="1" x14ac:dyDescent="0.25">
      <c r="A161" s="5">
        <v>2</v>
      </c>
      <c r="B161" s="9">
        <v>0.36736111111111108</v>
      </c>
      <c r="C161" s="5" t="s">
        <v>20</v>
      </c>
      <c r="D161" s="5">
        <v>8</v>
      </c>
      <c r="E161" s="15"/>
      <c r="F161" s="15" t="s">
        <v>23</v>
      </c>
      <c r="G161" s="13">
        <v>4080</v>
      </c>
      <c r="H161" s="13">
        <v>9600</v>
      </c>
      <c r="I161" s="13"/>
      <c r="J161" s="13"/>
      <c r="K161" s="13"/>
      <c r="L161" s="13"/>
      <c r="M161" s="13"/>
      <c r="N161" s="12"/>
      <c r="O161" s="12"/>
      <c r="P161" s="8" t="s">
        <v>37</v>
      </c>
    </row>
    <row r="162" spans="1:16" ht="24" customHeight="1" x14ac:dyDescent="0.25">
      <c r="A162" s="5">
        <v>3</v>
      </c>
      <c r="B162" s="9">
        <v>0.3888888888888889</v>
      </c>
      <c r="C162" s="5" t="s">
        <v>20</v>
      </c>
      <c r="D162" s="5">
        <v>8</v>
      </c>
      <c r="E162" s="15"/>
      <c r="F162" s="15" t="s">
        <v>23</v>
      </c>
      <c r="G162" s="13">
        <v>8480</v>
      </c>
      <c r="H162" s="13">
        <v>16600</v>
      </c>
      <c r="I162" s="13"/>
      <c r="J162" s="13"/>
      <c r="K162" s="13"/>
      <c r="L162" s="13"/>
      <c r="M162" s="13"/>
      <c r="N162" s="12"/>
      <c r="O162" s="12"/>
      <c r="P162" s="8" t="s">
        <v>36</v>
      </c>
    </row>
    <row r="163" spans="1:16" ht="24" customHeight="1" x14ac:dyDescent="0.25">
      <c r="A163" s="5">
        <v>4</v>
      </c>
      <c r="B163" s="9">
        <v>0.39513888888888887</v>
      </c>
      <c r="C163" s="5" t="s">
        <v>20</v>
      </c>
      <c r="D163" s="5">
        <v>8</v>
      </c>
      <c r="E163" s="15"/>
      <c r="F163" s="15" t="s">
        <v>23</v>
      </c>
      <c r="G163" s="13">
        <v>3660</v>
      </c>
      <c r="H163" s="13">
        <v>4820</v>
      </c>
      <c r="I163" s="13"/>
      <c r="J163" s="13"/>
      <c r="K163" s="13"/>
      <c r="L163" s="13"/>
      <c r="M163" s="13"/>
      <c r="N163" s="12"/>
      <c r="O163" s="12"/>
      <c r="P163" s="8" t="s">
        <v>37</v>
      </c>
    </row>
    <row r="164" spans="1:16" ht="24" customHeight="1" x14ac:dyDescent="0.25">
      <c r="A164" s="5">
        <v>5</v>
      </c>
      <c r="B164" s="9">
        <v>0.40138888888888885</v>
      </c>
      <c r="C164" s="5" t="s">
        <v>20</v>
      </c>
      <c r="D164" s="5">
        <v>8</v>
      </c>
      <c r="E164" s="15"/>
      <c r="F164" s="15" t="s">
        <v>23</v>
      </c>
      <c r="G164" s="13">
        <v>10230</v>
      </c>
      <c r="H164" s="13">
        <v>17560</v>
      </c>
      <c r="I164" s="13"/>
      <c r="J164" s="13"/>
      <c r="K164" s="13"/>
      <c r="L164" s="13"/>
      <c r="M164" s="13"/>
      <c r="N164" s="12"/>
      <c r="O164" s="12"/>
      <c r="P164" s="8" t="s">
        <v>40</v>
      </c>
    </row>
    <row r="165" spans="1:16" ht="24" customHeight="1" x14ac:dyDescent="0.25">
      <c r="A165" s="5">
        <v>6</v>
      </c>
      <c r="B165" s="9">
        <v>0.40902777777777777</v>
      </c>
      <c r="C165" s="5" t="s">
        <v>20</v>
      </c>
      <c r="D165" s="5">
        <v>8</v>
      </c>
      <c r="E165" s="15"/>
      <c r="F165" s="15" t="s">
        <v>23</v>
      </c>
      <c r="G165" s="13">
        <v>3980</v>
      </c>
      <c r="H165" s="13">
        <v>8660</v>
      </c>
      <c r="I165" s="13"/>
      <c r="J165" s="13"/>
      <c r="K165" s="13"/>
      <c r="L165" s="13"/>
      <c r="M165" s="13"/>
      <c r="N165" s="12"/>
      <c r="O165" s="12"/>
      <c r="P165" s="8" t="s">
        <v>40</v>
      </c>
    </row>
    <row r="166" spans="1:16" ht="24" customHeight="1" x14ac:dyDescent="0.25">
      <c r="A166" s="5">
        <v>7</v>
      </c>
      <c r="B166" s="9">
        <v>0.42083333333333334</v>
      </c>
      <c r="C166" s="5" t="s">
        <v>20</v>
      </c>
      <c r="D166" s="5">
        <v>8</v>
      </c>
      <c r="E166" s="15"/>
      <c r="F166" s="15" t="s">
        <v>23</v>
      </c>
      <c r="G166" s="13">
        <v>5060</v>
      </c>
      <c r="H166" s="13">
        <v>14260</v>
      </c>
      <c r="I166" s="13"/>
      <c r="J166" s="13"/>
      <c r="K166" s="13"/>
      <c r="L166" s="13"/>
      <c r="M166" s="13"/>
      <c r="N166" s="12"/>
      <c r="O166" s="12"/>
      <c r="P166" s="8" t="s">
        <v>40</v>
      </c>
    </row>
    <row r="167" spans="1:16" ht="24" customHeight="1" x14ac:dyDescent="0.25">
      <c r="A167" s="5">
        <v>8</v>
      </c>
      <c r="B167" s="9">
        <v>0.4236111111111111</v>
      </c>
      <c r="C167" s="5" t="s">
        <v>20</v>
      </c>
      <c r="D167" s="5">
        <v>8</v>
      </c>
      <c r="E167" s="15"/>
      <c r="F167" s="15" t="s">
        <v>23</v>
      </c>
      <c r="G167" s="13">
        <v>2040</v>
      </c>
      <c r="H167" s="13">
        <v>5740</v>
      </c>
      <c r="I167" s="13"/>
      <c r="J167" s="13"/>
      <c r="K167" s="13"/>
      <c r="L167" s="13"/>
      <c r="M167" s="13"/>
      <c r="N167" s="12"/>
      <c r="O167" s="12"/>
      <c r="P167" s="8" t="s">
        <v>37</v>
      </c>
    </row>
    <row r="168" spans="1:16" ht="24" customHeight="1" x14ac:dyDescent="0.25">
      <c r="A168" s="5">
        <v>9</v>
      </c>
      <c r="B168" s="9">
        <v>0.43124999999999997</v>
      </c>
      <c r="C168" s="5" t="s">
        <v>20</v>
      </c>
      <c r="D168" s="5">
        <v>12</v>
      </c>
      <c r="E168" s="15"/>
      <c r="F168" s="15" t="s">
        <v>24</v>
      </c>
      <c r="G168" s="13">
        <v>9020</v>
      </c>
      <c r="H168" s="13">
        <v>10060</v>
      </c>
      <c r="I168" s="13">
        <v>9840</v>
      </c>
      <c r="J168" s="13">
        <v>10500</v>
      </c>
      <c r="K168" s="13">
        <v>9540</v>
      </c>
      <c r="L168" s="13">
        <v>10080</v>
      </c>
      <c r="M168" s="13">
        <v>9140</v>
      </c>
      <c r="N168" s="12"/>
      <c r="O168" s="12"/>
      <c r="P168" s="8" t="s">
        <v>35</v>
      </c>
    </row>
    <row r="169" spans="1:16" ht="24" customHeight="1" x14ac:dyDescent="0.25">
      <c r="A169" s="5">
        <v>10</v>
      </c>
      <c r="B169" s="9">
        <v>0.43263888888888885</v>
      </c>
      <c r="C169" s="5" t="s">
        <v>20</v>
      </c>
      <c r="D169" s="5">
        <v>8</v>
      </c>
      <c r="E169" s="15"/>
      <c r="F169" s="15" t="s">
        <v>23</v>
      </c>
      <c r="G169" s="13">
        <v>3880</v>
      </c>
      <c r="H169" s="13">
        <v>10860</v>
      </c>
      <c r="I169" s="13"/>
      <c r="J169" s="13"/>
      <c r="K169" s="13"/>
      <c r="L169" s="13"/>
      <c r="M169" s="13"/>
      <c r="N169" s="12"/>
      <c r="O169" s="12"/>
      <c r="P169" s="8" t="s">
        <v>40</v>
      </c>
    </row>
    <row r="170" spans="1:16" ht="24" customHeight="1" x14ac:dyDescent="0.25">
      <c r="A170" s="5">
        <v>11</v>
      </c>
      <c r="B170" s="9">
        <v>0.43888888888888888</v>
      </c>
      <c r="C170" s="5" t="s">
        <v>21</v>
      </c>
      <c r="D170" s="5">
        <v>12</v>
      </c>
      <c r="E170" s="15"/>
      <c r="F170" s="15" t="s">
        <v>26</v>
      </c>
      <c r="G170" s="13">
        <v>7340</v>
      </c>
      <c r="H170" s="13">
        <v>4720</v>
      </c>
      <c r="I170" s="13">
        <v>4180</v>
      </c>
      <c r="J170" s="13">
        <v>4920</v>
      </c>
      <c r="K170" s="13">
        <v>4500</v>
      </c>
      <c r="L170" s="13">
        <v>5560</v>
      </c>
      <c r="M170" s="13"/>
      <c r="N170" s="12"/>
      <c r="O170" s="12"/>
      <c r="P170" s="8" t="s">
        <v>37</v>
      </c>
    </row>
    <row r="171" spans="1:16" ht="24" customHeight="1" x14ac:dyDescent="0.25">
      <c r="A171" s="5">
        <v>12</v>
      </c>
      <c r="B171" s="9">
        <v>0.44513888888888892</v>
      </c>
      <c r="C171" s="5" t="s">
        <v>20</v>
      </c>
      <c r="D171" s="5">
        <v>8</v>
      </c>
      <c r="E171" s="15"/>
      <c r="F171" s="15" t="s">
        <v>23</v>
      </c>
      <c r="G171" s="13">
        <v>1960</v>
      </c>
      <c r="H171" s="13">
        <v>2000</v>
      </c>
      <c r="I171" s="13"/>
      <c r="J171" s="13"/>
      <c r="K171" s="13"/>
      <c r="L171" s="13"/>
      <c r="M171" s="13"/>
      <c r="N171" s="12"/>
      <c r="O171" s="12"/>
      <c r="P171" s="8" t="s">
        <v>37</v>
      </c>
    </row>
    <row r="172" spans="1:16" ht="24" customHeight="1" x14ac:dyDescent="0.25">
      <c r="A172" s="5">
        <v>13</v>
      </c>
      <c r="B172" s="9">
        <v>0.45416666666666666</v>
      </c>
      <c r="C172" s="5" t="s">
        <v>20</v>
      </c>
      <c r="D172" s="5">
        <v>8</v>
      </c>
      <c r="E172" s="15"/>
      <c r="F172" s="15" t="s">
        <v>23</v>
      </c>
      <c r="G172" s="13">
        <v>2820</v>
      </c>
      <c r="H172" s="13">
        <v>3040</v>
      </c>
      <c r="I172" s="13"/>
      <c r="J172" s="13"/>
      <c r="K172" s="13"/>
      <c r="L172" s="13"/>
      <c r="M172" s="13"/>
      <c r="N172" s="12"/>
      <c r="O172" s="12"/>
      <c r="P172" s="8" t="s">
        <v>37</v>
      </c>
    </row>
    <row r="173" spans="1:16" ht="24" customHeight="1" x14ac:dyDescent="0.25">
      <c r="A173" s="5">
        <v>14</v>
      </c>
      <c r="B173" s="9">
        <v>0.45833333333333331</v>
      </c>
      <c r="C173" s="5" t="s">
        <v>20</v>
      </c>
      <c r="D173" s="5">
        <v>8</v>
      </c>
      <c r="E173" s="15"/>
      <c r="F173" s="15" t="s">
        <v>23</v>
      </c>
      <c r="G173" s="13">
        <v>3800</v>
      </c>
      <c r="H173" s="13">
        <v>4840</v>
      </c>
      <c r="I173" s="13"/>
      <c r="J173" s="13"/>
      <c r="K173" s="13"/>
      <c r="L173" s="13"/>
      <c r="M173" s="13"/>
      <c r="N173" s="12"/>
      <c r="O173" s="12"/>
      <c r="P173" s="8" t="s">
        <v>38</v>
      </c>
    </row>
    <row r="174" spans="1:16" ht="24" customHeight="1" x14ac:dyDescent="0.25">
      <c r="A174" s="5">
        <v>15</v>
      </c>
      <c r="B174" s="9">
        <v>0.47291666666666665</v>
      </c>
      <c r="C174" s="5" t="s">
        <v>20</v>
      </c>
      <c r="D174" s="5">
        <v>12</v>
      </c>
      <c r="E174" s="15"/>
      <c r="F174" s="15" t="s">
        <v>26</v>
      </c>
      <c r="G174" s="13">
        <v>6900</v>
      </c>
      <c r="H174" s="13">
        <v>5020</v>
      </c>
      <c r="I174" s="13">
        <v>5000</v>
      </c>
      <c r="J174" s="13">
        <v>4160</v>
      </c>
      <c r="K174" s="13">
        <v>3100</v>
      </c>
      <c r="L174" s="13">
        <v>4720</v>
      </c>
      <c r="M174" s="13"/>
      <c r="N174" s="12"/>
      <c r="O174" s="12"/>
      <c r="P174" s="8" t="s">
        <v>37</v>
      </c>
    </row>
    <row r="175" spans="1:16" ht="24" customHeight="1" x14ac:dyDescent="0.25">
      <c r="A175" s="5">
        <v>16</v>
      </c>
      <c r="B175" s="9">
        <v>0.47430555555555554</v>
      </c>
      <c r="C175" s="5" t="s">
        <v>20</v>
      </c>
      <c r="D175" s="5">
        <v>12</v>
      </c>
      <c r="E175" s="15"/>
      <c r="F175" s="15" t="s">
        <v>26</v>
      </c>
      <c r="G175" s="13">
        <v>6880</v>
      </c>
      <c r="H175" s="13">
        <v>5300</v>
      </c>
      <c r="I175" s="13">
        <v>4420</v>
      </c>
      <c r="J175" s="13">
        <v>4300</v>
      </c>
      <c r="K175" s="13">
        <v>4440</v>
      </c>
      <c r="L175" s="13">
        <v>5300</v>
      </c>
      <c r="M175" s="13"/>
      <c r="N175" s="12"/>
      <c r="O175" s="12"/>
      <c r="P175" s="8" t="s">
        <v>37</v>
      </c>
    </row>
    <row r="176" spans="1:16" ht="24" customHeight="1" x14ac:dyDescent="0.25">
      <c r="A176" s="5">
        <v>17</v>
      </c>
      <c r="B176" s="9">
        <v>0.47569444444444442</v>
      </c>
      <c r="C176" s="5" t="s">
        <v>20</v>
      </c>
      <c r="D176" s="5">
        <v>11</v>
      </c>
      <c r="E176" s="15"/>
      <c r="F176" s="15" t="s">
        <v>33</v>
      </c>
      <c r="G176" s="13">
        <v>5800</v>
      </c>
      <c r="H176" s="13">
        <v>5120</v>
      </c>
      <c r="I176" s="13">
        <v>6700</v>
      </c>
      <c r="J176" s="13">
        <v>6300</v>
      </c>
      <c r="K176" s="13">
        <v>2440</v>
      </c>
      <c r="L176" s="13"/>
      <c r="M176" s="13"/>
      <c r="N176" s="12"/>
      <c r="O176" s="12"/>
      <c r="P176" s="8" t="s">
        <v>37</v>
      </c>
    </row>
    <row r="177" spans="1:16" ht="24" customHeight="1" x14ac:dyDescent="0.25">
      <c r="A177" s="5">
        <v>18</v>
      </c>
      <c r="B177" s="9">
        <v>0.48055555555555557</v>
      </c>
      <c r="C177" s="5" t="s">
        <v>20</v>
      </c>
      <c r="D177" s="5">
        <v>10</v>
      </c>
      <c r="E177" s="15"/>
      <c r="F177" s="15" t="s">
        <v>31</v>
      </c>
      <c r="G177" s="13">
        <v>7460</v>
      </c>
      <c r="H177" s="13">
        <v>9780</v>
      </c>
      <c r="I177" s="13">
        <v>14240</v>
      </c>
      <c r="J177" s="13">
        <v>14540</v>
      </c>
      <c r="K177" s="13"/>
      <c r="L177" s="13"/>
      <c r="M177" s="13"/>
      <c r="N177" s="12"/>
      <c r="O177" s="12"/>
      <c r="P177" s="8" t="s">
        <v>38</v>
      </c>
    </row>
    <row r="178" spans="1:16" ht="24" customHeight="1" x14ac:dyDescent="0.25">
      <c r="A178" s="5">
        <v>19</v>
      </c>
      <c r="B178" s="9">
        <v>0.5</v>
      </c>
      <c r="C178" s="5" t="s">
        <v>20</v>
      </c>
      <c r="D178" s="5">
        <v>8</v>
      </c>
      <c r="E178" s="15"/>
      <c r="F178" s="15" t="s">
        <v>23</v>
      </c>
      <c r="G178" s="13">
        <v>3340</v>
      </c>
      <c r="H178" s="13">
        <v>3240</v>
      </c>
      <c r="I178" s="13"/>
      <c r="J178" s="13"/>
      <c r="K178" s="13"/>
      <c r="L178" s="13"/>
      <c r="M178" s="13"/>
      <c r="N178" s="12"/>
      <c r="O178" s="12"/>
      <c r="P178" s="8" t="s">
        <v>35</v>
      </c>
    </row>
    <row r="179" spans="1:16" ht="24" customHeight="1" x14ac:dyDescent="0.25">
      <c r="A179" s="5">
        <v>20</v>
      </c>
      <c r="B179" s="9">
        <v>0.51597222222222217</v>
      </c>
      <c r="C179" s="5" t="s">
        <v>20</v>
      </c>
      <c r="D179" s="5">
        <v>9</v>
      </c>
      <c r="E179" s="15"/>
      <c r="F179" s="15" t="s">
        <v>30</v>
      </c>
      <c r="G179" s="13">
        <v>7120</v>
      </c>
      <c r="H179" s="13">
        <v>9080</v>
      </c>
      <c r="I179" s="13">
        <v>10340</v>
      </c>
      <c r="J179" s="13"/>
      <c r="K179" s="13"/>
      <c r="L179" s="13"/>
      <c r="M179" s="13"/>
      <c r="N179" s="12"/>
      <c r="O179" s="12"/>
      <c r="P179" s="8" t="s">
        <v>40</v>
      </c>
    </row>
    <row r="180" spans="1:16" ht="24" customHeight="1" x14ac:dyDescent="0.25">
      <c r="A180" s="5">
        <v>21</v>
      </c>
      <c r="B180" s="9">
        <v>0.5229166666666667</v>
      </c>
      <c r="C180" s="5" t="s">
        <v>20</v>
      </c>
      <c r="D180" s="5">
        <v>8</v>
      </c>
      <c r="E180" s="15"/>
      <c r="F180" s="15" t="s">
        <v>23</v>
      </c>
      <c r="G180" s="13">
        <v>4180</v>
      </c>
      <c r="H180" s="13">
        <v>10520</v>
      </c>
      <c r="I180" s="13"/>
      <c r="J180" s="13"/>
      <c r="K180" s="13"/>
      <c r="L180" s="13"/>
      <c r="M180" s="13"/>
      <c r="N180" s="12"/>
      <c r="O180" s="12"/>
      <c r="P180" s="8" t="s">
        <v>40</v>
      </c>
    </row>
    <row r="181" spans="1:16" ht="24" customHeight="1" x14ac:dyDescent="0.25">
      <c r="A181" s="5">
        <v>22</v>
      </c>
      <c r="B181" s="9">
        <v>0.52430555555555558</v>
      </c>
      <c r="C181" s="5" t="s">
        <v>20</v>
      </c>
      <c r="D181" s="5">
        <v>8</v>
      </c>
      <c r="E181" s="15"/>
      <c r="F181" s="15" t="s">
        <v>23</v>
      </c>
      <c r="G181" s="13">
        <v>7720</v>
      </c>
      <c r="H181" s="13">
        <v>10160</v>
      </c>
      <c r="I181" s="13"/>
      <c r="J181" s="13"/>
      <c r="K181" s="13"/>
      <c r="L181" s="13"/>
      <c r="M181" s="13"/>
      <c r="N181" s="12"/>
      <c r="O181" s="12"/>
      <c r="P181" s="8" t="s">
        <v>36</v>
      </c>
    </row>
    <row r="182" spans="1:16" ht="24" customHeight="1" x14ac:dyDescent="0.25">
      <c r="A182" s="5">
        <v>23</v>
      </c>
      <c r="B182" s="9">
        <v>0.52500000000000002</v>
      </c>
      <c r="C182" s="5" t="s">
        <v>20</v>
      </c>
      <c r="D182" s="5">
        <v>12</v>
      </c>
      <c r="E182" s="15"/>
      <c r="F182" s="15" t="s">
        <v>26</v>
      </c>
      <c r="G182" s="13">
        <v>7800</v>
      </c>
      <c r="H182" s="13">
        <v>10800</v>
      </c>
      <c r="I182" s="13">
        <v>7880</v>
      </c>
      <c r="J182" s="13">
        <v>9360</v>
      </c>
      <c r="K182" s="13">
        <v>6340</v>
      </c>
      <c r="L182" s="13">
        <v>9400</v>
      </c>
      <c r="M182" s="13"/>
      <c r="N182" s="12"/>
      <c r="O182" s="12"/>
      <c r="P182" s="8" t="s">
        <v>35</v>
      </c>
    </row>
    <row r="183" spans="1:16" ht="24" customHeight="1" x14ac:dyDescent="0.25">
      <c r="A183" s="5">
        <v>24</v>
      </c>
      <c r="B183" s="9">
        <v>0.52500000000000002</v>
      </c>
      <c r="C183" s="5" t="s">
        <v>20</v>
      </c>
      <c r="D183" s="5">
        <v>10</v>
      </c>
      <c r="E183" s="15"/>
      <c r="F183" s="15" t="s">
        <v>31</v>
      </c>
      <c r="G183" s="13">
        <v>7720</v>
      </c>
      <c r="H183" s="13">
        <v>7200</v>
      </c>
      <c r="I183" s="13">
        <v>20840</v>
      </c>
      <c r="J183" s="13">
        <v>15200</v>
      </c>
      <c r="K183" s="13">
        <v>1400</v>
      </c>
      <c r="L183" s="13"/>
      <c r="M183" s="13"/>
      <c r="N183" s="12"/>
      <c r="O183" s="12"/>
      <c r="P183" s="8" t="s">
        <v>40</v>
      </c>
    </row>
    <row r="184" spans="1:16" ht="24" customHeight="1" x14ac:dyDescent="0.25">
      <c r="A184" s="5">
        <v>25</v>
      </c>
      <c r="B184" s="9">
        <v>0.12708333333333333</v>
      </c>
      <c r="C184" s="5" t="s">
        <v>21</v>
      </c>
      <c r="D184" s="5">
        <v>12</v>
      </c>
      <c r="E184" s="15"/>
      <c r="F184" s="15" t="s">
        <v>26</v>
      </c>
      <c r="G184" s="13">
        <v>9460</v>
      </c>
      <c r="H184" s="13">
        <v>14020</v>
      </c>
      <c r="I184" s="13">
        <v>13100</v>
      </c>
      <c r="J184" s="13">
        <v>12000</v>
      </c>
      <c r="K184" s="13">
        <v>11140</v>
      </c>
      <c r="L184" s="13">
        <v>11480</v>
      </c>
      <c r="M184" s="13"/>
      <c r="N184" s="12"/>
      <c r="O184" s="12"/>
      <c r="P184" s="8" t="s">
        <v>39</v>
      </c>
    </row>
    <row r="185" spans="1:16" ht="24" customHeight="1" x14ac:dyDescent="0.25">
      <c r="A185" s="5">
        <v>26</v>
      </c>
      <c r="B185" s="9">
        <v>0.1277777777777778</v>
      </c>
      <c r="C185" s="5" t="s">
        <v>20</v>
      </c>
      <c r="D185" s="5">
        <v>12</v>
      </c>
      <c r="E185" s="15"/>
      <c r="F185" s="15" t="s">
        <v>27</v>
      </c>
      <c r="G185" s="13">
        <v>7560</v>
      </c>
      <c r="H185" s="13">
        <v>8460</v>
      </c>
      <c r="I185" s="13">
        <v>16140</v>
      </c>
      <c r="J185" s="13">
        <v>17520</v>
      </c>
      <c r="K185" s="13">
        <v>16160</v>
      </c>
      <c r="L185" s="13">
        <v>14160</v>
      </c>
      <c r="M185" s="13"/>
      <c r="N185" s="12"/>
      <c r="O185" s="12"/>
      <c r="P185" s="8" t="s">
        <v>41</v>
      </c>
    </row>
    <row r="186" spans="1:16" ht="24" customHeight="1" x14ac:dyDescent="0.25">
      <c r="A186" s="5">
        <v>27</v>
      </c>
      <c r="B186" s="9">
        <v>0.12916666666666668</v>
      </c>
      <c r="C186" s="5" t="s">
        <v>20</v>
      </c>
      <c r="D186" s="5">
        <v>8</v>
      </c>
      <c r="E186" s="15"/>
      <c r="F186" s="15" t="s">
        <v>23</v>
      </c>
      <c r="G186" s="13">
        <v>2820</v>
      </c>
      <c r="H186" s="13">
        <v>2160</v>
      </c>
      <c r="I186" s="13"/>
      <c r="J186" s="13"/>
      <c r="K186" s="13"/>
      <c r="L186" s="13"/>
      <c r="M186" s="13"/>
      <c r="N186" s="12"/>
      <c r="O186" s="12"/>
      <c r="P186" s="8" t="s">
        <v>40</v>
      </c>
    </row>
    <row r="187" spans="1:16" ht="24" customHeight="1" x14ac:dyDescent="0.25">
      <c r="A187" s="5">
        <v>28</v>
      </c>
      <c r="B187" s="9">
        <v>0.1361111111111111</v>
      </c>
      <c r="C187" s="5" t="s">
        <v>20</v>
      </c>
      <c r="D187" s="5">
        <v>8</v>
      </c>
      <c r="E187" s="15"/>
      <c r="F187" s="15" t="s">
        <v>23</v>
      </c>
      <c r="G187" s="13">
        <v>3680</v>
      </c>
      <c r="H187" s="13">
        <v>8020</v>
      </c>
      <c r="I187" s="13"/>
      <c r="J187" s="13"/>
      <c r="K187" s="13"/>
      <c r="L187" s="13"/>
      <c r="M187" s="13"/>
      <c r="N187" s="12"/>
      <c r="O187" s="12"/>
      <c r="P187" s="8" t="s">
        <v>40</v>
      </c>
    </row>
    <row r="188" spans="1:16" ht="24" customHeight="1" x14ac:dyDescent="0.25">
      <c r="A188" s="5">
        <v>29</v>
      </c>
      <c r="B188" s="9">
        <v>0.14027777777777778</v>
      </c>
      <c r="C188" s="5" t="s">
        <v>20</v>
      </c>
      <c r="D188" s="5">
        <v>12</v>
      </c>
      <c r="E188" s="15"/>
      <c r="F188" s="15" t="s">
        <v>26</v>
      </c>
      <c r="G188" s="13">
        <v>6840</v>
      </c>
      <c r="H188" s="13">
        <v>4880</v>
      </c>
      <c r="I188" s="13">
        <v>4720</v>
      </c>
      <c r="J188" s="13">
        <v>6680</v>
      </c>
      <c r="K188" s="13">
        <v>4840</v>
      </c>
      <c r="L188" s="13">
        <v>7660</v>
      </c>
      <c r="M188" s="13"/>
      <c r="N188" s="12"/>
      <c r="O188" s="12"/>
      <c r="P188" s="8" t="s">
        <v>37</v>
      </c>
    </row>
    <row r="189" spans="1:16" ht="24" customHeight="1" x14ac:dyDescent="0.25">
      <c r="A189" s="5">
        <v>30</v>
      </c>
      <c r="B189" s="9">
        <v>0.1451388888888889</v>
      </c>
      <c r="C189" s="5" t="s">
        <v>20</v>
      </c>
      <c r="D189" s="5">
        <v>8</v>
      </c>
      <c r="E189" s="15"/>
      <c r="F189" s="15" t="s">
        <v>23</v>
      </c>
      <c r="G189" s="13">
        <v>5480</v>
      </c>
      <c r="H189" s="13">
        <v>16460</v>
      </c>
      <c r="I189" s="13"/>
      <c r="J189" s="13"/>
      <c r="K189" s="13"/>
      <c r="L189" s="13"/>
      <c r="M189" s="13"/>
      <c r="N189" s="12"/>
      <c r="O189" s="12"/>
      <c r="P189" s="8" t="s">
        <v>40</v>
      </c>
    </row>
    <row r="190" spans="1:16" ht="24" customHeight="1" x14ac:dyDescent="0.25">
      <c r="A190" s="5">
        <v>31</v>
      </c>
      <c r="B190" s="9">
        <v>0.17430555555555557</v>
      </c>
      <c r="C190" s="5" t="s">
        <v>20</v>
      </c>
      <c r="D190" s="5">
        <v>12</v>
      </c>
      <c r="E190" s="15"/>
      <c r="F190" s="15" t="s">
        <v>27</v>
      </c>
      <c r="G190" s="13">
        <v>6960</v>
      </c>
      <c r="H190" s="13">
        <v>2560</v>
      </c>
      <c r="I190" s="13">
        <v>4660</v>
      </c>
      <c r="J190" s="13">
        <v>3780</v>
      </c>
      <c r="K190" s="13">
        <v>4240</v>
      </c>
      <c r="L190" s="13">
        <v>5100</v>
      </c>
      <c r="M190" s="13"/>
      <c r="N190" s="12"/>
      <c r="O190" s="12"/>
      <c r="P190" s="8" t="s">
        <v>37</v>
      </c>
    </row>
    <row r="191" spans="1:16" ht="24" customHeight="1" x14ac:dyDescent="0.25">
      <c r="A191" s="5">
        <v>32</v>
      </c>
      <c r="B191" s="9">
        <v>0.18055555555555555</v>
      </c>
      <c r="C191" s="5" t="s">
        <v>20</v>
      </c>
      <c r="D191" s="5">
        <v>8</v>
      </c>
      <c r="E191" s="15"/>
      <c r="F191" s="15" t="s">
        <v>23</v>
      </c>
      <c r="G191" s="13">
        <v>8150</v>
      </c>
      <c r="H191" s="13">
        <v>16480</v>
      </c>
      <c r="I191" s="13"/>
      <c r="J191" s="13"/>
      <c r="K191" s="13"/>
      <c r="L191" s="13"/>
      <c r="M191" s="13"/>
      <c r="N191" s="12"/>
      <c r="O191" s="12"/>
      <c r="P191" s="8" t="s">
        <v>40</v>
      </c>
    </row>
    <row r="192" spans="1:16" ht="24" customHeight="1" x14ac:dyDescent="0.25">
      <c r="A192" s="5">
        <v>33</v>
      </c>
      <c r="B192" s="9">
        <v>0.18263888888888891</v>
      </c>
      <c r="C192" s="5" t="s">
        <v>20</v>
      </c>
      <c r="D192" s="5">
        <v>8</v>
      </c>
      <c r="E192" s="15"/>
      <c r="F192" s="15" t="s">
        <v>23</v>
      </c>
      <c r="G192" s="13">
        <v>8130</v>
      </c>
      <c r="H192" s="13">
        <v>13240</v>
      </c>
      <c r="I192" s="13"/>
      <c r="J192" s="13"/>
      <c r="K192" s="13"/>
      <c r="L192" s="13"/>
      <c r="M192" s="13"/>
      <c r="N192" s="12"/>
      <c r="O192" s="12"/>
      <c r="P192" s="8" t="s">
        <v>40</v>
      </c>
    </row>
    <row r="193" spans="1:16" ht="24" customHeight="1" x14ac:dyDescent="0.25">
      <c r="A193" s="5">
        <v>34</v>
      </c>
      <c r="B193" s="9">
        <v>0.18402777777777779</v>
      </c>
      <c r="C193" s="5" t="s">
        <v>20</v>
      </c>
      <c r="D193" s="5">
        <v>8</v>
      </c>
      <c r="E193" s="15"/>
      <c r="F193" s="15" t="s">
        <v>23</v>
      </c>
      <c r="G193" s="13">
        <v>3120</v>
      </c>
      <c r="H193" s="13">
        <v>2600</v>
      </c>
      <c r="I193" s="13"/>
      <c r="J193" s="13"/>
      <c r="K193" s="13"/>
      <c r="L193" s="13"/>
      <c r="M193" s="13"/>
      <c r="N193" s="12"/>
      <c r="O193" s="12"/>
      <c r="P193" s="8" t="s">
        <v>37</v>
      </c>
    </row>
    <row r="194" spans="1:16" ht="24" customHeight="1" x14ac:dyDescent="0.25">
      <c r="A194" s="5">
        <v>35</v>
      </c>
      <c r="B194" s="9">
        <v>0.19444444444444445</v>
      </c>
      <c r="C194" s="5" t="s">
        <v>20</v>
      </c>
      <c r="D194" s="5">
        <v>8</v>
      </c>
      <c r="E194" s="15"/>
      <c r="F194" s="15" t="s">
        <v>23</v>
      </c>
      <c r="G194" s="13">
        <v>8400</v>
      </c>
      <c r="H194" s="13">
        <v>10800</v>
      </c>
      <c r="I194" s="13"/>
      <c r="J194" s="13"/>
      <c r="K194" s="13"/>
      <c r="L194" s="13"/>
      <c r="M194" s="13"/>
      <c r="N194" s="12"/>
      <c r="O194" s="12"/>
      <c r="P194" s="8" t="s">
        <v>40</v>
      </c>
    </row>
    <row r="195" spans="1:16" ht="24" customHeight="1" x14ac:dyDescent="0.25">
      <c r="A195" s="5">
        <v>36</v>
      </c>
      <c r="B195" s="9">
        <v>0.2076388888888889</v>
      </c>
      <c r="C195" s="5" t="s">
        <v>21</v>
      </c>
      <c r="D195" s="5">
        <v>12</v>
      </c>
      <c r="E195" s="15"/>
      <c r="F195" s="15" t="s">
        <v>26</v>
      </c>
      <c r="G195" s="13">
        <v>6850</v>
      </c>
      <c r="H195" s="13">
        <v>4680</v>
      </c>
      <c r="I195" s="13">
        <v>3780</v>
      </c>
      <c r="J195" s="13">
        <v>4250</v>
      </c>
      <c r="K195" s="13">
        <v>4660</v>
      </c>
      <c r="L195" s="13">
        <v>5890</v>
      </c>
      <c r="M195" s="13"/>
      <c r="N195" s="12"/>
      <c r="O195" s="12"/>
      <c r="P195" s="8" t="s">
        <v>37</v>
      </c>
    </row>
    <row r="196" spans="1:16" ht="24" customHeight="1" x14ac:dyDescent="0.25">
      <c r="A196" s="5">
        <v>37</v>
      </c>
      <c r="B196" s="9">
        <v>0.21875</v>
      </c>
      <c r="C196" s="5" t="s">
        <v>20</v>
      </c>
      <c r="D196" s="5">
        <v>8</v>
      </c>
      <c r="E196" s="15"/>
      <c r="F196" s="15" t="s">
        <v>23</v>
      </c>
      <c r="G196" s="13">
        <v>4840</v>
      </c>
      <c r="H196" s="13">
        <v>9840</v>
      </c>
      <c r="I196" s="13"/>
      <c r="J196" s="13"/>
      <c r="K196" s="13"/>
      <c r="L196" s="13"/>
      <c r="M196" s="13"/>
      <c r="N196" s="12"/>
      <c r="O196" s="12"/>
      <c r="P196" s="8" t="s">
        <v>40</v>
      </c>
    </row>
    <row r="197" spans="1:16" ht="24" customHeight="1" x14ac:dyDescent="0.25">
      <c r="A197" s="5">
        <v>38</v>
      </c>
      <c r="B197" s="9">
        <v>0.22152777777777777</v>
      </c>
      <c r="C197" s="5" t="s">
        <v>20</v>
      </c>
      <c r="D197" s="5">
        <v>8</v>
      </c>
      <c r="E197" s="15"/>
      <c r="F197" s="15" t="s">
        <v>23</v>
      </c>
      <c r="G197" s="13">
        <v>3400</v>
      </c>
      <c r="H197" s="13">
        <v>11300</v>
      </c>
      <c r="I197" s="13"/>
      <c r="J197" s="13"/>
      <c r="K197" s="13"/>
      <c r="L197" s="13"/>
      <c r="M197" s="13"/>
      <c r="N197" s="12"/>
      <c r="O197" s="12"/>
      <c r="P197" s="8" t="s">
        <v>40</v>
      </c>
    </row>
    <row r="198" spans="1:16" ht="24" customHeight="1" x14ac:dyDescent="0.25">
      <c r="A198" s="5">
        <v>39</v>
      </c>
      <c r="B198" s="9">
        <v>0.2298611111111111</v>
      </c>
      <c r="C198" s="5" t="s">
        <v>20</v>
      </c>
      <c r="D198" s="5">
        <v>8</v>
      </c>
      <c r="E198" s="15"/>
      <c r="F198" s="15" t="s">
        <v>23</v>
      </c>
      <c r="G198" s="13">
        <v>3280</v>
      </c>
      <c r="H198" s="13">
        <v>2790</v>
      </c>
      <c r="I198" s="13"/>
      <c r="J198" s="13"/>
      <c r="K198" s="13"/>
      <c r="L198" s="13"/>
      <c r="M198" s="13"/>
      <c r="N198" s="12"/>
      <c r="O198" s="12"/>
      <c r="P198" s="8" t="s">
        <v>37</v>
      </c>
    </row>
    <row r="199" spans="1:16" ht="24" customHeight="1" x14ac:dyDescent="0.25">
      <c r="A199" s="5">
        <v>40</v>
      </c>
      <c r="B199" s="9">
        <v>0.23263888888888887</v>
      </c>
      <c r="C199" s="5" t="s">
        <v>20</v>
      </c>
      <c r="D199" s="5">
        <v>8</v>
      </c>
      <c r="E199" s="15"/>
      <c r="F199" s="15" t="s">
        <v>23</v>
      </c>
      <c r="G199" s="13">
        <v>2340</v>
      </c>
      <c r="H199" s="13">
        <v>2400</v>
      </c>
      <c r="I199" s="13"/>
      <c r="J199" s="13"/>
      <c r="K199" s="13"/>
      <c r="L199" s="13"/>
      <c r="M199" s="13"/>
      <c r="N199" s="12"/>
      <c r="O199" s="12"/>
      <c r="P199" s="8" t="s">
        <v>37</v>
      </c>
    </row>
    <row r="200" spans="1:16" ht="24" customHeight="1" x14ac:dyDescent="0.25">
      <c r="A200" s="5">
        <v>41</v>
      </c>
      <c r="B200" s="9">
        <v>0.23680555555555557</v>
      </c>
      <c r="C200" s="5" t="s">
        <v>20</v>
      </c>
      <c r="D200" s="5">
        <v>8</v>
      </c>
      <c r="E200" s="15"/>
      <c r="F200" s="15" t="s">
        <v>23</v>
      </c>
      <c r="G200" s="13">
        <v>4420</v>
      </c>
      <c r="H200" s="13">
        <v>8460</v>
      </c>
      <c r="I200" s="13"/>
      <c r="J200" s="13"/>
      <c r="K200" s="13"/>
      <c r="L200" s="13"/>
      <c r="M200" s="13"/>
      <c r="N200" s="12"/>
      <c r="O200" s="12"/>
      <c r="P200" s="8" t="s">
        <v>40</v>
      </c>
    </row>
    <row r="201" spans="1:16" ht="24" customHeight="1" x14ac:dyDescent="0.25">
      <c r="A201" s="5">
        <v>42</v>
      </c>
      <c r="B201" s="9">
        <v>0.24236111111111111</v>
      </c>
      <c r="C201" s="5" t="s">
        <v>20</v>
      </c>
      <c r="D201" s="5">
        <v>8</v>
      </c>
      <c r="E201" s="15"/>
      <c r="F201" s="15" t="s">
        <v>23</v>
      </c>
      <c r="G201" s="13">
        <v>6000</v>
      </c>
      <c r="H201" s="13">
        <v>12400</v>
      </c>
      <c r="I201" s="13"/>
      <c r="J201" s="13"/>
      <c r="K201" s="13"/>
      <c r="L201" s="13"/>
      <c r="M201" s="13"/>
      <c r="N201" s="12"/>
      <c r="O201" s="12"/>
      <c r="P201" s="8" t="s">
        <v>40</v>
      </c>
    </row>
    <row r="202" spans="1:16" ht="24" customHeight="1" x14ac:dyDescent="0.25">
      <c r="A202" s="5">
        <v>43</v>
      </c>
      <c r="B202" s="9">
        <v>0.34930555555555554</v>
      </c>
      <c r="C202" s="5" t="s">
        <v>20</v>
      </c>
      <c r="D202" s="5">
        <v>9</v>
      </c>
      <c r="E202" s="15"/>
      <c r="F202" s="15" t="s">
        <v>30</v>
      </c>
      <c r="G202" s="13">
        <v>7020</v>
      </c>
      <c r="H202" s="13">
        <v>6660</v>
      </c>
      <c r="I202" s="13">
        <v>6840</v>
      </c>
      <c r="J202" s="13"/>
      <c r="K202" s="13"/>
      <c r="L202" s="13"/>
      <c r="M202" s="13"/>
      <c r="N202" s="12"/>
      <c r="O202" s="12"/>
      <c r="P202" s="8" t="s">
        <v>37</v>
      </c>
    </row>
    <row r="203" spans="1:16" ht="24" customHeight="1" x14ac:dyDescent="0.25">
      <c r="A203" s="5">
        <v>44</v>
      </c>
      <c r="B203" s="9">
        <v>0.35694444444444445</v>
      </c>
      <c r="C203" s="5" t="s">
        <v>20</v>
      </c>
      <c r="D203" s="5">
        <v>8</v>
      </c>
      <c r="E203" s="15"/>
      <c r="F203" s="15" t="s">
        <v>23</v>
      </c>
      <c r="G203" s="13">
        <v>4300</v>
      </c>
      <c r="H203" s="13">
        <v>11860</v>
      </c>
      <c r="I203" s="13"/>
      <c r="J203" s="13"/>
      <c r="K203" s="13"/>
      <c r="L203" s="13"/>
      <c r="M203" s="13"/>
      <c r="N203" s="12"/>
      <c r="O203" s="12"/>
      <c r="P203" s="8" t="s">
        <v>38</v>
      </c>
    </row>
    <row r="204" spans="1:16" ht="24" customHeight="1" x14ac:dyDescent="0.25">
      <c r="A204" s="5">
        <v>45</v>
      </c>
      <c r="B204" s="9">
        <v>0.36319444444444443</v>
      </c>
      <c r="C204" s="5" t="s">
        <v>20</v>
      </c>
      <c r="D204" s="5">
        <v>12</v>
      </c>
      <c r="E204" s="15"/>
      <c r="F204" s="15" t="s">
        <v>26</v>
      </c>
      <c r="G204" s="13">
        <v>7040</v>
      </c>
      <c r="H204" s="13">
        <v>5320</v>
      </c>
      <c r="I204" s="13">
        <v>5260</v>
      </c>
      <c r="J204" s="13">
        <v>4320</v>
      </c>
      <c r="K204" s="13">
        <v>4080</v>
      </c>
      <c r="L204" s="13">
        <v>4520</v>
      </c>
      <c r="M204" s="13"/>
      <c r="N204" s="12"/>
      <c r="O204" s="12"/>
      <c r="P204" s="8" t="s">
        <v>37</v>
      </c>
    </row>
    <row r="205" spans="1:16" ht="24" customHeight="1" x14ac:dyDescent="0.25">
      <c r="A205" s="5">
        <v>46</v>
      </c>
      <c r="B205" s="9">
        <v>0.36527777777777781</v>
      </c>
      <c r="C205" s="5" t="s">
        <v>20</v>
      </c>
      <c r="D205" s="5">
        <v>11</v>
      </c>
      <c r="E205" s="15"/>
      <c r="F205" s="15" t="s">
        <v>27</v>
      </c>
      <c r="G205" s="13">
        <v>9900</v>
      </c>
      <c r="H205" s="13">
        <v>9340</v>
      </c>
      <c r="I205" s="13">
        <v>11040</v>
      </c>
      <c r="J205" s="13">
        <v>11600</v>
      </c>
      <c r="K205" s="13">
        <v>5460</v>
      </c>
      <c r="L205" s="13"/>
      <c r="M205" s="13"/>
      <c r="N205" s="12"/>
      <c r="O205" s="12"/>
      <c r="P205" s="8" t="s">
        <v>35</v>
      </c>
    </row>
    <row r="206" spans="1:16" ht="24" customHeight="1" x14ac:dyDescent="0.25">
      <c r="A206" s="5">
        <v>47</v>
      </c>
      <c r="B206" s="9">
        <v>0.37291666666666662</v>
      </c>
      <c r="C206" s="5" t="s">
        <v>20</v>
      </c>
      <c r="D206" s="5">
        <v>9</v>
      </c>
      <c r="E206" s="15"/>
      <c r="F206" s="15" t="s">
        <v>30</v>
      </c>
      <c r="G206" s="13">
        <v>6660</v>
      </c>
      <c r="H206" s="13">
        <v>12300</v>
      </c>
      <c r="I206" s="13">
        <v>11840</v>
      </c>
      <c r="J206" s="13"/>
      <c r="K206" s="13"/>
      <c r="L206" s="13"/>
      <c r="M206" s="13"/>
      <c r="N206" s="12"/>
      <c r="O206" s="12"/>
      <c r="P206" s="8" t="s">
        <v>40</v>
      </c>
    </row>
    <row r="207" spans="1:16" ht="24" customHeight="1" x14ac:dyDescent="0.25">
      <c r="A207" s="5">
        <v>48</v>
      </c>
      <c r="B207" s="9">
        <v>0.3840277777777778</v>
      </c>
      <c r="C207" s="5" t="s">
        <v>21</v>
      </c>
      <c r="D207" s="5">
        <v>12</v>
      </c>
      <c r="E207" s="15"/>
      <c r="F207" s="15" t="s">
        <v>26</v>
      </c>
      <c r="G207" s="13">
        <v>8660</v>
      </c>
      <c r="H207" s="13">
        <v>12660</v>
      </c>
      <c r="I207" s="13">
        <v>12820</v>
      </c>
      <c r="J207" s="13">
        <v>14480</v>
      </c>
      <c r="K207" s="13">
        <v>14260</v>
      </c>
      <c r="L207" s="13">
        <v>13440</v>
      </c>
      <c r="M207" s="13"/>
      <c r="N207" s="12"/>
      <c r="O207" s="12"/>
      <c r="P207" s="8" t="s">
        <v>35</v>
      </c>
    </row>
    <row r="208" spans="1:16" ht="24" customHeight="1" thickBot="1" x14ac:dyDescent="0.3">
      <c r="A208" s="11"/>
      <c r="B208" s="9"/>
      <c r="C208" s="5"/>
      <c r="D208" s="5"/>
      <c r="E208" s="15"/>
      <c r="F208" s="15"/>
      <c r="G208" s="13"/>
      <c r="H208" s="13"/>
      <c r="I208" s="13"/>
      <c r="J208" s="13"/>
      <c r="K208" s="13"/>
      <c r="L208" s="13"/>
      <c r="M208" s="13"/>
      <c r="N208" s="12"/>
      <c r="O208" s="12"/>
      <c r="P208" s="8"/>
    </row>
    <row r="209" spans="1:16" ht="24" customHeight="1" thickBot="1" x14ac:dyDescent="0.3">
      <c r="A209" s="11"/>
      <c r="B209" s="9"/>
      <c r="C209" s="5"/>
      <c r="D209" s="5"/>
      <c r="E209" s="15"/>
      <c r="F209" s="15"/>
      <c r="G209" s="13"/>
      <c r="H209" s="13"/>
      <c r="I209" s="13"/>
      <c r="J209" s="13"/>
      <c r="K209" s="13"/>
      <c r="L209" s="13"/>
      <c r="M209" s="13"/>
      <c r="N209" s="12"/>
      <c r="O209" s="12"/>
      <c r="P209" s="8"/>
    </row>
    <row r="210" spans="1:16" ht="24" customHeight="1" thickBot="1" x14ac:dyDescent="0.3">
      <c r="A210" s="11"/>
      <c r="B210" s="9"/>
      <c r="C210" s="5"/>
      <c r="D210" s="5"/>
      <c r="E210" s="15"/>
      <c r="F210" s="15"/>
      <c r="G210" s="13"/>
      <c r="H210" s="13"/>
      <c r="I210" s="13"/>
      <c r="J210" s="13"/>
      <c r="K210" s="13"/>
      <c r="L210" s="13"/>
      <c r="M210" s="13"/>
      <c r="N210" s="12"/>
      <c r="O210" s="12"/>
      <c r="P210" s="8"/>
    </row>
    <row r="211" spans="1:16" ht="24" customHeight="1" thickBot="1" x14ac:dyDescent="0.3">
      <c r="A211" s="11"/>
      <c r="B211" s="9"/>
      <c r="C211" s="5"/>
      <c r="D211" s="5"/>
      <c r="E211" s="15"/>
      <c r="F211" s="15"/>
      <c r="G211" s="13"/>
      <c r="H211" s="13"/>
      <c r="I211" s="13"/>
      <c r="J211" s="13"/>
      <c r="K211" s="13"/>
      <c r="L211" s="13"/>
      <c r="M211" s="13"/>
      <c r="N211" s="12"/>
      <c r="O211" s="12"/>
      <c r="P211" s="8"/>
    </row>
    <row r="212" spans="1:16" ht="24" customHeight="1" thickBot="1" x14ac:dyDescent="0.3">
      <c r="A212" s="11"/>
      <c r="B212" s="9"/>
      <c r="C212" s="5"/>
      <c r="D212" s="5"/>
      <c r="E212" s="15"/>
      <c r="F212" s="15"/>
      <c r="G212" s="13"/>
      <c r="H212" s="13"/>
      <c r="I212" s="13"/>
      <c r="J212" s="13"/>
      <c r="K212" s="13"/>
      <c r="L212" s="13"/>
      <c r="M212" s="13"/>
      <c r="N212" s="12"/>
      <c r="O212" s="12"/>
      <c r="P212" s="8"/>
    </row>
    <row r="213" spans="1:16" ht="24" customHeight="1" thickBot="1" x14ac:dyDescent="0.3">
      <c r="A213" s="11"/>
      <c r="B213" s="9"/>
      <c r="C213" s="5"/>
      <c r="D213" s="5"/>
      <c r="E213" s="15"/>
      <c r="F213" s="15"/>
      <c r="G213" s="13"/>
      <c r="H213" s="13"/>
      <c r="I213" s="13"/>
      <c r="J213" s="13"/>
      <c r="K213" s="13"/>
      <c r="L213" s="13"/>
      <c r="M213" s="13"/>
      <c r="N213" s="12"/>
      <c r="O213" s="12"/>
      <c r="P213" s="8"/>
    </row>
    <row r="214" spans="1:16" ht="24" customHeight="1" thickBot="1" x14ac:dyDescent="0.3">
      <c r="A214" s="11"/>
      <c r="B214" s="9"/>
      <c r="C214" s="5"/>
      <c r="D214" s="5"/>
      <c r="E214" s="15"/>
      <c r="F214" s="15"/>
      <c r="G214" s="13"/>
      <c r="H214" s="13"/>
      <c r="I214" s="13"/>
      <c r="J214" s="13"/>
      <c r="K214" s="13"/>
      <c r="L214" s="13"/>
      <c r="M214" s="13"/>
      <c r="N214" s="12"/>
      <c r="O214" s="12"/>
      <c r="P214" s="8"/>
    </row>
    <row r="215" spans="1:16" ht="24" customHeight="1" thickBot="1" x14ac:dyDescent="0.3">
      <c r="A215" s="11"/>
      <c r="B215" s="9"/>
      <c r="C215" s="5"/>
      <c r="D215" s="5"/>
      <c r="E215" s="15"/>
      <c r="F215" s="15"/>
      <c r="G215" s="13"/>
      <c r="H215" s="13"/>
      <c r="I215" s="13"/>
      <c r="J215" s="13"/>
      <c r="K215" s="13"/>
      <c r="L215" s="13"/>
      <c r="M215" s="13"/>
      <c r="N215" s="12"/>
      <c r="O215" s="12"/>
      <c r="P215" s="8"/>
    </row>
    <row r="216" spans="1:16" ht="24" customHeight="1" thickBot="1" x14ac:dyDescent="0.3">
      <c r="A216" s="11"/>
      <c r="B216" s="9"/>
      <c r="C216" s="5"/>
      <c r="D216" s="5"/>
      <c r="E216" s="15"/>
      <c r="F216" s="15"/>
      <c r="G216" s="13"/>
      <c r="H216" s="13"/>
      <c r="I216" s="13"/>
      <c r="J216" s="13"/>
      <c r="K216" s="13"/>
      <c r="L216" s="13"/>
      <c r="M216" s="13"/>
      <c r="N216" s="12"/>
      <c r="O216" s="12"/>
      <c r="P216" s="8"/>
    </row>
    <row r="217" spans="1:16" ht="24" customHeight="1" thickBot="1" x14ac:dyDescent="0.3">
      <c r="A217" s="11"/>
      <c r="B217" s="9"/>
      <c r="C217" s="5"/>
      <c r="D217" s="5"/>
      <c r="E217" s="15"/>
      <c r="F217" s="15"/>
      <c r="G217" s="13"/>
      <c r="H217" s="13"/>
      <c r="I217" s="13"/>
      <c r="J217" s="13"/>
      <c r="K217" s="13"/>
      <c r="L217" s="13"/>
      <c r="M217" s="13"/>
      <c r="N217" s="12"/>
      <c r="O217" s="12"/>
      <c r="P217" s="8"/>
    </row>
    <row r="218" spans="1:16" ht="24" customHeight="1" thickBot="1" x14ac:dyDescent="0.3">
      <c r="A218" s="11"/>
      <c r="B218" s="9"/>
      <c r="C218" s="5"/>
      <c r="D218" s="5"/>
      <c r="E218" s="15"/>
      <c r="F218" s="15"/>
      <c r="G218" s="13"/>
      <c r="H218" s="13"/>
      <c r="I218" s="13"/>
      <c r="J218" s="13"/>
      <c r="K218" s="13"/>
      <c r="L218" s="13"/>
      <c r="M218" s="13"/>
      <c r="N218" s="12"/>
      <c r="O218" s="12"/>
      <c r="P218" s="8"/>
    </row>
    <row r="219" spans="1:16" ht="24" customHeight="1" thickBot="1" x14ac:dyDescent="0.3">
      <c r="A219" s="11"/>
      <c r="B219" s="9"/>
      <c r="C219" s="5"/>
      <c r="D219" s="5"/>
      <c r="E219" s="15"/>
      <c r="F219" s="15"/>
      <c r="G219" s="13"/>
      <c r="H219" s="13"/>
      <c r="I219" s="13"/>
      <c r="J219" s="13"/>
      <c r="K219" s="13"/>
      <c r="L219" s="13"/>
      <c r="M219" s="13"/>
      <c r="N219" s="12"/>
      <c r="O219" s="12"/>
      <c r="P219" s="8"/>
    </row>
    <row r="220" spans="1:16" ht="24" customHeight="1" thickBot="1" x14ac:dyDescent="0.3">
      <c r="A220" s="11"/>
      <c r="B220" s="9"/>
      <c r="C220" s="5"/>
      <c r="D220" s="5"/>
      <c r="E220" s="15"/>
      <c r="F220" s="15"/>
      <c r="G220" s="13"/>
      <c r="H220" s="13"/>
      <c r="I220" s="13"/>
      <c r="J220" s="13"/>
      <c r="K220" s="13"/>
      <c r="L220" s="13"/>
      <c r="M220" s="13"/>
      <c r="N220" s="12"/>
      <c r="O220" s="12"/>
      <c r="P220" s="8"/>
    </row>
    <row r="221" spans="1:16" ht="24" customHeight="1" thickBot="1" x14ac:dyDescent="0.3">
      <c r="A221" s="11"/>
      <c r="B221" s="9"/>
      <c r="C221" s="5"/>
      <c r="D221" s="5"/>
      <c r="E221" s="15"/>
      <c r="F221" s="15"/>
      <c r="G221" s="13"/>
      <c r="H221" s="13"/>
      <c r="I221" s="13"/>
      <c r="J221" s="13"/>
      <c r="K221" s="13"/>
      <c r="L221" s="13"/>
      <c r="M221" s="13"/>
      <c r="N221" s="12"/>
      <c r="O221" s="12"/>
      <c r="P221" s="8"/>
    </row>
    <row r="222" spans="1:16" ht="24" customHeight="1" thickBot="1" x14ac:dyDescent="0.3">
      <c r="A222" s="11"/>
      <c r="B222" s="9"/>
      <c r="C222" s="5"/>
      <c r="D222" s="5"/>
      <c r="E222" s="15"/>
      <c r="F222" s="15"/>
      <c r="G222" s="13"/>
      <c r="H222" s="13"/>
      <c r="I222" s="13"/>
      <c r="J222" s="13"/>
      <c r="K222" s="13"/>
      <c r="L222" s="13"/>
      <c r="M222" s="13"/>
      <c r="N222" s="12"/>
      <c r="O222" s="12"/>
      <c r="P222" s="8"/>
    </row>
    <row r="223" spans="1:16" ht="24" customHeight="1" thickBot="1" x14ac:dyDescent="0.3">
      <c r="A223" s="11"/>
      <c r="B223" s="9"/>
      <c r="C223" s="5"/>
      <c r="D223" s="5"/>
      <c r="E223" s="15"/>
      <c r="F223" s="15"/>
      <c r="G223" s="13"/>
      <c r="H223" s="13"/>
      <c r="I223" s="13"/>
      <c r="J223" s="13"/>
      <c r="K223" s="13"/>
      <c r="L223" s="13"/>
      <c r="M223" s="13"/>
      <c r="N223" s="12"/>
      <c r="O223" s="12"/>
      <c r="P223" s="8"/>
    </row>
    <row r="224" spans="1:16" ht="24" customHeight="1" thickBot="1" x14ac:dyDescent="0.3">
      <c r="A224" s="11"/>
      <c r="B224" s="9"/>
      <c r="C224" s="5"/>
      <c r="D224" s="5"/>
      <c r="E224" s="15"/>
      <c r="F224" s="15"/>
      <c r="G224" s="13"/>
      <c r="H224" s="13"/>
      <c r="I224" s="13"/>
      <c r="J224" s="13"/>
      <c r="K224" s="13"/>
      <c r="L224" s="13"/>
      <c r="M224" s="13"/>
      <c r="N224" s="12"/>
      <c r="O224" s="12"/>
      <c r="P224" s="8"/>
    </row>
    <row r="225" spans="1:16" ht="24" customHeight="1" thickBot="1" x14ac:dyDescent="0.3">
      <c r="A225" s="11"/>
      <c r="B225" s="9"/>
      <c r="C225" s="5"/>
      <c r="D225" s="5"/>
      <c r="E225" s="15"/>
      <c r="F225" s="15"/>
      <c r="G225" s="13"/>
      <c r="H225" s="13"/>
      <c r="I225" s="13"/>
      <c r="J225" s="13"/>
      <c r="K225" s="13"/>
      <c r="L225" s="13"/>
      <c r="M225" s="13"/>
      <c r="N225" s="12"/>
      <c r="O225" s="12"/>
      <c r="P225" s="8"/>
    </row>
    <row r="226" spans="1:16" ht="24" customHeight="1" thickBot="1" x14ac:dyDescent="0.3">
      <c r="A226" s="11"/>
      <c r="B226" s="9"/>
      <c r="C226" s="5"/>
      <c r="D226" s="5"/>
      <c r="E226" s="15"/>
      <c r="F226" s="15"/>
      <c r="G226" s="13"/>
      <c r="H226" s="13"/>
      <c r="I226" s="13"/>
      <c r="J226" s="13"/>
      <c r="K226" s="13"/>
      <c r="L226" s="13"/>
      <c r="M226" s="13"/>
      <c r="N226" s="12"/>
      <c r="O226" s="12"/>
      <c r="P226" s="8"/>
    </row>
    <row r="227" spans="1:16" ht="24" customHeight="1" thickBot="1" x14ac:dyDescent="0.3">
      <c r="A227" s="11"/>
      <c r="B227" s="9"/>
      <c r="C227" s="5"/>
      <c r="D227" s="5"/>
      <c r="E227" s="15"/>
      <c r="F227" s="15"/>
      <c r="G227" s="13"/>
      <c r="H227" s="13"/>
      <c r="I227" s="13"/>
      <c r="J227" s="13"/>
      <c r="K227" s="13"/>
      <c r="L227" s="13"/>
      <c r="M227" s="13"/>
      <c r="N227" s="12"/>
      <c r="O227" s="12"/>
      <c r="P227" s="8"/>
    </row>
    <row r="228" spans="1:16" ht="24" customHeight="1" thickBot="1" x14ac:dyDescent="0.3">
      <c r="A228" s="11"/>
      <c r="B228" s="9"/>
      <c r="C228" s="5"/>
      <c r="D228" s="5"/>
      <c r="E228" s="15"/>
      <c r="F228" s="15"/>
      <c r="G228" s="13"/>
      <c r="H228" s="13"/>
      <c r="I228" s="13"/>
      <c r="J228" s="13"/>
      <c r="K228" s="13"/>
      <c r="L228" s="13"/>
      <c r="M228" s="13"/>
      <c r="N228" s="12"/>
      <c r="O228" s="12"/>
      <c r="P228" s="8"/>
    </row>
    <row r="229" spans="1:16" ht="24" customHeight="1" thickBot="1" x14ac:dyDescent="0.3">
      <c r="A229" s="11"/>
      <c r="B229" s="9"/>
      <c r="C229" s="5"/>
      <c r="D229" s="5"/>
      <c r="E229" s="15"/>
      <c r="F229" s="15"/>
      <c r="G229" s="13"/>
      <c r="H229" s="13"/>
      <c r="I229" s="13"/>
      <c r="J229" s="13"/>
      <c r="K229" s="13"/>
      <c r="L229" s="13"/>
      <c r="M229" s="13"/>
      <c r="N229" s="12"/>
      <c r="O229" s="12"/>
      <c r="P229" s="8"/>
    </row>
    <row r="230" spans="1:16" ht="24" customHeight="1" thickBot="1" x14ac:dyDescent="0.3">
      <c r="A230" s="11"/>
      <c r="B230" s="9"/>
      <c r="C230" s="5"/>
      <c r="D230" s="5"/>
      <c r="E230" s="15"/>
      <c r="F230" s="15"/>
      <c r="G230" s="13"/>
      <c r="H230" s="13"/>
      <c r="I230" s="13"/>
      <c r="J230" s="13"/>
      <c r="K230" s="13"/>
      <c r="L230" s="13"/>
      <c r="M230" s="13"/>
      <c r="N230" s="12"/>
      <c r="O230" s="12"/>
      <c r="P230" s="8"/>
    </row>
    <row r="231" spans="1:16" ht="24" customHeight="1" thickBot="1" x14ac:dyDescent="0.3">
      <c r="A231" s="11"/>
      <c r="B231" s="9"/>
      <c r="C231" s="5"/>
      <c r="D231" s="5"/>
      <c r="E231" s="15"/>
      <c r="F231" s="15"/>
      <c r="G231" s="13"/>
      <c r="H231" s="13"/>
      <c r="I231" s="13"/>
      <c r="J231" s="13"/>
      <c r="K231" s="13"/>
      <c r="L231" s="13"/>
      <c r="M231" s="13"/>
      <c r="N231" s="12"/>
      <c r="O231" s="12"/>
      <c r="P231" s="8"/>
    </row>
    <row r="232" spans="1:16" ht="24" customHeight="1" thickBot="1" x14ac:dyDescent="0.3">
      <c r="A232" s="11"/>
      <c r="B232" s="9"/>
      <c r="C232" s="5"/>
      <c r="D232" s="5"/>
      <c r="E232" s="15"/>
      <c r="F232" s="15"/>
      <c r="G232" s="13"/>
      <c r="H232" s="13"/>
      <c r="I232" s="13"/>
      <c r="J232" s="13"/>
      <c r="K232" s="13"/>
      <c r="L232" s="13"/>
      <c r="M232" s="13"/>
      <c r="N232" s="12"/>
      <c r="O232" s="12"/>
      <c r="P232" s="8"/>
    </row>
    <row r="233" spans="1:16" ht="24" customHeight="1" thickBot="1" x14ac:dyDescent="0.3">
      <c r="A233" s="11"/>
      <c r="B233" s="9"/>
      <c r="C233" s="5"/>
      <c r="D233" s="5"/>
      <c r="E233" s="15"/>
      <c r="F233" s="15"/>
      <c r="G233" s="13"/>
      <c r="H233" s="13"/>
      <c r="I233" s="13"/>
      <c r="J233" s="13"/>
      <c r="K233" s="13"/>
      <c r="L233" s="13"/>
      <c r="M233" s="13"/>
      <c r="N233" s="12"/>
      <c r="O233" s="12"/>
      <c r="P233" s="8"/>
    </row>
    <row r="234" spans="1:16" ht="24" customHeight="1" thickBot="1" x14ac:dyDescent="0.3">
      <c r="A234" s="11"/>
      <c r="B234" s="9"/>
      <c r="C234" s="5"/>
      <c r="D234" s="5"/>
      <c r="E234" s="15"/>
      <c r="F234" s="15"/>
      <c r="G234" s="13"/>
      <c r="H234" s="13"/>
      <c r="I234" s="13"/>
      <c r="J234" s="13"/>
      <c r="K234" s="13"/>
      <c r="L234" s="13"/>
      <c r="M234" s="13"/>
      <c r="N234" s="12"/>
      <c r="O234" s="12"/>
      <c r="P234" s="8"/>
    </row>
    <row r="235" spans="1:16" ht="24" customHeight="1" thickBot="1" x14ac:dyDescent="0.3">
      <c r="A235" s="11"/>
      <c r="B235" s="9"/>
      <c r="C235" s="5"/>
      <c r="D235" s="5"/>
      <c r="E235" s="15"/>
      <c r="F235" s="15"/>
      <c r="G235" s="13"/>
      <c r="H235" s="13"/>
      <c r="I235" s="13"/>
      <c r="J235" s="13"/>
      <c r="K235" s="13"/>
      <c r="L235" s="13"/>
      <c r="M235" s="13"/>
      <c r="N235" s="12"/>
      <c r="O235" s="12"/>
      <c r="P235" s="8"/>
    </row>
    <row r="236" spans="1:16" ht="24" customHeight="1" thickBot="1" x14ac:dyDescent="0.3">
      <c r="A236" s="11"/>
      <c r="B236" s="9"/>
      <c r="C236" s="5"/>
      <c r="D236" s="5"/>
      <c r="E236" s="15"/>
      <c r="F236" s="15"/>
      <c r="G236" s="13"/>
      <c r="H236" s="13"/>
      <c r="I236" s="13"/>
      <c r="J236" s="13"/>
      <c r="K236" s="13"/>
      <c r="L236" s="13"/>
      <c r="M236" s="13"/>
      <c r="N236" s="12"/>
      <c r="O236" s="12"/>
      <c r="P236" s="8"/>
    </row>
    <row r="237" spans="1:16" ht="24" customHeight="1" thickBot="1" x14ac:dyDescent="0.3">
      <c r="A237" s="11"/>
      <c r="B237" s="9"/>
      <c r="C237" s="5"/>
      <c r="D237" s="5"/>
      <c r="E237" s="15"/>
      <c r="F237" s="15"/>
      <c r="G237" s="13"/>
      <c r="H237" s="13"/>
      <c r="I237" s="13"/>
      <c r="J237" s="13"/>
      <c r="K237" s="13"/>
      <c r="L237" s="13"/>
      <c r="M237" s="13"/>
      <c r="N237" s="12"/>
      <c r="O237" s="12"/>
      <c r="P237" s="8"/>
    </row>
    <row r="238" spans="1:16" ht="24" customHeight="1" thickBot="1" x14ac:dyDescent="0.3">
      <c r="A238" s="11"/>
      <c r="B238" s="9"/>
      <c r="C238" s="5"/>
      <c r="D238" s="5"/>
      <c r="E238" s="15"/>
      <c r="F238" s="15"/>
      <c r="G238" s="13"/>
      <c r="H238" s="13"/>
      <c r="I238" s="13"/>
      <c r="J238" s="13"/>
      <c r="K238" s="13"/>
      <c r="L238" s="13"/>
      <c r="M238" s="13"/>
      <c r="N238" s="12"/>
      <c r="O238" s="12"/>
      <c r="P238" s="8"/>
    </row>
    <row r="239" spans="1:16" ht="24" customHeight="1" thickBot="1" x14ac:dyDescent="0.3">
      <c r="A239" s="11"/>
      <c r="B239" s="9"/>
      <c r="C239" s="5"/>
      <c r="D239" s="5"/>
      <c r="E239" s="15"/>
      <c r="F239" s="15"/>
      <c r="G239" s="13"/>
      <c r="H239" s="13"/>
      <c r="I239" s="13"/>
      <c r="J239" s="13"/>
      <c r="K239" s="13"/>
      <c r="L239" s="13"/>
      <c r="M239" s="13"/>
      <c r="N239" s="12"/>
      <c r="O239" s="12"/>
      <c r="P239" s="8"/>
    </row>
    <row r="240" spans="1:16" ht="24" customHeight="1" thickBot="1" x14ac:dyDescent="0.3">
      <c r="A240" s="11"/>
      <c r="B240" s="9"/>
      <c r="C240" s="5"/>
      <c r="D240" s="5"/>
      <c r="E240" s="15"/>
      <c r="F240" s="15"/>
      <c r="G240" s="13"/>
      <c r="H240" s="13"/>
      <c r="I240" s="13"/>
      <c r="J240" s="13"/>
      <c r="K240" s="13"/>
      <c r="L240" s="13"/>
      <c r="M240" s="13"/>
      <c r="N240" s="12"/>
      <c r="O240" s="12"/>
      <c r="P240" s="8"/>
    </row>
    <row r="241" spans="1:16" ht="24" customHeight="1" thickBot="1" x14ac:dyDescent="0.3">
      <c r="A241" s="11"/>
      <c r="B241" s="9"/>
      <c r="C241" s="5"/>
      <c r="D241" s="5"/>
      <c r="E241" s="15"/>
      <c r="F241" s="15"/>
      <c r="G241" s="13"/>
      <c r="H241" s="13"/>
      <c r="I241" s="13"/>
      <c r="J241" s="13"/>
      <c r="K241" s="13"/>
      <c r="L241" s="13"/>
      <c r="M241" s="13"/>
      <c r="N241" s="12"/>
      <c r="O241" s="12"/>
      <c r="P241" s="8"/>
    </row>
    <row r="242" spans="1:16" ht="24" customHeight="1" thickBot="1" x14ac:dyDescent="0.3">
      <c r="A242" s="11"/>
      <c r="B242" s="9"/>
      <c r="C242" s="5"/>
      <c r="D242" s="5"/>
      <c r="E242" s="15"/>
      <c r="F242" s="15"/>
      <c r="G242" s="13"/>
      <c r="H242" s="13"/>
      <c r="I242" s="13"/>
      <c r="J242" s="13"/>
      <c r="K242" s="13"/>
      <c r="L242" s="13"/>
      <c r="M242" s="13"/>
      <c r="N242" s="12"/>
      <c r="O242" s="12"/>
      <c r="P242" s="8"/>
    </row>
    <row r="243" spans="1:16" ht="24" customHeight="1" thickBot="1" x14ac:dyDescent="0.3">
      <c r="A243" s="11"/>
      <c r="B243" s="9"/>
      <c r="C243" s="5"/>
      <c r="D243" s="5"/>
      <c r="E243" s="15"/>
      <c r="F243" s="15"/>
      <c r="G243" s="13"/>
      <c r="H243" s="13"/>
      <c r="I243" s="13"/>
      <c r="J243" s="13"/>
      <c r="K243" s="13"/>
      <c r="L243" s="13"/>
      <c r="M243" s="13"/>
      <c r="N243" s="12"/>
      <c r="O243" s="12"/>
      <c r="P243" s="8"/>
    </row>
    <row r="244" spans="1:16" ht="24" customHeight="1" thickBot="1" x14ac:dyDescent="0.3">
      <c r="A244" s="11"/>
      <c r="B244" s="9"/>
      <c r="C244" s="5"/>
      <c r="D244" s="5"/>
      <c r="E244" s="15"/>
      <c r="F244" s="15"/>
      <c r="G244" s="13"/>
      <c r="H244" s="13"/>
      <c r="I244" s="13"/>
      <c r="J244" s="13"/>
      <c r="K244" s="13"/>
      <c r="L244" s="13"/>
      <c r="M244" s="13"/>
      <c r="N244" s="12"/>
      <c r="O244" s="12"/>
      <c r="P244" s="8"/>
    </row>
    <row r="245" spans="1:16" ht="24" customHeight="1" thickBot="1" x14ac:dyDescent="0.3">
      <c r="A245" s="11"/>
      <c r="B245" s="9"/>
      <c r="C245" s="5"/>
      <c r="D245" s="5"/>
      <c r="E245" s="15"/>
      <c r="F245" s="15"/>
      <c r="G245" s="13"/>
      <c r="H245" s="13"/>
      <c r="I245" s="13"/>
      <c r="J245" s="13"/>
      <c r="K245" s="13"/>
      <c r="L245" s="13"/>
      <c r="M245" s="13"/>
      <c r="N245" s="12"/>
      <c r="O245" s="12"/>
      <c r="P245" s="8"/>
    </row>
    <row r="246" spans="1:16" ht="24" customHeight="1" thickBot="1" x14ac:dyDescent="0.3">
      <c r="A246" s="11"/>
      <c r="B246" s="9"/>
      <c r="C246" s="5"/>
      <c r="D246" s="5"/>
      <c r="E246" s="15"/>
      <c r="F246" s="15"/>
      <c r="G246" s="13"/>
      <c r="H246" s="13"/>
      <c r="I246" s="13"/>
      <c r="J246" s="13"/>
      <c r="K246" s="13"/>
      <c r="L246" s="13"/>
      <c r="M246" s="13"/>
      <c r="N246" s="12"/>
      <c r="O246" s="12"/>
      <c r="P246" s="8"/>
    </row>
    <row r="247" spans="1:16" ht="24" customHeight="1" thickBot="1" x14ac:dyDescent="0.3">
      <c r="A247" s="11"/>
      <c r="B247" s="9"/>
      <c r="C247" s="5"/>
      <c r="D247" s="5"/>
      <c r="E247" s="15"/>
      <c r="F247" s="15"/>
      <c r="G247" s="13"/>
      <c r="H247" s="13"/>
      <c r="I247" s="13"/>
      <c r="J247" s="13"/>
      <c r="K247" s="13"/>
      <c r="L247" s="13"/>
      <c r="M247" s="13"/>
      <c r="N247" s="12"/>
      <c r="O247" s="12"/>
      <c r="P247" s="8"/>
    </row>
    <row r="248" spans="1:16" ht="24" customHeight="1" thickBot="1" x14ac:dyDescent="0.3">
      <c r="A248" s="11"/>
      <c r="B248" s="9"/>
      <c r="C248" s="5"/>
      <c r="D248" s="5"/>
      <c r="E248" s="15"/>
      <c r="F248" s="15"/>
      <c r="G248" s="13"/>
      <c r="H248" s="13"/>
      <c r="I248" s="13"/>
      <c r="J248" s="13"/>
      <c r="K248" s="13"/>
      <c r="L248" s="13"/>
      <c r="M248" s="13"/>
      <c r="N248" s="12"/>
      <c r="O248" s="12"/>
      <c r="P248" s="8"/>
    </row>
    <row r="249" spans="1:16" ht="24" customHeight="1" thickBot="1" x14ac:dyDescent="0.3">
      <c r="A249" s="11"/>
      <c r="B249" s="9"/>
      <c r="C249" s="5"/>
      <c r="D249" s="5"/>
      <c r="E249" s="15"/>
      <c r="F249" s="15"/>
      <c r="G249" s="13"/>
      <c r="H249" s="13"/>
      <c r="I249" s="13"/>
      <c r="J249" s="13"/>
      <c r="K249" s="13"/>
      <c r="L249" s="13"/>
      <c r="M249" s="13"/>
      <c r="N249" s="12"/>
      <c r="O249" s="12"/>
      <c r="P249" s="8"/>
    </row>
    <row r="250" spans="1:16" ht="24" customHeight="1" thickBot="1" x14ac:dyDescent="0.3">
      <c r="A250" s="11"/>
      <c r="B250" s="9"/>
      <c r="C250" s="5"/>
      <c r="D250" s="5"/>
      <c r="E250" s="15"/>
      <c r="F250" s="15"/>
      <c r="G250" s="13"/>
      <c r="H250" s="13"/>
      <c r="I250" s="13"/>
      <c r="J250" s="13"/>
      <c r="K250" s="13"/>
      <c r="L250" s="13"/>
      <c r="M250" s="13"/>
      <c r="N250" s="12"/>
      <c r="O250" s="12"/>
      <c r="P250" s="8"/>
    </row>
    <row r="251" spans="1:16" ht="24" customHeight="1" thickBot="1" x14ac:dyDescent="0.3">
      <c r="A251" s="11"/>
      <c r="B251" s="9"/>
      <c r="C251" s="5"/>
      <c r="D251" s="5"/>
      <c r="E251" s="15"/>
      <c r="F251" s="15"/>
      <c r="G251" s="13"/>
      <c r="H251" s="13"/>
      <c r="I251" s="13"/>
      <c r="J251" s="13"/>
      <c r="K251" s="13"/>
      <c r="L251" s="13"/>
      <c r="M251" s="13"/>
      <c r="N251" s="12"/>
      <c r="O251" s="12"/>
      <c r="P251" s="8"/>
    </row>
    <row r="252" spans="1:16" ht="24" customHeight="1" thickBot="1" x14ac:dyDescent="0.3">
      <c r="A252" s="11"/>
      <c r="B252" s="9"/>
      <c r="C252" s="5"/>
      <c r="D252" s="5"/>
      <c r="E252" s="15"/>
      <c r="F252" s="15"/>
      <c r="G252" s="13"/>
      <c r="H252" s="13"/>
      <c r="I252" s="13"/>
      <c r="J252" s="13"/>
      <c r="K252" s="13"/>
      <c r="L252" s="13"/>
      <c r="M252" s="13"/>
      <c r="N252" s="12"/>
      <c r="O252" s="12"/>
      <c r="P252" s="8"/>
    </row>
    <row r="253" spans="1:16" ht="24" customHeight="1" thickBot="1" x14ac:dyDescent="0.3">
      <c r="A253" s="11"/>
      <c r="B253" s="9"/>
      <c r="C253" s="5"/>
      <c r="D253" s="5"/>
      <c r="E253" s="15"/>
      <c r="F253" s="15"/>
      <c r="G253" s="13"/>
      <c r="H253" s="13"/>
      <c r="I253" s="13"/>
      <c r="J253" s="13"/>
      <c r="K253" s="13"/>
      <c r="L253" s="13"/>
      <c r="M253" s="13"/>
      <c r="N253" s="12"/>
      <c r="O253" s="12"/>
      <c r="P253" s="8"/>
    </row>
    <row r="254" spans="1:16" ht="24" customHeight="1" thickBot="1" x14ac:dyDescent="0.3">
      <c r="A254" s="11"/>
      <c r="B254" s="9"/>
      <c r="C254" s="5"/>
      <c r="D254" s="5"/>
      <c r="E254" s="15"/>
      <c r="F254" s="15"/>
      <c r="G254" s="13"/>
      <c r="H254" s="13"/>
      <c r="I254" s="13"/>
      <c r="J254" s="13"/>
      <c r="K254" s="13"/>
      <c r="L254" s="13"/>
      <c r="M254" s="13"/>
      <c r="N254" s="12"/>
      <c r="O254" s="12"/>
      <c r="P254" s="8"/>
    </row>
    <row r="255" spans="1:16" ht="24" customHeight="1" thickBot="1" x14ac:dyDescent="0.3">
      <c r="A255" s="11"/>
      <c r="B255" s="9"/>
      <c r="C255" s="5"/>
      <c r="D255" s="5"/>
      <c r="E255" s="15"/>
      <c r="F255" s="15"/>
      <c r="G255" s="13"/>
      <c r="H255" s="13"/>
      <c r="I255" s="13"/>
      <c r="J255" s="13"/>
      <c r="K255" s="13"/>
      <c r="L255" s="13"/>
      <c r="M255" s="13"/>
      <c r="N255" s="12"/>
      <c r="O255" s="12"/>
      <c r="P255" s="8"/>
    </row>
    <row r="256" spans="1:16" ht="24" customHeight="1" thickBot="1" x14ac:dyDescent="0.3">
      <c r="A256" s="11"/>
      <c r="B256" s="9"/>
      <c r="C256" s="5"/>
      <c r="D256" s="5"/>
      <c r="E256" s="15"/>
      <c r="F256" s="15"/>
      <c r="G256" s="13"/>
      <c r="H256" s="13"/>
      <c r="I256" s="13"/>
      <c r="J256" s="13"/>
      <c r="K256" s="13"/>
      <c r="L256" s="13"/>
      <c r="M256" s="13"/>
      <c r="N256" s="12"/>
      <c r="O256" s="12"/>
      <c r="P256" s="8"/>
    </row>
    <row r="257" spans="1:16" ht="24" customHeight="1" thickBot="1" x14ac:dyDescent="0.3">
      <c r="A257" s="11"/>
      <c r="B257" s="9"/>
      <c r="C257" s="5"/>
      <c r="D257" s="5"/>
      <c r="E257" s="15"/>
      <c r="F257" s="15"/>
      <c r="G257" s="13"/>
      <c r="H257" s="13"/>
      <c r="I257" s="13"/>
      <c r="J257" s="13"/>
      <c r="K257" s="13"/>
      <c r="L257" s="13"/>
      <c r="M257" s="13"/>
      <c r="N257" s="12"/>
      <c r="O257" s="12"/>
      <c r="P257" s="8"/>
    </row>
    <row r="258" spans="1:16" ht="24" customHeight="1" thickBot="1" x14ac:dyDescent="0.3">
      <c r="A258" s="11"/>
      <c r="B258" s="9"/>
      <c r="C258" s="5"/>
      <c r="D258" s="5"/>
      <c r="E258" s="15"/>
      <c r="F258" s="15"/>
      <c r="G258" s="13"/>
      <c r="H258" s="13"/>
      <c r="I258" s="13"/>
      <c r="J258" s="13"/>
      <c r="K258" s="13"/>
      <c r="L258" s="13"/>
      <c r="M258" s="13"/>
      <c r="N258" s="12"/>
      <c r="O258" s="12"/>
      <c r="P258" s="8"/>
    </row>
    <row r="259" spans="1:16" ht="24" customHeight="1" thickBot="1" x14ac:dyDescent="0.3">
      <c r="A259" s="11"/>
      <c r="B259" s="9"/>
      <c r="C259" s="5"/>
      <c r="D259" s="5"/>
      <c r="E259" s="15"/>
      <c r="F259" s="15"/>
      <c r="G259" s="13"/>
      <c r="H259" s="13"/>
      <c r="I259" s="13"/>
      <c r="J259" s="13"/>
      <c r="K259" s="13"/>
      <c r="L259" s="13"/>
      <c r="M259" s="13"/>
      <c r="N259" s="12"/>
      <c r="O259" s="12"/>
      <c r="P259" s="8"/>
    </row>
    <row r="260" spans="1:16" ht="24" customHeight="1" thickBot="1" x14ac:dyDescent="0.3">
      <c r="A260" s="11"/>
      <c r="B260" s="9"/>
      <c r="C260" s="5"/>
      <c r="D260" s="5"/>
      <c r="E260" s="15"/>
      <c r="F260" s="15"/>
      <c r="G260" s="13"/>
      <c r="H260" s="13"/>
      <c r="I260" s="13"/>
      <c r="J260" s="13"/>
      <c r="K260" s="13"/>
      <c r="L260" s="13"/>
      <c r="M260" s="13"/>
      <c r="N260" s="12"/>
      <c r="O260" s="12"/>
      <c r="P260" s="8"/>
    </row>
    <row r="261" spans="1:16" ht="24" customHeight="1" thickBot="1" x14ac:dyDescent="0.3">
      <c r="A261" s="11"/>
      <c r="B261" s="9"/>
      <c r="C261" s="5"/>
      <c r="D261" s="5"/>
      <c r="E261" s="15"/>
      <c r="F261" s="15"/>
      <c r="G261" s="13"/>
      <c r="H261" s="13"/>
      <c r="I261" s="13"/>
      <c r="J261" s="13"/>
      <c r="K261" s="13"/>
      <c r="L261" s="13"/>
      <c r="M261" s="13"/>
      <c r="N261" s="12"/>
      <c r="O261" s="12"/>
      <c r="P261" s="8"/>
    </row>
    <row r="262" spans="1:16" ht="24" customHeight="1" thickBot="1" x14ac:dyDescent="0.3">
      <c r="A262" s="11"/>
      <c r="B262" s="9"/>
      <c r="C262" s="5"/>
      <c r="D262" s="5"/>
      <c r="E262" s="15"/>
      <c r="F262" s="15"/>
      <c r="G262" s="13"/>
      <c r="H262" s="13"/>
      <c r="I262" s="13"/>
      <c r="J262" s="13"/>
      <c r="K262" s="13"/>
      <c r="L262" s="13"/>
      <c r="M262" s="13"/>
      <c r="N262" s="12"/>
      <c r="O262" s="12"/>
      <c r="P262" s="8"/>
    </row>
    <row r="263" spans="1:16" ht="24" customHeight="1" thickBot="1" x14ac:dyDescent="0.3">
      <c r="A263" s="11"/>
      <c r="B263" s="9"/>
      <c r="C263" s="5"/>
      <c r="D263" s="5"/>
      <c r="E263" s="15"/>
      <c r="F263" s="15"/>
      <c r="G263" s="13"/>
      <c r="H263" s="13"/>
      <c r="I263" s="13"/>
      <c r="J263" s="13"/>
      <c r="K263" s="13"/>
      <c r="L263" s="13"/>
      <c r="M263" s="13"/>
      <c r="N263" s="12"/>
      <c r="O263" s="12"/>
      <c r="P263" s="8"/>
    </row>
    <row r="264" spans="1:16" ht="24" customHeight="1" thickBot="1" x14ac:dyDescent="0.3">
      <c r="A264" s="11"/>
      <c r="B264" s="9"/>
      <c r="C264" s="5"/>
      <c r="D264" s="5"/>
      <c r="E264" s="15"/>
      <c r="F264" s="15"/>
      <c r="G264" s="13"/>
      <c r="H264" s="13"/>
      <c r="I264" s="13"/>
      <c r="J264" s="13"/>
      <c r="K264" s="13"/>
      <c r="L264" s="13"/>
      <c r="M264" s="13"/>
      <c r="N264" s="12"/>
      <c r="O264" s="12"/>
      <c r="P264" s="8"/>
    </row>
    <row r="265" spans="1:16" ht="24" customHeight="1" thickBot="1" x14ac:dyDescent="0.3">
      <c r="A265" s="11"/>
      <c r="B265" s="9"/>
      <c r="C265" s="5"/>
      <c r="D265" s="5"/>
      <c r="E265" s="15"/>
      <c r="F265" s="15"/>
      <c r="G265" s="13"/>
      <c r="H265" s="13"/>
      <c r="I265" s="13"/>
      <c r="J265" s="13"/>
      <c r="K265" s="13"/>
      <c r="L265" s="13"/>
      <c r="M265" s="13"/>
      <c r="N265" s="12"/>
      <c r="O265" s="12"/>
      <c r="P265" s="8"/>
    </row>
    <row r="266" spans="1:16" ht="24" customHeight="1" thickBot="1" x14ac:dyDescent="0.3">
      <c r="A266" s="11"/>
      <c r="B266" s="9"/>
      <c r="C266" s="5"/>
      <c r="D266" s="5"/>
      <c r="E266" s="15"/>
      <c r="F266" s="15"/>
      <c r="G266" s="13"/>
      <c r="H266" s="13"/>
      <c r="I266" s="13"/>
      <c r="J266" s="13"/>
      <c r="K266" s="13"/>
      <c r="L266" s="13"/>
      <c r="M266" s="13"/>
      <c r="N266" s="12"/>
      <c r="O266" s="12"/>
      <c r="P266" s="8"/>
    </row>
    <row r="267" spans="1:16" ht="24" customHeight="1" thickBot="1" x14ac:dyDescent="0.3">
      <c r="A267" s="11"/>
      <c r="B267" s="9"/>
      <c r="C267" s="5"/>
      <c r="D267" s="5"/>
      <c r="E267" s="15"/>
      <c r="F267" s="15"/>
      <c r="G267" s="13"/>
      <c r="H267" s="13"/>
      <c r="I267" s="13"/>
      <c r="J267" s="13"/>
      <c r="K267" s="13"/>
      <c r="L267" s="13"/>
      <c r="M267" s="13"/>
      <c r="N267" s="12"/>
      <c r="O267" s="12"/>
      <c r="P267" s="8"/>
    </row>
    <row r="268" spans="1:16" ht="24" customHeight="1" thickBot="1" x14ac:dyDescent="0.3">
      <c r="A268" s="11"/>
      <c r="B268" s="9"/>
      <c r="C268" s="5"/>
      <c r="D268" s="5"/>
      <c r="E268" s="15"/>
      <c r="F268" s="15"/>
      <c r="G268" s="13"/>
      <c r="H268" s="13"/>
      <c r="I268" s="13"/>
      <c r="J268" s="13"/>
      <c r="K268" s="13"/>
      <c r="L268" s="13"/>
      <c r="M268" s="13"/>
      <c r="N268" s="12"/>
      <c r="O268" s="12"/>
      <c r="P268" s="8"/>
    </row>
    <row r="269" spans="1:16" ht="24" customHeight="1" thickBot="1" x14ac:dyDescent="0.3">
      <c r="A269" s="11"/>
      <c r="B269" s="9"/>
      <c r="C269" s="5"/>
      <c r="D269" s="5"/>
      <c r="E269" s="15"/>
      <c r="F269" s="15"/>
      <c r="G269" s="13"/>
      <c r="H269" s="13"/>
      <c r="I269" s="13"/>
      <c r="J269" s="13"/>
      <c r="K269" s="13"/>
      <c r="L269" s="13"/>
      <c r="M269" s="13"/>
      <c r="N269" s="12"/>
      <c r="O269" s="12"/>
      <c r="P269" s="8"/>
    </row>
    <row r="270" spans="1:16" ht="24" customHeight="1" thickBot="1" x14ac:dyDescent="0.3">
      <c r="A270" s="11"/>
      <c r="B270" s="9"/>
      <c r="C270" s="5"/>
      <c r="D270" s="5"/>
      <c r="E270" s="15"/>
      <c r="F270" s="15"/>
      <c r="G270" s="13"/>
      <c r="H270" s="13"/>
      <c r="I270" s="13"/>
      <c r="J270" s="13"/>
      <c r="K270" s="13"/>
      <c r="L270" s="13"/>
      <c r="M270" s="13"/>
      <c r="N270" s="12"/>
      <c r="O270" s="12"/>
      <c r="P270" s="8"/>
    </row>
    <row r="271" spans="1:16" ht="24" customHeight="1" thickBot="1" x14ac:dyDescent="0.3">
      <c r="A271" s="11"/>
      <c r="B271" s="9"/>
      <c r="C271" s="5"/>
      <c r="D271" s="5"/>
      <c r="E271" s="15"/>
      <c r="F271" s="15"/>
      <c r="G271" s="13"/>
      <c r="H271" s="13"/>
      <c r="I271" s="13"/>
      <c r="J271" s="13"/>
      <c r="K271" s="13"/>
      <c r="L271" s="13"/>
      <c r="M271" s="13"/>
      <c r="N271" s="12"/>
      <c r="O271" s="12"/>
      <c r="P271" s="8"/>
    </row>
    <row r="272" spans="1:16" ht="24" customHeight="1" thickBot="1" x14ac:dyDescent="0.3">
      <c r="A272" s="11"/>
      <c r="B272" s="9"/>
      <c r="C272" s="5"/>
      <c r="D272" s="5"/>
      <c r="E272" s="15"/>
      <c r="F272" s="15"/>
      <c r="G272" s="13"/>
      <c r="H272" s="13"/>
      <c r="I272" s="13"/>
      <c r="J272" s="13"/>
      <c r="K272" s="13"/>
      <c r="L272" s="13"/>
      <c r="M272" s="13"/>
      <c r="N272" s="12"/>
      <c r="O272" s="12"/>
      <c r="P272" s="8"/>
    </row>
    <row r="273" spans="1:16" ht="24" customHeight="1" thickBot="1" x14ac:dyDescent="0.3">
      <c r="A273" s="11"/>
      <c r="B273" s="9"/>
      <c r="C273" s="5"/>
      <c r="D273" s="5"/>
      <c r="E273" s="15"/>
      <c r="F273" s="15"/>
      <c r="G273" s="13"/>
      <c r="H273" s="13"/>
      <c r="I273" s="13"/>
      <c r="J273" s="13"/>
      <c r="K273" s="13"/>
      <c r="L273" s="13"/>
      <c r="M273" s="13"/>
      <c r="N273" s="12"/>
      <c r="O273" s="12"/>
      <c r="P273" s="8"/>
    </row>
    <row r="274" spans="1:16" ht="24" customHeight="1" thickBot="1" x14ac:dyDescent="0.3">
      <c r="A274" s="11"/>
      <c r="B274" s="9"/>
      <c r="C274" s="5"/>
      <c r="D274" s="5"/>
      <c r="E274" s="15"/>
      <c r="F274" s="15"/>
      <c r="G274" s="13"/>
      <c r="H274" s="13"/>
      <c r="I274" s="13"/>
      <c r="J274" s="13"/>
      <c r="K274" s="13"/>
      <c r="L274" s="13"/>
      <c r="M274" s="13"/>
      <c r="N274" s="12"/>
      <c r="O274" s="12"/>
      <c r="P274" s="8"/>
    </row>
    <row r="275" spans="1:16" ht="24" customHeight="1" thickBot="1" x14ac:dyDescent="0.3">
      <c r="A275" s="11"/>
      <c r="B275" s="9"/>
      <c r="C275" s="5"/>
      <c r="D275" s="5"/>
      <c r="E275" s="15"/>
      <c r="F275" s="15"/>
      <c r="G275" s="13"/>
      <c r="H275" s="13"/>
      <c r="I275" s="13"/>
      <c r="J275" s="13"/>
      <c r="K275" s="13"/>
      <c r="L275" s="13"/>
      <c r="M275" s="13"/>
      <c r="N275" s="12"/>
      <c r="O275" s="12"/>
      <c r="P275" s="8"/>
    </row>
    <row r="276" spans="1:16" ht="24" customHeight="1" thickBot="1" x14ac:dyDescent="0.3">
      <c r="A276" s="11"/>
      <c r="B276" s="9"/>
      <c r="C276" s="5"/>
      <c r="D276" s="5"/>
      <c r="E276" s="15"/>
      <c r="F276" s="15"/>
      <c r="G276" s="13"/>
      <c r="H276" s="13"/>
      <c r="I276" s="13"/>
      <c r="J276" s="13"/>
      <c r="K276" s="13"/>
      <c r="L276" s="13"/>
      <c r="M276" s="13"/>
      <c r="N276" s="12"/>
      <c r="O276" s="12"/>
      <c r="P276" s="8"/>
    </row>
    <row r="277" spans="1:16" ht="24" customHeight="1" thickBot="1" x14ac:dyDescent="0.3">
      <c r="A277" s="11"/>
      <c r="B277" s="9"/>
      <c r="C277" s="5"/>
      <c r="D277" s="5"/>
      <c r="E277" s="15"/>
      <c r="F277" s="15"/>
      <c r="G277" s="13"/>
      <c r="H277" s="13"/>
      <c r="I277" s="13"/>
      <c r="J277" s="13"/>
      <c r="K277" s="13"/>
      <c r="L277" s="13"/>
      <c r="M277" s="13"/>
      <c r="N277" s="12"/>
      <c r="O277" s="12"/>
      <c r="P277" s="8"/>
    </row>
    <row r="278" spans="1:16" ht="24" customHeight="1" thickBot="1" x14ac:dyDescent="0.3">
      <c r="A278" s="11"/>
      <c r="B278" s="9"/>
      <c r="C278" s="5"/>
      <c r="D278" s="5"/>
      <c r="E278" s="15"/>
      <c r="F278" s="15"/>
      <c r="G278" s="13"/>
      <c r="H278" s="13"/>
      <c r="I278" s="13"/>
      <c r="J278" s="13"/>
      <c r="K278" s="13"/>
      <c r="L278" s="13"/>
      <c r="M278" s="13"/>
      <c r="N278" s="12"/>
      <c r="O278" s="12"/>
      <c r="P278" s="8"/>
    </row>
    <row r="279" spans="1:16" ht="24" customHeight="1" thickBot="1" x14ac:dyDescent="0.3">
      <c r="A279" s="11"/>
      <c r="B279" s="9"/>
      <c r="C279" s="5"/>
      <c r="D279" s="5"/>
      <c r="E279" s="15"/>
      <c r="F279" s="15"/>
      <c r="G279" s="13"/>
      <c r="H279" s="13"/>
      <c r="I279" s="13"/>
      <c r="J279" s="13"/>
      <c r="K279" s="13"/>
      <c r="L279" s="13"/>
      <c r="M279" s="13"/>
      <c r="N279" s="12"/>
      <c r="O279" s="12"/>
      <c r="P279" s="8"/>
    </row>
    <row r="280" spans="1:16" ht="24" customHeight="1" thickBot="1" x14ac:dyDescent="0.3">
      <c r="A280" s="11"/>
      <c r="B280" s="9"/>
      <c r="C280" s="5"/>
      <c r="D280" s="5"/>
      <c r="E280" s="15"/>
      <c r="F280" s="15"/>
      <c r="G280" s="13"/>
      <c r="H280" s="13"/>
      <c r="I280" s="13"/>
      <c r="J280" s="13"/>
      <c r="K280" s="13"/>
      <c r="L280" s="13"/>
      <c r="M280" s="13"/>
      <c r="N280" s="12"/>
      <c r="O280" s="12"/>
      <c r="P280" s="8"/>
    </row>
    <row r="281" spans="1:16" ht="24" customHeight="1" thickBot="1" x14ac:dyDescent="0.3">
      <c r="A281" s="11"/>
      <c r="B281" s="9"/>
      <c r="C281" s="5"/>
      <c r="D281" s="5"/>
      <c r="E281" s="15"/>
      <c r="F281" s="15"/>
      <c r="G281" s="13"/>
      <c r="H281" s="13"/>
      <c r="I281" s="13"/>
      <c r="J281" s="13"/>
      <c r="K281" s="13"/>
      <c r="L281" s="13"/>
      <c r="M281" s="13"/>
      <c r="N281" s="12"/>
      <c r="O281" s="12"/>
      <c r="P281" s="8"/>
    </row>
    <row r="282" spans="1:16" ht="24" customHeight="1" thickBot="1" x14ac:dyDescent="0.3">
      <c r="A282" s="11"/>
      <c r="B282" s="9"/>
      <c r="C282" s="5"/>
      <c r="D282" s="5"/>
      <c r="E282" s="15"/>
      <c r="F282" s="15"/>
      <c r="G282" s="13"/>
      <c r="H282" s="13"/>
      <c r="I282" s="13"/>
      <c r="J282" s="13"/>
      <c r="K282" s="13"/>
      <c r="L282" s="13"/>
      <c r="M282" s="13"/>
      <c r="N282" s="12"/>
      <c r="O282" s="12"/>
      <c r="P282" s="8"/>
    </row>
  </sheetData>
  <mergeCells count="13">
    <mergeCell ref="A1:P1"/>
    <mergeCell ref="P5:P6"/>
    <mergeCell ref="A2:O2"/>
    <mergeCell ref="H5:M5"/>
    <mergeCell ref="A5:A6"/>
    <mergeCell ref="B5:B6"/>
    <mergeCell ref="C5:C6"/>
    <mergeCell ref="D5:D6"/>
    <mergeCell ref="E5:E6"/>
    <mergeCell ref="F5:F6"/>
    <mergeCell ref="N5:N6"/>
    <mergeCell ref="O5:O6"/>
    <mergeCell ref="A4:B4"/>
  </mergeCells>
  <printOptions horizontalCentered="1"/>
  <pageMargins left="0.7" right="0.7" top="0.75" bottom="0.75" header="0.3" footer="0.3"/>
  <pageSetup paperSize="9" scale="10" orientation="landscape" horizont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11"/>
  <sheetViews>
    <sheetView topLeftCell="A193" zoomScale="65" zoomScaleNormal="65" workbookViewId="0">
      <selection activeCell="A162" sqref="A162:XFD211"/>
    </sheetView>
  </sheetViews>
  <sheetFormatPr defaultRowHeight="15" x14ac:dyDescent="0.25"/>
  <cols>
    <col min="1" max="1" width="6.140625" customWidth="1"/>
    <col min="2" max="2" width="9.42578125" bestFit="1" customWidth="1"/>
    <col min="3" max="3" width="15.5703125" customWidth="1"/>
    <col min="4" max="4" width="10.42578125" customWidth="1"/>
    <col min="5" max="5" width="9.140625" style="16" customWidth="1"/>
    <col min="6" max="6" width="15.140625" style="16" customWidth="1"/>
    <col min="7" max="7" width="12.7109375" bestFit="1" customWidth="1"/>
    <col min="8" max="8" width="12.28515625" bestFit="1" customWidth="1"/>
    <col min="9" max="9" width="12.7109375" bestFit="1" customWidth="1"/>
    <col min="10" max="12" width="12.28515625" bestFit="1" customWidth="1"/>
    <col min="13" max="13" width="8.85546875" customWidth="1"/>
    <col min="14" max="14" width="13.140625" customWidth="1"/>
    <col min="15" max="15" width="13.28515625" customWidth="1"/>
    <col min="16" max="16" width="24.7109375" customWidth="1"/>
  </cols>
  <sheetData>
    <row r="1" spans="1:16" ht="18.75" x14ac:dyDescent="0.3">
      <c r="A1" s="68" t="s">
        <v>52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</row>
    <row r="2" spans="1:16" x14ac:dyDescent="0.25">
      <c r="A2" s="71" t="s">
        <v>0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</row>
    <row r="3" spans="1:16" x14ac:dyDescent="0.25">
      <c r="A3" s="2" t="s">
        <v>1</v>
      </c>
      <c r="B3" s="2"/>
      <c r="C3" s="2"/>
      <c r="D3" s="2" t="s">
        <v>2</v>
      </c>
      <c r="E3" s="14" t="s">
        <v>57</v>
      </c>
      <c r="F3" s="14"/>
      <c r="G3" s="2"/>
      <c r="H3" s="3"/>
      <c r="I3" s="2"/>
      <c r="J3" s="2"/>
      <c r="K3" s="2"/>
      <c r="L3" s="2"/>
      <c r="M3" s="3"/>
      <c r="N3" s="4"/>
      <c r="O3" s="2"/>
    </row>
    <row r="4" spans="1:16" ht="18.75" thickBot="1" x14ac:dyDescent="0.3">
      <c r="A4" s="80">
        <v>43698</v>
      </c>
      <c r="B4" s="80"/>
      <c r="C4" s="2"/>
      <c r="D4" s="6"/>
      <c r="E4" s="18"/>
      <c r="F4" s="14"/>
      <c r="G4" s="2"/>
      <c r="H4" s="30" t="s">
        <v>55</v>
      </c>
      <c r="I4" s="2"/>
      <c r="J4" s="2"/>
      <c r="K4" s="2"/>
      <c r="L4" s="2"/>
      <c r="M4" s="4"/>
      <c r="N4" s="4"/>
      <c r="O4" s="2"/>
    </row>
    <row r="5" spans="1:16" s="1" customFormat="1" ht="14.45" customHeight="1" x14ac:dyDescent="0.25">
      <c r="A5" s="73" t="s">
        <v>3</v>
      </c>
      <c r="B5" s="75" t="s">
        <v>4</v>
      </c>
      <c r="C5" s="72" t="s">
        <v>5</v>
      </c>
      <c r="D5" s="72" t="s">
        <v>16</v>
      </c>
      <c r="E5" s="78" t="s">
        <v>6</v>
      </c>
      <c r="F5" s="78" t="s">
        <v>7</v>
      </c>
      <c r="G5" s="7" t="s">
        <v>17</v>
      </c>
      <c r="H5" s="72" t="s">
        <v>53</v>
      </c>
      <c r="I5" s="72"/>
      <c r="J5" s="72"/>
      <c r="K5" s="72"/>
      <c r="L5" s="72"/>
      <c r="M5" s="72"/>
      <c r="N5" s="72" t="s">
        <v>15</v>
      </c>
      <c r="O5" s="72" t="s">
        <v>18</v>
      </c>
      <c r="P5" s="69" t="s">
        <v>19</v>
      </c>
    </row>
    <row r="6" spans="1:16" ht="13.9" customHeight="1" thickBot="1" x14ac:dyDescent="0.3">
      <c r="A6" s="74"/>
      <c r="B6" s="76"/>
      <c r="C6" s="77"/>
      <c r="D6" s="77"/>
      <c r="E6" s="79"/>
      <c r="F6" s="79"/>
      <c r="G6" s="20" t="s">
        <v>8</v>
      </c>
      <c r="H6" s="20" t="s">
        <v>9</v>
      </c>
      <c r="I6" s="20" t="s">
        <v>10</v>
      </c>
      <c r="J6" s="20" t="s">
        <v>11</v>
      </c>
      <c r="K6" s="20" t="s">
        <v>12</v>
      </c>
      <c r="L6" s="20" t="s">
        <v>13</v>
      </c>
      <c r="M6" s="20" t="s">
        <v>14</v>
      </c>
      <c r="N6" s="77"/>
      <c r="O6" s="77"/>
      <c r="P6" s="70"/>
    </row>
    <row r="7" spans="1:16" ht="24" customHeight="1" x14ac:dyDescent="0.25">
      <c r="A7" s="10">
        <v>1</v>
      </c>
      <c r="B7" s="9">
        <v>0.16458333333333333</v>
      </c>
      <c r="C7" s="5" t="s">
        <v>20</v>
      </c>
      <c r="D7" s="5">
        <v>9</v>
      </c>
      <c r="E7" s="15"/>
      <c r="F7" s="15" t="s">
        <v>30</v>
      </c>
      <c r="G7" s="19">
        <v>8760</v>
      </c>
      <c r="H7" s="19">
        <v>15080</v>
      </c>
      <c r="I7" s="19">
        <v>14540</v>
      </c>
      <c r="J7" s="19"/>
      <c r="K7" s="19"/>
      <c r="L7" s="19"/>
      <c r="M7" s="19"/>
      <c r="N7" s="17"/>
      <c r="O7" s="12"/>
      <c r="P7" s="8" t="s">
        <v>41</v>
      </c>
    </row>
    <row r="8" spans="1:16" ht="24" customHeight="1" x14ac:dyDescent="0.25">
      <c r="A8" s="10">
        <v>2</v>
      </c>
      <c r="B8" s="9">
        <v>0.15138888888888888</v>
      </c>
      <c r="C8" s="5" t="s">
        <v>20</v>
      </c>
      <c r="D8" s="5">
        <v>9</v>
      </c>
      <c r="E8" s="15"/>
      <c r="F8" s="15" t="s">
        <v>30</v>
      </c>
      <c r="G8" s="19">
        <v>6960</v>
      </c>
      <c r="H8" s="19">
        <v>5520</v>
      </c>
      <c r="I8" s="19">
        <v>6140</v>
      </c>
      <c r="J8" s="19"/>
      <c r="K8" s="19"/>
      <c r="L8" s="19"/>
      <c r="M8" s="19"/>
      <c r="N8" s="17"/>
      <c r="O8" s="12"/>
      <c r="P8" s="8" t="s">
        <v>37</v>
      </c>
    </row>
    <row r="9" spans="1:16" ht="24" customHeight="1" x14ac:dyDescent="0.25">
      <c r="A9" s="10">
        <v>3</v>
      </c>
      <c r="B9" s="9">
        <v>0.16527777777777777</v>
      </c>
      <c r="C9" s="5" t="s">
        <v>20</v>
      </c>
      <c r="D9" s="5">
        <v>9</v>
      </c>
      <c r="E9" s="15"/>
      <c r="F9" s="15" t="s">
        <v>30</v>
      </c>
      <c r="G9" s="19">
        <v>7100</v>
      </c>
      <c r="H9" s="19">
        <v>5680</v>
      </c>
      <c r="I9" s="19">
        <v>5640</v>
      </c>
      <c r="J9" s="19"/>
      <c r="K9" s="19"/>
      <c r="L9" s="19"/>
      <c r="M9" s="19"/>
      <c r="N9" s="17"/>
      <c r="O9" s="12"/>
      <c r="P9" s="8" t="s">
        <v>37</v>
      </c>
    </row>
    <row r="10" spans="1:16" ht="24" customHeight="1" x14ac:dyDescent="0.25">
      <c r="A10" s="10">
        <v>4</v>
      </c>
      <c r="B10" s="9">
        <v>0.16666666666666666</v>
      </c>
      <c r="C10" s="5" t="s">
        <v>20</v>
      </c>
      <c r="D10" s="5">
        <v>8</v>
      </c>
      <c r="E10" s="15"/>
      <c r="F10" s="15" t="s">
        <v>23</v>
      </c>
      <c r="G10" s="13">
        <v>3060</v>
      </c>
      <c r="H10" s="13">
        <v>9860</v>
      </c>
      <c r="I10" s="13"/>
      <c r="J10" s="13"/>
      <c r="K10" s="13"/>
      <c r="L10" s="13"/>
      <c r="M10" s="13"/>
      <c r="N10" s="17"/>
      <c r="O10" s="12"/>
      <c r="P10" s="8" t="s">
        <v>40</v>
      </c>
    </row>
    <row r="11" spans="1:16" ht="24" customHeight="1" x14ac:dyDescent="0.25">
      <c r="A11" s="10">
        <v>5</v>
      </c>
      <c r="B11" s="9">
        <v>0.1673611111111111</v>
      </c>
      <c r="C11" s="5" t="s">
        <v>20</v>
      </c>
      <c r="D11" s="21">
        <v>8</v>
      </c>
      <c r="E11" s="15"/>
      <c r="F11" s="15" t="s">
        <v>23</v>
      </c>
      <c r="G11" s="13">
        <v>2800</v>
      </c>
      <c r="H11" s="13">
        <v>2780</v>
      </c>
      <c r="I11" s="13"/>
      <c r="J11" s="13"/>
      <c r="K11" s="13"/>
      <c r="L11" s="13"/>
      <c r="M11" s="13"/>
      <c r="N11" s="17"/>
      <c r="O11" s="12"/>
      <c r="P11" s="8" t="s">
        <v>41</v>
      </c>
    </row>
    <row r="12" spans="1:16" ht="24" customHeight="1" x14ac:dyDescent="0.25">
      <c r="A12" s="10">
        <v>6</v>
      </c>
      <c r="B12" s="9">
        <v>0.17361111111111113</v>
      </c>
      <c r="C12" s="5" t="s">
        <v>20</v>
      </c>
      <c r="D12" s="5">
        <v>5</v>
      </c>
      <c r="E12" s="15"/>
      <c r="F12" s="15" t="s">
        <v>23</v>
      </c>
      <c r="G12" s="13">
        <v>8040</v>
      </c>
      <c r="H12" s="13">
        <v>13160</v>
      </c>
      <c r="I12" s="13"/>
      <c r="J12" s="13"/>
      <c r="K12" s="13"/>
      <c r="L12" s="13"/>
      <c r="M12" s="13"/>
      <c r="N12" s="17"/>
      <c r="O12" s="12"/>
      <c r="P12" s="8" t="s">
        <v>37</v>
      </c>
    </row>
    <row r="13" spans="1:16" ht="24" customHeight="1" x14ac:dyDescent="0.25">
      <c r="A13" s="10">
        <v>7</v>
      </c>
      <c r="B13" s="9">
        <v>0.17430555555555557</v>
      </c>
      <c r="C13" s="5" t="s">
        <v>20</v>
      </c>
      <c r="D13" s="5">
        <v>9</v>
      </c>
      <c r="E13" s="15"/>
      <c r="F13" s="15" t="s">
        <v>31</v>
      </c>
      <c r="G13" s="13">
        <v>6540</v>
      </c>
      <c r="H13" s="13">
        <v>7080</v>
      </c>
      <c r="I13" s="13">
        <v>4160</v>
      </c>
      <c r="J13" s="13">
        <v>4160</v>
      </c>
      <c r="K13" s="13"/>
      <c r="L13" s="13"/>
      <c r="M13" s="13"/>
      <c r="N13" s="17"/>
      <c r="O13" s="12"/>
      <c r="P13" s="8" t="s">
        <v>37</v>
      </c>
    </row>
    <row r="14" spans="1:16" ht="24" customHeight="1" x14ac:dyDescent="0.25">
      <c r="A14" s="10">
        <v>8</v>
      </c>
      <c r="B14" s="9">
        <v>0.17430555555555557</v>
      </c>
      <c r="C14" s="5" t="s">
        <v>20</v>
      </c>
      <c r="D14" s="5">
        <v>8</v>
      </c>
      <c r="E14" s="15"/>
      <c r="F14" s="15" t="s">
        <v>23</v>
      </c>
      <c r="G14" s="13">
        <v>4120</v>
      </c>
      <c r="H14" s="13">
        <v>7020</v>
      </c>
      <c r="I14" s="13"/>
      <c r="J14" s="13"/>
      <c r="K14" s="13"/>
      <c r="L14" s="13"/>
      <c r="M14" s="13"/>
      <c r="N14" s="17"/>
      <c r="O14" s="12"/>
      <c r="P14" s="8" t="s">
        <v>38</v>
      </c>
    </row>
    <row r="15" spans="1:16" ht="24" customHeight="1" x14ac:dyDescent="0.25">
      <c r="A15" s="10">
        <v>9</v>
      </c>
      <c r="B15" s="9">
        <v>0.17500000000000002</v>
      </c>
      <c r="C15" s="5" t="s">
        <v>20</v>
      </c>
      <c r="D15" s="5">
        <v>8</v>
      </c>
      <c r="E15" s="15"/>
      <c r="F15" s="15" t="s">
        <v>23</v>
      </c>
      <c r="G15" s="13">
        <v>3800</v>
      </c>
      <c r="H15" s="13">
        <v>4840</v>
      </c>
      <c r="I15" s="13"/>
      <c r="J15" s="13"/>
      <c r="K15" s="13"/>
      <c r="L15" s="13"/>
      <c r="M15" s="13"/>
      <c r="N15" s="17"/>
      <c r="O15" s="12"/>
      <c r="P15" s="8" t="s">
        <v>37</v>
      </c>
    </row>
    <row r="16" spans="1:16" ht="24" customHeight="1" x14ac:dyDescent="0.25">
      <c r="A16" s="10">
        <v>10</v>
      </c>
      <c r="B16" s="9">
        <v>0.17569444444444446</v>
      </c>
      <c r="C16" s="5" t="s">
        <v>20</v>
      </c>
      <c r="D16" s="5">
        <v>8</v>
      </c>
      <c r="E16" s="15"/>
      <c r="F16" s="15" t="s">
        <v>23</v>
      </c>
      <c r="G16" s="13">
        <v>3400</v>
      </c>
      <c r="H16" s="13">
        <v>5220</v>
      </c>
      <c r="I16" s="13"/>
      <c r="J16" s="13"/>
      <c r="K16" s="13"/>
      <c r="L16" s="13"/>
      <c r="M16" s="13"/>
      <c r="N16" s="17"/>
      <c r="O16" s="12"/>
      <c r="P16" s="8" t="s">
        <v>37</v>
      </c>
    </row>
    <row r="17" spans="1:16" ht="24" customHeight="1" x14ac:dyDescent="0.25">
      <c r="A17" s="10">
        <v>11</v>
      </c>
      <c r="B17" s="9">
        <v>0.17708333333333334</v>
      </c>
      <c r="C17" s="5" t="s">
        <v>20</v>
      </c>
      <c r="D17" s="5">
        <v>12</v>
      </c>
      <c r="E17" s="15"/>
      <c r="F17" s="15" t="s">
        <v>26</v>
      </c>
      <c r="G17" s="13">
        <v>6540</v>
      </c>
      <c r="H17" s="13">
        <v>11640</v>
      </c>
      <c r="I17" s="13">
        <v>9820</v>
      </c>
      <c r="J17" s="13">
        <v>17000</v>
      </c>
      <c r="K17" s="13">
        <v>1380</v>
      </c>
      <c r="L17" s="13">
        <v>16180</v>
      </c>
      <c r="M17" s="13"/>
      <c r="N17" s="12"/>
      <c r="O17" s="12"/>
      <c r="P17" s="8" t="s">
        <v>36</v>
      </c>
    </row>
    <row r="18" spans="1:16" ht="24" customHeight="1" x14ac:dyDescent="0.25">
      <c r="A18" s="10">
        <v>12</v>
      </c>
      <c r="B18" s="9">
        <v>0.17777777777777778</v>
      </c>
      <c r="C18" s="5" t="s">
        <v>20</v>
      </c>
      <c r="D18" s="5">
        <v>8</v>
      </c>
      <c r="E18" s="15"/>
      <c r="F18" s="22" t="s">
        <v>23</v>
      </c>
      <c r="G18" s="13">
        <v>3400</v>
      </c>
      <c r="H18" s="13">
        <v>7520</v>
      </c>
      <c r="I18" s="13"/>
      <c r="J18" s="13"/>
      <c r="K18" s="13"/>
      <c r="L18" s="13"/>
      <c r="M18" s="13"/>
      <c r="N18" s="12"/>
      <c r="O18" s="12"/>
      <c r="P18" s="8" t="s">
        <v>41</v>
      </c>
    </row>
    <row r="19" spans="1:16" ht="24" customHeight="1" x14ac:dyDescent="0.25">
      <c r="A19" s="10">
        <v>13</v>
      </c>
      <c r="B19" s="9">
        <v>0.18263888888888891</v>
      </c>
      <c r="C19" s="5" t="s">
        <v>20</v>
      </c>
      <c r="D19" s="5">
        <v>10</v>
      </c>
      <c r="E19" s="15"/>
      <c r="F19" s="15" t="s">
        <v>44</v>
      </c>
      <c r="G19" s="13">
        <v>7340</v>
      </c>
      <c r="H19" s="13">
        <v>2900</v>
      </c>
      <c r="I19" s="13">
        <v>5360</v>
      </c>
      <c r="J19" s="13">
        <v>3340</v>
      </c>
      <c r="K19" s="13"/>
      <c r="L19" s="13"/>
      <c r="M19" s="13"/>
      <c r="N19" s="17"/>
      <c r="O19" s="12"/>
      <c r="P19" s="8" t="s">
        <v>38</v>
      </c>
    </row>
    <row r="20" spans="1:16" ht="24" customHeight="1" x14ac:dyDescent="0.25">
      <c r="A20" s="10">
        <v>14</v>
      </c>
      <c r="B20" s="9">
        <v>0.18263888888888891</v>
      </c>
      <c r="C20" s="5" t="s">
        <v>20</v>
      </c>
      <c r="D20" s="5">
        <v>9</v>
      </c>
      <c r="E20" s="15"/>
      <c r="F20" s="15" t="s">
        <v>30</v>
      </c>
      <c r="G20" s="13">
        <v>6020</v>
      </c>
      <c r="H20" s="13">
        <v>4780</v>
      </c>
      <c r="I20" s="13">
        <v>4720</v>
      </c>
      <c r="J20" s="13"/>
      <c r="K20" s="13"/>
      <c r="L20" s="13"/>
      <c r="M20" s="13"/>
      <c r="N20" s="17"/>
      <c r="O20" s="12"/>
      <c r="P20" s="8" t="s">
        <v>37</v>
      </c>
    </row>
    <row r="21" spans="1:16" ht="24" customHeight="1" x14ac:dyDescent="0.25">
      <c r="A21" s="10">
        <v>15</v>
      </c>
      <c r="B21" s="9">
        <v>0.18472222222222223</v>
      </c>
      <c r="C21" s="5" t="s">
        <v>20</v>
      </c>
      <c r="D21" s="5">
        <v>5</v>
      </c>
      <c r="E21" s="15"/>
      <c r="F21" s="15" t="s">
        <v>23</v>
      </c>
      <c r="G21" s="13">
        <v>8200</v>
      </c>
      <c r="H21" s="13">
        <v>19240</v>
      </c>
      <c r="I21" s="13"/>
      <c r="J21" s="13"/>
      <c r="K21" s="13"/>
      <c r="L21" s="13"/>
      <c r="M21" s="13"/>
      <c r="N21" s="17"/>
      <c r="O21" s="12"/>
      <c r="P21" s="8" t="s">
        <v>35</v>
      </c>
    </row>
    <row r="22" spans="1:16" ht="24" customHeight="1" x14ac:dyDescent="0.25">
      <c r="A22" s="10">
        <v>16</v>
      </c>
      <c r="B22" s="9">
        <v>0.19097222222222221</v>
      </c>
      <c r="C22" s="5" t="s">
        <v>20</v>
      </c>
      <c r="D22" s="5">
        <v>12</v>
      </c>
      <c r="E22" s="15"/>
      <c r="F22" s="15" t="s">
        <v>26</v>
      </c>
      <c r="G22" s="13">
        <v>6220</v>
      </c>
      <c r="H22" s="13">
        <v>13960</v>
      </c>
      <c r="I22" s="13">
        <v>13080</v>
      </c>
      <c r="J22" s="13">
        <v>11120</v>
      </c>
      <c r="K22" s="13">
        <v>11620</v>
      </c>
      <c r="L22" s="13">
        <v>11120</v>
      </c>
      <c r="M22" s="13"/>
      <c r="N22" s="17"/>
      <c r="O22" s="12"/>
      <c r="P22" s="8" t="s">
        <v>36</v>
      </c>
    </row>
    <row r="23" spans="1:16" ht="24" customHeight="1" x14ac:dyDescent="0.25">
      <c r="A23" s="10">
        <v>17</v>
      </c>
      <c r="B23" s="9">
        <v>0.19236111111111112</v>
      </c>
      <c r="C23" s="5" t="s">
        <v>20</v>
      </c>
      <c r="D23" s="5">
        <v>8</v>
      </c>
      <c r="E23" s="15"/>
      <c r="F23" s="15" t="s">
        <v>23</v>
      </c>
      <c r="G23" s="13">
        <v>3260</v>
      </c>
      <c r="H23" s="13">
        <v>4220</v>
      </c>
      <c r="I23" s="13"/>
      <c r="J23" s="13"/>
      <c r="K23" s="13"/>
      <c r="L23" s="13"/>
      <c r="M23" s="13"/>
      <c r="N23" s="17"/>
      <c r="O23" s="12"/>
      <c r="P23" s="8" t="s">
        <v>37</v>
      </c>
    </row>
    <row r="24" spans="1:16" ht="24" customHeight="1" x14ac:dyDescent="0.25">
      <c r="A24" s="10">
        <v>18</v>
      </c>
      <c r="B24" s="9">
        <v>0.19444444444444445</v>
      </c>
      <c r="C24" s="5" t="s">
        <v>20</v>
      </c>
      <c r="D24" s="5">
        <v>8</v>
      </c>
      <c r="E24" s="15"/>
      <c r="F24" s="15" t="s">
        <v>23</v>
      </c>
      <c r="G24" s="13">
        <v>6420</v>
      </c>
      <c r="H24" s="13">
        <v>13140</v>
      </c>
      <c r="I24" s="13"/>
      <c r="J24" s="13"/>
      <c r="K24" s="13"/>
      <c r="L24" s="13"/>
      <c r="M24" s="13"/>
      <c r="N24" s="17"/>
      <c r="O24" s="12"/>
      <c r="P24" s="8" t="s">
        <v>41</v>
      </c>
    </row>
    <row r="25" spans="1:16" ht="24" customHeight="1" x14ac:dyDescent="0.25">
      <c r="A25" s="10">
        <v>19</v>
      </c>
      <c r="B25" s="9">
        <v>0.19513888888888889</v>
      </c>
      <c r="C25" s="5" t="s">
        <v>20</v>
      </c>
      <c r="D25" s="5">
        <v>8</v>
      </c>
      <c r="E25" s="15"/>
      <c r="F25" s="15" t="s">
        <v>23</v>
      </c>
      <c r="G25" s="13">
        <v>4120</v>
      </c>
      <c r="H25" s="13">
        <v>6200</v>
      </c>
      <c r="I25" s="13"/>
      <c r="J25" s="13"/>
      <c r="K25" s="13"/>
      <c r="L25" s="13"/>
      <c r="M25" s="13"/>
      <c r="N25" s="17"/>
      <c r="O25" s="12"/>
      <c r="P25" s="8" t="s">
        <v>41</v>
      </c>
    </row>
    <row r="26" spans="1:16" ht="24" customHeight="1" x14ac:dyDescent="0.25">
      <c r="A26" s="10">
        <v>20</v>
      </c>
      <c r="B26" s="9">
        <v>0.19583333333333333</v>
      </c>
      <c r="C26" s="5" t="s">
        <v>20</v>
      </c>
      <c r="D26" s="5">
        <v>8</v>
      </c>
      <c r="E26" s="15"/>
      <c r="F26" s="15" t="s">
        <v>23</v>
      </c>
      <c r="G26" s="13">
        <v>3340</v>
      </c>
      <c r="H26" s="13">
        <v>5280</v>
      </c>
      <c r="I26" s="13"/>
      <c r="J26" s="13"/>
      <c r="K26" s="13"/>
      <c r="L26" s="13"/>
      <c r="M26" s="13"/>
      <c r="N26" s="17"/>
      <c r="O26" s="12"/>
      <c r="P26" s="8" t="s">
        <v>36</v>
      </c>
    </row>
    <row r="27" spans="1:16" ht="24" customHeight="1" x14ac:dyDescent="0.25">
      <c r="A27" s="10">
        <v>21</v>
      </c>
      <c r="B27" s="9">
        <v>0.19930555555555554</v>
      </c>
      <c r="C27" s="5" t="s">
        <v>20</v>
      </c>
      <c r="D27" s="5">
        <v>5</v>
      </c>
      <c r="E27" s="15"/>
      <c r="F27" s="15" t="s">
        <v>23</v>
      </c>
      <c r="G27" s="13">
        <v>10680</v>
      </c>
      <c r="H27" s="13">
        <v>13740</v>
      </c>
      <c r="I27" s="13"/>
      <c r="J27" s="13"/>
      <c r="K27" s="13"/>
      <c r="L27" s="13"/>
      <c r="M27" s="13"/>
      <c r="N27" s="17"/>
      <c r="O27" s="12"/>
      <c r="P27" s="8" t="s">
        <v>35</v>
      </c>
    </row>
    <row r="28" spans="1:16" ht="24" customHeight="1" x14ac:dyDescent="0.25">
      <c r="A28" s="10">
        <v>22</v>
      </c>
      <c r="B28" s="9">
        <v>0.20277777777777781</v>
      </c>
      <c r="C28" s="5" t="s">
        <v>20</v>
      </c>
      <c r="D28" s="5">
        <v>5</v>
      </c>
      <c r="E28" s="15"/>
      <c r="F28" s="15" t="s">
        <v>23</v>
      </c>
      <c r="G28" s="13">
        <v>8160</v>
      </c>
      <c r="H28" s="13">
        <v>14720</v>
      </c>
      <c r="I28" s="13"/>
      <c r="J28" s="13"/>
      <c r="K28" s="13"/>
      <c r="L28" s="13"/>
      <c r="M28" s="13"/>
      <c r="N28" s="17"/>
      <c r="O28" s="12"/>
      <c r="P28" s="8" t="s">
        <v>35</v>
      </c>
    </row>
    <row r="29" spans="1:16" ht="24" customHeight="1" x14ac:dyDescent="0.25">
      <c r="A29" s="10">
        <v>23</v>
      </c>
      <c r="B29" s="9">
        <v>0.21527777777777779</v>
      </c>
      <c r="C29" s="5" t="s">
        <v>20</v>
      </c>
      <c r="D29" s="5">
        <v>8</v>
      </c>
      <c r="E29" s="15"/>
      <c r="F29" s="15" t="s">
        <v>23</v>
      </c>
      <c r="G29" s="13">
        <v>3020</v>
      </c>
      <c r="H29" s="13">
        <v>3380</v>
      </c>
      <c r="I29" s="13"/>
      <c r="J29" s="13"/>
      <c r="K29" s="13"/>
      <c r="L29" s="13"/>
      <c r="M29" s="13"/>
      <c r="N29" s="17"/>
      <c r="O29" s="12"/>
      <c r="P29" s="8" t="s">
        <v>37</v>
      </c>
    </row>
    <row r="30" spans="1:16" ht="24" customHeight="1" x14ac:dyDescent="0.25">
      <c r="A30" s="10">
        <v>24</v>
      </c>
      <c r="B30" s="9">
        <v>0.21666666666666667</v>
      </c>
      <c r="C30" s="5" t="s">
        <v>20</v>
      </c>
      <c r="D30" s="5">
        <v>8</v>
      </c>
      <c r="E30" s="15"/>
      <c r="F30" s="15" t="s">
        <v>23</v>
      </c>
      <c r="G30" s="13">
        <v>2760</v>
      </c>
      <c r="H30" s="13">
        <v>3140</v>
      </c>
      <c r="I30" s="13"/>
      <c r="J30" s="13"/>
      <c r="K30" s="13"/>
      <c r="L30" s="13"/>
      <c r="M30" s="13"/>
      <c r="N30" s="17"/>
      <c r="O30" s="12"/>
      <c r="P30" s="8" t="s">
        <v>37</v>
      </c>
    </row>
    <row r="31" spans="1:16" ht="24" customHeight="1" x14ac:dyDescent="0.25">
      <c r="A31" s="10">
        <v>25</v>
      </c>
      <c r="B31" s="9">
        <v>0.21805555555555556</v>
      </c>
      <c r="C31" s="5" t="s">
        <v>20</v>
      </c>
      <c r="D31" s="5">
        <v>8</v>
      </c>
      <c r="E31" s="15"/>
      <c r="F31" s="15" t="s">
        <v>23</v>
      </c>
      <c r="G31" s="13">
        <v>2700</v>
      </c>
      <c r="H31" s="13">
        <v>3360</v>
      </c>
      <c r="I31" s="13"/>
      <c r="J31" s="13"/>
      <c r="K31" s="13"/>
      <c r="L31" s="13"/>
      <c r="M31" s="13"/>
      <c r="N31" s="17"/>
      <c r="O31" s="12"/>
      <c r="P31" s="8" t="s">
        <v>37</v>
      </c>
    </row>
    <row r="32" spans="1:16" ht="24" customHeight="1" x14ac:dyDescent="0.25">
      <c r="A32" s="10">
        <v>26</v>
      </c>
      <c r="B32" s="9">
        <v>0.21944444444444444</v>
      </c>
      <c r="C32" s="5" t="s">
        <v>20</v>
      </c>
      <c r="D32" s="5">
        <v>12</v>
      </c>
      <c r="E32" s="15"/>
      <c r="F32" s="15" t="s">
        <v>26</v>
      </c>
      <c r="G32" s="13">
        <v>6080</v>
      </c>
      <c r="H32" s="13">
        <v>5000</v>
      </c>
      <c r="I32" s="13">
        <v>4220</v>
      </c>
      <c r="J32" s="13">
        <v>5620</v>
      </c>
      <c r="K32" s="13">
        <v>4880</v>
      </c>
      <c r="L32" s="13">
        <v>4260</v>
      </c>
      <c r="M32" s="13"/>
      <c r="N32" s="17"/>
      <c r="O32" s="12"/>
      <c r="P32" s="8" t="s">
        <v>38</v>
      </c>
    </row>
    <row r="33" spans="1:16" ht="24" customHeight="1" x14ac:dyDescent="0.25">
      <c r="A33" s="10">
        <v>27</v>
      </c>
      <c r="B33" s="9">
        <v>0.22083333333333333</v>
      </c>
      <c r="C33" s="5" t="s">
        <v>20</v>
      </c>
      <c r="D33" s="5">
        <v>8</v>
      </c>
      <c r="E33" s="15"/>
      <c r="F33" s="15" t="s">
        <v>23</v>
      </c>
      <c r="G33" s="13">
        <v>3120</v>
      </c>
      <c r="H33" s="13">
        <v>3240</v>
      </c>
      <c r="I33" s="13"/>
      <c r="J33" s="13"/>
      <c r="K33" s="13"/>
      <c r="L33" s="13"/>
      <c r="M33" s="13"/>
      <c r="N33" s="17"/>
      <c r="O33" s="12"/>
      <c r="P33" s="8" t="s">
        <v>37</v>
      </c>
    </row>
    <row r="34" spans="1:16" ht="24" customHeight="1" x14ac:dyDescent="0.25">
      <c r="A34" s="10">
        <v>28</v>
      </c>
      <c r="B34" s="9">
        <v>0.22152777777777777</v>
      </c>
      <c r="C34" s="5" t="s">
        <v>20</v>
      </c>
      <c r="D34" s="5">
        <v>8</v>
      </c>
      <c r="E34" s="15"/>
      <c r="F34" s="15" t="s">
        <v>23</v>
      </c>
      <c r="G34" s="13">
        <v>4040</v>
      </c>
      <c r="H34" s="13">
        <v>3700</v>
      </c>
      <c r="I34" s="13"/>
      <c r="J34" s="13"/>
      <c r="K34" s="13"/>
      <c r="L34" s="13"/>
      <c r="M34" s="13"/>
      <c r="N34" s="17"/>
      <c r="O34" s="12"/>
      <c r="P34" s="8" t="s">
        <v>37</v>
      </c>
    </row>
    <row r="35" spans="1:16" ht="24" customHeight="1" x14ac:dyDescent="0.25">
      <c r="A35" s="10">
        <v>29</v>
      </c>
      <c r="B35" s="9">
        <v>0.22152777777777777</v>
      </c>
      <c r="C35" s="5" t="s">
        <v>20</v>
      </c>
      <c r="D35" s="5">
        <v>8</v>
      </c>
      <c r="E35" s="15"/>
      <c r="F35" s="15" t="s">
        <v>23</v>
      </c>
      <c r="G35" s="13">
        <v>3800</v>
      </c>
      <c r="H35" s="13">
        <v>7060</v>
      </c>
      <c r="I35" s="13"/>
      <c r="J35" s="13"/>
      <c r="K35" s="13"/>
      <c r="L35" s="13"/>
      <c r="M35" s="13"/>
      <c r="N35" s="17"/>
      <c r="O35" s="12"/>
      <c r="P35" s="8" t="s">
        <v>38</v>
      </c>
    </row>
    <row r="36" spans="1:16" ht="24" customHeight="1" x14ac:dyDescent="0.25">
      <c r="A36" s="10">
        <v>30</v>
      </c>
      <c r="B36" s="9">
        <v>0.22638888888888889</v>
      </c>
      <c r="C36" s="5" t="s">
        <v>20</v>
      </c>
      <c r="D36" s="5">
        <v>9</v>
      </c>
      <c r="E36" s="15"/>
      <c r="F36" s="15" t="s">
        <v>30</v>
      </c>
      <c r="G36" s="13">
        <v>4340</v>
      </c>
      <c r="H36" s="13">
        <v>5000</v>
      </c>
      <c r="I36" s="13">
        <v>4540</v>
      </c>
      <c r="J36" s="13"/>
      <c r="K36" s="13"/>
      <c r="L36" s="13"/>
      <c r="M36" s="13"/>
      <c r="N36" s="17"/>
      <c r="O36" s="12"/>
      <c r="P36" s="8" t="s">
        <v>37</v>
      </c>
    </row>
    <row r="37" spans="1:16" ht="24" customHeight="1" x14ac:dyDescent="0.25">
      <c r="A37" s="10">
        <v>31</v>
      </c>
      <c r="B37" s="9">
        <v>0.22847222222222222</v>
      </c>
      <c r="C37" s="5" t="s">
        <v>20</v>
      </c>
      <c r="D37" s="5">
        <v>8</v>
      </c>
      <c r="E37" s="15"/>
      <c r="F37" s="15" t="s">
        <v>23</v>
      </c>
      <c r="G37" s="13">
        <v>7760</v>
      </c>
      <c r="H37" s="13">
        <v>17740</v>
      </c>
      <c r="I37" s="13"/>
      <c r="J37" s="13"/>
      <c r="K37" s="13"/>
      <c r="L37" s="13"/>
      <c r="M37" s="13"/>
      <c r="N37" s="17"/>
      <c r="O37" s="12"/>
      <c r="P37" s="8" t="s">
        <v>36</v>
      </c>
    </row>
    <row r="38" spans="1:16" ht="24" customHeight="1" x14ac:dyDescent="0.25">
      <c r="A38" s="10">
        <v>32</v>
      </c>
      <c r="B38" s="9">
        <v>0.23333333333333331</v>
      </c>
      <c r="C38" s="5" t="s">
        <v>20</v>
      </c>
      <c r="D38" s="5">
        <v>8</v>
      </c>
      <c r="E38" s="15"/>
      <c r="F38" s="15" t="s">
        <v>23</v>
      </c>
      <c r="G38" s="13">
        <v>2380</v>
      </c>
      <c r="H38" s="13">
        <v>2920</v>
      </c>
      <c r="I38" s="13"/>
      <c r="J38" s="13"/>
      <c r="K38" s="13"/>
      <c r="L38" s="13"/>
      <c r="M38" s="13"/>
      <c r="N38" s="17"/>
      <c r="O38" s="12"/>
      <c r="P38" s="8" t="s">
        <v>40</v>
      </c>
    </row>
    <row r="39" spans="1:16" ht="24" customHeight="1" x14ac:dyDescent="0.25">
      <c r="A39" s="10">
        <v>33</v>
      </c>
      <c r="B39" s="9">
        <v>0.23611111111111113</v>
      </c>
      <c r="C39" s="5" t="s">
        <v>20</v>
      </c>
      <c r="D39" s="5">
        <v>8</v>
      </c>
      <c r="E39" s="15"/>
      <c r="F39" s="15" t="s">
        <v>23</v>
      </c>
      <c r="G39" s="13">
        <v>3640</v>
      </c>
      <c r="H39" s="13">
        <v>3220</v>
      </c>
      <c r="I39" s="13"/>
      <c r="J39" s="13"/>
      <c r="K39" s="13"/>
      <c r="L39" s="13"/>
      <c r="M39" s="13"/>
      <c r="N39" s="17"/>
      <c r="O39" s="12"/>
      <c r="P39" s="8" t="s">
        <v>37</v>
      </c>
    </row>
    <row r="40" spans="1:16" ht="24" customHeight="1" x14ac:dyDescent="0.25">
      <c r="A40" s="10">
        <v>34</v>
      </c>
      <c r="B40" s="9">
        <v>0.24097222222222223</v>
      </c>
      <c r="C40" s="5" t="s">
        <v>20</v>
      </c>
      <c r="D40" s="5">
        <v>8</v>
      </c>
      <c r="E40" s="15"/>
      <c r="F40" s="15" t="s">
        <v>23</v>
      </c>
      <c r="G40" s="13">
        <v>3360</v>
      </c>
      <c r="H40" s="13">
        <v>5720</v>
      </c>
      <c r="I40" s="13"/>
      <c r="J40" s="13"/>
      <c r="K40" s="13"/>
      <c r="L40" s="13"/>
      <c r="M40" s="13"/>
      <c r="N40" s="17"/>
      <c r="O40" s="12"/>
      <c r="P40" s="8" t="s">
        <v>36</v>
      </c>
    </row>
    <row r="41" spans="1:16" ht="24" customHeight="1" x14ac:dyDescent="0.25">
      <c r="A41" s="10">
        <v>35</v>
      </c>
      <c r="B41" s="9">
        <v>0.24583333333333335</v>
      </c>
      <c r="C41" s="5" t="s">
        <v>20</v>
      </c>
      <c r="D41" s="5">
        <v>8</v>
      </c>
      <c r="E41" s="15"/>
      <c r="F41" s="15" t="s">
        <v>23</v>
      </c>
      <c r="G41" s="13">
        <v>2800</v>
      </c>
      <c r="H41" s="13">
        <v>2880</v>
      </c>
      <c r="I41" s="13"/>
      <c r="J41" s="13"/>
      <c r="K41" s="13"/>
      <c r="L41" s="13"/>
      <c r="M41" s="13"/>
      <c r="N41" s="17"/>
      <c r="O41" s="12"/>
      <c r="P41" s="8" t="s">
        <v>37</v>
      </c>
    </row>
    <row r="42" spans="1:16" ht="24" customHeight="1" x14ac:dyDescent="0.25">
      <c r="A42" s="10">
        <v>36</v>
      </c>
      <c r="B42" s="9">
        <v>0.24652777777777779</v>
      </c>
      <c r="C42" s="5" t="s">
        <v>20</v>
      </c>
      <c r="D42" s="5">
        <v>8</v>
      </c>
      <c r="E42" s="15"/>
      <c r="F42" s="15" t="s">
        <v>23</v>
      </c>
      <c r="G42" s="13">
        <v>3060</v>
      </c>
      <c r="H42" s="13">
        <v>3780</v>
      </c>
      <c r="I42" s="13"/>
      <c r="J42" s="13"/>
      <c r="K42" s="13"/>
      <c r="L42" s="13"/>
      <c r="M42" s="13"/>
      <c r="N42" s="17"/>
      <c r="O42" s="12"/>
      <c r="P42" s="8" t="s">
        <v>37</v>
      </c>
    </row>
    <row r="43" spans="1:16" ht="24" customHeight="1" x14ac:dyDescent="0.25">
      <c r="A43" s="10">
        <v>37</v>
      </c>
      <c r="B43" s="9">
        <v>0.25486111111111109</v>
      </c>
      <c r="C43" s="5" t="s">
        <v>20</v>
      </c>
      <c r="D43" s="5">
        <v>8</v>
      </c>
      <c r="E43" s="15"/>
      <c r="F43" s="15" t="s">
        <v>23</v>
      </c>
      <c r="G43" s="13">
        <v>3640</v>
      </c>
      <c r="H43" s="13">
        <v>3480</v>
      </c>
      <c r="I43" s="13"/>
      <c r="J43" s="13"/>
      <c r="K43" s="13"/>
      <c r="L43" s="13"/>
      <c r="M43" s="13"/>
      <c r="N43" s="17"/>
      <c r="O43" s="12"/>
      <c r="P43" s="8" t="s">
        <v>37</v>
      </c>
    </row>
    <row r="44" spans="1:16" ht="24" customHeight="1" x14ac:dyDescent="0.25">
      <c r="A44" s="10">
        <v>38</v>
      </c>
      <c r="B44" s="9">
        <v>0.40069444444444446</v>
      </c>
      <c r="C44" s="5" t="s">
        <v>20</v>
      </c>
      <c r="D44" s="5">
        <v>8</v>
      </c>
      <c r="E44" s="15"/>
      <c r="F44" s="15" t="s">
        <v>23</v>
      </c>
      <c r="G44" s="13">
        <v>3280</v>
      </c>
      <c r="H44" s="13">
        <v>4340</v>
      </c>
      <c r="I44" s="13"/>
      <c r="J44" s="13"/>
      <c r="K44" s="13"/>
      <c r="L44" s="13"/>
      <c r="M44" s="13"/>
      <c r="N44" s="17"/>
      <c r="O44" s="12"/>
      <c r="P44" s="8" t="s">
        <v>37</v>
      </c>
    </row>
    <row r="45" spans="1:16" ht="24" customHeight="1" x14ac:dyDescent="0.25">
      <c r="A45" s="10">
        <v>39</v>
      </c>
      <c r="B45" s="9">
        <v>0.40277777777777773</v>
      </c>
      <c r="C45" s="5" t="s">
        <v>20</v>
      </c>
      <c r="D45" s="5">
        <v>8</v>
      </c>
      <c r="E45" s="15"/>
      <c r="F45" s="15" t="s">
        <v>23</v>
      </c>
      <c r="G45" s="13">
        <v>3020</v>
      </c>
      <c r="H45" s="13">
        <v>3140</v>
      </c>
      <c r="I45" s="13"/>
      <c r="J45" s="13"/>
      <c r="K45" s="13"/>
      <c r="L45" s="13"/>
      <c r="M45" s="13"/>
      <c r="N45" s="17"/>
      <c r="O45" s="12"/>
      <c r="P45" s="8" t="s">
        <v>37</v>
      </c>
    </row>
    <row r="46" spans="1:16" ht="24" customHeight="1" x14ac:dyDescent="0.25">
      <c r="A46" s="10">
        <v>40</v>
      </c>
      <c r="B46" s="9">
        <v>0.4055555555555555</v>
      </c>
      <c r="C46" s="5" t="s">
        <v>20</v>
      </c>
      <c r="D46" s="5">
        <v>8</v>
      </c>
      <c r="E46" s="15"/>
      <c r="F46" s="15" t="s">
        <v>23</v>
      </c>
      <c r="G46" s="13">
        <v>3760</v>
      </c>
      <c r="H46" s="13">
        <v>10160</v>
      </c>
      <c r="I46" s="13"/>
      <c r="J46" s="13"/>
      <c r="K46" s="13"/>
      <c r="L46" s="13"/>
      <c r="M46" s="13"/>
      <c r="N46" s="17"/>
      <c r="O46" s="12"/>
      <c r="P46" s="8" t="s">
        <v>40</v>
      </c>
    </row>
    <row r="47" spans="1:16" ht="24" customHeight="1" x14ac:dyDescent="0.25">
      <c r="A47" s="10">
        <v>41</v>
      </c>
      <c r="B47" s="9">
        <v>0.40972222222222227</v>
      </c>
      <c r="C47" s="5" t="s">
        <v>20</v>
      </c>
      <c r="D47" s="5">
        <v>8</v>
      </c>
      <c r="E47" s="15"/>
      <c r="F47" s="15" t="s">
        <v>23</v>
      </c>
      <c r="G47" s="13">
        <v>2680</v>
      </c>
      <c r="H47" s="13">
        <v>2840</v>
      </c>
      <c r="I47" s="13"/>
      <c r="J47" s="13"/>
      <c r="K47" s="13"/>
      <c r="L47" s="13"/>
      <c r="M47" s="13"/>
      <c r="N47" s="17"/>
      <c r="O47" s="12"/>
      <c r="P47" s="8" t="s">
        <v>37</v>
      </c>
    </row>
    <row r="48" spans="1:16" ht="24" customHeight="1" x14ac:dyDescent="0.25">
      <c r="A48" s="10">
        <v>42</v>
      </c>
      <c r="B48" s="9">
        <v>0.41041666666666665</v>
      </c>
      <c r="C48" s="5" t="s">
        <v>20</v>
      </c>
      <c r="D48" s="5">
        <v>8</v>
      </c>
      <c r="E48" s="15"/>
      <c r="F48" s="15" t="s">
        <v>23</v>
      </c>
      <c r="G48" s="13">
        <v>2120</v>
      </c>
      <c r="H48" s="13">
        <v>2180</v>
      </c>
      <c r="I48" s="13"/>
      <c r="J48" s="13"/>
      <c r="K48" s="13"/>
      <c r="L48" s="13"/>
      <c r="M48" s="13"/>
      <c r="N48" s="17"/>
      <c r="O48" s="12"/>
      <c r="P48" s="8" t="s">
        <v>37</v>
      </c>
    </row>
    <row r="49" spans="1:16" ht="24" customHeight="1" x14ac:dyDescent="0.25">
      <c r="A49" s="10">
        <v>43</v>
      </c>
      <c r="B49" s="9"/>
      <c r="C49" s="5" t="s">
        <v>20</v>
      </c>
      <c r="D49" s="5">
        <v>12</v>
      </c>
      <c r="E49" s="15"/>
      <c r="F49" s="15" t="s">
        <v>26</v>
      </c>
      <c r="G49" s="13">
        <v>6340</v>
      </c>
      <c r="H49" s="13">
        <v>7380</v>
      </c>
      <c r="I49" s="13">
        <v>7740</v>
      </c>
      <c r="J49" s="13">
        <v>12620</v>
      </c>
      <c r="K49" s="13">
        <v>11200</v>
      </c>
      <c r="L49" s="13">
        <v>13220</v>
      </c>
      <c r="M49" s="13"/>
      <c r="N49" s="17"/>
      <c r="O49" s="12"/>
      <c r="P49" s="8" t="s">
        <v>43</v>
      </c>
    </row>
    <row r="50" spans="1:16" ht="24" customHeight="1" x14ac:dyDescent="0.25">
      <c r="A50" s="10">
        <v>44</v>
      </c>
      <c r="B50" s="9">
        <v>0.41111111111111115</v>
      </c>
      <c r="C50" s="5" t="s">
        <v>20</v>
      </c>
      <c r="D50" s="5">
        <v>8</v>
      </c>
      <c r="E50" s="15"/>
      <c r="F50" s="15" t="s">
        <v>23</v>
      </c>
      <c r="G50" s="13">
        <v>2960</v>
      </c>
      <c r="H50" s="13">
        <v>2940</v>
      </c>
      <c r="I50" s="13"/>
      <c r="J50" s="13"/>
      <c r="K50" s="13"/>
      <c r="L50" s="13"/>
      <c r="M50" s="13"/>
      <c r="N50" s="12"/>
      <c r="O50" s="12"/>
      <c r="P50" s="8" t="s">
        <v>37</v>
      </c>
    </row>
    <row r="51" spans="1:16" ht="24" customHeight="1" x14ac:dyDescent="0.25">
      <c r="A51" s="10">
        <v>45</v>
      </c>
      <c r="B51" s="9">
        <v>0.41180555555555554</v>
      </c>
      <c r="C51" s="5" t="s">
        <v>20</v>
      </c>
      <c r="D51" s="5">
        <v>8</v>
      </c>
      <c r="E51" s="15"/>
      <c r="F51" s="15" t="s">
        <v>23</v>
      </c>
      <c r="G51" s="13">
        <v>2740</v>
      </c>
      <c r="H51" s="13">
        <v>2560</v>
      </c>
      <c r="I51" s="13"/>
      <c r="J51" s="13"/>
      <c r="K51" s="13"/>
      <c r="L51" s="13"/>
      <c r="M51" s="13"/>
      <c r="N51" s="12"/>
      <c r="O51" s="12"/>
      <c r="P51" s="8" t="s">
        <v>37</v>
      </c>
    </row>
    <row r="52" spans="1:16" ht="24" customHeight="1" x14ac:dyDescent="0.25">
      <c r="A52" s="10">
        <v>46</v>
      </c>
      <c r="B52" s="9">
        <v>0.41250000000000003</v>
      </c>
      <c r="C52" s="5" t="s">
        <v>20</v>
      </c>
      <c r="D52" s="5">
        <v>8</v>
      </c>
      <c r="E52" s="15"/>
      <c r="F52" s="15" t="s">
        <v>23</v>
      </c>
      <c r="G52" s="13">
        <v>2680</v>
      </c>
      <c r="H52" s="13">
        <v>5240</v>
      </c>
      <c r="I52" s="13"/>
      <c r="J52" s="13"/>
      <c r="K52" s="13"/>
      <c r="L52" s="13"/>
      <c r="M52" s="13"/>
      <c r="N52" s="12"/>
      <c r="O52" s="12"/>
      <c r="P52" s="8" t="s">
        <v>41</v>
      </c>
    </row>
    <row r="53" spans="1:16" ht="24" customHeight="1" x14ac:dyDescent="0.25">
      <c r="A53" s="10">
        <v>47</v>
      </c>
      <c r="B53" s="9">
        <v>0.41319444444444442</v>
      </c>
      <c r="C53" s="5" t="s">
        <v>20</v>
      </c>
      <c r="D53" s="5">
        <v>8</v>
      </c>
      <c r="E53" s="15"/>
      <c r="F53" s="15" t="s">
        <v>23</v>
      </c>
      <c r="G53" s="13">
        <v>4220</v>
      </c>
      <c r="H53" s="13">
        <v>9560</v>
      </c>
      <c r="I53" s="13"/>
      <c r="J53" s="13"/>
      <c r="K53" s="13"/>
      <c r="L53" s="13"/>
      <c r="M53" s="13"/>
      <c r="N53" s="12"/>
      <c r="O53" s="12"/>
      <c r="P53" s="8" t="s">
        <v>35</v>
      </c>
    </row>
    <row r="54" spans="1:16" ht="24" customHeight="1" x14ac:dyDescent="0.25">
      <c r="A54" s="10">
        <v>48</v>
      </c>
      <c r="B54" s="9">
        <v>0.41388888888888892</v>
      </c>
      <c r="C54" s="5" t="s">
        <v>20</v>
      </c>
      <c r="D54" s="5">
        <v>8</v>
      </c>
      <c r="E54" s="15"/>
      <c r="F54" s="15" t="s">
        <v>23</v>
      </c>
      <c r="G54" s="13">
        <v>3500</v>
      </c>
      <c r="H54" s="13">
        <v>2620</v>
      </c>
      <c r="I54" s="13"/>
      <c r="J54" s="13"/>
      <c r="K54" s="13"/>
      <c r="L54" s="13"/>
      <c r="M54" s="13"/>
      <c r="N54" s="12"/>
      <c r="O54" s="12"/>
      <c r="P54" s="8" t="s">
        <v>40</v>
      </c>
    </row>
    <row r="55" spans="1:16" ht="24" customHeight="1" x14ac:dyDescent="0.25">
      <c r="A55" s="10">
        <v>49</v>
      </c>
      <c r="B55" s="9">
        <v>0.4145833333333333</v>
      </c>
      <c r="C55" s="5" t="s">
        <v>20</v>
      </c>
      <c r="D55" s="5">
        <v>8</v>
      </c>
      <c r="E55" s="15"/>
      <c r="F55" s="15" t="s">
        <v>23</v>
      </c>
      <c r="G55" s="13">
        <v>1780</v>
      </c>
      <c r="H55" s="13">
        <v>5300</v>
      </c>
      <c r="I55" s="13"/>
      <c r="J55" s="13"/>
      <c r="K55" s="13"/>
      <c r="L55" s="13"/>
      <c r="M55" s="13"/>
      <c r="N55" s="12"/>
      <c r="O55" s="12"/>
      <c r="P55" s="8" t="s">
        <v>40</v>
      </c>
    </row>
    <row r="56" spans="1:16" ht="24" customHeight="1" x14ac:dyDescent="0.25">
      <c r="A56" s="10">
        <v>50</v>
      </c>
      <c r="B56" s="9"/>
      <c r="C56" s="5" t="s">
        <v>20</v>
      </c>
      <c r="D56" s="5">
        <v>12</v>
      </c>
      <c r="E56" s="15"/>
      <c r="F56" s="15" t="s">
        <v>27</v>
      </c>
      <c r="G56" s="13">
        <v>8360</v>
      </c>
      <c r="H56" s="13">
        <v>6280</v>
      </c>
      <c r="I56" s="13">
        <v>14240</v>
      </c>
      <c r="J56" s="13">
        <v>13760</v>
      </c>
      <c r="K56" s="13">
        <v>9660</v>
      </c>
      <c r="L56" s="13">
        <v>10120</v>
      </c>
      <c r="M56" s="13"/>
      <c r="N56" s="12"/>
      <c r="O56" s="12"/>
      <c r="P56" s="8" t="s">
        <v>40</v>
      </c>
    </row>
    <row r="57" spans="1:16" ht="24" customHeight="1" x14ac:dyDescent="0.25">
      <c r="A57" s="10">
        <v>51</v>
      </c>
      <c r="B57" s="9"/>
      <c r="C57" s="5" t="s">
        <v>20</v>
      </c>
      <c r="D57" s="5">
        <v>8</v>
      </c>
      <c r="E57" s="15"/>
      <c r="F57" s="15" t="s">
        <v>23</v>
      </c>
      <c r="G57" s="13">
        <v>7760</v>
      </c>
      <c r="H57" s="13">
        <v>14220</v>
      </c>
      <c r="I57" s="13"/>
      <c r="J57" s="13"/>
      <c r="K57" s="13"/>
      <c r="L57" s="13"/>
      <c r="M57" s="13"/>
      <c r="N57" s="12"/>
      <c r="O57" s="12"/>
      <c r="P57" s="8" t="s">
        <v>41</v>
      </c>
    </row>
    <row r="58" spans="1:16" ht="24" customHeight="1" x14ac:dyDescent="0.25">
      <c r="A58" s="10">
        <v>52</v>
      </c>
      <c r="B58" s="9"/>
      <c r="C58" s="5" t="s">
        <v>20</v>
      </c>
      <c r="D58" s="5">
        <v>9</v>
      </c>
      <c r="E58" s="15"/>
      <c r="F58" s="15" t="s">
        <v>30</v>
      </c>
      <c r="G58" s="13">
        <v>4040</v>
      </c>
      <c r="H58" s="13">
        <v>5440</v>
      </c>
      <c r="I58" s="13">
        <v>5660</v>
      </c>
      <c r="J58" s="13"/>
      <c r="K58" s="13"/>
      <c r="L58" s="13"/>
      <c r="M58" s="13"/>
      <c r="N58" s="12"/>
      <c r="O58" s="12"/>
      <c r="P58" s="8" t="s">
        <v>37</v>
      </c>
    </row>
    <row r="59" spans="1:16" ht="24" customHeight="1" x14ac:dyDescent="0.25">
      <c r="A59" s="10">
        <v>53</v>
      </c>
      <c r="B59" s="9">
        <v>0.4201388888888889</v>
      </c>
      <c r="C59" s="5" t="s">
        <v>20</v>
      </c>
      <c r="D59" s="5">
        <v>5</v>
      </c>
      <c r="E59" s="15"/>
      <c r="F59" s="15" t="s">
        <v>23</v>
      </c>
      <c r="G59" s="13">
        <v>6740</v>
      </c>
      <c r="H59" s="13">
        <v>10780</v>
      </c>
      <c r="I59" s="13"/>
      <c r="J59" s="13"/>
      <c r="K59" s="13"/>
      <c r="L59" s="13"/>
      <c r="M59" s="13"/>
      <c r="N59" s="12"/>
      <c r="O59" s="12"/>
      <c r="P59" s="8" t="s">
        <v>35</v>
      </c>
    </row>
    <row r="60" spans="1:16" ht="24" customHeight="1" x14ac:dyDescent="0.25">
      <c r="A60" s="10">
        <v>54</v>
      </c>
      <c r="B60" s="9"/>
      <c r="C60" s="5" t="s">
        <v>20</v>
      </c>
      <c r="D60" s="5">
        <v>8</v>
      </c>
      <c r="E60" s="15"/>
      <c r="F60" s="15" t="s">
        <v>23</v>
      </c>
      <c r="G60" s="13">
        <v>3980</v>
      </c>
      <c r="H60" s="13">
        <v>6560</v>
      </c>
      <c r="I60" s="13"/>
      <c r="J60" s="13"/>
      <c r="K60" s="13"/>
      <c r="L60" s="13"/>
      <c r="M60" s="13"/>
      <c r="N60" s="12"/>
      <c r="O60" s="12"/>
      <c r="P60" s="8" t="s">
        <v>41</v>
      </c>
    </row>
    <row r="61" spans="1:16" ht="24" customHeight="1" x14ac:dyDescent="0.25">
      <c r="A61" s="10">
        <v>55</v>
      </c>
      <c r="B61" s="9">
        <v>0.4236111111111111</v>
      </c>
      <c r="C61" s="5" t="s">
        <v>20</v>
      </c>
      <c r="D61" s="5">
        <v>12</v>
      </c>
      <c r="E61" s="15"/>
      <c r="F61" s="15" t="s">
        <v>27</v>
      </c>
      <c r="G61" s="13">
        <v>8540</v>
      </c>
      <c r="H61" s="13">
        <v>2000</v>
      </c>
      <c r="I61" s="13">
        <v>18960</v>
      </c>
      <c r="J61" s="13">
        <v>18300</v>
      </c>
      <c r="K61" s="13">
        <v>12680</v>
      </c>
      <c r="L61" s="13">
        <v>11200</v>
      </c>
      <c r="M61" s="13"/>
      <c r="N61" s="12"/>
      <c r="O61" s="12"/>
      <c r="P61" s="8" t="s">
        <v>43</v>
      </c>
    </row>
    <row r="62" spans="1:16" ht="24" customHeight="1" x14ac:dyDescent="0.25">
      <c r="A62" s="10">
        <v>56</v>
      </c>
      <c r="B62" s="9"/>
      <c r="C62" s="5" t="s">
        <v>20</v>
      </c>
      <c r="D62" s="5">
        <v>8</v>
      </c>
      <c r="E62" s="15"/>
      <c r="F62" s="15" t="s">
        <v>23</v>
      </c>
      <c r="G62" s="13">
        <v>2160</v>
      </c>
      <c r="H62" s="13">
        <v>1740</v>
      </c>
      <c r="I62" s="13"/>
      <c r="J62" s="13"/>
      <c r="K62" s="13"/>
      <c r="L62" s="13"/>
      <c r="M62" s="13"/>
      <c r="N62" s="12"/>
      <c r="O62" s="12"/>
      <c r="P62" s="8" t="s">
        <v>37</v>
      </c>
    </row>
    <row r="63" spans="1:16" ht="24" customHeight="1" x14ac:dyDescent="0.25">
      <c r="A63" s="10">
        <v>57</v>
      </c>
      <c r="B63" s="9">
        <v>0.43055555555555558</v>
      </c>
      <c r="C63" s="5" t="s">
        <v>20</v>
      </c>
      <c r="D63" s="5">
        <v>8</v>
      </c>
      <c r="E63" s="15"/>
      <c r="F63" s="15" t="s">
        <v>23</v>
      </c>
      <c r="G63" s="13">
        <v>2100</v>
      </c>
      <c r="H63" s="13">
        <v>2780</v>
      </c>
      <c r="I63" s="13"/>
      <c r="J63" s="13"/>
      <c r="K63" s="13"/>
      <c r="L63" s="13"/>
      <c r="M63" s="13"/>
      <c r="N63" s="12"/>
      <c r="O63" s="12"/>
      <c r="P63" s="8" t="s">
        <v>37</v>
      </c>
    </row>
    <row r="64" spans="1:16" ht="24" customHeight="1" x14ac:dyDescent="0.25">
      <c r="A64" s="10">
        <v>58</v>
      </c>
      <c r="B64" s="9">
        <v>0.43124999999999997</v>
      </c>
      <c r="C64" s="5" t="s">
        <v>20</v>
      </c>
      <c r="D64" s="5">
        <v>8</v>
      </c>
      <c r="E64" s="15"/>
      <c r="F64" s="15" t="s">
        <v>23</v>
      </c>
      <c r="G64" s="13">
        <v>7700</v>
      </c>
      <c r="H64" s="13">
        <v>15380</v>
      </c>
      <c r="I64" s="13"/>
      <c r="J64" s="13"/>
      <c r="K64" s="13"/>
      <c r="L64" s="13"/>
      <c r="M64" s="13"/>
      <c r="N64" s="12"/>
      <c r="O64" s="12"/>
      <c r="P64" s="8" t="s">
        <v>36</v>
      </c>
    </row>
    <row r="65" spans="1:16" ht="24" customHeight="1" x14ac:dyDescent="0.25">
      <c r="A65" s="10">
        <v>59</v>
      </c>
      <c r="B65" s="9">
        <v>0.43263888888888885</v>
      </c>
      <c r="C65" s="5" t="s">
        <v>20</v>
      </c>
      <c r="D65" s="5">
        <v>8</v>
      </c>
      <c r="E65" s="15"/>
      <c r="F65" s="15" t="s">
        <v>23</v>
      </c>
      <c r="G65" s="13">
        <v>2320</v>
      </c>
      <c r="H65" s="13">
        <v>5020</v>
      </c>
      <c r="I65" s="13"/>
      <c r="J65" s="13"/>
      <c r="K65" s="13"/>
      <c r="L65" s="13"/>
      <c r="M65" s="13"/>
      <c r="N65" s="12"/>
      <c r="O65" s="12"/>
      <c r="P65" s="8" t="s">
        <v>41</v>
      </c>
    </row>
    <row r="66" spans="1:16" ht="24" customHeight="1" x14ac:dyDescent="0.25">
      <c r="A66" s="10">
        <v>60</v>
      </c>
      <c r="B66" s="9">
        <v>0.43333333333333335</v>
      </c>
      <c r="C66" s="5" t="s">
        <v>20</v>
      </c>
      <c r="D66" s="5">
        <v>8</v>
      </c>
      <c r="E66" s="15"/>
      <c r="F66" s="15" t="s">
        <v>23</v>
      </c>
      <c r="G66" s="13">
        <v>2640</v>
      </c>
      <c r="H66" s="13">
        <v>4120</v>
      </c>
      <c r="I66" s="13"/>
      <c r="J66" s="13"/>
      <c r="K66" s="13"/>
      <c r="L66" s="13"/>
      <c r="M66" s="13"/>
      <c r="N66" s="12"/>
      <c r="O66" s="12"/>
      <c r="P66" s="8" t="s">
        <v>37</v>
      </c>
    </row>
    <row r="67" spans="1:16" ht="24" customHeight="1" x14ac:dyDescent="0.25">
      <c r="A67" s="10">
        <v>61</v>
      </c>
      <c r="B67" s="9">
        <v>0.43402777777777773</v>
      </c>
      <c r="C67" s="5" t="s">
        <v>20</v>
      </c>
      <c r="D67" s="5">
        <v>8</v>
      </c>
      <c r="E67" s="15"/>
      <c r="F67" s="15" t="s">
        <v>23</v>
      </c>
      <c r="G67" s="13">
        <v>3060</v>
      </c>
      <c r="H67" s="13">
        <v>2860</v>
      </c>
      <c r="I67" s="13"/>
      <c r="J67" s="13"/>
      <c r="K67" s="13"/>
      <c r="L67" s="13"/>
      <c r="M67" s="13"/>
      <c r="N67" s="12"/>
      <c r="O67" s="12"/>
      <c r="P67" s="8" t="s">
        <v>37</v>
      </c>
    </row>
    <row r="68" spans="1:16" ht="24" customHeight="1" x14ac:dyDescent="0.25">
      <c r="A68" s="10">
        <v>62</v>
      </c>
      <c r="B68" s="9">
        <v>0.43541666666666662</v>
      </c>
      <c r="C68" s="5" t="s">
        <v>20</v>
      </c>
      <c r="D68" s="5">
        <v>8</v>
      </c>
      <c r="E68" s="15"/>
      <c r="F68" s="15" t="s">
        <v>23</v>
      </c>
      <c r="G68" s="13">
        <v>1940</v>
      </c>
      <c r="H68" s="13">
        <v>6440</v>
      </c>
      <c r="I68" s="13"/>
      <c r="J68" s="13"/>
      <c r="K68" s="13"/>
      <c r="L68" s="13"/>
      <c r="M68" s="13"/>
      <c r="N68" s="12"/>
      <c r="O68" s="12"/>
      <c r="P68" s="8" t="s">
        <v>40</v>
      </c>
    </row>
    <row r="69" spans="1:16" ht="24" customHeight="1" x14ac:dyDescent="0.25">
      <c r="A69" s="10">
        <v>63</v>
      </c>
      <c r="B69" s="9">
        <v>0.43611111111111112</v>
      </c>
      <c r="C69" s="5" t="s">
        <v>20</v>
      </c>
      <c r="D69" s="5">
        <v>8</v>
      </c>
      <c r="E69" s="15"/>
      <c r="F69" s="15" t="s">
        <v>23</v>
      </c>
      <c r="G69" s="13">
        <v>2880</v>
      </c>
      <c r="H69" s="13">
        <v>4860</v>
      </c>
      <c r="I69" s="13"/>
      <c r="J69" s="13"/>
      <c r="K69" s="13"/>
      <c r="L69" s="13"/>
      <c r="M69" s="13"/>
      <c r="N69" s="12"/>
      <c r="O69" s="12"/>
      <c r="P69" s="8" t="s">
        <v>37</v>
      </c>
    </row>
    <row r="70" spans="1:16" ht="24" customHeight="1" x14ac:dyDescent="0.25">
      <c r="A70" s="10">
        <v>64</v>
      </c>
      <c r="B70" s="9"/>
      <c r="C70" s="5" t="s">
        <v>20</v>
      </c>
      <c r="D70" s="5">
        <v>8</v>
      </c>
      <c r="E70" s="15"/>
      <c r="F70" s="15" t="s">
        <v>23</v>
      </c>
      <c r="G70" s="13">
        <v>2300</v>
      </c>
      <c r="H70" s="13">
        <v>2200</v>
      </c>
      <c r="I70" s="13"/>
      <c r="J70" s="13"/>
      <c r="K70" s="13"/>
      <c r="L70" s="13"/>
      <c r="M70" s="13"/>
      <c r="N70" s="12"/>
      <c r="O70" s="12"/>
      <c r="P70" s="8" t="s">
        <v>37</v>
      </c>
    </row>
    <row r="71" spans="1:16" ht="24" customHeight="1" x14ac:dyDescent="0.25">
      <c r="A71" s="10">
        <v>65</v>
      </c>
      <c r="B71" s="9">
        <v>0.44027777777777777</v>
      </c>
      <c r="C71" s="5" t="s">
        <v>20</v>
      </c>
      <c r="D71" s="5">
        <v>8</v>
      </c>
      <c r="E71" s="15"/>
      <c r="F71" s="15" t="s">
        <v>23</v>
      </c>
      <c r="G71" s="13">
        <v>2420</v>
      </c>
      <c r="H71" s="13">
        <v>2460</v>
      </c>
      <c r="I71" s="13"/>
      <c r="J71" s="13"/>
      <c r="K71" s="13"/>
      <c r="L71" s="13"/>
      <c r="M71" s="13"/>
      <c r="N71" s="12"/>
      <c r="O71" s="12"/>
      <c r="P71" s="8" t="s">
        <v>37</v>
      </c>
    </row>
    <row r="72" spans="1:16" ht="24" customHeight="1" x14ac:dyDescent="0.25">
      <c r="A72" s="10">
        <v>66</v>
      </c>
      <c r="B72" s="9"/>
      <c r="C72" s="5" t="s">
        <v>20</v>
      </c>
      <c r="D72" s="5">
        <v>8</v>
      </c>
      <c r="E72" s="15"/>
      <c r="F72" s="15" t="s">
        <v>23</v>
      </c>
      <c r="G72" s="13">
        <v>3000</v>
      </c>
      <c r="H72" s="13">
        <v>3000</v>
      </c>
      <c r="I72" s="13"/>
      <c r="J72" s="13"/>
      <c r="K72" s="13"/>
      <c r="L72" s="13"/>
      <c r="M72" s="13"/>
      <c r="N72" s="12"/>
      <c r="O72" s="12"/>
      <c r="P72" s="8" t="s">
        <v>41</v>
      </c>
    </row>
    <row r="73" spans="1:16" ht="24" customHeight="1" x14ac:dyDescent="0.25">
      <c r="A73" s="10">
        <v>67</v>
      </c>
      <c r="B73" s="9">
        <v>0.44375000000000003</v>
      </c>
      <c r="C73" s="5" t="s">
        <v>20</v>
      </c>
      <c r="D73" s="5">
        <v>8</v>
      </c>
      <c r="E73" s="15"/>
      <c r="F73" s="15" t="s">
        <v>23</v>
      </c>
      <c r="G73" s="13">
        <v>1480</v>
      </c>
      <c r="H73" s="13">
        <v>1080</v>
      </c>
      <c r="I73" s="13"/>
      <c r="J73" s="13"/>
      <c r="K73" s="13"/>
      <c r="L73" s="13"/>
      <c r="M73" s="13"/>
      <c r="N73" s="12"/>
      <c r="O73" s="12"/>
      <c r="P73" s="8" t="s">
        <v>37</v>
      </c>
    </row>
    <row r="74" spans="1:16" ht="24" customHeight="1" x14ac:dyDescent="0.25">
      <c r="A74" s="10">
        <v>68</v>
      </c>
      <c r="B74" s="9"/>
      <c r="C74" s="5" t="s">
        <v>20</v>
      </c>
      <c r="D74" s="5">
        <v>8</v>
      </c>
      <c r="E74" s="15"/>
      <c r="F74" s="15" t="s">
        <v>23</v>
      </c>
      <c r="G74" s="13">
        <v>5280</v>
      </c>
      <c r="H74" s="13">
        <v>14640</v>
      </c>
      <c r="I74" s="13"/>
      <c r="J74" s="13"/>
      <c r="K74" s="13"/>
      <c r="L74" s="13"/>
      <c r="M74" s="13"/>
      <c r="N74" s="12"/>
      <c r="O74" s="12"/>
      <c r="P74" s="8" t="s">
        <v>43</v>
      </c>
    </row>
    <row r="75" spans="1:16" ht="24" customHeight="1" x14ac:dyDescent="0.25">
      <c r="A75" s="10">
        <v>69</v>
      </c>
      <c r="B75" s="9">
        <v>0.44513888888888892</v>
      </c>
      <c r="C75" s="5" t="s">
        <v>20</v>
      </c>
      <c r="D75" s="5">
        <v>8</v>
      </c>
      <c r="E75" s="15"/>
      <c r="F75" s="15" t="s">
        <v>23</v>
      </c>
      <c r="G75" s="13">
        <v>3060</v>
      </c>
      <c r="H75" s="13">
        <v>4060</v>
      </c>
      <c r="I75" s="13"/>
      <c r="J75" s="13"/>
      <c r="K75" s="13"/>
      <c r="L75" s="13"/>
      <c r="M75" s="13"/>
      <c r="N75" s="12"/>
      <c r="O75" s="12"/>
      <c r="P75" s="8" t="s">
        <v>35</v>
      </c>
    </row>
    <row r="76" spans="1:16" ht="24" customHeight="1" x14ac:dyDescent="0.25">
      <c r="A76" s="10">
        <v>70</v>
      </c>
      <c r="B76" s="9">
        <v>0.4458333333333333</v>
      </c>
      <c r="C76" s="5" t="s">
        <v>20</v>
      </c>
      <c r="D76" s="5">
        <v>5</v>
      </c>
      <c r="E76" s="15"/>
      <c r="F76" s="15" t="s">
        <v>23</v>
      </c>
      <c r="G76" s="13">
        <v>6240</v>
      </c>
      <c r="H76" s="13">
        <v>16960</v>
      </c>
      <c r="I76" s="13"/>
      <c r="J76" s="13"/>
      <c r="K76" s="13"/>
      <c r="L76" s="13"/>
      <c r="M76" s="13"/>
      <c r="N76" s="12"/>
      <c r="O76" s="12"/>
      <c r="P76" s="8" t="s">
        <v>35</v>
      </c>
    </row>
    <row r="77" spans="1:16" ht="24" customHeight="1" x14ac:dyDescent="0.25">
      <c r="A77" s="10">
        <v>71</v>
      </c>
      <c r="B77" s="9">
        <v>0.4465277777777778</v>
      </c>
      <c r="C77" s="5" t="s">
        <v>20</v>
      </c>
      <c r="D77" s="5">
        <v>8</v>
      </c>
      <c r="E77" s="15"/>
      <c r="F77" s="15" t="s">
        <v>23</v>
      </c>
      <c r="G77" s="13">
        <v>9340</v>
      </c>
      <c r="H77" s="13">
        <v>15280</v>
      </c>
      <c r="I77" s="13"/>
      <c r="J77" s="13"/>
      <c r="K77" s="13"/>
      <c r="L77" s="13"/>
      <c r="M77" s="13"/>
      <c r="N77" s="12"/>
      <c r="O77" s="12"/>
      <c r="P77" s="8" t="s">
        <v>35</v>
      </c>
    </row>
    <row r="78" spans="1:16" ht="24" customHeight="1" x14ac:dyDescent="0.25">
      <c r="A78" s="10">
        <v>72</v>
      </c>
      <c r="B78" s="9">
        <v>0.44791666666666669</v>
      </c>
      <c r="C78" s="5" t="s">
        <v>20</v>
      </c>
      <c r="D78" s="5">
        <v>8</v>
      </c>
      <c r="E78" s="15"/>
      <c r="F78" s="15" t="s">
        <v>23</v>
      </c>
      <c r="G78" s="13">
        <v>2420</v>
      </c>
      <c r="H78" s="13">
        <v>4140</v>
      </c>
      <c r="I78" s="13"/>
      <c r="J78" s="13"/>
      <c r="K78" s="13"/>
      <c r="L78" s="13"/>
      <c r="M78" s="13"/>
      <c r="N78" s="12"/>
      <c r="O78" s="12"/>
      <c r="P78" s="8" t="s">
        <v>41</v>
      </c>
    </row>
    <row r="79" spans="1:16" ht="24" customHeight="1" x14ac:dyDescent="0.25">
      <c r="A79" s="10">
        <v>73</v>
      </c>
      <c r="B79" s="9">
        <v>0.45208333333333334</v>
      </c>
      <c r="C79" s="5" t="s">
        <v>20</v>
      </c>
      <c r="D79" s="5">
        <v>8</v>
      </c>
      <c r="E79" s="15"/>
      <c r="F79" s="15" t="s">
        <v>23</v>
      </c>
      <c r="G79" s="13">
        <v>3260</v>
      </c>
      <c r="H79" s="13">
        <v>12580</v>
      </c>
      <c r="I79" s="13"/>
      <c r="J79" s="13"/>
      <c r="K79" s="13"/>
      <c r="L79" s="13"/>
      <c r="M79" s="13"/>
      <c r="N79" s="12"/>
      <c r="O79" s="12"/>
      <c r="P79" s="8" t="s">
        <v>38</v>
      </c>
    </row>
    <row r="80" spans="1:16" ht="24" customHeight="1" x14ac:dyDescent="0.25">
      <c r="A80" s="10">
        <v>74</v>
      </c>
      <c r="B80" s="9">
        <v>0.45347222222222222</v>
      </c>
      <c r="C80" s="5" t="s">
        <v>20</v>
      </c>
      <c r="D80" s="5">
        <v>8</v>
      </c>
      <c r="E80" s="15"/>
      <c r="F80" s="15" t="s">
        <v>23</v>
      </c>
      <c r="G80" s="13">
        <v>3120</v>
      </c>
      <c r="H80" s="13">
        <v>5640</v>
      </c>
      <c r="I80" s="13"/>
      <c r="J80" s="13"/>
      <c r="K80" s="13"/>
      <c r="L80" s="13"/>
      <c r="M80" s="13"/>
      <c r="N80" s="12"/>
      <c r="O80" s="12"/>
      <c r="P80" s="8" t="s">
        <v>41</v>
      </c>
    </row>
    <row r="81" spans="1:16" ht="24" customHeight="1" x14ac:dyDescent="0.25">
      <c r="A81" s="10">
        <v>75</v>
      </c>
      <c r="B81" s="9">
        <v>0.4548611111111111</v>
      </c>
      <c r="C81" s="5" t="s">
        <v>20</v>
      </c>
      <c r="D81" s="5">
        <v>8</v>
      </c>
      <c r="E81" s="15"/>
      <c r="F81" s="15" t="s">
        <v>23</v>
      </c>
      <c r="G81" s="13">
        <v>3160</v>
      </c>
      <c r="H81" s="13">
        <v>3520</v>
      </c>
      <c r="I81" s="13"/>
      <c r="J81" s="13"/>
      <c r="K81" s="13"/>
      <c r="L81" s="13"/>
      <c r="M81" s="13"/>
      <c r="N81" s="12"/>
      <c r="O81" s="12"/>
      <c r="P81" s="8" t="s">
        <v>37</v>
      </c>
    </row>
    <row r="82" spans="1:16" ht="24" customHeight="1" x14ac:dyDescent="0.25">
      <c r="A82" s="10">
        <v>76</v>
      </c>
      <c r="B82" s="9">
        <v>0.46180555555555558</v>
      </c>
      <c r="C82" s="5" t="s">
        <v>20</v>
      </c>
      <c r="D82" s="5">
        <v>8</v>
      </c>
      <c r="E82" s="15"/>
      <c r="F82" s="15" t="s">
        <v>23</v>
      </c>
      <c r="G82" s="13">
        <v>2620</v>
      </c>
      <c r="H82" s="13">
        <v>1560</v>
      </c>
      <c r="I82" s="13"/>
      <c r="J82" s="13"/>
      <c r="K82" s="13"/>
      <c r="L82" s="13"/>
      <c r="M82" s="13"/>
      <c r="N82" s="12"/>
      <c r="O82" s="12"/>
      <c r="P82" s="8" t="s">
        <v>37</v>
      </c>
    </row>
    <row r="83" spans="1:16" ht="24" customHeight="1" x14ac:dyDescent="0.25">
      <c r="A83" s="10">
        <v>77</v>
      </c>
      <c r="B83" s="9">
        <v>0.46249999999999997</v>
      </c>
      <c r="C83" s="5" t="s">
        <v>20</v>
      </c>
      <c r="D83" s="5">
        <v>8</v>
      </c>
      <c r="E83" s="15"/>
      <c r="F83" s="15" t="s">
        <v>23</v>
      </c>
      <c r="G83" s="13">
        <v>6560</v>
      </c>
      <c r="H83" s="13">
        <v>12180</v>
      </c>
      <c r="I83" s="13"/>
      <c r="J83" s="13"/>
      <c r="K83" s="13"/>
      <c r="L83" s="13"/>
      <c r="M83" s="13"/>
      <c r="N83" s="12"/>
      <c r="O83" s="12"/>
      <c r="P83" s="8" t="s">
        <v>42</v>
      </c>
    </row>
    <row r="84" spans="1:16" ht="24" customHeight="1" x14ac:dyDescent="0.25">
      <c r="A84" s="10">
        <v>78</v>
      </c>
      <c r="B84" s="9">
        <v>0.46388888888888885</v>
      </c>
      <c r="C84" s="5" t="s">
        <v>20</v>
      </c>
      <c r="D84" s="5">
        <v>10</v>
      </c>
      <c r="E84" s="15"/>
      <c r="F84" s="15" t="s">
        <v>31</v>
      </c>
      <c r="G84" s="13">
        <v>7780</v>
      </c>
      <c r="H84" s="13">
        <v>6680</v>
      </c>
      <c r="I84" s="13">
        <v>10580</v>
      </c>
      <c r="J84" s="13">
        <v>9920</v>
      </c>
      <c r="K84" s="13"/>
      <c r="L84" s="13"/>
      <c r="M84" s="13"/>
      <c r="N84" s="12"/>
      <c r="O84" s="12"/>
      <c r="P84" s="8" t="s">
        <v>37</v>
      </c>
    </row>
    <row r="85" spans="1:16" ht="24" customHeight="1" x14ac:dyDescent="0.25">
      <c r="A85" s="10">
        <v>79</v>
      </c>
      <c r="B85" s="9">
        <v>0.46458333333333335</v>
      </c>
      <c r="C85" s="5" t="s">
        <v>20</v>
      </c>
      <c r="D85" s="5">
        <v>9</v>
      </c>
      <c r="E85" s="15"/>
      <c r="F85" s="15" t="s">
        <v>30</v>
      </c>
      <c r="G85" s="13">
        <v>7220</v>
      </c>
      <c r="H85" s="13">
        <v>15420</v>
      </c>
      <c r="I85" s="13">
        <v>15720</v>
      </c>
      <c r="J85" s="13"/>
      <c r="K85" s="13"/>
      <c r="L85" s="13"/>
      <c r="M85" s="13"/>
      <c r="N85" s="12"/>
      <c r="O85" s="12"/>
      <c r="P85" s="8" t="s">
        <v>36</v>
      </c>
    </row>
    <row r="86" spans="1:16" ht="24" customHeight="1" x14ac:dyDescent="0.25">
      <c r="A86" s="10">
        <v>80</v>
      </c>
      <c r="B86" s="9">
        <v>0.46666666666666662</v>
      </c>
      <c r="C86" s="5" t="s">
        <v>20</v>
      </c>
      <c r="D86" s="5">
        <v>12</v>
      </c>
      <c r="E86" s="15"/>
      <c r="F86" s="15" t="s">
        <v>26</v>
      </c>
      <c r="G86" s="13">
        <v>7520</v>
      </c>
      <c r="H86" s="13">
        <v>12960</v>
      </c>
      <c r="I86" s="13">
        <v>12220</v>
      </c>
      <c r="J86" s="13">
        <v>14000</v>
      </c>
      <c r="K86" s="13">
        <v>12560</v>
      </c>
      <c r="L86" s="13">
        <v>13560</v>
      </c>
      <c r="M86" s="13"/>
      <c r="N86" s="12"/>
      <c r="O86" s="12"/>
      <c r="P86" s="8" t="s">
        <v>41</v>
      </c>
    </row>
    <row r="87" spans="1:16" ht="24" customHeight="1" x14ac:dyDescent="0.25">
      <c r="A87" s="10">
        <v>81</v>
      </c>
      <c r="B87" s="9">
        <v>0.46736111111111112</v>
      </c>
      <c r="C87" s="5" t="s">
        <v>20</v>
      </c>
      <c r="D87" s="5">
        <v>8</v>
      </c>
      <c r="E87" s="15"/>
      <c r="F87" s="15" t="s">
        <v>23</v>
      </c>
      <c r="G87" s="13">
        <v>6180</v>
      </c>
      <c r="H87" s="13">
        <v>10380</v>
      </c>
      <c r="I87" s="13"/>
      <c r="J87" s="13"/>
      <c r="K87" s="13"/>
      <c r="L87" s="13"/>
      <c r="M87" s="13"/>
      <c r="N87" s="12"/>
      <c r="O87" s="12"/>
      <c r="P87" s="8" t="s">
        <v>36</v>
      </c>
    </row>
    <row r="88" spans="1:16" ht="24" customHeight="1" x14ac:dyDescent="0.25">
      <c r="A88" s="10">
        <v>82</v>
      </c>
      <c r="B88" s="9">
        <v>0.4680555555555555</v>
      </c>
      <c r="C88" s="5" t="s">
        <v>20</v>
      </c>
      <c r="D88" s="5">
        <v>9</v>
      </c>
      <c r="E88" s="15"/>
      <c r="F88" s="15" t="s">
        <v>30</v>
      </c>
      <c r="G88" s="13">
        <v>6380</v>
      </c>
      <c r="H88" s="13">
        <v>4520</v>
      </c>
      <c r="I88" s="13">
        <v>5160</v>
      </c>
      <c r="J88" s="13"/>
      <c r="K88" s="13"/>
      <c r="L88" s="13"/>
      <c r="M88" s="13"/>
      <c r="N88" s="12"/>
      <c r="O88" s="12"/>
      <c r="P88" s="8" t="s">
        <v>39</v>
      </c>
    </row>
    <row r="89" spans="1:16" ht="24" customHeight="1" x14ac:dyDescent="0.25">
      <c r="A89" s="10">
        <v>83</v>
      </c>
      <c r="B89" s="9">
        <v>0.4694444444444445</v>
      </c>
      <c r="C89" s="5" t="s">
        <v>21</v>
      </c>
      <c r="D89" s="5">
        <v>12</v>
      </c>
      <c r="E89" s="15"/>
      <c r="F89" s="15" t="s">
        <v>26</v>
      </c>
      <c r="G89" s="13">
        <v>7240</v>
      </c>
      <c r="H89" s="13">
        <v>11640</v>
      </c>
      <c r="I89" s="13">
        <v>11700</v>
      </c>
      <c r="J89" s="13">
        <v>15080</v>
      </c>
      <c r="K89" s="13">
        <v>12540</v>
      </c>
      <c r="L89" s="13">
        <v>13120</v>
      </c>
      <c r="M89" s="13"/>
      <c r="N89" s="12"/>
      <c r="O89" s="12"/>
      <c r="P89" s="8" t="s">
        <v>41</v>
      </c>
    </row>
    <row r="90" spans="1:16" ht="24" customHeight="1" x14ac:dyDescent="0.25">
      <c r="A90" s="10">
        <v>84</v>
      </c>
      <c r="B90" s="9">
        <v>0.47291666666666665</v>
      </c>
      <c r="C90" s="5" t="s">
        <v>20</v>
      </c>
      <c r="D90" s="5">
        <v>12</v>
      </c>
      <c r="E90" s="15"/>
      <c r="F90" s="15" t="s">
        <v>26</v>
      </c>
      <c r="G90" s="13">
        <v>6620</v>
      </c>
      <c r="H90" s="13">
        <v>6060</v>
      </c>
      <c r="I90" s="13">
        <v>8300</v>
      </c>
      <c r="J90" s="13">
        <v>9600</v>
      </c>
      <c r="K90" s="13">
        <v>7440</v>
      </c>
      <c r="L90" s="13">
        <v>7980</v>
      </c>
      <c r="M90" s="13"/>
      <c r="N90" s="12"/>
      <c r="O90" s="12"/>
      <c r="P90" s="8" t="s">
        <v>42</v>
      </c>
    </row>
    <row r="91" spans="1:16" ht="24" customHeight="1" x14ac:dyDescent="0.25">
      <c r="A91" s="10">
        <v>85</v>
      </c>
      <c r="B91" s="9">
        <v>0.47430555555555554</v>
      </c>
      <c r="C91" s="5" t="s">
        <v>20</v>
      </c>
      <c r="D91" s="5">
        <v>12</v>
      </c>
      <c r="E91" s="15"/>
      <c r="F91" s="15" t="s">
        <v>26</v>
      </c>
      <c r="G91" s="13">
        <v>7680</v>
      </c>
      <c r="H91" s="13">
        <v>16520</v>
      </c>
      <c r="I91" s="13">
        <v>11740</v>
      </c>
      <c r="J91" s="13">
        <v>15020</v>
      </c>
      <c r="K91" s="13">
        <v>12000</v>
      </c>
      <c r="L91" s="13">
        <v>13100</v>
      </c>
      <c r="M91" s="13"/>
      <c r="N91" s="12"/>
      <c r="O91" s="12"/>
      <c r="P91" s="8" t="s">
        <v>40</v>
      </c>
    </row>
    <row r="92" spans="1:16" ht="24" customHeight="1" x14ac:dyDescent="0.25">
      <c r="A92" s="10">
        <v>86</v>
      </c>
      <c r="B92" s="9">
        <v>0.47500000000000003</v>
      </c>
      <c r="C92" s="5" t="s">
        <v>20</v>
      </c>
      <c r="D92" s="5">
        <v>9</v>
      </c>
      <c r="E92" s="15"/>
      <c r="F92" s="15" t="s">
        <v>30</v>
      </c>
      <c r="G92" s="13">
        <v>6500</v>
      </c>
      <c r="H92" s="13">
        <v>5700</v>
      </c>
      <c r="I92" s="13">
        <v>6080</v>
      </c>
      <c r="J92" s="13"/>
      <c r="K92" s="13"/>
      <c r="L92" s="13"/>
      <c r="M92" s="13"/>
      <c r="N92" s="12"/>
      <c r="O92" s="12"/>
      <c r="P92" s="8" t="s">
        <v>37</v>
      </c>
    </row>
    <row r="93" spans="1:16" ht="24" customHeight="1" x14ac:dyDescent="0.25">
      <c r="A93" s="10">
        <v>87</v>
      </c>
      <c r="B93" s="9">
        <v>0.47569444444444442</v>
      </c>
      <c r="C93" s="5" t="s">
        <v>20</v>
      </c>
      <c r="D93" s="5">
        <v>9</v>
      </c>
      <c r="E93" s="15"/>
      <c r="F93" s="15" t="s">
        <v>30</v>
      </c>
      <c r="G93" s="13">
        <v>5980</v>
      </c>
      <c r="H93" s="13">
        <v>4700</v>
      </c>
      <c r="I93" s="13">
        <v>5340</v>
      </c>
      <c r="J93" s="13"/>
      <c r="K93" s="13"/>
      <c r="L93" s="13"/>
      <c r="M93" s="13"/>
      <c r="N93" s="12"/>
      <c r="O93" s="12"/>
      <c r="P93" s="8" t="s">
        <v>36</v>
      </c>
    </row>
    <row r="94" spans="1:16" ht="24" customHeight="1" x14ac:dyDescent="0.25">
      <c r="A94" s="10">
        <v>88</v>
      </c>
      <c r="B94" s="9">
        <v>0.4777777777777778</v>
      </c>
      <c r="C94" s="5" t="s">
        <v>20</v>
      </c>
      <c r="D94" s="5">
        <v>8</v>
      </c>
      <c r="E94" s="15"/>
      <c r="F94" s="15" t="s">
        <v>23</v>
      </c>
      <c r="G94" s="13">
        <v>2920</v>
      </c>
      <c r="H94" s="13">
        <v>5260</v>
      </c>
      <c r="I94" s="13"/>
      <c r="J94" s="13"/>
      <c r="K94" s="13"/>
      <c r="L94" s="13"/>
      <c r="M94" s="13"/>
      <c r="N94" s="12"/>
      <c r="O94" s="12"/>
      <c r="P94" s="8" t="s">
        <v>36</v>
      </c>
    </row>
    <row r="95" spans="1:16" ht="24" customHeight="1" x14ac:dyDescent="0.25">
      <c r="A95" s="10">
        <v>89</v>
      </c>
      <c r="B95" s="9">
        <v>0.47916666666666669</v>
      </c>
      <c r="C95" s="5" t="s">
        <v>20</v>
      </c>
      <c r="D95" s="5">
        <v>9</v>
      </c>
      <c r="E95" s="15"/>
      <c r="F95" s="15" t="s">
        <v>30</v>
      </c>
      <c r="G95" s="13">
        <v>5940</v>
      </c>
      <c r="H95" s="13">
        <v>4880</v>
      </c>
      <c r="I95" s="13">
        <v>5160</v>
      </c>
      <c r="J95" s="13"/>
      <c r="K95" s="13"/>
      <c r="L95" s="13"/>
      <c r="M95" s="13"/>
      <c r="N95" s="12"/>
      <c r="O95" s="12"/>
      <c r="P95" s="8" t="s">
        <v>37</v>
      </c>
    </row>
    <row r="96" spans="1:16" ht="24" customHeight="1" x14ac:dyDescent="0.25">
      <c r="A96" s="10">
        <v>90</v>
      </c>
      <c r="B96" s="9">
        <v>0.47986111111111113</v>
      </c>
      <c r="C96" s="5" t="s">
        <v>20</v>
      </c>
      <c r="D96" s="5">
        <v>8</v>
      </c>
      <c r="E96" s="15"/>
      <c r="F96" s="15" t="s">
        <v>23</v>
      </c>
      <c r="G96" s="13">
        <v>3220</v>
      </c>
      <c r="H96" s="13">
        <v>3120</v>
      </c>
      <c r="I96" s="13"/>
      <c r="J96" s="13"/>
      <c r="K96" s="13"/>
      <c r="L96" s="13"/>
      <c r="M96" s="13"/>
      <c r="N96" s="12"/>
      <c r="O96" s="12"/>
      <c r="P96" s="8" t="s">
        <v>37</v>
      </c>
    </row>
    <row r="97" spans="1:16" ht="24" customHeight="1" x14ac:dyDescent="0.25">
      <c r="A97" s="10">
        <v>91</v>
      </c>
      <c r="B97" s="9">
        <v>0.48125000000000001</v>
      </c>
      <c r="C97" s="5" t="s">
        <v>20</v>
      </c>
      <c r="D97" s="5">
        <v>9</v>
      </c>
      <c r="E97" s="15"/>
      <c r="F97" s="15" t="s">
        <v>30</v>
      </c>
      <c r="G97" s="13">
        <v>7960</v>
      </c>
      <c r="H97" s="13">
        <v>12820</v>
      </c>
      <c r="I97" s="13">
        <v>11920</v>
      </c>
      <c r="J97" s="13">
        <v>14660</v>
      </c>
      <c r="K97" s="13">
        <v>13160</v>
      </c>
      <c r="L97" s="13">
        <v>12280</v>
      </c>
      <c r="M97" s="13"/>
      <c r="N97" s="12"/>
      <c r="O97" s="12"/>
      <c r="P97" s="8" t="s">
        <v>42</v>
      </c>
    </row>
    <row r="98" spans="1:16" ht="24" customHeight="1" x14ac:dyDescent="0.25">
      <c r="A98" s="10">
        <v>92</v>
      </c>
      <c r="B98" s="9">
        <v>0.4826388888888889</v>
      </c>
      <c r="C98" s="5" t="s">
        <v>21</v>
      </c>
      <c r="D98" s="5">
        <v>12</v>
      </c>
      <c r="E98" s="15"/>
      <c r="F98" s="15" t="s">
        <v>26</v>
      </c>
      <c r="G98" s="13">
        <v>7740</v>
      </c>
      <c r="H98" s="13">
        <v>11920</v>
      </c>
      <c r="I98" s="13">
        <v>10700</v>
      </c>
      <c r="J98" s="13">
        <v>12700</v>
      </c>
      <c r="K98" s="13">
        <v>10920</v>
      </c>
      <c r="L98" s="13">
        <v>12520</v>
      </c>
      <c r="M98" s="13"/>
      <c r="N98" s="12"/>
      <c r="O98" s="12"/>
      <c r="P98" s="8" t="s">
        <v>42</v>
      </c>
    </row>
    <row r="99" spans="1:16" ht="24" customHeight="1" x14ac:dyDescent="0.25">
      <c r="A99" s="10">
        <v>93</v>
      </c>
      <c r="B99" s="9">
        <v>0.48333333333333334</v>
      </c>
      <c r="C99" s="5" t="s">
        <v>20</v>
      </c>
      <c r="D99" s="5">
        <v>8</v>
      </c>
      <c r="E99" s="15"/>
      <c r="F99" s="15" t="s">
        <v>23</v>
      </c>
      <c r="G99" s="13">
        <v>5780</v>
      </c>
      <c r="H99" s="13">
        <v>15020</v>
      </c>
      <c r="I99" s="13"/>
      <c r="J99" s="13"/>
      <c r="K99" s="13"/>
      <c r="L99" s="13"/>
      <c r="M99" s="13"/>
      <c r="N99" s="12"/>
      <c r="O99" s="12"/>
      <c r="P99" s="8" t="s">
        <v>41</v>
      </c>
    </row>
    <row r="100" spans="1:16" ht="24" customHeight="1" x14ac:dyDescent="0.25">
      <c r="A100" s="10">
        <v>94</v>
      </c>
      <c r="B100" s="9">
        <v>0.48541666666666666</v>
      </c>
      <c r="C100" s="5" t="s">
        <v>20</v>
      </c>
      <c r="D100" s="5">
        <v>12</v>
      </c>
      <c r="E100" s="15"/>
      <c r="F100" s="15" t="s">
        <v>26</v>
      </c>
      <c r="G100" s="13">
        <v>7360</v>
      </c>
      <c r="H100" s="13">
        <v>21840</v>
      </c>
      <c r="I100" s="13">
        <v>8640</v>
      </c>
      <c r="J100" s="13">
        <v>17020</v>
      </c>
      <c r="K100" s="13">
        <v>13260</v>
      </c>
      <c r="L100" s="13">
        <v>13160</v>
      </c>
      <c r="M100" s="13"/>
      <c r="N100" s="12"/>
      <c r="O100" s="12"/>
      <c r="P100" s="8" t="s">
        <v>40</v>
      </c>
    </row>
    <row r="101" spans="1:16" ht="24" customHeight="1" x14ac:dyDescent="0.25">
      <c r="A101" s="10">
        <v>95</v>
      </c>
      <c r="B101" s="9">
        <v>0.48680555555555555</v>
      </c>
      <c r="C101" s="5" t="s">
        <v>20</v>
      </c>
      <c r="D101" s="5">
        <v>8</v>
      </c>
      <c r="E101" s="15"/>
      <c r="F101" s="15" t="s">
        <v>23</v>
      </c>
      <c r="G101" s="13">
        <v>2500</v>
      </c>
      <c r="H101" s="13">
        <v>3720</v>
      </c>
      <c r="I101" s="13"/>
      <c r="J101" s="13"/>
      <c r="K101" s="13"/>
      <c r="L101" s="13"/>
      <c r="M101" s="13"/>
      <c r="N101" s="12"/>
      <c r="O101" s="12"/>
      <c r="P101" s="8" t="s">
        <v>37</v>
      </c>
    </row>
    <row r="102" spans="1:16" ht="24" customHeight="1" x14ac:dyDescent="0.25">
      <c r="A102" s="10">
        <v>96</v>
      </c>
      <c r="B102" s="9">
        <v>0.48680555555555555</v>
      </c>
      <c r="C102" s="5" t="s">
        <v>20</v>
      </c>
      <c r="D102" s="5">
        <v>8</v>
      </c>
      <c r="E102" s="15"/>
      <c r="F102" s="15" t="s">
        <v>23</v>
      </c>
      <c r="G102" s="13">
        <v>3080</v>
      </c>
      <c r="H102" s="13">
        <v>3420</v>
      </c>
      <c r="I102" s="13"/>
      <c r="J102" s="13"/>
      <c r="K102" s="13"/>
      <c r="L102" s="13"/>
      <c r="M102" s="13"/>
      <c r="N102" s="12"/>
      <c r="O102" s="12"/>
      <c r="P102" s="8" t="s">
        <v>37</v>
      </c>
    </row>
    <row r="103" spans="1:16" ht="24" customHeight="1" x14ac:dyDescent="0.25">
      <c r="A103" s="10">
        <v>97</v>
      </c>
      <c r="B103" s="9">
        <v>0.48888888888888887</v>
      </c>
      <c r="C103" s="5" t="s">
        <v>20</v>
      </c>
      <c r="D103" s="5">
        <v>8</v>
      </c>
      <c r="E103" s="15"/>
      <c r="F103" s="15" t="s">
        <v>23</v>
      </c>
      <c r="G103" s="13">
        <v>4100</v>
      </c>
      <c r="H103" s="13">
        <v>4300</v>
      </c>
      <c r="I103" s="13"/>
      <c r="J103" s="13"/>
      <c r="K103" s="13"/>
      <c r="L103" s="13"/>
      <c r="M103" s="13"/>
      <c r="N103" s="12"/>
      <c r="O103" s="12"/>
      <c r="P103" s="8" t="s">
        <v>41</v>
      </c>
    </row>
    <row r="104" spans="1:16" ht="24" customHeight="1" x14ac:dyDescent="0.25">
      <c r="A104" s="10">
        <v>98</v>
      </c>
      <c r="B104" s="9">
        <v>0.4916666666666667</v>
      </c>
      <c r="C104" s="5" t="s">
        <v>20</v>
      </c>
      <c r="D104" s="5">
        <v>13</v>
      </c>
      <c r="E104" s="15"/>
      <c r="F104" s="15" t="s">
        <v>24</v>
      </c>
      <c r="G104" s="13">
        <v>8780</v>
      </c>
      <c r="H104" s="13">
        <v>12200</v>
      </c>
      <c r="I104" s="13">
        <v>10740</v>
      </c>
      <c r="J104" s="13">
        <v>11520</v>
      </c>
      <c r="K104" s="13">
        <v>9860</v>
      </c>
      <c r="L104" s="13">
        <v>12980</v>
      </c>
      <c r="M104" s="13">
        <v>11300</v>
      </c>
      <c r="N104" s="12"/>
      <c r="O104" s="12"/>
      <c r="P104" s="8" t="s">
        <v>36</v>
      </c>
    </row>
    <row r="105" spans="1:16" ht="24" customHeight="1" x14ac:dyDescent="0.25">
      <c r="A105" s="10">
        <v>99</v>
      </c>
      <c r="B105" s="9">
        <v>0.49236111111111108</v>
      </c>
      <c r="C105" s="5" t="s">
        <v>20</v>
      </c>
      <c r="D105" s="5">
        <v>9</v>
      </c>
      <c r="E105" s="15"/>
      <c r="F105" s="15" t="s">
        <v>30</v>
      </c>
      <c r="G105" s="13">
        <v>4380</v>
      </c>
      <c r="H105" s="13">
        <v>3580</v>
      </c>
      <c r="I105" s="13">
        <v>3380</v>
      </c>
      <c r="J105" s="13"/>
      <c r="K105" s="13"/>
      <c r="L105" s="13"/>
      <c r="M105" s="13"/>
      <c r="N105" s="12"/>
      <c r="O105" s="12"/>
      <c r="P105" s="8" t="s">
        <v>37</v>
      </c>
    </row>
    <row r="106" spans="1:16" ht="24" customHeight="1" x14ac:dyDescent="0.25">
      <c r="A106" s="10">
        <v>100</v>
      </c>
      <c r="B106" s="9">
        <v>0.49305555555555558</v>
      </c>
      <c r="C106" s="5" t="s">
        <v>20</v>
      </c>
      <c r="D106" s="5">
        <v>8</v>
      </c>
      <c r="E106" s="15"/>
      <c r="F106" s="15" t="s">
        <v>23</v>
      </c>
      <c r="G106" s="13">
        <v>2900</v>
      </c>
      <c r="H106" s="13">
        <v>2640</v>
      </c>
      <c r="I106" s="13"/>
      <c r="J106" s="13"/>
      <c r="K106" s="13"/>
      <c r="L106" s="13"/>
      <c r="M106" s="13"/>
      <c r="N106" s="12"/>
      <c r="O106" s="12"/>
      <c r="P106" s="8" t="s">
        <v>37</v>
      </c>
    </row>
    <row r="107" spans="1:16" ht="24" customHeight="1" x14ac:dyDescent="0.25">
      <c r="A107" s="10">
        <v>101</v>
      </c>
      <c r="B107" s="9">
        <v>0.49652777777777773</v>
      </c>
      <c r="C107" s="5" t="s">
        <v>20</v>
      </c>
      <c r="D107" s="5">
        <v>8</v>
      </c>
      <c r="E107" s="15"/>
      <c r="F107" s="15" t="s">
        <v>23</v>
      </c>
      <c r="G107" s="13">
        <v>3060</v>
      </c>
      <c r="H107" s="13">
        <v>3720</v>
      </c>
      <c r="I107" s="13"/>
      <c r="J107" s="13"/>
      <c r="K107" s="13"/>
      <c r="L107" s="13"/>
      <c r="M107" s="13"/>
      <c r="N107" s="12"/>
      <c r="O107" s="12"/>
      <c r="P107" s="8" t="s">
        <v>37</v>
      </c>
    </row>
    <row r="108" spans="1:16" ht="24" customHeight="1" x14ac:dyDescent="0.25">
      <c r="A108" s="10">
        <v>102</v>
      </c>
      <c r="B108" s="9">
        <v>0.49722222222222223</v>
      </c>
      <c r="C108" s="5" t="s">
        <v>20</v>
      </c>
      <c r="D108" s="5">
        <v>8</v>
      </c>
      <c r="E108" s="15"/>
      <c r="F108" s="15" t="s">
        <v>23</v>
      </c>
      <c r="G108" s="13">
        <v>3040</v>
      </c>
      <c r="H108" s="13">
        <v>3200</v>
      </c>
      <c r="I108" s="13"/>
      <c r="J108" s="13"/>
      <c r="K108" s="13"/>
      <c r="L108" s="13"/>
      <c r="M108" s="13"/>
      <c r="N108" s="12"/>
      <c r="O108" s="12"/>
      <c r="P108" s="8" t="s">
        <v>37</v>
      </c>
    </row>
    <row r="109" spans="1:16" ht="24" customHeight="1" x14ac:dyDescent="0.25">
      <c r="A109" s="10">
        <v>103</v>
      </c>
      <c r="B109" s="9">
        <v>0.49791666666666662</v>
      </c>
      <c r="C109" s="5" t="s">
        <v>20</v>
      </c>
      <c r="D109" s="5">
        <v>8</v>
      </c>
      <c r="E109" s="15"/>
      <c r="F109" s="15" t="s">
        <v>23</v>
      </c>
      <c r="G109" s="13">
        <v>3220</v>
      </c>
      <c r="H109" s="13">
        <v>3040</v>
      </c>
      <c r="I109" s="13"/>
      <c r="J109" s="13"/>
      <c r="K109" s="13"/>
      <c r="L109" s="13"/>
      <c r="M109" s="13"/>
      <c r="N109" s="12"/>
      <c r="O109" s="12"/>
      <c r="P109" s="8" t="s">
        <v>37</v>
      </c>
    </row>
    <row r="110" spans="1:16" ht="24" customHeight="1" x14ac:dyDescent="0.25">
      <c r="A110" s="10">
        <v>104</v>
      </c>
      <c r="B110" s="9">
        <v>0.50069444444444444</v>
      </c>
      <c r="C110" s="5" t="s">
        <v>20</v>
      </c>
      <c r="D110" s="5">
        <v>12</v>
      </c>
      <c r="E110" s="15"/>
      <c r="F110" s="15" t="s">
        <v>27</v>
      </c>
      <c r="G110" s="13">
        <v>5040</v>
      </c>
      <c r="H110" s="13">
        <v>10430</v>
      </c>
      <c r="I110" s="13">
        <v>12760</v>
      </c>
      <c r="J110" s="13">
        <v>11980</v>
      </c>
      <c r="K110" s="13">
        <v>11460</v>
      </c>
      <c r="L110" s="13">
        <v>12920</v>
      </c>
      <c r="M110" s="13"/>
      <c r="N110" s="12"/>
      <c r="O110" s="12"/>
      <c r="P110" s="8" t="s">
        <v>37</v>
      </c>
    </row>
    <row r="111" spans="1:16" ht="24" customHeight="1" x14ac:dyDescent="0.25">
      <c r="A111" s="10">
        <v>105</v>
      </c>
      <c r="B111" s="9">
        <v>0.50277777777777777</v>
      </c>
      <c r="C111" s="5" t="s">
        <v>20</v>
      </c>
      <c r="D111" s="5">
        <v>8</v>
      </c>
      <c r="E111" s="15"/>
      <c r="F111" s="15" t="s">
        <v>23</v>
      </c>
      <c r="G111" s="13">
        <v>3500</v>
      </c>
      <c r="H111" s="13">
        <v>3600</v>
      </c>
      <c r="I111" s="13"/>
      <c r="J111" s="13"/>
      <c r="K111" s="13"/>
      <c r="L111" s="13"/>
      <c r="M111" s="13"/>
      <c r="N111" s="12"/>
      <c r="O111" s="12"/>
      <c r="P111" s="8" t="s">
        <v>37</v>
      </c>
    </row>
    <row r="112" spans="1:16" ht="24" customHeight="1" x14ac:dyDescent="0.25">
      <c r="A112" s="10">
        <v>106</v>
      </c>
      <c r="B112" s="9">
        <v>0.50277777777777777</v>
      </c>
      <c r="C112" s="5" t="s">
        <v>20</v>
      </c>
      <c r="D112" s="5">
        <v>8</v>
      </c>
      <c r="E112" s="15"/>
      <c r="F112" s="15" t="s">
        <v>23</v>
      </c>
      <c r="G112" s="13">
        <v>3500</v>
      </c>
      <c r="H112" s="13">
        <v>3640</v>
      </c>
      <c r="I112" s="13"/>
      <c r="J112" s="13"/>
      <c r="K112" s="13"/>
      <c r="L112" s="13"/>
      <c r="M112" s="13"/>
      <c r="N112" s="12"/>
      <c r="O112" s="12"/>
      <c r="P112" s="8" t="s">
        <v>37</v>
      </c>
    </row>
    <row r="113" spans="1:16" ht="24" customHeight="1" x14ac:dyDescent="0.25">
      <c r="A113" s="10">
        <v>107</v>
      </c>
      <c r="B113" s="9">
        <v>0.50694444444444442</v>
      </c>
      <c r="C113" s="5" t="s">
        <v>20</v>
      </c>
      <c r="D113" s="5">
        <v>9</v>
      </c>
      <c r="E113" s="15"/>
      <c r="F113" s="15" t="s">
        <v>30</v>
      </c>
      <c r="G113" s="13">
        <v>7980</v>
      </c>
      <c r="H113" s="13">
        <v>15680</v>
      </c>
      <c r="I113" s="13">
        <v>16060</v>
      </c>
      <c r="J113" s="13"/>
      <c r="K113" s="13"/>
      <c r="L113" s="13"/>
      <c r="M113" s="13"/>
      <c r="N113" s="12"/>
      <c r="O113" s="12"/>
      <c r="P113" s="8" t="s">
        <v>41</v>
      </c>
    </row>
    <row r="114" spans="1:16" ht="24" customHeight="1" x14ac:dyDescent="0.25">
      <c r="A114" s="10">
        <v>108</v>
      </c>
      <c r="B114" s="9">
        <v>0.50902777777777775</v>
      </c>
      <c r="C114" s="5" t="s">
        <v>20</v>
      </c>
      <c r="D114" s="5">
        <v>8</v>
      </c>
      <c r="E114" s="15"/>
      <c r="F114" s="15" t="s">
        <v>23</v>
      </c>
      <c r="G114" s="13">
        <v>3520</v>
      </c>
      <c r="H114" s="13">
        <v>3580</v>
      </c>
      <c r="I114" s="13"/>
      <c r="J114" s="13"/>
      <c r="K114" s="13"/>
      <c r="L114" s="13"/>
      <c r="M114" s="13"/>
      <c r="N114" s="12"/>
      <c r="O114" s="12"/>
      <c r="P114" s="8" t="s">
        <v>37</v>
      </c>
    </row>
    <row r="115" spans="1:16" ht="24" customHeight="1" x14ac:dyDescent="0.25">
      <c r="A115" s="10">
        <v>109</v>
      </c>
      <c r="B115" s="9">
        <v>0.51041666666666663</v>
      </c>
      <c r="C115" s="5" t="s">
        <v>20</v>
      </c>
      <c r="D115" s="5">
        <v>12</v>
      </c>
      <c r="E115" s="15"/>
      <c r="F115" s="15" t="s">
        <v>26</v>
      </c>
      <c r="G115" s="13">
        <v>8020</v>
      </c>
      <c r="H115" s="13">
        <v>10860</v>
      </c>
      <c r="I115" s="13">
        <v>10000</v>
      </c>
      <c r="J115" s="13">
        <v>12320</v>
      </c>
      <c r="K115" s="13">
        <v>9680</v>
      </c>
      <c r="L115" s="13">
        <v>12460</v>
      </c>
      <c r="M115" s="13"/>
      <c r="N115" s="12"/>
      <c r="O115" s="12"/>
      <c r="P115" s="8" t="s">
        <v>36</v>
      </c>
    </row>
    <row r="116" spans="1:16" ht="24" customHeight="1" x14ac:dyDescent="0.25">
      <c r="A116" s="10">
        <v>110</v>
      </c>
      <c r="B116" s="9">
        <v>0.51180555555555551</v>
      </c>
      <c r="C116" s="5" t="s">
        <v>20</v>
      </c>
      <c r="D116" s="5">
        <v>5</v>
      </c>
      <c r="E116" s="15"/>
      <c r="F116" s="15" t="s">
        <v>23</v>
      </c>
      <c r="G116" s="13">
        <v>10520</v>
      </c>
      <c r="H116" s="13">
        <v>16620</v>
      </c>
      <c r="I116" s="13"/>
      <c r="J116" s="13"/>
      <c r="K116" s="13"/>
      <c r="L116" s="13"/>
      <c r="M116" s="13"/>
      <c r="N116" s="12"/>
      <c r="O116" s="12"/>
      <c r="P116" s="8" t="s">
        <v>35</v>
      </c>
    </row>
    <row r="117" spans="1:16" ht="24" customHeight="1" x14ac:dyDescent="0.25">
      <c r="A117" s="10">
        <v>111</v>
      </c>
      <c r="B117" s="9">
        <v>0.52083333333333337</v>
      </c>
      <c r="C117" s="5" t="s">
        <v>20</v>
      </c>
      <c r="D117" s="5">
        <v>8</v>
      </c>
      <c r="E117" s="15"/>
      <c r="F117" s="15" t="s">
        <v>23</v>
      </c>
      <c r="G117" s="13">
        <v>2620</v>
      </c>
      <c r="H117" s="13">
        <v>2040</v>
      </c>
      <c r="I117" s="13"/>
      <c r="J117" s="13"/>
      <c r="K117" s="13"/>
      <c r="L117" s="13"/>
      <c r="M117" s="13"/>
      <c r="N117" s="12"/>
      <c r="O117" s="12"/>
      <c r="P117" s="8" t="s">
        <v>37</v>
      </c>
    </row>
    <row r="118" spans="1:16" ht="24" customHeight="1" x14ac:dyDescent="0.25">
      <c r="A118" s="10">
        <v>112</v>
      </c>
      <c r="B118" s="9">
        <v>4.7222222222222221E-2</v>
      </c>
      <c r="C118" s="5" t="s">
        <v>20</v>
      </c>
      <c r="D118" s="5">
        <v>8</v>
      </c>
      <c r="E118" s="15"/>
      <c r="F118" s="15" t="s">
        <v>23</v>
      </c>
      <c r="G118" s="13">
        <v>2980</v>
      </c>
      <c r="H118" s="13">
        <v>3220</v>
      </c>
      <c r="I118" s="13"/>
      <c r="J118" s="13"/>
      <c r="K118" s="13"/>
      <c r="L118" s="13"/>
      <c r="M118" s="13"/>
      <c r="N118" s="12"/>
      <c r="O118" s="12"/>
      <c r="P118" s="8" t="s">
        <v>36</v>
      </c>
    </row>
    <row r="119" spans="1:16" ht="24" customHeight="1" x14ac:dyDescent="0.25">
      <c r="A119" s="10">
        <v>113</v>
      </c>
      <c r="B119" s="9">
        <v>4.7916666666666663E-2</v>
      </c>
      <c r="C119" s="5" t="s">
        <v>20</v>
      </c>
      <c r="D119" s="5">
        <v>12</v>
      </c>
      <c r="E119" s="15"/>
      <c r="F119" s="15" t="s">
        <v>26</v>
      </c>
      <c r="G119" s="13">
        <v>8460</v>
      </c>
      <c r="H119" s="13">
        <v>14300</v>
      </c>
      <c r="I119" s="13">
        <v>14180</v>
      </c>
      <c r="J119" s="13">
        <v>13140</v>
      </c>
      <c r="K119" s="13">
        <v>13300</v>
      </c>
      <c r="L119" s="13">
        <v>19360</v>
      </c>
      <c r="M119" s="13"/>
      <c r="N119" s="12"/>
      <c r="O119" s="12"/>
      <c r="P119" s="8" t="s">
        <v>40</v>
      </c>
    </row>
    <row r="120" spans="1:16" ht="24" customHeight="1" x14ac:dyDescent="0.25">
      <c r="A120" s="10">
        <v>114</v>
      </c>
      <c r="B120" s="9">
        <v>4.9999999999999996E-2</v>
      </c>
      <c r="C120" s="5" t="s">
        <v>20</v>
      </c>
      <c r="D120" s="5">
        <v>8</v>
      </c>
      <c r="E120" s="15"/>
      <c r="F120" s="15" t="s">
        <v>23</v>
      </c>
      <c r="G120" s="13">
        <v>5500</v>
      </c>
      <c r="H120" s="13">
        <v>6840</v>
      </c>
      <c r="I120" s="13"/>
      <c r="J120" s="13"/>
      <c r="K120" s="13"/>
      <c r="L120" s="13"/>
      <c r="M120" s="13"/>
      <c r="N120" s="12"/>
      <c r="O120" s="12"/>
      <c r="P120" s="8" t="s">
        <v>38</v>
      </c>
    </row>
    <row r="121" spans="1:16" ht="24" customHeight="1" x14ac:dyDescent="0.25">
      <c r="A121" s="10">
        <v>115</v>
      </c>
      <c r="B121" s="9">
        <v>5.4166666666666669E-2</v>
      </c>
      <c r="C121" s="5" t="s">
        <v>20</v>
      </c>
      <c r="D121" s="5">
        <v>10</v>
      </c>
      <c r="E121" s="15"/>
      <c r="F121" s="15" t="s">
        <v>34</v>
      </c>
      <c r="G121" s="13">
        <v>7020</v>
      </c>
      <c r="H121" s="13">
        <v>25480</v>
      </c>
      <c r="I121" s="13">
        <v>16000</v>
      </c>
      <c r="J121" s="13">
        <v>4000</v>
      </c>
      <c r="K121" s="13"/>
      <c r="L121" s="13"/>
      <c r="M121" s="13"/>
      <c r="N121" s="12"/>
      <c r="O121" s="12"/>
      <c r="P121" s="8" t="s">
        <v>35</v>
      </c>
    </row>
    <row r="122" spans="1:16" ht="24" customHeight="1" x14ac:dyDescent="0.25">
      <c r="A122" s="10">
        <v>116</v>
      </c>
      <c r="B122" s="9">
        <v>5.486111111111111E-2</v>
      </c>
      <c r="C122" s="5" t="s">
        <v>20</v>
      </c>
      <c r="D122" s="5">
        <v>9</v>
      </c>
      <c r="E122" s="15"/>
      <c r="F122" s="15" t="s">
        <v>30</v>
      </c>
      <c r="G122" s="13">
        <v>7960</v>
      </c>
      <c r="H122" s="13">
        <v>5720</v>
      </c>
      <c r="I122" s="13">
        <v>5380</v>
      </c>
      <c r="J122" s="13"/>
      <c r="K122" s="13"/>
      <c r="L122" s="13"/>
      <c r="M122" s="13"/>
      <c r="N122" s="12"/>
      <c r="O122" s="12"/>
      <c r="P122" s="8" t="s">
        <v>37</v>
      </c>
    </row>
    <row r="123" spans="1:16" ht="24" customHeight="1" x14ac:dyDescent="0.25">
      <c r="A123" s="10">
        <v>117</v>
      </c>
      <c r="B123" s="9">
        <v>5.5555555555555552E-2</v>
      </c>
      <c r="C123" s="5" t="s">
        <v>20</v>
      </c>
      <c r="D123" s="5">
        <v>8</v>
      </c>
      <c r="E123" s="15"/>
      <c r="F123" s="15" t="s">
        <v>23</v>
      </c>
      <c r="G123" s="13">
        <v>3380</v>
      </c>
      <c r="H123" s="13">
        <v>3460</v>
      </c>
      <c r="I123" s="13"/>
      <c r="J123" s="13"/>
      <c r="K123" s="13"/>
      <c r="L123" s="13"/>
      <c r="M123" s="13"/>
      <c r="N123" s="12"/>
      <c r="O123" s="12"/>
      <c r="P123" s="8" t="s">
        <v>37</v>
      </c>
    </row>
    <row r="124" spans="1:16" ht="24" customHeight="1" x14ac:dyDescent="0.25">
      <c r="A124" s="10">
        <v>118</v>
      </c>
      <c r="B124" s="9">
        <v>5.6944444444444443E-2</v>
      </c>
      <c r="C124" s="5" t="s">
        <v>20</v>
      </c>
      <c r="D124" s="5">
        <v>12</v>
      </c>
      <c r="E124" s="15"/>
      <c r="F124" s="15" t="s">
        <v>26</v>
      </c>
      <c r="G124" s="13">
        <v>8440</v>
      </c>
      <c r="H124" s="13">
        <v>16180</v>
      </c>
      <c r="I124" s="13">
        <v>15120</v>
      </c>
      <c r="J124" s="13">
        <v>20120</v>
      </c>
      <c r="K124" s="13">
        <v>14580</v>
      </c>
      <c r="L124" s="13">
        <v>15000</v>
      </c>
      <c r="M124" s="13"/>
      <c r="N124" s="12"/>
      <c r="O124" s="12"/>
      <c r="P124" s="8" t="s">
        <v>40</v>
      </c>
    </row>
    <row r="125" spans="1:16" ht="24" customHeight="1" x14ac:dyDescent="0.25">
      <c r="A125" s="10">
        <v>119</v>
      </c>
      <c r="B125" s="9">
        <v>5.7638888888888885E-2</v>
      </c>
      <c r="C125" s="5" t="s">
        <v>20</v>
      </c>
      <c r="D125" s="5">
        <v>5</v>
      </c>
      <c r="E125" s="15"/>
      <c r="F125" s="15" t="s">
        <v>23</v>
      </c>
      <c r="G125" s="13">
        <v>10500</v>
      </c>
      <c r="H125" s="13">
        <v>14820</v>
      </c>
      <c r="I125" s="13"/>
      <c r="J125" s="13"/>
      <c r="K125" s="13"/>
      <c r="L125" s="13"/>
      <c r="M125" s="13"/>
      <c r="N125" s="12"/>
      <c r="O125" s="12"/>
      <c r="P125" s="8" t="s">
        <v>35</v>
      </c>
    </row>
    <row r="126" spans="1:16" ht="24" customHeight="1" x14ac:dyDescent="0.25">
      <c r="A126" s="10">
        <v>120</v>
      </c>
      <c r="B126" s="9">
        <v>5.9027777777777783E-2</v>
      </c>
      <c r="C126" s="5" t="s">
        <v>20</v>
      </c>
      <c r="D126" s="5">
        <v>9</v>
      </c>
      <c r="E126" s="15"/>
      <c r="F126" s="15" t="s">
        <v>30</v>
      </c>
      <c r="G126" s="13">
        <v>7500</v>
      </c>
      <c r="H126" s="13">
        <v>5840</v>
      </c>
      <c r="I126" s="13">
        <v>5540</v>
      </c>
      <c r="J126" s="13"/>
      <c r="K126" s="13"/>
      <c r="L126" s="13"/>
      <c r="M126" s="13"/>
      <c r="N126" s="12"/>
      <c r="O126" s="12"/>
      <c r="P126" s="8" t="s">
        <v>40</v>
      </c>
    </row>
    <row r="127" spans="1:16" ht="24" customHeight="1" x14ac:dyDescent="0.25">
      <c r="A127" s="10">
        <v>121</v>
      </c>
      <c r="B127" s="9">
        <v>6.1805555555555558E-2</v>
      </c>
      <c r="C127" s="5" t="s">
        <v>20</v>
      </c>
      <c r="D127" s="5">
        <v>8</v>
      </c>
      <c r="E127" s="15"/>
      <c r="F127" s="15" t="s">
        <v>23</v>
      </c>
      <c r="G127" s="13">
        <v>3240</v>
      </c>
      <c r="H127" s="13">
        <v>3120</v>
      </c>
      <c r="I127" s="13"/>
      <c r="J127" s="13"/>
      <c r="K127" s="13"/>
      <c r="L127" s="13"/>
      <c r="M127" s="13"/>
      <c r="N127" s="12"/>
      <c r="O127" s="12"/>
      <c r="P127" s="8" t="s">
        <v>37</v>
      </c>
    </row>
    <row r="128" spans="1:16" ht="24" customHeight="1" x14ac:dyDescent="0.25">
      <c r="A128" s="10">
        <v>122</v>
      </c>
      <c r="B128" s="9">
        <v>6.5277777777777782E-2</v>
      </c>
      <c r="C128" s="5" t="s">
        <v>20</v>
      </c>
      <c r="D128" s="5">
        <v>8</v>
      </c>
      <c r="E128" s="15"/>
      <c r="F128" s="15" t="s">
        <v>23</v>
      </c>
      <c r="G128" s="13">
        <v>3280</v>
      </c>
      <c r="H128" s="13">
        <v>3040</v>
      </c>
      <c r="I128" s="13"/>
      <c r="J128" s="13"/>
      <c r="K128" s="13"/>
      <c r="L128" s="13"/>
      <c r="M128" s="13"/>
      <c r="N128" s="12"/>
      <c r="O128" s="12"/>
      <c r="P128" s="8" t="s">
        <v>37</v>
      </c>
    </row>
    <row r="129" spans="1:16" ht="24" customHeight="1" x14ac:dyDescent="0.25">
      <c r="A129" s="10">
        <v>123</v>
      </c>
      <c r="B129" s="9">
        <v>6.5972222222222224E-2</v>
      </c>
      <c r="C129" s="5" t="s">
        <v>20</v>
      </c>
      <c r="D129" s="5">
        <v>8</v>
      </c>
      <c r="E129" s="15"/>
      <c r="F129" s="15" t="s">
        <v>23</v>
      </c>
      <c r="G129" s="13">
        <v>2680</v>
      </c>
      <c r="H129" s="13">
        <v>2440</v>
      </c>
      <c r="I129" s="13"/>
      <c r="J129" s="13"/>
      <c r="K129" s="13"/>
      <c r="L129" s="13"/>
      <c r="M129" s="13"/>
      <c r="N129" s="12"/>
      <c r="O129" s="12"/>
      <c r="P129" s="8" t="s">
        <v>37</v>
      </c>
    </row>
    <row r="130" spans="1:16" ht="24" customHeight="1" x14ac:dyDescent="0.25">
      <c r="A130" s="10">
        <v>124</v>
      </c>
      <c r="B130" s="9">
        <v>6.6666666666666666E-2</v>
      </c>
      <c r="C130" s="5" t="s">
        <v>20</v>
      </c>
      <c r="D130" s="5">
        <v>8</v>
      </c>
      <c r="E130" s="15"/>
      <c r="F130" s="15" t="s">
        <v>23</v>
      </c>
      <c r="G130" s="13">
        <v>6180</v>
      </c>
      <c r="H130" s="13">
        <v>21340</v>
      </c>
      <c r="I130" s="13"/>
      <c r="J130" s="13"/>
      <c r="K130" s="13"/>
      <c r="L130" s="13"/>
      <c r="M130" s="13"/>
      <c r="N130" s="12"/>
      <c r="O130" s="12"/>
      <c r="P130" s="8" t="s">
        <v>43</v>
      </c>
    </row>
    <row r="131" spans="1:16" ht="24" customHeight="1" x14ac:dyDescent="0.25">
      <c r="A131" s="10">
        <v>125</v>
      </c>
      <c r="B131" s="9">
        <v>6.805555555555555E-2</v>
      </c>
      <c r="C131" s="5" t="s">
        <v>20</v>
      </c>
      <c r="D131" s="5">
        <v>8</v>
      </c>
      <c r="E131" s="15"/>
      <c r="F131" s="15" t="s">
        <v>23</v>
      </c>
      <c r="G131" s="13">
        <v>3340</v>
      </c>
      <c r="H131" s="13">
        <v>4540</v>
      </c>
      <c r="I131" s="13"/>
      <c r="J131" s="13"/>
      <c r="K131" s="13"/>
      <c r="L131" s="13"/>
      <c r="M131" s="13"/>
      <c r="N131" s="12"/>
      <c r="O131" s="12"/>
      <c r="P131" s="8" t="s">
        <v>40</v>
      </c>
    </row>
    <row r="132" spans="1:16" ht="24" customHeight="1" x14ac:dyDescent="0.25">
      <c r="A132" s="10">
        <v>126</v>
      </c>
      <c r="B132" s="9">
        <v>6.8749999999999992E-2</v>
      </c>
      <c r="C132" s="5" t="s">
        <v>20</v>
      </c>
      <c r="D132" s="5">
        <v>8</v>
      </c>
      <c r="E132" s="15"/>
      <c r="F132" s="15" t="s">
        <v>23</v>
      </c>
      <c r="G132" s="13">
        <v>3320</v>
      </c>
      <c r="H132" s="13">
        <v>1560</v>
      </c>
      <c r="I132" s="13"/>
      <c r="J132" s="13"/>
      <c r="K132" s="13"/>
      <c r="L132" s="13"/>
      <c r="M132" s="13"/>
      <c r="N132" s="12"/>
      <c r="O132" s="12"/>
      <c r="P132" s="8" t="s">
        <v>37</v>
      </c>
    </row>
    <row r="133" spans="1:16" ht="24" customHeight="1" x14ac:dyDescent="0.25">
      <c r="A133" s="10">
        <v>127</v>
      </c>
      <c r="B133" s="9">
        <v>6.9444444444444434E-2</v>
      </c>
      <c r="C133" s="5" t="s">
        <v>20</v>
      </c>
      <c r="D133" s="5">
        <v>12</v>
      </c>
      <c r="E133" s="15"/>
      <c r="F133" s="15" t="s">
        <v>26</v>
      </c>
      <c r="G133" s="13">
        <v>7740</v>
      </c>
      <c r="H133" s="13">
        <v>13400</v>
      </c>
      <c r="I133" s="13">
        <v>13280</v>
      </c>
      <c r="J133" s="13">
        <v>22240</v>
      </c>
      <c r="K133" s="13">
        <v>15580</v>
      </c>
      <c r="L133" s="13">
        <v>14080</v>
      </c>
      <c r="M133" s="13"/>
      <c r="N133" s="12"/>
      <c r="O133" s="12"/>
      <c r="P133" s="8" t="s">
        <v>36</v>
      </c>
    </row>
    <row r="134" spans="1:16" ht="24" customHeight="1" x14ac:dyDescent="0.25">
      <c r="A134" s="10">
        <v>128</v>
      </c>
      <c r="B134" s="9">
        <v>7.1527777777777787E-2</v>
      </c>
      <c r="C134" s="5" t="s">
        <v>20</v>
      </c>
      <c r="D134" s="5">
        <v>8</v>
      </c>
      <c r="E134" s="15"/>
      <c r="F134" s="15" t="s">
        <v>23</v>
      </c>
      <c r="G134" s="13">
        <v>2720</v>
      </c>
      <c r="H134" s="13">
        <v>2560</v>
      </c>
      <c r="I134" s="13"/>
      <c r="J134" s="13"/>
      <c r="K134" s="13"/>
      <c r="L134" s="13"/>
      <c r="M134" s="13"/>
      <c r="N134" s="12"/>
      <c r="O134" s="12"/>
      <c r="P134" s="8" t="s">
        <v>37</v>
      </c>
    </row>
    <row r="135" spans="1:16" ht="24" customHeight="1" x14ac:dyDescent="0.25">
      <c r="A135" s="10">
        <v>129</v>
      </c>
      <c r="B135" s="9">
        <v>7.2222222222222229E-2</v>
      </c>
      <c r="C135" s="5" t="s">
        <v>20</v>
      </c>
      <c r="D135" s="5">
        <v>12</v>
      </c>
      <c r="E135" s="15"/>
      <c r="F135" s="15" t="s">
        <v>32</v>
      </c>
      <c r="G135" s="13">
        <v>8840</v>
      </c>
      <c r="H135" s="13">
        <v>14220</v>
      </c>
      <c r="I135" s="13">
        <v>14520</v>
      </c>
      <c r="J135" s="13">
        <v>13860</v>
      </c>
      <c r="K135" s="13">
        <v>13720</v>
      </c>
      <c r="L135" s="13">
        <v>15780</v>
      </c>
      <c r="M135" s="13"/>
      <c r="N135" s="12"/>
      <c r="O135" s="12"/>
      <c r="P135" s="8" t="s">
        <v>36</v>
      </c>
    </row>
    <row r="136" spans="1:16" ht="24" customHeight="1" x14ac:dyDescent="0.25">
      <c r="A136" s="10">
        <v>130</v>
      </c>
      <c r="B136" s="9">
        <v>7.2916666666666671E-2</v>
      </c>
      <c r="C136" s="5" t="s">
        <v>20</v>
      </c>
      <c r="D136" s="5">
        <v>8</v>
      </c>
      <c r="E136" s="15"/>
      <c r="F136" s="15" t="s">
        <v>23</v>
      </c>
      <c r="G136" s="13">
        <v>3460</v>
      </c>
      <c r="H136" s="13">
        <v>4440</v>
      </c>
      <c r="I136" s="13"/>
      <c r="J136" s="13"/>
      <c r="K136" s="13"/>
      <c r="L136" s="13"/>
      <c r="M136" s="13"/>
      <c r="N136" s="12"/>
      <c r="O136" s="12"/>
      <c r="P136" s="8" t="s">
        <v>36</v>
      </c>
    </row>
    <row r="137" spans="1:16" ht="24" customHeight="1" x14ac:dyDescent="0.25">
      <c r="A137" s="10">
        <v>131</v>
      </c>
      <c r="B137" s="9">
        <v>7.2916666666666671E-2</v>
      </c>
      <c r="C137" s="5" t="s">
        <v>20</v>
      </c>
      <c r="D137" s="5">
        <v>8</v>
      </c>
      <c r="E137" s="15"/>
      <c r="F137" s="15" t="s">
        <v>23</v>
      </c>
      <c r="G137" s="13">
        <v>2500</v>
      </c>
      <c r="H137" s="13">
        <v>2640</v>
      </c>
      <c r="I137" s="13"/>
      <c r="J137" s="13"/>
      <c r="K137" s="13"/>
      <c r="L137" s="13"/>
      <c r="M137" s="13"/>
      <c r="N137" s="12"/>
      <c r="O137" s="12"/>
      <c r="P137" s="8" t="s">
        <v>36</v>
      </c>
    </row>
    <row r="138" spans="1:16" ht="24" customHeight="1" x14ac:dyDescent="0.25">
      <c r="A138" s="10">
        <v>132</v>
      </c>
      <c r="B138" s="9">
        <v>7.3611111111111113E-2</v>
      </c>
      <c r="C138" s="5" t="s">
        <v>20</v>
      </c>
      <c r="D138" s="5">
        <v>8</v>
      </c>
      <c r="E138" s="15"/>
      <c r="F138" s="15" t="s">
        <v>23</v>
      </c>
      <c r="G138" s="13">
        <v>3100</v>
      </c>
      <c r="H138" s="13">
        <v>2940</v>
      </c>
      <c r="I138" s="13"/>
      <c r="J138" s="13"/>
      <c r="K138" s="13"/>
      <c r="L138" s="13"/>
      <c r="M138" s="13"/>
      <c r="N138" s="12"/>
      <c r="O138" s="12"/>
      <c r="P138" s="8" t="s">
        <v>37</v>
      </c>
    </row>
    <row r="139" spans="1:16" ht="24" customHeight="1" x14ac:dyDescent="0.25">
      <c r="A139" s="10">
        <v>133</v>
      </c>
      <c r="B139" s="9">
        <v>7.4305555555555555E-2</v>
      </c>
      <c r="C139" s="5" t="s">
        <v>20</v>
      </c>
      <c r="D139" s="5">
        <v>5</v>
      </c>
      <c r="E139" s="15"/>
      <c r="F139" s="15" t="s">
        <v>23</v>
      </c>
      <c r="G139" s="13">
        <v>8920</v>
      </c>
      <c r="H139" s="13">
        <v>16420</v>
      </c>
      <c r="I139" s="13"/>
      <c r="J139" s="13"/>
      <c r="K139" s="13"/>
      <c r="L139" s="13"/>
      <c r="M139" s="13"/>
      <c r="N139" s="12"/>
      <c r="O139" s="12"/>
      <c r="P139" s="8" t="s">
        <v>35</v>
      </c>
    </row>
    <row r="140" spans="1:16" ht="24" customHeight="1" x14ac:dyDescent="0.25">
      <c r="A140" s="10">
        <v>134</v>
      </c>
      <c r="B140" s="9">
        <v>7.4999999999999997E-2</v>
      </c>
      <c r="C140" s="5" t="s">
        <v>20</v>
      </c>
      <c r="D140" s="5">
        <v>8</v>
      </c>
      <c r="E140" s="15"/>
      <c r="F140" s="15" t="s">
        <v>23</v>
      </c>
      <c r="G140" s="13">
        <v>2800</v>
      </c>
      <c r="H140" s="13">
        <v>2600</v>
      </c>
      <c r="I140" s="13"/>
      <c r="J140" s="13"/>
      <c r="K140" s="13"/>
      <c r="L140" s="13"/>
      <c r="M140" s="13"/>
      <c r="N140" s="12"/>
      <c r="O140" s="12"/>
      <c r="P140" s="8" t="s">
        <v>37</v>
      </c>
    </row>
    <row r="141" spans="1:16" ht="24" customHeight="1" x14ac:dyDescent="0.25">
      <c r="A141" s="10">
        <v>135</v>
      </c>
      <c r="B141" s="9">
        <v>7.6388888888888895E-2</v>
      </c>
      <c r="C141" s="5" t="s">
        <v>20</v>
      </c>
      <c r="D141" s="5">
        <v>9</v>
      </c>
      <c r="E141" s="15"/>
      <c r="F141" s="15" t="s">
        <v>30</v>
      </c>
      <c r="G141" s="13">
        <v>6480</v>
      </c>
      <c r="H141" s="13">
        <v>6080</v>
      </c>
      <c r="I141" s="13">
        <v>6300</v>
      </c>
      <c r="J141" s="13"/>
      <c r="K141" s="13"/>
      <c r="L141" s="13"/>
      <c r="M141" s="13"/>
      <c r="N141" s="12"/>
      <c r="O141" s="12"/>
      <c r="P141" s="8" t="s">
        <v>35</v>
      </c>
    </row>
    <row r="142" spans="1:16" ht="24" customHeight="1" x14ac:dyDescent="0.25">
      <c r="A142" s="10">
        <v>136</v>
      </c>
      <c r="B142" s="9">
        <v>7.7777777777777779E-2</v>
      </c>
      <c r="C142" s="5" t="s">
        <v>20</v>
      </c>
      <c r="D142" s="5">
        <v>8</v>
      </c>
      <c r="E142" s="15"/>
      <c r="F142" s="15" t="s">
        <v>23</v>
      </c>
      <c r="G142" s="13">
        <v>2700</v>
      </c>
      <c r="H142" s="13">
        <v>3160</v>
      </c>
      <c r="I142" s="13"/>
      <c r="J142" s="13"/>
      <c r="K142" s="13"/>
      <c r="L142" s="13"/>
      <c r="M142" s="13"/>
      <c r="N142" s="12"/>
      <c r="O142" s="12"/>
      <c r="P142" s="8" t="s">
        <v>35</v>
      </c>
    </row>
    <row r="143" spans="1:16" ht="24" customHeight="1" x14ac:dyDescent="0.25">
      <c r="A143" s="10">
        <v>137</v>
      </c>
      <c r="B143" s="9">
        <v>7.9861111111111105E-2</v>
      </c>
      <c r="C143" s="5" t="s">
        <v>20</v>
      </c>
      <c r="D143" s="5">
        <v>12</v>
      </c>
      <c r="E143" s="15"/>
      <c r="F143" s="15" t="s">
        <v>27</v>
      </c>
      <c r="G143" s="13">
        <v>7680</v>
      </c>
      <c r="H143" s="13">
        <v>8800</v>
      </c>
      <c r="I143" s="13">
        <v>14520</v>
      </c>
      <c r="J143" s="13">
        <v>17660</v>
      </c>
      <c r="K143" s="13">
        <v>15040</v>
      </c>
      <c r="L143" s="13">
        <v>14040</v>
      </c>
      <c r="M143" s="13"/>
      <c r="N143" s="12"/>
      <c r="O143" s="12"/>
      <c r="P143" s="8" t="s">
        <v>40</v>
      </c>
    </row>
    <row r="144" spans="1:16" ht="24" customHeight="1" x14ac:dyDescent="0.25">
      <c r="A144" s="10">
        <v>138</v>
      </c>
      <c r="B144" s="9"/>
      <c r="C144" s="5" t="s">
        <v>20</v>
      </c>
      <c r="D144" s="5">
        <v>12</v>
      </c>
      <c r="E144" s="15"/>
      <c r="F144" s="15" t="s">
        <v>26</v>
      </c>
      <c r="G144" s="13">
        <v>9360</v>
      </c>
      <c r="H144" s="13">
        <v>15200</v>
      </c>
      <c r="I144" s="13">
        <v>13640</v>
      </c>
      <c r="J144" s="13">
        <v>13780</v>
      </c>
      <c r="K144" s="13">
        <v>13640</v>
      </c>
      <c r="L144" s="13">
        <v>16680</v>
      </c>
      <c r="M144" s="13"/>
      <c r="N144" s="12"/>
      <c r="O144" s="12"/>
      <c r="P144" s="8" t="s">
        <v>40</v>
      </c>
    </row>
    <row r="145" spans="1:16" ht="24" customHeight="1" x14ac:dyDescent="0.25">
      <c r="A145" s="10">
        <v>139</v>
      </c>
      <c r="B145" s="9">
        <v>8.2638888888888887E-2</v>
      </c>
      <c r="C145" s="5" t="s">
        <v>20</v>
      </c>
      <c r="D145" s="5">
        <v>8</v>
      </c>
      <c r="E145" s="15"/>
      <c r="F145" s="15" t="s">
        <v>23</v>
      </c>
      <c r="G145" s="13">
        <v>8740</v>
      </c>
      <c r="H145" s="13">
        <v>16060</v>
      </c>
      <c r="I145" s="13"/>
      <c r="J145" s="13"/>
      <c r="K145" s="13"/>
      <c r="L145" s="13"/>
      <c r="M145" s="13"/>
      <c r="N145" s="12"/>
      <c r="O145" s="12"/>
      <c r="P145" s="8" t="s">
        <v>41</v>
      </c>
    </row>
    <row r="146" spans="1:16" ht="24" customHeight="1" x14ac:dyDescent="0.25">
      <c r="A146" s="10">
        <v>140</v>
      </c>
      <c r="B146" s="9">
        <v>8.3333333333333329E-2</v>
      </c>
      <c r="C146" s="5" t="s">
        <v>20</v>
      </c>
      <c r="D146" s="5">
        <v>9</v>
      </c>
      <c r="E146" s="15"/>
      <c r="F146" s="15" t="s">
        <v>30</v>
      </c>
      <c r="G146" s="13">
        <v>6700</v>
      </c>
      <c r="H146" s="13">
        <v>6420</v>
      </c>
      <c r="I146" s="13">
        <v>6360</v>
      </c>
      <c r="J146" s="13"/>
      <c r="K146" s="13"/>
      <c r="L146" s="13"/>
      <c r="M146" s="13"/>
      <c r="N146" s="12"/>
      <c r="O146" s="12"/>
      <c r="P146" s="8" t="s">
        <v>37</v>
      </c>
    </row>
    <row r="147" spans="1:16" ht="24" customHeight="1" x14ac:dyDescent="0.25">
      <c r="A147" s="10">
        <v>141</v>
      </c>
      <c r="B147" s="9">
        <v>8.4722222222222213E-2</v>
      </c>
      <c r="C147" s="5" t="s">
        <v>20</v>
      </c>
      <c r="D147" s="5">
        <v>9</v>
      </c>
      <c r="E147" s="15"/>
      <c r="F147" s="15" t="s">
        <v>30</v>
      </c>
      <c r="G147" s="13">
        <v>9880</v>
      </c>
      <c r="H147" s="13">
        <v>12960</v>
      </c>
      <c r="I147" s="13">
        <v>12860</v>
      </c>
      <c r="J147" s="13"/>
      <c r="K147" s="13"/>
      <c r="L147" s="13"/>
      <c r="M147" s="13"/>
      <c r="N147" s="12"/>
      <c r="O147" s="12"/>
      <c r="P147" s="8" t="s">
        <v>36</v>
      </c>
    </row>
    <row r="148" spans="1:16" ht="24" customHeight="1" x14ac:dyDescent="0.25">
      <c r="A148" s="10">
        <v>142</v>
      </c>
      <c r="B148" s="9">
        <v>8.5416666666666655E-2</v>
      </c>
      <c r="C148" s="5" t="s">
        <v>20</v>
      </c>
      <c r="D148" s="5">
        <v>8</v>
      </c>
      <c r="E148" s="15"/>
      <c r="F148" s="15" t="s">
        <v>23</v>
      </c>
      <c r="G148" s="13">
        <v>1760</v>
      </c>
      <c r="H148" s="13">
        <v>1560</v>
      </c>
      <c r="I148" s="13"/>
      <c r="J148" s="13"/>
      <c r="K148" s="13"/>
      <c r="L148" s="13"/>
      <c r="M148" s="13"/>
      <c r="N148" s="12"/>
      <c r="O148" s="12"/>
      <c r="P148" s="8" t="s">
        <v>41</v>
      </c>
    </row>
    <row r="149" spans="1:16" ht="24" customHeight="1" x14ac:dyDescent="0.25">
      <c r="A149" s="10">
        <v>143</v>
      </c>
      <c r="B149" s="9">
        <v>8.6111111111111124E-2</v>
      </c>
      <c r="C149" s="5" t="s">
        <v>20</v>
      </c>
      <c r="D149" s="5">
        <v>8</v>
      </c>
      <c r="E149" s="15"/>
      <c r="F149" s="15" t="s">
        <v>23</v>
      </c>
      <c r="G149" s="13">
        <v>4520</v>
      </c>
      <c r="H149" s="13">
        <v>9640</v>
      </c>
      <c r="I149" s="13"/>
      <c r="J149" s="13"/>
      <c r="K149" s="13"/>
      <c r="L149" s="13"/>
      <c r="M149" s="13"/>
      <c r="N149" s="12"/>
      <c r="O149" s="12"/>
      <c r="P149" s="8" t="s">
        <v>40</v>
      </c>
    </row>
    <row r="150" spans="1:16" ht="24" customHeight="1" x14ac:dyDescent="0.25">
      <c r="A150" s="10">
        <v>144</v>
      </c>
      <c r="B150" s="9">
        <v>8.6805555555555566E-2</v>
      </c>
      <c r="C150" s="5" t="s">
        <v>20</v>
      </c>
      <c r="D150" s="5">
        <v>8</v>
      </c>
      <c r="E150" s="15"/>
      <c r="F150" s="15" t="s">
        <v>23</v>
      </c>
      <c r="G150" s="13">
        <v>3480</v>
      </c>
      <c r="H150" s="13">
        <v>4260</v>
      </c>
      <c r="I150" s="13"/>
      <c r="J150" s="13"/>
      <c r="K150" s="13"/>
      <c r="L150" s="13"/>
      <c r="M150" s="13"/>
      <c r="N150" s="12"/>
      <c r="O150" s="12"/>
      <c r="P150" s="8" t="s">
        <v>37</v>
      </c>
    </row>
    <row r="151" spans="1:16" ht="24" customHeight="1" x14ac:dyDescent="0.25">
      <c r="A151" s="10">
        <v>145</v>
      </c>
      <c r="B151" s="9">
        <v>8.7500000000000008E-2</v>
      </c>
      <c r="C151" s="5" t="s">
        <v>20</v>
      </c>
      <c r="D151" s="5">
        <v>8</v>
      </c>
      <c r="E151" s="15"/>
      <c r="F151" s="15" t="s">
        <v>23</v>
      </c>
      <c r="G151" s="13">
        <v>2660</v>
      </c>
      <c r="H151" s="13">
        <v>2140</v>
      </c>
      <c r="I151" s="13"/>
      <c r="J151" s="13"/>
      <c r="K151" s="13"/>
      <c r="L151" s="13"/>
      <c r="M151" s="13"/>
      <c r="N151" s="12"/>
      <c r="O151" s="12"/>
      <c r="P151" s="8" t="s">
        <v>37</v>
      </c>
    </row>
    <row r="152" spans="1:16" ht="24" customHeight="1" x14ac:dyDescent="0.25">
      <c r="A152" s="10">
        <v>146</v>
      </c>
      <c r="B152" s="9">
        <v>8.819444444444445E-2</v>
      </c>
      <c r="C152" s="5" t="s">
        <v>20</v>
      </c>
      <c r="D152" s="5">
        <v>8</v>
      </c>
      <c r="E152" s="15"/>
      <c r="F152" s="15" t="s">
        <v>23</v>
      </c>
      <c r="G152" s="13">
        <v>7180</v>
      </c>
      <c r="H152" s="13">
        <v>15440</v>
      </c>
      <c r="I152" s="13"/>
      <c r="J152" s="13"/>
      <c r="K152" s="13"/>
      <c r="L152" s="13"/>
      <c r="M152" s="13"/>
      <c r="N152" s="12"/>
      <c r="O152" s="12"/>
      <c r="P152" s="8" t="s">
        <v>40</v>
      </c>
    </row>
    <row r="153" spans="1:16" ht="24" customHeight="1" x14ac:dyDescent="0.25">
      <c r="A153" s="10">
        <v>147</v>
      </c>
      <c r="B153" s="9">
        <v>8.8888888888888892E-2</v>
      </c>
      <c r="C153" s="5" t="s">
        <v>20</v>
      </c>
      <c r="D153" s="5">
        <v>12</v>
      </c>
      <c r="E153" s="15"/>
      <c r="F153" s="15" t="s">
        <v>27</v>
      </c>
      <c r="G153" s="13">
        <v>9780</v>
      </c>
      <c r="H153" s="13">
        <v>9260</v>
      </c>
      <c r="I153" s="13">
        <v>18200</v>
      </c>
      <c r="J153" s="13">
        <v>21100</v>
      </c>
      <c r="K153" s="13">
        <v>14580</v>
      </c>
      <c r="L153" s="13">
        <v>12420</v>
      </c>
      <c r="M153" s="13"/>
      <c r="N153" s="12"/>
      <c r="O153" s="12"/>
      <c r="P153" s="8" t="s">
        <v>36</v>
      </c>
    </row>
    <row r="154" spans="1:16" ht="24" customHeight="1" x14ac:dyDescent="0.25">
      <c r="A154" s="10">
        <v>148</v>
      </c>
      <c r="B154" s="9">
        <v>8.9583333333333334E-2</v>
      </c>
      <c r="C154" s="5" t="s">
        <v>21</v>
      </c>
      <c r="D154" s="5">
        <v>12</v>
      </c>
      <c r="E154" s="15"/>
      <c r="F154" s="15" t="s">
        <v>27</v>
      </c>
      <c r="G154" s="13">
        <v>7800</v>
      </c>
      <c r="H154" s="13">
        <v>5020</v>
      </c>
      <c r="I154" s="13">
        <v>12300</v>
      </c>
      <c r="J154" s="13">
        <v>5860</v>
      </c>
      <c r="K154" s="13">
        <v>4140</v>
      </c>
      <c r="L154" s="13">
        <v>5000</v>
      </c>
      <c r="M154" s="13"/>
      <c r="N154" s="12"/>
      <c r="O154" s="12"/>
      <c r="P154" s="8" t="s">
        <v>42</v>
      </c>
    </row>
    <row r="155" spans="1:16" ht="24" customHeight="1" x14ac:dyDescent="0.25">
      <c r="A155" s="10">
        <v>149</v>
      </c>
      <c r="B155" s="9">
        <v>9.0277777777777776E-2</v>
      </c>
      <c r="C155" s="5" t="s">
        <v>20</v>
      </c>
      <c r="D155" s="5">
        <v>12</v>
      </c>
      <c r="E155" s="15"/>
      <c r="F155" s="15" t="s">
        <v>27</v>
      </c>
      <c r="G155" s="13">
        <v>6260</v>
      </c>
      <c r="H155" s="13">
        <v>8080</v>
      </c>
      <c r="I155" s="13">
        <v>13020</v>
      </c>
      <c r="J155" s="13">
        <v>14360</v>
      </c>
      <c r="K155" s="13">
        <v>13400</v>
      </c>
      <c r="L155" s="13">
        <v>15240</v>
      </c>
      <c r="M155" s="13"/>
      <c r="N155" s="12"/>
      <c r="O155" s="12"/>
      <c r="P155" s="8" t="s">
        <v>42</v>
      </c>
    </row>
    <row r="156" spans="1:16" ht="24" customHeight="1" x14ac:dyDescent="0.25">
      <c r="A156" s="10">
        <v>150</v>
      </c>
      <c r="B156" s="9">
        <v>9.0972222222222218E-2</v>
      </c>
      <c r="C156" s="5" t="s">
        <v>20</v>
      </c>
      <c r="D156" s="5">
        <v>9</v>
      </c>
      <c r="E156" s="15"/>
      <c r="F156" s="15" t="s">
        <v>30</v>
      </c>
      <c r="G156" s="13">
        <v>8140</v>
      </c>
      <c r="H156" s="13">
        <v>12740</v>
      </c>
      <c r="I156" s="13">
        <v>12340</v>
      </c>
      <c r="J156" s="13"/>
      <c r="K156" s="13"/>
      <c r="L156" s="13"/>
      <c r="M156" s="13"/>
      <c r="N156" s="12"/>
      <c r="O156" s="12"/>
      <c r="P156" s="8" t="s">
        <v>36</v>
      </c>
    </row>
    <row r="157" spans="1:16" ht="24" customHeight="1" x14ac:dyDescent="0.25">
      <c r="A157" s="10">
        <v>151</v>
      </c>
      <c r="B157" s="9">
        <v>9.1666666666666674E-2</v>
      </c>
      <c r="C157" s="5" t="s">
        <v>20</v>
      </c>
      <c r="D157" s="5">
        <v>8</v>
      </c>
      <c r="E157" s="15"/>
      <c r="F157" s="15" t="s">
        <v>23</v>
      </c>
      <c r="G157" s="13">
        <v>3120</v>
      </c>
      <c r="H157" s="13">
        <v>2680</v>
      </c>
      <c r="I157" s="13"/>
      <c r="J157" s="13"/>
      <c r="K157" s="13"/>
      <c r="L157" s="13"/>
      <c r="M157" s="13"/>
      <c r="N157" s="12"/>
      <c r="O157" s="12"/>
      <c r="P157" s="8" t="s">
        <v>37</v>
      </c>
    </row>
    <row r="158" spans="1:16" ht="24" customHeight="1" x14ac:dyDescent="0.25">
      <c r="A158" s="10">
        <v>152</v>
      </c>
      <c r="B158" s="9">
        <v>9.2361111111111116E-2</v>
      </c>
      <c r="C158" s="5" t="s">
        <v>20</v>
      </c>
      <c r="D158" s="5">
        <v>12</v>
      </c>
      <c r="E158" s="15"/>
      <c r="F158" s="15" t="s">
        <v>28</v>
      </c>
      <c r="G158" s="13">
        <v>9620</v>
      </c>
      <c r="H158" s="13">
        <v>12820</v>
      </c>
      <c r="I158" s="13">
        <v>12580</v>
      </c>
      <c r="J158" s="13">
        <v>11340</v>
      </c>
      <c r="K158" s="13">
        <v>10960</v>
      </c>
      <c r="L158" s="13">
        <v>10760</v>
      </c>
      <c r="M158" s="13"/>
      <c r="N158" s="12"/>
      <c r="O158" s="12"/>
      <c r="P158" s="8" t="s">
        <v>42</v>
      </c>
    </row>
    <row r="159" spans="1:16" ht="24" customHeight="1" x14ac:dyDescent="0.25">
      <c r="A159" s="10">
        <v>153</v>
      </c>
      <c r="B159" s="9">
        <v>9.3055555555555558E-2</v>
      </c>
      <c r="C159" s="5" t="s">
        <v>21</v>
      </c>
      <c r="D159" s="5">
        <v>12</v>
      </c>
      <c r="E159" s="15"/>
      <c r="F159" s="15" t="s">
        <v>27</v>
      </c>
      <c r="G159" s="13">
        <v>28640</v>
      </c>
      <c r="H159" s="13">
        <v>10460</v>
      </c>
      <c r="I159" s="13">
        <v>20040</v>
      </c>
      <c r="J159" s="13">
        <v>10560</v>
      </c>
      <c r="K159" s="13">
        <v>12360</v>
      </c>
      <c r="L159" s="13">
        <v>12900</v>
      </c>
      <c r="M159" s="13"/>
      <c r="N159" s="12"/>
      <c r="O159" s="12"/>
      <c r="P159" s="8" t="s">
        <v>36</v>
      </c>
    </row>
    <row r="160" spans="1:16" ht="24" customHeight="1" x14ac:dyDescent="0.25">
      <c r="A160" s="10">
        <v>154</v>
      </c>
      <c r="B160" s="9">
        <v>9.5833333333333326E-2</v>
      </c>
      <c r="C160" s="5" t="s">
        <v>20</v>
      </c>
      <c r="D160" s="5">
        <v>13</v>
      </c>
      <c r="E160" s="15"/>
      <c r="F160" s="15" t="s">
        <v>24</v>
      </c>
      <c r="G160" s="13">
        <v>10480</v>
      </c>
      <c r="H160" s="13">
        <v>13440</v>
      </c>
      <c r="I160" s="13">
        <v>12960</v>
      </c>
      <c r="J160" s="13">
        <v>11660</v>
      </c>
      <c r="K160" s="13">
        <v>11480</v>
      </c>
      <c r="L160" s="13">
        <v>13920</v>
      </c>
      <c r="M160" s="13">
        <v>11560</v>
      </c>
      <c r="N160" s="12"/>
      <c r="O160" s="12"/>
      <c r="P160" s="8" t="s">
        <v>41</v>
      </c>
    </row>
    <row r="161" spans="1:16" s="29" customFormat="1" ht="24" customHeight="1" x14ac:dyDescent="0.25">
      <c r="A161" s="10"/>
      <c r="B161" s="23"/>
      <c r="C161" s="24"/>
      <c r="D161" s="24"/>
      <c r="E161" s="25"/>
      <c r="F161" s="25"/>
      <c r="G161" s="26"/>
      <c r="H161" s="26"/>
      <c r="I161" s="31" t="s">
        <v>54</v>
      </c>
      <c r="J161" s="26"/>
      <c r="K161" s="26"/>
      <c r="L161" s="26"/>
      <c r="M161" s="26"/>
      <c r="N161" s="27"/>
      <c r="O161" s="27"/>
      <c r="P161" s="28"/>
    </row>
    <row r="162" spans="1:16" ht="24" customHeight="1" x14ac:dyDescent="0.25">
      <c r="A162" s="5">
        <v>1</v>
      </c>
      <c r="B162" s="9">
        <v>0.38472222222222219</v>
      </c>
      <c r="C162" s="5" t="s">
        <v>20</v>
      </c>
      <c r="D162" s="5">
        <v>8</v>
      </c>
      <c r="E162" s="15"/>
      <c r="F162" s="15" t="s">
        <v>23</v>
      </c>
      <c r="G162" s="13">
        <v>3100</v>
      </c>
      <c r="H162" s="13">
        <v>6700</v>
      </c>
      <c r="I162" s="13"/>
      <c r="J162" s="13"/>
      <c r="K162" s="13"/>
      <c r="L162" s="13"/>
      <c r="M162" s="13"/>
      <c r="N162" s="12"/>
      <c r="O162" s="12"/>
      <c r="P162" s="8" t="s">
        <v>35</v>
      </c>
    </row>
    <row r="163" spans="1:16" ht="24" customHeight="1" x14ac:dyDescent="0.25">
      <c r="A163" s="5">
        <v>2</v>
      </c>
      <c r="B163" s="9">
        <v>0.38611111111111113</v>
      </c>
      <c r="C163" s="5" t="s">
        <v>21</v>
      </c>
      <c r="D163" s="5">
        <v>12</v>
      </c>
      <c r="E163" s="15"/>
      <c r="F163" s="15" t="s">
        <v>27</v>
      </c>
      <c r="G163" s="13">
        <v>6920</v>
      </c>
      <c r="H163" s="13">
        <v>6840</v>
      </c>
      <c r="I163" s="13">
        <v>10980</v>
      </c>
      <c r="J163" s="13">
        <v>12120</v>
      </c>
      <c r="K163" s="13">
        <v>12220</v>
      </c>
      <c r="L163" s="13">
        <v>11720</v>
      </c>
      <c r="M163" s="13"/>
      <c r="N163" s="12"/>
      <c r="O163" s="12"/>
      <c r="P163" s="8" t="s">
        <v>35</v>
      </c>
    </row>
    <row r="164" spans="1:16" ht="24" customHeight="1" x14ac:dyDescent="0.25">
      <c r="A164" s="5">
        <v>3</v>
      </c>
      <c r="B164" s="9">
        <v>0.38680555555555557</v>
      </c>
      <c r="C164" s="5" t="s">
        <v>20</v>
      </c>
      <c r="D164" s="5">
        <v>8</v>
      </c>
      <c r="E164" s="15"/>
      <c r="F164" s="15" t="s">
        <v>23</v>
      </c>
      <c r="G164" s="13">
        <v>8300</v>
      </c>
      <c r="H164" s="13">
        <v>15740</v>
      </c>
      <c r="I164" s="13"/>
      <c r="J164" s="13"/>
      <c r="K164" s="13"/>
      <c r="L164" s="13"/>
      <c r="M164" s="13"/>
      <c r="N164" s="12"/>
      <c r="O164" s="12"/>
      <c r="P164" s="8" t="s">
        <v>35</v>
      </c>
    </row>
    <row r="165" spans="1:16" ht="24" customHeight="1" x14ac:dyDescent="0.25">
      <c r="A165" s="5">
        <v>4</v>
      </c>
      <c r="B165" s="9">
        <v>0.3923611111111111</v>
      </c>
      <c r="C165" s="5" t="s">
        <v>20</v>
      </c>
      <c r="D165" s="5">
        <v>8</v>
      </c>
      <c r="E165" s="15"/>
      <c r="F165" s="15" t="s">
        <v>23</v>
      </c>
      <c r="G165" s="13">
        <v>7200</v>
      </c>
      <c r="H165" s="13">
        <v>15480</v>
      </c>
      <c r="I165" s="13"/>
      <c r="J165" s="13"/>
      <c r="K165" s="13"/>
      <c r="L165" s="13"/>
      <c r="M165" s="13"/>
      <c r="N165" s="12"/>
      <c r="O165" s="12"/>
      <c r="P165" s="8" t="s">
        <v>41</v>
      </c>
    </row>
    <row r="166" spans="1:16" ht="24" customHeight="1" x14ac:dyDescent="0.25">
      <c r="A166" s="5">
        <v>5</v>
      </c>
      <c r="B166" s="9">
        <v>0.39305555555555555</v>
      </c>
      <c r="C166" s="5" t="s">
        <v>20</v>
      </c>
      <c r="D166" s="5">
        <v>7</v>
      </c>
      <c r="E166" s="15"/>
      <c r="F166" s="15" t="s">
        <v>23</v>
      </c>
      <c r="G166" s="13">
        <v>3120</v>
      </c>
      <c r="H166" s="13">
        <v>2700</v>
      </c>
      <c r="I166" s="13"/>
      <c r="J166" s="13"/>
      <c r="K166" s="13"/>
      <c r="L166" s="13"/>
      <c r="M166" s="13"/>
      <c r="N166" s="12"/>
      <c r="O166" s="12"/>
      <c r="P166" s="8" t="s">
        <v>37</v>
      </c>
    </row>
    <row r="167" spans="1:16" ht="24" customHeight="1" x14ac:dyDescent="0.25">
      <c r="A167" s="5">
        <v>6</v>
      </c>
      <c r="B167" s="9">
        <v>0.39444444444444443</v>
      </c>
      <c r="C167" s="5" t="s">
        <v>20</v>
      </c>
      <c r="D167" s="5">
        <v>13</v>
      </c>
      <c r="E167" s="15"/>
      <c r="F167" s="15" t="s">
        <v>27</v>
      </c>
      <c r="G167" s="13">
        <v>7600</v>
      </c>
      <c r="H167" s="13">
        <v>10980</v>
      </c>
      <c r="I167" s="13">
        <v>9880</v>
      </c>
      <c r="J167" s="13">
        <v>11260</v>
      </c>
      <c r="K167" s="13">
        <v>9940</v>
      </c>
      <c r="L167" s="13">
        <v>8940</v>
      </c>
      <c r="M167" s="13">
        <v>8900</v>
      </c>
      <c r="N167" s="12"/>
      <c r="O167" s="12"/>
      <c r="P167" s="8" t="s">
        <v>35</v>
      </c>
    </row>
    <row r="168" spans="1:16" ht="24" customHeight="1" x14ac:dyDescent="0.25">
      <c r="A168" s="5">
        <v>7</v>
      </c>
      <c r="B168" s="9">
        <v>0.39513888888888887</v>
      </c>
      <c r="C168" s="5" t="s">
        <v>20</v>
      </c>
      <c r="D168" s="5">
        <v>12</v>
      </c>
      <c r="E168" s="15"/>
      <c r="F168" s="15" t="s">
        <v>27</v>
      </c>
      <c r="G168" s="13">
        <v>7760</v>
      </c>
      <c r="H168" s="13">
        <v>10300</v>
      </c>
      <c r="I168" s="13">
        <v>16900</v>
      </c>
      <c r="J168" s="13">
        <v>21260</v>
      </c>
      <c r="K168" s="13">
        <v>13340</v>
      </c>
      <c r="L168" s="13">
        <v>12880</v>
      </c>
      <c r="M168" s="13"/>
      <c r="N168" s="12"/>
      <c r="O168" s="12"/>
      <c r="P168" s="8" t="s">
        <v>36</v>
      </c>
    </row>
    <row r="169" spans="1:16" ht="24" customHeight="1" x14ac:dyDescent="0.25">
      <c r="A169" s="5">
        <v>8</v>
      </c>
      <c r="B169" s="9">
        <v>0.3972222222222222</v>
      </c>
      <c r="C169" s="5" t="s">
        <v>20</v>
      </c>
      <c r="D169" s="5">
        <v>7</v>
      </c>
      <c r="E169" s="15"/>
      <c r="F169" s="15" t="s">
        <v>23</v>
      </c>
      <c r="G169" s="13">
        <v>5420</v>
      </c>
      <c r="H169" s="13">
        <v>16480</v>
      </c>
      <c r="I169" s="13"/>
      <c r="J169" s="13"/>
      <c r="K169" s="13"/>
      <c r="L169" s="13"/>
      <c r="M169" s="13"/>
      <c r="N169" s="12"/>
      <c r="O169" s="12"/>
      <c r="P169" s="8" t="s">
        <v>40</v>
      </c>
    </row>
    <row r="170" spans="1:16" ht="24" customHeight="1" x14ac:dyDescent="0.25">
      <c r="A170" s="5">
        <v>9</v>
      </c>
      <c r="B170" s="9">
        <v>0.40347222222222223</v>
      </c>
      <c r="C170" s="5" t="s">
        <v>20</v>
      </c>
      <c r="D170" s="5">
        <v>7</v>
      </c>
      <c r="E170" s="15"/>
      <c r="F170" s="15" t="s">
        <v>23</v>
      </c>
      <c r="G170" s="13">
        <v>5480</v>
      </c>
      <c r="H170" s="13">
        <v>17680</v>
      </c>
      <c r="I170" s="13"/>
      <c r="J170" s="13"/>
      <c r="K170" s="13"/>
      <c r="L170" s="13"/>
      <c r="M170" s="13"/>
      <c r="N170" s="12"/>
      <c r="O170" s="12"/>
      <c r="P170" s="8" t="s">
        <v>40</v>
      </c>
    </row>
    <row r="171" spans="1:16" ht="24" customHeight="1" x14ac:dyDescent="0.25">
      <c r="A171" s="5">
        <v>10</v>
      </c>
      <c r="B171" s="9">
        <v>0.4055555555555555</v>
      </c>
      <c r="C171" s="5" t="s">
        <v>20</v>
      </c>
      <c r="D171" s="5">
        <v>9</v>
      </c>
      <c r="E171" s="15"/>
      <c r="F171" s="15" t="s">
        <v>30</v>
      </c>
      <c r="G171" s="13">
        <v>5900</v>
      </c>
      <c r="H171" s="13">
        <v>5100</v>
      </c>
      <c r="I171" s="13">
        <v>4680</v>
      </c>
      <c r="J171" s="13"/>
      <c r="K171" s="13"/>
      <c r="L171" s="13"/>
      <c r="M171" s="13"/>
      <c r="N171" s="12"/>
      <c r="O171" s="12"/>
      <c r="P171" s="8" t="s">
        <v>40</v>
      </c>
    </row>
    <row r="172" spans="1:16" ht="24" customHeight="1" x14ac:dyDescent="0.25">
      <c r="A172" s="5">
        <v>11</v>
      </c>
      <c r="B172" s="9">
        <v>0.4069444444444445</v>
      </c>
      <c r="C172" s="5" t="s">
        <v>20</v>
      </c>
      <c r="D172" s="5">
        <v>8</v>
      </c>
      <c r="E172" s="15"/>
      <c r="F172" s="15" t="s">
        <v>23</v>
      </c>
      <c r="G172" s="13">
        <v>8140</v>
      </c>
      <c r="H172" s="13">
        <v>14280</v>
      </c>
      <c r="I172" s="13"/>
      <c r="J172" s="13"/>
      <c r="K172" s="13"/>
      <c r="L172" s="13"/>
      <c r="M172" s="13"/>
      <c r="N172" s="12"/>
      <c r="O172" s="12"/>
      <c r="P172" s="8" t="s">
        <v>38</v>
      </c>
    </row>
    <row r="173" spans="1:16" ht="24" customHeight="1" x14ac:dyDescent="0.25">
      <c r="A173" s="5">
        <v>12</v>
      </c>
      <c r="B173" s="9">
        <v>0.41250000000000003</v>
      </c>
      <c r="C173" s="5" t="s">
        <v>20</v>
      </c>
      <c r="D173" s="5">
        <v>12</v>
      </c>
      <c r="E173" s="15"/>
      <c r="F173" s="15" t="s">
        <v>26</v>
      </c>
      <c r="G173" s="13">
        <v>7160</v>
      </c>
      <c r="H173" s="13">
        <v>4960</v>
      </c>
      <c r="I173" s="13">
        <v>4120</v>
      </c>
      <c r="J173" s="13">
        <v>4500</v>
      </c>
      <c r="K173" s="13">
        <v>3480</v>
      </c>
      <c r="L173" s="13">
        <v>4720</v>
      </c>
      <c r="M173" s="13"/>
      <c r="N173" s="12"/>
      <c r="O173" s="12"/>
      <c r="P173" s="8" t="s">
        <v>37</v>
      </c>
    </row>
    <row r="174" spans="1:16" ht="24" customHeight="1" x14ac:dyDescent="0.25">
      <c r="A174" s="5">
        <v>13</v>
      </c>
      <c r="B174" s="9">
        <v>0.42569444444444443</v>
      </c>
      <c r="C174" s="5" t="s">
        <v>20</v>
      </c>
      <c r="D174" s="5">
        <v>10</v>
      </c>
      <c r="E174" s="15"/>
      <c r="F174" s="15" t="s">
        <v>31</v>
      </c>
      <c r="G174" s="13">
        <v>7340</v>
      </c>
      <c r="H174" s="13">
        <v>7180</v>
      </c>
      <c r="I174" s="13">
        <v>6420</v>
      </c>
      <c r="J174" s="13">
        <v>6580</v>
      </c>
      <c r="K174" s="13"/>
      <c r="L174" s="13"/>
      <c r="M174" s="13"/>
      <c r="N174" s="12"/>
      <c r="O174" s="12"/>
      <c r="P174" s="8" t="s">
        <v>37</v>
      </c>
    </row>
    <row r="175" spans="1:16" ht="24" customHeight="1" x14ac:dyDescent="0.25">
      <c r="A175" s="5">
        <v>14</v>
      </c>
      <c r="B175" s="9">
        <v>0.43333333333333335</v>
      </c>
      <c r="C175" s="5" t="s">
        <v>20</v>
      </c>
      <c r="D175" s="5">
        <v>12</v>
      </c>
      <c r="E175" s="15"/>
      <c r="F175" s="15" t="s">
        <v>26</v>
      </c>
      <c r="G175" s="13">
        <v>7880</v>
      </c>
      <c r="H175" s="13">
        <v>9880</v>
      </c>
      <c r="I175" s="13">
        <v>9260</v>
      </c>
      <c r="J175" s="13">
        <v>9160</v>
      </c>
      <c r="K175" s="13">
        <v>11820</v>
      </c>
      <c r="L175" s="13">
        <v>8700</v>
      </c>
      <c r="M175" s="13"/>
      <c r="N175" s="12"/>
      <c r="O175" s="12"/>
      <c r="P175" s="8" t="s">
        <v>35</v>
      </c>
    </row>
    <row r="176" spans="1:16" ht="24" customHeight="1" x14ac:dyDescent="0.25">
      <c r="A176" s="5">
        <v>15</v>
      </c>
      <c r="B176" s="9">
        <v>0.45624999999999999</v>
      </c>
      <c r="C176" s="5" t="s">
        <v>20</v>
      </c>
      <c r="D176" s="5">
        <v>12</v>
      </c>
      <c r="E176" s="15"/>
      <c r="F176" s="15" t="s">
        <v>27</v>
      </c>
      <c r="G176" s="13">
        <v>8230</v>
      </c>
      <c r="H176" s="13">
        <v>4560</v>
      </c>
      <c r="I176" s="13">
        <v>10240</v>
      </c>
      <c r="J176" s="13">
        <v>9500</v>
      </c>
      <c r="K176" s="13">
        <v>6000</v>
      </c>
      <c r="L176" s="13">
        <v>4360</v>
      </c>
      <c r="M176" s="13"/>
      <c r="N176" s="12"/>
      <c r="O176" s="12"/>
      <c r="P176" s="8" t="s">
        <v>35</v>
      </c>
    </row>
    <row r="177" spans="1:16" ht="24" customHeight="1" x14ac:dyDescent="0.25">
      <c r="A177" s="5">
        <v>16</v>
      </c>
      <c r="B177" s="9">
        <v>0.45833333333333331</v>
      </c>
      <c r="C177" s="5" t="s">
        <v>20</v>
      </c>
      <c r="D177" s="5">
        <v>12</v>
      </c>
      <c r="E177" s="15"/>
      <c r="F177" s="15" t="s">
        <v>26</v>
      </c>
      <c r="G177" s="13">
        <v>8340</v>
      </c>
      <c r="H177" s="13">
        <v>11240</v>
      </c>
      <c r="I177" s="13">
        <v>10560</v>
      </c>
      <c r="J177" s="13">
        <v>15940</v>
      </c>
      <c r="K177" s="13">
        <v>14280</v>
      </c>
      <c r="L177" s="13">
        <v>16920</v>
      </c>
      <c r="M177" s="13"/>
      <c r="N177" s="12"/>
      <c r="O177" s="12"/>
      <c r="P177" s="8" t="s">
        <v>42</v>
      </c>
    </row>
    <row r="178" spans="1:16" ht="24" customHeight="1" x14ac:dyDescent="0.25">
      <c r="A178" s="5">
        <v>17</v>
      </c>
      <c r="B178" s="9">
        <v>0.46111111111111108</v>
      </c>
      <c r="C178" s="5" t="s">
        <v>20</v>
      </c>
      <c r="D178" s="5">
        <v>8</v>
      </c>
      <c r="E178" s="15"/>
      <c r="F178" s="15" t="s">
        <v>23</v>
      </c>
      <c r="G178" s="13">
        <v>6480</v>
      </c>
      <c r="H178" s="13">
        <v>9640</v>
      </c>
      <c r="I178" s="13"/>
      <c r="J178" s="13"/>
      <c r="K178" s="13"/>
      <c r="L178" s="13"/>
      <c r="M178" s="13"/>
      <c r="N178" s="12"/>
      <c r="O178" s="12"/>
      <c r="P178" s="8" t="s">
        <v>40</v>
      </c>
    </row>
    <row r="179" spans="1:16" ht="24" customHeight="1" x14ac:dyDescent="0.25">
      <c r="A179" s="5">
        <v>18</v>
      </c>
      <c r="B179" s="9">
        <v>0.47152777777777777</v>
      </c>
      <c r="C179" s="5" t="s">
        <v>20</v>
      </c>
      <c r="D179" s="5">
        <v>9</v>
      </c>
      <c r="E179" s="15"/>
      <c r="F179" s="15" t="s">
        <v>30</v>
      </c>
      <c r="G179" s="13">
        <v>8800</v>
      </c>
      <c r="H179" s="13">
        <v>6620</v>
      </c>
      <c r="I179" s="13">
        <v>5580</v>
      </c>
      <c r="J179" s="13"/>
      <c r="K179" s="13"/>
      <c r="L179" s="13"/>
      <c r="M179" s="13"/>
      <c r="N179" s="12"/>
      <c r="O179" s="12"/>
      <c r="P179" s="8" t="s">
        <v>43</v>
      </c>
    </row>
    <row r="180" spans="1:16" ht="24" customHeight="1" x14ac:dyDescent="0.25">
      <c r="A180" s="5">
        <v>19</v>
      </c>
      <c r="B180" s="9">
        <v>0.48055555555555557</v>
      </c>
      <c r="C180" s="5" t="s">
        <v>20</v>
      </c>
      <c r="D180" s="5">
        <v>8</v>
      </c>
      <c r="E180" s="15"/>
      <c r="F180" s="15" t="s">
        <v>23</v>
      </c>
      <c r="G180" s="13">
        <v>5600</v>
      </c>
      <c r="H180" s="13">
        <v>15620</v>
      </c>
      <c r="I180" s="13"/>
      <c r="J180" s="13"/>
      <c r="K180" s="13"/>
      <c r="L180" s="13"/>
      <c r="M180" s="13"/>
      <c r="N180" s="12"/>
      <c r="O180" s="12"/>
      <c r="P180" s="8" t="s">
        <v>40</v>
      </c>
    </row>
    <row r="181" spans="1:16" ht="24" customHeight="1" x14ac:dyDescent="0.25">
      <c r="A181" s="5">
        <v>20</v>
      </c>
      <c r="B181" s="9">
        <v>0.53263888888888888</v>
      </c>
      <c r="C181" s="5" t="s">
        <v>20</v>
      </c>
      <c r="D181" s="5">
        <v>8</v>
      </c>
      <c r="E181" s="15"/>
      <c r="F181" s="15" t="s">
        <v>23</v>
      </c>
      <c r="G181" s="13">
        <v>3780</v>
      </c>
      <c r="H181" s="13">
        <v>8400</v>
      </c>
      <c r="I181" s="13"/>
      <c r="J181" s="13"/>
      <c r="K181" s="13"/>
      <c r="L181" s="13"/>
      <c r="M181" s="13"/>
      <c r="N181" s="12"/>
      <c r="O181" s="12"/>
      <c r="P181" s="8" t="s">
        <v>40</v>
      </c>
    </row>
    <row r="182" spans="1:16" ht="24" customHeight="1" x14ac:dyDescent="0.25">
      <c r="A182" s="5">
        <v>21</v>
      </c>
      <c r="B182" s="9">
        <v>0.5395833333333333</v>
      </c>
      <c r="C182" s="5" t="s">
        <v>20</v>
      </c>
      <c r="D182" s="5">
        <v>8</v>
      </c>
      <c r="E182" s="15"/>
      <c r="F182" s="15" t="s">
        <v>23</v>
      </c>
      <c r="G182" s="13">
        <v>3280</v>
      </c>
      <c r="H182" s="13">
        <v>4080</v>
      </c>
      <c r="I182" s="13"/>
      <c r="J182" s="13"/>
      <c r="K182" s="13"/>
      <c r="L182" s="13"/>
      <c r="M182" s="13"/>
      <c r="N182" s="12"/>
      <c r="O182" s="12"/>
      <c r="P182" s="8" t="s">
        <v>37</v>
      </c>
    </row>
    <row r="183" spans="1:16" ht="24" customHeight="1" x14ac:dyDescent="0.25">
      <c r="A183" s="5">
        <v>22</v>
      </c>
      <c r="B183" s="9">
        <v>0.54027777777777775</v>
      </c>
      <c r="C183" s="5" t="s">
        <v>20</v>
      </c>
      <c r="D183" s="5">
        <v>8</v>
      </c>
      <c r="E183" s="15"/>
      <c r="F183" s="15" t="s">
        <v>23</v>
      </c>
      <c r="G183" s="13">
        <v>5400</v>
      </c>
      <c r="H183" s="13">
        <v>16340</v>
      </c>
      <c r="I183" s="13"/>
      <c r="J183" s="13"/>
      <c r="K183" s="13"/>
      <c r="L183" s="13"/>
      <c r="M183" s="13"/>
      <c r="N183" s="12"/>
      <c r="O183" s="12"/>
      <c r="P183" s="8" t="s">
        <v>40</v>
      </c>
    </row>
    <row r="184" spans="1:16" ht="24" customHeight="1" x14ac:dyDescent="0.25">
      <c r="A184" s="5">
        <v>23</v>
      </c>
      <c r="B184" s="9">
        <v>4.3750000000000004E-2</v>
      </c>
      <c r="C184" s="5" t="s">
        <v>20</v>
      </c>
      <c r="D184" s="5">
        <v>8</v>
      </c>
      <c r="E184" s="15"/>
      <c r="F184" s="15" t="s">
        <v>23</v>
      </c>
      <c r="G184" s="13">
        <v>6140</v>
      </c>
      <c r="H184" s="13">
        <v>5460</v>
      </c>
      <c r="I184" s="13"/>
      <c r="J184" s="13"/>
      <c r="K184" s="13"/>
      <c r="L184" s="13"/>
      <c r="M184" s="13"/>
      <c r="N184" s="12"/>
      <c r="O184" s="12"/>
      <c r="P184" s="8" t="s">
        <v>41</v>
      </c>
    </row>
    <row r="185" spans="1:16" ht="24" customHeight="1" x14ac:dyDescent="0.25">
      <c r="A185" s="5">
        <v>24</v>
      </c>
      <c r="B185" s="9">
        <v>6.6666666666666666E-2</v>
      </c>
      <c r="C185" s="5" t="s">
        <v>20</v>
      </c>
      <c r="D185" s="5">
        <v>8</v>
      </c>
      <c r="E185" s="15"/>
      <c r="F185" s="15" t="s">
        <v>23</v>
      </c>
      <c r="G185" s="13">
        <v>5360</v>
      </c>
      <c r="H185" s="13">
        <v>17040</v>
      </c>
      <c r="I185" s="13"/>
      <c r="J185" s="13"/>
      <c r="K185" s="13"/>
      <c r="L185" s="13"/>
      <c r="M185" s="13"/>
      <c r="N185" s="12"/>
      <c r="O185" s="12"/>
      <c r="P185" s="8" t="s">
        <v>40</v>
      </c>
    </row>
    <row r="186" spans="1:16" ht="24" customHeight="1" x14ac:dyDescent="0.25">
      <c r="A186" s="5">
        <v>25</v>
      </c>
      <c r="B186" s="9">
        <v>7.4305555555555555E-2</v>
      </c>
      <c r="C186" s="5" t="s">
        <v>20</v>
      </c>
      <c r="D186" s="5">
        <v>12</v>
      </c>
      <c r="E186" s="15"/>
      <c r="F186" s="15" t="s">
        <v>26</v>
      </c>
      <c r="G186" s="13">
        <v>7680</v>
      </c>
      <c r="H186" s="13">
        <v>7940</v>
      </c>
      <c r="I186" s="13">
        <v>7120</v>
      </c>
      <c r="J186" s="13">
        <v>9480</v>
      </c>
      <c r="K186" s="13">
        <v>9260</v>
      </c>
      <c r="L186" s="13">
        <v>9820</v>
      </c>
      <c r="M186" s="13"/>
      <c r="N186" s="12"/>
      <c r="O186" s="12"/>
      <c r="P186" s="8" t="s">
        <v>35</v>
      </c>
    </row>
    <row r="187" spans="1:16" ht="24" customHeight="1" x14ac:dyDescent="0.25">
      <c r="A187" s="5">
        <v>26</v>
      </c>
      <c r="B187" s="9">
        <v>0.11041666666666666</v>
      </c>
      <c r="C187" s="5" t="s">
        <v>20</v>
      </c>
      <c r="D187" s="5">
        <v>8</v>
      </c>
      <c r="E187" s="15"/>
      <c r="F187" s="15" t="s">
        <v>23</v>
      </c>
      <c r="G187" s="13">
        <v>8380</v>
      </c>
      <c r="H187" s="13">
        <v>15460</v>
      </c>
      <c r="I187" s="13"/>
      <c r="J187" s="13"/>
      <c r="K187" s="13"/>
      <c r="L187" s="13"/>
      <c r="M187" s="13"/>
      <c r="N187" s="12"/>
      <c r="O187" s="12"/>
      <c r="P187" s="8" t="s">
        <v>38</v>
      </c>
    </row>
    <row r="188" spans="1:16" ht="24" customHeight="1" x14ac:dyDescent="0.25">
      <c r="A188" s="5">
        <v>27</v>
      </c>
      <c r="B188" s="9">
        <v>0.11319444444444444</v>
      </c>
      <c r="C188" s="5" t="s">
        <v>20</v>
      </c>
      <c r="D188" s="5">
        <v>8</v>
      </c>
      <c r="E188" s="15"/>
      <c r="F188" s="15" t="s">
        <v>23</v>
      </c>
      <c r="G188" s="13">
        <v>4800</v>
      </c>
      <c r="H188" s="13">
        <v>9220</v>
      </c>
      <c r="I188" s="13"/>
      <c r="J188" s="13"/>
      <c r="K188" s="13"/>
      <c r="L188" s="13"/>
      <c r="M188" s="13"/>
      <c r="N188" s="12"/>
      <c r="O188" s="12"/>
      <c r="P188" s="8" t="s">
        <v>40</v>
      </c>
    </row>
    <row r="189" spans="1:16" ht="24" customHeight="1" x14ac:dyDescent="0.25">
      <c r="A189" s="5">
        <v>28</v>
      </c>
      <c r="B189" s="9">
        <v>0.12361111111111112</v>
      </c>
      <c r="C189" s="5" t="s">
        <v>21</v>
      </c>
      <c r="D189" s="5">
        <v>8</v>
      </c>
      <c r="E189" s="15"/>
      <c r="F189" s="15" t="s">
        <v>23</v>
      </c>
      <c r="G189" s="13">
        <v>5400</v>
      </c>
      <c r="H189" s="13">
        <v>14940</v>
      </c>
      <c r="I189" s="13"/>
      <c r="J189" s="13"/>
      <c r="K189" s="13"/>
      <c r="L189" s="13"/>
      <c r="M189" s="13"/>
      <c r="N189" s="12"/>
      <c r="O189" s="12"/>
      <c r="P189" s="8" t="s">
        <v>38</v>
      </c>
    </row>
    <row r="190" spans="1:16" ht="24" customHeight="1" x14ac:dyDescent="0.25">
      <c r="A190" s="5">
        <v>29</v>
      </c>
      <c r="B190" s="9">
        <v>0.13125000000000001</v>
      </c>
      <c r="C190" s="5" t="s">
        <v>20</v>
      </c>
      <c r="D190" s="5">
        <v>8</v>
      </c>
      <c r="E190" s="15"/>
      <c r="F190" s="15" t="s">
        <v>23</v>
      </c>
      <c r="G190" s="13">
        <v>6000</v>
      </c>
      <c r="H190" s="13">
        <v>13420</v>
      </c>
      <c r="I190" s="13"/>
      <c r="J190" s="13"/>
      <c r="K190" s="13"/>
      <c r="L190" s="13"/>
      <c r="M190" s="13"/>
      <c r="N190" s="12"/>
      <c r="O190" s="12"/>
      <c r="P190" s="8" t="s">
        <v>36</v>
      </c>
    </row>
    <row r="191" spans="1:16" ht="24" customHeight="1" x14ac:dyDescent="0.25">
      <c r="A191" s="5">
        <v>30</v>
      </c>
      <c r="B191" s="9">
        <v>0.1423611111111111</v>
      </c>
      <c r="C191" s="5" t="s">
        <v>20</v>
      </c>
      <c r="D191" s="5">
        <v>8</v>
      </c>
      <c r="E191" s="15"/>
      <c r="F191" s="15" t="s">
        <v>23</v>
      </c>
      <c r="G191" s="13">
        <v>4420</v>
      </c>
      <c r="H191" s="13">
        <v>8260</v>
      </c>
      <c r="I191" s="13"/>
      <c r="J191" s="13"/>
      <c r="K191" s="13"/>
      <c r="L191" s="13"/>
      <c r="M191" s="13"/>
      <c r="N191" s="12"/>
      <c r="O191" s="12"/>
      <c r="P191" s="8" t="s">
        <v>35</v>
      </c>
    </row>
    <row r="192" spans="1:16" ht="24" customHeight="1" x14ac:dyDescent="0.25">
      <c r="A192" s="5">
        <v>31</v>
      </c>
      <c r="B192" s="9">
        <v>0.17361111111111113</v>
      </c>
      <c r="C192" s="5" t="s">
        <v>20</v>
      </c>
      <c r="D192" s="5">
        <v>8</v>
      </c>
      <c r="E192" s="15"/>
      <c r="F192" s="15" t="s">
        <v>23</v>
      </c>
      <c r="G192" s="13">
        <v>2340</v>
      </c>
      <c r="H192" s="13">
        <v>2800</v>
      </c>
      <c r="I192" s="13"/>
      <c r="J192" s="13"/>
      <c r="K192" s="13"/>
      <c r="L192" s="13"/>
      <c r="M192" s="13"/>
      <c r="N192" s="12"/>
      <c r="O192" s="12"/>
      <c r="P192" s="8" t="s">
        <v>37</v>
      </c>
    </row>
    <row r="193" spans="1:16" ht="24" customHeight="1" x14ac:dyDescent="0.25">
      <c r="A193" s="5">
        <v>32</v>
      </c>
      <c r="B193" s="9">
        <v>0.18958333333333333</v>
      </c>
      <c r="C193" s="5" t="s">
        <v>20</v>
      </c>
      <c r="D193" s="5">
        <v>8</v>
      </c>
      <c r="E193" s="15"/>
      <c r="F193" s="15" t="s">
        <v>23</v>
      </c>
      <c r="G193" s="13">
        <v>5240</v>
      </c>
      <c r="H193" s="13">
        <v>14220</v>
      </c>
      <c r="I193" s="13"/>
      <c r="J193" s="13"/>
      <c r="K193" s="13"/>
      <c r="L193" s="13"/>
      <c r="M193" s="13"/>
      <c r="N193" s="12"/>
      <c r="O193" s="12"/>
      <c r="P193" s="8" t="s">
        <v>40</v>
      </c>
    </row>
    <row r="194" spans="1:16" ht="24" customHeight="1" x14ac:dyDescent="0.25">
      <c r="A194" s="5">
        <v>33</v>
      </c>
      <c r="B194" s="9">
        <v>0.22430555555555556</v>
      </c>
      <c r="C194" s="5" t="s">
        <v>20</v>
      </c>
      <c r="D194" s="5">
        <v>8</v>
      </c>
      <c r="E194" s="15"/>
      <c r="F194" s="15" t="s">
        <v>23</v>
      </c>
      <c r="G194" s="13">
        <v>3100</v>
      </c>
      <c r="H194" s="13">
        <v>2780</v>
      </c>
      <c r="I194" s="13"/>
      <c r="J194" s="13"/>
      <c r="K194" s="13"/>
      <c r="L194" s="13"/>
      <c r="M194" s="13"/>
      <c r="N194" s="12"/>
      <c r="O194" s="12"/>
      <c r="P194" s="8" t="s">
        <v>37</v>
      </c>
    </row>
    <row r="195" spans="1:16" ht="24" customHeight="1" x14ac:dyDescent="0.25">
      <c r="A195" s="5">
        <v>34</v>
      </c>
      <c r="B195" s="9">
        <v>0.25</v>
      </c>
      <c r="C195" s="5" t="s">
        <v>20</v>
      </c>
      <c r="D195" s="5">
        <v>8</v>
      </c>
      <c r="E195" s="15"/>
      <c r="F195" s="15" t="s">
        <v>23</v>
      </c>
      <c r="G195" s="13">
        <v>3300</v>
      </c>
      <c r="H195" s="13">
        <v>13400</v>
      </c>
      <c r="I195" s="13"/>
      <c r="J195" s="13"/>
      <c r="K195" s="13"/>
      <c r="L195" s="13"/>
      <c r="M195" s="13"/>
      <c r="N195" s="12"/>
      <c r="O195" s="12"/>
      <c r="P195" s="8" t="s">
        <v>37</v>
      </c>
    </row>
    <row r="196" spans="1:16" ht="24" customHeight="1" x14ac:dyDescent="0.25">
      <c r="A196" s="5">
        <v>35</v>
      </c>
      <c r="B196" s="9">
        <v>0.25069444444444444</v>
      </c>
      <c r="C196" s="5" t="s">
        <v>20</v>
      </c>
      <c r="D196" s="5">
        <v>8</v>
      </c>
      <c r="E196" s="15"/>
      <c r="F196" s="15" t="s">
        <v>23</v>
      </c>
      <c r="G196" s="13">
        <v>5000</v>
      </c>
      <c r="H196" s="13">
        <v>11180</v>
      </c>
      <c r="I196" s="13"/>
      <c r="J196" s="13"/>
      <c r="K196" s="13"/>
      <c r="L196" s="13"/>
      <c r="M196" s="13"/>
      <c r="N196" s="12"/>
      <c r="O196" s="12"/>
      <c r="P196" s="8" t="s">
        <v>40</v>
      </c>
    </row>
    <row r="197" spans="1:16" ht="24" customHeight="1" x14ac:dyDescent="0.25">
      <c r="A197" s="5">
        <v>36</v>
      </c>
      <c r="B197" s="9">
        <v>0.25694444444444448</v>
      </c>
      <c r="C197" s="5" t="s">
        <v>20</v>
      </c>
      <c r="D197" s="5">
        <v>8</v>
      </c>
      <c r="E197" s="15"/>
      <c r="F197" s="15" t="s">
        <v>23</v>
      </c>
      <c r="G197" s="13">
        <v>5220</v>
      </c>
      <c r="H197" s="13">
        <v>2720</v>
      </c>
      <c r="I197" s="13"/>
      <c r="J197" s="13"/>
      <c r="K197" s="13"/>
      <c r="L197" s="13"/>
      <c r="M197" s="13"/>
      <c r="N197" s="12"/>
      <c r="O197" s="12"/>
      <c r="P197" s="8" t="s">
        <v>40</v>
      </c>
    </row>
    <row r="198" spans="1:16" ht="24" customHeight="1" x14ac:dyDescent="0.25">
      <c r="A198" s="5">
        <v>37</v>
      </c>
      <c r="B198" s="9">
        <v>0.34861111111111115</v>
      </c>
      <c r="C198" s="5" t="s">
        <v>20</v>
      </c>
      <c r="D198" s="5">
        <v>8</v>
      </c>
      <c r="E198" s="15"/>
      <c r="F198" s="15" t="s">
        <v>23</v>
      </c>
      <c r="G198" s="13">
        <v>3880</v>
      </c>
      <c r="H198" s="13">
        <v>8540</v>
      </c>
      <c r="I198" s="13"/>
      <c r="J198" s="13"/>
      <c r="K198" s="13"/>
      <c r="L198" s="13"/>
      <c r="M198" s="13"/>
      <c r="N198" s="12"/>
      <c r="O198" s="12"/>
      <c r="P198" s="8" t="s">
        <v>39</v>
      </c>
    </row>
    <row r="199" spans="1:16" ht="24" customHeight="1" x14ac:dyDescent="0.25">
      <c r="A199" s="5">
        <v>38</v>
      </c>
      <c r="B199" s="9">
        <v>0.3611111111111111</v>
      </c>
      <c r="C199" s="5" t="s">
        <v>20</v>
      </c>
      <c r="D199" s="5">
        <v>12</v>
      </c>
      <c r="E199" s="15"/>
      <c r="F199" s="15" t="s">
        <v>45</v>
      </c>
      <c r="G199" s="13">
        <v>7460</v>
      </c>
      <c r="H199" s="13">
        <v>2720</v>
      </c>
      <c r="I199" s="13">
        <v>5920</v>
      </c>
      <c r="J199" s="13">
        <v>4840</v>
      </c>
      <c r="K199" s="13">
        <v>4300</v>
      </c>
      <c r="L199" s="13">
        <v>5380</v>
      </c>
      <c r="M199" s="13"/>
      <c r="N199" s="12"/>
      <c r="O199" s="12"/>
      <c r="P199" s="8" t="s">
        <v>37</v>
      </c>
    </row>
    <row r="200" spans="1:16" ht="24" customHeight="1" x14ac:dyDescent="0.25">
      <c r="A200" s="5">
        <v>39</v>
      </c>
      <c r="B200" s="9">
        <v>0.36736111111111108</v>
      </c>
      <c r="C200" s="5" t="s">
        <v>20</v>
      </c>
      <c r="D200" s="5">
        <v>12</v>
      </c>
      <c r="E200" s="15"/>
      <c r="F200" s="15" t="s">
        <v>26</v>
      </c>
      <c r="G200" s="13">
        <v>8440</v>
      </c>
      <c r="H200" s="13">
        <v>14460</v>
      </c>
      <c r="I200" s="13">
        <v>13400</v>
      </c>
      <c r="J200" s="13">
        <v>14520</v>
      </c>
      <c r="K200" s="13">
        <v>15360</v>
      </c>
      <c r="L200" s="13">
        <v>18020</v>
      </c>
      <c r="M200" s="13"/>
      <c r="N200" s="12"/>
      <c r="O200" s="12"/>
      <c r="P200" s="8" t="s">
        <v>35</v>
      </c>
    </row>
    <row r="201" spans="1:16" ht="24" customHeight="1" x14ac:dyDescent="0.25">
      <c r="A201" s="5">
        <v>40</v>
      </c>
      <c r="B201" s="9">
        <v>0.3888888888888889</v>
      </c>
      <c r="C201" s="5" t="s">
        <v>20</v>
      </c>
      <c r="D201" s="5">
        <v>8</v>
      </c>
      <c r="E201" s="15"/>
      <c r="F201" s="15" t="s">
        <v>23</v>
      </c>
      <c r="G201" s="13">
        <v>3980</v>
      </c>
      <c r="H201" s="13">
        <v>8600</v>
      </c>
      <c r="I201" s="13"/>
      <c r="J201" s="13"/>
      <c r="K201" s="13"/>
      <c r="L201" s="13"/>
      <c r="M201" s="13"/>
      <c r="N201" s="12"/>
      <c r="O201" s="12"/>
      <c r="P201" s="8" t="s">
        <v>40</v>
      </c>
    </row>
    <row r="202" spans="1:16" ht="24" customHeight="1" x14ac:dyDescent="0.25">
      <c r="A202" s="5">
        <v>41</v>
      </c>
      <c r="B202" s="9">
        <v>0.39513888888888887</v>
      </c>
      <c r="C202" s="5" t="s">
        <v>20</v>
      </c>
      <c r="D202" s="5">
        <v>8</v>
      </c>
      <c r="E202" s="15"/>
      <c r="F202" s="15" t="s">
        <v>23</v>
      </c>
      <c r="G202" s="13">
        <v>2400</v>
      </c>
      <c r="H202" s="13">
        <v>4600</v>
      </c>
      <c r="I202" s="13"/>
      <c r="J202" s="13"/>
      <c r="K202" s="13"/>
      <c r="L202" s="13"/>
      <c r="M202" s="13"/>
      <c r="N202" s="12"/>
      <c r="O202" s="12"/>
      <c r="P202" s="8" t="s">
        <v>35</v>
      </c>
    </row>
    <row r="203" spans="1:16" ht="24" customHeight="1" x14ac:dyDescent="0.25">
      <c r="A203" s="5">
        <v>42</v>
      </c>
      <c r="B203" s="9">
        <v>0.40138888888888885</v>
      </c>
      <c r="C203" s="5" t="s">
        <v>20</v>
      </c>
      <c r="D203" s="5">
        <v>8</v>
      </c>
      <c r="E203" s="15"/>
      <c r="F203" s="15" t="s">
        <v>23</v>
      </c>
      <c r="G203" s="13">
        <v>4340</v>
      </c>
      <c r="H203" s="13">
        <v>12600</v>
      </c>
      <c r="I203" s="13"/>
      <c r="J203" s="13"/>
      <c r="K203" s="13"/>
      <c r="L203" s="13"/>
      <c r="M203" s="13"/>
      <c r="N203" s="12"/>
      <c r="O203" s="12"/>
      <c r="P203" s="8" t="s">
        <v>40</v>
      </c>
    </row>
    <row r="204" spans="1:16" ht="24" customHeight="1" x14ac:dyDescent="0.25">
      <c r="A204" s="5">
        <v>43</v>
      </c>
      <c r="B204" s="9">
        <v>0.40902777777777777</v>
      </c>
      <c r="C204" s="5" t="s">
        <v>20</v>
      </c>
      <c r="D204" s="5">
        <v>8</v>
      </c>
      <c r="E204" s="15"/>
      <c r="F204" s="15" t="s">
        <v>23</v>
      </c>
      <c r="G204" s="13">
        <v>3080</v>
      </c>
      <c r="H204" s="13">
        <v>6840</v>
      </c>
      <c r="I204" s="13"/>
      <c r="J204" s="13"/>
      <c r="K204" s="13"/>
      <c r="L204" s="13"/>
      <c r="M204" s="13"/>
      <c r="N204" s="12"/>
      <c r="O204" s="12"/>
      <c r="P204" s="8" t="s">
        <v>35</v>
      </c>
    </row>
    <row r="205" spans="1:16" ht="24" customHeight="1" x14ac:dyDescent="0.25">
      <c r="A205" s="5">
        <v>44</v>
      </c>
      <c r="B205" s="9">
        <v>0.42083333333333334</v>
      </c>
      <c r="C205" s="5" t="s">
        <v>20</v>
      </c>
      <c r="D205" s="5">
        <v>8</v>
      </c>
      <c r="E205" s="15"/>
      <c r="F205" s="15" t="s">
        <v>23</v>
      </c>
      <c r="G205" s="13">
        <v>6980</v>
      </c>
      <c r="H205" s="13">
        <v>8200</v>
      </c>
      <c r="I205" s="13"/>
      <c r="J205" s="13"/>
      <c r="K205" s="13"/>
      <c r="L205" s="13"/>
      <c r="M205" s="13"/>
      <c r="N205" s="12"/>
      <c r="O205" s="12"/>
      <c r="P205" s="8" t="s">
        <v>39</v>
      </c>
    </row>
    <row r="206" spans="1:16" ht="24" customHeight="1" x14ac:dyDescent="0.25">
      <c r="A206" s="5">
        <v>45</v>
      </c>
      <c r="B206" s="9">
        <v>0.4236111111111111</v>
      </c>
      <c r="C206" s="5" t="s">
        <v>20</v>
      </c>
      <c r="D206" s="5">
        <v>12</v>
      </c>
      <c r="E206" s="15"/>
      <c r="F206" s="15" t="s">
        <v>26</v>
      </c>
      <c r="G206" s="13">
        <v>5460</v>
      </c>
      <c r="H206" s="13">
        <v>14800</v>
      </c>
      <c r="I206" s="13"/>
      <c r="J206" s="13"/>
      <c r="K206" s="13"/>
      <c r="L206" s="13"/>
      <c r="M206" s="13"/>
      <c r="N206" s="12"/>
      <c r="O206" s="12"/>
      <c r="P206" s="8" t="s">
        <v>40</v>
      </c>
    </row>
    <row r="207" spans="1:16" ht="24" customHeight="1" x14ac:dyDescent="0.25">
      <c r="A207" s="5">
        <v>46</v>
      </c>
      <c r="B207" s="9">
        <v>0.43124999999999997</v>
      </c>
      <c r="C207" s="5" t="s">
        <v>20</v>
      </c>
      <c r="D207" s="5">
        <v>8</v>
      </c>
      <c r="E207" s="15"/>
      <c r="F207" s="15" t="s">
        <v>23</v>
      </c>
      <c r="G207" s="13">
        <v>5860</v>
      </c>
      <c r="H207" s="13">
        <v>16200</v>
      </c>
      <c r="I207" s="13"/>
      <c r="J207" s="13"/>
      <c r="K207" s="13"/>
      <c r="L207" s="13"/>
      <c r="M207" s="13"/>
      <c r="N207" s="12"/>
      <c r="O207" s="12"/>
      <c r="P207" s="8" t="s">
        <v>40</v>
      </c>
    </row>
    <row r="208" spans="1:16" ht="24" customHeight="1" x14ac:dyDescent="0.25">
      <c r="A208" s="5">
        <v>47</v>
      </c>
      <c r="B208" s="9">
        <v>0.43263888888888885</v>
      </c>
      <c r="C208" s="5" t="s">
        <v>20</v>
      </c>
      <c r="D208" s="5">
        <v>8</v>
      </c>
      <c r="E208" s="15"/>
      <c r="F208" s="15" t="s">
        <v>23</v>
      </c>
      <c r="G208" s="13">
        <v>3200</v>
      </c>
      <c r="H208" s="13">
        <v>4500</v>
      </c>
      <c r="I208" s="13"/>
      <c r="J208" s="13"/>
      <c r="K208" s="13"/>
      <c r="L208" s="13"/>
      <c r="M208" s="13"/>
      <c r="N208" s="12"/>
      <c r="O208" s="12"/>
      <c r="P208" s="8" t="s">
        <v>37</v>
      </c>
    </row>
    <row r="209" spans="1:16" ht="24" customHeight="1" x14ac:dyDescent="0.25">
      <c r="A209" s="5">
        <v>48</v>
      </c>
      <c r="B209" s="9">
        <v>0.43888888888888888</v>
      </c>
      <c r="C209" s="5" t="s">
        <v>20</v>
      </c>
      <c r="D209" s="5">
        <v>8</v>
      </c>
      <c r="E209" s="15"/>
      <c r="F209" s="15" t="s">
        <v>23</v>
      </c>
      <c r="G209" s="13">
        <v>5180</v>
      </c>
      <c r="H209" s="13">
        <v>14600</v>
      </c>
      <c r="I209" s="13"/>
      <c r="J209" s="13"/>
      <c r="K209" s="13"/>
      <c r="L209" s="13"/>
      <c r="M209" s="13"/>
      <c r="N209" s="12"/>
      <c r="O209" s="12"/>
      <c r="P209" s="8" t="s">
        <v>40</v>
      </c>
    </row>
    <row r="210" spans="1:16" ht="24" customHeight="1" x14ac:dyDescent="0.25">
      <c r="A210" s="5">
        <v>49</v>
      </c>
      <c r="B210" s="9">
        <v>0.44513888888888892</v>
      </c>
      <c r="C210" s="5" t="s">
        <v>20</v>
      </c>
      <c r="D210" s="5">
        <v>8</v>
      </c>
      <c r="E210" s="15"/>
      <c r="F210" s="15" t="s">
        <v>23</v>
      </c>
      <c r="G210" s="13">
        <v>3400</v>
      </c>
      <c r="H210" s="13">
        <v>6000</v>
      </c>
      <c r="I210" s="13"/>
      <c r="J210" s="13"/>
      <c r="K210" s="13"/>
      <c r="L210" s="13"/>
      <c r="M210" s="13"/>
      <c r="N210" s="12"/>
      <c r="O210" s="12"/>
      <c r="P210" s="8" t="s">
        <v>35</v>
      </c>
    </row>
    <row r="211" spans="1:16" ht="24" customHeight="1" x14ac:dyDescent="0.25">
      <c r="A211" s="5">
        <v>50</v>
      </c>
      <c r="B211" s="9">
        <v>0.45416666666666666</v>
      </c>
      <c r="C211" s="5" t="s">
        <v>20</v>
      </c>
      <c r="D211" s="5">
        <v>8</v>
      </c>
      <c r="E211" s="15"/>
      <c r="F211" s="15" t="s">
        <v>23</v>
      </c>
      <c r="G211" s="13">
        <v>5880</v>
      </c>
      <c r="H211" s="13">
        <v>14400</v>
      </c>
      <c r="I211" s="13"/>
      <c r="J211" s="13"/>
      <c r="K211" s="13"/>
      <c r="L211" s="13"/>
      <c r="M211" s="13"/>
      <c r="N211" s="12"/>
      <c r="O211" s="12"/>
      <c r="P211" s="8" t="s">
        <v>36</v>
      </c>
    </row>
    <row r="212" spans="1:16" ht="24" customHeight="1" thickBot="1" x14ac:dyDescent="0.3">
      <c r="A212" s="32"/>
      <c r="B212" s="9"/>
      <c r="C212" s="5"/>
      <c r="D212" s="5"/>
      <c r="E212" s="15"/>
      <c r="F212" s="15"/>
      <c r="G212" s="13"/>
      <c r="H212" s="13"/>
      <c r="I212" s="13"/>
      <c r="J212" s="13"/>
      <c r="K212" s="13"/>
      <c r="L212" s="13"/>
      <c r="M212" s="13"/>
      <c r="N212" s="12"/>
      <c r="O212" s="12"/>
      <c r="P212" s="8"/>
    </row>
    <row r="213" spans="1:16" ht="24" customHeight="1" thickBot="1" x14ac:dyDescent="0.3">
      <c r="A213" s="11"/>
      <c r="B213" s="9"/>
      <c r="C213" s="5"/>
      <c r="D213" s="5"/>
      <c r="E213" s="15"/>
      <c r="F213" s="15"/>
      <c r="G213" s="13"/>
      <c r="H213" s="13"/>
      <c r="I213" s="13"/>
      <c r="J213" s="13"/>
      <c r="K213" s="13"/>
      <c r="L213" s="13"/>
      <c r="M213" s="13"/>
      <c r="N213" s="12"/>
      <c r="O213" s="12"/>
      <c r="P213" s="8"/>
    </row>
    <row r="214" spans="1:16" ht="24" customHeight="1" thickBot="1" x14ac:dyDescent="0.3">
      <c r="A214" s="11"/>
      <c r="B214" s="9"/>
      <c r="C214" s="5"/>
      <c r="D214" s="5"/>
      <c r="E214" s="15"/>
      <c r="F214" s="15"/>
      <c r="G214" s="13"/>
      <c r="H214" s="13"/>
      <c r="I214" s="13"/>
      <c r="J214" s="13"/>
      <c r="K214" s="13"/>
      <c r="L214" s="13"/>
      <c r="M214" s="13"/>
      <c r="N214" s="12"/>
      <c r="O214" s="12"/>
      <c r="P214" s="8"/>
    </row>
    <row r="215" spans="1:16" ht="24" customHeight="1" thickBot="1" x14ac:dyDescent="0.3">
      <c r="A215" s="11"/>
      <c r="B215" s="9"/>
      <c r="C215" s="5"/>
      <c r="D215" s="5"/>
      <c r="E215" s="15"/>
      <c r="F215" s="15"/>
      <c r="G215" s="13"/>
      <c r="H215" s="13"/>
      <c r="I215" s="13"/>
      <c r="J215" s="13"/>
      <c r="K215" s="13"/>
      <c r="L215" s="13"/>
      <c r="M215" s="13"/>
      <c r="N215" s="12"/>
      <c r="O215" s="12"/>
      <c r="P215" s="8"/>
    </row>
    <row r="216" spans="1:16" ht="24" customHeight="1" thickBot="1" x14ac:dyDescent="0.3">
      <c r="A216" s="11"/>
      <c r="B216" s="9"/>
      <c r="C216" s="5"/>
      <c r="D216" s="5"/>
      <c r="E216" s="15"/>
      <c r="F216" s="15"/>
      <c r="G216" s="13"/>
      <c r="H216" s="13"/>
      <c r="I216" s="13"/>
      <c r="J216" s="13"/>
      <c r="K216" s="13"/>
      <c r="L216" s="13"/>
      <c r="M216" s="13"/>
      <c r="N216" s="12"/>
      <c r="O216" s="12"/>
      <c r="P216" s="8"/>
    </row>
    <row r="217" spans="1:16" ht="24" customHeight="1" thickBot="1" x14ac:dyDescent="0.3">
      <c r="A217" s="11"/>
      <c r="B217" s="9"/>
      <c r="C217" s="5"/>
      <c r="D217" s="5"/>
      <c r="E217" s="15"/>
      <c r="F217" s="15"/>
      <c r="G217" s="13"/>
      <c r="H217" s="13"/>
      <c r="I217" s="13"/>
      <c r="J217" s="13"/>
      <c r="K217" s="13"/>
      <c r="L217" s="13"/>
      <c r="M217" s="13"/>
      <c r="N217" s="12"/>
      <c r="O217" s="12"/>
      <c r="P217" s="8"/>
    </row>
    <row r="218" spans="1:16" ht="24" customHeight="1" thickBot="1" x14ac:dyDescent="0.3">
      <c r="A218" s="11"/>
      <c r="B218" s="9"/>
      <c r="C218" s="5"/>
      <c r="D218" s="5"/>
      <c r="E218" s="15"/>
      <c r="F218" s="15"/>
      <c r="G218" s="13"/>
      <c r="H218" s="13"/>
      <c r="I218" s="13"/>
      <c r="J218" s="13"/>
      <c r="K218" s="13"/>
      <c r="L218" s="13"/>
      <c r="M218" s="13"/>
      <c r="N218" s="12"/>
      <c r="O218" s="12"/>
      <c r="P218" s="8"/>
    </row>
    <row r="219" spans="1:16" ht="24" customHeight="1" thickBot="1" x14ac:dyDescent="0.3">
      <c r="A219" s="11"/>
      <c r="B219" s="9"/>
      <c r="C219" s="5"/>
      <c r="D219" s="5"/>
      <c r="E219" s="15"/>
      <c r="F219" s="15"/>
      <c r="G219" s="13"/>
      <c r="H219" s="13"/>
      <c r="I219" s="13"/>
      <c r="J219" s="13"/>
      <c r="K219" s="13"/>
      <c r="L219" s="13"/>
      <c r="M219" s="13"/>
      <c r="N219" s="12"/>
      <c r="O219" s="12"/>
      <c r="P219" s="8"/>
    </row>
    <row r="220" spans="1:16" ht="24" customHeight="1" thickBot="1" x14ac:dyDescent="0.3">
      <c r="A220" s="11"/>
      <c r="B220" s="9"/>
      <c r="C220" s="5"/>
      <c r="D220" s="5"/>
      <c r="E220" s="15"/>
      <c r="F220" s="15"/>
      <c r="G220" s="13"/>
      <c r="H220" s="13"/>
      <c r="I220" s="13"/>
      <c r="J220" s="13"/>
      <c r="K220" s="13"/>
      <c r="L220" s="13"/>
      <c r="M220" s="13"/>
      <c r="N220" s="12"/>
      <c r="O220" s="12"/>
      <c r="P220" s="8"/>
    </row>
    <row r="221" spans="1:16" ht="24" customHeight="1" thickBot="1" x14ac:dyDescent="0.3">
      <c r="A221" s="11"/>
      <c r="B221" s="9"/>
      <c r="C221" s="5"/>
      <c r="D221" s="5"/>
      <c r="E221" s="15"/>
      <c r="F221" s="15"/>
      <c r="G221" s="13"/>
      <c r="H221" s="13"/>
      <c r="I221" s="13"/>
      <c r="J221" s="13"/>
      <c r="K221" s="13"/>
      <c r="L221" s="13"/>
      <c r="M221" s="13"/>
      <c r="N221" s="12"/>
      <c r="O221" s="12"/>
      <c r="P221" s="8"/>
    </row>
    <row r="222" spans="1:16" ht="24" customHeight="1" thickBot="1" x14ac:dyDescent="0.3">
      <c r="A222" s="11"/>
      <c r="B222" s="9"/>
      <c r="C222" s="5"/>
      <c r="D222" s="5"/>
      <c r="E222" s="15"/>
      <c r="F222" s="15"/>
      <c r="G222" s="13"/>
      <c r="H222" s="13"/>
      <c r="I222" s="13"/>
      <c r="J222" s="13"/>
      <c r="K222" s="13"/>
      <c r="L222" s="13"/>
      <c r="M222" s="13"/>
      <c r="N222" s="12"/>
      <c r="O222" s="12"/>
      <c r="P222" s="8"/>
    </row>
    <row r="223" spans="1:16" ht="24" customHeight="1" thickBot="1" x14ac:dyDescent="0.3">
      <c r="A223" s="11"/>
      <c r="B223" s="9"/>
      <c r="C223" s="5"/>
      <c r="D223" s="5"/>
      <c r="E223" s="15"/>
      <c r="F223" s="15"/>
      <c r="G223" s="13"/>
      <c r="H223" s="13"/>
      <c r="I223" s="13"/>
      <c r="J223" s="13"/>
      <c r="K223" s="13"/>
      <c r="L223" s="13"/>
      <c r="M223" s="13"/>
      <c r="N223" s="12"/>
      <c r="O223" s="12"/>
      <c r="P223" s="8"/>
    </row>
    <row r="224" spans="1:16" ht="24" customHeight="1" thickBot="1" x14ac:dyDescent="0.3">
      <c r="A224" s="11"/>
      <c r="B224" s="9"/>
      <c r="C224" s="5"/>
      <c r="D224" s="5"/>
      <c r="E224" s="15"/>
      <c r="F224" s="15"/>
      <c r="G224" s="13"/>
      <c r="H224" s="13"/>
      <c r="I224" s="13"/>
      <c r="J224" s="13"/>
      <c r="K224" s="13"/>
      <c r="L224" s="13"/>
      <c r="M224" s="13"/>
      <c r="N224" s="12"/>
      <c r="O224" s="12"/>
      <c r="P224" s="8"/>
    </row>
    <row r="225" spans="1:16" ht="24" customHeight="1" thickBot="1" x14ac:dyDescent="0.3">
      <c r="A225" s="11"/>
      <c r="B225" s="9"/>
      <c r="C225" s="5"/>
      <c r="D225" s="5"/>
      <c r="E225" s="15"/>
      <c r="F225" s="15"/>
      <c r="G225" s="13"/>
      <c r="H225" s="13"/>
      <c r="I225" s="13"/>
      <c r="J225" s="13"/>
      <c r="K225" s="13"/>
      <c r="L225" s="13"/>
      <c r="M225" s="13"/>
      <c r="N225" s="12"/>
      <c r="O225" s="12"/>
      <c r="P225" s="8"/>
    </row>
    <row r="226" spans="1:16" ht="24" customHeight="1" thickBot="1" x14ac:dyDescent="0.3">
      <c r="A226" s="11"/>
      <c r="B226" s="9"/>
      <c r="C226" s="5"/>
      <c r="D226" s="5"/>
      <c r="E226" s="15"/>
      <c r="F226" s="15"/>
      <c r="G226" s="13"/>
      <c r="H226" s="13"/>
      <c r="I226" s="13"/>
      <c r="J226" s="13"/>
      <c r="K226" s="13"/>
      <c r="L226" s="13"/>
      <c r="M226" s="13"/>
      <c r="N226" s="12"/>
      <c r="O226" s="12"/>
      <c r="P226" s="8"/>
    </row>
    <row r="227" spans="1:16" ht="24" customHeight="1" thickBot="1" x14ac:dyDescent="0.3">
      <c r="A227" s="11"/>
      <c r="B227" s="9"/>
      <c r="C227" s="5"/>
      <c r="D227" s="5"/>
      <c r="E227" s="15"/>
      <c r="F227" s="15"/>
      <c r="G227" s="13"/>
      <c r="H227" s="13"/>
      <c r="I227" s="13"/>
      <c r="J227" s="13"/>
      <c r="K227" s="13"/>
      <c r="L227" s="13"/>
      <c r="M227" s="13"/>
      <c r="N227" s="12"/>
      <c r="O227" s="12"/>
      <c r="P227" s="8"/>
    </row>
    <row r="228" spans="1:16" ht="24" customHeight="1" thickBot="1" x14ac:dyDescent="0.3">
      <c r="A228" s="11"/>
      <c r="B228" s="9"/>
      <c r="C228" s="5"/>
      <c r="D228" s="5"/>
      <c r="E228" s="15"/>
      <c r="F228" s="15"/>
      <c r="G228" s="13"/>
      <c r="H228" s="13"/>
      <c r="I228" s="13"/>
      <c r="J228" s="13"/>
      <c r="K228" s="13"/>
      <c r="L228" s="13"/>
      <c r="M228" s="13"/>
      <c r="N228" s="12"/>
      <c r="O228" s="12"/>
      <c r="P228" s="8"/>
    </row>
    <row r="229" spans="1:16" ht="24" customHeight="1" thickBot="1" x14ac:dyDescent="0.3">
      <c r="A229" s="11"/>
      <c r="B229" s="9"/>
      <c r="C229" s="5"/>
      <c r="D229" s="5"/>
      <c r="E229" s="15"/>
      <c r="F229" s="15"/>
      <c r="G229" s="13"/>
      <c r="H229" s="13"/>
      <c r="I229" s="13"/>
      <c r="J229" s="13"/>
      <c r="K229" s="13"/>
      <c r="L229" s="13"/>
      <c r="M229" s="13"/>
      <c r="N229" s="12"/>
      <c r="O229" s="12"/>
      <c r="P229" s="8"/>
    </row>
    <row r="230" spans="1:16" ht="24" customHeight="1" thickBot="1" x14ac:dyDescent="0.3">
      <c r="A230" s="11"/>
      <c r="B230" s="9"/>
      <c r="C230" s="5"/>
      <c r="D230" s="5"/>
      <c r="E230" s="15"/>
      <c r="F230" s="15"/>
      <c r="G230" s="13"/>
      <c r="H230" s="13"/>
      <c r="I230" s="13"/>
      <c r="J230" s="13"/>
      <c r="K230" s="13"/>
      <c r="L230" s="13"/>
      <c r="M230" s="13"/>
      <c r="N230" s="12"/>
      <c r="O230" s="12"/>
      <c r="P230" s="8"/>
    </row>
    <row r="231" spans="1:16" ht="24" customHeight="1" thickBot="1" x14ac:dyDescent="0.3">
      <c r="A231" s="11"/>
      <c r="B231" s="9"/>
      <c r="C231" s="5"/>
      <c r="D231" s="5"/>
      <c r="E231" s="15"/>
      <c r="F231" s="15"/>
      <c r="G231" s="13"/>
      <c r="H231" s="13"/>
      <c r="I231" s="13"/>
      <c r="J231" s="13"/>
      <c r="K231" s="13"/>
      <c r="L231" s="13"/>
      <c r="M231" s="13"/>
      <c r="N231" s="12"/>
      <c r="O231" s="12"/>
      <c r="P231" s="8"/>
    </row>
    <row r="232" spans="1:16" ht="24" customHeight="1" thickBot="1" x14ac:dyDescent="0.3">
      <c r="A232" s="11"/>
      <c r="B232" s="9"/>
      <c r="C232" s="5"/>
      <c r="D232" s="5"/>
      <c r="E232" s="15"/>
      <c r="F232" s="15"/>
      <c r="G232" s="13"/>
      <c r="H232" s="13"/>
      <c r="I232" s="13"/>
      <c r="J232" s="13"/>
      <c r="K232" s="13"/>
      <c r="L232" s="13"/>
      <c r="M232" s="13"/>
      <c r="N232" s="12"/>
      <c r="O232" s="12"/>
      <c r="P232" s="8"/>
    </row>
    <row r="233" spans="1:16" ht="24" customHeight="1" thickBot="1" x14ac:dyDescent="0.3">
      <c r="A233" s="11"/>
      <c r="B233" s="9"/>
      <c r="C233" s="5"/>
      <c r="D233" s="5"/>
      <c r="E233" s="15"/>
      <c r="F233" s="15"/>
      <c r="G233" s="13"/>
      <c r="H233" s="13"/>
      <c r="I233" s="13"/>
      <c r="J233" s="13"/>
      <c r="K233" s="13"/>
      <c r="L233" s="13"/>
      <c r="M233" s="13"/>
      <c r="N233" s="12"/>
      <c r="O233" s="12"/>
      <c r="P233" s="8"/>
    </row>
    <row r="234" spans="1:16" ht="24" customHeight="1" thickBot="1" x14ac:dyDescent="0.3">
      <c r="A234" s="11"/>
      <c r="B234" s="9"/>
      <c r="C234" s="5"/>
      <c r="D234" s="5"/>
      <c r="E234" s="15"/>
      <c r="F234" s="15"/>
      <c r="G234" s="13"/>
      <c r="H234" s="13"/>
      <c r="I234" s="13"/>
      <c r="J234" s="13"/>
      <c r="K234" s="13"/>
      <c r="L234" s="13"/>
      <c r="M234" s="13"/>
      <c r="N234" s="12"/>
      <c r="O234" s="12"/>
      <c r="P234" s="8"/>
    </row>
    <row r="235" spans="1:16" ht="24" customHeight="1" thickBot="1" x14ac:dyDescent="0.3">
      <c r="A235" s="11"/>
      <c r="B235" s="9"/>
      <c r="C235" s="5"/>
      <c r="D235" s="5"/>
      <c r="E235" s="15"/>
      <c r="F235" s="15"/>
      <c r="G235" s="13"/>
      <c r="H235" s="13"/>
      <c r="I235" s="13"/>
      <c r="J235" s="13"/>
      <c r="K235" s="13"/>
      <c r="L235" s="13"/>
      <c r="M235" s="13"/>
      <c r="N235" s="12"/>
      <c r="O235" s="12"/>
      <c r="P235" s="8"/>
    </row>
    <row r="236" spans="1:16" ht="24" customHeight="1" thickBot="1" x14ac:dyDescent="0.3">
      <c r="A236" s="11"/>
      <c r="B236" s="9"/>
      <c r="C236" s="5"/>
      <c r="D236" s="5"/>
      <c r="E236" s="15"/>
      <c r="F236" s="15"/>
      <c r="G236" s="13"/>
      <c r="H236" s="13"/>
      <c r="I236" s="13"/>
      <c r="J236" s="13"/>
      <c r="K236" s="13"/>
      <c r="L236" s="13"/>
      <c r="M236" s="13"/>
      <c r="N236" s="12"/>
      <c r="O236" s="12"/>
      <c r="P236" s="8"/>
    </row>
    <row r="237" spans="1:16" ht="24" customHeight="1" thickBot="1" x14ac:dyDescent="0.3">
      <c r="A237" s="11"/>
      <c r="B237" s="9"/>
      <c r="C237" s="5"/>
      <c r="D237" s="5"/>
      <c r="E237" s="15"/>
      <c r="F237" s="15"/>
      <c r="G237" s="13"/>
      <c r="H237" s="13"/>
      <c r="I237" s="13"/>
      <c r="J237" s="13"/>
      <c r="K237" s="13"/>
      <c r="L237" s="13"/>
      <c r="M237" s="13"/>
      <c r="N237" s="12"/>
      <c r="O237" s="12"/>
      <c r="P237" s="8"/>
    </row>
    <row r="238" spans="1:16" ht="24" customHeight="1" thickBot="1" x14ac:dyDescent="0.3">
      <c r="A238" s="11"/>
      <c r="B238" s="9"/>
      <c r="C238" s="5"/>
      <c r="D238" s="5"/>
      <c r="E238" s="15"/>
      <c r="F238" s="15"/>
      <c r="G238" s="13"/>
      <c r="H238" s="13"/>
      <c r="I238" s="13"/>
      <c r="J238" s="13"/>
      <c r="K238" s="13"/>
      <c r="L238" s="13"/>
      <c r="M238" s="13"/>
      <c r="N238" s="12"/>
      <c r="O238" s="12"/>
      <c r="P238" s="8"/>
    </row>
    <row r="239" spans="1:16" ht="24" customHeight="1" thickBot="1" x14ac:dyDescent="0.3">
      <c r="A239" s="11"/>
      <c r="B239" s="9"/>
      <c r="C239" s="5"/>
      <c r="D239" s="5"/>
      <c r="E239" s="15"/>
      <c r="F239" s="15"/>
      <c r="G239" s="13"/>
      <c r="H239" s="13"/>
      <c r="I239" s="13"/>
      <c r="J239" s="13"/>
      <c r="K239" s="13"/>
      <c r="L239" s="13"/>
      <c r="M239" s="13"/>
      <c r="N239" s="12"/>
      <c r="O239" s="12"/>
      <c r="P239" s="8"/>
    </row>
    <row r="240" spans="1:16" ht="24" customHeight="1" thickBot="1" x14ac:dyDescent="0.3">
      <c r="A240" s="11"/>
      <c r="B240" s="9"/>
      <c r="C240" s="5"/>
      <c r="D240" s="5"/>
      <c r="E240" s="15"/>
      <c r="F240" s="15"/>
      <c r="G240" s="13"/>
      <c r="H240" s="13"/>
      <c r="I240" s="13"/>
      <c r="J240" s="13"/>
      <c r="K240" s="13"/>
      <c r="L240" s="13"/>
      <c r="M240" s="13"/>
      <c r="N240" s="12"/>
      <c r="O240" s="12"/>
      <c r="P240" s="8"/>
    </row>
    <row r="241" spans="1:16" ht="24" customHeight="1" thickBot="1" x14ac:dyDescent="0.3">
      <c r="A241" s="11"/>
      <c r="B241" s="9"/>
      <c r="C241" s="5"/>
      <c r="D241" s="5"/>
      <c r="E241" s="15"/>
      <c r="F241" s="15"/>
      <c r="G241" s="13"/>
      <c r="H241" s="13"/>
      <c r="I241" s="13"/>
      <c r="J241" s="13"/>
      <c r="K241" s="13"/>
      <c r="L241" s="13"/>
      <c r="M241" s="13"/>
      <c r="N241" s="12"/>
      <c r="O241" s="12"/>
      <c r="P241" s="8"/>
    </row>
    <row r="242" spans="1:16" ht="24" customHeight="1" thickBot="1" x14ac:dyDescent="0.3">
      <c r="A242" s="11"/>
      <c r="B242" s="9"/>
      <c r="C242" s="5"/>
      <c r="D242" s="5"/>
      <c r="E242" s="15"/>
      <c r="F242" s="15"/>
      <c r="G242" s="13"/>
      <c r="H242" s="13"/>
      <c r="I242" s="13"/>
      <c r="J242" s="13"/>
      <c r="K242" s="13"/>
      <c r="L242" s="13"/>
      <c r="M242" s="13"/>
      <c r="N242" s="12"/>
      <c r="O242" s="12"/>
      <c r="P242" s="8"/>
    </row>
    <row r="243" spans="1:16" ht="24" customHeight="1" thickBot="1" x14ac:dyDescent="0.3">
      <c r="A243" s="11"/>
      <c r="B243" s="9"/>
      <c r="C243" s="5"/>
      <c r="D243" s="5"/>
      <c r="E243" s="15"/>
      <c r="F243" s="15"/>
      <c r="G243" s="13"/>
      <c r="H243" s="13"/>
      <c r="I243" s="13"/>
      <c r="J243" s="13"/>
      <c r="K243" s="13"/>
      <c r="L243" s="13"/>
      <c r="M243" s="13"/>
      <c r="N243" s="12"/>
      <c r="O243" s="12"/>
      <c r="P243" s="8"/>
    </row>
    <row r="244" spans="1:16" ht="24" customHeight="1" thickBot="1" x14ac:dyDescent="0.3">
      <c r="A244" s="11"/>
      <c r="B244" s="9"/>
      <c r="C244" s="5"/>
      <c r="D244" s="5"/>
      <c r="E244" s="15"/>
      <c r="F244" s="15"/>
      <c r="G244" s="13"/>
      <c r="H244" s="13"/>
      <c r="I244" s="13"/>
      <c r="J244" s="13"/>
      <c r="K244" s="13"/>
      <c r="L244" s="13"/>
      <c r="M244" s="13"/>
      <c r="N244" s="12"/>
      <c r="O244" s="12"/>
      <c r="P244" s="8"/>
    </row>
    <row r="245" spans="1:16" ht="24" customHeight="1" thickBot="1" x14ac:dyDescent="0.3">
      <c r="A245" s="11"/>
      <c r="B245" s="9"/>
      <c r="C245" s="5"/>
      <c r="D245" s="5"/>
      <c r="E245" s="15"/>
      <c r="F245" s="15"/>
      <c r="G245" s="13"/>
      <c r="H245" s="13"/>
      <c r="I245" s="13"/>
      <c r="J245" s="13"/>
      <c r="K245" s="13"/>
      <c r="L245" s="13"/>
      <c r="M245" s="13"/>
      <c r="N245" s="12"/>
      <c r="O245" s="12"/>
      <c r="P245" s="8"/>
    </row>
    <row r="246" spans="1:16" ht="24" customHeight="1" thickBot="1" x14ac:dyDescent="0.3">
      <c r="A246" s="11"/>
      <c r="B246" s="9"/>
      <c r="C246" s="5"/>
      <c r="D246" s="5"/>
      <c r="E246" s="15"/>
      <c r="F246" s="15"/>
      <c r="G246" s="13"/>
      <c r="H246" s="13"/>
      <c r="I246" s="13"/>
      <c r="J246" s="13"/>
      <c r="K246" s="13"/>
      <c r="L246" s="13"/>
      <c r="M246" s="13"/>
      <c r="N246" s="12"/>
      <c r="O246" s="12"/>
      <c r="P246" s="8"/>
    </row>
    <row r="247" spans="1:16" ht="24" customHeight="1" thickBot="1" x14ac:dyDescent="0.3">
      <c r="A247" s="11"/>
      <c r="B247" s="9"/>
      <c r="C247" s="5"/>
      <c r="D247" s="5"/>
      <c r="E247" s="15"/>
      <c r="F247" s="15"/>
      <c r="G247" s="13"/>
      <c r="H247" s="13"/>
      <c r="I247" s="13"/>
      <c r="J247" s="13"/>
      <c r="K247" s="13"/>
      <c r="L247" s="13"/>
      <c r="M247" s="13"/>
      <c r="N247" s="12"/>
      <c r="O247" s="12"/>
      <c r="P247" s="8"/>
    </row>
    <row r="248" spans="1:16" ht="24" customHeight="1" thickBot="1" x14ac:dyDescent="0.3">
      <c r="A248" s="11"/>
      <c r="B248" s="9"/>
      <c r="C248" s="5"/>
      <c r="D248" s="5"/>
      <c r="E248" s="15"/>
      <c r="F248" s="15"/>
      <c r="G248" s="13"/>
      <c r="H248" s="13"/>
      <c r="I248" s="13"/>
      <c r="J248" s="13"/>
      <c r="K248" s="13"/>
      <c r="L248" s="13"/>
      <c r="M248" s="13"/>
      <c r="N248" s="12"/>
      <c r="O248" s="12"/>
      <c r="P248" s="8"/>
    </row>
    <row r="249" spans="1:16" ht="24" customHeight="1" thickBot="1" x14ac:dyDescent="0.3">
      <c r="A249" s="11"/>
      <c r="B249" s="9"/>
      <c r="C249" s="5"/>
      <c r="D249" s="5"/>
      <c r="E249" s="15"/>
      <c r="F249" s="15"/>
      <c r="G249" s="13"/>
      <c r="H249" s="13"/>
      <c r="I249" s="13"/>
      <c r="J249" s="13"/>
      <c r="K249" s="13"/>
      <c r="L249" s="13"/>
      <c r="M249" s="13"/>
      <c r="N249" s="12"/>
      <c r="O249" s="12"/>
      <c r="P249" s="8"/>
    </row>
    <row r="250" spans="1:16" ht="24" customHeight="1" thickBot="1" x14ac:dyDescent="0.3">
      <c r="A250" s="11"/>
      <c r="B250" s="9"/>
      <c r="C250" s="5"/>
      <c r="D250" s="5"/>
      <c r="E250" s="15"/>
      <c r="F250" s="15"/>
      <c r="G250" s="13"/>
      <c r="H250" s="13"/>
      <c r="I250" s="13"/>
      <c r="J250" s="13"/>
      <c r="K250" s="13"/>
      <c r="L250" s="13"/>
      <c r="M250" s="13"/>
      <c r="N250" s="12"/>
      <c r="O250" s="12"/>
      <c r="P250" s="8"/>
    </row>
    <row r="251" spans="1:16" ht="24" customHeight="1" thickBot="1" x14ac:dyDescent="0.3">
      <c r="A251" s="11"/>
      <c r="B251" s="9"/>
      <c r="C251" s="5"/>
      <c r="D251" s="5"/>
      <c r="E251" s="15"/>
      <c r="F251" s="15"/>
      <c r="G251" s="13"/>
      <c r="H251" s="13"/>
      <c r="I251" s="13"/>
      <c r="J251" s="13"/>
      <c r="K251" s="13"/>
      <c r="L251" s="13"/>
      <c r="M251" s="13"/>
      <c r="N251" s="12"/>
      <c r="O251" s="12"/>
      <c r="P251" s="8"/>
    </row>
    <row r="252" spans="1:16" ht="24" customHeight="1" thickBot="1" x14ac:dyDescent="0.3">
      <c r="A252" s="11"/>
      <c r="B252" s="9"/>
      <c r="C252" s="5"/>
      <c r="D252" s="5"/>
      <c r="E252" s="15"/>
      <c r="F252" s="15"/>
      <c r="G252" s="13"/>
      <c r="H252" s="13"/>
      <c r="I252" s="13"/>
      <c r="J252" s="13"/>
      <c r="K252" s="13"/>
      <c r="L252" s="13"/>
      <c r="M252" s="13"/>
      <c r="N252" s="12"/>
      <c r="O252" s="12"/>
      <c r="P252" s="8"/>
    </row>
    <row r="253" spans="1:16" ht="24" customHeight="1" thickBot="1" x14ac:dyDescent="0.3">
      <c r="A253" s="11"/>
      <c r="B253" s="9"/>
      <c r="C253" s="5"/>
      <c r="D253" s="5"/>
      <c r="E253" s="15"/>
      <c r="F253" s="15"/>
      <c r="G253" s="13"/>
      <c r="H253" s="13"/>
      <c r="I253" s="13"/>
      <c r="J253" s="13"/>
      <c r="K253" s="13"/>
      <c r="L253" s="13"/>
      <c r="M253" s="13"/>
      <c r="N253" s="12"/>
      <c r="O253" s="12"/>
      <c r="P253" s="8"/>
    </row>
    <row r="254" spans="1:16" ht="24" customHeight="1" thickBot="1" x14ac:dyDescent="0.3">
      <c r="A254" s="11"/>
      <c r="B254" s="9"/>
      <c r="C254" s="5"/>
      <c r="D254" s="5"/>
      <c r="E254" s="15"/>
      <c r="F254" s="15"/>
      <c r="G254" s="13"/>
      <c r="H254" s="13"/>
      <c r="I254" s="13"/>
      <c r="J254" s="13"/>
      <c r="K254" s="13"/>
      <c r="L254" s="13"/>
      <c r="M254" s="13"/>
      <c r="N254" s="12"/>
      <c r="O254" s="12"/>
      <c r="P254" s="8"/>
    </row>
    <row r="255" spans="1:16" ht="24" customHeight="1" thickBot="1" x14ac:dyDescent="0.3">
      <c r="A255" s="11"/>
      <c r="B255" s="9"/>
      <c r="C255" s="5"/>
      <c r="D255" s="5"/>
      <c r="E255" s="15"/>
      <c r="F255" s="15"/>
      <c r="G255" s="13"/>
      <c r="H255" s="13"/>
      <c r="I255" s="13"/>
      <c r="J255" s="13"/>
      <c r="K255" s="13"/>
      <c r="L255" s="13"/>
      <c r="M255" s="13"/>
      <c r="N255" s="12"/>
      <c r="O255" s="12"/>
      <c r="P255" s="8"/>
    </row>
    <row r="256" spans="1:16" ht="24" customHeight="1" thickBot="1" x14ac:dyDescent="0.3">
      <c r="A256" s="11"/>
      <c r="B256" s="9"/>
      <c r="C256" s="5"/>
      <c r="D256" s="5"/>
      <c r="E256" s="15"/>
      <c r="F256" s="15"/>
      <c r="G256" s="13"/>
      <c r="H256" s="13"/>
      <c r="I256" s="13"/>
      <c r="J256" s="13"/>
      <c r="K256" s="13"/>
      <c r="L256" s="13"/>
      <c r="M256" s="13"/>
      <c r="N256" s="12"/>
      <c r="O256" s="12"/>
      <c r="P256" s="8"/>
    </row>
    <row r="257" spans="1:16" ht="24" customHeight="1" thickBot="1" x14ac:dyDescent="0.3">
      <c r="A257" s="11"/>
      <c r="B257" s="9"/>
      <c r="C257" s="5"/>
      <c r="D257" s="5"/>
      <c r="E257" s="15"/>
      <c r="F257" s="15"/>
      <c r="G257" s="13"/>
      <c r="H257" s="13"/>
      <c r="I257" s="13"/>
      <c r="J257" s="13"/>
      <c r="K257" s="13"/>
      <c r="L257" s="13"/>
      <c r="M257" s="13"/>
      <c r="N257" s="12"/>
      <c r="O257" s="12"/>
      <c r="P257" s="8"/>
    </row>
    <row r="258" spans="1:16" ht="24" customHeight="1" thickBot="1" x14ac:dyDescent="0.3">
      <c r="A258" s="11"/>
      <c r="B258" s="9"/>
      <c r="C258" s="5"/>
      <c r="D258" s="5"/>
      <c r="E258" s="15"/>
      <c r="F258" s="15"/>
      <c r="G258" s="13"/>
      <c r="H258" s="13"/>
      <c r="I258" s="13"/>
      <c r="J258" s="13"/>
      <c r="K258" s="13"/>
      <c r="L258" s="13"/>
      <c r="M258" s="13"/>
      <c r="N258" s="12"/>
      <c r="O258" s="12"/>
      <c r="P258" s="8"/>
    </row>
    <row r="259" spans="1:16" ht="24" customHeight="1" thickBot="1" x14ac:dyDescent="0.3">
      <c r="A259" s="11"/>
      <c r="B259" s="9"/>
      <c r="C259" s="5"/>
      <c r="D259" s="5"/>
      <c r="E259" s="15"/>
      <c r="F259" s="15"/>
      <c r="G259" s="13"/>
      <c r="H259" s="13"/>
      <c r="I259" s="13"/>
      <c r="J259" s="13"/>
      <c r="K259" s="13"/>
      <c r="L259" s="13"/>
      <c r="M259" s="13"/>
      <c r="N259" s="12"/>
      <c r="O259" s="12"/>
      <c r="P259" s="8"/>
    </row>
    <row r="260" spans="1:16" ht="24" customHeight="1" thickBot="1" x14ac:dyDescent="0.3">
      <c r="A260" s="11"/>
      <c r="B260" s="9"/>
      <c r="C260" s="5"/>
      <c r="D260" s="5"/>
      <c r="E260" s="15"/>
      <c r="F260" s="15"/>
      <c r="G260" s="13"/>
      <c r="H260" s="13"/>
      <c r="I260" s="13"/>
      <c r="J260" s="13"/>
      <c r="K260" s="13"/>
      <c r="L260" s="13"/>
      <c r="M260" s="13"/>
      <c r="N260" s="12"/>
      <c r="O260" s="12"/>
      <c r="P260" s="8"/>
    </row>
    <row r="261" spans="1:16" ht="24" customHeight="1" thickBot="1" x14ac:dyDescent="0.3">
      <c r="A261" s="11"/>
      <c r="B261" s="9"/>
      <c r="C261" s="5"/>
      <c r="D261" s="5"/>
      <c r="E261" s="15"/>
      <c r="F261" s="15"/>
      <c r="G261" s="13"/>
      <c r="H261" s="13"/>
      <c r="I261" s="13"/>
      <c r="J261" s="13"/>
      <c r="K261" s="13"/>
      <c r="L261" s="13"/>
      <c r="M261" s="13"/>
      <c r="N261" s="12"/>
      <c r="O261" s="12"/>
      <c r="P261" s="8"/>
    </row>
    <row r="262" spans="1:16" ht="24" customHeight="1" thickBot="1" x14ac:dyDescent="0.3">
      <c r="A262" s="11"/>
      <c r="B262" s="9"/>
      <c r="C262" s="5"/>
      <c r="D262" s="5"/>
      <c r="E262" s="15"/>
      <c r="F262" s="15"/>
      <c r="G262" s="13"/>
      <c r="H262" s="13"/>
      <c r="I262" s="13"/>
      <c r="J262" s="13"/>
      <c r="K262" s="13"/>
      <c r="L262" s="13"/>
      <c r="M262" s="13"/>
      <c r="N262" s="12"/>
      <c r="O262" s="12"/>
      <c r="P262" s="8"/>
    </row>
    <row r="263" spans="1:16" ht="24" customHeight="1" thickBot="1" x14ac:dyDescent="0.3">
      <c r="A263" s="11"/>
      <c r="B263" s="9"/>
      <c r="C263" s="5"/>
      <c r="D263" s="5"/>
      <c r="E263" s="15"/>
      <c r="F263" s="15"/>
      <c r="G263" s="13"/>
      <c r="H263" s="13"/>
      <c r="I263" s="13"/>
      <c r="J263" s="13"/>
      <c r="K263" s="13"/>
      <c r="L263" s="13"/>
      <c r="M263" s="13"/>
      <c r="N263" s="12"/>
      <c r="O263" s="12"/>
      <c r="P263" s="8"/>
    </row>
    <row r="264" spans="1:16" ht="24" customHeight="1" thickBot="1" x14ac:dyDescent="0.3">
      <c r="A264" s="11"/>
      <c r="B264" s="9"/>
      <c r="C264" s="5"/>
      <c r="D264" s="5"/>
      <c r="E264" s="15"/>
      <c r="F264" s="15"/>
      <c r="G264" s="13"/>
      <c r="H264" s="13"/>
      <c r="I264" s="13"/>
      <c r="J264" s="13"/>
      <c r="K264" s="13"/>
      <c r="L264" s="13"/>
      <c r="M264" s="13"/>
      <c r="N264" s="12"/>
      <c r="O264" s="12"/>
      <c r="P264" s="8"/>
    </row>
    <row r="265" spans="1:16" ht="24" customHeight="1" thickBot="1" x14ac:dyDescent="0.3">
      <c r="A265" s="11"/>
      <c r="B265" s="9"/>
      <c r="C265" s="5"/>
      <c r="D265" s="5"/>
      <c r="E265" s="15"/>
      <c r="F265" s="15"/>
      <c r="G265" s="13"/>
      <c r="H265" s="13"/>
      <c r="I265" s="13"/>
      <c r="J265" s="13"/>
      <c r="K265" s="13"/>
      <c r="L265" s="13"/>
      <c r="M265" s="13"/>
      <c r="N265" s="12"/>
      <c r="O265" s="12"/>
      <c r="P265" s="8"/>
    </row>
    <row r="266" spans="1:16" ht="24" customHeight="1" thickBot="1" x14ac:dyDescent="0.3">
      <c r="A266" s="11"/>
      <c r="B266" s="9"/>
      <c r="C266" s="5"/>
      <c r="D266" s="5"/>
      <c r="E266" s="15"/>
      <c r="F266" s="15"/>
      <c r="G266" s="13"/>
      <c r="H266" s="13"/>
      <c r="I266" s="13"/>
      <c r="J266" s="13"/>
      <c r="K266" s="13"/>
      <c r="L266" s="13"/>
      <c r="M266" s="13"/>
      <c r="N266" s="12"/>
      <c r="O266" s="12"/>
      <c r="P266" s="8"/>
    </row>
    <row r="267" spans="1:16" ht="24" customHeight="1" thickBot="1" x14ac:dyDescent="0.3">
      <c r="A267" s="11"/>
      <c r="B267" s="9"/>
      <c r="C267" s="5"/>
      <c r="D267" s="5"/>
      <c r="E267" s="15"/>
      <c r="F267" s="15"/>
      <c r="G267" s="13"/>
      <c r="H267" s="13"/>
      <c r="I267" s="13"/>
      <c r="J267" s="13"/>
      <c r="K267" s="13"/>
      <c r="L267" s="13"/>
      <c r="M267" s="13"/>
      <c r="N267" s="12"/>
      <c r="O267" s="12"/>
      <c r="P267" s="8"/>
    </row>
    <row r="268" spans="1:16" ht="24" customHeight="1" thickBot="1" x14ac:dyDescent="0.3">
      <c r="A268" s="11"/>
      <c r="B268" s="9"/>
      <c r="C268" s="5"/>
      <c r="D268" s="5"/>
      <c r="E268" s="15"/>
      <c r="F268" s="15"/>
      <c r="G268" s="13"/>
      <c r="H268" s="13"/>
      <c r="I268" s="13"/>
      <c r="J268" s="13"/>
      <c r="K268" s="13"/>
      <c r="L268" s="13"/>
      <c r="M268" s="13"/>
      <c r="N268" s="12"/>
      <c r="O268" s="12"/>
      <c r="P268" s="8"/>
    </row>
    <row r="269" spans="1:16" ht="24" customHeight="1" thickBot="1" x14ac:dyDescent="0.3">
      <c r="A269" s="11"/>
      <c r="B269" s="9"/>
      <c r="C269" s="5"/>
      <c r="D269" s="5"/>
      <c r="E269" s="15"/>
      <c r="F269" s="15"/>
      <c r="G269" s="13"/>
      <c r="H269" s="13"/>
      <c r="I269" s="13"/>
      <c r="J269" s="13"/>
      <c r="K269" s="13"/>
      <c r="L269" s="13"/>
      <c r="M269" s="13"/>
      <c r="N269" s="12"/>
      <c r="O269" s="12"/>
      <c r="P269" s="8"/>
    </row>
    <row r="270" spans="1:16" ht="24" customHeight="1" thickBot="1" x14ac:dyDescent="0.3">
      <c r="A270" s="11"/>
      <c r="B270" s="9"/>
      <c r="C270" s="5"/>
      <c r="D270" s="5"/>
      <c r="E270" s="15"/>
      <c r="F270" s="15"/>
      <c r="G270" s="13"/>
      <c r="H270" s="13"/>
      <c r="I270" s="13"/>
      <c r="J270" s="13"/>
      <c r="K270" s="13"/>
      <c r="L270" s="13"/>
      <c r="M270" s="13"/>
      <c r="N270" s="12"/>
      <c r="O270" s="12"/>
      <c r="P270" s="8"/>
    </row>
    <row r="271" spans="1:16" ht="24" customHeight="1" thickBot="1" x14ac:dyDescent="0.3">
      <c r="A271" s="11"/>
      <c r="B271" s="9"/>
      <c r="C271" s="5"/>
      <c r="D271" s="5"/>
      <c r="E271" s="15"/>
      <c r="F271" s="15"/>
      <c r="G271" s="13"/>
      <c r="H271" s="13"/>
      <c r="I271" s="13"/>
      <c r="J271" s="13"/>
      <c r="K271" s="13"/>
      <c r="L271" s="13"/>
      <c r="M271" s="13"/>
      <c r="N271" s="12"/>
      <c r="O271" s="12"/>
      <c r="P271" s="8"/>
    </row>
    <row r="272" spans="1:16" ht="24" customHeight="1" thickBot="1" x14ac:dyDescent="0.3">
      <c r="A272" s="11"/>
      <c r="B272" s="9"/>
      <c r="C272" s="5"/>
      <c r="D272" s="5"/>
      <c r="E272" s="15"/>
      <c r="F272" s="15"/>
      <c r="G272" s="13"/>
      <c r="H272" s="13"/>
      <c r="I272" s="13"/>
      <c r="J272" s="13"/>
      <c r="K272" s="13"/>
      <c r="L272" s="13"/>
      <c r="M272" s="13"/>
      <c r="N272" s="12"/>
      <c r="O272" s="12"/>
      <c r="P272" s="8"/>
    </row>
    <row r="273" spans="1:16" ht="24" customHeight="1" thickBot="1" x14ac:dyDescent="0.3">
      <c r="A273" s="11"/>
      <c r="B273" s="9"/>
      <c r="C273" s="5"/>
      <c r="D273" s="5"/>
      <c r="E273" s="15"/>
      <c r="F273" s="15"/>
      <c r="G273" s="13"/>
      <c r="H273" s="13"/>
      <c r="I273" s="13"/>
      <c r="J273" s="13"/>
      <c r="K273" s="13"/>
      <c r="L273" s="13"/>
      <c r="M273" s="13"/>
      <c r="N273" s="12"/>
      <c r="O273" s="12"/>
      <c r="P273" s="8"/>
    </row>
    <row r="274" spans="1:16" ht="24" customHeight="1" thickBot="1" x14ac:dyDescent="0.3">
      <c r="A274" s="11"/>
      <c r="B274" s="9"/>
      <c r="C274" s="5"/>
      <c r="D274" s="5"/>
      <c r="E274" s="15"/>
      <c r="F274" s="15"/>
      <c r="G274" s="13"/>
      <c r="H274" s="13"/>
      <c r="I274" s="13"/>
      <c r="J274" s="13"/>
      <c r="K274" s="13"/>
      <c r="L274" s="13"/>
      <c r="M274" s="13"/>
      <c r="N274" s="12"/>
      <c r="O274" s="12"/>
      <c r="P274" s="8"/>
    </row>
    <row r="275" spans="1:16" ht="24" customHeight="1" thickBot="1" x14ac:dyDescent="0.3">
      <c r="A275" s="11"/>
      <c r="B275" s="9"/>
      <c r="C275" s="5"/>
      <c r="D275" s="5"/>
      <c r="E275" s="15"/>
      <c r="F275" s="15"/>
      <c r="G275" s="13"/>
      <c r="H275" s="13"/>
      <c r="I275" s="13"/>
      <c r="J275" s="13"/>
      <c r="K275" s="13"/>
      <c r="L275" s="13"/>
      <c r="M275" s="13"/>
      <c r="N275" s="12"/>
      <c r="O275" s="12"/>
      <c r="P275" s="8"/>
    </row>
    <row r="276" spans="1:16" ht="24" customHeight="1" thickBot="1" x14ac:dyDescent="0.3">
      <c r="A276" s="11"/>
      <c r="B276" s="9"/>
      <c r="C276" s="5"/>
      <c r="D276" s="5"/>
      <c r="E276" s="15"/>
      <c r="F276" s="15"/>
      <c r="G276" s="13"/>
      <c r="H276" s="13"/>
      <c r="I276" s="13"/>
      <c r="J276" s="13"/>
      <c r="K276" s="13"/>
      <c r="L276" s="13"/>
      <c r="M276" s="13"/>
      <c r="N276" s="12"/>
      <c r="O276" s="12"/>
      <c r="P276" s="8"/>
    </row>
    <row r="277" spans="1:16" ht="24" customHeight="1" thickBot="1" x14ac:dyDescent="0.3">
      <c r="A277" s="11"/>
      <c r="B277" s="9"/>
      <c r="C277" s="5"/>
      <c r="D277" s="5"/>
      <c r="E277" s="15"/>
      <c r="F277" s="15"/>
      <c r="G277" s="13"/>
      <c r="H277" s="13"/>
      <c r="I277" s="13"/>
      <c r="J277" s="13"/>
      <c r="K277" s="13"/>
      <c r="L277" s="13"/>
      <c r="M277" s="13"/>
      <c r="N277" s="12"/>
      <c r="O277" s="12"/>
      <c r="P277" s="8"/>
    </row>
    <row r="278" spans="1:16" ht="24" customHeight="1" thickBot="1" x14ac:dyDescent="0.3">
      <c r="A278" s="11"/>
      <c r="B278" s="9"/>
      <c r="C278" s="5"/>
      <c r="D278" s="5"/>
      <c r="E278" s="15"/>
      <c r="F278" s="15"/>
      <c r="G278" s="13"/>
      <c r="H278" s="13"/>
      <c r="I278" s="13"/>
      <c r="J278" s="13"/>
      <c r="K278" s="13"/>
      <c r="L278" s="13"/>
      <c r="M278" s="13"/>
      <c r="N278" s="12"/>
      <c r="O278" s="12"/>
      <c r="P278" s="8"/>
    </row>
    <row r="279" spans="1:16" ht="24" customHeight="1" thickBot="1" x14ac:dyDescent="0.3">
      <c r="A279" s="11"/>
      <c r="B279" s="9"/>
      <c r="C279" s="5"/>
      <c r="D279" s="5"/>
      <c r="E279" s="15"/>
      <c r="F279" s="15"/>
      <c r="G279" s="13"/>
      <c r="H279" s="13"/>
      <c r="I279" s="13"/>
      <c r="J279" s="13"/>
      <c r="K279" s="13"/>
      <c r="L279" s="13"/>
      <c r="M279" s="13"/>
      <c r="N279" s="12"/>
      <c r="O279" s="12"/>
      <c r="P279" s="8"/>
    </row>
    <row r="280" spans="1:16" ht="24" customHeight="1" thickBot="1" x14ac:dyDescent="0.3">
      <c r="A280" s="11"/>
      <c r="B280" s="9"/>
      <c r="C280" s="5"/>
      <c r="D280" s="5"/>
      <c r="E280" s="15"/>
      <c r="F280" s="15"/>
      <c r="G280" s="13"/>
      <c r="H280" s="13"/>
      <c r="I280" s="13"/>
      <c r="J280" s="13"/>
      <c r="K280" s="13"/>
      <c r="L280" s="13"/>
      <c r="M280" s="13"/>
      <c r="N280" s="12"/>
      <c r="O280" s="12"/>
      <c r="P280" s="8"/>
    </row>
    <row r="281" spans="1:16" ht="24" customHeight="1" thickBot="1" x14ac:dyDescent="0.3">
      <c r="A281" s="11"/>
      <c r="B281" s="9"/>
      <c r="C281" s="5"/>
      <c r="D281" s="5"/>
      <c r="E281" s="15"/>
      <c r="F281" s="15"/>
      <c r="G281" s="13"/>
      <c r="H281" s="13"/>
      <c r="I281" s="13"/>
      <c r="J281" s="13"/>
      <c r="K281" s="13"/>
      <c r="L281" s="13"/>
      <c r="M281" s="13"/>
      <c r="N281" s="12"/>
      <c r="O281" s="12"/>
      <c r="P281" s="8"/>
    </row>
    <row r="282" spans="1:16" ht="24" customHeight="1" thickBot="1" x14ac:dyDescent="0.3">
      <c r="A282" s="11"/>
      <c r="B282" s="9"/>
      <c r="C282" s="5"/>
      <c r="D282" s="5"/>
      <c r="E282" s="15"/>
      <c r="F282" s="15"/>
      <c r="G282" s="13"/>
      <c r="H282" s="13"/>
      <c r="I282" s="13"/>
      <c r="J282" s="13"/>
      <c r="K282" s="13"/>
      <c r="L282" s="13"/>
      <c r="M282" s="13"/>
      <c r="N282" s="12"/>
      <c r="O282" s="12"/>
      <c r="P282" s="8"/>
    </row>
    <row r="283" spans="1:16" ht="24" customHeight="1" thickBot="1" x14ac:dyDescent="0.3">
      <c r="A283" s="11"/>
      <c r="B283" s="9"/>
      <c r="C283" s="5"/>
      <c r="D283" s="5"/>
      <c r="E283" s="15"/>
      <c r="F283" s="15"/>
      <c r="G283" s="13"/>
      <c r="H283" s="13"/>
      <c r="I283" s="13"/>
      <c r="J283" s="13"/>
      <c r="K283" s="13"/>
      <c r="L283" s="13"/>
      <c r="M283" s="13"/>
      <c r="N283" s="12"/>
      <c r="O283" s="12"/>
      <c r="P283" s="8"/>
    </row>
    <row r="284" spans="1:16" ht="24" customHeight="1" thickBot="1" x14ac:dyDescent="0.3">
      <c r="A284" s="11"/>
      <c r="B284" s="9"/>
      <c r="C284" s="5"/>
      <c r="D284" s="5"/>
      <c r="E284" s="15"/>
      <c r="F284" s="15"/>
      <c r="G284" s="13"/>
      <c r="H284" s="13"/>
      <c r="I284" s="13"/>
      <c r="J284" s="13"/>
      <c r="K284" s="13"/>
      <c r="L284" s="13"/>
      <c r="M284" s="13"/>
      <c r="N284" s="12"/>
      <c r="O284" s="12"/>
      <c r="P284" s="8"/>
    </row>
    <row r="285" spans="1:16" ht="24" customHeight="1" thickBot="1" x14ac:dyDescent="0.3">
      <c r="A285" s="11"/>
      <c r="B285" s="9"/>
      <c r="C285" s="5"/>
      <c r="D285" s="5"/>
      <c r="E285" s="15"/>
      <c r="F285" s="15"/>
      <c r="G285" s="13"/>
      <c r="H285" s="13"/>
      <c r="I285" s="13"/>
      <c r="J285" s="13"/>
      <c r="K285" s="13"/>
      <c r="L285" s="13"/>
      <c r="M285" s="13"/>
      <c r="N285" s="12"/>
      <c r="O285" s="12"/>
      <c r="P285" s="8"/>
    </row>
    <row r="286" spans="1:16" ht="24" customHeight="1" thickBot="1" x14ac:dyDescent="0.3">
      <c r="A286" s="11"/>
      <c r="B286" s="9"/>
      <c r="C286" s="5"/>
      <c r="D286" s="5"/>
      <c r="E286" s="15"/>
      <c r="F286" s="15"/>
      <c r="G286" s="13"/>
      <c r="H286" s="13"/>
      <c r="I286" s="13"/>
      <c r="J286" s="13"/>
      <c r="K286" s="13"/>
      <c r="L286" s="13"/>
      <c r="M286" s="13"/>
      <c r="N286" s="12"/>
      <c r="O286" s="12"/>
      <c r="P286" s="8"/>
    </row>
    <row r="287" spans="1:16" ht="24" customHeight="1" thickBot="1" x14ac:dyDescent="0.3">
      <c r="A287" s="11"/>
      <c r="B287" s="9"/>
      <c r="C287" s="5"/>
      <c r="D287" s="5"/>
      <c r="E287" s="15"/>
      <c r="F287" s="15"/>
      <c r="G287" s="13"/>
      <c r="H287" s="13"/>
      <c r="I287" s="13"/>
      <c r="J287" s="13"/>
      <c r="K287" s="13"/>
      <c r="L287" s="13"/>
      <c r="M287" s="13"/>
      <c r="N287" s="12"/>
      <c r="O287" s="12"/>
      <c r="P287" s="8"/>
    </row>
    <row r="288" spans="1:16" ht="24" customHeight="1" thickBot="1" x14ac:dyDescent="0.3">
      <c r="A288" s="11"/>
      <c r="B288" s="9"/>
      <c r="C288" s="5"/>
      <c r="D288" s="5"/>
      <c r="E288" s="15"/>
      <c r="F288" s="15"/>
      <c r="G288" s="13"/>
      <c r="H288" s="13"/>
      <c r="I288" s="13"/>
      <c r="J288" s="13"/>
      <c r="K288" s="13"/>
      <c r="L288" s="13"/>
      <c r="M288" s="13"/>
      <c r="N288" s="12"/>
      <c r="O288" s="12"/>
      <c r="P288" s="8"/>
    </row>
    <row r="289" spans="1:16" ht="24" customHeight="1" thickBot="1" x14ac:dyDescent="0.3">
      <c r="A289" s="11"/>
      <c r="B289" s="9"/>
      <c r="C289" s="5"/>
      <c r="D289" s="5"/>
      <c r="E289" s="15"/>
      <c r="F289" s="15"/>
      <c r="G289" s="13"/>
      <c r="H289" s="13"/>
      <c r="I289" s="13"/>
      <c r="J289" s="13"/>
      <c r="K289" s="13"/>
      <c r="L289" s="13"/>
      <c r="M289" s="13"/>
      <c r="N289" s="12"/>
      <c r="O289" s="12"/>
      <c r="P289" s="8"/>
    </row>
    <row r="290" spans="1:16" ht="24" customHeight="1" thickBot="1" x14ac:dyDescent="0.3">
      <c r="A290" s="11"/>
      <c r="B290" s="9"/>
      <c r="C290" s="5"/>
      <c r="D290" s="5"/>
      <c r="E290" s="15"/>
      <c r="F290" s="15"/>
      <c r="G290" s="13"/>
      <c r="H290" s="13"/>
      <c r="I290" s="13"/>
      <c r="J290" s="13"/>
      <c r="K290" s="13"/>
      <c r="L290" s="13"/>
      <c r="M290" s="13"/>
      <c r="N290" s="12"/>
      <c r="O290" s="12"/>
      <c r="P290" s="8"/>
    </row>
    <row r="291" spans="1:16" ht="24" customHeight="1" thickBot="1" x14ac:dyDescent="0.3">
      <c r="A291" s="11"/>
      <c r="B291" s="9"/>
      <c r="C291" s="5"/>
      <c r="D291" s="5"/>
      <c r="E291" s="15"/>
      <c r="F291" s="15"/>
      <c r="G291" s="13"/>
      <c r="H291" s="13"/>
      <c r="I291" s="13"/>
      <c r="J291" s="13"/>
      <c r="K291" s="13"/>
      <c r="L291" s="13"/>
      <c r="M291" s="13"/>
      <c r="N291" s="12"/>
      <c r="O291" s="12"/>
      <c r="P291" s="8"/>
    </row>
    <row r="292" spans="1:16" ht="24" customHeight="1" thickBot="1" x14ac:dyDescent="0.3">
      <c r="A292" s="11"/>
      <c r="B292" s="9"/>
      <c r="C292" s="5"/>
      <c r="D292" s="5"/>
      <c r="E292" s="15"/>
      <c r="F292" s="15"/>
      <c r="G292" s="13"/>
      <c r="H292" s="13"/>
      <c r="I292" s="13"/>
      <c r="J292" s="13"/>
      <c r="K292" s="13"/>
      <c r="L292" s="13"/>
      <c r="M292" s="13"/>
      <c r="N292" s="12"/>
      <c r="O292" s="12"/>
      <c r="P292" s="8"/>
    </row>
    <row r="293" spans="1:16" ht="24" customHeight="1" thickBot="1" x14ac:dyDescent="0.3">
      <c r="A293" s="11"/>
      <c r="B293" s="9"/>
      <c r="C293" s="5"/>
      <c r="D293" s="5"/>
      <c r="E293" s="15"/>
      <c r="F293" s="15"/>
      <c r="G293" s="13"/>
      <c r="H293" s="13"/>
      <c r="I293" s="13"/>
      <c r="J293" s="13"/>
      <c r="K293" s="13"/>
      <c r="L293" s="13"/>
      <c r="M293" s="13"/>
      <c r="N293" s="12"/>
      <c r="O293" s="12"/>
      <c r="P293" s="8"/>
    </row>
    <row r="294" spans="1:16" ht="24" customHeight="1" thickBot="1" x14ac:dyDescent="0.3">
      <c r="A294" s="11"/>
      <c r="B294" s="9"/>
      <c r="C294" s="5"/>
      <c r="D294" s="5"/>
      <c r="E294" s="15"/>
      <c r="F294" s="15"/>
      <c r="G294" s="13"/>
      <c r="H294" s="13"/>
      <c r="I294" s="13"/>
      <c r="J294" s="13"/>
      <c r="K294" s="13"/>
      <c r="L294" s="13"/>
      <c r="M294" s="13"/>
      <c r="N294" s="12"/>
      <c r="O294" s="12"/>
      <c r="P294" s="8"/>
    </row>
    <row r="295" spans="1:16" ht="24" customHeight="1" thickBot="1" x14ac:dyDescent="0.3">
      <c r="A295" s="11"/>
      <c r="B295" s="9"/>
      <c r="C295" s="5"/>
      <c r="D295" s="5"/>
      <c r="E295" s="15"/>
      <c r="F295" s="15"/>
      <c r="G295" s="13"/>
      <c r="H295" s="13"/>
      <c r="I295" s="13"/>
      <c r="J295" s="13"/>
      <c r="K295" s="13"/>
      <c r="L295" s="13"/>
      <c r="M295" s="13"/>
      <c r="N295" s="12"/>
      <c r="O295" s="12"/>
      <c r="P295" s="8"/>
    </row>
    <row r="296" spans="1:16" ht="24" customHeight="1" thickBot="1" x14ac:dyDescent="0.3">
      <c r="A296" s="11"/>
      <c r="B296" s="9"/>
      <c r="C296" s="5"/>
      <c r="D296" s="5"/>
      <c r="E296" s="15"/>
      <c r="F296" s="15"/>
      <c r="G296" s="13"/>
      <c r="H296" s="13"/>
      <c r="I296" s="13"/>
      <c r="J296" s="13"/>
      <c r="K296" s="13"/>
      <c r="L296" s="13"/>
      <c r="M296" s="13"/>
      <c r="N296" s="12"/>
      <c r="O296" s="12"/>
      <c r="P296" s="8"/>
    </row>
    <row r="297" spans="1:16" ht="24" customHeight="1" thickBot="1" x14ac:dyDescent="0.3">
      <c r="A297" s="11"/>
      <c r="B297" s="9"/>
      <c r="C297" s="5"/>
      <c r="D297" s="5"/>
      <c r="E297" s="15"/>
      <c r="F297" s="15"/>
      <c r="G297" s="13"/>
      <c r="H297" s="13"/>
      <c r="I297" s="13"/>
      <c r="J297" s="13"/>
      <c r="K297" s="13"/>
      <c r="L297" s="13"/>
      <c r="M297" s="13"/>
      <c r="N297" s="12"/>
      <c r="O297" s="12"/>
      <c r="P297" s="8"/>
    </row>
    <row r="298" spans="1:16" ht="24" customHeight="1" thickBot="1" x14ac:dyDescent="0.3">
      <c r="A298" s="11"/>
      <c r="B298" s="9"/>
      <c r="C298" s="5"/>
      <c r="D298" s="5"/>
      <c r="E298" s="15"/>
      <c r="F298" s="15"/>
      <c r="G298" s="13"/>
      <c r="H298" s="13"/>
      <c r="I298" s="13"/>
      <c r="J298" s="13"/>
      <c r="K298" s="13"/>
      <c r="L298" s="13"/>
      <c r="M298" s="13"/>
      <c r="N298" s="12"/>
      <c r="O298" s="12"/>
      <c r="P298" s="8"/>
    </row>
    <row r="299" spans="1:16" ht="24" customHeight="1" thickBot="1" x14ac:dyDescent="0.3">
      <c r="A299" s="11"/>
      <c r="B299" s="9"/>
      <c r="C299" s="5"/>
      <c r="D299" s="5"/>
      <c r="E299" s="15"/>
      <c r="F299" s="15"/>
      <c r="G299" s="13"/>
      <c r="H299" s="13"/>
      <c r="I299" s="13"/>
      <c r="J299" s="13"/>
      <c r="K299" s="13"/>
      <c r="L299" s="13"/>
      <c r="M299" s="13"/>
      <c r="N299" s="12"/>
      <c r="O299" s="12"/>
      <c r="P299" s="8"/>
    </row>
    <row r="300" spans="1:16" ht="24" customHeight="1" thickBot="1" x14ac:dyDescent="0.3">
      <c r="A300" s="11"/>
      <c r="B300" s="9"/>
      <c r="C300" s="5"/>
      <c r="D300" s="5"/>
      <c r="E300" s="15"/>
      <c r="F300" s="15"/>
      <c r="G300" s="13"/>
      <c r="H300" s="13"/>
      <c r="I300" s="13"/>
      <c r="J300" s="13"/>
      <c r="K300" s="13"/>
      <c r="L300" s="13"/>
      <c r="M300" s="13"/>
      <c r="N300" s="12"/>
      <c r="O300" s="12"/>
      <c r="P300" s="8"/>
    </row>
    <row r="301" spans="1:16" ht="24" customHeight="1" thickBot="1" x14ac:dyDescent="0.3">
      <c r="A301" s="11"/>
      <c r="B301" s="9"/>
      <c r="C301" s="5"/>
      <c r="D301" s="5"/>
      <c r="E301" s="15"/>
      <c r="F301" s="15"/>
      <c r="G301" s="13"/>
      <c r="H301" s="13"/>
      <c r="I301" s="13"/>
      <c r="J301" s="13"/>
      <c r="K301" s="13"/>
      <c r="L301" s="13"/>
      <c r="M301" s="13"/>
      <c r="N301" s="12"/>
      <c r="O301" s="12"/>
      <c r="P301" s="8"/>
    </row>
    <row r="302" spans="1:16" ht="24" customHeight="1" thickBot="1" x14ac:dyDescent="0.3">
      <c r="A302" s="11"/>
      <c r="B302" s="9"/>
      <c r="C302" s="5"/>
      <c r="D302" s="5"/>
      <c r="E302" s="15"/>
      <c r="F302" s="15"/>
      <c r="G302" s="13"/>
      <c r="H302" s="13"/>
      <c r="I302" s="13"/>
      <c r="J302" s="13"/>
      <c r="K302" s="13"/>
      <c r="L302" s="13"/>
      <c r="M302" s="13"/>
      <c r="N302" s="12"/>
      <c r="O302" s="12"/>
      <c r="P302" s="8"/>
    </row>
    <row r="303" spans="1:16" ht="24" customHeight="1" thickBot="1" x14ac:dyDescent="0.3">
      <c r="A303" s="11"/>
      <c r="B303" s="9"/>
      <c r="C303" s="5"/>
      <c r="D303" s="5"/>
      <c r="E303" s="15"/>
      <c r="F303" s="15"/>
      <c r="G303" s="13"/>
      <c r="H303" s="13"/>
      <c r="I303" s="13"/>
      <c r="J303" s="13"/>
      <c r="K303" s="13"/>
      <c r="L303" s="13"/>
      <c r="M303" s="13"/>
      <c r="N303" s="12"/>
      <c r="O303" s="12"/>
      <c r="P303" s="8"/>
    </row>
    <row r="304" spans="1:16" ht="24" customHeight="1" thickBot="1" x14ac:dyDescent="0.3">
      <c r="A304" s="11"/>
      <c r="B304" s="9"/>
      <c r="C304" s="5"/>
      <c r="D304" s="5"/>
      <c r="E304" s="15"/>
      <c r="F304" s="15"/>
      <c r="G304" s="13"/>
      <c r="H304" s="13"/>
      <c r="I304" s="13"/>
      <c r="J304" s="13"/>
      <c r="K304" s="13"/>
      <c r="L304" s="13"/>
      <c r="M304" s="13"/>
      <c r="N304" s="12"/>
      <c r="O304" s="12"/>
      <c r="P304" s="8"/>
    </row>
    <row r="305" spans="1:16" ht="24" customHeight="1" thickBot="1" x14ac:dyDescent="0.3">
      <c r="A305" s="11"/>
      <c r="B305" s="9"/>
      <c r="C305" s="5"/>
      <c r="D305" s="5"/>
      <c r="E305" s="15"/>
      <c r="F305" s="15"/>
      <c r="G305" s="13"/>
      <c r="H305" s="13"/>
      <c r="I305" s="13"/>
      <c r="J305" s="13"/>
      <c r="K305" s="13"/>
      <c r="L305" s="13"/>
      <c r="M305" s="13"/>
      <c r="N305" s="12"/>
      <c r="O305" s="12"/>
      <c r="P305" s="8"/>
    </row>
    <row r="306" spans="1:16" ht="24" customHeight="1" thickBot="1" x14ac:dyDescent="0.3">
      <c r="A306" s="11"/>
      <c r="B306" s="9"/>
      <c r="C306" s="5"/>
      <c r="D306" s="5"/>
      <c r="E306" s="15"/>
      <c r="F306" s="15"/>
      <c r="G306" s="13"/>
      <c r="H306" s="13"/>
      <c r="I306" s="13"/>
      <c r="J306" s="13"/>
      <c r="K306" s="13"/>
      <c r="L306" s="13"/>
      <c r="M306" s="13"/>
      <c r="N306" s="12"/>
      <c r="O306" s="12"/>
      <c r="P306" s="8"/>
    </row>
    <row r="307" spans="1:16" ht="24" customHeight="1" thickBot="1" x14ac:dyDescent="0.3">
      <c r="A307" s="11"/>
      <c r="B307" s="9"/>
      <c r="C307" s="5"/>
      <c r="D307" s="5"/>
      <c r="E307" s="15"/>
      <c r="F307" s="15"/>
      <c r="G307" s="13"/>
      <c r="H307" s="13"/>
      <c r="I307" s="13"/>
      <c r="J307" s="13"/>
      <c r="K307" s="13"/>
      <c r="L307" s="13"/>
      <c r="M307" s="13"/>
      <c r="N307" s="12"/>
      <c r="O307" s="12"/>
      <c r="P307" s="8"/>
    </row>
    <row r="308" spans="1:16" ht="24" customHeight="1" thickBot="1" x14ac:dyDescent="0.3">
      <c r="A308" s="11"/>
      <c r="B308" s="9"/>
      <c r="C308" s="5"/>
      <c r="D308" s="5"/>
      <c r="E308" s="15"/>
      <c r="F308" s="15"/>
      <c r="G308" s="13"/>
      <c r="H308" s="13"/>
      <c r="I308" s="13"/>
      <c r="J308" s="13"/>
      <c r="K308" s="13"/>
      <c r="L308" s="13"/>
      <c r="M308" s="13"/>
      <c r="N308" s="12"/>
      <c r="O308" s="12"/>
      <c r="P308" s="8"/>
    </row>
    <row r="309" spans="1:16" ht="24" customHeight="1" thickBot="1" x14ac:dyDescent="0.3">
      <c r="A309" s="11"/>
      <c r="B309" s="9"/>
      <c r="C309" s="5"/>
      <c r="D309" s="5"/>
      <c r="E309" s="15"/>
      <c r="F309" s="15"/>
      <c r="G309" s="13"/>
      <c r="H309" s="13"/>
      <c r="I309" s="13"/>
      <c r="J309" s="13"/>
      <c r="K309" s="13"/>
      <c r="L309" s="13"/>
      <c r="M309" s="13"/>
      <c r="N309" s="12"/>
      <c r="O309" s="12"/>
      <c r="P309" s="8"/>
    </row>
    <row r="310" spans="1:16" ht="24" customHeight="1" thickBot="1" x14ac:dyDescent="0.3">
      <c r="A310" s="11"/>
      <c r="B310" s="9"/>
      <c r="C310" s="5"/>
      <c r="D310" s="5"/>
      <c r="E310" s="15"/>
      <c r="F310" s="15"/>
      <c r="G310" s="13"/>
      <c r="H310" s="13"/>
      <c r="I310" s="13"/>
      <c r="J310" s="13"/>
      <c r="K310" s="13"/>
      <c r="L310" s="13"/>
      <c r="M310" s="13"/>
      <c r="N310" s="12"/>
      <c r="O310" s="12"/>
      <c r="P310" s="8"/>
    </row>
    <row r="311" spans="1:16" ht="24" customHeight="1" thickBot="1" x14ac:dyDescent="0.3">
      <c r="A311" s="11"/>
      <c r="B311" s="9"/>
      <c r="C311" s="5"/>
      <c r="D311" s="5"/>
      <c r="E311" s="15"/>
      <c r="F311" s="15"/>
      <c r="G311" s="13"/>
      <c r="H311" s="13"/>
      <c r="I311" s="13"/>
      <c r="J311" s="13"/>
      <c r="K311" s="13"/>
      <c r="L311" s="13"/>
      <c r="M311" s="13"/>
      <c r="N311" s="12"/>
      <c r="O311" s="12"/>
      <c r="P311" s="8"/>
    </row>
    <row r="312" spans="1:16" ht="24" customHeight="1" thickBot="1" x14ac:dyDescent="0.3">
      <c r="A312" s="11"/>
      <c r="B312" s="9"/>
      <c r="C312" s="5"/>
      <c r="D312" s="5"/>
      <c r="E312" s="15"/>
      <c r="F312" s="15"/>
      <c r="G312" s="13"/>
      <c r="H312" s="13"/>
      <c r="I312" s="13"/>
      <c r="J312" s="13"/>
      <c r="K312" s="13"/>
      <c r="L312" s="13"/>
      <c r="M312" s="13"/>
      <c r="N312" s="12"/>
      <c r="O312" s="12"/>
      <c r="P312" s="8"/>
    </row>
    <row r="313" spans="1:16" ht="24" customHeight="1" thickBot="1" x14ac:dyDescent="0.3">
      <c r="A313" s="11"/>
      <c r="B313" s="9"/>
      <c r="C313" s="5"/>
      <c r="D313" s="5"/>
      <c r="E313" s="15"/>
      <c r="F313" s="15"/>
      <c r="G313" s="13"/>
      <c r="H313" s="13"/>
      <c r="I313" s="13"/>
      <c r="J313" s="13"/>
      <c r="K313" s="13"/>
      <c r="L313" s="13"/>
      <c r="M313" s="13"/>
      <c r="N313" s="12"/>
      <c r="O313" s="12"/>
      <c r="P313" s="8"/>
    </row>
    <row r="314" spans="1:16" ht="24" customHeight="1" thickBot="1" x14ac:dyDescent="0.3">
      <c r="A314" s="11"/>
      <c r="B314" s="9"/>
      <c r="C314" s="5"/>
      <c r="D314" s="5"/>
      <c r="E314" s="15"/>
      <c r="F314" s="15"/>
      <c r="G314" s="13"/>
      <c r="H314" s="13"/>
      <c r="I314" s="13"/>
      <c r="J314" s="13"/>
      <c r="K314" s="13"/>
      <c r="L314" s="13"/>
      <c r="M314" s="13"/>
      <c r="N314" s="12"/>
      <c r="O314" s="12"/>
      <c r="P314" s="8"/>
    </row>
    <row r="315" spans="1:16" ht="24" customHeight="1" thickBot="1" x14ac:dyDescent="0.3">
      <c r="A315" s="11"/>
      <c r="B315" s="9"/>
      <c r="C315" s="5"/>
      <c r="D315" s="5"/>
      <c r="E315" s="15"/>
      <c r="F315" s="15"/>
      <c r="G315" s="13"/>
      <c r="H315" s="13"/>
      <c r="I315" s="13"/>
      <c r="J315" s="13"/>
      <c r="K315" s="13"/>
      <c r="L315" s="13"/>
      <c r="M315" s="13"/>
      <c r="N315" s="12"/>
      <c r="O315" s="12"/>
      <c r="P315" s="8"/>
    </row>
    <row r="316" spans="1:16" ht="24" customHeight="1" thickBot="1" x14ac:dyDescent="0.3">
      <c r="A316" s="11"/>
      <c r="B316" s="9"/>
      <c r="C316" s="5"/>
      <c r="D316" s="5"/>
      <c r="E316" s="15"/>
      <c r="F316" s="15"/>
      <c r="G316" s="13"/>
      <c r="H316" s="13"/>
      <c r="I316" s="13"/>
      <c r="J316" s="13"/>
      <c r="K316" s="13"/>
      <c r="L316" s="13"/>
      <c r="M316" s="13"/>
      <c r="N316" s="12"/>
      <c r="O316" s="12"/>
      <c r="P316" s="8"/>
    </row>
    <row r="317" spans="1:16" ht="24" customHeight="1" thickBot="1" x14ac:dyDescent="0.3">
      <c r="A317" s="11"/>
      <c r="B317" s="9"/>
      <c r="C317" s="5"/>
      <c r="D317" s="5"/>
      <c r="E317" s="15"/>
      <c r="F317" s="15"/>
      <c r="G317" s="13"/>
      <c r="H317" s="13"/>
      <c r="I317" s="13"/>
      <c r="J317" s="13"/>
      <c r="K317" s="13"/>
      <c r="L317" s="13"/>
      <c r="M317" s="13"/>
      <c r="N317" s="12"/>
      <c r="O317" s="12"/>
      <c r="P317" s="8"/>
    </row>
    <row r="318" spans="1:16" ht="24" customHeight="1" thickBot="1" x14ac:dyDescent="0.3">
      <c r="A318" s="11"/>
      <c r="B318" s="9"/>
      <c r="C318" s="5"/>
      <c r="D318" s="5"/>
      <c r="E318" s="15"/>
      <c r="F318" s="15"/>
      <c r="G318" s="13"/>
      <c r="H318" s="13"/>
      <c r="I318" s="13"/>
      <c r="J318" s="13"/>
      <c r="K318" s="13"/>
      <c r="L318" s="13"/>
      <c r="M318" s="13"/>
      <c r="N318" s="12"/>
      <c r="O318" s="12"/>
      <c r="P318" s="8"/>
    </row>
    <row r="319" spans="1:16" ht="24" customHeight="1" thickBot="1" x14ac:dyDescent="0.3">
      <c r="A319" s="11"/>
      <c r="B319" s="9"/>
      <c r="C319" s="5"/>
      <c r="D319" s="5"/>
      <c r="E319" s="15"/>
      <c r="F319" s="15"/>
      <c r="G319" s="13"/>
      <c r="H319" s="13"/>
      <c r="I319" s="13"/>
      <c r="J319" s="13"/>
      <c r="K319" s="13"/>
      <c r="L319" s="13"/>
      <c r="M319" s="13"/>
      <c r="N319" s="12"/>
      <c r="O319" s="12"/>
      <c r="P319" s="8"/>
    </row>
    <row r="320" spans="1:16" ht="24" customHeight="1" thickBot="1" x14ac:dyDescent="0.3">
      <c r="A320" s="11"/>
      <c r="B320" s="9"/>
      <c r="C320" s="5"/>
      <c r="D320" s="5"/>
      <c r="E320" s="15"/>
      <c r="F320" s="15"/>
      <c r="G320" s="13"/>
      <c r="H320" s="13"/>
      <c r="I320" s="13"/>
      <c r="J320" s="13"/>
      <c r="K320" s="13"/>
      <c r="L320" s="13"/>
      <c r="M320" s="13"/>
      <c r="N320" s="12"/>
      <c r="O320" s="12"/>
      <c r="P320" s="8"/>
    </row>
    <row r="321" spans="1:16" ht="24" customHeight="1" thickBot="1" x14ac:dyDescent="0.3">
      <c r="A321" s="11"/>
      <c r="B321" s="9"/>
      <c r="C321" s="5"/>
      <c r="D321" s="5"/>
      <c r="E321" s="15"/>
      <c r="F321" s="15"/>
      <c r="G321" s="13"/>
      <c r="H321" s="13"/>
      <c r="I321" s="13"/>
      <c r="J321" s="13"/>
      <c r="K321" s="13"/>
      <c r="L321" s="13"/>
      <c r="M321" s="13"/>
      <c r="N321" s="12"/>
      <c r="O321" s="12"/>
      <c r="P321" s="8"/>
    </row>
    <row r="322" spans="1:16" ht="24" customHeight="1" thickBot="1" x14ac:dyDescent="0.3">
      <c r="A322" s="11"/>
      <c r="B322" s="9"/>
      <c r="C322" s="5"/>
      <c r="D322" s="5"/>
      <c r="E322" s="15"/>
      <c r="F322" s="15"/>
      <c r="G322" s="13"/>
      <c r="H322" s="13"/>
      <c r="I322" s="13"/>
      <c r="J322" s="13"/>
      <c r="K322" s="13"/>
      <c r="L322" s="13"/>
      <c r="M322" s="13"/>
      <c r="N322" s="12"/>
      <c r="O322" s="12"/>
      <c r="P322" s="8"/>
    </row>
    <row r="323" spans="1:16" ht="24" customHeight="1" thickBot="1" x14ac:dyDescent="0.3">
      <c r="A323" s="11"/>
      <c r="B323" s="9"/>
      <c r="C323" s="5"/>
      <c r="D323" s="5"/>
      <c r="E323" s="15"/>
      <c r="F323" s="15"/>
      <c r="G323" s="13"/>
      <c r="H323" s="13"/>
      <c r="I323" s="13"/>
      <c r="J323" s="13"/>
      <c r="K323" s="13"/>
      <c r="L323" s="13"/>
      <c r="M323" s="13"/>
      <c r="N323" s="12"/>
      <c r="O323" s="12"/>
      <c r="P323" s="8"/>
    </row>
    <row r="324" spans="1:16" ht="24" customHeight="1" thickBot="1" x14ac:dyDescent="0.3">
      <c r="A324" s="11"/>
      <c r="B324" s="9"/>
      <c r="C324" s="5"/>
      <c r="D324" s="5"/>
      <c r="E324" s="15"/>
      <c r="F324" s="15"/>
      <c r="G324" s="13"/>
      <c r="H324" s="13"/>
      <c r="I324" s="13"/>
      <c r="J324" s="13"/>
      <c r="K324" s="13"/>
      <c r="L324" s="13"/>
      <c r="M324" s="13"/>
      <c r="N324" s="12"/>
      <c r="O324" s="12"/>
      <c r="P324" s="8"/>
    </row>
    <row r="325" spans="1:16" ht="24" customHeight="1" thickBot="1" x14ac:dyDescent="0.3">
      <c r="A325" s="11"/>
      <c r="B325" s="9"/>
      <c r="C325" s="5"/>
      <c r="D325" s="5"/>
      <c r="E325" s="15"/>
      <c r="F325" s="15"/>
      <c r="G325" s="13"/>
      <c r="H325" s="13"/>
      <c r="I325" s="13"/>
      <c r="J325" s="13"/>
      <c r="K325" s="13"/>
      <c r="L325" s="13"/>
      <c r="M325" s="13"/>
      <c r="N325" s="12"/>
      <c r="O325" s="12"/>
      <c r="P325" s="8"/>
    </row>
    <row r="326" spans="1:16" ht="24" customHeight="1" thickBot="1" x14ac:dyDescent="0.3">
      <c r="A326" s="11"/>
      <c r="B326" s="9"/>
      <c r="C326" s="5"/>
      <c r="D326" s="5"/>
      <c r="E326" s="15"/>
      <c r="F326" s="15"/>
      <c r="G326" s="13"/>
      <c r="H326" s="13"/>
      <c r="I326" s="13"/>
      <c r="J326" s="13"/>
      <c r="K326" s="13"/>
      <c r="L326" s="13"/>
      <c r="M326" s="13"/>
      <c r="N326" s="12"/>
      <c r="O326" s="12"/>
      <c r="P326" s="8"/>
    </row>
    <row r="327" spans="1:16" ht="24" customHeight="1" thickBot="1" x14ac:dyDescent="0.3">
      <c r="A327" s="11"/>
      <c r="B327" s="9"/>
      <c r="C327" s="5"/>
      <c r="D327" s="5"/>
      <c r="E327" s="15"/>
      <c r="F327" s="15"/>
      <c r="G327" s="13"/>
      <c r="H327" s="13"/>
      <c r="I327" s="13"/>
      <c r="J327" s="13"/>
      <c r="K327" s="13"/>
      <c r="L327" s="13"/>
      <c r="M327" s="13"/>
      <c r="N327" s="12"/>
      <c r="O327" s="12"/>
      <c r="P327" s="8"/>
    </row>
    <row r="328" spans="1:16" ht="24" customHeight="1" thickBot="1" x14ac:dyDescent="0.3">
      <c r="A328" s="11"/>
      <c r="B328" s="9"/>
      <c r="C328" s="5"/>
      <c r="D328" s="5"/>
      <c r="E328" s="15"/>
      <c r="F328" s="15"/>
      <c r="G328" s="13"/>
      <c r="H328" s="13"/>
      <c r="I328" s="13"/>
      <c r="J328" s="13"/>
      <c r="K328" s="13"/>
      <c r="L328" s="13"/>
      <c r="M328" s="13"/>
      <c r="N328" s="12"/>
      <c r="O328" s="12"/>
      <c r="P328" s="8"/>
    </row>
    <row r="329" spans="1:16" ht="24" customHeight="1" thickBot="1" x14ac:dyDescent="0.3">
      <c r="A329" s="11"/>
      <c r="B329" s="9"/>
      <c r="C329" s="5"/>
      <c r="D329" s="5"/>
      <c r="E329" s="15"/>
      <c r="F329" s="15"/>
      <c r="G329" s="13"/>
      <c r="H329" s="13"/>
      <c r="I329" s="13"/>
      <c r="J329" s="13"/>
      <c r="K329" s="13"/>
      <c r="L329" s="13"/>
      <c r="M329" s="13"/>
      <c r="N329" s="12"/>
      <c r="O329" s="12"/>
      <c r="P329" s="8"/>
    </row>
    <row r="330" spans="1:16" ht="24" customHeight="1" thickBot="1" x14ac:dyDescent="0.3">
      <c r="A330" s="11"/>
      <c r="B330" s="9"/>
      <c r="C330" s="5"/>
      <c r="D330" s="5"/>
      <c r="E330" s="15"/>
      <c r="F330" s="15"/>
      <c r="G330" s="13"/>
      <c r="H330" s="13"/>
      <c r="I330" s="13"/>
      <c r="J330" s="13"/>
      <c r="K330" s="13"/>
      <c r="L330" s="13"/>
      <c r="M330" s="13"/>
      <c r="N330" s="12"/>
      <c r="O330" s="12"/>
      <c r="P330" s="8"/>
    </row>
    <row r="331" spans="1:16" ht="24" customHeight="1" thickBot="1" x14ac:dyDescent="0.3">
      <c r="A331" s="11"/>
      <c r="B331" s="9"/>
      <c r="C331" s="5"/>
      <c r="D331" s="5"/>
      <c r="E331" s="15"/>
      <c r="F331" s="15"/>
      <c r="G331" s="13"/>
      <c r="H331" s="13"/>
      <c r="I331" s="13"/>
      <c r="J331" s="13"/>
      <c r="K331" s="13"/>
      <c r="L331" s="13"/>
      <c r="M331" s="13"/>
      <c r="N331" s="12"/>
      <c r="O331" s="12"/>
      <c r="P331" s="8"/>
    </row>
    <row r="332" spans="1:16" ht="24" customHeight="1" thickBot="1" x14ac:dyDescent="0.3">
      <c r="A332" s="11"/>
      <c r="B332" s="9"/>
      <c r="C332" s="5"/>
      <c r="D332" s="5"/>
      <c r="E332" s="15"/>
      <c r="F332" s="15"/>
      <c r="G332" s="13"/>
      <c r="H332" s="13"/>
      <c r="I332" s="13"/>
      <c r="J332" s="13"/>
      <c r="K332" s="13"/>
      <c r="L332" s="13"/>
      <c r="M332" s="13"/>
      <c r="N332" s="12"/>
      <c r="O332" s="12"/>
      <c r="P332" s="8"/>
    </row>
    <row r="333" spans="1:16" ht="24" customHeight="1" thickBot="1" x14ac:dyDescent="0.3">
      <c r="A333" s="11"/>
      <c r="B333" s="9"/>
      <c r="C333" s="5"/>
      <c r="D333" s="5"/>
      <c r="E333" s="15"/>
      <c r="F333" s="15"/>
      <c r="G333" s="13"/>
      <c r="H333" s="13"/>
      <c r="I333" s="13"/>
      <c r="J333" s="13"/>
      <c r="K333" s="13"/>
      <c r="L333" s="13"/>
      <c r="M333" s="13"/>
      <c r="N333" s="12"/>
      <c r="O333" s="12"/>
      <c r="P333" s="8"/>
    </row>
    <row r="334" spans="1:16" ht="24" customHeight="1" thickBot="1" x14ac:dyDescent="0.3">
      <c r="A334" s="11"/>
      <c r="B334" s="9"/>
      <c r="C334" s="5"/>
      <c r="D334" s="5"/>
      <c r="E334" s="15"/>
      <c r="F334" s="15"/>
      <c r="G334" s="13"/>
      <c r="H334" s="13"/>
      <c r="I334" s="13"/>
      <c r="J334" s="13"/>
      <c r="K334" s="13"/>
      <c r="L334" s="13"/>
      <c r="M334" s="13"/>
      <c r="N334" s="12"/>
      <c r="O334" s="12"/>
      <c r="P334" s="8"/>
    </row>
    <row r="335" spans="1:16" ht="24" customHeight="1" thickBot="1" x14ac:dyDescent="0.3">
      <c r="A335" s="11"/>
      <c r="B335" s="9"/>
      <c r="C335" s="5"/>
      <c r="D335" s="5"/>
      <c r="E335" s="15"/>
      <c r="F335" s="15"/>
      <c r="G335" s="13"/>
      <c r="H335" s="13"/>
      <c r="I335" s="13"/>
      <c r="J335" s="13"/>
      <c r="K335" s="13"/>
      <c r="L335" s="13"/>
      <c r="M335" s="13"/>
      <c r="N335" s="12"/>
      <c r="O335" s="12"/>
      <c r="P335" s="8"/>
    </row>
    <row r="336" spans="1:16" ht="24" customHeight="1" thickBot="1" x14ac:dyDescent="0.3">
      <c r="A336" s="11"/>
      <c r="B336" s="9"/>
      <c r="C336" s="5"/>
      <c r="D336" s="5"/>
      <c r="E336" s="15"/>
      <c r="F336" s="15"/>
      <c r="G336" s="13"/>
      <c r="H336" s="13"/>
      <c r="I336" s="13"/>
      <c r="J336" s="13"/>
      <c r="K336" s="13"/>
      <c r="L336" s="13"/>
      <c r="M336" s="13"/>
      <c r="N336" s="12"/>
      <c r="O336" s="12"/>
      <c r="P336" s="8"/>
    </row>
    <row r="337" spans="1:16" ht="24" customHeight="1" thickBot="1" x14ac:dyDescent="0.3">
      <c r="A337" s="11"/>
      <c r="B337" s="9"/>
      <c r="C337" s="5"/>
      <c r="D337" s="5"/>
      <c r="E337" s="15"/>
      <c r="F337" s="15"/>
      <c r="G337" s="13"/>
      <c r="H337" s="13"/>
      <c r="I337" s="13"/>
      <c r="J337" s="13"/>
      <c r="K337" s="13"/>
      <c r="L337" s="13"/>
      <c r="M337" s="13"/>
      <c r="N337" s="12"/>
      <c r="O337" s="12"/>
      <c r="P337" s="8"/>
    </row>
    <row r="338" spans="1:16" ht="24" customHeight="1" thickBot="1" x14ac:dyDescent="0.3">
      <c r="A338" s="11"/>
      <c r="B338" s="9"/>
      <c r="C338" s="5"/>
      <c r="D338" s="5"/>
      <c r="E338" s="15"/>
      <c r="F338" s="15"/>
      <c r="G338" s="13"/>
      <c r="H338" s="13"/>
      <c r="I338" s="13"/>
      <c r="J338" s="13"/>
      <c r="K338" s="13"/>
      <c r="L338" s="13"/>
      <c r="M338" s="13"/>
      <c r="N338" s="12"/>
      <c r="O338" s="12"/>
      <c r="P338" s="8"/>
    </row>
    <row r="339" spans="1:16" ht="24" customHeight="1" thickBot="1" x14ac:dyDescent="0.3">
      <c r="A339" s="11"/>
      <c r="B339" s="9"/>
      <c r="C339" s="5"/>
      <c r="D339" s="5"/>
      <c r="E339" s="15"/>
      <c r="F339" s="15"/>
      <c r="G339" s="13"/>
      <c r="H339" s="13"/>
      <c r="I339" s="13"/>
      <c r="J339" s="13"/>
      <c r="K339" s="13"/>
      <c r="L339" s="13"/>
      <c r="M339" s="13"/>
      <c r="N339" s="12"/>
      <c r="O339" s="12"/>
      <c r="P339" s="8"/>
    </row>
    <row r="340" spans="1:16" ht="24" customHeight="1" thickBot="1" x14ac:dyDescent="0.3">
      <c r="A340" s="11"/>
      <c r="B340" s="9"/>
      <c r="C340" s="5"/>
      <c r="D340" s="5"/>
      <c r="E340" s="15"/>
      <c r="F340" s="15"/>
      <c r="G340" s="13"/>
      <c r="H340" s="13"/>
      <c r="I340" s="13"/>
      <c r="J340" s="13"/>
      <c r="K340" s="13"/>
      <c r="L340" s="13"/>
      <c r="M340" s="13"/>
      <c r="N340" s="12"/>
      <c r="O340" s="12"/>
      <c r="P340" s="8"/>
    </row>
    <row r="341" spans="1:16" ht="24" customHeight="1" thickBot="1" x14ac:dyDescent="0.3">
      <c r="A341" s="11"/>
      <c r="B341" s="9"/>
      <c r="C341" s="5"/>
      <c r="D341" s="5"/>
      <c r="E341" s="15"/>
      <c r="F341" s="15"/>
      <c r="G341" s="13"/>
      <c r="H341" s="13"/>
      <c r="I341" s="13"/>
      <c r="J341" s="13"/>
      <c r="K341" s="13"/>
      <c r="L341" s="13"/>
      <c r="M341" s="13"/>
      <c r="N341" s="12"/>
      <c r="O341" s="12"/>
      <c r="P341" s="8"/>
    </row>
    <row r="342" spans="1:16" ht="24" customHeight="1" thickBot="1" x14ac:dyDescent="0.3">
      <c r="A342" s="11"/>
      <c r="B342" s="9"/>
      <c r="C342" s="5"/>
      <c r="D342" s="5"/>
      <c r="E342" s="15"/>
      <c r="F342" s="15"/>
      <c r="G342" s="13"/>
      <c r="H342" s="13"/>
      <c r="I342" s="13"/>
      <c r="J342" s="13"/>
      <c r="K342" s="13"/>
      <c r="L342" s="13"/>
      <c r="M342" s="13"/>
      <c r="N342" s="12"/>
      <c r="O342" s="12"/>
      <c r="P342" s="8"/>
    </row>
    <row r="343" spans="1:16" ht="24" customHeight="1" thickBot="1" x14ac:dyDescent="0.3">
      <c r="A343" s="11"/>
      <c r="B343" s="9"/>
      <c r="C343" s="5"/>
      <c r="D343" s="5"/>
      <c r="E343" s="15"/>
      <c r="F343" s="15"/>
      <c r="G343" s="13"/>
      <c r="H343" s="13"/>
      <c r="I343" s="13"/>
      <c r="J343" s="13"/>
      <c r="K343" s="13"/>
      <c r="L343" s="13"/>
      <c r="M343" s="13"/>
      <c r="N343" s="12"/>
      <c r="O343" s="12"/>
      <c r="P343" s="8"/>
    </row>
    <row r="344" spans="1:16" ht="24" customHeight="1" thickBot="1" x14ac:dyDescent="0.3">
      <c r="A344" s="11"/>
      <c r="B344" s="9"/>
      <c r="C344" s="5"/>
      <c r="D344" s="5"/>
      <c r="E344" s="15"/>
      <c r="F344" s="15"/>
      <c r="G344" s="13"/>
      <c r="H344" s="13"/>
      <c r="I344" s="13"/>
      <c r="J344" s="13"/>
      <c r="K344" s="13"/>
      <c r="L344" s="13"/>
      <c r="M344" s="13"/>
      <c r="N344" s="12"/>
      <c r="O344" s="12"/>
      <c r="P344" s="8"/>
    </row>
    <row r="345" spans="1:16" ht="24" customHeight="1" thickBot="1" x14ac:dyDescent="0.3">
      <c r="A345" s="11"/>
      <c r="B345" s="9"/>
      <c r="C345" s="5"/>
      <c r="D345" s="5"/>
      <c r="E345" s="15"/>
      <c r="F345" s="15"/>
      <c r="G345" s="13"/>
      <c r="H345" s="13"/>
      <c r="I345" s="13"/>
      <c r="J345" s="13"/>
      <c r="K345" s="13"/>
      <c r="L345" s="13"/>
      <c r="M345" s="13"/>
      <c r="N345" s="12"/>
      <c r="O345" s="12"/>
      <c r="P345" s="8"/>
    </row>
    <row r="346" spans="1:16" ht="24" customHeight="1" thickBot="1" x14ac:dyDescent="0.3">
      <c r="A346" s="11"/>
      <c r="B346" s="9"/>
      <c r="C346" s="5"/>
      <c r="D346" s="5"/>
      <c r="E346" s="15"/>
      <c r="F346" s="15"/>
      <c r="G346" s="13"/>
      <c r="H346" s="13"/>
      <c r="I346" s="13"/>
      <c r="J346" s="13"/>
      <c r="K346" s="13"/>
      <c r="L346" s="13"/>
      <c r="M346" s="13"/>
      <c r="N346" s="12"/>
      <c r="O346" s="12"/>
      <c r="P346" s="8"/>
    </row>
    <row r="347" spans="1:16" ht="24" customHeight="1" thickBot="1" x14ac:dyDescent="0.3">
      <c r="A347" s="11"/>
      <c r="B347" s="9"/>
      <c r="C347" s="5"/>
      <c r="D347" s="5"/>
      <c r="E347" s="15"/>
      <c r="F347" s="15"/>
      <c r="G347" s="13"/>
      <c r="H347" s="13"/>
      <c r="I347" s="13"/>
      <c r="J347" s="13"/>
      <c r="K347" s="13"/>
      <c r="L347" s="13"/>
      <c r="M347" s="13"/>
      <c r="N347" s="12"/>
      <c r="O347" s="12"/>
      <c r="P347" s="8"/>
    </row>
    <row r="348" spans="1:16" ht="24" customHeight="1" thickBot="1" x14ac:dyDescent="0.3">
      <c r="A348" s="11"/>
      <c r="B348" s="9"/>
      <c r="C348" s="5"/>
      <c r="D348" s="5"/>
      <c r="E348" s="15"/>
      <c r="F348" s="15"/>
      <c r="G348" s="13"/>
      <c r="H348" s="13"/>
      <c r="I348" s="13"/>
      <c r="J348" s="13"/>
      <c r="K348" s="13"/>
      <c r="L348" s="13"/>
      <c r="M348" s="13"/>
      <c r="N348" s="12"/>
      <c r="O348" s="12"/>
      <c r="P348" s="8"/>
    </row>
    <row r="349" spans="1:16" ht="24" customHeight="1" thickBot="1" x14ac:dyDescent="0.3">
      <c r="A349" s="11"/>
      <c r="B349" s="9"/>
      <c r="C349" s="5"/>
      <c r="D349" s="5"/>
      <c r="E349" s="15"/>
      <c r="F349" s="15"/>
      <c r="G349" s="13"/>
      <c r="H349" s="13"/>
      <c r="I349" s="13"/>
      <c r="J349" s="13"/>
      <c r="K349" s="13"/>
      <c r="L349" s="13"/>
      <c r="M349" s="13"/>
      <c r="N349" s="12"/>
      <c r="O349" s="12"/>
      <c r="P349" s="8"/>
    </row>
    <row r="350" spans="1:16" ht="24" customHeight="1" thickBot="1" x14ac:dyDescent="0.3">
      <c r="A350" s="11"/>
      <c r="B350" s="9"/>
      <c r="C350" s="5"/>
      <c r="D350" s="5"/>
      <c r="E350" s="15"/>
      <c r="F350" s="15"/>
      <c r="G350" s="13"/>
      <c r="H350" s="13"/>
      <c r="I350" s="13"/>
      <c r="J350" s="13"/>
      <c r="K350" s="13"/>
      <c r="L350" s="13"/>
      <c r="M350" s="13"/>
      <c r="N350" s="12"/>
      <c r="O350" s="12"/>
      <c r="P350" s="8"/>
    </row>
    <row r="351" spans="1:16" ht="24" customHeight="1" thickBot="1" x14ac:dyDescent="0.3">
      <c r="A351" s="11"/>
      <c r="B351" s="9"/>
      <c r="C351" s="5"/>
      <c r="D351" s="5"/>
      <c r="E351" s="15"/>
      <c r="F351" s="15"/>
      <c r="G351" s="13"/>
      <c r="H351" s="13"/>
      <c r="I351" s="13"/>
      <c r="J351" s="13"/>
      <c r="K351" s="13"/>
      <c r="L351" s="13"/>
      <c r="M351" s="13"/>
      <c r="N351" s="12"/>
      <c r="O351" s="12"/>
      <c r="P351" s="8"/>
    </row>
    <row r="352" spans="1:16" ht="24" customHeight="1" thickBot="1" x14ac:dyDescent="0.3">
      <c r="A352" s="11"/>
      <c r="B352" s="9"/>
      <c r="C352" s="5"/>
      <c r="D352" s="5"/>
      <c r="E352" s="15"/>
      <c r="F352" s="15"/>
      <c r="G352" s="13"/>
      <c r="H352" s="13"/>
      <c r="I352" s="13"/>
      <c r="J352" s="13"/>
      <c r="K352" s="13"/>
      <c r="L352" s="13"/>
      <c r="M352" s="13"/>
      <c r="N352" s="12"/>
      <c r="O352" s="12"/>
      <c r="P352" s="8"/>
    </row>
    <row r="353" spans="1:16" ht="24" customHeight="1" thickBot="1" x14ac:dyDescent="0.3">
      <c r="A353" s="11"/>
      <c r="B353" s="9"/>
      <c r="C353" s="5"/>
      <c r="D353" s="5"/>
      <c r="E353" s="15"/>
      <c r="F353" s="15"/>
      <c r="G353" s="13"/>
      <c r="H353" s="13"/>
      <c r="I353" s="13"/>
      <c r="J353" s="13"/>
      <c r="K353" s="13"/>
      <c r="L353" s="13"/>
      <c r="M353" s="13"/>
      <c r="N353" s="12"/>
      <c r="O353" s="12"/>
      <c r="P353" s="8"/>
    </row>
    <row r="354" spans="1:16" ht="24" customHeight="1" thickBot="1" x14ac:dyDescent="0.3">
      <c r="A354" s="11"/>
      <c r="B354" s="9"/>
      <c r="C354" s="5"/>
      <c r="D354" s="5"/>
      <c r="E354" s="15"/>
      <c r="F354" s="15"/>
      <c r="G354" s="13"/>
      <c r="H354" s="13"/>
      <c r="I354" s="13"/>
      <c r="J354" s="13"/>
      <c r="K354" s="13"/>
      <c r="L354" s="13"/>
      <c r="M354" s="13"/>
      <c r="N354" s="12"/>
      <c r="O354" s="12"/>
      <c r="P354" s="8"/>
    </row>
    <row r="355" spans="1:16" ht="24" customHeight="1" thickBot="1" x14ac:dyDescent="0.3">
      <c r="A355" s="11"/>
      <c r="B355" s="9"/>
      <c r="C355" s="5"/>
      <c r="D355" s="5"/>
      <c r="E355" s="15"/>
      <c r="F355" s="15"/>
      <c r="G355" s="13"/>
      <c r="H355" s="13"/>
      <c r="I355" s="13"/>
      <c r="J355" s="13"/>
      <c r="K355" s="13"/>
      <c r="L355" s="13"/>
      <c r="M355" s="13"/>
      <c r="N355" s="12"/>
      <c r="O355" s="12"/>
      <c r="P355" s="8"/>
    </row>
    <row r="356" spans="1:16" ht="24" customHeight="1" thickBot="1" x14ac:dyDescent="0.3">
      <c r="A356" s="11"/>
      <c r="B356" s="9"/>
      <c r="C356" s="5"/>
      <c r="D356" s="5"/>
      <c r="E356" s="15"/>
      <c r="F356" s="15"/>
      <c r="G356" s="13"/>
      <c r="H356" s="13"/>
      <c r="I356" s="13"/>
      <c r="J356" s="13"/>
      <c r="K356" s="13"/>
      <c r="L356" s="13"/>
      <c r="M356" s="13"/>
      <c r="N356" s="12"/>
      <c r="O356" s="12"/>
      <c r="P356" s="8"/>
    </row>
    <row r="357" spans="1:16" ht="24" customHeight="1" thickBot="1" x14ac:dyDescent="0.3">
      <c r="A357" s="11"/>
      <c r="B357" s="9"/>
      <c r="C357" s="5"/>
      <c r="D357" s="5"/>
      <c r="E357" s="15"/>
      <c r="F357" s="15"/>
      <c r="G357" s="13"/>
      <c r="H357" s="13"/>
      <c r="I357" s="13"/>
      <c r="J357" s="13"/>
      <c r="K357" s="13"/>
      <c r="L357" s="13"/>
      <c r="M357" s="13"/>
      <c r="N357" s="12"/>
      <c r="O357" s="12"/>
      <c r="P357" s="8"/>
    </row>
    <row r="358" spans="1:16" ht="24" customHeight="1" thickBot="1" x14ac:dyDescent="0.3">
      <c r="A358" s="11"/>
      <c r="B358" s="9"/>
      <c r="C358" s="5"/>
      <c r="D358" s="5"/>
      <c r="E358" s="15"/>
      <c r="F358" s="15"/>
      <c r="G358" s="13"/>
      <c r="H358" s="13"/>
      <c r="I358" s="13"/>
      <c r="J358" s="13"/>
      <c r="K358" s="13"/>
      <c r="L358" s="13"/>
      <c r="M358" s="13"/>
      <c r="N358" s="12"/>
      <c r="O358" s="12"/>
      <c r="P358" s="8"/>
    </row>
    <row r="359" spans="1:16" ht="24" customHeight="1" thickBot="1" x14ac:dyDescent="0.3">
      <c r="A359" s="11"/>
      <c r="B359" s="9"/>
      <c r="C359" s="5"/>
      <c r="D359" s="5"/>
      <c r="E359" s="15"/>
      <c r="F359" s="15"/>
      <c r="G359" s="13"/>
      <c r="H359" s="13"/>
      <c r="I359" s="13"/>
      <c r="J359" s="13"/>
      <c r="K359" s="13"/>
      <c r="L359" s="13"/>
      <c r="M359" s="13"/>
      <c r="N359" s="12"/>
      <c r="O359" s="12"/>
      <c r="P359" s="8"/>
    </row>
    <row r="360" spans="1:16" ht="24" customHeight="1" thickBot="1" x14ac:dyDescent="0.3">
      <c r="A360" s="11"/>
      <c r="B360" s="9"/>
      <c r="C360" s="5"/>
      <c r="D360" s="5"/>
      <c r="E360" s="15"/>
      <c r="F360" s="15"/>
      <c r="G360" s="13"/>
      <c r="H360" s="13"/>
      <c r="I360" s="13"/>
      <c r="J360" s="13"/>
      <c r="K360" s="13"/>
      <c r="L360" s="13"/>
      <c r="M360" s="13"/>
      <c r="N360" s="12"/>
      <c r="O360" s="12"/>
      <c r="P360" s="8"/>
    </row>
    <row r="361" spans="1:16" ht="24" customHeight="1" thickBot="1" x14ac:dyDescent="0.3">
      <c r="A361" s="11"/>
      <c r="B361" s="9"/>
      <c r="C361" s="5"/>
      <c r="D361" s="5"/>
      <c r="E361" s="15"/>
      <c r="F361" s="15"/>
      <c r="G361" s="13"/>
      <c r="H361" s="13"/>
      <c r="I361" s="13"/>
      <c r="J361" s="13"/>
      <c r="K361" s="13"/>
      <c r="L361" s="13"/>
      <c r="M361" s="13"/>
      <c r="N361" s="12"/>
      <c r="O361" s="12"/>
      <c r="P361" s="8"/>
    </row>
    <row r="362" spans="1:16" ht="24" customHeight="1" thickBot="1" x14ac:dyDescent="0.3">
      <c r="A362" s="11"/>
      <c r="B362" s="9"/>
      <c r="C362" s="5"/>
      <c r="D362" s="5"/>
      <c r="E362" s="15"/>
      <c r="F362" s="15"/>
      <c r="G362" s="13"/>
      <c r="H362" s="13"/>
      <c r="I362" s="13"/>
      <c r="J362" s="13"/>
      <c r="K362" s="13"/>
      <c r="L362" s="13"/>
      <c r="M362" s="13"/>
      <c r="N362" s="12"/>
      <c r="O362" s="12"/>
      <c r="P362" s="8"/>
    </row>
    <row r="363" spans="1:16" ht="24" customHeight="1" thickBot="1" x14ac:dyDescent="0.3">
      <c r="A363" s="11"/>
      <c r="B363" s="9"/>
      <c r="C363" s="5"/>
      <c r="D363" s="5"/>
      <c r="E363" s="15"/>
      <c r="F363" s="15"/>
      <c r="G363" s="13"/>
      <c r="H363" s="13"/>
      <c r="I363" s="13"/>
      <c r="J363" s="13"/>
      <c r="K363" s="13"/>
      <c r="L363" s="13"/>
      <c r="M363" s="13"/>
      <c r="N363" s="12"/>
      <c r="O363" s="12"/>
      <c r="P363" s="8"/>
    </row>
    <row r="364" spans="1:16" ht="24" customHeight="1" thickBot="1" x14ac:dyDescent="0.3">
      <c r="A364" s="11"/>
      <c r="B364" s="9"/>
      <c r="C364" s="5"/>
      <c r="D364" s="5"/>
      <c r="E364" s="15"/>
      <c r="F364" s="15"/>
      <c r="G364" s="13"/>
      <c r="H364" s="13"/>
      <c r="I364" s="13"/>
      <c r="J364" s="13"/>
      <c r="K364" s="13"/>
      <c r="L364" s="13"/>
      <c r="M364" s="13"/>
      <c r="N364" s="12"/>
      <c r="O364" s="12"/>
      <c r="P364" s="8"/>
    </row>
    <row r="365" spans="1:16" ht="24" customHeight="1" thickBot="1" x14ac:dyDescent="0.3">
      <c r="A365" s="11"/>
      <c r="B365" s="9"/>
      <c r="C365" s="5"/>
      <c r="D365" s="5"/>
      <c r="E365" s="15"/>
      <c r="F365" s="15"/>
      <c r="G365" s="13"/>
      <c r="H365" s="13"/>
      <c r="I365" s="13"/>
      <c r="J365" s="13"/>
      <c r="K365" s="13"/>
      <c r="L365" s="13"/>
      <c r="M365" s="13"/>
      <c r="N365" s="12"/>
      <c r="O365" s="12"/>
      <c r="P365" s="8"/>
    </row>
    <row r="366" spans="1:16" ht="24" customHeight="1" thickBot="1" x14ac:dyDescent="0.3">
      <c r="A366" s="11"/>
      <c r="B366" s="9"/>
      <c r="C366" s="5"/>
      <c r="D366" s="5"/>
      <c r="E366" s="15"/>
      <c r="F366" s="15"/>
      <c r="G366" s="13"/>
      <c r="H366" s="13"/>
      <c r="I366" s="13"/>
      <c r="J366" s="13"/>
      <c r="K366" s="13"/>
      <c r="L366" s="13"/>
      <c r="M366" s="13"/>
      <c r="N366" s="12"/>
      <c r="O366" s="12"/>
      <c r="P366" s="8"/>
    </row>
    <row r="367" spans="1:16" ht="24" customHeight="1" thickBot="1" x14ac:dyDescent="0.3">
      <c r="A367" s="11"/>
      <c r="B367" s="9"/>
      <c r="C367" s="5"/>
      <c r="D367" s="5"/>
      <c r="E367" s="15"/>
      <c r="F367" s="15"/>
      <c r="G367" s="13"/>
      <c r="H367" s="13"/>
      <c r="I367" s="13"/>
      <c r="J367" s="13"/>
      <c r="K367" s="13"/>
      <c r="L367" s="13"/>
      <c r="M367" s="13"/>
      <c r="N367" s="12"/>
      <c r="O367" s="12"/>
      <c r="P367" s="8"/>
    </row>
    <row r="368" spans="1:16" ht="24" customHeight="1" thickBot="1" x14ac:dyDescent="0.3">
      <c r="A368" s="11"/>
      <c r="B368" s="9"/>
      <c r="C368" s="5"/>
      <c r="D368" s="5"/>
      <c r="E368" s="15"/>
      <c r="F368" s="15"/>
      <c r="G368" s="13"/>
      <c r="H368" s="13"/>
      <c r="I368" s="13"/>
      <c r="J368" s="13"/>
      <c r="K368" s="13"/>
      <c r="L368" s="13"/>
      <c r="M368" s="13"/>
      <c r="N368" s="12"/>
      <c r="O368" s="12"/>
      <c r="P368" s="8"/>
    </row>
    <row r="369" spans="1:16" ht="24" customHeight="1" thickBot="1" x14ac:dyDescent="0.3">
      <c r="A369" s="11"/>
      <c r="B369" s="9"/>
      <c r="C369" s="5"/>
      <c r="D369" s="5"/>
      <c r="E369" s="15"/>
      <c r="F369" s="15"/>
      <c r="G369" s="13"/>
      <c r="H369" s="13"/>
      <c r="I369" s="13"/>
      <c r="J369" s="13"/>
      <c r="K369" s="13"/>
      <c r="L369" s="13"/>
      <c r="M369" s="13"/>
      <c r="N369" s="12"/>
      <c r="O369" s="12"/>
      <c r="P369" s="8"/>
    </row>
    <row r="370" spans="1:16" ht="24" customHeight="1" thickBot="1" x14ac:dyDescent="0.3">
      <c r="A370" s="11"/>
      <c r="B370" s="9"/>
      <c r="C370" s="5"/>
      <c r="D370" s="5"/>
      <c r="E370" s="15"/>
      <c r="F370" s="15"/>
      <c r="G370" s="13"/>
      <c r="H370" s="13"/>
      <c r="I370" s="13"/>
      <c r="J370" s="13"/>
      <c r="K370" s="13"/>
      <c r="L370" s="13"/>
      <c r="M370" s="13"/>
      <c r="N370" s="12"/>
      <c r="O370" s="12"/>
      <c r="P370" s="8"/>
    </row>
    <row r="371" spans="1:16" ht="24" customHeight="1" thickBot="1" x14ac:dyDescent="0.3">
      <c r="A371" s="11"/>
      <c r="B371" s="9"/>
      <c r="C371" s="5"/>
      <c r="D371" s="5"/>
      <c r="E371" s="15"/>
      <c r="F371" s="15"/>
      <c r="G371" s="13"/>
      <c r="H371" s="13"/>
      <c r="I371" s="13"/>
      <c r="J371" s="13"/>
      <c r="K371" s="13"/>
      <c r="L371" s="13"/>
      <c r="M371" s="13"/>
      <c r="N371" s="12"/>
      <c r="O371" s="12"/>
      <c r="P371" s="8"/>
    </row>
    <row r="372" spans="1:16" ht="24" customHeight="1" thickBot="1" x14ac:dyDescent="0.3">
      <c r="A372" s="11"/>
      <c r="B372" s="9"/>
      <c r="C372" s="5"/>
      <c r="D372" s="5"/>
      <c r="E372" s="15"/>
      <c r="F372" s="15"/>
      <c r="G372" s="13"/>
      <c r="H372" s="13"/>
      <c r="I372" s="13"/>
      <c r="J372" s="13"/>
      <c r="K372" s="13"/>
      <c r="L372" s="13"/>
      <c r="M372" s="13"/>
      <c r="N372" s="12"/>
      <c r="O372" s="12"/>
      <c r="P372" s="8"/>
    </row>
    <row r="373" spans="1:16" ht="24" customHeight="1" thickBot="1" x14ac:dyDescent="0.3">
      <c r="A373" s="11"/>
      <c r="B373" s="9"/>
      <c r="C373" s="5"/>
      <c r="D373" s="5"/>
      <c r="E373" s="15"/>
      <c r="F373" s="15"/>
      <c r="G373" s="13"/>
      <c r="H373" s="13"/>
      <c r="I373" s="13"/>
      <c r="J373" s="13"/>
      <c r="K373" s="13"/>
      <c r="L373" s="13"/>
      <c r="M373" s="13"/>
      <c r="N373" s="12"/>
      <c r="O373" s="12"/>
      <c r="P373" s="8"/>
    </row>
    <row r="374" spans="1:16" ht="24" customHeight="1" thickBot="1" x14ac:dyDescent="0.3">
      <c r="A374" s="11"/>
      <c r="B374" s="9"/>
      <c r="C374" s="5"/>
      <c r="D374" s="5"/>
      <c r="E374" s="15"/>
      <c r="F374" s="15"/>
      <c r="G374" s="13"/>
      <c r="H374" s="13"/>
      <c r="I374" s="13"/>
      <c r="J374" s="13"/>
      <c r="K374" s="13"/>
      <c r="L374" s="13"/>
      <c r="M374" s="13"/>
      <c r="N374" s="12"/>
      <c r="O374" s="12"/>
      <c r="P374" s="8"/>
    </row>
    <row r="375" spans="1:16" ht="24" customHeight="1" thickBot="1" x14ac:dyDescent="0.3">
      <c r="A375" s="11"/>
      <c r="B375" s="9"/>
      <c r="C375" s="5"/>
      <c r="D375" s="5"/>
      <c r="E375" s="15"/>
      <c r="F375" s="15"/>
      <c r="G375" s="13"/>
      <c r="H375" s="13"/>
      <c r="I375" s="13"/>
      <c r="J375" s="13"/>
      <c r="K375" s="13"/>
      <c r="L375" s="13"/>
      <c r="M375" s="13"/>
      <c r="N375" s="12"/>
      <c r="O375" s="12"/>
      <c r="P375" s="8"/>
    </row>
    <row r="376" spans="1:16" ht="24" customHeight="1" thickBot="1" x14ac:dyDescent="0.3">
      <c r="A376" s="11"/>
      <c r="B376" s="9"/>
      <c r="C376" s="5"/>
      <c r="D376" s="5"/>
      <c r="E376" s="15"/>
      <c r="F376" s="15"/>
      <c r="G376" s="13"/>
      <c r="H376" s="13"/>
      <c r="I376" s="13"/>
      <c r="J376" s="13"/>
      <c r="K376" s="13"/>
      <c r="L376" s="13"/>
      <c r="M376" s="13"/>
      <c r="N376" s="12"/>
      <c r="O376" s="12"/>
      <c r="P376" s="8"/>
    </row>
    <row r="377" spans="1:16" ht="24" customHeight="1" thickBot="1" x14ac:dyDescent="0.3">
      <c r="A377" s="11"/>
      <c r="B377" s="9"/>
      <c r="C377" s="5"/>
      <c r="D377" s="5"/>
      <c r="E377" s="15"/>
      <c r="F377" s="15"/>
      <c r="G377" s="13"/>
      <c r="H377" s="13"/>
      <c r="I377" s="13"/>
      <c r="J377" s="13"/>
      <c r="K377" s="13"/>
      <c r="L377" s="13"/>
      <c r="M377" s="13"/>
      <c r="N377" s="12"/>
      <c r="O377" s="12"/>
      <c r="P377" s="8"/>
    </row>
    <row r="378" spans="1:16" ht="24" customHeight="1" thickBot="1" x14ac:dyDescent="0.3">
      <c r="A378" s="11"/>
      <c r="B378" s="9"/>
      <c r="C378" s="5"/>
      <c r="D378" s="5"/>
      <c r="E378" s="15"/>
      <c r="F378" s="15"/>
      <c r="G378" s="13"/>
      <c r="H378" s="13"/>
      <c r="I378" s="13"/>
      <c r="J378" s="13"/>
      <c r="K378" s="13"/>
      <c r="L378" s="13"/>
      <c r="M378" s="13"/>
      <c r="N378" s="12"/>
      <c r="O378" s="12"/>
      <c r="P378" s="8"/>
    </row>
    <row r="379" spans="1:16" ht="24" customHeight="1" thickBot="1" x14ac:dyDescent="0.3">
      <c r="A379" s="11"/>
      <c r="B379" s="9"/>
      <c r="C379" s="5"/>
      <c r="D379" s="5"/>
      <c r="E379" s="15"/>
      <c r="F379" s="15"/>
      <c r="G379" s="13"/>
      <c r="H379" s="13"/>
      <c r="I379" s="13"/>
      <c r="J379" s="13"/>
      <c r="K379" s="13"/>
      <c r="L379" s="13"/>
      <c r="M379" s="13"/>
      <c r="N379" s="12"/>
      <c r="O379" s="12"/>
      <c r="P379" s="8"/>
    </row>
    <row r="380" spans="1:16" ht="24" customHeight="1" thickBot="1" x14ac:dyDescent="0.3">
      <c r="A380" s="11"/>
      <c r="B380" s="9"/>
      <c r="C380" s="5"/>
      <c r="D380" s="5"/>
      <c r="E380" s="15"/>
      <c r="F380" s="15"/>
      <c r="G380" s="13"/>
      <c r="H380" s="13"/>
      <c r="I380" s="13"/>
      <c r="J380" s="13"/>
      <c r="K380" s="13"/>
      <c r="L380" s="13"/>
      <c r="M380" s="13"/>
      <c r="N380" s="12"/>
      <c r="O380" s="12"/>
      <c r="P380" s="8"/>
    </row>
    <row r="381" spans="1:16" ht="24" customHeight="1" thickBot="1" x14ac:dyDescent="0.3">
      <c r="A381" s="11"/>
      <c r="B381" s="9"/>
      <c r="C381" s="5"/>
      <c r="D381" s="5"/>
      <c r="E381" s="15"/>
      <c r="F381" s="15"/>
      <c r="G381" s="13"/>
      <c r="H381" s="13"/>
      <c r="I381" s="13"/>
      <c r="J381" s="13"/>
      <c r="K381" s="13"/>
      <c r="L381" s="13"/>
      <c r="M381" s="13"/>
      <c r="N381" s="12"/>
      <c r="O381" s="12"/>
      <c r="P381" s="8"/>
    </row>
    <row r="382" spans="1:16" ht="24" customHeight="1" thickBot="1" x14ac:dyDescent="0.3">
      <c r="A382" s="11"/>
      <c r="B382" s="9"/>
      <c r="C382" s="5"/>
      <c r="D382" s="5"/>
      <c r="E382" s="15"/>
      <c r="F382" s="15"/>
      <c r="G382" s="13"/>
      <c r="H382" s="13"/>
      <c r="I382" s="13"/>
      <c r="J382" s="13"/>
      <c r="K382" s="13"/>
      <c r="L382" s="13"/>
      <c r="M382" s="13"/>
      <c r="N382" s="12"/>
      <c r="O382" s="12"/>
      <c r="P382" s="8"/>
    </row>
    <row r="383" spans="1:16" ht="24" customHeight="1" thickBot="1" x14ac:dyDescent="0.3">
      <c r="A383" s="11"/>
      <c r="B383" s="9"/>
      <c r="C383" s="5"/>
      <c r="D383" s="5"/>
      <c r="E383" s="15"/>
      <c r="F383" s="15"/>
      <c r="G383" s="13"/>
      <c r="H383" s="13"/>
      <c r="I383" s="13"/>
      <c r="J383" s="13"/>
      <c r="K383" s="13"/>
      <c r="L383" s="13"/>
      <c r="M383" s="13"/>
      <c r="N383" s="12"/>
      <c r="O383" s="12"/>
      <c r="P383" s="8"/>
    </row>
    <row r="384" spans="1:16" ht="24" customHeight="1" thickBot="1" x14ac:dyDescent="0.3">
      <c r="A384" s="11"/>
      <c r="B384" s="9"/>
      <c r="C384" s="5"/>
      <c r="D384" s="5"/>
      <c r="E384" s="15"/>
      <c r="F384" s="15"/>
      <c r="G384" s="13"/>
      <c r="H384" s="13"/>
      <c r="I384" s="13"/>
      <c r="J384" s="13"/>
      <c r="K384" s="13"/>
      <c r="L384" s="13"/>
      <c r="M384" s="13"/>
      <c r="N384" s="12"/>
      <c r="O384" s="12"/>
      <c r="P384" s="8"/>
    </row>
    <row r="385" spans="1:16" ht="24" customHeight="1" thickBot="1" x14ac:dyDescent="0.3">
      <c r="A385" s="11"/>
      <c r="B385" s="9"/>
      <c r="C385" s="5"/>
      <c r="D385" s="5"/>
      <c r="E385" s="15"/>
      <c r="F385" s="15"/>
      <c r="G385" s="13"/>
      <c r="H385" s="13"/>
      <c r="I385" s="13"/>
      <c r="J385" s="13"/>
      <c r="K385" s="13"/>
      <c r="L385" s="13"/>
      <c r="M385" s="13"/>
      <c r="N385" s="12"/>
      <c r="O385" s="12"/>
      <c r="P385" s="8"/>
    </row>
    <row r="386" spans="1:16" ht="24" customHeight="1" thickBot="1" x14ac:dyDescent="0.3">
      <c r="A386" s="11"/>
      <c r="B386" s="9"/>
      <c r="C386" s="5"/>
      <c r="D386" s="5"/>
      <c r="E386" s="15"/>
      <c r="F386" s="15"/>
      <c r="G386" s="13"/>
      <c r="H386" s="13"/>
      <c r="I386" s="13"/>
      <c r="J386" s="13"/>
      <c r="K386" s="13"/>
      <c r="L386" s="13"/>
      <c r="M386" s="13"/>
      <c r="N386" s="12"/>
      <c r="O386" s="12"/>
      <c r="P386" s="8"/>
    </row>
    <row r="387" spans="1:16" ht="24" customHeight="1" thickBot="1" x14ac:dyDescent="0.3">
      <c r="A387" s="11"/>
      <c r="B387" s="9"/>
      <c r="C387" s="5"/>
      <c r="D387" s="5"/>
      <c r="E387" s="15"/>
      <c r="F387" s="15"/>
      <c r="G387" s="13"/>
      <c r="H387" s="13"/>
      <c r="I387" s="13"/>
      <c r="J387" s="13"/>
      <c r="K387" s="13"/>
      <c r="L387" s="13"/>
      <c r="M387" s="13"/>
      <c r="N387" s="12"/>
      <c r="O387" s="12"/>
      <c r="P387" s="8"/>
    </row>
    <row r="388" spans="1:16" ht="24" customHeight="1" thickBot="1" x14ac:dyDescent="0.3">
      <c r="A388" s="11"/>
      <c r="B388" s="9"/>
      <c r="C388" s="5"/>
      <c r="D388" s="5"/>
      <c r="E388" s="15"/>
      <c r="F388" s="15"/>
      <c r="G388" s="13"/>
      <c r="H388" s="13"/>
      <c r="I388" s="13"/>
      <c r="J388" s="13"/>
      <c r="K388" s="13"/>
      <c r="L388" s="13"/>
      <c r="M388" s="13"/>
      <c r="N388" s="12"/>
      <c r="O388" s="12"/>
      <c r="P388" s="8"/>
    </row>
    <row r="389" spans="1:16" ht="24" customHeight="1" thickBot="1" x14ac:dyDescent="0.3">
      <c r="A389" s="11"/>
      <c r="B389" s="9"/>
      <c r="C389" s="5"/>
      <c r="D389" s="5"/>
      <c r="E389" s="15"/>
      <c r="F389" s="15"/>
      <c r="G389" s="13"/>
      <c r="H389" s="13"/>
      <c r="I389" s="13"/>
      <c r="J389" s="13"/>
      <c r="K389" s="13"/>
      <c r="L389" s="13"/>
      <c r="M389" s="13"/>
      <c r="N389" s="12"/>
      <c r="O389" s="12"/>
      <c r="P389" s="8"/>
    </row>
    <row r="390" spans="1:16" ht="24" customHeight="1" thickBot="1" x14ac:dyDescent="0.3">
      <c r="A390" s="11"/>
      <c r="B390" s="9"/>
      <c r="C390" s="5"/>
      <c r="D390" s="5"/>
      <c r="E390" s="15"/>
      <c r="F390" s="15"/>
      <c r="G390" s="13"/>
      <c r="H390" s="13"/>
      <c r="I390" s="13"/>
      <c r="J390" s="13"/>
      <c r="K390" s="13"/>
      <c r="L390" s="13"/>
      <c r="M390" s="13"/>
      <c r="N390" s="12"/>
      <c r="O390" s="12"/>
      <c r="P390" s="8"/>
    </row>
    <row r="391" spans="1:16" ht="24" customHeight="1" thickBot="1" x14ac:dyDescent="0.3">
      <c r="A391" s="11"/>
      <c r="B391" s="9"/>
      <c r="C391" s="5"/>
      <c r="D391" s="5"/>
      <c r="E391" s="15"/>
      <c r="F391" s="15"/>
      <c r="G391" s="13"/>
      <c r="H391" s="13"/>
      <c r="I391" s="13"/>
      <c r="J391" s="13"/>
      <c r="K391" s="13"/>
      <c r="L391" s="13"/>
      <c r="M391" s="13"/>
      <c r="N391" s="12"/>
      <c r="O391" s="12"/>
      <c r="P391" s="8"/>
    </row>
    <row r="392" spans="1:16" ht="24" customHeight="1" thickBot="1" x14ac:dyDescent="0.3">
      <c r="A392" s="11"/>
      <c r="B392" s="9"/>
      <c r="C392" s="5"/>
      <c r="D392" s="5"/>
      <c r="E392" s="15"/>
      <c r="F392" s="15"/>
      <c r="G392" s="13"/>
      <c r="H392" s="13"/>
      <c r="I392" s="13"/>
      <c r="J392" s="13"/>
      <c r="K392" s="13"/>
      <c r="L392" s="13"/>
      <c r="M392" s="13"/>
      <c r="N392" s="12"/>
      <c r="O392" s="12"/>
      <c r="P392" s="8"/>
    </row>
    <row r="393" spans="1:16" ht="24" customHeight="1" thickBot="1" x14ac:dyDescent="0.3">
      <c r="A393" s="11"/>
      <c r="B393" s="9"/>
      <c r="C393" s="5"/>
      <c r="D393" s="5"/>
      <c r="E393" s="15"/>
      <c r="F393" s="15"/>
      <c r="G393" s="13"/>
      <c r="H393" s="13"/>
      <c r="I393" s="13"/>
      <c r="J393" s="13"/>
      <c r="K393" s="13"/>
      <c r="L393" s="13"/>
      <c r="M393" s="13"/>
      <c r="N393" s="12"/>
      <c r="O393" s="12"/>
      <c r="P393" s="8"/>
    </row>
    <row r="394" spans="1:16" ht="24" customHeight="1" thickBot="1" x14ac:dyDescent="0.3">
      <c r="A394" s="11"/>
      <c r="B394" s="9"/>
      <c r="C394" s="5"/>
      <c r="D394" s="5"/>
      <c r="E394" s="15"/>
      <c r="F394" s="15"/>
      <c r="G394" s="13"/>
      <c r="H394" s="13"/>
      <c r="I394" s="13"/>
      <c r="J394" s="13"/>
      <c r="K394" s="13"/>
      <c r="L394" s="13"/>
      <c r="M394" s="13"/>
      <c r="N394" s="12"/>
      <c r="O394" s="12"/>
      <c r="P394" s="8"/>
    </row>
    <row r="395" spans="1:16" ht="24" customHeight="1" thickBot="1" x14ac:dyDescent="0.3">
      <c r="A395" s="11"/>
      <c r="B395" s="9"/>
      <c r="C395" s="5"/>
      <c r="D395" s="5"/>
      <c r="E395" s="15"/>
      <c r="F395" s="15"/>
      <c r="G395" s="13"/>
      <c r="H395" s="13"/>
      <c r="I395" s="13"/>
      <c r="J395" s="13"/>
      <c r="K395" s="13"/>
      <c r="L395" s="13"/>
      <c r="M395" s="13"/>
      <c r="N395" s="12"/>
      <c r="O395" s="12"/>
      <c r="P395" s="8"/>
    </row>
    <row r="396" spans="1:16" ht="24" customHeight="1" thickBot="1" x14ac:dyDescent="0.3">
      <c r="A396" s="11"/>
      <c r="B396" s="9"/>
      <c r="C396" s="5"/>
      <c r="D396" s="5"/>
      <c r="E396" s="15"/>
      <c r="F396" s="15"/>
      <c r="G396" s="13"/>
      <c r="H396" s="13"/>
      <c r="I396" s="13"/>
      <c r="J396" s="13"/>
      <c r="K396" s="13"/>
      <c r="L396" s="13"/>
      <c r="M396" s="13"/>
      <c r="N396" s="12"/>
      <c r="O396" s="12"/>
      <c r="P396" s="8"/>
    </row>
    <row r="397" spans="1:16" ht="24" customHeight="1" thickBot="1" x14ac:dyDescent="0.3">
      <c r="A397" s="11"/>
      <c r="B397" s="9"/>
      <c r="C397" s="5"/>
      <c r="D397" s="5"/>
      <c r="E397" s="15"/>
      <c r="F397" s="15"/>
      <c r="G397" s="13"/>
      <c r="H397" s="13"/>
      <c r="I397" s="13"/>
      <c r="J397" s="13"/>
      <c r="K397" s="13"/>
      <c r="L397" s="13"/>
      <c r="M397" s="13"/>
      <c r="N397" s="12"/>
      <c r="O397" s="12"/>
      <c r="P397" s="8"/>
    </row>
    <row r="398" spans="1:16" ht="24" customHeight="1" thickBot="1" x14ac:dyDescent="0.3">
      <c r="A398" s="11"/>
      <c r="B398" s="9"/>
      <c r="C398" s="5"/>
      <c r="D398" s="5"/>
      <c r="E398" s="15"/>
      <c r="F398" s="15"/>
      <c r="G398" s="13"/>
      <c r="H398" s="13"/>
      <c r="I398" s="13"/>
      <c r="J398" s="13"/>
      <c r="K398" s="13"/>
      <c r="L398" s="13"/>
      <c r="M398" s="13"/>
      <c r="N398" s="12"/>
      <c r="O398" s="12"/>
      <c r="P398" s="8"/>
    </row>
    <row r="399" spans="1:16" ht="24" customHeight="1" thickBot="1" x14ac:dyDescent="0.3">
      <c r="A399" s="11"/>
      <c r="B399" s="9"/>
      <c r="C399" s="5"/>
      <c r="D399" s="5"/>
      <c r="E399" s="15"/>
      <c r="F399" s="15"/>
      <c r="G399" s="13"/>
      <c r="H399" s="13"/>
      <c r="I399" s="13"/>
      <c r="J399" s="13"/>
      <c r="K399" s="13"/>
      <c r="L399" s="13"/>
      <c r="M399" s="13"/>
      <c r="N399" s="12"/>
      <c r="O399" s="12"/>
      <c r="P399" s="8"/>
    </row>
    <row r="400" spans="1:16" ht="24" customHeight="1" thickBot="1" x14ac:dyDescent="0.3">
      <c r="A400" s="11"/>
      <c r="B400" s="9"/>
      <c r="C400" s="5"/>
      <c r="D400" s="5"/>
      <c r="E400" s="15"/>
      <c r="F400" s="15"/>
      <c r="G400" s="13"/>
      <c r="H400" s="13"/>
      <c r="I400" s="13"/>
      <c r="J400" s="13"/>
      <c r="K400" s="13"/>
      <c r="L400" s="13"/>
      <c r="M400" s="13"/>
      <c r="N400" s="12"/>
      <c r="O400" s="12"/>
      <c r="P400" s="8"/>
    </row>
    <row r="401" spans="1:16" ht="24" customHeight="1" thickBot="1" x14ac:dyDescent="0.3">
      <c r="A401" s="11"/>
      <c r="B401" s="9"/>
      <c r="C401" s="5"/>
      <c r="D401" s="5"/>
      <c r="E401" s="15"/>
      <c r="F401" s="15"/>
      <c r="G401" s="13"/>
      <c r="H401" s="13"/>
      <c r="I401" s="13"/>
      <c r="J401" s="13"/>
      <c r="K401" s="13"/>
      <c r="L401" s="13"/>
      <c r="M401" s="13"/>
      <c r="N401" s="12"/>
      <c r="O401" s="12"/>
      <c r="P401" s="8"/>
    </row>
    <row r="402" spans="1:16" ht="24" customHeight="1" thickBot="1" x14ac:dyDescent="0.3">
      <c r="A402" s="11"/>
      <c r="B402" s="9"/>
      <c r="C402" s="5"/>
      <c r="D402" s="5"/>
      <c r="E402" s="15"/>
      <c r="F402" s="15"/>
      <c r="G402" s="13"/>
      <c r="H402" s="13"/>
      <c r="I402" s="13"/>
      <c r="J402" s="13"/>
      <c r="K402" s="13"/>
      <c r="L402" s="13"/>
      <c r="M402" s="13"/>
      <c r="N402" s="12"/>
      <c r="O402" s="12"/>
      <c r="P402" s="8"/>
    </row>
    <row r="403" spans="1:16" ht="24" customHeight="1" thickBot="1" x14ac:dyDescent="0.3">
      <c r="A403" s="11"/>
      <c r="B403" s="9"/>
      <c r="C403" s="5"/>
      <c r="D403" s="5"/>
      <c r="E403" s="15"/>
      <c r="F403" s="15"/>
      <c r="G403" s="13"/>
      <c r="H403" s="13"/>
      <c r="I403" s="13"/>
      <c r="J403" s="13"/>
      <c r="K403" s="13"/>
      <c r="L403" s="13"/>
      <c r="M403" s="13"/>
      <c r="N403" s="12"/>
      <c r="O403" s="12"/>
      <c r="P403" s="8"/>
    </row>
    <row r="404" spans="1:16" ht="24" customHeight="1" thickBot="1" x14ac:dyDescent="0.3">
      <c r="A404" s="11"/>
      <c r="B404" s="9"/>
      <c r="C404" s="5"/>
      <c r="D404" s="5"/>
      <c r="E404" s="15"/>
      <c r="F404" s="15"/>
      <c r="G404" s="13"/>
      <c r="H404" s="13"/>
      <c r="I404" s="13"/>
      <c r="J404" s="13"/>
      <c r="K404" s="13"/>
      <c r="L404" s="13"/>
      <c r="M404" s="13"/>
      <c r="N404" s="12"/>
      <c r="O404" s="12"/>
      <c r="P404" s="8"/>
    </row>
    <row r="405" spans="1:16" ht="24" customHeight="1" thickBot="1" x14ac:dyDescent="0.3">
      <c r="A405" s="11"/>
      <c r="B405" s="9"/>
      <c r="C405" s="5"/>
      <c r="D405" s="5"/>
      <c r="E405" s="15"/>
      <c r="F405" s="15"/>
      <c r="G405" s="13"/>
      <c r="H405" s="13"/>
      <c r="I405" s="13"/>
      <c r="J405" s="13"/>
      <c r="K405" s="13"/>
      <c r="L405" s="13"/>
      <c r="M405" s="13"/>
      <c r="N405" s="12"/>
      <c r="O405" s="12"/>
      <c r="P405" s="8"/>
    </row>
    <row r="406" spans="1:16" ht="24" customHeight="1" thickBot="1" x14ac:dyDescent="0.3">
      <c r="A406" s="11"/>
      <c r="B406" s="9"/>
      <c r="C406" s="5"/>
      <c r="D406" s="5"/>
      <c r="E406" s="15"/>
      <c r="F406" s="15"/>
      <c r="G406" s="13"/>
      <c r="H406" s="13"/>
      <c r="I406" s="13"/>
      <c r="J406" s="13"/>
      <c r="K406" s="13"/>
      <c r="L406" s="13"/>
      <c r="M406" s="13"/>
      <c r="N406" s="12"/>
      <c r="O406" s="12"/>
      <c r="P406" s="8"/>
    </row>
    <row r="407" spans="1:16" ht="24" customHeight="1" thickBot="1" x14ac:dyDescent="0.3">
      <c r="A407" s="11"/>
      <c r="B407" s="9"/>
      <c r="C407" s="5"/>
      <c r="D407" s="5"/>
      <c r="E407" s="15"/>
      <c r="F407" s="15"/>
      <c r="G407" s="13"/>
      <c r="H407" s="13"/>
      <c r="I407" s="13"/>
      <c r="J407" s="13"/>
      <c r="K407" s="13"/>
      <c r="L407" s="13"/>
      <c r="M407" s="13"/>
      <c r="N407" s="12"/>
      <c r="O407" s="12"/>
      <c r="P407" s="8"/>
    </row>
    <row r="408" spans="1:16" ht="24" customHeight="1" thickBot="1" x14ac:dyDescent="0.3">
      <c r="A408" s="11"/>
      <c r="B408" s="9"/>
      <c r="C408" s="5"/>
      <c r="D408" s="5"/>
      <c r="E408" s="15"/>
      <c r="F408" s="15"/>
      <c r="G408" s="13"/>
      <c r="H408" s="13"/>
      <c r="I408" s="13"/>
      <c r="J408" s="13"/>
      <c r="K408" s="13"/>
      <c r="L408" s="13"/>
      <c r="M408" s="13"/>
      <c r="N408" s="12"/>
      <c r="O408" s="12"/>
      <c r="P408" s="8"/>
    </row>
    <row r="409" spans="1:16" ht="24" customHeight="1" thickBot="1" x14ac:dyDescent="0.3">
      <c r="A409" s="11"/>
      <c r="B409" s="9"/>
      <c r="C409" s="5"/>
      <c r="D409" s="5"/>
      <c r="E409" s="15"/>
      <c r="F409" s="15"/>
      <c r="G409" s="13"/>
      <c r="H409" s="13"/>
      <c r="I409" s="13"/>
      <c r="J409" s="13"/>
      <c r="K409" s="13"/>
      <c r="L409" s="13"/>
      <c r="M409" s="13"/>
      <c r="N409" s="12"/>
      <c r="O409" s="12"/>
      <c r="P409" s="8"/>
    </row>
    <row r="410" spans="1:16" ht="24" customHeight="1" thickBot="1" x14ac:dyDescent="0.3">
      <c r="A410" s="11"/>
      <c r="B410" s="9"/>
      <c r="C410" s="5"/>
      <c r="D410" s="5"/>
      <c r="E410" s="15"/>
      <c r="F410" s="15"/>
      <c r="G410" s="13"/>
      <c r="H410" s="13"/>
      <c r="I410" s="13"/>
      <c r="J410" s="13"/>
      <c r="K410" s="13"/>
      <c r="L410" s="13"/>
      <c r="M410" s="13"/>
      <c r="N410" s="12"/>
      <c r="O410" s="12"/>
      <c r="P410" s="8"/>
    </row>
    <row r="411" spans="1:16" ht="24" customHeight="1" thickBot="1" x14ac:dyDescent="0.3">
      <c r="A411" s="11"/>
      <c r="B411" s="9"/>
      <c r="C411" s="5"/>
      <c r="D411" s="5"/>
      <c r="E411" s="15"/>
      <c r="F411" s="15"/>
      <c r="G411" s="13"/>
      <c r="H411" s="13"/>
      <c r="I411" s="13"/>
      <c r="J411" s="13"/>
      <c r="K411" s="13"/>
      <c r="L411" s="13"/>
      <c r="M411" s="13"/>
      <c r="N411" s="12"/>
      <c r="O411" s="12"/>
      <c r="P411" s="8"/>
    </row>
  </sheetData>
  <mergeCells count="13">
    <mergeCell ref="A1:P1"/>
    <mergeCell ref="O5:O6"/>
    <mergeCell ref="P5:P6"/>
    <mergeCell ref="A2:O2"/>
    <mergeCell ref="A4:B4"/>
    <mergeCell ref="A5:A6"/>
    <mergeCell ref="B5:B6"/>
    <mergeCell ref="C5:C6"/>
    <mergeCell ref="D5:D6"/>
    <mergeCell ref="E5:E6"/>
    <mergeCell ref="F5:F6"/>
    <mergeCell ref="H5:M5"/>
    <mergeCell ref="N5:N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09"/>
  <sheetViews>
    <sheetView topLeftCell="A196" zoomScale="75" zoomScaleNormal="75" workbookViewId="0">
      <selection activeCell="A162" sqref="A162:XFD211"/>
    </sheetView>
  </sheetViews>
  <sheetFormatPr defaultRowHeight="15" x14ac:dyDescent="0.25"/>
  <cols>
    <col min="1" max="1" width="6.140625" customWidth="1"/>
    <col min="2" max="2" width="9.28515625" bestFit="1" customWidth="1"/>
    <col min="3" max="3" width="15.5703125" customWidth="1"/>
    <col min="4" max="4" width="10" customWidth="1"/>
    <col min="5" max="5" width="9.140625" style="16" customWidth="1"/>
    <col min="6" max="6" width="15.140625" style="16" customWidth="1"/>
    <col min="7" max="12" width="11" bestFit="1" customWidth="1"/>
    <col min="13" max="13" width="8.85546875" customWidth="1"/>
    <col min="14" max="14" width="13.140625" customWidth="1"/>
    <col min="15" max="15" width="13.28515625" customWidth="1"/>
    <col min="16" max="16" width="24.7109375" customWidth="1"/>
  </cols>
  <sheetData>
    <row r="1" spans="1:16" ht="18.75" x14ac:dyDescent="0.3">
      <c r="A1" s="68" t="s">
        <v>52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</row>
    <row r="2" spans="1:16" x14ac:dyDescent="0.25">
      <c r="A2" s="71" t="s">
        <v>0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</row>
    <row r="3" spans="1:16" x14ac:dyDescent="0.25">
      <c r="A3" s="2" t="s">
        <v>1</v>
      </c>
      <c r="B3" s="2"/>
      <c r="C3" s="2"/>
      <c r="D3" s="2" t="s">
        <v>2</v>
      </c>
      <c r="E3" s="14" t="s">
        <v>57</v>
      </c>
      <c r="F3" s="14"/>
      <c r="G3" s="2"/>
      <c r="H3" s="3"/>
      <c r="I3" s="2"/>
      <c r="J3" s="2"/>
      <c r="K3" s="2"/>
      <c r="L3" s="2"/>
      <c r="M3" s="3"/>
      <c r="N3" s="4"/>
      <c r="O3" s="2"/>
    </row>
    <row r="4" spans="1:16" ht="18.75" thickBot="1" x14ac:dyDescent="0.3">
      <c r="A4" s="80">
        <v>43699</v>
      </c>
      <c r="B4" s="80"/>
      <c r="C4" s="2"/>
      <c r="D4" s="6"/>
      <c r="E4" s="18"/>
      <c r="F4" s="14"/>
      <c r="G4" s="2"/>
      <c r="H4" s="30" t="s">
        <v>55</v>
      </c>
      <c r="I4" s="2"/>
      <c r="J4" s="2"/>
      <c r="K4" s="2"/>
      <c r="L4" s="2"/>
      <c r="M4" s="4"/>
      <c r="N4" s="4"/>
      <c r="O4" s="2"/>
    </row>
    <row r="5" spans="1:16" s="1" customFormat="1" ht="14.45" customHeight="1" x14ac:dyDescent="0.25">
      <c r="A5" s="73" t="s">
        <v>3</v>
      </c>
      <c r="B5" s="75" t="s">
        <v>4</v>
      </c>
      <c r="C5" s="72" t="s">
        <v>5</v>
      </c>
      <c r="D5" s="72" t="s">
        <v>16</v>
      </c>
      <c r="E5" s="78" t="s">
        <v>6</v>
      </c>
      <c r="F5" s="78" t="s">
        <v>7</v>
      </c>
      <c r="G5" s="7" t="s">
        <v>17</v>
      </c>
      <c r="H5" s="72" t="s">
        <v>53</v>
      </c>
      <c r="I5" s="72"/>
      <c r="J5" s="72"/>
      <c r="K5" s="72"/>
      <c r="L5" s="72"/>
      <c r="M5" s="72"/>
      <c r="N5" s="72" t="s">
        <v>15</v>
      </c>
      <c r="O5" s="72" t="s">
        <v>18</v>
      </c>
      <c r="P5" s="69" t="s">
        <v>19</v>
      </c>
    </row>
    <row r="6" spans="1:16" ht="13.9" customHeight="1" thickBot="1" x14ac:dyDescent="0.3">
      <c r="A6" s="74"/>
      <c r="B6" s="76"/>
      <c r="C6" s="77"/>
      <c r="D6" s="77"/>
      <c r="E6" s="79"/>
      <c r="F6" s="79"/>
      <c r="G6" s="20" t="s">
        <v>8</v>
      </c>
      <c r="H6" s="20" t="s">
        <v>9</v>
      </c>
      <c r="I6" s="20" t="s">
        <v>10</v>
      </c>
      <c r="J6" s="20" t="s">
        <v>11</v>
      </c>
      <c r="K6" s="20" t="s">
        <v>12</v>
      </c>
      <c r="L6" s="20" t="s">
        <v>13</v>
      </c>
      <c r="M6" s="20" t="s">
        <v>14</v>
      </c>
      <c r="N6" s="77"/>
      <c r="O6" s="77"/>
      <c r="P6" s="70"/>
    </row>
    <row r="7" spans="1:16" ht="24" customHeight="1" x14ac:dyDescent="0.25">
      <c r="A7" s="10">
        <v>1</v>
      </c>
      <c r="B7" s="9">
        <v>9.6527777777777768E-2</v>
      </c>
      <c r="C7" s="5" t="s">
        <v>21</v>
      </c>
      <c r="D7" s="5">
        <v>12</v>
      </c>
      <c r="E7" s="15"/>
      <c r="F7" s="15" t="s">
        <v>26</v>
      </c>
      <c r="G7" s="19">
        <v>7640</v>
      </c>
      <c r="H7" s="19">
        <v>4360</v>
      </c>
      <c r="I7" s="19">
        <v>6580</v>
      </c>
      <c r="J7" s="19">
        <v>7040</v>
      </c>
      <c r="K7" s="19">
        <v>6060</v>
      </c>
      <c r="L7" s="19">
        <v>6340</v>
      </c>
      <c r="M7" s="19"/>
      <c r="N7" s="17"/>
      <c r="O7" s="12"/>
      <c r="P7" s="8" t="s">
        <v>40</v>
      </c>
    </row>
    <row r="8" spans="1:16" ht="24" customHeight="1" x14ac:dyDescent="0.25">
      <c r="A8" s="10">
        <v>2</v>
      </c>
      <c r="B8" s="9">
        <v>0.10347222222222223</v>
      </c>
      <c r="C8" s="5" t="s">
        <v>20</v>
      </c>
      <c r="D8" s="5">
        <v>8</v>
      </c>
      <c r="E8" s="15"/>
      <c r="F8" s="15" t="s">
        <v>23</v>
      </c>
      <c r="G8" s="19">
        <v>3700</v>
      </c>
      <c r="H8" s="19">
        <v>3600</v>
      </c>
      <c r="I8" s="19"/>
      <c r="J8" s="19"/>
      <c r="K8" s="19"/>
      <c r="L8" s="19"/>
      <c r="M8" s="19"/>
      <c r="N8" s="17"/>
      <c r="O8" s="12"/>
      <c r="P8" s="8" t="s">
        <v>37</v>
      </c>
    </row>
    <row r="9" spans="1:16" ht="24" customHeight="1" x14ac:dyDescent="0.25">
      <c r="A9" s="10">
        <v>3</v>
      </c>
      <c r="B9" s="9">
        <v>0.10347222222222223</v>
      </c>
      <c r="C9" s="5" t="s">
        <v>20</v>
      </c>
      <c r="D9" s="5">
        <v>8</v>
      </c>
      <c r="E9" s="15"/>
      <c r="F9" s="15" t="s">
        <v>23</v>
      </c>
      <c r="G9" s="19">
        <v>3100</v>
      </c>
      <c r="H9" s="19">
        <v>3300</v>
      </c>
      <c r="I9" s="19"/>
      <c r="J9" s="19"/>
      <c r="K9" s="19"/>
      <c r="L9" s="19"/>
      <c r="M9" s="19"/>
      <c r="N9" s="17"/>
      <c r="O9" s="12"/>
      <c r="P9" s="8" t="s">
        <v>37</v>
      </c>
    </row>
    <row r="10" spans="1:16" ht="24" customHeight="1" x14ac:dyDescent="0.25">
      <c r="A10" s="10">
        <v>4</v>
      </c>
      <c r="B10" s="9">
        <v>0.10347222222222223</v>
      </c>
      <c r="C10" s="5" t="s">
        <v>20</v>
      </c>
      <c r="D10" s="5">
        <v>8</v>
      </c>
      <c r="E10" s="15"/>
      <c r="F10" s="15" t="s">
        <v>23</v>
      </c>
      <c r="G10" s="13">
        <v>2740</v>
      </c>
      <c r="H10" s="13">
        <v>2480</v>
      </c>
      <c r="I10" s="13"/>
      <c r="J10" s="13"/>
      <c r="K10" s="13"/>
      <c r="L10" s="13"/>
      <c r="M10" s="13"/>
      <c r="N10" s="17"/>
      <c r="O10" s="12"/>
      <c r="P10" s="8" t="s">
        <v>37</v>
      </c>
    </row>
    <row r="11" spans="1:16" ht="24" customHeight="1" x14ac:dyDescent="0.25">
      <c r="A11" s="10">
        <v>5</v>
      </c>
      <c r="B11" s="9">
        <v>0.10416666666666667</v>
      </c>
      <c r="C11" s="5" t="s">
        <v>20</v>
      </c>
      <c r="D11" s="21">
        <v>8</v>
      </c>
      <c r="E11" s="15"/>
      <c r="F11" s="15" t="s">
        <v>23</v>
      </c>
      <c r="G11" s="13">
        <v>2680</v>
      </c>
      <c r="H11" s="13">
        <v>2120</v>
      </c>
      <c r="I11" s="13"/>
      <c r="J11" s="13"/>
      <c r="K11" s="13"/>
      <c r="L11" s="13"/>
      <c r="M11" s="13"/>
      <c r="N11" s="17"/>
      <c r="O11" s="12"/>
      <c r="P11" s="8" t="s">
        <v>37</v>
      </c>
    </row>
    <row r="12" spans="1:16" ht="24" customHeight="1" x14ac:dyDescent="0.25">
      <c r="A12" s="10">
        <v>6</v>
      </c>
      <c r="B12" s="9">
        <v>0.10486111111111111</v>
      </c>
      <c r="C12" s="5" t="s">
        <v>20</v>
      </c>
      <c r="D12" s="5">
        <v>8</v>
      </c>
      <c r="E12" s="15"/>
      <c r="F12" s="15" t="s">
        <v>23</v>
      </c>
      <c r="G12" s="13">
        <v>2320</v>
      </c>
      <c r="H12" s="13">
        <v>2180</v>
      </c>
      <c r="I12" s="13"/>
      <c r="J12" s="13"/>
      <c r="K12" s="13"/>
      <c r="L12" s="13"/>
      <c r="M12" s="13"/>
      <c r="N12" s="17"/>
      <c r="O12" s="12"/>
      <c r="P12" s="8" t="s">
        <v>41</v>
      </c>
    </row>
    <row r="13" spans="1:16" ht="24" customHeight="1" x14ac:dyDescent="0.25">
      <c r="A13" s="10">
        <v>7</v>
      </c>
      <c r="B13" s="9">
        <v>0.10555555555555556</v>
      </c>
      <c r="C13" s="5" t="s">
        <v>20</v>
      </c>
      <c r="D13" s="5">
        <v>8</v>
      </c>
      <c r="E13" s="15"/>
      <c r="F13" s="15" t="s">
        <v>23</v>
      </c>
      <c r="G13" s="13">
        <v>2860</v>
      </c>
      <c r="H13" s="13">
        <v>2640</v>
      </c>
      <c r="I13" s="13"/>
      <c r="J13" s="13"/>
      <c r="K13" s="13"/>
      <c r="L13" s="13"/>
      <c r="M13" s="13"/>
      <c r="N13" s="17"/>
      <c r="O13" s="12"/>
      <c r="P13" s="8" t="s">
        <v>37</v>
      </c>
    </row>
    <row r="14" spans="1:16" ht="24" customHeight="1" x14ac:dyDescent="0.25">
      <c r="A14" s="10">
        <v>8</v>
      </c>
      <c r="B14" s="9">
        <v>0.10694444444444444</v>
      </c>
      <c r="C14" s="5" t="s">
        <v>20</v>
      </c>
      <c r="D14" s="5">
        <v>12</v>
      </c>
      <c r="E14" s="15"/>
      <c r="F14" s="15" t="s">
        <v>26</v>
      </c>
      <c r="G14" s="13">
        <v>10160</v>
      </c>
      <c r="H14" s="13">
        <v>15280</v>
      </c>
      <c r="I14" s="13">
        <v>21720</v>
      </c>
      <c r="J14" s="13">
        <v>19000</v>
      </c>
      <c r="K14" s="13">
        <v>14160</v>
      </c>
      <c r="L14" s="13">
        <v>14100</v>
      </c>
      <c r="M14" s="13"/>
      <c r="N14" s="17"/>
      <c r="O14" s="12"/>
      <c r="P14" s="8" t="s">
        <v>42</v>
      </c>
    </row>
    <row r="15" spans="1:16" ht="24" customHeight="1" x14ac:dyDescent="0.25">
      <c r="A15" s="10">
        <v>9</v>
      </c>
      <c r="B15" s="9">
        <v>0.1076388888888889</v>
      </c>
      <c r="C15" s="5" t="s">
        <v>20</v>
      </c>
      <c r="D15" s="5">
        <v>8</v>
      </c>
      <c r="E15" s="15"/>
      <c r="F15" s="15" t="s">
        <v>23</v>
      </c>
      <c r="G15" s="13">
        <v>3400</v>
      </c>
      <c r="H15" s="13">
        <v>3900</v>
      </c>
      <c r="I15" s="13"/>
      <c r="J15" s="13"/>
      <c r="K15" s="13"/>
      <c r="L15" s="13"/>
      <c r="M15" s="13"/>
      <c r="N15" s="17"/>
      <c r="O15" s="12"/>
      <c r="P15" s="8" t="s">
        <v>37</v>
      </c>
    </row>
    <row r="16" spans="1:16" ht="24" customHeight="1" x14ac:dyDescent="0.25">
      <c r="A16" s="10">
        <v>10</v>
      </c>
      <c r="B16" s="9">
        <v>0.10833333333333334</v>
      </c>
      <c r="C16" s="5" t="s">
        <v>20</v>
      </c>
      <c r="D16" s="5">
        <v>8</v>
      </c>
      <c r="E16" s="15"/>
      <c r="F16" s="15" t="s">
        <v>23</v>
      </c>
      <c r="G16" s="13">
        <v>5820</v>
      </c>
      <c r="H16" s="13">
        <v>14420</v>
      </c>
      <c r="I16" s="13"/>
      <c r="J16" s="13"/>
      <c r="K16" s="13"/>
      <c r="L16" s="13"/>
      <c r="M16" s="13"/>
      <c r="N16" s="17"/>
      <c r="O16" s="12"/>
      <c r="P16" s="8" t="s">
        <v>42</v>
      </c>
    </row>
    <row r="17" spans="1:16" ht="24" customHeight="1" x14ac:dyDescent="0.25">
      <c r="A17" s="10">
        <v>11</v>
      </c>
      <c r="B17" s="9">
        <v>0.10902777777777778</v>
      </c>
      <c r="C17" s="5" t="s">
        <v>20</v>
      </c>
      <c r="D17" s="5">
        <v>8</v>
      </c>
      <c r="E17" s="15"/>
      <c r="F17" s="15" t="s">
        <v>23</v>
      </c>
      <c r="G17" s="13">
        <v>8020</v>
      </c>
      <c r="H17" s="13">
        <v>17080</v>
      </c>
      <c r="I17" s="13"/>
      <c r="J17" s="13"/>
      <c r="K17" s="13"/>
      <c r="L17" s="13"/>
      <c r="M17" s="13"/>
      <c r="N17" s="12"/>
      <c r="O17" s="12"/>
      <c r="P17" s="8" t="s">
        <v>42</v>
      </c>
    </row>
    <row r="18" spans="1:16" ht="24" customHeight="1" x14ac:dyDescent="0.25">
      <c r="A18" s="10">
        <v>12</v>
      </c>
      <c r="B18" s="9">
        <v>0.1111111111111111</v>
      </c>
      <c r="C18" s="5" t="s">
        <v>20</v>
      </c>
      <c r="D18" s="5">
        <v>8</v>
      </c>
      <c r="E18" s="15"/>
      <c r="F18" s="22" t="s">
        <v>23</v>
      </c>
      <c r="G18" s="13">
        <v>3360</v>
      </c>
      <c r="H18" s="13">
        <v>3460</v>
      </c>
      <c r="I18" s="13"/>
      <c r="J18" s="13"/>
      <c r="K18" s="13"/>
      <c r="L18" s="13"/>
      <c r="M18" s="13"/>
      <c r="N18" s="12"/>
      <c r="O18" s="12"/>
      <c r="P18" s="8" t="s">
        <v>37</v>
      </c>
    </row>
    <row r="19" spans="1:16" ht="24" customHeight="1" x14ac:dyDescent="0.25">
      <c r="A19" s="10">
        <v>13</v>
      </c>
      <c r="B19" s="9">
        <v>0.11597222222222221</v>
      </c>
      <c r="C19" s="5" t="s">
        <v>20</v>
      </c>
      <c r="D19" s="5">
        <v>8</v>
      </c>
      <c r="E19" s="15"/>
      <c r="F19" s="15" t="s">
        <v>23</v>
      </c>
      <c r="G19" s="13">
        <v>2260</v>
      </c>
      <c r="H19" s="13">
        <v>2060</v>
      </c>
      <c r="I19" s="13"/>
      <c r="J19" s="13"/>
      <c r="K19" s="13"/>
      <c r="L19" s="13"/>
      <c r="M19" s="13"/>
      <c r="N19" s="17"/>
      <c r="O19" s="12"/>
      <c r="P19" s="8" t="s">
        <v>37</v>
      </c>
    </row>
    <row r="20" spans="1:16" ht="24" customHeight="1" x14ac:dyDescent="0.25">
      <c r="A20" s="10">
        <v>14</v>
      </c>
      <c r="B20" s="9">
        <v>0.11597222222222221</v>
      </c>
      <c r="C20" s="5" t="s">
        <v>20</v>
      </c>
      <c r="D20" s="5">
        <v>8</v>
      </c>
      <c r="E20" s="15"/>
      <c r="F20" s="15" t="s">
        <v>23</v>
      </c>
      <c r="G20" s="13">
        <v>3920</v>
      </c>
      <c r="H20" s="13">
        <v>3920</v>
      </c>
      <c r="I20" s="13"/>
      <c r="J20" s="13"/>
      <c r="K20" s="13"/>
      <c r="L20" s="13"/>
      <c r="M20" s="13"/>
      <c r="N20" s="17"/>
      <c r="O20" s="12"/>
      <c r="P20" s="8" t="s">
        <v>36</v>
      </c>
    </row>
    <row r="21" spans="1:16" ht="24" customHeight="1" x14ac:dyDescent="0.25">
      <c r="A21" s="10">
        <v>15</v>
      </c>
      <c r="B21" s="9">
        <v>0.11666666666666665</v>
      </c>
      <c r="C21" s="5" t="s">
        <v>20</v>
      </c>
      <c r="D21" s="5">
        <v>8</v>
      </c>
      <c r="E21" s="15"/>
      <c r="F21" s="15" t="s">
        <v>23</v>
      </c>
      <c r="G21" s="13">
        <v>3020</v>
      </c>
      <c r="H21" s="13">
        <v>2700</v>
      </c>
      <c r="I21" s="13"/>
      <c r="J21" s="13"/>
      <c r="K21" s="13"/>
      <c r="L21" s="13"/>
      <c r="M21" s="13"/>
      <c r="N21" s="17"/>
      <c r="O21" s="12"/>
      <c r="P21" s="8" t="s">
        <v>37</v>
      </c>
    </row>
    <row r="22" spans="1:16" ht="24" customHeight="1" x14ac:dyDescent="0.25">
      <c r="A22" s="10">
        <v>16</v>
      </c>
      <c r="B22" s="9">
        <v>0.11666666666666665</v>
      </c>
      <c r="C22" s="5" t="s">
        <v>20</v>
      </c>
      <c r="D22" s="5">
        <v>12</v>
      </c>
      <c r="E22" s="15"/>
      <c r="F22" s="15" t="s">
        <v>25</v>
      </c>
      <c r="G22" s="13">
        <v>10760</v>
      </c>
      <c r="H22" s="13">
        <v>15780</v>
      </c>
      <c r="I22" s="13">
        <v>15180</v>
      </c>
      <c r="J22" s="13">
        <v>14120</v>
      </c>
      <c r="K22" s="13">
        <v>13080</v>
      </c>
      <c r="L22" s="13">
        <v>9720</v>
      </c>
      <c r="M22" s="13"/>
      <c r="N22" s="17"/>
      <c r="O22" s="12"/>
      <c r="P22" s="8" t="s">
        <v>36</v>
      </c>
    </row>
    <row r="23" spans="1:16" ht="24" customHeight="1" x14ac:dyDescent="0.25">
      <c r="A23" s="10">
        <v>17</v>
      </c>
      <c r="B23" s="9">
        <v>0.11666666666666665</v>
      </c>
      <c r="C23" s="5" t="s">
        <v>20</v>
      </c>
      <c r="D23" s="5">
        <v>12</v>
      </c>
      <c r="E23" s="15"/>
      <c r="F23" s="15" t="s">
        <v>26</v>
      </c>
      <c r="G23" s="13">
        <v>8780</v>
      </c>
      <c r="H23" s="13">
        <v>12400</v>
      </c>
      <c r="I23" s="13">
        <v>12300</v>
      </c>
      <c r="J23" s="13">
        <v>18160</v>
      </c>
      <c r="K23" s="13">
        <v>13380</v>
      </c>
      <c r="L23" s="13">
        <v>12400</v>
      </c>
      <c r="M23" s="13"/>
      <c r="N23" s="17"/>
      <c r="O23" s="12"/>
      <c r="P23" s="8" t="s">
        <v>36</v>
      </c>
    </row>
    <row r="24" spans="1:16" ht="24" customHeight="1" x14ac:dyDescent="0.25">
      <c r="A24" s="10">
        <v>18</v>
      </c>
      <c r="B24" s="9">
        <v>0.11666666666666665</v>
      </c>
      <c r="C24" s="5" t="s">
        <v>20</v>
      </c>
      <c r="D24" s="5">
        <v>8</v>
      </c>
      <c r="E24" s="15"/>
      <c r="F24" s="15" t="s">
        <v>23</v>
      </c>
      <c r="G24" s="13">
        <v>8680</v>
      </c>
      <c r="H24" s="13">
        <v>16200</v>
      </c>
      <c r="I24" s="13"/>
      <c r="J24" s="13"/>
      <c r="K24" s="13"/>
      <c r="L24" s="13"/>
      <c r="M24" s="13"/>
      <c r="N24" s="17"/>
      <c r="O24" s="12"/>
      <c r="P24" s="8" t="s">
        <v>40</v>
      </c>
    </row>
    <row r="25" spans="1:16" ht="24" customHeight="1" x14ac:dyDescent="0.25">
      <c r="A25" s="10">
        <v>19</v>
      </c>
      <c r="B25" s="9">
        <v>0.11805555555555557</v>
      </c>
      <c r="C25" s="5" t="s">
        <v>20</v>
      </c>
      <c r="D25" s="5">
        <v>8</v>
      </c>
      <c r="E25" s="15"/>
      <c r="F25" s="15" t="s">
        <v>23</v>
      </c>
      <c r="G25" s="13">
        <v>6000</v>
      </c>
      <c r="H25" s="13">
        <v>17100</v>
      </c>
      <c r="I25" s="13"/>
      <c r="J25" s="13"/>
      <c r="K25" s="13"/>
      <c r="L25" s="13"/>
      <c r="M25" s="13"/>
      <c r="N25" s="17"/>
      <c r="O25" s="12"/>
      <c r="P25" s="8" t="s">
        <v>40</v>
      </c>
    </row>
    <row r="26" spans="1:16" ht="24" customHeight="1" x14ac:dyDescent="0.25">
      <c r="A26" s="10">
        <v>20</v>
      </c>
      <c r="B26" s="9">
        <v>0.11944444444444445</v>
      </c>
      <c r="C26" s="5" t="s">
        <v>20</v>
      </c>
      <c r="D26" s="5">
        <v>8</v>
      </c>
      <c r="E26" s="15"/>
      <c r="F26" s="15" t="s">
        <v>23</v>
      </c>
      <c r="G26" s="13">
        <v>3260</v>
      </c>
      <c r="H26" s="13">
        <v>2460</v>
      </c>
      <c r="I26" s="13"/>
      <c r="J26" s="13"/>
      <c r="K26" s="13"/>
      <c r="L26" s="13"/>
      <c r="M26" s="13"/>
      <c r="N26" s="17"/>
      <c r="O26" s="12"/>
      <c r="P26" s="8" t="s">
        <v>37</v>
      </c>
    </row>
    <row r="27" spans="1:16" ht="24" customHeight="1" x14ac:dyDescent="0.25">
      <c r="A27" s="10">
        <v>21</v>
      </c>
      <c r="B27" s="9">
        <v>0.12013888888888889</v>
      </c>
      <c r="C27" s="5" t="s">
        <v>20</v>
      </c>
      <c r="D27" s="5">
        <v>8</v>
      </c>
      <c r="E27" s="15"/>
      <c r="F27" s="15" t="s">
        <v>23</v>
      </c>
      <c r="G27" s="13">
        <v>2020</v>
      </c>
      <c r="H27" s="13">
        <v>1800</v>
      </c>
      <c r="I27" s="13"/>
      <c r="J27" s="13"/>
      <c r="K27" s="13"/>
      <c r="L27" s="13"/>
      <c r="M27" s="13"/>
      <c r="N27" s="17"/>
      <c r="O27" s="12"/>
      <c r="P27" s="8" t="s">
        <v>37</v>
      </c>
    </row>
    <row r="28" spans="1:16" ht="24" customHeight="1" x14ac:dyDescent="0.25">
      <c r="A28" s="10">
        <v>22</v>
      </c>
      <c r="B28" s="9">
        <v>0.12291666666666667</v>
      </c>
      <c r="C28" s="5" t="s">
        <v>20</v>
      </c>
      <c r="D28" s="5">
        <v>9</v>
      </c>
      <c r="E28" s="15"/>
      <c r="F28" s="15" t="s">
        <v>29</v>
      </c>
      <c r="G28" s="13">
        <v>9200</v>
      </c>
      <c r="H28" s="13">
        <v>23920</v>
      </c>
      <c r="I28" s="13">
        <v>2480</v>
      </c>
      <c r="J28" s="13"/>
      <c r="K28" s="13"/>
      <c r="L28" s="13"/>
      <c r="M28" s="13"/>
      <c r="N28" s="17"/>
      <c r="O28" s="12"/>
      <c r="P28" s="8" t="s">
        <v>41</v>
      </c>
    </row>
    <row r="29" spans="1:16" ht="24" customHeight="1" x14ac:dyDescent="0.25">
      <c r="A29" s="10">
        <v>23</v>
      </c>
      <c r="B29" s="9">
        <v>0.12430555555555556</v>
      </c>
      <c r="C29" s="5" t="s">
        <v>20</v>
      </c>
      <c r="D29" s="5">
        <v>11</v>
      </c>
      <c r="E29" s="15"/>
      <c r="F29" s="15" t="s">
        <v>46</v>
      </c>
      <c r="G29" s="13">
        <v>8500</v>
      </c>
      <c r="H29" s="13">
        <v>9620</v>
      </c>
      <c r="I29" s="13">
        <v>14460</v>
      </c>
      <c r="J29" s="13">
        <v>12500</v>
      </c>
      <c r="K29" s="13">
        <v>14460</v>
      </c>
      <c r="L29" s="13"/>
      <c r="M29" s="13"/>
      <c r="N29" s="17"/>
      <c r="O29" s="12"/>
      <c r="P29" s="8" t="s">
        <v>42</v>
      </c>
    </row>
    <row r="30" spans="1:16" ht="24" customHeight="1" x14ac:dyDescent="0.25">
      <c r="A30" s="10">
        <v>24</v>
      </c>
      <c r="B30" s="9">
        <v>0.125</v>
      </c>
      <c r="C30" s="5" t="s">
        <v>20</v>
      </c>
      <c r="D30" s="5">
        <v>10</v>
      </c>
      <c r="E30" s="15"/>
      <c r="F30" s="15" t="s">
        <v>31</v>
      </c>
      <c r="G30" s="13">
        <v>9720</v>
      </c>
      <c r="H30" s="13">
        <v>10520</v>
      </c>
      <c r="I30" s="13">
        <v>15800</v>
      </c>
      <c r="J30" s="13">
        <v>15320</v>
      </c>
      <c r="K30" s="13"/>
      <c r="L30" s="13"/>
      <c r="M30" s="13"/>
      <c r="N30" s="17"/>
      <c r="O30" s="12"/>
      <c r="P30" s="8" t="s">
        <v>41</v>
      </c>
    </row>
    <row r="31" spans="1:16" ht="24" customHeight="1" x14ac:dyDescent="0.25">
      <c r="A31" s="10">
        <v>25</v>
      </c>
      <c r="B31" s="9">
        <v>0.12569444444444444</v>
      </c>
      <c r="C31" s="5" t="s">
        <v>20</v>
      </c>
      <c r="D31" s="5">
        <v>9</v>
      </c>
      <c r="E31" s="15"/>
      <c r="F31" s="15" t="s">
        <v>30</v>
      </c>
      <c r="G31" s="13">
        <v>6600</v>
      </c>
      <c r="H31" s="13">
        <v>14060</v>
      </c>
      <c r="I31" s="13">
        <v>11940</v>
      </c>
      <c r="J31" s="13"/>
      <c r="K31" s="13"/>
      <c r="L31" s="13"/>
      <c r="M31" s="13"/>
      <c r="N31" s="17"/>
      <c r="O31" s="12"/>
      <c r="P31" s="8" t="s">
        <v>40</v>
      </c>
    </row>
    <row r="32" spans="1:16" ht="24" customHeight="1" x14ac:dyDescent="0.25">
      <c r="A32" s="10">
        <v>26</v>
      </c>
      <c r="B32" s="9">
        <v>0.12638888888888888</v>
      </c>
      <c r="C32" s="5" t="s">
        <v>20</v>
      </c>
      <c r="D32" s="5">
        <v>8</v>
      </c>
      <c r="E32" s="15"/>
      <c r="F32" s="15" t="s">
        <v>23</v>
      </c>
      <c r="G32" s="13">
        <v>2860</v>
      </c>
      <c r="H32" s="13">
        <v>2340</v>
      </c>
      <c r="I32" s="13"/>
      <c r="J32" s="13"/>
      <c r="K32" s="13"/>
      <c r="L32" s="13"/>
      <c r="M32" s="13"/>
      <c r="N32" s="17"/>
      <c r="O32" s="12"/>
      <c r="P32" s="8" t="s">
        <v>37</v>
      </c>
    </row>
    <row r="33" spans="1:16" ht="24" customHeight="1" x14ac:dyDescent="0.25">
      <c r="A33" s="10">
        <v>27</v>
      </c>
      <c r="B33" s="9">
        <v>0.12708333333333333</v>
      </c>
      <c r="C33" s="5" t="s">
        <v>20</v>
      </c>
      <c r="D33" s="5">
        <v>8</v>
      </c>
      <c r="E33" s="15"/>
      <c r="F33" s="15" t="s">
        <v>23</v>
      </c>
      <c r="G33" s="13">
        <v>3160</v>
      </c>
      <c r="H33" s="13">
        <v>3760</v>
      </c>
      <c r="I33" s="13"/>
      <c r="J33" s="13"/>
      <c r="K33" s="13"/>
      <c r="L33" s="13"/>
      <c r="M33" s="13"/>
      <c r="N33" s="17"/>
      <c r="O33" s="12"/>
      <c r="P33" s="8" t="s">
        <v>41</v>
      </c>
    </row>
    <row r="34" spans="1:16" ht="24" customHeight="1" x14ac:dyDescent="0.25">
      <c r="A34" s="10">
        <v>28</v>
      </c>
      <c r="B34" s="9">
        <v>0.1277777777777778</v>
      </c>
      <c r="C34" s="5" t="s">
        <v>20</v>
      </c>
      <c r="D34" s="5">
        <v>8</v>
      </c>
      <c r="E34" s="15"/>
      <c r="F34" s="15" t="s">
        <v>23</v>
      </c>
      <c r="G34" s="13">
        <v>2400</v>
      </c>
      <c r="H34" s="13">
        <v>2100</v>
      </c>
      <c r="I34" s="13"/>
      <c r="J34" s="13"/>
      <c r="K34" s="13"/>
      <c r="L34" s="13"/>
      <c r="M34" s="13"/>
      <c r="N34" s="17"/>
      <c r="O34" s="12"/>
      <c r="P34" s="8" t="s">
        <v>37</v>
      </c>
    </row>
    <row r="35" spans="1:16" ht="24" customHeight="1" x14ac:dyDescent="0.25">
      <c r="A35" s="10">
        <v>29</v>
      </c>
      <c r="B35" s="9">
        <v>0.12847222222222224</v>
      </c>
      <c r="C35" s="5" t="s">
        <v>20</v>
      </c>
      <c r="D35" s="5">
        <v>8</v>
      </c>
      <c r="E35" s="15"/>
      <c r="F35" s="15" t="s">
        <v>23</v>
      </c>
      <c r="G35" s="13">
        <v>2680</v>
      </c>
      <c r="H35" s="13">
        <v>1280</v>
      </c>
      <c r="I35" s="13"/>
      <c r="J35" s="13"/>
      <c r="K35" s="13"/>
      <c r="L35" s="13"/>
      <c r="M35" s="13"/>
      <c r="N35" s="17"/>
      <c r="O35" s="12"/>
      <c r="P35" s="8" t="s">
        <v>37</v>
      </c>
    </row>
    <row r="36" spans="1:16" ht="24" customHeight="1" x14ac:dyDescent="0.25">
      <c r="A36" s="10">
        <v>30</v>
      </c>
      <c r="B36" s="9">
        <v>0.12916666666666668</v>
      </c>
      <c r="C36" s="5" t="s">
        <v>20</v>
      </c>
      <c r="D36" s="5">
        <v>10</v>
      </c>
      <c r="E36" s="15"/>
      <c r="F36" s="15" t="s">
        <v>34</v>
      </c>
      <c r="G36" s="13">
        <v>12340</v>
      </c>
      <c r="H36" s="13">
        <v>28380</v>
      </c>
      <c r="I36" s="13">
        <v>9740</v>
      </c>
      <c r="J36" s="13"/>
      <c r="K36" s="13"/>
      <c r="L36" s="13"/>
      <c r="M36" s="13"/>
      <c r="N36" s="17"/>
      <c r="O36" s="12"/>
      <c r="P36" s="8" t="s">
        <v>38</v>
      </c>
    </row>
    <row r="37" spans="1:16" ht="24" customHeight="1" x14ac:dyDescent="0.25">
      <c r="A37" s="10">
        <v>31</v>
      </c>
      <c r="B37" s="9">
        <v>0.12986111111111112</v>
      </c>
      <c r="C37" s="5" t="s">
        <v>20</v>
      </c>
      <c r="D37" s="5">
        <v>8</v>
      </c>
      <c r="E37" s="15"/>
      <c r="F37" s="15" t="s">
        <v>23</v>
      </c>
      <c r="G37" s="13">
        <v>7820</v>
      </c>
      <c r="H37" s="13">
        <v>18740</v>
      </c>
      <c r="I37" s="13"/>
      <c r="J37" s="13"/>
      <c r="K37" s="13"/>
      <c r="L37" s="13"/>
      <c r="M37" s="13"/>
      <c r="N37" s="17"/>
      <c r="O37" s="12"/>
      <c r="P37" s="8" t="s">
        <v>38</v>
      </c>
    </row>
    <row r="38" spans="1:16" ht="24" customHeight="1" x14ac:dyDescent="0.25">
      <c r="A38" s="10">
        <v>32</v>
      </c>
      <c r="B38" s="9">
        <v>0.13125000000000001</v>
      </c>
      <c r="C38" s="5" t="s">
        <v>20</v>
      </c>
      <c r="D38" s="5">
        <v>8</v>
      </c>
      <c r="E38" s="15"/>
      <c r="F38" s="15" t="s">
        <v>23</v>
      </c>
      <c r="G38" s="13">
        <v>3880</v>
      </c>
      <c r="H38" s="13">
        <v>3940</v>
      </c>
      <c r="I38" s="13"/>
      <c r="J38" s="13"/>
      <c r="K38" s="13"/>
      <c r="L38" s="13"/>
      <c r="M38" s="13"/>
      <c r="N38" s="17"/>
      <c r="O38" s="12"/>
      <c r="P38" s="8" t="s">
        <v>37</v>
      </c>
    </row>
    <row r="39" spans="1:16" ht="24" customHeight="1" x14ac:dyDescent="0.25">
      <c r="A39" s="10">
        <v>33</v>
      </c>
      <c r="B39" s="9">
        <v>0.13125000000000001</v>
      </c>
      <c r="C39" s="5" t="s">
        <v>20</v>
      </c>
      <c r="D39" s="5">
        <v>8</v>
      </c>
      <c r="E39" s="15"/>
      <c r="F39" s="15" t="s">
        <v>23</v>
      </c>
      <c r="G39" s="13">
        <v>3400</v>
      </c>
      <c r="H39" s="13">
        <v>7960</v>
      </c>
      <c r="I39" s="13"/>
      <c r="J39" s="13"/>
      <c r="K39" s="13"/>
      <c r="L39" s="13"/>
      <c r="M39" s="13"/>
      <c r="N39" s="17"/>
      <c r="O39" s="12"/>
      <c r="P39" s="8" t="s">
        <v>40</v>
      </c>
    </row>
    <row r="40" spans="1:16" ht="24" customHeight="1" x14ac:dyDescent="0.25">
      <c r="A40" s="10">
        <v>34</v>
      </c>
      <c r="B40" s="9">
        <v>0.13194444444444445</v>
      </c>
      <c r="C40" s="5" t="s">
        <v>20</v>
      </c>
      <c r="D40" s="5">
        <v>8</v>
      </c>
      <c r="E40" s="15"/>
      <c r="F40" s="15" t="s">
        <v>23</v>
      </c>
      <c r="G40" s="13">
        <v>2040</v>
      </c>
      <c r="H40" s="13">
        <v>2220</v>
      </c>
      <c r="I40" s="13"/>
      <c r="J40" s="13"/>
      <c r="K40" s="13"/>
      <c r="L40" s="13"/>
      <c r="M40" s="13"/>
      <c r="N40" s="17"/>
      <c r="O40" s="12"/>
      <c r="P40" s="8" t="s">
        <v>38</v>
      </c>
    </row>
    <row r="41" spans="1:16" ht="24" customHeight="1" x14ac:dyDescent="0.25">
      <c r="A41" s="10">
        <v>35</v>
      </c>
      <c r="B41" s="9">
        <v>0.13541666666666666</v>
      </c>
      <c r="C41" s="5" t="s">
        <v>20</v>
      </c>
      <c r="D41" s="5">
        <v>12</v>
      </c>
      <c r="E41" s="15"/>
      <c r="F41" s="15" t="s">
        <v>27</v>
      </c>
      <c r="G41" s="13">
        <v>8540</v>
      </c>
      <c r="H41" s="13">
        <v>10460</v>
      </c>
      <c r="I41" s="13">
        <v>15420</v>
      </c>
      <c r="J41" s="13">
        <v>16720</v>
      </c>
      <c r="K41" s="13">
        <v>14500</v>
      </c>
      <c r="L41" s="13">
        <v>15980</v>
      </c>
      <c r="M41" s="13"/>
      <c r="N41" s="17"/>
      <c r="O41" s="12"/>
      <c r="P41" s="8" t="s">
        <v>41</v>
      </c>
    </row>
    <row r="42" spans="1:16" ht="24" customHeight="1" x14ac:dyDescent="0.25">
      <c r="A42" s="10">
        <v>36</v>
      </c>
      <c r="B42" s="9">
        <v>0.1361111111111111</v>
      </c>
      <c r="C42" s="5" t="s">
        <v>20</v>
      </c>
      <c r="D42" s="5">
        <v>12</v>
      </c>
      <c r="E42" s="15"/>
      <c r="F42" s="15" t="s">
        <v>27</v>
      </c>
      <c r="G42" s="13">
        <v>8960</v>
      </c>
      <c r="H42" s="13">
        <v>8740</v>
      </c>
      <c r="I42" s="13">
        <v>14800</v>
      </c>
      <c r="J42" s="13">
        <v>20540</v>
      </c>
      <c r="K42" s="13">
        <v>14020</v>
      </c>
      <c r="L42" s="13">
        <v>12380</v>
      </c>
      <c r="M42" s="13"/>
      <c r="N42" s="17"/>
      <c r="O42" s="12"/>
      <c r="P42" s="8" t="s">
        <v>41</v>
      </c>
    </row>
    <row r="43" spans="1:16" ht="24" customHeight="1" x14ac:dyDescent="0.25">
      <c r="A43" s="10">
        <v>37</v>
      </c>
      <c r="B43" s="9">
        <v>0.13680555555555554</v>
      </c>
      <c r="C43" s="5" t="s">
        <v>20</v>
      </c>
      <c r="D43" s="5">
        <v>9</v>
      </c>
      <c r="E43" s="15"/>
      <c r="F43" s="15" t="s">
        <v>30</v>
      </c>
      <c r="G43" s="13">
        <v>10680</v>
      </c>
      <c r="H43" s="13">
        <v>16560</v>
      </c>
      <c r="I43" s="13">
        <v>10380</v>
      </c>
      <c r="J43" s="13"/>
      <c r="K43" s="13"/>
      <c r="L43" s="13"/>
      <c r="M43" s="13"/>
      <c r="N43" s="17"/>
      <c r="O43" s="12"/>
      <c r="P43" s="8" t="s">
        <v>40</v>
      </c>
    </row>
    <row r="44" spans="1:16" ht="24" customHeight="1" x14ac:dyDescent="0.25">
      <c r="A44" s="10">
        <v>38</v>
      </c>
      <c r="B44" s="9">
        <v>0.13958333333333334</v>
      </c>
      <c r="C44" s="5" t="s">
        <v>20</v>
      </c>
      <c r="D44" s="5">
        <v>8</v>
      </c>
      <c r="E44" s="15"/>
      <c r="F44" s="15" t="s">
        <v>23</v>
      </c>
      <c r="G44" s="13">
        <v>4220</v>
      </c>
      <c r="H44" s="13">
        <v>7440</v>
      </c>
      <c r="I44" s="13"/>
      <c r="J44" s="13"/>
      <c r="K44" s="13"/>
      <c r="L44" s="13"/>
      <c r="M44" s="13"/>
      <c r="N44" s="17"/>
      <c r="O44" s="12"/>
      <c r="P44" s="8" t="s">
        <v>40</v>
      </c>
    </row>
    <row r="45" spans="1:16" ht="24" customHeight="1" x14ac:dyDescent="0.25">
      <c r="A45" s="10">
        <v>39</v>
      </c>
      <c r="B45" s="9">
        <v>0.14027777777777778</v>
      </c>
      <c r="C45" s="5" t="s">
        <v>20</v>
      </c>
      <c r="D45" s="5">
        <v>13</v>
      </c>
      <c r="E45" s="15"/>
      <c r="F45" s="15" t="s">
        <v>47</v>
      </c>
      <c r="G45" s="13">
        <v>8560</v>
      </c>
      <c r="H45" s="13">
        <v>9100</v>
      </c>
      <c r="I45" s="13">
        <v>5620</v>
      </c>
      <c r="J45" s="13">
        <v>4960</v>
      </c>
      <c r="K45" s="13">
        <v>6840</v>
      </c>
      <c r="L45" s="13">
        <v>4480</v>
      </c>
      <c r="M45" s="13">
        <v>4620</v>
      </c>
      <c r="N45" s="17"/>
      <c r="O45" s="12"/>
      <c r="P45" s="8" t="s">
        <v>43</v>
      </c>
    </row>
    <row r="46" spans="1:16" ht="24" customHeight="1" x14ac:dyDescent="0.25">
      <c r="A46" s="10">
        <v>40</v>
      </c>
      <c r="B46" s="9">
        <v>0.14097222222222222</v>
      </c>
      <c r="C46" s="5" t="s">
        <v>20</v>
      </c>
      <c r="D46" s="5">
        <v>12</v>
      </c>
      <c r="E46" s="15"/>
      <c r="F46" s="15" t="s">
        <v>26</v>
      </c>
      <c r="G46" s="13">
        <v>8240</v>
      </c>
      <c r="H46" s="13">
        <v>17400</v>
      </c>
      <c r="I46" s="13">
        <v>13320</v>
      </c>
      <c r="J46" s="13">
        <v>16560</v>
      </c>
      <c r="K46" s="13">
        <v>14520</v>
      </c>
      <c r="L46" s="13">
        <v>16580</v>
      </c>
      <c r="M46" s="13"/>
      <c r="N46" s="17"/>
      <c r="O46" s="12"/>
      <c r="P46" s="8" t="s">
        <v>41</v>
      </c>
    </row>
    <row r="47" spans="1:16" ht="24" customHeight="1" x14ac:dyDescent="0.25">
      <c r="A47" s="10">
        <v>41</v>
      </c>
      <c r="B47" s="9">
        <v>0.14166666666666666</v>
      </c>
      <c r="C47" s="5" t="s">
        <v>20</v>
      </c>
      <c r="D47" s="5">
        <v>12</v>
      </c>
      <c r="E47" s="15"/>
      <c r="F47" s="15" t="s">
        <v>26</v>
      </c>
      <c r="G47" s="13">
        <v>8920</v>
      </c>
      <c r="H47" s="13">
        <v>14200</v>
      </c>
      <c r="I47" s="13">
        <v>14040</v>
      </c>
      <c r="J47" s="13">
        <v>16240</v>
      </c>
      <c r="K47" s="13">
        <v>16520</v>
      </c>
      <c r="L47" s="13">
        <v>16120</v>
      </c>
      <c r="M47" s="13"/>
      <c r="N47" s="17"/>
      <c r="O47" s="12"/>
      <c r="P47" s="8" t="s">
        <v>41</v>
      </c>
    </row>
    <row r="48" spans="1:16" ht="24" customHeight="1" x14ac:dyDescent="0.25">
      <c r="A48" s="10">
        <v>42</v>
      </c>
      <c r="B48" s="9">
        <v>0.15277777777777776</v>
      </c>
      <c r="C48" s="5" t="s">
        <v>20</v>
      </c>
      <c r="D48" s="5">
        <v>8</v>
      </c>
      <c r="E48" s="15"/>
      <c r="F48" s="15" t="s">
        <v>23</v>
      </c>
      <c r="G48" s="13">
        <v>2980</v>
      </c>
      <c r="H48" s="13">
        <v>3040</v>
      </c>
      <c r="I48" s="13"/>
      <c r="J48" s="13"/>
      <c r="K48" s="13"/>
      <c r="L48" s="13"/>
      <c r="M48" s="13"/>
      <c r="N48" s="17"/>
      <c r="O48" s="12"/>
      <c r="P48" s="8" t="s">
        <v>37</v>
      </c>
    </row>
    <row r="49" spans="1:16" ht="24" customHeight="1" x14ac:dyDescent="0.25">
      <c r="A49" s="10">
        <v>43</v>
      </c>
      <c r="B49" s="9">
        <v>0.16041666666666668</v>
      </c>
      <c r="C49" s="5" t="s">
        <v>20</v>
      </c>
      <c r="D49" s="5">
        <v>8</v>
      </c>
      <c r="E49" s="15"/>
      <c r="F49" s="15" t="s">
        <v>23</v>
      </c>
      <c r="G49" s="13">
        <v>2220</v>
      </c>
      <c r="H49" s="13">
        <v>1920</v>
      </c>
      <c r="I49" s="13"/>
      <c r="J49" s="13"/>
      <c r="K49" s="13"/>
      <c r="L49" s="13"/>
      <c r="M49" s="13"/>
      <c r="N49" s="17"/>
      <c r="O49" s="12"/>
      <c r="P49" s="8" t="s">
        <v>37</v>
      </c>
    </row>
    <row r="50" spans="1:16" ht="24" customHeight="1" x14ac:dyDescent="0.25">
      <c r="A50" s="10">
        <v>44</v>
      </c>
      <c r="B50" s="9">
        <v>0.18333333333333335</v>
      </c>
      <c r="C50" s="5" t="s">
        <v>20</v>
      </c>
      <c r="D50" s="5">
        <v>8</v>
      </c>
      <c r="E50" s="15"/>
      <c r="F50" s="15" t="s">
        <v>23</v>
      </c>
      <c r="G50" s="13">
        <v>3680</v>
      </c>
      <c r="H50" s="13">
        <v>2840</v>
      </c>
      <c r="I50" s="13"/>
      <c r="J50" s="13"/>
      <c r="K50" s="13"/>
      <c r="L50" s="13"/>
      <c r="M50" s="13"/>
      <c r="N50" s="12"/>
      <c r="O50" s="12"/>
      <c r="P50" s="8" t="s">
        <v>37</v>
      </c>
    </row>
    <row r="51" spans="1:16" ht="24" customHeight="1" x14ac:dyDescent="0.25">
      <c r="A51" s="10">
        <v>45</v>
      </c>
      <c r="B51" s="9">
        <v>0.18541666666666667</v>
      </c>
      <c r="C51" s="5" t="s">
        <v>20</v>
      </c>
      <c r="D51" s="5">
        <v>8</v>
      </c>
      <c r="E51" s="15"/>
      <c r="F51" s="15" t="s">
        <v>23</v>
      </c>
      <c r="G51" s="13">
        <v>3400</v>
      </c>
      <c r="H51" s="13">
        <v>3720</v>
      </c>
      <c r="I51" s="13"/>
      <c r="J51" s="13"/>
      <c r="K51" s="13"/>
      <c r="L51" s="13"/>
      <c r="M51" s="13"/>
      <c r="N51" s="12"/>
      <c r="O51" s="12"/>
      <c r="P51" s="8" t="s">
        <v>37</v>
      </c>
    </row>
    <row r="52" spans="1:16" ht="24" customHeight="1" x14ac:dyDescent="0.25">
      <c r="A52" s="10">
        <v>46</v>
      </c>
      <c r="B52" s="9">
        <v>0.20902777777777778</v>
      </c>
      <c r="C52" s="5" t="s">
        <v>20</v>
      </c>
      <c r="D52" s="5">
        <v>8</v>
      </c>
      <c r="E52" s="15"/>
      <c r="F52" s="15" t="s">
        <v>23</v>
      </c>
      <c r="G52" s="13">
        <v>6340</v>
      </c>
      <c r="H52" s="13">
        <v>15920</v>
      </c>
      <c r="I52" s="13"/>
      <c r="J52" s="13"/>
      <c r="K52" s="13"/>
      <c r="L52" s="13"/>
      <c r="M52" s="13"/>
      <c r="N52" s="12"/>
      <c r="O52" s="12"/>
      <c r="P52" s="8" t="s">
        <v>41</v>
      </c>
    </row>
    <row r="53" spans="1:16" ht="24" customHeight="1" x14ac:dyDescent="0.25">
      <c r="A53" s="10">
        <v>47</v>
      </c>
      <c r="B53" s="9">
        <v>0.21319444444444444</v>
      </c>
      <c r="C53" s="5" t="s">
        <v>20</v>
      </c>
      <c r="D53" s="5">
        <v>8</v>
      </c>
      <c r="E53" s="15"/>
      <c r="F53" s="15" t="s">
        <v>23</v>
      </c>
      <c r="G53" s="13">
        <v>8460</v>
      </c>
      <c r="H53" s="13">
        <v>17860</v>
      </c>
      <c r="I53" s="13"/>
      <c r="J53" s="13"/>
      <c r="K53" s="13"/>
      <c r="L53" s="13"/>
      <c r="M53" s="13"/>
      <c r="N53" s="12"/>
      <c r="O53" s="12"/>
      <c r="P53" s="8" t="s">
        <v>41</v>
      </c>
    </row>
    <row r="54" spans="1:16" ht="24" customHeight="1" x14ac:dyDescent="0.25">
      <c r="A54" s="10">
        <v>48</v>
      </c>
      <c r="B54" s="9">
        <v>0.22500000000000001</v>
      </c>
      <c r="C54" s="5" t="s">
        <v>20</v>
      </c>
      <c r="D54" s="5">
        <v>8</v>
      </c>
      <c r="E54" s="15"/>
      <c r="F54" s="15" t="s">
        <v>23</v>
      </c>
      <c r="G54" s="13">
        <v>3880</v>
      </c>
      <c r="H54" s="13">
        <v>8540</v>
      </c>
      <c r="I54" s="13"/>
      <c r="J54" s="13"/>
      <c r="K54" s="13"/>
      <c r="L54" s="13"/>
      <c r="M54" s="13"/>
      <c r="N54" s="12"/>
      <c r="O54" s="12"/>
      <c r="P54" s="8" t="s">
        <v>37</v>
      </c>
    </row>
    <row r="55" spans="1:16" ht="24" customHeight="1" x14ac:dyDescent="0.25">
      <c r="A55" s="10">
        <v>49</v>
      </c>
      <c r="B55" s="9">
        <v>0.22708333333333333</v>
      </c>
      <c r="C55" s="5" t="s">
        <v>20</v>
      </c>
      <c r="D55" s="5">
        <v>8</v>
      </c>
      <c r="E55" s="15"/>
      <c r="F55" s="15" t="s">
        <v>23</v>
      </c>
      <c r="G55" s="13">
        <v>3300</v>
      </c>
      <c r="H55" s="13">
        <v>3460</v>
      </c>
      <c r="I55" s="13"/>
      <c r="J55" s="13"/>
      <c r="K55" s="13"/>
      <c r="L55" s="13"/>
      <c r="M55" s="13"/>
      <c r="N55" s="12"/>
      <c r="O55" s="12"/>
      <c r="P55" s="8" t="s">
        <v>37</v>
      </c>
    </row>
    <row r="56" spans="1:16" ht="24" customHeight="1" x14ac:dyDescent="0.25">
      <c r="A56" s="10">
        <v>50</v>
      </c>
      <c r="B56" s="9">
        <v>0.35138888888888892</v>
      </c>
      <c r="C56" s="5" t="s">
        <v>20</v>
      </c>
      <c r="D56" s="5">
        <v>7</v>
      </c>
      <c r="E56" s="15"/>
      <c r="F56" s="15" t="s">
        <v>23</v>
      </c>
      <c r="G56" s="13">
        <v>2820</v>
      </c>
      <c r="H56" s="13">
        <v>4920</v>
      </c>
      <c r="I56" s="13"/>
      <c r="J56" s="13"/>
      <c r="K56" s="13"/>
      <c r="L56" s="13"/>
      <c r="M56" s="13"/>
      <c r="N56" s="12"/>
      <c r="O56" s="12"/>
      <c r="P56" s="8" t="s">
        <v>35</v>
      </c>
    </row>
    <row r="57" spans="1:16" ht="24" customHeight="1" x14ac:dyDescent="0.25">
      <c r="A57" s="10">
        <v>51</v>
      </c>
      <c r="B57" s="9">
        <v>0.3520833333333333</v>
      </c>
      <c r="C57" s="5" t="s">
        <v>20</v>
      </c>
      <c r="D57" s="5">
        <v>8</v>
      </c>
      <c r="E57" s="15"/>
      <c r="F57" s="15" t="s">
        <v>23</v>
      </c>
      <c r="G57" s="13">
        <v>2580</v>
      </c>
      <c r="H57" s="13">
        <v>4700</v>
      </c>
      <c r="I57" s="13"/>
      <c r="J57" s="13"/>
      <c r="K57" s="13"/>
      <c r="L57" s="13"/>
      <c r="M57" s="13"/>
      <c r="N57" s="12"/>
      <c r="O57" s="12"/>
      <c r="P57" s="8" t="s">
        <v>35</v>
      </c>
    </row>
    <row r="58" spans="1:16" ht="24" customHeight="1" x14ac:dyDescent="0.25">
      <c r="A58" s="10">
        <v>52</v>
      </c>
      <c r="B58" s="9">
        <v>0.3666666666666667</v>
      </c>
      <c r="C58" s="5" t="s">
        <v>20</v>
      </c>
      <c r="D58" s="5">
        <v>12</v>
      </c>
      <c r="E58" s="15"/>
      <c r="F58" s="15" t="s">
        <v>26</v>
      </c>
      <c r="G58" s="13">
        <v>8220</v>
      </c>
      <c r="H58" s="13">
        <v>13380</v>
      </c>
      <c r="I58" s="13">
        <v>13220</v>
      </c>
      <c r="J58" s="13">
        <v>14020</v>
      </c>
      <c r="K58" s="13">
        <v>11060</v>
      </c>
      <c r="L58" s="13">
        <v>15140</v>
      </c>
      <c r="M58" s="13"/>
      <c r="N58" s="12"/>
      <c r="O58" s="12"/>
      <c r="P58" s="8" t="s">
        <v>40</v>
      </c>
    </row>
    <row r="59" spans="1:16" ht="24" customHeight="1" x14ac:dyDescent="0.25">
      <c r="A59" s="10">
        <v>53</v>
      </c>
      <c r="B59" s="9">
        <v>0.37152777777777773</v>
      </c>
      <c r="C59" s="5" t="s">
        <v>20</v>
      </c>
      <c r="D59" s="5">
        <v>8</v>
      </c>
      <c r="E59" s="15"/>
      <c r="F59" s="15" t="s">
        <v>23</v>
      </c>
      <c r="G59" s="13">
        <v>1360</v>
      </c>
      <c r="H59" s="13">
        <v>3380</v>
      </c>
      <c r="I59" s="13"/>
      <c r="J59" s="13"/>
      <c r="K59" s="13"/>
      <c r="L59" s="13"/>
      <c r="M59" s="13"/>
      <c r="N59" s="12"/>
      <c r="O59" s="12"/>
      <c r="P59" s="8" t="s">
        <v>37</v>
      </c>
    </row>
    <row r="60" spans="1:16" ht="24" customHeight="1" x14ac:dyDescent="0.25">
      <c r="A60" s="10">
        <v>54</v>
      </c>
      <c r="B60" s="9">
        <v>0.37361111111111112</v>
      </c>
      <c r="C60" s="5" t="s">
        <v>20</v>
      </c>
      <c r="D60" s="5">
        <v>8</v>
      </c>
      <c r="E60" s="15"/>
      <c r="F60" s="15" t="s">
        <v>23</v>
      </c>
      <c r="G60" s="13">
        <v>2260</v>
      </c>
      <c r="H60" s="13">
        <v>2380</v>
      </c>
      <c r="I60" s="13"/>
      <c r="J60" s="13"/>
      <c r="K60" s="13"/>
      <c r="L60" s="13"/>
      <c r="M60" s="13"/>
      <c r="N60" s="12"/>
      <c r="O60" s="12"/>
      <c r="P60" s="8" t="s">
        <v>37</v>
      </c>
    </row>
    <row r="61" spans="1:16" ht="24" customHeight="1" x14ac:dyDescent="0.25">
      <c r="A61" s="10">
        <v>55</v>
      </c>
      <c r="B61" s="9">
        <v>0.375</v>
      </c>
      <c r="C61" s="5" t="s">
        <v>20</v>
      </c>
      <c r="D61" s="5">
        <v>12</v>
      </c>
      <c r="E61" s="15"/>
      <c r="F61" s="15" t="s">
        <v>27</v>
      </c>
      <c r="G61" s="13">
        <v>8180</v>
      </c>
      <c r="H61" s="13">
        <v>8780</v>
      </c>
      <c r="I61" s="13">
        <v>14400</v>
      </c>
      <c r="J61" s="13">
        <v>9420</v>
      </c>
      <c r="K61" s="13">
        <v>7320</v>
      </c>
      <c r="L61" s="13">
        <v>6500</v>
      </c>
      <c r="M61" s="13"/>
      <c r="N61" s="12"/>
      <c r="O61" s="12"/>
      <c r="P61" s="8" t="s">
        <v>35</v>
      </c>
    </row>
    <row r="62" spans="1:16" ht="24" customHeight="1" x14ac:dyDescent="0.25">
      <c r="A62" s="10">
        <v>56</v>
      </c>
      <c r="B62" s="9">
        <v>0.3756944444444445</v>
      </c>
      <c r="C62" s="5" t="s">
        <v>20</v>
      </c>
      <c r="D62" s="5">
        <v>9</v>
      </c>
      <c r="E62" s="15"/>
      <c r="F62" s="15" t="s">
        <v>30</v>
      </c>
      <c r="G62" s="13">
        <v>6740</v>
      </c>
      <c r="H62" s="13">
        <v>12400</v>
      </c>
      <c r="I62" s="13">
        <v>11660</v>
      </c>
      <c r="J62" s="13"/>
      <c r="K62" s="13"/>
      <c r="L62" s="13"/>
      <c r="M62" s="13"/>
      <c r="N62" s="12"/>
      <c r="O62" s="12"/>
      <c r="P62" s="8" t="s">
        <v>40</v>
      </c>
    </row>
    <row r="63" spans="1:16" ht="24" customHeight="1" x14ac:dyDescent="0.25">
      <c r="A63" s="10">
        <v>57</v>
      </c>
      <c r="B63" s="9">
        <v>0.37638888888888888</v>
      </c>
      <c r="C63" s="5" t="s">
        <v>20</v>
      </c>
      <c r="D63" s="5">
        <v>8</v>
      </c>
      <c r="E63" s="15"/>
      <c r="F63" s="15" t="s">
        <v>23</v>
      </c>
      <c r="G63" s="13">
        <v>3280</v>
      </c>
      <c r="H63" s="13">
        <v>5520</v>
      </c>
      <c r="I63" s="13"/>
      <c r="J63" s="13"/>
      <c r="K63" s="13"/>
      <c r="L63" s="13"/>
      <c r="M63" s="13"/>
      <c r="N63" s="12"/>
      <c r="O63" s="12"/>
      <c r="P63" s="8" t="s">
        <v>35</v>
      </c>
    </row>
    <row r="64" spans="1:16" ht="24" customHeight="1" x14ac:dyDescent="0.25">
      <c r="A64" s="10">
        <v>58</v>
      </c>
      <c r="B64" s="9">
        <v>0.37847222222222227</v>
      </c>
      <c r="C64" s="5" t="s">
        <v>20</v>
      </c>
      <c r="D64" s="5">
        <v>8</v>
      </c>
      <c r="E64" s="15"/>
      <c r="F64" s="15" t="s">
        <v>23</v>
      </c>
      <c r="G64" s="13">
        <v>2880</v>
      </c>
      <c r="H64" s="13">
        <v>3300</v>
      </c>
      <c r="I64" s="13"/>
      <c r="J64" s="13"/>
      <c r="K64" s="13"/>
      <c r="L64" s="13"/>
      <c r="M64" s="13"/>
      <c r="N64" s="12"/>
      <c r="O64" s="12"/>
      <c r="P64" s="8" t="s">
        <v>37</v>
      </c>
    </row>
    <row r="65" spans="1:16" ht="24" customHeight="1" x14ac:dyDescent="0.25">
      <c r="A65" s="10">
        <v>59</v>
      </c>
      <c r="B65" s="9">
        <v>0.37986111111111115</v>
      </c>
      <c r="C65" s="5" t="s">
        <v>20</v>
      </c>
      <c r="D65" s="5">
        <v>9</v>
      </c>
      <c r="E65" s="15"/>
      <c r="F65" s="15" t="s">
        <v>30</v>
      </c>
      <c r="G65" s="13">
        <v>6620</v>
      </c>
      <c r="H65" s="13">
        <v>5440</v>
      </c>
      <c r="I65" s="13">
        <v>5220</v>
      </c>
      <c r="J65" s="13"/>
      <c r="K65" s="13"/>
      <c r="L65" s="13"/>
      <c r="M65" s="13"/>
      <c r="N65" s="12"/>
      <c r="O65" s="12"/>
      <c r="P65" s="8" t="s">
        <v>37</v>
      </c>
    </row>
    <row r="66" spans="1:16" ht="24" customHeight="1" x14ac:dyDescent="0.25">
      <c r="A66" s="10">
        <v>60</v>
      </c>
      <c r="B66" s="9">
        <v>0.38194444444444442</v>
      </c>
      <c r="C66" s="5" t="s">
        <v>20</v>
      </c>
      <c r="D66" s="5">
        <v>12</v>
      </c>
      <c r="E66" s="15"/>
      <c r="F66" s="15" t="s">
        <v>26</v>
      </c>
      <c r="G66" s="13">
        <v>5640</v>
      </c>
      <c r="H66" s="13">
        <v>4840</v>
      </c>
      <c r="I66" s="13">
        <v>4880</v>
      </c>
      <c r="J66" s="13">
        <v>3440</v>
      </c>
      <c r="K66" s="13">
        <v>3020</v>
      </c>
      <c r="L66" s="13">
        <v>2840</v>
      </c>
      <c r="M66" s="13"/>
      <c r="N66" s="12"/>
      <c r="O66" s="12"/>
      <c r="P66" s="8" t="s">
        <v>37</v>
      </c>
    </row>
    <row r="67" spans="1:16" ht="24" customHeight="1" x14ac:dyDescent="0.25">
      <c r="A67" s="10">
        <v>61</v>
      </c>
      <c r="B67" s="9">
        <v>0.38263888888888892</v>
      </c>
      <c r="C67" s="5" t="s">
        <v>20</v>
      </c>
      <c r="D67" s="5">
        <v>5</v>
      </c>
      <c r="E67" s="15"/>
      <c r="F67" s="15" t="s">
        <v>23</v>
      </c>
      <c r="G67" s="13">
        <v>9540</v>
      </c>
      <c r="H67" s="13">
        <v>13480</v>
      </c>
      <c r="I67" s="13"/>
      <c r="J67" s="13"/>
      <c r="K67" s="13"/>
      <c r="L67" s="13"/>
      <c r="M67" s="13"/>
      <c r="N67" s="12"/>
      <c r="O67" s="12"/>
      <c r="P67" s="8" t="s">
        <v>35</v>
      </c>
    </row>
    <row r="68" spans="1:16" ht="24" customHeight="1" x14ac:dyDescent="0.25">
      <c r="A68" s="10">
        <v>62</v>
      </c>
      <c r="B68" s="9">
        <v>0.38472222222222219</v>
      </c>
      <c r="C68" s="5" t="s">
        <v>20</v>
      </c>
      <c r="D68" s="5">
        <v>9</v>
      </c>
      <c r="E68" s="15"/>
      <c r="F68" s="15" t="s">
        <v>30</v>
      </c>
      <c r="G68" s="13">
        <v>8760</v>
      </c>
      <c r="H68" s="13">
        <v>11800</v>
      </c>
      <c r="I68" s="13">
        <v>11680</v>
      </c>
      <c r="J68" s="13"/>
      <c r="K68" s="13"/>
      <c r="L68" s="13"/>
      <c r="M68" s="13"/>
      <c r="N68" s="12"/>
      <c r="O68" s="12"/>
      <c r="P68" s="8" t="s">
        <v>40</v>
      </c>
    </row>
    <row r="69" spans="1:16" ht="24" customHeight="1" x14ac:dyDescent="0.25">
      <c r="A69" s="10">
        <v>63</v>
      </c>
      <c r="B69" s="9">
        <v>0.38472222222222219</v>
      </c>
      <c r="C69" s="5" t="s">
        <v>20</v>
      </c>
      <c r="D69" s="5">
        <v>8</v>
      </c>
      <c r="E69" s="15"/>
      <c r="F69" s="15" t="s">
        <v>23</v>
      </c>
      <c r="G69" s="13">
        <v>3820</v>
      </c>
      <c r="H69" s="13">
        <v>10640</v>
      </c>
      <c r="I69" s="13"/>
      <c r="J69" s="13"/>
      <c r="K69" s="13"/>
      <c r="L69" s="13"/>
      <c r="M69" s="13"/>
      <c r="N69" s="12"/>
      <c r="O69" s="12"/>
      <c r="P69" s="8" t="s">
        <v>41</v>
      </c>
    </row>
    <row r="70" spans="1:16" ht="24" customHeight="1" x14ac:dyDescent="0.25">
      <c r="A70" s="10">
        <v>64</v>
      </c>
      <c r="B70" s="9">
        <v>0.39097222222222222</v>
      </c>
      <c r="C70" s="5" t="s">
        <v>20</v>
      </c>
      <c r="D70" s="5">
        <v>7</v>
      </c>
      <c r="E70" s="15"/>
      <c r="F70" s="15" t="s">
        <v>23</v>
      </c>
      <c r="G70" s="13">
        <v>2820</v>
      </c>
      <c r="H70" s="13">
        <v>3580</v>
      </c>
      <c r="I70" s="13"/>
      <c r="J70" s="13"/>
      <c r="K70" s="13"/>
      <c r="L70" s="13"/>
      <c r="M70" s="13"/>
      <c r="N70" s="12"/>
      <c r="O70" s="12"/>
      <c r="P70" s="8" t="s">
        <v>41</v>
      </c>
    </row>
    <row r="71" spans="1:16" ht="24" customHeight="1" x14ac:dyDescent="0.25">
      <c r="A71" s="10">
        <v>65</v>
      </c>
      <c r="B71" s="9">
        <v>0.39583333333333331</v>
      </c>
      <c r="C71" s="5" t="s">
        <v>20</v>
      </c>
      <c r="D71" s="5">
        <v>8</v>
      </c>
      <c r="E71" s="15"/>
      <c r="F71" s="15" t="s">
        <v>23</v>
      </c>
      <c r="G71" s="13">
        <v>2320</v>
      </c>
      <c r="H71" s="13">
        <v>3020</v>
      </c>
      <c r="I71" s="13"/>
      <c r="J71" s="13"/>
      <c r="K71" s="13"/>
      <c r="L71" s="13"/>
      <c r="M71" s="13"/>
      <c r="N71" s="12"/>
      <c r="O71" s="12"/>
      <c r="P71" s="8" t="s">
        <v>37</v>
      </c>
    </row>
    <row r="72" spans="1:16" ht="24" customHeight="1" x14ac:dyDescent="0.25">
      <c r="A72" s="10">
        <v>66</v>
      </c>
      <c r="B72" s="9">
        <v>0.39861111111111108</v>
      </c>
      <c r="C72" s="5" t="s">
        <v>20</v>
      </c>
      <c r="D72" s="5">
        <v>8</v>
      </c>
      <c r="E72" s="15"/>
      <c r="F72" s="15" t="s">
        <v>23</v>
      </c>
      <c r="G72" s="13">
        <v>5120</v>
      </c>
      <c r="H72" s="13">
        <v>11560</v>
      </c>
      <c r="I72" s="13"/>
      <c r="J72" s="13"/>
      <c r="K72" s="13"/>
      <c r="L72" s="13"/>
      <c r="M72" s="13"/>
      <c r="N72" s="12"/>
      <c r="O72" s="12"/>
      <c r="P72" s="8" t="s">
        <v>41</v>
      </c>
    </row>
    <row r="73" spans="1:16" ht="24" customHeight="1" x14ac:dyDescent="0.25">
      <c r="A73" s="10">
        <v>67</v>
      </c>
      <c r="B73" s="9">
        <v>0.39930555555555558</v>
      </c>
      <c r="C73" s="5" t="s">
        <v>20</v>
      </c>
      <c r="D73" s="5">
        <v>8</v>
      </c>
      <c r="E73" s="15"/>
      <c r="F73" s="15" t="s">
        <v>23</v>
      </c>
      <c r="G73" s="13">
        <v>1740</v>
      </c>
      <c r="H73" s="13">
        <v>3400</v>
      </c>
      <c r="I73" s="13"/>
      <c r="J73" s="13"/>
      <c r="K73" s="13"/>
      <c r="L73" s="13"/>
      <c r="M73" s="13"/>
      <c r="N73" s="12"/>
      <c r="O73" s="12"/>
      <c r="P73" s="8" t="s">
        <v>37</v>
      </c>
    </row>
    <row r="74" spans="1:16" ht="24" customHeight="1" x14ac:dyDescent="0.25">
      <c r="A74" s="10">
        <v>68</v>
      </c>
      <c r="B74" s="9">
        <v>0.39999999999999997</v>
      </c>
      <c r="C74" s="5" t="s">
        <v>20</v>
      </c>
      <c r="D74" s="5">
        <v>8</v>
      </c>
      <c r="E74" s="15"/>
      <c r="F74" s="15" t="s">
        <v>23</v>
      </c>
      <c r="G74" s="13">
        <v>7300</v>
      </c>
      <c r="H74" s="13">
        <v>15740</v>
      </c>
      <c r="I74" s="13"/>
      <c r="J74" s="13"/>
      <c r="K74" s="13"/>
      <c r="L74" s="13"/>
      <c r="M74" s="13"/>
      <c r="N74" s="12"/>
      <c r="O74" s="12"/>
      <c r="P74" s="8" t="s">
        <v>42</v>
      </c>
    </row>
    <row r="75" spans="1:16" ht="24" customHeight="1" x14ac:dyDescent="0.25">
      <c r="A75" s="10">
        <v>69</v>
      </c>
      <c r="B75" s="9">
        <v>0.39999999999999997</v>
      </c>
      <c r="C75" s="5" t="s">
        <v>20</v>
      </c>
      <c r="D75" s="5">
        <v>5</v>
      </c>
      <c r="E75" s="15"/>
      <c r="F75" s="15" t="s">
        <v>23</v>
      </c>
      <c r="G75" s="13">
        <v>9980</v>
      </c>
      <c r="H75" s="13">
        <v>17040</v>
      </c>
      <c r="I75" s="13"/>
      <c r="J75" s="13"/>
      <c r="K75" s="13"/>
      <c r="L75" s="13"/>
      <c r="M75" s="13"/>
      <c r="N75" s="12"/>
      <c r="O75" s="12"/>
      <c r="P75" s="8" t="s">
        <v>35</v>
      </c>
    </row>
    <row r="76" spans="1:16" ht="24" customHeight="1" x14ac:dyDescent="0.25">
      <c r="A76" s="10">
        <v>70</v>
      </c>
      <c r="B76" s="9">
        <v>0.40069444444444446</v>
      </c>
      <c r="C76" s="5" t="s">
        <v>20</v>
      </c>
      <c r="D76" s="5">
        <v>7</v>
      </c>
      <c r="E76" s="15"/>
      <c r="F76" s="15" t="s">
        <v>23</v>
      </c>
      <c r="G76" s="13">
        <v>3100</v>
      </c>
      <c r="H76" s="13">
        <v>3780</v>
      </c>
      <c r="I76" s="13"/>
      <c r="J76" s="13"/>
      <c r="K76" s="13"/>
      <c r="L76" s="13"/>
      <c r="M76" s="13"/>
      <c r="N76" s="12"/>
      <c r="O76" s="12"/>
      <c r="P76" s="8" t="s">
        <v>37</v>
      </c>
    </row>
    <row r="77" spans="1:16" ht="24" customHeight="1" x14ac:dyDescent="0.25">
      <c r="A77" s="10">
        <v>71</v>
      </c>
      <c r="B77" s="9">
        <v>0.40138888888888885</v>
      </c>
      <c r="C77" s="5" t="s">
        <v>20</v>
      </c>
      <c r="D77" s="5">
        <v>8</v>
      </c>
      <c r="E77" s="15"/>
      <c r="F77" s="15" t="s">
        <v>23</v>
      </c>
      <c r="G77" s="13">
        <v>4800</v>
      </c>
      <c r="H77" s="13">
        <v>15020</v>
      </c>
      <c r="I77" s="13"/>
      <c r="J77" s="13"/>
      <c r="K77" s="13"/>
      <c r="L77" s="13"/>
      <c r="M77" s="13"/>
      <c r="N77" s="12"/>
      <c r="O77" s="12"/>
      <c r="P77" s="8" t="s">
        <v>38</v>
      </c>
    </row>
    <row r="78" spans="1:16" ht="24" customHeight="1" x14ac:dyDescent="0.25">
      <c r="A78" s="10">
        <v>72</v>
      </c>
      <c r="B78" s="9">
        <v>0.40138888888888885</v>
      </c>
      <c r="C78" s="5" t="s">
        <v>20</v>
      </c>
      <c r="D78" s="5">
        <v>5</v>
      </c>
      <c r="E78" s="15"/>
      <c r="F78" s="15" t="s">
        <v>23</v>
      </c>
      <c r="G78" s="13">
        <v>7480</v>
      </c>
      <c r="H78" s="13">
        <v>16280</v>
      </c>
      <c r="I78" s="13"/>
      <c r="J78" s="13"/>
      <c r="K78" s="13"/>
      <c r="L78" s="13"/>
      <c r="M78" s="13"/>
      <c r="N78" s="12"/>
      <c r="O78" s="12"/>
      <c r="P78" s="8" t="s">
        <v>35</v>
      </c>
    </row>
    <row r="79" spans="1:16" ht="24" customHeight="1" x14ac:dyDescent="0.25">
      <c r="A79" s="10">
        <v>73</v>
      </c>
      <c r="B79" s="9">
        <v>0.40277777777777773</v>
      </c>
      <c r="C79" s="5" t="s">
        <v>20</v>
      </c>
      <c r="D79" s="5">
        <v>7</v>
      </c>
      <c r="E79" s="15"/>
      <c r="F79" s="15" t="s">
        <v>23</v>
      </c>
      <c r="G79" s="13">
        <v>2220</v>
      </c>
      <c r="H79" s="13">
        <v>3940</v>
      </c>
      <c r="I79" s="13"/>
      <c r="J79" s="13"/>
      <c r="K79" s="13"/>
      <c r="L79" s="13"/>
      <c r="M79" s="13"/>
      <c r="N79" s="12"/>
      <c r="O79" s="12"/>
      <c r="P79" s="8" t="s">
        <v>37</v>
      </c>
    </row>
    <row r="80" spans="1:16" ht="24" customHeight="1" x14ac:dyDescent="0.25">
      <c r="A80" s="10">
        <v>74</v>
      </c>
      <c r="B80" s="9">
        <v>0.41388888888888892</v>
      </c>
      <c r="C80" s="5" t="s">
        <v>20</v>
      </c>
      <c r="D80" s="5">
        <v>12</v>
      </c>
      <c r="E80" s="15"/>
      <c r="F80" s="15" t="s">
        <v>27</v>
      </c>
      <c r="G80" s="13">
        <v>9240</v>
      </c>
      <c r="H80" s="13">
        <v>5920</v>
      </c>
      <c r="I80" s="13">
        <v>13840</v>
      </c>
      <c r="J80" s="13">
        <v>21300</v>
      </c>
      <c r="K80" s="13">
        <v>14600</v>
      </c>
      <c r="L80" s="13">
        <v>14300</v>
      </c>
      <c r="M80" s="13"/>
      <c r="N80" s="12"/>
      <c r="O80" s="12"/>
      <c r="P80" s="8" t="s">
        <v>36</v>
      </c>
    </row>
    <row r="81" spans="1:16" ht="24" customHeight="1" x14ac:dyDescent="0.25">
      <c r="A81" s="10">
        <v>75</v>
      </c>
      <c r="B81" s="9">
        <v>0.4152777777777778</v>
      </c>
      <c r="C81" s="5" t="s">
        <v>20</v>
      </c>
      <c r="D81" s="5">
        <v>7</v>
      </c>
      <c r="E81" s="15"/>
      <c r="F81" s="15" t="s">
        <v>23</v>
      </c>
      <c r="G81" s="13">
        <v>3220</v>
      </c>
      <c r="H81" s="13">
        <v>2100</v>
      </c>
      <c r="I81" s="13"/>
      <c r="J81" s="13"/>
      <c r="K81" s="13"/>
      <c r="L81" s="13"/>
      <c r="M81" s="13"/>
      <c r="N81" s="12"/>
      <c r="O81" s="12"/>
      <c r="P81" s="8" t="s">
        <v>37</v>
      </c>
    </row>
    <row r="82" spans="1:16" ht="24" customHeight="1" x14ac:dyDescent="0.25">
      <c r="A82" s="10">
        <v>76</v>
      </c>
      <c r="B82" s="9">
        <v>0.41666666666666669</v>
      </c>
      <c r="C82" s="5" t="s">
        <v>20</v>
      </c>
      <c r="D82" s="5">
        <v>7</v>
      </c>
      <c r="E82" s="15"/>
      <c r="F82" s="15" t="s">
        <v>23</v>
      </c>
      <c r="G82" s="13">
        <v>2800</v>
      </c>
      <c r="H82" s="13">
        <v>3140</v>
      </c>
      <c r="I82" s="13"/>
      <c r="J82" s="13"/>
      <c r="K82" s="13"/>
      <c r="L82" s="13"/>
      <c r="M82" s="13"/>
      <c r="N82" s="12"/>
      <c r="O82" s="12"/>
      <c r="P82" s="8" t="s">
        <v>37</v>
      </c>
    </row>
    <row r="83" spans="1:16" ht="24" customHeight="1" x14ac:dyDescent="0.25">
      <c r="A83" s="10">
        <v>77</v>
      </c>
      <c r="B83" s="9">
        <v>0.41736111111111113</v>
      </c>
      <c r="C83" s="5" t="s">
        <v>20</v>
      </c>
      <c r="D83" s="5">
        <v>7</v>
      </c>
      <c r="E83" s="15"/>
      <c r="F83" s="15" t="s">
        <v>23</v>
      </c>
      <c r="G83" s="13">
        <v>3660</v>
      </c>
      <c r="H83" s="13">
        <v>6680</v>
      </c>
      <c r="I83" s="13"/>
      <c r="J83" s="13"/>
      <c r="K83" s="13"/>
      <c r="L83" s="13"/>
      <c r="M83" s="13"/>
      <c r="N83" s="12"/>
      <c r="O83" s="12"/>
      <c r="P83" s="8" t="s">
        <v>38</v>
      </c>
    </row>
    <row r="84" spans="1:16" ht="24" customHeight="1" x14ac:dyDescent="0.25">
      <c r="A84" s="10">
        <v>78</v>
      </c>
      <c r="B84" s="9">
        <v>0.41805555555555557</v>
      </c>
      <c r="C84" s="5" t="s">
        <v>20</v>
      </c>
      <c r="D84" s="5">
        <v>7</v>
      </c>
      <c r="E84" s="15"/>
      <c r="F84" s="15" t="s">
        <v>23</v>
      </c>
      <c r="G84" s="13">
        <v>3160</v>
      </c>
      <c r="H84" s="13">
        <v>2780</v>
      </c>
      <c r="I84" s="13"/>
      <c r="J84" s="13"/>
      <c r="K84" s="13"/>
      <c r="L84" s="13"/>
      <c r="M84" s="13"/>
      <c r="N84" s="12"/>
      <c r="O84" s="12"/>
      <c r="P84" s="8" t="s">
        <v>37</v>
      </c>
    </row>
    <row r="85" spans="1:16" ht="24" customHeight="1" x14ac:dyDescent="0.25">
      <c r="A85" s="10">
        <v>79</v>
      </c>
      <c r="B85" s="9">
        <v>0.41875000000000001</v>
      </c>
      <c r="C85" s="5" t="s">
        <v>20</v>
      </c>
      <c r="D85" s="5">
        <v>8</v>
      </c>
      <c r="E85" s="15"/>
      <c r="F85" s="15" t="s">
        <v>23</v>
      </c>
      <c r="G85" s="13">
        <v>9000</v>
      </c>
      <c r="H85" s="13">
        <v>9640</v>
      </c>
      <c r="I85" s="13"/>
      <c r="J85" s="13"/>
      <c r="K85" s="13"/>
      <c r="L85" s="13"/>
      <c r="M85" s="13"/>
      <c r="N85" s="12"/>
      <c r="O85" s="12"/>
      <c r="P85" s="8" t="s">
        <v>43</v>
      </c>
    </row>
    <row r="86" spans="1:16" ht="24" customHeight="1" x14ac:dyDescent="0.25">
      <c r="A86" s="10">
        <v>80</v>
      </c>
      <c r="B86" s="9">
        <v>0.41875000000000001</v>
      </c>
      <c r="C86" s="5" t="s">
        <v>20</v>
      </c>
      <c r="D86" s="5">
        <v>7</v>
      </c>
      <c r="E86" s="15"/>
      <c r="F86" s="15" t="s">
        <v>23</v>
      </c>
      <c r="G86" s="13">
        <v>2400</v>
      </c>
      <c r="H86" s="13">
        <v>2120</v>
      </c>
      <c r="I86" s="13"/>
      <c r="J86" s="13"/>
      <c r="K86" s="13"/>
      <c r="L86" s="13"/>
      <c r="M86" s="13"/>
      <c r="N86" s="12"/>
      <c r="O86" s="12"/>
      <c r="P86" s="8" t="s">
        <v>37</v>
      </c>
    </row>
    <row r="87" spans="1:16" ht="24" customHeight="1" x14ac:dyDescent="0.25">
      <c r="A87" s="10">
        <v>81</v>
      </c>
      <c r="B87" s="9">
        <v>0.41944444444444445</v>
      </c>
      <c r="C87" s="5" t="s">
        <v>20</v>
      </c>
      <c r="D87" s="5">
        <v>7</v>
      </c>
      <c r="E87" s="15"/>
      <c r="F87" s="15" t="s">
        <v>23</v>
      </c>
      <c r="G87" s="13">
        <v>3020</v>
      </c>
      <c r="H87" s="13">
        <v>2860</v>
      </c>
      <c r="I87" s="13"/>
      <c r="J87" s="13"/>
      <c r="K87" s="13"/>
      <c r="L87" s="13"/>
      <c r="M87" s="13"/>
      <c r="N87" s="12"/>
      <c r="O87" s="12"/>
      <c r="P87" s="8" t="s">
        <v>37</v>
      </c>
    </row>
    <row r="88" spans="1:16" ht="24" customHeight="1" x14ac:dyDescent="0.25">
      <c r="A88" s="10">
        <v>82</v>
      </c>
      <c r="B88" s="9">
        <v>0.42083333333333334</v>
      </c>
      <c r="C88" s="5" t="s">
        <v>20</v>
      </c>
      <c r="D88" s="5">
        <v>10</v>
      </c>
      <c r="E88" s="15"/>
      <c r="F88" s="15" t="s">
        <v>31</v>
      </c>
      <c r="G88" s="13">
        <v>4000</v>
      </c>
      <c r="H88" s="13">
        <v>3940</v>
      </c>
      <c r="I88" s="13">
        <v>3340</v>
      </c>
      <c r="J88" s="13">
        <v>4300</v>
      </c>
      <c r="K88" s="13"/>
      <c r="L88" s="13"/>
      <c r="M88" s="13"/>
      <c r="N88" s="12"/>
      <c r="O88" s="12"/>
      <c r="P88" s="8" t="s">
        <v>37</v>
      </c>
    </row>
    <row r="89" spans="1:16" ht="24" customHeight="1" x14ac:dyDescent="0.25">
      <c r="A89" s="10">
        <v>83</v>
      </c>
      <c r="B89" s="9">
        <v>0.42152777777777778</v>
      </c>
      <c r="C89" s="5" t="s">
        <v>20</v>
      </c>
      <c r="D89" s="5">
        <v>7</v>
      </c>
      <c r="E89" s="15"/>
      <c r="F89" s="15" t="s">
        <v>23</v>
      </c>
      <c r="G89" s="13">
        <v>3120</v>
      </c>
      <c r="H89" s="13">
        <v>2980</v>
      </c>
      <c r="I89" s="13"/>
      <c r="J89" s="13"/>
      <c r="K89" s="13"/>
      <c r="L89" s="13"/>
      <c r="M89" s="13"/>
      <c r="N89" s="12"/>
      <c r="O89" s="12"/>
      <c r="P89" s="8" t="s">
        <v>37</v>
      </c>
    </row>
    <row r="90" spans="1:16" ht="24" customHeight="1" x14ac:dyDescent="0.25">
      <c r="A90" s="10">
        <v>84</v>
      </c>
      <c r="B90" s="9">
        <v>0.42222222222222222</v>
      </c>
      <c r="C90" s="5" t="s">
        <v>20</v>
      </c>
      <c r="D90" s="5">
        <v>5</v>
      </c>
      <c r="E90" s="15"/>
      <c r="F90" s="15" t="s">
        <v>23</v>
      </c>
      <c r="G90" s="13">
        <v>6100</v>
      </c>
      <c r="H90" s="13">
        <v>12040</v>
      </c>
      <c r="I90" s="13"/>
      <c r="J90" s="13"/>
      <c r="K90" s="13"/>
      <c r="L90" s="13"/>
      <c r="M90" s="13"/>
      <c r="N90" s="12"/>
      <c r="O90" s="12"/>
      <c r="P90" s="8" t="s">
        <v>35</v>
      </c>
    </row>
    <row r="91" spans="1:16" ht="24" customHeight="1" x14ac:dyDescent="0.25">
      <c r="A91" s="10">
        <v>85</v>
      </c>
      <c r="B91" s="9">
        <v>0.42291666666666666</v>
      </c>
      <c r="C91" s="5" t="s">
        <v>20</v>
      </c>
      <c r="D91" s="5">
        <v>7</v>
      </c>
      <c r="E91" s="15"/>
      <c r="F91" s="15" t="s">
        <v>23</v>
      </c>
      <c r="G91" s="13">
        <v>2980</v>
      </c>
      <c r="H91" s="13">
        <v>3200</v>
      </c>
      <c r="I91" s="13"/>
      <c r="J91" s="13"/>
      <c r="K91" s="13"/>
      <c r="L91" s="13"/>
      <c r="M91" s="13"/>
      <c r="N91" s="12"/>
      <c r="O91" s="12"/>
      <c r="P91" s="8" t="s">
        <v>37</v>
      </c>
    </row>
    <row r="92" spans="1:16" ht="24" customHeight="1" x14ac:dyDescent="0.25">
      <c r="A92" s="10">
        <v>86</v>
      </c>
      <c r="B92" s="9">
        <v>0.4236111111111111</v>
      </c>
      <c r="C92" s="5" t="s">
        <v>20</v>
      </c>
      <c r="D92" s="5">
        <v>8</v>
      </c>
      <c r="E92" s="15"/>
      <c r="F92" s="15" t="s">
        <v>23</v>
      </c>
      <c r="G92" s="13">
        <v>3230</v>
      </c>
      <c r="H92" s="13">
        <v>3180</v>
      </c>
      <c r="I92" s="13"/>
      <c r="J92" s="13"/>
      <c r="K92" s="13"/>
      <c r="L92" s="13"/>
      <c r="M92" s="13"/>
      <c r="N92" s="12"/>
      <c r="O92" s="12"/>
      <c r="P92" s="8" t="s">
        <v>35</v>
      </c>
    </row>
    <row r="93" spans="1:16" ht="24" customHeight="1" x14ac:dyDescent="0.25">
      <c r="A93" s="10">
        <v>87</v>
      </c>
      <c r="B93" s="9">
        <v>0.42430555555555555</v>
      </c>
      <c r="C93" s="5" t="s">
        <v>20</v>
      </c>
      <c r="D93" s="5">
        <v>7</v>
      </c>
      <c r="E93" s="15"/>
      <c r="F93" s="15" t="s">
        <v>23</v>
      </c>
      <c r="G93" s="13">
        <v>2780</v>
      </c>
      <c r="H93" s="13">
        <v>3480</v>
      </c>
      <c r="I93" s="13"/>
      <c r="J93" s="13"/>
      <c r="K93" s="13"/>
      <c r="L93" s="13"/>
      <c r="M93" s="13"/>
      <c r="N93" s="12"/>
      <c r="O93" s="12"/>
      <c r="P93" s="8" t="s">
        <v>37</v>
      </c>
    </row>
    <row r="94" spans="1:16" ht="24" customHeight="1" x14ac:dyDescent="0.25">
      <c r="A94" s="10">
        <v>88</v>
      </c>
      <c r="B94" s="9">
        <v>0.42777777777777781</v>
      </c>
      <c r="C94" s="5" t="s">
        <v>20</v>
      </c>
      <c r="D94" s="5">
        <v>7</v>
      </c>
      <c r="E94" s="15"/>
      <c r="F94" s="15" t="s">
        <v>23</v>
      </c>
      <c r="G94" s="13">
        <v>3740</v>
      </c>
      <c r="H94" s="13">
        <v>3680</v>
      </c>
      <c r="I94" s="13"/>
      <c r="J94" s="13"/>
      <c r="K94" s="13"/>
      <c r="L94" s="13"/>
      <c r="M94" s="13"/>
      <c r="N94" s="12"/>
      <c r="O94" s="12"/>
      <c r="P94" s="8" t="s">
        <v>41</v>
      </c>
    </row>
    <row r="95" spans="1:16" ht="24" customHeight="1" x14ac:dyDescent="0.25">
      <c r="A95" s="10">
        <v>89</v>
      </c>
      <c r="B95" s="9">
        <v>0.4284722222222222</v>
      </c>
      <c r="C95" s="5" t="s">
        <v>20</v>
      </c>
      <c r="D95" s="5">
        <v>7</v>
      </c>
      <c r="E95" s="15"/>
      <c r="F95" s="15" t="s">
        <v>23</v>
      </c>
      <c r="G95" s="13">
        <v>4080</v>
      </c>
      <c r="H95" s="13">
        <v>5280</v>
      </c>
      <c r="I95" s="13"/>
      <c r="J95" s="13"/>
      <c r="K95" s="13"/>
      <c r="L95" s="13"/>
      <c r="M95" s="13"/>
      <c r="N95" s="12"/>
      <c r="O95" s="12"/>
      <c r="P95" s="8" t="s">
        <v>42</v>
      </c>
    </row>
    <row r="96" spans="1:16" ht="24" customHeight="1" x14ac:dyDescent="0.25">
      <c r="A96" s="10">
        <v>90</v>
      </c>
      <c r="B96" s="9">
        <v>0.4291666666666667</v>
      </c>
      <c r="C96" s="5" t="s">
        <v>20</v>
      </c>
      <c r="D96" s="5">
        <v>8</v>
      </c>
      <c r="E96" s="15"/>
      <c r="F96" s="15" t="s">
        <v>23</v>
      </c>
      <c r="G96" s="13">
        <v>2700</v>
      </c>
      <c r="H96" s="13">
        <v>3820</v>
      </c>
      <c r="I96" s="13"/>
      <c r="J96" s="13"/>
      <c r="K96" s="13"/>
      <c r="L96" s="13"/>
      <c r="M96" s="13"/>
      <c r="N96" s="12"/>
      <c r="O96" s="12"/>
      <c r="P96" s="8" t="s">
        <v>37</v>
      </c>
    </row>
    <row r="97" spans="1:16" ht="24" customHeight="1" x14ac:dyDescent="0.25">
      <c r="A97" s="10">
        <v>91</v>
      </c>
      <c r="B97" s="9">
        <v>0.43055555555555558</v>
      </c>
      <c r="C97" s="5" t="s">
        <v>20</v>
      </c>
      <c r="D97" s="5">
        <v>8</v>
      </c>
      <c r="E97" s="15"/>
      <c r="F97" s="15" t="s">
        <v>23</v>
      </c>
      <c r="G97" s="13">
        <v>3060</v>
      </c>
      <c r="H97" s="13">
        <v>5160</v>
      </c>
      <c r="I97" s="13"/>
      <c r="J97" s="13"/>
      <c r="K97" s="13"/>
      <c r="L97" s="13"/>
      <c r="M97" s="13"/>
      <c r="N97" s="12"/>
      <c r="O97" s="12"/>
      <c r="P97" s="8" t="s">
        <v>35</v>
      </c>
    </row>
    <row r="98" spans="1:16" ht="24" customHeight="1" x14ac:dyDescent="0.25">
      <c r="A98" s="10">
        <v>92</v>
      </c>
      <c r="B98" s="9">
        <v>0.43124999999999997</v>
      </c>
      <c r="C98" s="5" t="s">
        <v>20</v>
      </c>
      <c r="D98" s="5">
        <v>9</v>
      </c>
      <c r="E98" s="15"/>
      <c r="F98" s="15" t="s">
        <v>30</v>
      </c>
      <c r="G98" s="13">
        <v>4160</v>
      </c>
      <c r="H98" s="13">
        <v>4700</v>
      </c>
      <c r="I98" s="13">
        <v>4400</v>
      </c>
      <c r="J98" s="13"/>
      <c r="K98" s="13"/>
      <c r="L98" s="13"/>
      <c r="M98" s="13"/>
      <c r="N98" s="12"/>
      <c r="O98" s="12"/>
      <c r="P98" s="8" t="s">
        <v>37</v>
      </c>
    </row>
    <row r="99" spans="1:16" ht="24" customHeight="1" x14ac:dyDescent="0.25">
      <c r="A99" s="10">
        <v>93</v>
      </c>
      <c r="B99" s="9">
        <v>0.43402777777777773</v>
      </c>
      <c r="C99" s="5" t="s">
        <v>20</v>
      </c>
      <c r="D99" s="5">
        <v>12</v>
      </c>
      <c r="E99" s="15"/>
      <c r="F99" s="15" t="s">
        <v>26</v>
      </c>
      <c r="G99" s="13">
        <v>5860</v>
      </c>
      <c r="H99" s="13">
        <v>12700</v>
      </c>
      <c r="I99" s="13">
        <v>13900</v>
      </c>
      <c r="J99" s="13">
        <v>16720</v>
      </c>
      <c r="K99" s="13">
        <v>9920</v>
      </c>
      <c r="L99" s="13">
        <v>10060</v>
      </c>
      <c r="M99" s="13"/>
      <c r="N99" s="12"/>
      <c r="O99" s="12"/>
      <c r="P99" s="8" t="s">
        <v>36</v>
      </c>
    </row>
    <row r="100" spans="1:16" ht="24" customHeight="1" x14ac:dyDescent="0.25">
      <c r="A100" s="10">
        <v>94</v>
      </c>
      <c r="B100" s="9">
        <v>0.43472222222222223</v>
      </c>
      <c r="C100" s="5" t="s">
        <v>20</v>
      </c>
      <c r="D100" s="5">
        <v>12</v>
      </c>
      <c r="E100" s="15"/>
      <c r="F100" s="15" t="s">
        <v>26</v>
      </c>
      <c r="G100" s="13">
        <v>8400</v>
      </c>
      <c r="H100" s="13">
        <v>11300</v>
      </c>
      <c r="I100" s="13">
        <v>14960</v>
      </c>
      <c r="J100" s="13">
        <v>14520</v>
      </c>
      <c r="K100" s="13">
        <v>8460</v>
      </c>
      <c r="L100" s="13">
        <v>8740</v>
      </c>
      <c r="M100" s="13"/>
      <c r="N100" s="12"/>
      <c r="O100" s="12"/>
      <c r="P100" s="8" t="s">
        <v>36</v>
      </c>
    </row>
    <row r="101" spans="1:16" ht="24" customHeight="1" x14ac:dyDescent="0.25">
      <c r="A101" s="10">
        <v>95</v>
      </c>
      <c r="B101" s="9">
        <v>0.43541666666666662</v>
      </c>
      <c r="C101" s="5" t="s">
        <v>20</v>
      </c>
      <c r="D101" s="5">
        <v>12</v>
      </c>
      <c r="E101" s="15"/>
      <c r="F101" s="15" t="s">
        <v>27</v>
      </c>
      <c r="G101" s="13">
        <v>11260</v>
      </c>
      <c r="H101" s="13">
        <v>5040</v>
      </c>
      <c r="I101" s="13">
        <v>22620</v>
      </c>
      <c r="J101" s="13">
        <v>19360</v>
      </c>
      <c r="K101" s="13">
        <v>12840</v>
      </c>
      <c r="L101" s="13">
        <v>11300</v>
      </c>
      <c r="M101" s="13"/>
      <c r="N101" s="12"/>
      <c r="O101" s="12"/>
      <c r="P101" s="8" t="s">
        <v>36</v>
      </c>
    </row>
    <row r="102" spans="1:16" ht="24" customHeight="1" x14ac:dyDescent="0.25">
      <c r="A102" s="10">
        <v>96</v>
      </c>
      <c r="B102" s="9">
        <v>0.4368055555555555</v>
      </c>
      <c r="C102" s="5" t="s">
        <v>20</v>
      </c>
      <c r="D102" s="5">
        <v>7</v>
      </c>
      <c r="E102" s="15"/>
      <c r="F102" s="15" t="s">
        <v>23</v>
      </c>
      <c r="G102" s="13">
        <v>2980</v>
      </c>
      <c r="H102" s="13">
        <v>3400</v>
      </c>
      <c r="I102" s="13"/>
      <c r="J102" s="13"/>
      <c r="K102" s="13"/>
      <c r="L102" s="13"/>
      <c r="M102" s="13"/>
      <c r="N102" s="12"/>
      <c r="O102" s="12"/>
      <c r="P102" s="8" t="s">
        <v>37</v>
      </c>
    </row>
    <row r="103" spans="1:16" ht="24" customHeight="1" x14ac:dyDescent="0.25">
      <c r="A103" s="10">
        <v>97</v>
      </c>
      <c r="B103" s="9">
        <v>0.43888888888888888</v>
      </c>
      <c r="C103" s="5" t="s">
        <v>20</v>
      </c>
      <c r="D103" s="5">
        <v>7</v>
      </c>
      <c r="E103" s="15"/>
      <c r="F103" s="15" t="s">
        <v>23</v>
      </c>
      <c r="G103" s="13">
        <v>2760</v>
      </c>
      <c r="H103" s="13">
        <v>3400</v>
      </c>
      <c r="I103" s="13"/>
      <c r="J103" s="13"/>
      <c r="K103" s="13"/>
      <c r="L103" s="13"/>
      <c r="M103" s="13"/>
      <c r="N103" s="12"/>
      <c r="O103" s="12"/>
      <c r="P103" s="8" t="s">
        <v>37</v>
      </c>
    </row>
    <row r="104" spans="1:16" ht="24" customHeight="1" x14ac:dyDescent="0.25">
      <c r="A104" s="10">
        <v>98</v>
      </c>
      <c r="B104" s="9">
        <v>0.44305555555555554</v>
      </c>
      <c r="C104" s="5" t="s">
        <v>20</v>
      </c>
      <c r="D104" s="5">
        <v>7</v>
      </c>
      <c r="E104" s="15"/>
      <c r="F104" s="15" t="s">
        <v>23</v>
      </c>
      <c r="G104" s="13">
        <v>4420</v>
      </c>
      <c r="H104" s="13">
        <v>11480</v>
      </c>
      <c r="I104" s="13"/>
      <c r="J104" s="13"/>
      <c r="K104" s="13"/>
      <c r="L104" s="13"/>
      <c r="M104" s="13"/>
      <c r="N104" s="12"/>
      <c r="O104" s="12"/>
      <c r="P104" s="8" t="s">
        <v>38</v>
      </c>
    </row>
    <row r="105" spans="1:16" ht="24" customHeight="1" x14ac:dyDescent="0.25">
      <c r="A105" s="10">
        <v>99</v>
      </c>
      <c r="B105" s="9">
        <v>0.4458333333333333</v>
      </c>
      <c r="C105" s="5" t="s">
        <v>20</v>
      </c>
      <c r="D105" s="5">
        <v>8</v>
      </c>
      <c r="E105" s="15"/>
      <c r="F105" s="15" t="s">
        <v>23</v>
      </c>
      <c r="G105" s="13">
        <v>4160</v>
      </c>
      <c r="H105" s="13">
        <v>7300</v>
      </c>
      <c r="I105" s="13"/>
      <c r="J105" s="13"/>
      <c r="K105" s="13"/>
      <c r="L105" s="13"/>
      <c r="M105" s="13"/>
      <c r="N105" s="12"/>
      <c r="O105" s="12"/>
      <c r="P105" s="8" t="s">
        <v>40</v>
      </c>
    </row>
    <row r="106" spans="1:16" ht="24" customHeight="1" x14ac:dyDescent="0.25">
      <c r="A106" s="10">
        <v>100</v>
      </c>
      <c r="B106" s="9">
        <v>0.44722222222222219</v>
      </c>
      <c r="C106" s="5" t="s">
        <v>20</v>
      </c>
      <c r="D106" s="5">
        <v>5</v>
      </c>
      <c r="E106" s="15"/>
      <c r="F106" s="15" t="s">
        <v>23</v>
      </c>
      <c r="G106" s="13">
        <v>7640</v>
      </c>
      <c r="H106" s="13">
        <v>15080</v>
      </c>
      <c r="I106" s="13"/>
      <c r="J106" s="13"/>
      <c r="K106" s="13"/>
      <c r="L106" s="13"/>
      <c r="M106" s="13"/>
      <c r="N106" s="12"/>
      <c r="O106" s="12"/>
      <c r="P106" s="8" t="s">
        <v>35</v>
      </c>
    </row>
    <row r="107" spans="1:16" ht="24" customHeight="1" x14ac:dyDescent="0.25">
      <c r="A107" s="10">
        <v>101</v>
      </c>
      <c r="B107" s="9">
        <v>0.44930555555555557</v>
      </c>
      <c r="C107" s="5" t="s">
        <v>20</v>
      </c>
      <c r="D107" s="5">
        <v>12</v>
      </c>
      <c r="E107" s="15"/>
      <c r="F107" s="15" t="s">
        <v>26</v>
      </c>
      <c r="G107" s="13">
        <v>7520</v>
      </c>
      <c r="H107" s="13">
        <v>13040</v>
      </c>
      <c r="I107" s="13">
        <v>14340</v>
      </c>
      <c r="J107" s="13">
        <v>14920</v>
      </c>
      <c r="K107" s="13">
        <v>12800</v>
      </c>
      <c r="L107" s="13">
        <v>14060</v>
      </c>
      <c r="M107" s="13"/>
      <c r="N107" s="12"/>
      <c r="O107" s="12"/>
      <c r="P107" s="8" t="s">
        <v>35</v>
      </c>
    </row>
    <row r="108" spans="1:16" ht="24" customHeight="1" x14ac:dyDescent="0.25">
      <c r="A108" s="10">
        <v>102</v>
      </c>
      <c r="B108" s="9">
        <v>0.45</v>
      </c>
      <c r="C108" s="5" t="s">
        <v>20</v>
      </c>
      <c r="D108" s="5">
        <v>8</v>
      </c>
      <c r="E108" s="15"/>
      <c r="F108" s="15" t="s">
        <v>23</v>
      </c>
      <c r="G108" s="13">
        <v>4060</v>
      </c>
      <c r="H108" s="13">
        <v>5760</v>
      </c>
      <c r="I108" s="13"/>
      <c r="J108" s="13"/>
      <c r="K108" s="13"/>
      <c r="L108" s="13"/>
      <c r="M108" s="13"/>
      <c r="N108" s="12"/>
      <c r="O108" s="12"/>
      <c r="P108" s="8" t="s">
        <v>37</v>
      </c>
    </row>
    <row r="109" spans="1:16" ht="24" customHeight="1" x14ac:dyDescent="0.25">
      <c r="A109" s="10">
        <v>103</v>
      </c>
      <c r="B109" s="9">
        <v>0.4513888888888889</v>
      </c>
      <c r="C109" s="5" t="s">
        <v>20</v>
      </c>
      <c r="D109" s="5">
        <v>7</v>
      </c>
      <c r="E109" s="15"/>
      <c r="F109" s="15" t="s">
        <v>23</v>
      </c>
      <c r="G109" s="13">
        <v>6020</v>
      </c>
      <c r="H109" s="13">
        <v>10560</v>
      </c>
      <c r="I109" s="13"/>
      <c r="J109" s="13"/>
      <c r="K109" s="13"/>
      <c r="L109" s="13"/>
      <c r="M109" s="13"/>
      <c r="N109" s="12"/>
      <c r="O109" s="12"/>
      <c r="P109" s="8" t="s">
        <v>35</v>
      </c>
    </row>
    <row r="110" spans="1:16" ht="24" customHeight="1" x14ac:dyDescent="0.25">
      <c r="A110" s="10">
        <v>104</v>
      </c>
      <c r="B110" s="9">
        <v>0.45208333333333334</v>
      </c>
      <c r="C110" s="5" t="s">
        <v>20</v>
      </c>
      <c r="D110" s="5">
        <v>8</v>
      </c>
      <c r="E110" s="15"/>
      <c r="F110" s="15" t="s">
        <v>23</v>
      </c>
      <c r="G110" s="13">
        <v>6800</v>
      </c>
      <c r="H110" s="13">
        <v>14180</v>
      </c>
      <c r="I110" s="13"/>
      <c r="J110" s="13"/>
      <c r="K110" s="13"/>
      <c r="L110" s="13"/>
      <c r="M110" s="13"/>
      <c r="N110" s="12"/>
      <c r="O110" s="12"/>
      <c r="P110" s="8" t="s">
        <v>38</v>
      </c>
    </row>
    <row r="111" spans="1:16" ht="24" customHeight="1" x14ac:dyDescent="0.25">
      <c r="A111" s="10">
        <v>105</v>
      </c>
      <c r="B111" s="9">
        <v>0.45277777777777778</v>
      </c>
      <c r="C111" s="5" t="s">
        <v>20</v>
      </c>
      <c r="D111" s="5">
        <v>9</v>
      </c>
      <c r="E111" s="15"/>
      <c r="F111" s="15" t="s">
        <v>30</v>
      </c>
      <c r="G111" s="13">
        <v>7540</v>
      </c>
      <c r="H111" s="13">
        <v>5680</v>
      </c>
      <c r="I111" s="13">
        <v>5660</v>
      </c>
      <c r="J111" s="13"/>
      <c r="K111" s="13"/>
      <c r="L111" s="13"/>
      <c r="M111" s="13"/>
      <c r="N111" s="12"/>
      <c r="O111" s="12"/>
      <c r="P111" s="8" t="s">
        <v>37</v>
      </c>
    </row>
    <row r="112" spans="1:16" ht="24" customHeight="1" x14ac:dyDescent="0.25">
      <c r="A112" s="10">
        <v>106</v>
      </c>
      <c r="B112" s="9">
        <v>0.45416666666666666</v>
      </c>
      <c r="C112" s="5" t="s">
        <v>20</v>
      </c>
      <c r="D112" s="5">
        <v>8</v>
      </c>
      <c r="E112" s="15"/>
      <c r="F112" s="15" t="s">
        <v>23</v>
      </c>
      <c r="G112" s="13">
        <v>5840</v>
      </c>
      <c r="H112" s="13">
        <v>16440</v>
      </c>
      <c r="I112" s="13"/>
      <c r="J112" s="13"/>
      <c r="K112" s="13"/>
      <c r="L112" s="13"/>
      <c r="M112" s="13"/>
      <c r="N112" s="12"/>
      <c r="O112" s="12"/>
      <c r="P112" s="8" t="s">
        <v>40</v>
      </c>
    </row>
    <row r="113" spans="1:16" ht="24" customHeight="1" x14ac:dyDescent="0.25">
      <c r="A113" s="10">
        <v>107</v>
      </c>
      <c r="B113" s="9">
        <v>0.46458333333333335</v>
      </c>
      <c r="C113" s="5" t="s">
        <v>20</v>
      </c>
      <c r="D113" s="5">
        <v>7</v>
      </c>
      <c r="E113" s="15"/>
      <c r="F113" s="15" t="s">
        <v>23</v>
      </c>
      <c r="G113" s="13">
        <v>3300</v>
      </c>
      <c r="H113" s="13">
        <v>3740</v>
      </c>
      <c r="I113" s="13"/>
      <c r="J113" s="13"/>
      <c r="K113" s="13"/>
      <c r="L113" s="13"/>
      <c r="M113" s="13"/>
      <c r="N113" s="12"/>
      <c r="O113" s="12"/>
      <c r="P113" s="8" t="s">
        <v>38</v>
      </c>
    </row>
    <row r="114" spans="1:16" ht="24" customHeight="1" x14ac:dyDescent="0.25">
      <c r="A114" s="10">
        <v>108</v>
      </c>
      <c r="B114" s="9">
        <v>0.46527777777777773</v>
      </c>
      <c r="C114" s="5" t="s">
        <v>20</v>
      </c>
      <c r="D114" s="5">
        <v>9</v>
      </c>
      <c r="E114" s="15"/>
      <c r="F114" s="15" t="s">
        <v>30</v>
      </c>
      <c r="G114" s="13">
        <v>5560</v>
      </c>
      <c r="H114" s="13">
        <v>4220</v>
      </c>
      <c r="I114" s="13">
        <v>4360</v>
      </c>
      <c r="J114" s="13"/>
      <c r="K114" s="13"/>
      <c r="L114" s="13"/>
      <c r="M114" s="13"/>
      <c r="N114" s="12"/>
      <c r="O114" s="12"/>
      <c r="P114" s="8" t="s">
        <v>37</v>
      </c>
    </row>
    <row r="115" spans="1:16" ht="24" customHeight="1" x14ac:dyDescent="0.25">
      <c r="A115" s="10">
        <v>109</v>
      </c>
      <c r="B115" s="9">
        <v>0.46597222222222223</v>
      </c>
      <c r="C115" s="5" t="s">
        <v>20</v>
      </c>
      <c r="D115" s="5">
        <v>8</v>
      </c>
      <c r="E115" s="15"/>
      <c r="F115" s="15" t="s">
        <v>23</v>
      </c>
      <c r="G115" s="13">
        <v>3360</v>
      </c>
      <c r="H115" s="13">
        <v>3140</v>
      </c>
      <c r="I115" s="13"/>
      <c r="J115" s="13"/>
      <c r="K115" s="13"/>
      <c r="L115" s="13"/>
      <c r="M115" s="13"/>
      <c r="N115" s="12"/>
      <c r="O115" s="12"/>
      <c r="P115" s="8" t="s">
        <v>37</v>
      </c>
    </row>
    <row r="116" spans="1:16" ht="24" customHeight="1" x14ac:dyDescent="0.25">
      <c r="A116" s="10">
        <v>110</v>
      </c>
      <c r="B116" s="9">
        <v>0.46736111111111112</v>
      </c>
      <c r="C116" s="5" t="s">
        <v>20</v>
      </c>
      <c r="D116" s="5">
        <v>7</v>
      </c>
      <c r="E116" s="15"/>
      <c r="F116" s="15" t="s">
        <v>23</v>
      </c>
      <c r="G116" s="13">
        <v>2880</v>
      </c>
      <c r="H116" s="13">
        <v>2680</v>
      </c>
      <c r="I116" s="13"/>
      <c r="J116" s="13"/>
      <c r="K116" s="13"/>
      <c r="L116" s="13"/>
      <c r="M116" s="13"/>
      <c r="N116" s="12"/>
      <c r="O116" s="12"/>
      <c r="P116" s="8" t="s">
        <v>37</v>
      </c>
    </row>
    <row r="117" spans="1:16" ht="24" customHeight="1" x14ac:dyDescent="0.25">
      <c r="A117" s="10">
        <v>111</v>
      </c>
      <c r="B117" s="9">
        <v>0.4680555555555555</v>
      </c>
      <c r="C117" s="5" t="s">
        <v>20</v>
      </c>
      <c r="D117" s="5">
        <v>7</v>
      </c>
      <c r="E117" s="15"/>
      <c r="F117" s="15" t="s">
        <v>23</v>
      </c>
      <c r="G117" s="13">
        <v>3320</v>
      </c>
      <c r="H117" s="13">
        <v>3740</v>
      </c>
      <c r="I117" s="13"/>
      <c r="J117" s="13"/>
      <c r="K117" s="13"/>
      <c r="L117" s="13"/>
      <c r="M117" s="13"/>
      <c r="N117" s="12"/>
      <c r="O117" s="12"/>
      <c r="P117" s="8" t="s">
        <v>37</v>
      </c>
    </row>
    <row r="118" spans="1:16" ht="24" customHeight="1" x14ac:dyDescent="0.25">
      <c r="A118" s="10">
        <v>112</v>
      </c>
      <c r="B118" s="9">
        <v>0.47222222222222227</v>
      </c>
      <c r="C118" s="5" t="s">
        <v>20</v>
      </c>
      <c r="D118" s="5">
        <v>8</v>
      </c>
      <c r="E118" s="15"/>
      <c r="F118" s="15" t="s">
        <v>23</v>
      </c>
      <c r="G118" s="13">
        <v>5360</v>
      </c>
      <c r="H118" s="13">
        <v>15720</v>
      </c>
      <c r="I118" s="13"/>
      <c r="J118" s="13"/>
      <c r="K118" s="13"/>
      <c r="L118" s="13"/>
      <c r="M118" s="13"/>
      <c r="N118" s="12"/>
      <c r="O118" s="12"/>
      <c r="P118" s="8" t="s">
        <v>36</v>
      </c>
    </row>
    <row r="119" spans="1:16" ht="24" customHeight="1" x14ac:dyDescent="0.25">
      <c r="A119" s="10">
        <v>113</v>
      </c>
      <c r="B119" s="9">
        <v>0.47291666666666665</v>
      </c>
      <c r="C119" s="5" t="s">
        <v>20</v>
      </c>
      <c r="D119" s="5">
        <v>8</v>
      </c>
      <c r="E119" s="15"/>
      <c r="F119" s="15" t="s">
        <v>23</v>
      </c>
      <c r="G119" s="13">
        <v>3660</v>
      </c>
      <c r="H119" s="13">
        <v>7280</v>
      </c>
      <c r="I119" s="13"/>
      <c r="J119" s="13"/>
      <c r="K119" s="13"/>
      <c r="L119" s="13"/>
      <c r="M119" s="13"/>
      <c r="N119" s="12"/>
      <c r="O119" s="12"/>
      <c r="P119" s="8" t="s">
        <v>41</v>
      </c>
    </row>
    <row r="120" spans="1:16" ht="24" customHeight="1" x14ac:dyDescent="0.25">
      <c r="A120" s="10">
        <v>114</v>
      </c>
      <c r="B120" s="9">
        <v>0.47361111111111115</v>
      </c>
      <c r="C120" s="5" t="s">
        <v>20</v>
      </c>
      <c r="D120" s="5">
        <v>8</v>
      </c>
      <c r="E120" s="15"/>
      <c r="F120" s="15" t="s">
        <v>23</v>
      </c>
      <c r="G120" s="13">
        <v>2800</v>
      </c>
      <c r="H120" s="13">
        <v>2140</v>
      </c>
      <c r="I120" s="13"/>
      <c r="J120" s="13"/>
      <c r="K120" s="13"/>
      <c r="L120" s="13"/>
      <c r="M120" s="13"/>
      <c r="N120" s="12"/>
      <c r="O120" s="12"/>
      <c r="P120" s="8" t="s">
        <v>37</v>
      </c>
    </row>
    <row r="121" spans="1:16" ht="24" customHeight="1" x14ac:dyDescent="0.25">
      <c r="A121" s="10">
        <v>115</v>
      </c>
      <c r="B121" s="9"/>
      <c r="C121" s="5" t="s">
        <v>20</v>
      </c>
      <c r="D121" s="5">
        <v>9</v>
      </c>
      <c r="E121" s="15"/>
      <c r="F121" s="15" t="s">
        <v>30</v>
      </c>
      <c r="G121" s="13">
        <v>6800</v>
      </c>
      <c r="H121" s="13">
        <v>10760</v>
      </c>
      <c r="I121" s="13">
        <v>12140</v>
      </c>
      <c r="J121" s="13"/>
      <c r="K121" s="13"/>
      <c r="L121" s="13"/>
      <c r="M121" s="13"/>
      <c r="N121" s="12"/>
      <c r="O121" s="12"/>
      <c r="P121" s="8" t="s">
        <v>40</v>
      </c>
    </row>
    <row r="122" spans="1:16" ht="24" customHeight="1" x14ac:dyDescent="0.25">
      <c r="A122" s="10">
        <v>116</v>
      </c>
      <c r="B122" s="9">
        <v>0.47569444444444442</v>
      </c>
      <c r="C122" s="5" t="s">
        <v>20</v>
      </c>
      <c r="D122" s="5">
        <v>10</v>
      </c>
      <c r="E122" s="15"/>
      <c r="F122" s="15" t="s">
        <v>31</v>
      </c>
      <c r="G122" s="13">
        <v>4040</v>
      </c>
      <c r="H122" s="13">
        <v>6720</v>
      </c>
      <c r="I122" s="13">
        <v>5880</v>
      </c>
      <c r="J122" s="13">
        <v>3600</v>
      </c>
      <c r="K122" s="13"/>
      <c r="L122" s="13"/>
      <c r="M122" s="13"/>
      <c r="N122" s="12"/>
      <c r="O122" s="12"/>
      <c r="P122" s="8" t="s">
        <v>37</v>
      </c>
    </row>
    <row r="123" spans="1:16" ht="24" customHeight="1" x14ac:dyDescent="0.25">
      <c r="A123" s="10">
        <v>117</v>
      </c>
      <c r="B123" s="9">
        <v>0.4770833333333333</v>
      </c>
      <c r="C123" s="5" t="s">
        <v>20</v>
      </c>
      <c r="D123" s="5">
        <v>12</v>
      </c>
      <c r="E123" s="15"/>
      <c r="F123" s="15" t="s">
        <v>26</v>
      </c>
      <c r="G123" s="13">
        <v>5280</v>
      </c>
      <c r="H123" s="13">
        <v>14360</v>
      </c>
      <c r="I123" s="13">
        <v>13380</v>
      </c>
      <c r="J123" s="13">
        <v>12620</v>
      </c>
      <c r="K123" s="13">
        <v>13060</v>
      </c>
      <c r="L123" s="13">
        <v>13040</v>
      </c>
      <c r="M123" s="13"/>
      <c r="N123" s="12"/>
      <c r="O123" s="12"/>
      <c r="P123" s="8" t="s">
        <v>40</v>
      </c>
    </row>
    <row r="124" spans="1:16" ht="24" customHeight="1" x14ac:dyDescent="0.25">
      <c r="A124" s="10">
        <v>118</v>
      </c>
      <c r="B124" s="9">
        <v>0.4777777777777778</v>
      </c>
      <c r="C124" s="5" t="s">
        <v>20</v>
      </c>
      <c r="D124" s="5">
        <v>12</v>
      </c>
      <c r="E124" s="15"/>
      <c r="F124" s="15" t="s">
        <v>27</v>
      </c>
      <c r="G124" s="13">
        <v>6200</v>
      </c>
      <c r="H124" s="13">
        <v>7500</v>
      </c>
      <c r="I124" s="13">
        <v>15780</v>
      </c>
      <c r="J124" s="13">
        <v>14240</v>
      </c>
      <c r="K124" s="13">
        <v>11720</v>
      </c>
      <c r="L124" s="13">
        <v>13260</v>
      </c>
      <c r="M124" s="13"/>
      <c r="N124" s="12"/>
      <c r="O124" s="12"/>
      <c r="P124" s="8" t="s">
        <v>40</v>
      </c>
    </row>
    <row r="125" spans="1:16" ht="24" customHeight="1" x14ac:dyDescent="0.25">
      <c r="A125" s="10">
        <v>119</v>
      </c>
      <c r="B125" s="9">
        <v>0.47847222222222219</v>
      </c>
      <c r="C125" s="5" t="s">
        <v>20</v>
      </c>
      <c r="D125" s="5">
        <v>8</v>
      </c>
      <c r="E125" s="15"/>
      <c r="F125" s="15" t="s">
        <v>23</v>
      </c>
      <c r="G125" s="13">
        <v>3100</v>
      </c>
      <c r="H125" s="13">
        <v>3840</v>
      </c>
      <c r="I125" s="13"/>
      <c r="J125" s="13"/>
      <c r="K125" s="13"/>
      <c r="L125" s="13"/>
      <c r="M125" s="13"/>
      <c r="N125" s="12"/>
      <c r="O125" s="12"/>
      <c r="P125" s="8" t="s">
        <v>37</v>
      </c>
    </row>
    <row r="126" spans="1:16" ht="24" customHeight="1" x14ac:dyDescent="0.25">
      <c r="A126" s="10">
        <v>120</v>
      </c>
      <c r="B126" s="9">
        <v>0.48125000000000001</v>
      </c>
      <c r="C126" s="5" t="s">
        <v>20</v>
      </c>
      <c r="D126" s="5">
        <v>8</v>
      </c>
      <c r="E126" s="15"/>
      <c r="F126" s="15" t="s">
        <v>23</v>
      </c>
      <c r="G126" s="13">
        <v>3360</v>
      </c>
      <c r="H126" s="13">
        <v>13340</v>
      </c>
      <c r="I126" s="13"/>
      <c r="J126" s="13"/>
      <c r="K126" s="13"/>
      <c r="L126" s="13"/>
      <c r="M126" s="13"/>
      <c r="N126" s="12"/>
      <c r="O126" s="12"/>
      <c r="P126" s="8" t="s">
        <v>36</v>
      </c>
    </row>
    <row r="127" spans="1:16" ht="24" customHeight="1" x14ac:dyDescent="0.25">
      <c r="A127" s="10">
        <v>121</v>
      </c>
      <c r="B127" s="9">
        <v>0.48194444444444445</v>
      </c>
      <c r="C127" s="5" t="s">
        <v>20</v>
      </c>
      <c r="D127" s="5">
        <v>8</v>
      </c>
      <c r="E127" s="15"/>
      <c r="F127" s="15" t="s">
        <v>23</v>
      </c>
      <c r="G127" s="13">
        <v>2620</v>
      </c>
      <c r="H127" s="13">
        <v>4360</v>
      </c>
      <c r="I127" s="13"/>
      <c r="J127" s="13"/>
      <c r="K127" s="13"/>
      <c r="L127" s="13"/>
      <c r="M127" s="13"/>
      <c r="N127" s="12"/>
      <c r="O127" s="12"/>
      <c r="P127" s="8" t="s">
        <v>50</v>
      </c>
    </row>
    <row r="128" spans="1:16" ht="24" customHeight="1" x14ac:dyDescent="0.25">
      <c r="A128" s="10">
        <v>122</v>
      </c>
      <c r="B128" s="9">
        <v>0.48333333333333334</v>
      </c>
      <c r="C128" s="5" t="s">
        <v>20</v>
      </c>
      <c r="D128" s="5">
        <v>8</v>
      </c>
      <c r="E128" s="15"/>
      <c r="F128" s="15" t="s">
        <v>23</v>
      </c>
      <c r="G128" s="13">
        <v>5540</v>
      </c>
      <c r="H128" s="13">
        <v>12360</v>
      </c>
      <c r="I128" s="13"/>
      <c r="J128" s="13"/>
      <c r="K128" s="13"/>
      <c r="L128" s="13"/>
      <c r="M128" s="13"/>
      <c r="N128" s="12"/>
      <c r="O128" s="12"/>
      <c r="P128" s="8" t="s">
        <v>40</v>
      </c>
    </row>
    <row r="129" spans="1:16" ht="24" customHeight="1" x14ac:dyDescent="0.25">
      <c r="A129" s="10">
        <v>123</v>
      </c>
      <c r="B129" s="9">
        <v>0.48402777777777778</v>
      </c>
      <c r="C129" s="5" t="s">
        <v>20</v>
      </c>
      <c r="D129" s="5">
        <v>8</v>
      </c>
      <c r="E129" s="15"/>
      <c r="F129" s="15" t="s">
        <v>23</v>
      </c>
      <c r="G129" s="13">
        <v>2640</v>
      </c>
      <c r="H129" s="13">
        <v>4520</v>
      </c>
      <c r="I129" s="13"/>
      <c r="J129" s="13"/>
      <c r="K129" s="13"/>
      <c r="L129" s="13"/>
      <c r="M129" s="13"/>
      <c r="N129" s="12"/>
      <c r="O129" s="12"/>
      <c r="P129" s="8" t="s">
        <v>50</v>
      </c>
    </row>
    <row r="130" spans="1:16" ht="24" customHeight="1" x14ac:dyDescent="0.25">
      <c r="A130" s="10">
        <v>124</v>
      </c>
      <c r="B130" s="9">
        <v>0.48541666666666666</v>
      </c>
      <c r="C130" s="5" t="s">
        <v>20</v>
      </c>
      <c r="D130" s="5">
        <v>12</v>
      </c>
      <c r="E130" s="15"/>
      <c r="F130" s="15" t="s">
        <v>26</v>
      </c>
      <c r="G130" s="13">
        <v>6680</v>
      </c>
      <c r="H130" s="13">
        <v>7160</v>
      </c>
      <c r="I130" s="13">
        <v>6940</v>
      </c>
      <c r="J130" s="13">
        <v>6820</v>
      </c>
      <c r="K130" s="13">
        <v>6680</v>
      </c>
      <c r="L130" s="13">
        <v>11180</v>
      </c>
      <c r="M130" s="13"/>
      <c r="N130" s="12"/>
      <c r="O130" s="12"/>
      <c r="P130" s="8" t="s">
        <v>41</v>
      </c>
    </row>
    <row r="131" spans="1:16" ht="24" customHeight="1" x14ac:dyDescent="0.25">
      <c r="A131" s="10">
        <v>125</v>
      </c>
      <c r="B131" s="9">
        <v>0.48749999999999999</v>
      </c>
      <c r="C131" s="5" t="s">
        <v>20</v>
      </c>
      <c r="D131" s="5">
        <v>8</v>
      </c>
      <c r="E131" s="15"/>
      <c r="F131" s="15" t="s">
        <v>23</v>
      </c>
      <c r="G131" s="13">
        <v>2200</v>
      </c>
      <c r="H131" s="13">
        <v>1980</v>
      </c>
      <c r="I131" s="13"/>
      <c r="J131" s="13"/>
      <c r="K131" s="13"/>
      <c r="L131" s="13"/>
      <c r="M131" s="13"/>
      <c r="N131" s="12"/>
      <c r="O131" s="12"/>
      <c r="P131" s="8" t="s">
        <v>37</v>
      </c>
    </row>
    <row r="132" spans="1:16" ht="24" customHeight="1" x14ac:dyDescent="0.25">
      <c r="A132" s="10">
        <v>126</v>
      </c>
      <c r="B132" s="9">
        <v>0.48819444444444443</v>
      </c>
      <c r="C132" s="5" t="s">
        <v>20</v>
      </c>
      <c r="D132" s="5">
        <v>8</v>
      </c>
      <c r="E132" s="15"/>
      <c r="F132" s="15" t="s">
        <v>23</v>
      </c>
      <c r="G132" s="13">
        <v>3080</v>
      </c>
      <c r="H132" s="13">
        <v>2880</v>
      </c>
      <c r="I132" s="13"/>
      <c r="J132" s="13"/>
      <c r="K132" s="13"/>
      <c r="L132" s="13"/>
      <c r="M132" s="13"/>
      <c r="N132" s="12"/>
      <c r="O132" s="12"/>
      <c r="P132" s="8" t="s">
        <v>37</v>
      </c>
    </row>
    <row r="133" spans="1:16" ht="24" customHeight="1" x14ac:dyDescent="0.25">
      <c r="A133" s="10">
        <v>127</v>
      </c>
      <c r="B133" s="9">
        <v>0.48888888888888887</v>
      </c>
      <c r="C133" s="5" t="s">
        <v>20</v>
      </c>
      <c r="D133" s="5">
        <v>8</v>
      </c>
      <c r="E133" s="15"/>
      <c r="F133" s="15" t="s">
        <v>23</v>
      </c>
      <c r="G133" s="13">
        <v>4720</v>
      </c>
      <c r="H133" s="13">
        <v>5740</v>
      </c>
      <c r="I133" s="13"/>
      <c r="J133" s="13"/>
      <c r="K133" s="13"/>
      <c r="L133" s="13"/>
      <c r="M133" s="13"/>
      <c r="N133" s="12"/>
      <c r="O133" s="12"/>
      <c r="P133" s="8" t="s">
        <v>36</v>
      </c>
    </row>
    <row r="134" spans="1:16" ht="24" customHeight="1" x14ac:dyDescent="0.25">
      <c r="A134" s="10">
        <v>128</v>
      </c>
      <c r="B134" s="9">
        <v>0.48958333333333331</v>
      </c>
      <c r="C134" s="5" t="s">
        <v>20</v>
      </c>
      <c r="D134" s="5">
        <v>8</v>
      </c>
      <c r="E134" s="15"/>
      <c r="F134" s="15" t="s">
        <v>23</v>
      </c>
      <c r="G134" s="13">
        <v>10100</v>
      </c>
      <c r="H134" s="13">
        <v>14400</v>
      </c>
      <c r="I134" s="13"/>
      <c r="J134" s="13"/>
      <c r="K134" s="13"/>
      <c r="L134" s="13"/>
      <c r="M134" s="13"/>
      <c r="N134" s="12"/>
      <c r="O134" s="12"/>
      <c r="P134" s="8" t="s">
        <v>36</v>
      </c>
    </row>
    <row r="135" spans="1:16" ht="24" customHeight="1" x14ac:dyDescent="0.25">
      <c r="A135" s="10">
        <v>129</v>
      </c>
      <c r="B135" s="9">
        <v>0.4909722222222222</v>
      </c>
      <c r="C135" s="5" t="s">
        <v>20</v>
      </c>
      <c r="D135" s="5">
        <v>8</v>
      </c>
      <c r="E135" s="15"/>
      <c r="F135" s="15" t="s">
        <v>23</v>
      </c>
      <c r="G135" s="13">
        <v>5220</v>
      </c>
      <c r="H135" s="13">
        <v>9440</v>
      </c>
      <c r="I135" s="13"/>
      <c r="J135" s="13"/>
      <c r="K135" s="13"/>
      <c r="L135" s="13"/>
      <c r="M135" s="13"/>
      <c r="N135" s="12"/>
      <c r="O135" s="12"/>
      <c r="P135" s="8" t="s">
        <v>41</v>
      </c>
    </row>
    <row r="136" spans="1:16" ht="24" customHeight="1" x14ac:dyDescent="0.25">
      <c r="A136" s="10">
        <v>130</v>
      </c>
      <c r="B136" s="9">
        <v>0.49236111111111108</v>
      </c>
      <c r="C136" s="5" t="s">
        <v>20</v>
      </c>
      <c r="D136" s="5">
        <v>8</v>
      </c>
      <c r="E136" s="15"/>
      <c r="F136" s="15" t="s">
        <v>23</v>
      </c>
      <c r="G136" s="13">
        <v>4100</v>
      </c>
      <c r="H136" s="13">
        <v>5020</v>
      </c>
      <c r="I136" s="13"/>
      <c r="J136" s="13"/>
      <c r="K136" s="13"/>
      <c r="L136" s="13"/>
      <c r="M136" s="13"/>
      <c r="N136" s="12"/>
      <c r="O136" s="12"/>
      <c r="P136" s="8" t="s">
        <v>37</v>
      </c>
    </row>
    <row r="137" spans="1:16" ht="24" customHeight="1" x14ac:dyDescent="0.25">
      <c r="A137" s="10">
        <v>131</v>
      </c>
      <c r="B137" s="9">
        <v>0.49305555555555558</v>
      </c>
      <c r="C137" s="5" t="s">
        <v>20</v>
      </c>
      <c r="D137" s="5">
        <v>8</v>
      </c>
      <c r="E137" s="15"/>
      <c r="F137" s="15" t="s">
        <v>23</v>
      </c>
      <c r="G137" s="13">
        <v>2660</v>
      </c>
      <c r="H137" s="13">
        <v>4080</v>
      </c>
      <c r="I137" s="13"/>
      <c r="J137" s="13"/>
      <c r="K137" s="13"/>
      <c r="L137" s="13"/>
      <c r="M137" s="13"/>
      <c r="N137" s="12"/>
      <c r="O137" s="12"/>
      <c r="P137" s="8" t="s">
        <v>36</v>
      </c>
    </row>
    <row r="138" spans="1:16" ht="24" customHeight="1" x14ac:dyDescent="0.25">
      <c r="A138" s="10">
        <v>132</v>
      </c>
      <c r="B138" s="9">
        <v>0.49513888888888885</v>
      </c>
      <c r="C138" s="5" t="s">
        <v>20</v>
      </c>
      <c r="D138" s="5">
        <v>10</v>
      </c>
      <c r="E138" s="15"/>
      <c r="F138" s="15" t="s">
        <v>31</v>
      </c>
      <c r="G138" s="13">
        <v>5240</v>
      </c>
      <c r="H138" s="13">
        <v>4040</v>
      </c>
      <c r="I138" s="13">
        <v>3560</v>
      </c>
      <c r="J138" s="13">
        <v>2560</v>
      </c>
      <c r="K138" s="13"/>
      <c r="L138" s="13"/>
      <c r="M138" s="13"/>
      <c r="N138" s="12"/>
      <c r="O138" s="12"/>
      <c r="P138" s="8" t="s">
        <v>37</v>
      </c>
    </row>
    <row r="139" spans="1:16" ht="24" customHeight="1" x14ac:dyDescent="0.25">
      <c r="A139" s="10">
        <v>133</v>
      </c>
      <c r="B139" s="9">
        <v>0.49583333333333335</v>
      </c>
      <c r="C139" s="5" t="s">
        <v>20</v>
      </c>
      <c r="D139" s="5">
        <v>5</v>
      </c>
      <c r="E139" s="15"/>
      <c r="F139" s="15" t="s">
        <v>23</v>
      </c>
      <c r="G139" s="13">
        <v>7660</v>
      </c>
      <c r="H139" s="13">
        <v>14500</v>
      </c>
      <c r="I139" s="13"/>
      <c r="J139" s="13"/>
      <c r="K139" s="13"/>
      <c r="L139" s="13"/>
      <c r="M139" s="13"/>
      <c r="N139" s="12"/>
      <c r="O139" s="12"/>
      <c r="P139" s="8" t="s">
        <v>35</v>
      </c>
    </row>
    <row r="140" spans="1:16" ht="24" customHeight="1" x14ac:dyDescent="0.25">
      <c r="A140" s="10">
        <v>134</v>
      </c>
      <c r="B140" s="9">
        <v>0.49652777777777773</v>
      </c>
      <c r="C140" s="5" t="s">
        <v>20</v>
      </c>
      <c r="D140" s="5">
        <v>8</v>
      </c>
      <c r="E140" s="15"/>
      <c r="F140" s="15" t="s">
        <v>23</v>
      </c>
      <c r="G140" s="13">
        <v>4340</v>
      </c>
      <c r="H140" s="13">
        <v>4820</v>
      </c>
      <c r="I140" s="13"/>
      <c r="J140" s="13"/>
      <c r="K140" s="13"/>
      <c r="L140" s="13"/>
      <c r="M140" s="13"/>
      <c r="N140" s="12"/>
      <c r="O140" s="12"/>
      <c r="P140" s="8" t="s">
        <v>40</v>
      </c>
    </row>
    <row r="141" spans="1:16" ht="24" customHeight="1" x14ac:dyDescent="0.25">
      <c r="A141" s="10">
        <v>135</v>
      </c>
      <c r="B141" s="9"/>
      <c r="C141" s="5" t="s">
        <v>20</v>
      </c>
      <c r="D141" s="5">
        <v>12</v>
      </c>
      <c r="E141" s="15"/>
      <c r="F141" s="15" t="s">
        <v>26</v>
      </c>
      <c r="G141" s="13">
        <v>6660</v>
      </c>
      <c r="H141" s="13">
        <v>12320</v>
      </c>
      <c r="I141" s="13">
        <v>11300</v>
      </c>
      <c r="J141" s="13">
        <v>17200</v>
      </c>
      <c r="K141" s="13">
        <v>13720</v>
      </c>
      <c r="L141" s="13">
        <v>14860</v>
      </c>
      <c r="M141" s="13"/>
      <c r="N141" s="12"/>
      <c r="O141" s="12"/>
      <c r="P141" s="8" t="s">
        <v>36</v>
      </c>
    </row>
    <row r="142" spans="1:16" ht="24" customHeight="1" x14ac:dyDescent="0.25">
      <c r="A142" s="10">
        <v>136</v>
      </c>
      <c r="B142" s="9">
        <v>0.49861111111111112</v>
      </c>
      <c r="C142" s="5" t="s">
        <v>20</v>
      </c>
      <c r="D142" s="5">
        <v>12</v>
      </c>
      <c r="E142" s="15"/>
      <c r="F142" s="15" t="s">
        <v>48</v>
      </c>
      <c r="G142" s="13">
        <v>8100</v>
      </c>
      <c r="H142" s="13">
        <v>15820</v>
      </c>
      <c r="I142" s="13">
        <v>11000</v>
      </c>
      <c r="J142" s="13">
        <v>14420</v>
      </c>
      <c r="K142" s="13">
        <v>11120</v>
      </c>
      <c r="L142" s="13">
        <v>11980</v>
      </c>
      <c r="M142" s="13"/>
      <c r="N142" s="12"/>
      <c r="O142" s="12"/>
      <c r="P142" s="8" t="s">
        <v>40</v>
      </c>
    </row>
    <row r="143" spans="1:16" ht="24" customHeight="1" x14ac:dyDescent="0.25">
      <c r="A143" s="10">
        <v>137</v>
      </c>
      <c r="B143" s="9">
        <v>0.5</v>
      </c>
      <c r="C143" s="5" t="s">
        <v>20</v>
      </c>
      <c r="D143" s="5">
        <v>10</v>
      </c>
      <c r="E143" s="15"/>
      <c r="F143" s="15" t="s">
        <v>31</v>
      </c>
      <c r="G143" s="13">
        <v>5840</v>
      </c>
      <c r="H143" s="13">
        <v>7340</v>
      </c>
      <c r="I143" s="13"/>
      <c r="J143" s="13"/>
      <c r="K143" s="13"/>
      <c r="L143" s="13"/>
      <c r="M143" s="13"/>
      <c r="N143" s="12"/>
      <c r="O143" s="12"/>
      <c r="P143" s="8" t="s">
        <v>38</v>
      </c>
    </row>
    <row r="144" spans="1:16" ht="24" customHeight="1" x14ac:dyDescent="0.25">
      <c r="A144" s="10">
        <v>138</v>
      </c>
      <c r="B144" s="9">
        <v>0.50486111111111109</v>
      </c>
      <c r="C144" s="5" t="s">
        <v>20</v>
      </c>
      <c r="D144" s="5">
        <v>8</v>
      </c>
      <c r="E144" s="15"/>
      <c r="F144" s="15" t="s">
        <v>23</v>
      </c>
      <c r="G144" s="13">
        <v>3130</v>
      </c>
      <c r="H144" s="13">
        <v>3360</v>
      </c>
      <c r="I144" s="13"/>
      <c r="J144" s="13"/>
      <c r="K144" s="13"/>
      <c r="L144" s="13"/>
      <c r="M144" s="13"/>
      <c r="N144" s="12"/>
      <c r="O144" s="12"/>
      <c r="P144" s="8" t="s">
        <v>37</v>
      </c>
    </row>
    <row r="145" spans="1:16" ht="24" customHeight="1" x14ac:dyDescent="0.25">
      <c r="A145" s="10">
        <v>139</v>
      </c>
      <c r="B145" s="9">
        <v>0.50555555555555554</v>
      </c>
      <c r="C145" s="5" t="s">
        <v>20</v>
      </c>
      <c r="D145" s="5">
        <v>8</v>
      </c>
      <c r="E145" s="15"/>
      <c r="F145" s="15" t="s">
        <v>23</v>
      </c>
      <c r="G145" s="13">
        <v>4820</v>
      </c>
      <c r="H145" s="13">
        <v>13980</v>
      </c>
      <c r="I145" s="13"/>
      <c r="J145" s="13"/>
      <c r="K145" s="13"/>
      <c r="L145" s="13"/>
      <c r="M145" s="13"/>
      <c r="N145" s="12"/>
      <c r="O145" s="12"/>
      <c r="P145" s="8" t="s">
        <v>42</v>
      </c>
    </row>
    <row r="146" spans="1:16" ht="24" customHeight="1" x14ac:dyDescent="0.25">
      <c r="A146" s="10">
        <v>140</v>
      </c>
      <c r="B146" s="9">
        <v>0.50763888888888886</v>
      </c>
      <c r="C146" s="5" t="s">
        <v>20</v>
      </c>
      <c r="D146" s="5">
        <v>8</v>
      </c>
      <c r="E146" s="15"/>
      <c r="F146" s="15" t="s">
        <v>23</v>
      </c>
      <c r="G146" s="13">
        <v>2680</v>
      </c>
      <c r="H146" s="13">
        <v>3100</v>
      </c>
      <c r="I146" s="13"/>
      <c r="J146" s="13"/>
      <c r="K146" s="13"/>
      <c r="L146" s="13"/>
      <c r="M146" s="13"/>
      <c r="N146" s="12"/>
      <c r="O146" s="12"/>
      <c r="P146" s="8" t="s">
        <v>37</v>
      </c>
    </row>
    <row r="147" spans="1:16" ht="24" customHeight="1" x14ac:dyDescent="0.25">
      <c r="A147" s="10">
        <v>141</v>
      </c>
      <c r="B147" s="9">
        <v>0.5083333333333333</v>
      </c>
      <c r="C147" s="5" t="s">
        <v>20</v>
      </c>
      <c r="D147" s="5">
        <v>8</v>
      </c>
      <c r="E147" s="15"/>
      <c r="F147" s="15" t="s">
        <v>23</v>
      </c>
      <c r="G147" s="13">
        <v>5140</v>
      </c>
      <c r="H147" s="13">
        <v>8620</v>
      </c>
      <c r="I147" s="13"/>
      <c r="J147" s="13"/>
      <c r="K147" s="13"/>
      <c r="L147" s="13"/>
      <c r="M147" s="13"/>
      <c r="N147" s="12"/>
      <c r="O147" s="12"/>
      <c r="P147" s="8" t="s">
        <v>36</v>
      </c>
    </row>
    <row r="148" spans="1:16" ht="24" customHeight="1" x14ac:dyDescent="0.25">
      <c r="A148" s="10">
        <v>142</v>
      </c>
      <c r="B148" s="9">
        <v>0.50902777777777775</v>
      </c>
      <c r="C148" s="5" t="s">
        <v>20</v>
      </c>
      <c r="D148" s="5">
        <v>8</v>
      </c>
      <c r="E148" s="15"/>
      <c r="F148" s="15" t="s">
        <v>23</v>
      </c>
      <c r="G148" s="13">
        <v>9280</v>
      </c>
      <c r="H148" s="13">
        <v>17380</v>
      </c>
      <c r="I148" s="13"/>
      <c r="J148" s="13"/>
      <c r="K148" s="13"/>
      <c r="L148" s="13"/>
      <c r="M148" s="13"/>
      <c r="N148" s="12"/>
      <c r="O148" s="12"/>
      <c r="P148" s="8" t="s">
        <v>35</v>
      </c>
    </row>
    <row r="149" spans="1:16" ht="24" customHeight="1" x14ac:dyDescent="0.25">
      <c r="A149" s="10">
        <v>143</v>
      </c>
      <c r="B149" s="9">
        <v>0.51388888888888895</v>
      </c>
      <c r="C149" s="5" t="s">
        <v>20</v>
      </c>
      <c r="D149" s="5">
        <v>8</v>
      </c>
      <c r="E149" s="15"/>
      <c r="F149" s="15" t="s">
        <v>23</v>
      </c>
      <c r="G149" s="13">
        <v>3920</v>
      </c>
      <c r="H149" s="13">
        <v>10040</v>
      </c>
      <c r="I149" s="13"/>
      <c r="J149" s="13"/>
      <c r="K149" s="13"/>
      <c r="L149" s="13"/>
      <c r="M149" s="13"/>
      <c r="N149" s="12"/>
      <c r="O149" s="12"/>
      <c r="P149" s="8" t="s">
        <v>41</v>
      </c>
    </row>
    <row r="150" spans="1:16" ht="24" customHeight="1" x14ac:dyDescent="0.25">
      <c r="A150" s="10">
        <v>144</v>
      </c>
      <c r="B150" s="9">
        <v>0.51458333333333328</v>
      </c>
      <c r="C150" s="5" t="s">
        <v>20</v>
      </c>
      <c r="D150" s="5">
        <v>8</v>
      </c>
      <c r="E150" s="15"/>
      <c r="F150" s="15" t="s">
        <v>23</v>
      </c>
      <c r="G150" s="13">
        <v>4660</v>
      </c>
      <c r="H150" s="13">
        <v>7940</v>
      </c>
      <c r="I150" s="13"/>
      <c r="J150" s="13"/>
      <c r="K150" s="13"/>
      <c r="L150" s="13"/>
      <c r="M150" s="13"/>
      <c r="N150" s="12"/>
      <c r="O150" s="12"/>
      <c r="P150" s="8" t="s">
        <v>36</v>
      </c>
    </row>
    <row r="151" spans="1:16" ht="24" customHeight="1" x14ac:dyDescent="0.25">
      <c r="A151" s="10">
        <v>145</v>
      </c>
      <c r="B151" s="9">
        <v>0.51597222222222217</v>
      </c>
      <c r="C151" s="5" t="s">
        <v>20</v>
      </c>
      <c r="D151" s="5">
        <v>12</v>
      </c>
      <c r="E151" s="15"/>
      <c r="F151" s="15" t="s">
        <v>49</v>
      </c>
      <c r="G151" s="13">
        <v>8820</v>
      </c>
      <c r="H151" s="13">
        <v>10480</v>
      </c>
      <c r="I151" s="13">
        <v>10140</v>
      </c>
      <c r="J151" s="13">
        <v>11900</v>
      </c>
      <c r="K151" s="13">
        <v>11180</v>
      </c>
      <c r="L151" s="13">
        <v>10120</v>
      </c>
      <c r="M151" s="13"/>
      <c r="N151" s="12"/>
      <c r="O151" s="12"/>
      <c r="P151" s="8" t="s">
        <v>36</v>
      </c>
    </row>
    <row r="152" spans="1:16" ht="24" customHeight="1" x14ac:dyDescent="0.25">
      <c r="A152" s="10">
        <v>146</v>
      </c>
      <c r="B152" s="9">
        <v>0.51736111111111105</v>
      </c>
      <c r="C152" s="5" t="s">
        <v>21</v>
      </c>
      <c r="D152" s="5">
        <v>12</v>
      </c>
      <c r="E152" s="15"/>
      <c r="F152" s="15" t="s">
        <v>26</v>
      </c>
      <c r="G152" s="13">
        <v>7080</v>
      </c>
      <c r="H152" s="13">
        <v>14300</v>
      </c>
      <c r="I152" s="13">
        <v>13220</v>
      </c>
      <c r="J152" s="13">
        <v>19260</v>
      </c>
      <c r="K152" s="13">
        <v>14320</v>
      </c>
      <c r="L152" s="13">
        <v>12840</v>
      </c>
      <c r="M152" s="13"/>
      <c r="N152" s="12"/>
      <c r="O152" s="12"/>
      <c r="P152" s="8" t="s">
        <v>43</v>
      </c>
    </row>
    <row r="153" spans="1:16" ht="24" customHeight="1" x14ac:dyDescent="0.25">
      <c r="A153" s="10">
        <v>147</v>
      </c>
      <c r="B153" s="9">
        <v>0.5180555555555556</v>
      </c>
      <c r="C153" s="5" t="s">
        <v>20</v>
      </c>
      <c r="D153" s="5">
        <v>8</v>
      </c>
      <c r="E153" s="15"/>
      <c r="F153" s="15" t="s">
        <v>23</v>
      </c>
      <c r="G153" s="13">
        <v>2940</v>
      </c>
      <c r="H153" s="13">
        <v>3160</v>
      </c>
      <c r="I153" s="13"/>
      <c r="J153" s="13"/>
      <c r="K153" s="13"/>
      <c r="L153" s="13"/>
      <c r="M153" s="13"/>
      <c r="N153" s="12"/>
      <c r="O153" s="12"/>
      <c r="P153" s="8" t="s">
        <v>40</v>
      </c>
    </row>
    <row r="154" spans="1:16" ht="24" customHeight="1" x14ac:dyDescent="0.25">
      <c r="A154" s="10">
        <v>148</v>
      </c>
      <c r="B154" s="9">
        <v>0.51874999999999993</v>
      </c>
      <c r="C154" s="5" t="s">
        <v>20</v>
      </c>
      <c r="D154" s="5">
        <v>8</v>
      </c>
      <c r="E154" s="15"/>
      <c r="F154" s="15" t="s">
        <v>23</v>
      </c>
      <c r="G154" s="13">
        <v>5180</v>
      </c>
      <c r="H154" s="13">
        <v>9680</v>
      </c>
      <c r="I154" s="13"/>
      <c r="J154" s="13"/>
      <c r="K154" s="13"/>
      <c r="L154" s="13"/>
      <c r="M154" s="13"/>
      <c r="N154" s="12"/>
      <c r="O154" s="12"/>
      <c r="P154" s="8" t="s">
        <v>41</v>
      </c>
    </row>
    <row r="155" spans="1:16" ht="24" customHeight="1" x14ac:dyDescent="0.25">
      <c r="A155" s="10">
        <v>149</v>
      </c>
      <c r="B155" s="9">
        <v>0.51944444444444449</v>
      </c>
      <c r="C155" s="5" t="s">
        <v>20</v>
      </c>
      <c r="D155" s="5">
        <v>8</v>
      </c>
      <c r="E155" s="15"/>
      <c r="F155" s="15" t="s">
        <v>23</v>
      </c>
      <c r="G155" s="13">
        <v>3360</v>
      </c>
      <c r="H155" s="13">
        <v>3660</v>
      </c>
      <c r="I155" s="13"/>
      <c r="J155" s="13"/>
      <c r="K155" s="13"/>
      <c r="L155" s="13"/>
      <c r="M155" s="13"/>
      <c r="N155" s="12"/>
      <c r="O155" s="12"/>
      <c r="P155" s="8" t="s">
        <v>43</v>
      </c>
    </row>
    <row r="156" spans="1:16" ht="24" customHeight="1" x14ac:dyDescent="0.25">
      <c r="A156" s="10">
        <v>150</v>
      </c>
      <c r="B156" s="9">
        <v>0.52083333333333337</v>
      </c>
      <c r="C156" s="5" t="s">
        <v>21</v>
      </c>
      <c r="D156" s="5">
        <v>12</v>
      </c>
      <c r="E156" s="15"/>
      <c r="F156" s="15" t="s">
        <v>26</v>
      </c>
      <c r="G156" s="13">
        <v>5160</v>
      </c>
      <c r="H156" s="13">
        <v>11160</v>
      </c>
      <c r="I156" s="13">
        <v>1860</v>
      </c>
      <c r="J156" s="13">
        <v>7720</v>
      </c>
      <c r="K156" s="13">
        <v>5520</v>
      </c>
      <c r="L156" s="13">
        <v>5280</v>
      </c>
      <c r="M156" s="13"/>
      <c r="N156" s="12"/>
      <c r="O156" s="12"/>
      <c r="P156" s="8" t="s">
        <v>37</v>
      </c>
    </row>
    <row r="157" spans="1:16" ht="24" customHeight="1" x14ac:dyDescent="0.25">
      <c r="A157" s="10">
        <v>151</v>
      </c>
      <c r="B157" s="9">
        <v>0.52152777777777781</v>
      </c>
      <c r="C157" s="5" t="s">
        <v>20</v>
      </c>
      <c r="D157" s="5">
        <v>5</v>
      </c>
      <c r="E157" s="15"/>
      <c r="F157" s="15" t="s">
        <v>23</v>
      </c>
      <c r="G157" s="13">
        <v>8240</v>
      </c>
      <c r="H157" s="13">
        <v>16380</v>
      </c>
      <c r="I157" s="13"/>
      <c r="J157" s="13"/>
      <c r="K157" s="13"/>
      <c r="L157" s="13"/>
      <c r="M157" s="13"/>
      <c r="N157" s="12"/>
      <c r="O157" s="12"/>
      <c r="P157" s="8" t="s">
        <v>35</v>
      </c>
    </row>
    <row r="158" spans="1:16" ht="24" customHeight="1" x14ac:dyDescent="0.25">
      <c r="A158" s="10">
        <v>152</v>
      </c>
      <c r="B158" s="9">
        <v>0.52222222222222225</v>
      </c>
      <c r="C158" s="5" t="s">
        <v>20</v>
      </c>
      <c r="D158" s="5">
        <v>8</v>
      </c>
      <c r="E158" s="15"/>
      <c r="F158" s="15" t="s">
        <v>23</v>
      </c>
      <c r="G158" s="13">
        <v>2900</v>
      </c>
      <c r="H158" s="13">
        <v>3340</v>
      </c>
      <c r="I158" s="13"/>
      <c r="J158" s="13"/>
      <c r="K158" s="13"/>
      <c r="L158" s="13"/>
      <c r="M158" s="13"/>
      <c r="N158" s="12"/>
      <c r="O158" s="12"/>
      <c r="P158" s="8" t="s">
        <v>37</v>
      </c>
    </row>
    <row r="159" spans="1:16" ht="24" customHeight="1" x14ac:dyDescent="0.25">
      <c r="A159" s="10">
        <v>153</v>
      </c>
      <c r="B159" s="9">
        <v>0.5229166666666667</v>
      </c>
      <c r="C159" s="5" t="s">
        <v>20</v>
      </c>
      <c r="D159" s="5">
        <v>8</v>
      </c>
      <c r="E159" s="15"/>
      <c r="F159" s="15" t="s">
        <v>23</v>
      </c>
      <c r="G159" s="13">
        <v>3080</v>
      </c>
      <c r="H159" s="13">
        <v>2920</v>
      </c>
      <c r="I159" s="13"/>
      <c r="J159" s="13"/>
      <c r="K159" s="13"/>
      <c r="L159" s="13"/>
      <c r="M159" s="13"/>
      <c r="N159" s="12"/>
      <c r="O159" s="12"/>
      <c r="P159" s="8" t="s">
        <v>37</v>
      </c>
    </row>
    <row r="160" spans="1:16" ht="24" customHeight="1" x14ac:dyDescent="0.25">
      <c r="A160" s="10">
        <v>154</v>
      </c>
      <c r="B160" s="9"/>
      <c r="C160" s="5" t="s">
        <v>20</v>
      </c>
      <c r="D160" s="5">
        <v>9</v>
      </c>
      <c r="E160" s="15"/>
      <c r="F160" s="15" t="s">
        <v>30</v>
      </c>
      <c r="G160" s="13">
        <v>6680</v>
      </c>
      <c r="H160" s="13">
        <v>4240</v>
      </c>
      <c r="I160" s="13">
        <v>3900</v>
      </c>
      <c r="J160" s="13"/>
      <c r="K160" s="13"/>
      <c r="L160" s="13"/>
      <c r="M160" s="13"/>
      <c r="N160" s="12"/>
      <c r="O160" s="12"/>
      <c r="P160" s="8" t="s">
        <v>37</v>
      </c>
    </row>
    <row r="161" spans="1:16" s="29" customFormat="1" ht="24" customHeight="1" x14ac:dyDescent="0.25">
      <c r="A161" s="33"/>
      <c r="B161" s="23"/>
      <c r="C161" s="24"/>
      <c r="D161" s="24"/>
      <c r="E161" s="25"/>
      <c r="F161" s="25"/>
      <c r="G161" s="26"/>
      <c r="H161" s="26"/>
      <c r="I161" s="31" t="s">
        <v>54</v>
      </c>
      <c r="J161" s="26"/>
      <c r="K161" s="26"/>
      <c r="L161" s="26"/>
      <c r="M161" s="26"/>
      <c r="N161" s="27"/>
      <c r="O161" s="27"/>
      <c r="P161" s="28"/>
    </row>
    <row r="162" spans="1:16" ht="24" customHeight="1" x14ac:dyDescent="0.25">
      <c r="A162" s="5">
        <v>1</v>
      </c>
      <c r="B162" s="9">
        <v>0.45833333333333331</v>
      </c>
      <c r="C162" s="5" t="s">
        <v>20</v>
      </c>
      <c r="D162" s="5">
        <v>8</v>
      </c>
      <c r="E162" s="15"/>
      <c r="F162" s="15" t="s">
        <v>23</v>
      </c>
      <c r="G162" s="13">
        <v>3920</v>
      </c>
      <c r="H162" s="13">
        <v>8000</v>
      </c>
      <c r="I162" s="13"/>
      <c r="J162" s="13"/>
      <c r="K162" s="13"/>
      <c r="L162" s="13"/>
      <c r="M162" s="13"/>
      <c r="N162" s="12"/>
      <c r="O162" s="12"/>
      <c r="P162" s="8" t="s">
        <v>36</v>
      </c>
    </row>
    <row r="163" spans="1:16" ht="24" customHeight="1" x14ac:dyDescent="0.25">
      <c r="A163" s="5">
        <v>2</v>
      </c>
      <c r="B163" s="9">
        <v>0.47291666666666665</v>
      </c>
      <c r="C163" s="5" t="s">
        <v>20</v>
      </c>
      <c r="D163" s="5">
        <v>8</v>
      </c>
      <c r="E163" s="15"/>
      <c r="F163" s="15" t="s">
        <v>23</v>
      </c>
      <c r="G163" s="13">
        <v>3240</v>
      </c>
      <c r="H163" s="13">
        <v>6840</v>
      </c>
      <c r="I163" s="13"/>
      <c r="J163" s="13"/>
      <c r="K163" s="13"/>
      <c r="L163" s="13"/>
      <c r="M163" s="13"/>
      <c r="N163" s="12"/>
      <c r="O163" s="12"/>
      <c r="P163" s="8" t="s">
        <v>42</v>
      </c>
    </row>
    <row r="164" spans="1:16" ht="24" customHeight="1" x14ac:dyDescent="0.25">
      <c r="A164" s="5">
        <v>3</v>
      </c>
      <c r="B164" s="9">
        <v>0.47430555555555554</v>
      </c>
      <c r="C164" s="5" t="s">
        <v>20</v>
      </c>
      <c r="D164" s="5">
        <v>8</v>
      </c>
      <c r="E164" s="15"/>
      <c r="F164" s="15" t="s">
        <v>23</v>
      </c>
      <c r="G164" s="13">
        <v>2420</v>
      </c>
      <c r="H164" s="13">
        <v>4640</v>
      </c>
      <c r="I164" s="13"/>
      <c r="J164" s="13"/>
      <c r="K164" s="13"/>
      <c r="L164" s="13"/>
      <c r="M164" s="13"/>
      <c r="N164" s="12"/>
      <c r="O164" s="12"/>
      <c r="P164" s="8" t="s">
        <v>37</v>
      </c>
    </row>
    <row r="165" spans="1:16" ht="24" customHeight="1" x14ac:dyDescent="0.25">
      <c r="A165" s="5">
        <v>4</v>
      </c>
      <c r="B165" s="9">
        <v>0.47569444444444442</v>
      </c>
      <c r="C165" s="5" t="s">
        <v>20</v>
      </c>
      <c r="D165" s="5">
        <v>9</v>
      </c>
      <c r="E165" s="15"/>
      <c r="F165" s="15" t="s">
        <v>30</v>
      </c>
      <c r="G165" s="13">
        <v>4380</v>
      </c>
      <c r="H165" s="13">
        <v>5900</v>
      </c>
      <c r="I165" s="13">
        <v>6800</v>
      </c>
      <c r="J165" s="13"/>
      <c r="K165" s="13"/>
      <c r="L165" s="13"/>
      <c r="M165" s="13"/>
      <c r="N165" s="12"/>
      <c r="O165" s="12"/>
      <c r="P165" s="8" t="s">
        <v>40</v>
      </c>
    </row>
    <row r="166" spans="1:16" ht="24" customHeight="1" x14ac:dyDescent="0.25">
      <c r="A166" s="5">
        <v>5</v>
      </c>
      <c r="B166" s="9">
        <v>0.48055555555555557</v>
      </c>
      <c r="C166" s="5" t="s">
        <v>20</v>
      </c>
      <c r="D166" s="5">
        <v>9</v>
      </c>
      <c r="E166" s="15"/>
      <c r="F166" s="15" t="s">
        <v>29</v>
      </c>
      <c r="G166" s="13">
        <v>4550</v>
      </c>
      <c r="H166" s="13">
        <v>4700</v>
      </c>
      <c r="I166" s="13">
        <v>5050</v>
      </c>
      <c r="J166" s="13"/>
      <c r="K166" s="13"/>
      <c r="L166" s="13"/>
      <c r="M166" s="13"/>
      <c r="N166" s="12"/>
      <c r="O166" s="12"/>
      <c r="P166" s="8" t="s">
        <v>36</v>
      </c>
    </row>
    <row r="167" spans="1:16" ht="24" customHeight="1" x14ac:dyDescent="0.25">
      <c r="A167" s="5">
        <v>6</v>
      </c>
      <c r="B167" s="9">
        <v>0.5</v>
      </c>
      <c r="C167" s="5" t="s">
        <v>20</v>
      </c>
      <c r="D167" s="5">
        <v>8</v>
      </c>
      <c r="E167" s="15"/>
      <c r="F167" s="15" t="s">
        <v>23</v>
      </c>
      <c r="G167" s="13">
        <v>6220</v>
      </c>
      <c r="H167" s="13">
        <v>7760</v>
      </c>
      <c r="I167" s="13"/>
      <c r="J167" s="13"/>
      <c r="K167" s="13"/>
      <c r="L167" s="13"/>
      <c r="M167" s="13"/>
      <c r="N167" s="12"/>
      <c r="O167" s="12"/>
      <c r="P167" s="8" t="s">
        <v>40</v>
      </c>
    </row>
    <row r="168" spans="1:16" ht="24" customHeight="1" x14ac:dyDescent="0.25">
      <c r="A168" s="5">
        <v>7</v>
      </c>
      <c r="B168" s="9">
        <v>0.51597222222222217</v>
      </c>
      <c r="C168" s="5" t="s">
        <v>20</v>
      </c>
      <c r="D168" s="5">
        <v>8</v>
      </c>
      <c r="E168" s="15"/>
      <c r="F168" s="15" t="s">
        <v>23</v>
      </c>
      <c r="G168" s="13">
        <v>4560</v>
      </c>
      <c r="H168" s="13">
        <v>11400</v>
      </c>
      <c r="I168" s="13"/>
      <c r="J168" s="13"/>
      <c r="K168" s="13"/>
      <c r="L168" s="13"/>
      <c r="M168" s="13"/>
      <c r="N168" s="12"/>
      <c r="O168" s="12"/>
      <c r="P168" s="8" t="s">
        <v>40</v>
      </c>
    </row>
    <row r="169" spans="1:16" ht="24" customHeight="1" x14ac:dyDescent="0.25">
      <c r="A169" s="5">
        <v>8</v>
      </c>
      <c r="B169" s="9">
        <v>0.5229166666666667</v>
      </c>
      <c r="C169" s="5" t="s">
        <v>20</v>
      </c>
      <c r="D169" s="5">
        <v>8</v>
      </c>
      <c r="E169" s="15"/>
      <c r="F169" s="15" t="s">
        <v>23</v>
      </c>
      <c r="G169" s="13">
        <v>5240</v>
      </c>
      <c r="H169" s="13">
        <v>6500</v>
      </c>
      <c r="I169" s="13"/>
      <c r="J169" s="13"/>
      <c r="K169" s="13"/>
      <c r="L169" s="13"/>
      <c r="M169" s="13"/>
      <c r="N169" s="12"/>
      <c r="O169" s="12"/>
      <c r="P169" s="8" t="s">
        <v>38</v>
      </c>
    </row>
    <row r="170" spans="1:16" ht="24" customHeight="1" x14ac:dyDescent="0.25">
      <c r="A170" s="5">
        <v>9</v>
      </c>
      <c r="B170" s="9">
        <v>0.52430555555555558</v>
      </c>
      <c r="C170" s="5" t="s">
        <v>20</v>
      </c>
      <c r="D170" s="5">
        <v>8</v>
      </c>
      <c r="E170" s="15"/>
      <c r="F170" s="15" t="s">
        <v>23</v>
      </c>
      <c r="G170" s="13">
        <v>4830</v>
      </c>
      <c r="H170" s="13">
        <v>11460</v>
      </c>
      <c r="I170" s="13"/>
      <c r="J170" s="13"/>
      <c r="K170" s="13"/>
      <c r="L170" s="13"/>
      <c r="M170" s="13"/>
      <c r="N170" s="12"/>
      <c r="O170" s="12"/>
      <c r="P170" s="8" t="s">
        <v>40</v>
      </c>
    </row>
    <row r="171" spans="1:16" ht="24" customHeight="1" x14ac:dyDescent="0.25">
      <c r="A171" s="5">
        <v>10</v>
      </c>
      <c r="B171" s="9">
        <v>0.52500000000000002</v>
      </c>
      <c r="C171" s="5" t="s">
        <v>20</v>
      </c>
      <c r="D171" s="5">
        <v>8</v>
      </c>
      <c r="E171" s="15"/>
      <c r="F171" s="15" t="s">
        <v>23</v>
      </c>
      <c r="G171" s="13">
        <v>4600</v>
      </c>
      <c r="H171" s="13">
        <v>16020</v>
      </c>
      <c r="I171" s="13"/>
      <c r="J171" s="13"/>
      <c r="K171" s="13"/>
      <c r="L171" s="13"/>
      <c r="M171" s="13"/>
      <c r="N171" s="12"/>
      <c r="O171" s="12"/>
      <c r="P171" s="8" t="s">
        <v>37</v>
      </c>
    </row>
    <row r="172" spans="1:16" ht="24" customHeight="1" x14ac:dyDescent="0.25">
      <c r="A172" s="5">
        <v>11</v>
      </c>
      <c r="B172" s="9">
        <v>0.52500000000000002</v>
      </c>
      <c r="C172" s="5" t="s">
        <v>20</v>
      </c>
      <c r="D172" s="5">
        <v>8</v>
      </c>
      <c r="E172" s="15"/>
      <c r="F172" s="15" t="s">
        <v>23</v>
      </c>
      <c r="G172" s="13">
        <v>6260</v>
      </c>
      <c r="H172" s="13">
        <v>14760</v>
      </c>
      <c r="I172" s="13"/>
      <c r="J172" s="13"/>
      <c r="K172" s="13"/>
      <c r="L172" s="13"/>
      <c r="M172" s="13"/>
      <c r="N172" s="12"/>
      <c r="O172" s="12"/>
      <c r="P172" s="8" t="s">
        <v>37</v>
      </c>
    </row>
    <row r="173" spans="1:16" ht="24" customHeight="1" x14ac:dyDescent="0.25">
      <c r="A173" s="5">
        <v>12</v>
      </c>
      <c r="B173" s="9">
        <v>0.12708333333333333</v>
      </c>
      <c r="C173" s="5" t="s">
        <v>20</v>
      </c>
      <c r="D173" s="5">
        <v>12</v>
      </c>
      <c r="E173" s="15"/>
      <c r="F173" s="15" t="s">
        <v>26</v>
      </c>
      <c r="G173" s="13">
        <v>6840</v>
      </c>
      <c r="H173" s="13">
        <v>5020</v>
      </c>
      <c r="I173" s="13">
        <v>4600</v>
      </c>
      <c r="J173" s="13">
        <v>3600</v>
      </c>
      <c r="K173" s="13">
        <v>4720</v>
      </c>
      <c r="L173" s="13">
        <v>5200</v>
      </c>
      <c r="M173" s="13"/>
      <c r="N173" s="12"/>
      <c r="O173" s="12"/>
      <c r="P173" s="8" t="s">
        <v>37</v>
      </c>
    </row>
    <row r="174" spans="1:16" ht="24" customHeight="1" x14ac:dyDescent="0.25">
      <c r="A174" s="5">
        <v>13</v>
      </c>
      <c r="B174" s="9">
        <v>0.1277777777777778</v>
      </c>
      <c r="C174" s="5" t="s">
        <v>20</v>
      </c>
      <c r="D174" s="5">
        <v>8</v>
      </c>
      <c r="E174" s="15"/>
      <c r="F174" s="15" t="s">
        <v>23</v>
      </c>
      <c r="G174" s="13">
        <v>6200</v>
      </c>
      <c r="H174" s="13">
        <v>17640</v>
      </c>
      <c r="I174" s="13"/>
      <c r="J174" s="13"/>
      <c r="K174" s="13"/>
      <c r="L174" s="13"/>
      <c r="M174" s="13"/>
      <c r="N174" s="12"/>
      <c r="O174" s="12"/>
      <c r="P174" s="8" t="s">
        <v>40</v>
      </c>
    </row>
    <row r="175" spans="1:16" ht="24" customHeight="1" x14ac:dyDescent="0.25">
      <c r="A175" s="5">
        <v>14</v>
      </c>
      <c r="B175" s="9">
        <v>0.12916666666666668</v>
      </c>
      <c r="C175" s="5" t="s">
        <v>21</v>
      </c>
      <c r="D175" s="5">
        <v>8</v>
      </c>
      <c r="E175" s="15"/>
      <c r="F175" s="15" t="s">
        <v>23</v>
      </c>
      <c r="G175" s="13">
        <v>6260</v>
      </c>
      <c r="H175" s="13">
        <v>14890</v>
      </c>
      <c r="I175" s="13"/>
      <c r="J175" s="13"/>
      <c r="K175" s="13"/>
      <c r="L175" s="13"/>
      <c r="M175" s="13"/>
      <c r="N175" s="12"/>
      <c r="O175" s="12"/>
      <c r="P175" s="8" t="s">
        <v>38</v>
      </c>
    </row>
    <row r="176" spans="1:16" ht="24" customHeight="1" x14ac:dyDescent="0.25">
      <c r="A176" s="5">
        <v>15</v>
      </c>
      <c r="B176" s="9">
        <v>0.1361111111111111</v>
      </c>
      <c r="C176" s="5" t="s">
        <v>20</v>
      </c>
      <c r="D176" s="5">
        <v>8</v>
      </c>
      <c r="E176" s="15"/>
      <c r="F176" s="15" t="s">
        <v>23</v>
      </c>
      <c r="G176" s="13">
        <v>7400</v>
      </c>
      <c r="H176" s="13">
        <v>12040</v>
      </c>
      <c r="I176" s="13"/>
      <c r="J176" s="13"/>
      <c r="K176" s="13"/>
      <c r="L176" s="13"/>
      <c r="M176" s="13"/>
      <c r="N176" s="12"/>
      <c r="O176" s="12"/>
      <c r="P176" s="8" t="s">
        <v>35</v>
      </c>
    </row>
    <row r="177" spans="1:16" ht="24" customHeight="1" x14ac:dyDescent="0.25">
      <c r="A177" s="5">
        <v>16</v>
      </c>
      <c r="B177" s="9">
        <v>0.14027777777777778</v>
      </c>
      <c r="C177" s="5" t="s">
        <v>20</v>
      </c>
      <c r="D177" s="5">
        <v>8</v>
      </c>
      <c r="E177" s="15"/>
      <c r="F177" s="15" t="s">
        <v>23</v>
      </c>
      <c r="G177" s="13">
        <v>4340</v>
      </c>
      <c r="H177" s="13">
        <v>10180</v>
      </c>
      <c r="I177" s="13"/>
      <c r="J177" s="13"/>
      <c r="K177" s="13"/>
      <c r="L177" s="13"/>
      <c r="M177" s="13"/>
      <c r="N177" s="12"/>
      <c r="O177" s="12"/>
      <c r="P177" s="8" t="s">
        <v>43</v>
      </c>
    </row>
    <row r="178" spans="1:16" ht="24" customHeight="1" x14ac:dyDescent="0.25">
      <c r="A178" s="5">
        <v>17</v>
      </c>
      <c r="B178" s="9">
        <v>0.1451388888888889</v>
      </c>
      <c r="C178" s="5" t="s">
        <v>20</v>
      </c>
      <c r="D178" s="5">
        <v>11</v>
      </c>
      <c r="E178" s="15"/>
      <c r="F178" s="15" t="s">
        <v>31</v>
      </c>
      <c r="G178" s="13">
        <v>4500</v>
      </c>
      <c r="H178" s="13">
        <v>4700</v>
      </c>
      <c r="I178" s="13">
        <v>5080</v>
      </c>
      <c r="J178" s="13">
        <v>5420</v>
      </c>
      <c r="K178" s="13"/>
      <c r="L178" s="13"/>
      <c r="M178" s="13"/>
      <c r="N178" s="12"/>
      <c r="O178" s="12"/>
      <c r="P178" s="8" t="s">
        <v>50</v>
      </c>
    </row>
    <row r="179" spans="1:16" ht="24" customHeight="1" x14ac:dyDescent="0.25">
      <c r="A179" s="5">
        <v>18</v>
      </c>
      <c r="B179" s="9">
        <v>0.17430555555555557</v>
      </c>
      <c r="C179" s="5" t="s">
        <v>20</v>
      </c>
      <c r="D179" s="5">
        <v>8</v>
      </c>
      <c r="E179" s="15"/>
      <c r="F179" s="15" t="s">
        <v>23</v>
      </c>
      <c r="G179" s="13">
        <v>4300</v>
      </c>
      <c r="H179" s="13">
        <v>18400</v>
      </c>
      <c r="I179" s="13"/>
      <c r="J179" s="13"/>
      <c r="K179" s="13"/>
      <c r="L179" s="13"/>
      <c r="M179" s="13"/>
      <c r="N179" s="12"/>
      <c r="O179" s="12"/>
      <c r="P179" s="8" t="s">
        <v>36</v>
      </c>
    </row>
    <row r="180" spans="1:16" ht="24" customHeight="1" x14ac:dyDescent="0.25">
      <c r="A180" s="5">
        <v>19</v>
      </c>
      <c r="B180" s="9">
        <v>0.18055555555555555</v>
      </c>
      <c r="C180" s="5" t="s">
        <v>20</v>
      </c>
      <c r="D180" s="5">
        <v>12</v>
      </c>
      <c r="E180" s="15"/>
      <c r="F180" s="15" t="s">
        <v>26</v>
      </c>
      <c r="G180" s="13">
        <v>7410</v>
      </c>
      <c r="H180" s="13">
        <v>9040</v>
      </c>
      <c r="I180" s="13">
        <v>16400</v>
      </c>
      <c r="J180" s="13">
        <v>14200</v>
      </c>
      <c r="K180" s="13">
        <v>12520</v>
      </c>
      <c r="L180" s="13">
        <v>13460</v>
      </c>
      <c r="M180" s="13"/>
      <c r="N180" s="12"/>
      <c r="O180" s="12"/>
      <c r="P180" s="8" t="s">
        <v>40</v>
      </c>
    </row>
    <row r="181" spans="1:16" ht="24" customHeight="1" x14ac:dyDescent="0.25">
      <c r="A181" s="5">
        <v>20</v>
      </c>
      <c r="B181" s="9">
        <v>0.18263888888888891</v>
      </c>
      <c r="C181" s="5" t="s">
        <v>20</v>
      </c>
      <c r="D181" s="5">
        <v>8</v>
      </c>
      <c r="E181" s="15"/>
      <c r="F181" s="15" t="s">
        <v>23</v>
      </c>
      <c r="G181" s="13">
        <v>3420</v>
      </c>
      <c r="H181" s="13">
        <v>5920</v>
      </c>
      <c r="I181" s="13"/>
      <c r="J181" s="13"/>
      <c r="K181" s="13"/>
      <c r="L181" s="13"/>
      <c r="M181" s="13"/>
      <c r="N181" s="12"/>
      <c r="O181" s="12"/>
      <c r="P181" s="8" t="s">
        <v>37</v>
      </c>
    </row>
    <row r="182" spans="1:16" ht="24" customHeight="1" x14ac:dyDescent="0.25">
      <c r="A182" s="5">
        <v>21</v>
      </c>
      <c r="B182" s="9">
        <v>0.18402777777777779</v>
      </c>
      <c r="C182" s="5" t="s">
        <v>20</v>
      </c>
      <c r="D182" s="5">
        <v>8</v>
      </c>
      <c r="E182" s="15"/>
      <c r="F182" s="15" t="s">
        <v>23</v>
      </c>
      <c r="G182" s="13">
        <v>3400</v>
      </c>
      <c r="H182" s="13">
        <v>6840</v>
      </c>
      <c r="I182" s="13"/>
      <c r="J182" s="13"/>
      <c r="K182" s="13"/>
      <c r="L182" s="13"/>
      <c r="M182" s="13"/>
      <c r="N182" s="12"/>
      <c r="O182" s="12"/>
      <c r="P182" s="8" t="s">
        <v>40</v>
      </c>
    </row>
    <row r="183" spans="1:16" ht="24" customHeight="1" x14ac:dyDescent="0.25">
      <c r="A183" s="5">
        <v>22</v>
      </c>
      <c r="B183" s="9">
        <v>0.19444444444444445</v>
      </c>
      <c r="C183" s="5" t="s">
        <v>20</v>
      </c>
      <c r="D183" s="5">
        <v>8</v>
      </c>
      <c r="E183" s="15"/>
      <c r="F183" s="15" t="s">
        <v>23</v>
      </c>
      <c r="G183" s="13">
        <v>6400</v>
      </c>
      <c r="H183" s="13">
        <v>11480</v>
      </c>
      <c r="I183" s="13"/>
      <c r="J183" s="13"/>
      <c r="K183" s="13"/>
      <c r="L183" s="13"/>
      <c r="M183" s="13"/>
      <c r="N183" s="12"/>
      <c r="O183" s="12"/>
      <c r="P183" s="8" t="s">
        <v>40</v>
      </c>
    </row>
    <row r="184" spans="1:16" ht="24" customHeight="1" x14ac:dyDescent="0.25">
      <c r="A184" s="5">
        <v>23</v>
      </c>
      <c r="B184" s="9">
        <v>0.2076388888888889</v>
      </c>
      <c r="C184" s="5" t="s">
        <v>20</v>
      </c>
      <c r="D184" s="5">
        <v>8</v>
      </c>
      <c r="E184" s="15"/>
      <c r="F184" s="15" t="s">
        <v>23</v>
      </c>
      <c r="G184" s="13">
        <v>3200</v>
      </c>
      <c r="H184" s="13">
        <v>8000</v>
      </c>
      <c r="I184" s="13"/>
      <c r="J184" s="13"/>
      <c r="K184" s="13"/>
      <c r="L184" s="13"/>
      <c r="M184" s="13"/>
      <c r="N184" s="12"/>
      <c r="O184" s="12"/>
      <c r="P184" s="8" t="s">
        <v>40</v>
      </c>
    </row>
    <row r="185" spans="1:16" ht="24" customHeight="1" x14ac:dyDescent="0.25">
      <c r="A185" s="5">
        <v>24</v>
      </c>
      <c r="B185" s="9">
        <v>0.21875</v>
      </c>
      <c r="C185" s="5" t="s">
        <v>20</v>
      </c>
      <c r="D185" s="5">
        <v>12</v>
      </c>
      <c r="E185" s="15"/>
      <c r="F185" s="15" t="s">
        <v>27</v>
      </c>
      <c r="G185" s="13">
        <v>10280</v>
      </c>
      <c r="H185" s="13">
        <v>3100</v>
      </c>
      <c r="I185" s="13">
        <v>19400</v>
      </c>
      <c r="J185" s="13">
        <v>15100</v>
      </c>
      <c r="K185" s="13">
        <v>12340</v>
      </c>
      <c r="L185" s="13">
        <v>12800</v>
      </c>
      <c r="M185" s="13"/>
      <c r="N185" s="12"/>
      <c r="O185" s="12"/>
      <c r="P185" s="8" t="s">
        <v>43</v>
      </c>
    </row>
    <row r="186" spans="1:16" ht="24" customHeight="1" x14ac:dyDescent="0.25">
      <c r="A186" s="5">
        <v>25</v>
      </c>
      <c r="B186" s="9">
        <v>0.22152777777777777</v>
      </c>
      <c r="C186" s="5" t="s">
        <v>20</v>
      </c>
      <c r="D186" s="5">
        <v>8</v>
      </c>
      <c r="E186" s="15"/>
      <c r="F186" s="15" t="s">
        <v>23</v>
      </c>
      <c r="G186" s="13">
        <v>2880</v>
      </c>
      <c r="H186" s="13">
        <v>3220</v>
      </c>
      <c r="I186" s="13"/>
      <c r="J186" s="13"/>
      <c r="K186" s="13"/>
      <c r="L186" s="13"/>
      <c r="M186" s="13"/>
      <c r="N186" s="12"/>
      <c r="O186" s="12"/>
      <c r="P186" s="8" t="s">
        <v>37</v>
      </c>
    </row>
    <row r="187" spans="1:16" ht="24" customHeight="1" x14ac:dyDescent="0.25">
      <c r="A187" s="5">
        <v>26</v>
      </c>
      <c r="B187" s="9">
        <v>0.2298611111111111</v>
      </c>
      <c r="C187" s="5" t="s">
        <v>20</v>
      </c>
      <c r="D187" s="5">
        <v>8</v>
      </c>
      <c r="E187" s="15"/>
      <c r="F187" s="15" t="s">
        <v>23</v>
      </c>
      <c r="G187" s="13">
        <v>6580</v>
      </c>
      <c r="H187" s="13">
        <v>18980</v>
      </c>
      <c r="I187" s="13"/>
      <c r="J187" s="13"/>
      <c r="K187" s="13"/>
      <c r="L187" s="13"/>
      <c r="M187" s="13"/>
      <c r="N187" s="12"/>
      <c r="O187" s="12"/>
      <c r="P187" s="8" t="s">
        <v>38</v>
      </c>
    </row>
    <row r="188" spans="1:16" ht="24" customHeight="1" x14ac:dyDescent="0.25">
      <c r="A188" s="5">
        <v>27</v>
      </c>
      <c r="B188" s="9">
        <v>0.23263888888888887</v>
      </c>
      <c r="C188" s="5" t="s">
        <v>20</v>
      </c>
      <c r="D188" s="5">
        <v>8</v>
      </c>
      <c r="E188" s="15"/>
      <c r="F188" s="15" t="s">
        <v>23</v>
      </c>
      <c r="G188" s="13">
        <v>2500</v>
      </c>
      <c r="H188" s="13">
        <v>2680</v>
      </c>
      <c r="I188" s="13"/>
      <c r="J188" s="13"/>
      <c r="K188" s="13"/>
      <c r="L188" s="13"/>
      <c r="M188" s="13"/>
      <c r="N188" s="12"/>
      <c r="O188" s="12"/>
      <c r="P188" s="8" t="s">
        <v>35</v>
      </c>
    </row>
    <row r="189" spans="1:16" ht="24" customHeight="1" x14ac:dyDescent="0.25">
      <c r="A189" s="5">
        <v>28</v>
      </c>
      <c r="B189" s="9">
        <v>0.23680555555555557</v>
      </c>
      <c r="C189" s="5" t="s">
        <v>20</v>
      </c>
      <c r="D189" s="5">
        <v>8</v>
      </c>
      <c r="E189" s="15"/>
      <c r="F189" s="15" t="s">
        <v>23</v>
      </c>
      <c r="G189" s="13">
        <v>3000</v>
      </c>
      <c r="H189" s="13">
        <v>3300</v>
      </c>
      <c r="I189" s="13"/>
      <c r="J189" s="13"/>
      <c r="K189" s="13"/>
      <c r="L189" s="13"/>
      <c r="M189" s="13"/>
      <c r="N189" s="12"/>
      <c r="O189" s="12"/>
      <c r="P189" s="8" t="s">
        <v>37</v>
      </c>
    </row>
    <row r="190" spans="1:16" ht="24" customHeight="1" x14ac:dyDescent="0.25">
      <c r="A190" s="5">
        <v>29</v>
      </c>
      <c r="B190" s="9">
        <v>0.24236111111111111</v>
      </c>
      <c r="C190" s="5" t="s">
        <v>20</v>
      </c>
      <c r="D190" s="5">
        <v>7</v>
      </c>
      <c r="E190" s="15"/>
      <c r="F190" s="15" t="s">
        <v>23</v>
      </c>
      <c r="G190" s="13">
        <v>2140</v>
      </c>
      <c r="H190" s="13">
        <v>1780</v>
      </c>
      <c r="I190" s="13"/>
      <c r="J190" s="13"/>
      <c r="K190" s="13"/>
      <c r="L190" s="13"/>
      <c r="M190" s="13"/>
      <c r="N190" s="12"/>
      <c r="O190" s="12"/>
      <c r="P190" s="8" t="s">
        <v>37</v>
      </c>
    </row>
    <row r="191" spans="1:16" ht="24" customHeight="1" x14ac:dyDescent="0.25">
      <c r="A191" s="5">
        <v>30</v>
      </c>
      <c r="B191" s="9">
        <v>0.34930555555555554</v>
      </c>
      <c r="C191" s="5" t="s">
        <v>20</v>
      </c>
      <c r="D191" s="5">
        <v>12</v>
      </c>
      <c r="E191" s="15"/>
      <c r="F191" s="15" t="s">
        <v>26</v>
      </c>
      <c r="G191" s="13">
        <v>8180</v>
      </c>
      <c r="H191" s="13">
        <v>14480</v>
      </c>
      <c r="I191" s="13">
        <v>13960</v>
      </c>
      <c r="J191" s="13">
        <v>12140</v>
      </c>
      <c r="K191" s="13">
        <v>8040</v>
      </c>
      <c r="L191" s="13">
        <v>10700</v>
      </c>
      <c r="M191" s="13"/>
      <c r="N191" s="12"/>
      <c r="O191" s="12"/>
      <c r="P191" s="8" t="s">
        <v>41</v>
      </c>
    </row>
    <row r="192" spans="1:16" ht="24" customHeight="1" x14ac:dyDescent="0.25">
      <c r="A192" s="5">
        <v>31</v>
      </c>
      <c r="B192" s="9">
        <v>0.35694444444444445</v>
      </c>
      <c r="C192" s="5" t="s">
        <v>20</v>
      </c>
      <c r="D192" s="5">
        <v>8</v>
      </c>
      <c r="E192" s="15"/>
      <c r="F192" s="15" t="s">
        <v>23</v>
      </c>
      <c r="G192" s="13">
        <v>5220</v>
      </c>
      <c r="H192" s="13">
        <v>5060</v>
      </c>
      <c r="I192" s="13"/>
      <c r="J192" s="13"/>
      <c r="K192" s="13"/>
      <c r="L192" s="13"/>
      <c r="M192" s="13"/>
      <c r="N192" s="12"/>
      <c r="O192" s="12"/>
      <c r="P192" s="8" t="s">
        <v>38</v>
      </c>
    </row>
    <row r="193" spans="1:16" ht="24" customHeight="1" x14ac:dyDescent="0.25">
      <c r="A193" s="5">
        <v>32</v>
      </c>
      <c r="B193" s="9">
        <v>0.36319444444444443</v>
      </c>
      <c r="C193" s="5" t="s">
        <v>20</v>
      </c>
      <c r="D193" s="5">
        <v>12</v>
      </c>
      <c r="E193" s="15"/>
      <c r="F193" s="15" t="s">
        <v>26</v>
      </c>
      <c r="G193" s="13">
        <v>8340</v>
      </c>
      <c r="H193" s="13">
        <v>14940</v>
      </c>
      <c r="I193" s="13">
        <v>15580</v>
      </c>
      <c r="J193" s="13">
        <v>15480</v>
      </c>
      <c r="K193" s="13">
        <v>12640</v>
      </c>
      <c r="L193" s="13">
        <v>13600</v>
      </c>
      <c r="M193" s="13"/>
      <c r="N193" s="12"/>
      <c r="O193" s="12"/>
      <c r="P193" s="8" t="s">
        <v>35</v>
      </c>
    </row>
    <row r="194" spans="1:16" ht="24" customHeight="1" x14ac:dyDescent="0.25">
      <c r="A194" s="5">
        <v>33</v>
      </c>
      <c r="B194" s="9">
        <v>0.36527777777777781</v>
      </c>
      <c r="C194" s="5" t="s">
        <v>20</v>
      </c>
      <c r="D194" s="5">
        <v>12</v>
      </c>
      <c r="E194" s="15"/>
      <c r="F194" s="15" t="s">
        <v>26</v>
      </c>
      <c r="G194" s="13">
        <v>9080</v>
      </c>
      <c r="H194" s="13">
        <v>12620</v>
      </c>
      <c r="I194" s="13">
        <v>12360</v>
      </c>
      <c r="J194" s="13">
        <v>14880</v>
      </c>
      <c r="K194" s="13">
        <v>13808</v>
      </c>
      <c r="L194" s="13">
        <v>13900</v>
      </c>
      <c r="M194" s="13"/>
      <c r="N194" s="12"/>
      <c r="O194" s="12"/>
      <c r="P194" s="8" t="s">
        <v>38</v>
      </c>
    </row>
    <row r="195" spans="1:16" ht="24" customHeight="1" x14ac:dyDescent="0.25">
      <c r="A195" s="5">
        <v>34</v>
      </c>
      <c r="B195" s="9">
        <v>0.37291666666666662</v>
      </c>
      <c r="C195" s="5" t="s">
        <v>20</v>
      </c>
      <c r="D195" s="5">
        <v>12</v>
      </c>
      <c r="E195" s="15"/>
      <c r="F195" s="15" t="s">
        <v>26</v>
      </c>
      <c r="G195" s="13">
        <v>8620</v>
      </c>
      <c r="H195" s="13">
        <v>14140</v>
      </c>
      <c r="I195" s="13">
        <v>13600</v>
      </c>
      <c r="J195" s="13">
        <v>15420</v>
      </c>
      <c r="K195" s="13">
        <v>11680</v>
      </c>
      <c r="L195" s="13">
        <v>11320</v>
      </c>
      <c r="M195" s="13"/>
      <c r="N195" s="12"/>
      <c r="O195" s="12"/>
      <c r="P195" s="8" t="s">
        <v>40</v>
      </c>
    </row>
    <row r="196" spans="1:16" ht="24" customHeight="1" x14ac:dyDescent="0.25">
      <c r="A196" s="5">
        <v>35</v>
      </c>
      <c r="B196" s="9">
        <v>0.3840277777777778</v>
      </c>
      <c r="C196" s="5" t="s">
        <v>20</v>
      </c>
      <c r="D196" s="5">
        <v>9</v>
      </c>
      <c r="E196" s="15"/>
      <c r="F196" s="15" t="s">
        <v>30</v>
      </c>
      <c r="G196" s="13">
        <v>5840</v>
      </c>
      <c r="H196" s="13">
        <v>4780</v>
      </c>
      <c r="I196" s="13">
        <v>4160</v>
      </c>
      <c r="J196" s="13"/>
      <c r="K196" s="13"/>
      <c r="L196" s="13"/>
      <c r="M196" s="13"/>
      <c r="N196" s="12"/>
      <c r="O196" s="12"/>
      <c r="P196" s="8" t="s">
        <v>37</v>
      </c>
    </row>
    <row r="197" spans="1:16" ht="24" customHeight="1" x14ac:dyDescent="0.25">
      <c r="A197" s="5">
        <v>36</v>
      </c>
      <c r="B197" s="9">
        <v>0.38472222222222219</v>
      </c>
      <c r="C197" s="5" t="s">
        <v>20</v>
      </c>
      <c r="D197" s="5">
        <v>8</v>
      </c>
      <c r="E197" s="15"/>
      <c r="F197" s="15" t="s">
        <v>23</v>
      </c>
      <c r="G197" s="13">
        <v>4540</v>
      </c>
      <c r="H197" s="13">
        <v>6240</v>
      </c>
      <c r="I197" s="13"/>
      <c r="J197" s="13"/>
      <c r="K197" s="13"/>
      <c r="L197" s="13"/>
      <c r="M197" s="13"/>
      <c r="N197" s="12"/>
      <c r="O197" s="12"/>
      <c r="P197" s="8" t="s">
        <v>37</v>
      </c>
    </row>
    <row r="198" spans="1:16" ht="24" customHeight="1" x14ac:dyDescent="0.25">
      <c r="A198" s="5">
        <v>37</v>
      </c>
      <c r="B198" s="9">
        <v>0.38611111111111113</v>
      </c>
      <c r="C198" s="5" t="s">
        <v>20</v>
      </c>
      <c r="D198" s="5">
        <v>8</v>
      </c>
      <c r="E198" s="15"/>
      <c r="F198" s="15" t="s">
        <v>23</v>
      </c>
      <c r="G198" s="13">
        <v>8100</v>
      </c>
      <c r="H198" s="13">
        <v>17120</v>
      </c>
      <c r="I198" s="13"/>
      <c r="J198" s="13"/>
      <c r="K198" s="13"/>
      <c r="L198" s="13"/>
      <c r="M198" s="13"/>
      <c r="N198" s="12"/>
      <c r="O198" s="12"/>
      <c r="P198" s="8" t="s">
        <v>38</v>
      </c>
    </row>
    <row r="199" spans="1:16" ht="24" customHeight="1" x14ac:dyDescent="0.25">
      <c r="A199" s="5">
        <v>38</v>
      </c>
      <c r="B199" s="9">
        <v>0.38680555555555557</v>
      </c>
      <c r="C199" s="5" t="s">
        <v>20</v>
      </c>
      <c r="D199" s="5">
        <v>8</v>
      </c>
      <c r="E199" s="15"/>
      <c r="F199" s="15" t="s">
        <v>23</v>
      </c>
      <c r="G199" s="13">
        <v>3560</v>
      </c>
      <c r="H199" s="13">
        <v>9000</v>
      </c>
      <c r="I199" s="13"/>
      <c r="J199" s="13"/>
      <c r="K199" s="13"/>
      <c r="L199" s="13"/>
      <c r="M199" s="13"/>
      <c r="N199" s="12"/>
      <c r="O199" s="12"/>
      <c r="P199" s="8" t="s">
        <v>42</v>
      </c>
    </row>
    <row r="200" spans="1:16" ht="24" customHeight="1" x14ac:dyDescent="0.25">
      <c r="A200" s="5">
        <v>39</v>
      </c>
      <c r="B200" s="9">
        <v>0.3923611111111111</v>
      </c>
      <c r="C200" s="5" t="s">
        <v>20</v>
      </c>
      <c r="D200" s="5">
        <v>12</v>
      </c>
      <c r="E200" s="15"/>
      <c r="F200" s="15" t="s">
        <v>27</v>
      </c>
      <c r="G200" s="13">
        <v>8120</v>
      </c>
      <c r="H200" s="13">
        <v>1940</v>
      </c>
      <c r="I200" s="13">
        <v>5580</v>
      </c>
      <c r="J200" s="13">
        <v>4560</v>
      </c>
      <c r="K200" s="13">
        <v>3440</v>
      </c>
      <c r="L200" s="13">
        <v>3520</v>
      </c>
      <c r="M200" s="13"/>
      <c r="N200" s="12"/>
      <c r="O200" s="12"/>
      <c r="P200" s="8" t="s">
        <v>37</v>
      </c>
    </row>
    <row r="201" spans="1:16" ht="24" customHeight="1" x14ac:dyDescent="0.25">
      <c r="A201" s="5">
        <v>40</v>
      </c>
      <c r="B201" s="9">
        <v>0.39305555555555555</v>
      </c>
      <c r="C201" s="5" t="s">
        <v>20</v>
      </c>
      <c r="D201" s="5">
        <v>8</v>
      </c>
      <c r="E201" s="15"/>
      <c r="F201" s="15" t="s">
        <v>23</v>
      </c>
      <c r="G201" s="13">
        <v>1520</v>
      </c>
      <c r="H201" s="13">
        <v>5460</v>
      </c>
      <c r="I201" s="13"/>
      <c r="J201" s="13"/>
      <c r="K201" s="13"/>
      <c r="L201" s="13"/>
      <c r="M201" s="13"/>
      <c r="N201" s="12"/>
      <c r="O201" s="12"/>
      <c r="P201" s="8" t="s">
        <v>38</v>
      </c>
    </row>
    <row r="202" spans="1:16" ht="24" customHeight="1" x14ac:dyDescent="0.25">
      <c r="A202" s="5">
        <v>41</v>
      </c>
      <c r="B202" s="9">
        <v>0.39444444444444443</v>
      </c>
      <c r="C202" s="5" t="s">
        <v>20</v>
      </c>
      <c r="D202" s="5">
        <v>12</v>
      </c>
      <c r="E202" s="15"/>
      <c r="F202" s="15" t="s">
        <v>27</v>
      </c>
      <c r="G202" s="13">
        <v>7420</v>
      </c>
      <c r="H202" s="13">
        <v>9020</v>
      </c>
      <c r="I202" s="13">
        <v>14920</v>
      </c>
      <c r="J202" s="13">
        <v>16240</v>
      </c>
      <c r="K202" s="13">
        <v>13420</v>
      </c>
      <c r="L202" s="13">
        <v>12520</v>
      </c>
      <c r="M202" s="13"/>
      <c r="N202" s="12"/>
      <c r="O202" s="12"/>
      <c r="P202" s="8" t="s">
        <v>40</v>
      </c>
    </row>
    <row r="203" spans="1:16" ht="24" customHeight="1" x14ac:dyDescent="0.25">
      <c r="A203" s="5">
        <v>42</v>
      </c>
      <c r="B203" s="9">
        <v>0.39513888888888887</v>
      </c>
      <c r="C203" s="5" t="s">
        <v>20</v>
      </c>
      <c r="D203" s="5">
        <v>8</v>
      </c>
      <c r="E203" s="15"/>
      <c r="F203" s="15" t="s">
        <v>23</v>
      </c>
      <c r="G203" s="13">
        <v>4440</v>
      </c>
      <c r="H203" s="13">
        <v>18320</v>
      </c>
      <c r="I203" s="13"/>
      <c r="J203" s="13"/>
      <c r="K203" s="13"/>
      <c r="L203" s="13"/>
      <c r="M203" s="13"/>
      <c r="N203" s="12"/>
      <c r="O203" s="12"/>
      <c r="P203" s="8" t="s">
        <v>40</v>
      </c>
    </row>
    <row r="204" spans="1:16" ht="24" customHeight="1" x14ac:dyDescent="0.25">
      <c r="A204" s="5">
        <v>43</v>
      </c>
      <c r="B204" s="9">
        <v>0.3972222222222222</v>
      </c>
      <c r="C204" s="5" t="s">
        <v>20</v>
      </c>
      <c r="D204" s="5">
        <v>12</v>
      </c>
      <c r="E204" s="15"/>
      <c r="F204" s="15" t="s">
        <v>26</v>
      </c>
      <c r="G204" s="13">
        <v>6660</v>
      </c>
      <c r="H204" s="13">
        <v>4740</v>
      </c>
      <c r="I204" s="13">
        <v>4300</v>
      </c>
      <c r="J204" s="13">
        <v>6220</v>
      </c>
      <c r="K204" s="13">
        <v>3840</v>
      </c>
      <c r="L204" s="13">
        <v>4900</v>
      </c>
      <c r="M204" s="13"/>
      <c r="N204" s="12"/>
      <c r="O204" s="12"/>
      <c r="P204" s="8" t="s">
        <v>37</v>
      </c>
    </row>
    <row r="205" spans="1:16" ht="24" customHeight="1" x14ac:dyDescent="0.25">
      <c r="A205" s="5">
        <v>44</v>
      </c>
      <c r="B205" s="9">
        <v>0.40347222222222223</v>
      </c>
      <c r="C205" s="5" t="s">
        <v>20</v>
      </c>
      <c r="D205" s="5">
        <v>9</v>
      </c>
      <c r="E205" s="15"/>
      <c r="F205" s="15" t="s">
        <v>51</v>
      </c>
      <c r="G205" s="13">
        <v>5960</v>
      </c>
      <c r="H205" s="13">
        <v>1660</v>
      </c>
      <c r="I205" s="13">
        <v>4740</v>
      </c>
      <c r="J205" s="13"/>
      <c r="K205" s="13"/>
      <c r="L205" s="13"/>
      <c r="M205" s="13"/>
      <c r="N205" s="12"/>
      <c r="O205" s="12"/>
      <c r="P205" s="8" t="s">
        <v>37</v>
      </c>
    </row>
    <row r="206" spans="1:16" ht="24" customHeight="1" x14ac:dyDescent="0.25">
      <c r="A206" s="5">
        <v>45</v>
      </c>
      <c r="B206" s="9">
        <v>0.4055555555555555</v>
      </c>
      <c r="C206" s="5" t="s">
        <v>20</v>
      </c>
      <c r="D206" s="5">
        <v>8</v>
      </c>
      <c r="E206" s="15"/>
      <c r="F206" s="15" t="s">
        <v>23</v>
      </c>
      <c r="G206" s="13">
        <v>4340</v>
      </c>
      <c r="H206" s="13">
        <v>10100</v>
      </c>
      <c r="I206" s="13"/>
      <c r="J206" s="13"/>
      <c r="K206" s="13"/>
      <c r="L206" s="13"/>
      <c r="M206" s="13"/>
      <c r="N206" s="12"/>
      <c r="O206" s="12"/>
      <c r="P206" s="8" t="s">
        <v>40</v>
      </c>
    </row>
    <row r="207" spans="1:16" ht="24" customHeight="1" x14ac:dyDescent="0.25">
      <c r="A207" s="5">
        <v>46</v>
      </c>
      <c r="B207" s="9">
        <v>0.4069444444444445</v>
      </c>
      <c r="C207" s="5" t="s">
        <v>20</v>
      </c>
      <c r="D207" s="5">
        <v>8</v>
      </c>
      <c r="E207" s="15"/>
      <c r="F207" s="15" t="s">
        <v>23</v>
      </c>
      <c r="G207" s="13">
        <v>4340</v>
      </c>
      <c r="H207" s="13">
        <v>12020</v>
      </c>
      <c r="I207" s="13"/>
      <c r="J207" s="13"/>
      <c r="K207" s="13"/>
      <c r="L207" s="13"/>
      <c r="M207" s="13"/>
      <c r="N207" s="12"/>
      <c r="O207" s="12"/>
      <c r="P207" s="8" t="s">
        <v>40</v>
      </c>
    </row>
    <row r="208" spans="1:16" ht="24" customHeight="1" x14ac:dyDescent="0.25">
      <c r="A208" s="5">
        <v>47</v>
      </c>
      <c r="B208" s="9">
        <v>0.41250000000000003</v>
      </c>
      <c r="C208" s="5" t="s">
        <v>20</v>
      </c>
      <c r="D208" s="5">
        <v>11</v>
      </c>
      <c r="E208" s="15"/>
      <c r="F208" s="15" t="s">
        <v>31</v>
      </c>
      <c r="G208" s="13">
        <v>4540</v>
      </c>
      <c r="H208" s="13">
        <v>4700</v>
      </c>
      <c r="I208" s="13">
        <v>5080</v>
      </c>
      <c r="J208" s="13">
        <v>5380</v>
      </c>
      <c r="K208" s="13">
        <v>2380</v>
      </c>
      <c r="L208" s="13"/>
      <c r="M208" s="13"/>
      <c r="N208" s="12"/>
      <c r="O208" s="12"/>
      <c r="P208" s="8" t="s">
        <v>37</v>
      </c>
    </row>
    <row r="209" spans="1:16" ht="24" customHeight="1" x14ac:dyDescent="0.25">
      <c r="A209" s="5">
        <v>48</v>
      </c>
      <c r="B209" s="9">
        <v>0.42569444444444443</v>
      </c>
      <c r="C209" s="5" t="s">
        <v>20</v>
      </c>
      <c r="D209" s="5">
        <v>12</v>
      </c>
      <c r="E209" s="15"/>
      <c r="F209" s="15" t="s">
        <v>26</v>
      </c>
      <c r="G209" s="13">
        <v>7660</v>
      </c>
      <c r="H209" s="13">
        <v>8280</v>
      </c>
      <c r="I209" s="13">
        <v>8880</v>
      </c>
      <c r="J209" s="13">
        <v>9200</v>
      </c>
      <c r="K209" s="13">
        <v>5660</v>
      </c>
      <c r="L209" s="13">
        <v>5580</v>
      </c>
      <c r="M209" s="13"/>
      <c r="N209" s="12"/>
      <c r="O209" s="12"/>
      <c r="P209" s="8" t="s">
        <v>35</v>
      </c>
    </row>
    <row r="210" spans="1:16" ht="24" customHeight="1" x14ac:dyDescent="0.25">
      <c r="A210" s="5">
        <v>49</v>
      </c>
      <c r="B210" s="9">
        <v>0.43333333333333335</v>
      </c>
      <c r="C210" s="5" t="s">
        <v>20</v>
      </c>
      <c r="D210" s="5">
        <v>8</v>
      </c>
      <c r="E210" s="15"/>
      <c r="F210" s="15" t="s">
        <v>23</v>
      </c>
      <c r="G210" s="13">
        <v>6300</v>
      </c>
      <c r="H210" s="13">
        <v>15200</v>
      </c>
      <c r="I210" s="13"/>
      <c r="J210" s="13"/>
      <c r="K210" s="13"/>
      <c r="L210" s="13"/>
      <c r="M210" s="13"/>
      <c r="N210" s="12"/>
      <c r="O210" s="12"/>
      <c r="P210" s="8" t="s">
        <v>35</v>
      </c>
    </row>
    <row r="211" spans="1:16" ht="24" customHeight="1" x14ac:dyDescent="0.25">
      <c r="A211" s="5">
        <v>50</v>
      </c>
      <c r="B211" s="9">
        <v>0.45624999999999999</v>
      </c>
      <c r="C211" s="5" t="s">
        <v>20</v>
      </c>
      <c r="D211" s="5">
        <v>8</v>
      </c>
      <c r="E211" s="15"/>
      <c r="F211" s="15" t="s">
        <v>23</v>
      </c>
      <c r="G211" s="13">
        <v>6220</v>
      </c>
      <c r="H211" s="13">
        <v>17560</v>
      </c>
      <c r="I211" s="13"/>
      <c r="J211" s="13"/>
      <c r="K211" s="13"/>
      <c r="L211" s="13"/>
      <c r="M211" s="13"/>
      <c r="N211" s="12"/>
      <c r="O211" s="12"/>
      <c r="P211" s="8" t="s">
        <v>40</v>
      </c>
    </row>
    <row r="212" spans="1:16" ht="24" customHeight="1" thickBot="1" x14ac:dyDescent="0.3">
      <c r="A212" s="11"/>
      <c r="B212" s="9"/>
      <c r="C212" s="5"/>
      <c r="D212" s="5"/>
      <c r="E212" s="15"/>
      <c r="F212" s="15"/>
      <c r="G212" s="13"/>
      <c r="H212" s="13"/>
      <c r="I212" s="13"/>
      <c r="J212" s="13"/>
      <c r="K212" s="13"/>
      <c r="L212" s="13"/>
      <c r="M212" s="13"/>
      <c r="N212" s="12"/>
      <c r="O212" s="12"/>
      <c r="P212" s="8"/>
    </row>
    <row r="213" spans="1:16" ht="24" customHeight="1" thickBot="1" x14ac:dyDescent="0.3">
      <c r="A213" s="11"/>
      <c r="B213" s="9"/>
      <c r="C213" s="5"/>
      <c r="D213" s="5"/>
      <c r="E213" s="15"/>
      <c r="F213" s="15"/>
      <c r="G213" s="13"/>
      <c r="H213" s="13"/>
      <c r="I213" s="13"/>
      <c r="J213" s="13"/>
      <c r="K213" s="13"/>
      <c r="L213" s="13"/>
      <c r="M213" s="13"/>
      <c r="N213" s="12"/>
      <c r="O213" s="12"/>
      <c r="P213" s="8"/>
    </row>
    <row r="214" spans="1:16" ht="24" customHeight="1" thickBot="1" x14ac:dyDescent="0.3">
      <c r="A214" s="11"/>
      <c r="B214" s="9"/>
      <c r="C214" s="5"/>
      <c r="D214" s="5"/>
      <c r="E214" s="15"/>
      <c r="F214" s="15"/>
      <c r="G214" s="13"/>
      <c r="H214" s="13"/>
      <c r="I214" s="13"/>
      <c r="J214" s="13"/>
      <c r="K214" s="13"/>
      <c r="L214" s="13"/>
      <c r="M214" s="13"/>
      <c r="N214" s="12"/>
      <c r="O214" s="12"/>
      <c r="P214" s="8"/>
    </row>
    <row r="215" spans="1:16" ht="24" customHeight="1" thickBot="1" x14ac:dyDescent="0.3">
      <c r="A215" s="11"/>
      <c r="B215" s="9"/>
      <c r="C215" s="5"/>
      <c r="D215" s="5"/>
      <c r="E215" s="15"/>
      <c r="F215" s="15"/>
      <c r="G215" s="13"/>
      <c r="H215" s="13"/>
      <c r="I215" s="13"/>
      <c r="J215" s="13"/>
      <c r="K215" s="13"/>
      <c r="L215" s="13"/>
      <c r="M215" s="13"/>
      <c r="N215" s="12"/>
      <c r="O215" s="12"/>
      <c r="P215" s="8"/>
    </row>
    <row r="216" spans="1:16" ht="24" customHeight="1" thickBot="1" x14ac:dyDescent="0.3">
      <c r="A216" s="11"/>
      <c r="B216" s="9"/>
      <c r="C216" s="5"/>
      <c r="D216" s="5"/>
      <c r="E216" s="15"/>
      <c r="F216" s="15"/>
      <c r="G216" s="13"/>
      <c r="H216" s="13"/>
      <c r="I216" s="13"/>
      <c r="J216" s="13"/>
      <c r="K216" s="13"/>
      <c r="L216" s="13"/>
      <c r="M216" s="13"/>
      <c r="N216" s="12"/>
      <c r="O216" s="12"/>
      <c r="P216" s="8"/>
    </row>
    <row r="217" spans="1:16" ht="24" customHeight="1" thickBot="1" x14ac:dyDescent="0.3">
      <c r="A217" s="11"/>
      <c r="B217" s="9"/>
      <c r="C217" s="5"/>
      <c r="D217" s="5"/>
      <c r="E217" s="15"/>
      <c r="F217" s="15"/>
      <c r="G217" s="13"/>
      <c r="H217" s="13"/>
      <c r="I217" s="13"/>
      <c r="J217" s="13"/>
      <c r="K217" s="13"/>
      <c r="L217" s="13"/>
      <c r="M217" s="13"/>
      <c r="N217" s="12"/>
      <c r="O217" s="12"/>
      <c r="P217" s="8"/>
    </row>
    <row r="218" spans="1:16" ht="24" customHeight="1" thickBot="1" x14ac:dyDescent="0.3">
      <c r="A218" s="11"/>
      <c r="B218" s="9"/>
      <c r="C218" s="5"/>
      <c r="D218" s="5"/>
      <c r="E218" s="15"/>
      <c r="F218" s="15"/>
      <c r="G218" s="13"/>
      <c r="H218" s="13"/>
      <c r="I218" s="13"/>
      <c r="J218" s="13"/>
      <c r="K218" s="13"/>
      <c r="L218" s="13"/>
      <c r="M218" s="13"/>
      <c r="N218" s="12"/>
      <c r="O218" s="12"/>
      <c r="P218" s="8"/>
    </row>
    <row r="219" spans="1:16" ht="24" customHeight="1" thickBot="1" x14ac:dyDescent="0.3">
      <c r="A219" s="11"/>
      <c r="B219" s="9"/>
      <c r="C219" s="5"/>
      <c r="D219" s="5"/>
      <c r="E219" s="15"/>
      <c r="F219" s="15"/>
      <c r="G219" s="13"/>
      <c r="H219" s="13"/>
      <c r="I219" s="13"/>
      <c r="J219" s="13"/>
      <c r="K219" s="13"/>
      <c r="L219" s="13"/>
      <c r="M219" s="13"/>
      <c r="N219" s="12"/>
      <c r="O219" s="12"/>
      <c r="P219" s="8"/>
    </row>
    <row r="220" spans="1:16" ht="24" customHeight="1" thickBot="1" x14ac:dyDescent="0.3">
      <c r="A220" s="11"/>
      <c r="B220" s="9"/>
      <c r="C220" s="5"/>
      <c r="D220" s="5"/>
      <c r="E220" s="15"/>
      <c r="F220" s="15"/>
      <c r="G220" s="13"/>
      <c r="H220" s="13"/>
      <c r="I220" s="13"/>
      <c r="J220" s="13"/>
      <c r="K220" s="13"/>
      <c r="L220" s="13"/>
      <c r="M220" s="13"/>
      <c r="N220" s="12"/>
      <c r="O220" s="12"/>
      <c r="P220" s="8"/>
    </row>
    <row r="221" spans="1:16" ht="24" customHeight="1" thickBot="1" x14ac:dyDescent="0.3">
      <c r="A221" s="11"/>
      <c r="B221" s="9"/>
      <c r="C221" s="5"/>
      <c r="D221" s="5"/>
      <c r="E221" s="15"/>
      <c r="F221" s="15"/>
      <c r="G221" s="13"/>
      <c r="H221" s="13"/>
      <c r="I221" s="13"/>
      <c r="J221" s="13"/>
      <c r="K221" s="13"/>
      <c r="L221" s="13"/>
      <c r="M221" s="13"/>
      <c r="N221" s="12"/>
      <c r="O221" s="12"/>
      <c r="P221" s="8"/>
    </row>
    <row r="222" spans="1:16" ht="24" customHeight="1" thickBot="1" x14ac:dyDescent="0.3">
      <c r="A222" s="11"/>
      <c r="B222" s="9"/>
      <c r="C222" s="5"/>
      <c r="D222" s="5"/>
      <c r="E222" s="15"/>
      <c r="F222" s="15"/>
      <c r="G222" s="13"/>
      <c r="H222" s="13"/>
      <c r="I222" s="13"/>
      <c r="J222" s="13"/>
      <c r="K222" s="13"/>
      <c r="L222" s="13"/>
      <c r="M222" s="13"/>
      <c r="N222" s="12"/>
      <c r="O222" s="12"/>
      <c r="P222" s="8"/>
    </row>
    <row r="223" spans="1:16" ht="24" customHeight="1" thickBot="1" x14ac:dyDescent="0.3">
      <c r="A223" s="11"/>
      <c r="B223" s="9"/>
      <c r="C223" s="5"/>
      <c r="D223" s="5"/>
      <c r="E223" s="15"/>
      <c r="F223" s="15"/>
      <c r="G223" s="13"/>
      <c r="H223" s="13"/>
      <c r="I223" s="13"/>
      <c r="J223" s="13"/>
      <c r="K223" s="13"/>
      <c r="L223" s="13"/>
      <c r="M223" s="13"/>
      <c r="N223" s="12"/>
      <c r="O223" s="12"/>
      <c r="P223" s="8"/>
    </row>
    <row r="224" spans="1:16" ht="24" customHeight="1" thickBot="1" x14ac:dyDescent="0.3">
      <c r="A224" s="11"/>
      <c r="B224" s="9"/>
      <c r="C224" s="5"/>
      <c r="D224" s="5"/>
      <c r="E224" s="15"/>
      <c r="F224" s="15"/>
      <c r="G224" s="13"/>
      <c r="H224" s="13"/>
      <c r="I224" s="13"/>
      <c r="J224" s="13"/>
      <c r="K224" s="13"/>
      <c r="L224" s="13"/>
      <c r="M224" s="13"/>
      <c r="N224" s="12"/>
      <c r="O224" s="12"/>
      <c r="P224" s="8"/>
    </row>
    <row r="225" spans="1:16" ht="24" customHeight="1" thickBot="1" x14ac:dyDescent="0.3">
      <c r="A225" s="11"/>
      <c r="B225" s="9"/>
      <c r="C225" s="5"/>
      <c r="D225" s="5"/>
      <c r="E225" s="15"/>
      <c r="F225" s="15"/>
      <c r="G225" s="13"/>
      <c r="H225" s="13"/>
      <c r="I225" s="13"/>
      <c r="J225" s="13"/>
      <c r="K225" s="13"/>
      <c r="L225" s="13"/>
      <c r="M225" s="13"/>
      <c r="N225" s="12"/>
      <c r="O225" s="12"/>
      <c r="P225" s="8"/>
    </row>
    <row r="226" spans="1:16" ht="24" customHeight="1" thickBot="1" x14ac:dyDescent="0.3">
      <c r="A226" s="11"/>
      <c r="B226" s="9"/>
      <c r="C226" s="5"/>
      <c r="D226" s="5"/>
      <c r="E226" s="15"/>
      <c r="F226" s="15"/>
      <c r="G226" s="13"/>
      <c r="H226" s="13"/>
      <c r="I226" s="13"/>
      <c r="J226" s="13"/>
      <c r="K226" s="13"/>
      <c r="L226" s="13"/>
      <c r="M226" s="13"/>
      <c r="N226" s="12"/>
      <c r="O226" s="12"/>
      <c r="P226" s="8"/>
    </row>
    <row r="227" spans="1:16" ht="24" customHeight="1" thickBot="1" x14ac:dyDescent="0.3">
      <c r="A227" s="11"/>
      <c r="B227" s="9"/>
      <c r="C227" s="5"/>
      <c r="D227" s="5"/>
      <c r="E227" s="15"/>
      <c r="F227" s="15"/>
      <c r="G227" s="13"/>
      <c r="H227" s="13"/>
      <c r="I227" s="13"/>
      <c r="J227" s="13"/>
      <c r="K227" s="13"/>
      <c r="L227" s="13"/>
      <c r="M227" s="13"/>
      <c r="N227" s="12"/>
      <c r="O227" s="12"/>
      <c r="P227" s="8"/>
    </row>
    <row r="228" spans="1:16" ht="24" customHeight="1" thickBot="1" x14ac:dyDescent="0.3">
      <c r="A228" s="11"/>
      <c r="B228" s="9"/>
      <c r="C228" s="5"/>
      <c r="D228" s="5"/>
      <c r="E228" s="15"/>
      <c r="F228" s="15"/>
      <c r="G228" s="13"/>
      <c r="H228" s="13"/>
      <c r="I228" s="13"/>
      <c r="J228" s="13"/>
      <c r="K228" s="13"/>
      <c r="L228" s="13"/>
      <c r="M228" s="13"/>
      <c r="N228" s="12"/>
      <c r="O228" s="12"/>
      <c r="P228" s="8"/>
    </row>
    <row r="229" spans="1:16" ht="24" customHeight="1" thickBot="1" x14ac:dyDescent="0.3">
      <c r="A229" s="11"/>
      <c r="B229" s="9"/>
      <c r="C229" s="5"/>
      <c r="D229" s="5"/>
      <c r="E229" s="15"/>
      <c r="F229" s="15"/>
      <c r="G229" s="13"/>
      <c r="H229" s="13"/>
      <c r="I229" s="13"/>
      <c r="J229" s="13"/>
      <c r="K229" s="13"/>
      <c r="L229" s="13"/>
      <c r="M229" s="13"/>
      <c r="N229" s="12"/>
      <c r="O229" s="12"/>
      <c r="P229" s="8"/>
    </row>
    <row r="230" spans="1:16" ht="24" customHeight="1" thickBot="1" x14ac:dyDescent="0.3">
      <c r="A230" s="11"/>
      <c r="B230" s="9"/>
      <c r="C230" s="5"/>
      <c r="D230" s="5"/>
      <c r="E230" s="15"/>
      <c r="F230" s="15"/>
      <c r="G230" s="13"/>
      <c r="H230" s="13"/>
      <c r="I230" s="13"/>
      <c r="J230" s="13"/>
      <c r="K230" s="13"/>
      <c r="L230" s="13"/>
      <c r="M230" s="13"/>
      <c r="N230" s="12"/>
      <c r="O230" s="12"/>
      <c r="P230" s="8"/>
    </row>
    <row r="231" spans="1:16" ht="24" customHeight="1" thickBot="1" x14ac:dyDescent="0.3">
      <c r="A231" s="11"/>
      <c r="B231" s="9"/>
      <c r="C231" s="5"/>
      <c r="D231" s="5"/>
      <c r="E231" s="15"/>
      <c r="F231" s="15"/>
      <c r="G231" s="13"/>
      <c r="H231" s="13"/>
      <c r="I231" s="13"/>
      <c r="J231" s="13"/>
      <c r="K231" s="13"/>
      <c r="L231" s="13"/>
      <c r="M231" s="13"/>
      <c r="N231" s="12"/>
      <c r="O231" s="12"/>
      <c r="P231" s="8"/>
    </row>
    <row r="232" spans="1:16" ht="24" customHeight="1" thickBot="1" x14ac:dyDescent="0.3">
      <c r="A232" s="11"/>
      <c r="B232" s="9"/>
      <c r="C232" s="5"/>
      <c r="D232" s="5"/>
      <c r="E232" s="15"/>
      <c r="F232" s="15"/>
      <c r="G232" s="13"/>
      <c r="H232" s="13"/>
      <c r="I232" s="13"/>
      <c r="J232" s="13"/>
      <c r="K232" s="13"/>
      <c r="L232" s="13"/>
      <c r="M232" s="13"/>
      <c r="N232" s="12"/>
      <c r="O232" s="12"/>
      <c r="P232" s="8"/>
    </row>
    <row r="233" spans="1:16" ht="24" customHeight="1" thickBot="1" x14ac:dyDescent="0.3">
      <c r="A233" s="11"/>
      <c r="B233" s="9"/>
      <c r="C233" s="5"/>
      <c r="D233" s="5"/>
      <c r="E233" s="15"/>
      <c r="F233" s="15"/>
      <c r="G233" s="13"/>
      <c r="H233" s="13"/>
      <c r="I233" s="13"/>
      <c r="J233" s="13"/>
      <c r="K233" s="13"/>
      <c r="L233" s="13"/>
      <c r="M233" s="13"/>
      <c r="N233" s="12"/>
      <c r="O233" s="12"/>
      <c r="P233" s="8"/>
    </row>
    <row r="234" spans="1:16" ht="24" customHeight="1" thickBot="1" x14ac:dyDescent="0.3">
      <c r="A234" s="11"/>
      <c r="B234" s="9"/>
      <c r="C234" s="5"/>
      <c r="D234" s="5"/>
      <c r="E234" s="15"/>
      <c r="F234" s="15"/>
      <c r="G234" s="13"/>
      <c r="H234" s="13"/>
      <c r="I234" s="13"/>
      <c r="J234" s="13"/>
      <c r="K234" s="13"/>
      <c r="L234" s="13"/>
      <c r="M234" s="13"/>
      <c r="N234" s="12"/>
      <c r="O234" s="12"/>
      <c r="P234" s="8"/>
    </row>
    <row r="235" spans="1:16" ht="24" customHeight="1" thickBot="1" x14ac:dyDescent="0.3">
      <c r="A235" s="11"/>
      <c r="B235" s="9"/>
      <c r="C235" s="5"/>
      <c r="D235" s="5"/>
      <c r="E235" s="15"/>
      <c r="F235" s="15"/>
      <c r="G235" s="13"/>
      <c r="H235" s="13"/>
      <c r="I235" s="13"/>
      <c r="J235" s="13"/>
      <c r="K235" s="13"/>
      <c r="L235" s="13"/>
      <c r="M235" s="13"/>
      <c r="N235" s="12"/>
      <c r="O235" s="12"/>
      <c r="P235" s="8"/>
    </row>
    <row r="236" spans="1:16" ht="24" customHeight="1" thickBot="1" x14ac:dyDescent="0.3">
      <c r="A236" s="11"/>
      <c r="B236" s="9"/>
      <c r="C236" s="5"/>
      <c r="D236" s="5"/>
      <c r="E236" s="15"/>
      <c r="F236" s="15"/>
      <c r="G236" s="13"/>
      <c r="H236" s="13"/>
      <c r="I236" s="13"/>
      <c r="J236" s="13"/>
      <c r="K236" s="13"/>
      <c r="L236" s="13"/>
      <c r="M236" s="13"/>
      <c r="N236" s="12"/>
      <c r="O236" s="12"/>
      <c r="P236" s="8"/>
    </row>
    <row r="237" spans="1:16" ht="24" customHeight="1" thickBot="1" x14ac:dyDescent="0.3">
      <c r="A237" s="11"/>
      <c r="B237" s="9"/>
      <c r="C237" s="5"/>
      <c r="D237" s="5"/>
      <c r="E237" s="15"/>
      <c r="F237" s="15"/>
      <c r="G237" s="13"/>
      <c r="H237" s="13"/>
      <c r="I237" s="13"/>
      <c r="J237" s="13"/>
      <c r="K237" s="13"/>
      <c r="L237" s="13"/>
      <c r="M237" s="13"/>
      <c r="N237" s="12"/>
      <c r="O237" s="12"/>
      <c r="P237" s="8"/>
    </row>
    <row r="238" spans="1:16" ht="24" customHeight="1" thickBot="1" x14ac:dyDescent="0.3">
      <c r="A238" s="11"/>
      <c r="B238" s="9"/>
      <c r="C238" s="5"/>
      <c r="D238" s="5"/>
      <c r="E238" s="15"/>
      <c r="F238" s="15"/>
      <c r="G238" s="13"/>
      <c r="H238" s="13"/>
      <c r="I238" s="13"/>
      <c r="J238" s="13"/>
      <c r="K238" s="13"/>
      <c r="L238" s="13"/>
      <c r="M238" s="13"/>
      <c r="N238" s="12"/>
      <c r="O238" s="12"/>
      <c r="P238" s="8"/>
    </row>
    <row r="239" spans="1:16" ht="24" customHeight="1" thickBot="1" x14ac:dyDescent="0.3">
      <c r="A239" s="11"/>
      <c r="B239" s="9"/>
      <c r="C239" s="5"/>
      <c r="D239" s="5"/>
      <c r="E239" s="15"/>
      <c r="F239" s="15"/>
      <c r="G239" s="13"/>
      <c r="H239" s="13"/>
      <c r="I239" s="13"/>
      <c r="J239" s="13"/>
      <c r="K239" s="13"/>
      <c r="L239" s="13"/>
      <c r="M239" s="13"/>
      <c r="N239" s="12"/>
      <c r="O239" s="12"/>
      <c r="P239" s="8"/>
    </row>
    <row r="240" spans="1:16" ht="24" customHeight="1" thickBot="1" x14ac:dyDescent="0.3">
      <c r="A240" s="11"/>
      <c r="B240" s="9"/>
      <c r="C240" s="5"/>
      <c r="D240" s="5"/>
      <c r="E240" s="15"/>
      <c r="F240" s="15"/>
      <c r="G240" s="13"/>
      <c r="H240" s="13"/>
      <c r="I240" s="13"/>
      <c r="J240" s="13"/>
      <c r="K240" s="13"/>
      <c r="L240" s="13"/>
      <c r="M240" s="13"/>
      <c r="N240" s="12"/>
      <c r="O240" s="12"/>
      <c r="P240" s="8"/>
    </row>
    <row r="241" spans="1:16" ht="24" customHeight="1" thickBot="1" x14ac:dyDescent="0.3">
      <c r="A241" s="11"/>
      <c r="B241" s="9"/>
      <c r="C241" s="5"/>
      <c r="D241" s="5"/>
      <c r="E241" s="15"/>
      <c r="F241" s="15"/>
      <c r="G241" s="13"/>
      <c r="H241" s="13"/>
      <c r="I241" s="13"/>
      <c r="J241" s="13"/>
      <c r="K241" s="13"/>
      <c r="L241" s="13"/>
      <c r="M241" s="13"/>
      <c r="N241" s="12"/>
      <c r="O241" s="12"/>
      <c r="P241" s="8"/>
    </row>
    <row r="242" spans="1:16" ht="24" customHeight="1" thickBot="1" x14ac:dyDescent="0.3">
      <c r="A242" s="11"/>
      <c r="B242" s="9"/>
      <c r="C242" s="5"/>
      <c r="D242" s="5"/>
      <c r="E242" s="15"/>
      <c r="F242" s="15"/>
      <c r="G242" s="13"/>
      <c r="H242" s="13"/>
      <c r="I242" s="13"/>
      <c r="J242" s="13"/>
      <c r="K242" s="13"/>
      <c r="L242" s="13"/>
      <c r="M242" s="13"/>
      <c r="N242" s="12"/>
      <c r="O242" s="12"/>
      <c r="P242" s="8"/>
    </row>
    <row r="243" spans="1:16" ht="24" customHeight="1" thickBot="1" x14ac:dyDescent="0.3">
      <c r="A243" s="11"/>
      <c r="B243" s="9"/>
      <c r="C243" s="5"/>
      <c r="D243" s="5"/>
      <c r="E243" s="15"/>
      <c r="F243" s="15"/>
      <c r="G243" s="13"/>
      <c r="H243" s="13"/>
      <c r="I243" s="13"/>
      <c r="J243" s="13"/>
      <c r="K243" s="13"/>
      <c r="L243" s="13"/>
      <c r="M243" s="13"/>
      <c r="N243" s="12"/>
      <c r="O243" s="12"/>
      <c r="P243" s="8"/>
    </row>
    <row r="244" spans="1:16" ht="24" customHeight="1" thickBot="1" x14ac:dyDescent="0.3">
      <c r="A244" s="11"/>
      <c r="B244" s="9"/>
      <c r="C244" s="5"/>
      <c r="D244" s="5"/>
      <c r="E244" s="15"/>
      <c r="F244" s="15"/>
      <c r="G244" s="13"/>
      <c r="H244" s="13"/>
      <c r="I244" s="13"/>
      <c r="J244" s="13"/>
      <c r="K244" s="13"/>
      <c r="L244" s="13"/>
      <c r="M244" s="13"/>
      <c r="N244" s="12"/>
      <c r="O244" s="12"/>
      <c r="P244" s="8"/>
    </row>
    <row r="245" spans="1:16" ht="24" customHeight="1" thickBot="1" x14ac:dyDescent="0.3">
      <c r="A245" s="11"/>
      <c r="B245" s="9"/>
      <c r="C245" s="5"/>
      <c r="D245" s="5"/>
      <c r="E245" s="15"/>
      <c r="F245" s="15"/>
      <c r="G245" s="13"/>
      <c r="H245" s="13"/>
      <c r="I245" s="13"/>
      <c r="J245" s="13"/>
      <c r="K245" s="13"/>
      <c r="L245" s="13"/>
      <c r="M245" s="13"/>
      <c r="N245" s="12"/>
      <c r="O245" s="12"/>
      <c r="P245" s="8"/>
    </row>
    <row r="246" spans="1:16" ht="24" customHeight="1" thickBot="1" x14ac:dyDescent="0.3">
      <c r="A246" s="11"/>
      <c r="B246" s="9"/>
      <c r="C246" s="5"/>
      <c r="D246" s="5"/>
      <c r="E246" s="15"/>
      <c r="F246" s="15"/>
      <c r="G246" s="13"/>
      <c r="H246" s="13"/>
      <c r="I246" s="13"/>
      <c r="J246" s="13"/>
      <c r="K246" s="13"/>
      <c r="L246" s="13"/>
      <c r="M246" s="13"/>
      <c r="N246" s="12"/>
      <c r="O246" s="12"/>
      <c r="P246" s="8"/>
    </row>
    <row r="247" spans="1:16" ht="24" customHeight="1" thickBot="1" x14ac:dyDescent="0.3">
      <c r="A247" s="11"/>
      <c r="B247" s="9"/>
      <c r="C247" s="5"/>
      <c r="D247" s="5"/>
      <c r="E247" s="15"/>
      <c r="F247" s="15"/>
      <c r="G247" s="13"/>
      <c r="H247" s="13"/>
      <c r="I247" s="13"/>
      <c r="J247" s="13"/>
      <c r="K247" s="13"/>
      <c r="L247" s="13"/>
      <c r="M247" s="13"/>
      <c r="N247" s="12"/>
      <c r="O247" s="12"/>
      <c r="P247" s="8"/>
    </row>
    <row r="248" spans="1:16" ht="24" customHeight="1" thickBot="1" x14ac:dyDescent="0.3">
      <c r="A248" s="11"/>
      <c r="B248" s="9"/>
      <c r="C248" s="5"/>
      <c r="D248" s="5"/>
      <c r="E248" s="15"/>
      <c r="F248" s="15"/>
      <c r="G248" s="13"/>
      <c r="H248" s="13"/>
      <c r="I248" s="13"/>
      <c r="J248" s="13"/>
      <c r="K248" s="13"/>
      <c r="L248" s="13"/>
      <c r="M248" s="13"/>
      <c r="N248" s="12"/>
      <c r="O248" s="12"/>
      <c r="P248" s="8"/>
    </row>
    <row r="249" spans="1:16" ht="24" customHeight="1" thickBot="1" x14ac:dyDescent="0.3">
      <c r="A249" s="11"/>
      <c r="B249" s="9"/>
      <c r="C249" s="5"/>
      <c r="D249" s="5"/>
      <c r="E249" s="15"/>
      <c r="F249" s="15"/>
      <c r="G249" s="13"/>
      <c r="H249" s="13"/>
      <c r="I249" s="13"/>
      <c r="J249" s="13"/>
      <c r="K249" s="13"/>
      <c r="L249" s="13"/>
      <c r="M249" s="13"/>
      <c r="N249" s="12"/>
      <c r="O249" s="12"/>
      <c r="P249" s="8"/>
    </row>
    <row r="250" spans="1:16" ht="24" customHeight="1" thickBot="1" x14ac:dyDescent="0.3">
      <c r="A250" s="11"/>
      <c r="B250" s="9"/>
      <c r="C250" s="5"/>
      <c r="D250" s="5"/>
      <c r="E250" s="15"/>
      <c r="F250" s="15"/>
      <c r="G250" s="13"/>
      <c r="H250" s="13"/>
      <c r="I250" s="13"/>
      <c r="J250" s="13"/>
      <c r="K250" s="13"/>
      <c r="L250" s="13"/>
      <c r="M250" s="13"/>
      <c r="N250" s="12"/>
      <c r="O250" s="12"/>
      <c r="P250" s="8"/>
    </row>
    <row r="251" spans="1:16" ht="24" customHeight="1" thickBot="1" x14ac:dyDescent="0.3">
      <c r="A251" s="11"/>
      <c r="B251" s="9"/>
      <c r="C251" s="5"/>
      <c r="D251" s="5"/>
      <c r="E251" s="15"/>
      <c r="F251" s="15"/>
      <c r="G251" s="13"/>
      <c r="H251" s="13"/>
      <c r="I251" s="13"/>
      <c r="J251" s="13"/>
      <c r="K251" s="13"/>
      <c r="L251" s="13"/>
      <c r="M251" s="13"/>
      <c r="N251" s="12"/>
      <c r="O251" s="12"/>
      <c r="P251" s="8"/>
    </row>
    <row r="252" spans="1:16" ht="24" customHeight="1" thickBot="1" x14ac:dyDescent="0.3">
      <c r="A252" s="11"/>
      <c r="B252" s="9"/>
      <c r="C252" s="5"/>
      <c r="D252" s="5"/>
      <c r="E252" s="15"/>
      <c r="F252" s="15"/>
      <c r="G252" s="13"/>
      <c r="H252" s="13"/>
      <c r="I252" s="13"/>
      <c r="J252" s="13"/>
      <c r="K252" s="13"/>
      <c r="L252" s="13"/>
      <c r="M252" s="13"/>
      <c r="N252" s="12"/>
      <c r="O252" s="12"/>
      <c r="P252" s="8"/>
    </row>
    <row r="253" spans="1:16" ht="24" customHeight="1" thickBot="1" x14ac:dyDescent="0.3">
      <c r="A253" s="11"/>
      <c r="B253" s="9"/>
      <c r="C253" s="5"/>
      <c r="D253" s="5"/>
      <c r="E253" s="15"/>
      <c r="F253" s="15"/>
      <c r="G253" s="13"/>
      <c r="H253" s="13"/>
      <c r="I253" s="13"/>
      <c r="J253" s="13"/>
      <c r="K253" s="13"/>
      <c r="L253" s="13"/>
      <c r="M253" s="13"/>
      <c r="N253" s="12"/>
      <c r="O253" s="12"/>
      <c r="P253" s="8"/>
    </row>
    <row r="254" spans="1:16" ht="24" customHeight="1" thickBot="1" x14ac:dyDescent="0.3">
      <c r="A254" s="11"/>
      <c r="B254" s="9"/>
      <c r="C254" s="5"/>
      <c r="D254" s="5"/>
      <c r="E254" s="15"/>
      <c r="F254" s="15"/>
      <c r="G254" s="13"/>
      <c r="H254" s="13"/>
      <c r="I254" s="13"/>
      <c r="J254" s="13"/>
      <c r="K254" s="13"/>
      <c r="L254" s="13"/>
      <c r="M254" s="13"/>
      <c r="N254" s="12"/>
      <c r="O254" s="12"/>
      <c r="P254" s="8"/>
    </row>
    <row r="255" spans="1:16" ht="24" customHeight="1" thickBot="1" x14ac:dyDescent="0.3">
      <c r="A255" s="11"/>
      <c r="B255" s="9"/>
      <c r="C255" s="5"/>
      <c r="D255" s="5"/>
      <c r="E255" s="15"/>
      <c r="F255" s="15"/>
      <c r="G255" s="13"/>
      <c r="H255" s="13"/>
      <c r="I255" s="13"/>
      <c r="J255" s="13"/>
      <c r="K255" s="13"/>
      <c r="L255" s="13"/>
      <c r="M255" s="13"/>
      <c r="N255" s="12"/>
      <c r="O255" s="12"/>
      <c r="P255" s="8"/>
    </row>
    <row r="256" spans="1:16" ht="24" customHeight="1" thickBot="1" x14ac:dyDescent="0.3">
      <c r="A256" s="11"/>
      <c r="B256" s="9"/>
      <c r="C256" s="5"/>
      <c r="D256" s="5"/>
      <c r="E256" s="15"/>
      <c r="F256" s="15"/>
      <c r="G256" s="13"/>
      <c r="H256" s="13"/>
      <c r="I256" s="13"/>
      <c r="J256" s="13"/>
      <c r="K256" s="13"/>
      <c r="L256" s="13"/>
      <c r="M256" s="13"/>
      <c r="N256" s="12"/>
      <c r="O256" s="12"/>
      <c r="P256" s="8"/>
    </row>
    <row r="257" spans="1:16" ht="24" customHeight="1" thickBot="1" x14ac:dyDescent="0.3">
      <c r="A257" s="11"/>
      <c r="B257" s="9"/>
      <c r="C257" s="5"/>
      <c r="D257" s="5"/>
      <c r="E257" s="15"/>
      <c r="F257" s="15"/>
      <c r="G257" s="13"/>
      <c r="H257" s="13"/>
      <c r="I257" s="13"/>
      <c r="J257" s="13"/>
      <c r="K257" s="13"/>
      <c r="L257" s="13"/>
      <c r="M257" s="13"/>
      <c r="N257" s="12"/>
      <c r="O257" s="12"/>
      <c r="P257" s="8"/>
    </row>
    <row r="258" spans="1:16" ht="24" customHeight="1" thickBot="1" x14ac:dyDescent="0.3">
      <c r="A258" s="11"/>
      <c r="B258" s="9"/>
      <c r="C258" s="5"/>
      <c r="D258" s="5"/>
      <c r="E258" s="15"/>
      <c r="F258" s="15"/>
      <c r="G258" s="13"/>
      <c r="H258" s="13"/>
      <c r="I258" s="13"/>
      <c r="J258" s="13"/>
      <c r="K258" s="13"/>
      <c r="L258" s="13"/>
      <c r="M258" s="13"/>
      <c r="N258" s="12"/>
      <c r="O258" s="12"/>
      <c r="P258" s="8"/>
    </row>
    <row r="259" spans="1:16" ht="24" customHeight="1" thickBot="1" x14ac:dyDescent="0.3">
      <c r="A259" s="11"/>
      <c r="B259" s="9"/>
      <c r="C259" s="5"/>
      <c r="D259" s="5"/>
      <c r="E259" s="15"/>
      <c r="F259" s="15"/>
      <c r="G259" s="13"/>
      <c r="H259" s="13"/>
      <c r="I259" s="13"/>
      <c r="J259" s="13"/>
      <c r="K259" s="13"/>
      <c r="L259" s="13"/>
      <c r="M259" s="13"/>
      <c r="N259" s="12"/>
      <c r="O259" s="12"/>
      <c r="P259" s="8"/>
    </row>
    <row r="260" spans="1:16" ht="24" customHeight="1" thickBot="1" x14ac:dyDescent="0.3">
      <c r="A260" s="11"/>
      <c r="B260" s="9"/>
      <c r="C260" s="5"/>
      <c r="D260" s="5"/>
      <c r="E260" s="15"/>
      <c r="F260" s="15"/>
      <c r="G260" s="13"/>
      <c r="H260" s="13"/>
      <c r="I260" s="13"/>
      <c r="J260" s="13"/>
      <c r="K260" s="13"/>
      <c r="L260" s="13"/>
      <c r="M260" s="13"/>
      <c r="N260" s="12"/>
      <c r="O260" s="12"/>
      <c r="P260" s="8"/>
    </row>
    <row r="261" spans="1:16" ht="24" customHeight="1" thickBot="1" x14ac:dyDescent="0.3">
      <c r="A261" s="11"/>
      <c r="B261" s="9"/>
      <c r="C261" s="5"/>
      <c r="D261" s="5"/>
      <c r="E261" s="15"/>
      <c r="F261" s="15"/>
      <c r="G261" s="13"/>
      <c r="H261" s="13"/>
      <c r="I261" s="13"/>
      <c r="J261" s="13"/>
      <c r="K261" s="13"/>
      <c r="L261" s="13"/>
      <c r="M261" s="13"/>
      <c r="N261" s="12"/>
      <c r="O261" s="12"/>
      <c r="P261" s="8"/>
    </row>
    <row r="262" spans="1:16" ht="24" customHeight="1" thickBot="1" x14ac:dyDescent="0.3">
      <c r="A262" s="11"/>
      <c r="B262" s="9"/>
      <c r="C262" s="5"/>
      <c r="D262" s="5"/>
      <c r="E262" s="15"/>
      <c r="F262" s="15"/>
      <c r="G262" s="13"/>
      <c r="H262" s="13"/>
      <c r="I262" s="13"/>
      <c r="J262" s="13"/>
      <c r="K262" s="13"/>
      <c r="L262" s="13"/>
      <c r="M262" s="13"/>
      <c r="N262" s="12"/>
      <c r="O262" s="12"/>
      <c r="P262" s="8"/>
    </row>
    <row r="263" spans="1:16" ht="24" customHeight="1" thickBot="1" x14ac:dyDescent="0.3">
      <c r="A263" s="11"/>
      <c r="B263" s="9"/>
      <c r="C263" s="5"/>
      <c r="D263" s="5"/>
      <c r="E263" s="15"/>
      <c r="F263" s="15"/>
      <c r="G263" s="13"/>
      <c r="H263" s="13"/>
      <c r="I263" s="13"/>
      <c r="J263" s="13"/>
      <c r="K263" s="13"/>
      <c r="L263" s="13"/>
      <c r="M263" s="13"/>
      <c r="N263" s="12"/>
      <c r="O263" s="12"/>
      <c r="P263" s="8"/>
    </row>
    <row r="264" spans="1:16" ht="24" customHeight="1" thickBot="1" x14ac:dyDescent="0.3">
      <c r="A264" s="11"/>
      <c r="B264" s="9"/>
      <c r="C264" s="5"/>
      <c r="D264" s="5"/>
      <c r="E264" s="15"/>
      <c r="F264" s="15"/>
      <c r="G264" s="13"/>
      <c r="H264" s="13"/>
      <c r="I264" s="13"/>
      <c r="J264" s="13"/>
      <c r="K264" s="13"/>
      <c r="L264" s="13"/>
      <c r="M264" s="13"/>
      <c r="N264" s="12"/>
      <c r="O264" s="12"/>
      <c r="P264" s="8"/>
    </row>
    <row r="265" spans="1:16" ht="24" customHeight="1" thickBot="1" x14ac:dyDescent="0.3">
      <c r="A265" s="11"/>
      <c r="B265" s="9"/>
      <c r="C265" s="5"/>
      <c r="D265" s="5"/>
      <c r="E265" s="15"/>
      <c r="F265" s="15"/>
      <c r="G265" s="13"/>
      <c r="H265" s="13"/>
      <c r="I265" s="13"/>
      <c r="J265" s="13"/>
      <c r="K265" s="13"/>
      <c r="L265" s="13"/>
      <c r="M265" s="13"/>
      <c r="N265" s="12"/>
      <c r="O265" s="12"/>
      <c r="P265" s="8"/>
    </row>
    <row r="266" spans="1:16" ht="24" customHeight="1" thickBot="1" x14ac:dyDescent="0.3">
      <c r="A266" s="11"/>
      <c r="B266" s="9"/>
      <c r="C266" s="5"/>
      <c r="D266" s="5"/>
      <c r="E266" s="15"/>
      <c r="F266" s="15"/>
      <c r="G266" s="13"/>
      <c r="H266" s="13"/>
      <c r="I266" s="13"/>
      <c r="J266" s="13"/>
      <c r="K266" s="13"/>
      <c r="L266" s="13"/>
      <c r="M266" s="13"/>
      <c r="N266" s="12"/>
      <c r="O266" s="12"/>
      <c r="P266" s="8"/>
    </row>
    <row r="267" spans="1:16" ht="24" customHeight="1" thickBot="1" x14ac:dyDescent="0.3">
      <c r="A267" s="11"/>
      <c r="B267" s="9"/>
      <c r="C267" s="5"/>
      <c r="D267" s="5"/>
      <c r="E267" s="15"/>
      <c r="F267" s="15"/>
      <c r="G267" s="13"/>
      <c r="H267" s="13"/>
      <c r="I267" s="13"/>
      <c r="J267" s="13"/>
      <c r="K267" s="13"/>
      <c r="L267" s="13"/>
      <c r="M267" s="13"/>
      <c r="N267" s="12"/>
      <c r="O267" s="12"/>
      <c r="P267" s="8"/>
    </row>
    <row r="268" spans="1:16" ht="24" customHeight="1" thickBot="1" x14ac:dyDescent="0.3">
      <c r="A268" s="11"/>
      <c r="B268" s="9"/>
      <c r="C268" s="5"/>
      <c r="D268" s="5"/>
      <c r="E268" s="15"/>
      <c r="F268" s="15"/>
      <c r="G268" s="13"/>
      <c r="H268" s="13"/>
      <c r="I268" s="13"/>
      <c r="J268" s="13"/>
      <c r="K268" s="13"/>
      <c r="L268" s="13"/>
      <c r="M268" s="13"/>
      <c r="N268" s="12"/>
      <c r="O268" s="12"/>
      <c r="P268" s="8"/>
    </row>
    <row r="269" spans="1:16" ht="24" customHeight="1" thickBot="1" x14ac:dyDescent="0.3">
      <c r="A269" s="11"/>
      <c r="B269" s="9"/>
      <c r="C269" s="5"/>
      <c r="D269" s="5"/>
      <c r="E269" s="15"/>
      <c r="F269" s="15"/>
      <c r="G269" s="13"/>
      <c r="H269" s="13"/>
      <c r="I269" s="13"/>
      <c r="J269" s="13"/>
      <c r="K269" s="13"/>
      <c r="L269" s="13"/>
      <c r="M269" s="13"/>
      <c r="N269" s="12"/>
      <c r="O269" s="12"/>
      <c r="P269" s="8"/>
    </row>
    <row r="270" spans="1:16" ht="24" customHeight="1" thickBot="1" x14ac:dyDescent="0.3">
      <c r="A270" s="11"/>
      <c r="B270" s="9"/>
      <c r="C270" s="5"/>
      <c r="D270" s="5"/>
      <c r="E270" s="15"/>
      <c r="F270" s="15"/>
      <c r="G270" s="13"/>
      <c r="H270" s="13"/>
      <c r="I270" s="13"/>
      <c r="J270" s="13"/>
      <c r="K270" s="13"/>
      <c r="L270" s="13"/>
      <c r="M270" s="13"/>
      <c r="N270" s="12"/>
      <c r="O270" s="12"/>
      <c r="P270" s="8"/>
    </row>
    <row r="271" spans="1:16" ht="24" customHeight="1" thickBot="1" x14ac:dyDescent="0.3">
      <c r="A271" s="11"/>
      <c r="B271" s="9"/>
      <c r="C271" s="5"/>
      <c r="D271" s="5"/>
      <c r="E271" s="15"/>
      <c r="F271" s="15"/>
      <c r="G271" s="13"/>
      <c r="H271" s="13"/>
      <c r="I271" s="13"/>
      <c r="J271" s="13"/>
      <c r="K271" s="13"/>
      <c r="L271" s="13"/>
      <c r="M271" s="13"/>
      <c r="N271" s="12"/>
      <c r="O271" s="12"/>
      <c r="P271" s="8"/>
    </row>
    <row r="272" spans="1:16" ht="24" customHeight="1" thickBot="1" x14ac:dyDescent="0.3">
      <c r="A272" s="11"/>
      <c r="B272" s="9"/>
      <c r="C272" s="5"/>
      <c r="D272" s="5"/>
      <c r="E272" s="15"/>
      <c r="F272" s="15"/>
      <c r="G272" s="13"/>
      <c r="H272" s="13"/>
      <c r="I272" s="13"/>
      <c r="J272" s="13"/>
      <c r="K272" s="13"/>
      <c r="L272" s="13"/>
      <c r="M272" s="13"/>
      <c r="N272" s="12"/>
      <c r="O272" s="12"/>
      <c r="P272" s="8"/>
    </row>
    <row r="273" spans="1:16" ht="24" customHeight="1" thickBot="1" x14ac:dyDescent="0.3">
      <c r="A273" s="11"/>
      <c r="B273" s="9"/>
      <c r="C273" s="5"/>
      <c r="D273" s="5"/>
      <c r="E273" s="15"/>
      <c r="F273" s="15"/>
      <c r="G273" s="13"/>
      <c r="H273" s="13"/>
      <c r="I273" s="13"/>
      <c r="J273" s="13"/>
      <c r="K273" s="13"/>
      <c r="L273" s="13"/>
      <c r="M273" s="13"/>
      <c r="N273" s="12"/>
      <c r="O273" s="12"/>
      <c r="P273" s="8"/>
    </row>
    <row r="274" spans="1:16" ht="24" customHeight="1" thickBot="1" x14ac:dyDescent="0.3">
      <c r="A274" s="11"/>
      <c r="B274" s="9"/>
      <c r="C274" s="5"/>
      <c r="D274" s="5"/>
      <c r="E274" s="15"/>
      <c r="F274" s="15"/>
      <c r="G274" s="13"/>
      <c r="H274" s="13"/>
      <c r="I274" s="13"/>
      <c r="J274" s="13"/>
      <c r="K274" s="13"/>
      <c r="L274" s="13"/>
      <c r="M274" s="13"/>
      <c r="N274" s="12"/>
      <c r="O274" s="12"/>
      <c r="P274" s="8"/>
    </row>
    <row r="275" spans="1:16" ht="24" customHeight="1" thickBot="1" x14ac:dyDescent="0.3">
      <c r="A275" s="11"/>
      <c r="B275" s="9"/>
      <c r="C275" s="5"/>
      <c r="D275" s="5"/>
      <c r="E275" s="15"/>
      <c r="F275" s="15"/>
      <c r="G275" s="13"/>
      <c r="H275" s="13"/>
      <c r="I275" s="13"/>
      <c r="J275" s="13"/>
      <c r="K275" s="13"/>
      <c r="L275" s="13"/>
      <c r="M275" s="13"/>
      <c r="N275" s="12"/>
      <c r="O275" s="12"/>
      <c r="P275" s="8"/>
    </row>
    <row r="276" spans="1:16" ht="24" customHeight="1" thickBot="1" x14ac:dyDescent="0.3">
      <c r="A276" s="11"/>
      <c r="B276" s="9"/>
      <c r="C276" s="5"/>
      <c r="D276" s="5"/>
      <c r="E276" s="15"/>
      <c r="F276" s="15"/>
      <c r="G276" s="13"/>
      <c r="H276" s="13"/>
      <c r="I276" s="13"/>
      <c r="J276" s="13"/>
      <c r="K276" s="13"/>
      <c r="L276" s="13"/>
      <c r="M276" s="13"/>
      <c r="N276" s="12"/>
      <c r="O276" s="12"/>
      <c r="P276" s="8"/>
    </row>
    <row r="277" spans="1:16" ht="24" customHeight="1" thickBot="1" x14ac:dyDescent="0.3">
      <c r="A277" s="11"/>
      <c r="B277" s="9"/>
      <c r="C277" s="5"/>
      <c r="D277" s="5"/>
      <c r="E277" s="15"/>
      <c r="F277" s="15"/>
      <c r="G277" s="13"/>
      <c r="H277" s="13"/>
      <c r="I277" s="13"/>
      <c r="J277" s="13"/>
      <c r="K277" s="13"/>
      <c r="L277" s="13"/>
      <c r="M277" s="13"/>
      <c r="N277" s="12"/>
      <c r="O277" s="12"/>
      <c r="P277" s="8"/>
    </row>
    <row r="278" spans="1:16" ht="24" customHeight="1" thickBot="1" x14ac:dyDescent="0.3">
      <c r="A278" s="11"/>
      <c r="B278" s="9"/>
      <c r="C278" s="5"/>
      <c r="D278" s="5"/>
      <c r="E278" s="15"/>
      <c r="F278" s="15"/>
      <c r="G278" s="13"/>
      <c r="H278" s="13"/>
      <c r="I278" s="13"/>
      <c r="J278" s="13"/>
      <c r="K278" s="13"/>
      <c r="L278" s="13"/>
      <c r="M278" s="13"/>
      <c r="N278" s="12"/>
      <c r="O278" s="12"/>
      <c r="P278" s="8"/>
    </row>
    <row r="279" spans="1:16" ht="24" customHeight="1" thickBot="1" x14ac:dyDescent="0.3">
      <c r="A279" s="11"/>
      <c r="B279" s="9"/>
      <c r="C279" s="5"/>
      <c r="D279" s="5"/>
      <c r="E279" s="15"/>
      <c r="F279" s="15"/>
      <c r="G279" s="13"/>
      <c r="H279" s="13"/>
      <c r="I279" s="13"/>
      <c r="J279" s="13"/>
      <c r="K279" s="13"/>
      <c r="L279" s="13"/>
      <c r="M279" s="13"/>
      <c r="N279" s="12"/>
      <c r="O279" s="12"/>
      <c r="P279" s="8"/>
    </row>
    <row r="280" spans="1:16" ht="24" customHeight="1" thickBot="1" x14ac:dyDescent="0.3">
      <c r="A280" s="11"/>
      <c r="B280" s="9"/>
      <c r="C280" s="5"/>
      <c r="D280" s="5"/>
      <c r="E280" s="15"/>
      <c r="F280" s="15"/>
      <c r="G280" s="13"/>
      <c r="H280" s="13"/>
      <c r="I280" s="13"/>
      <c r="J280" s="13"/>
      <c r="K280" s="13"/>
      <c r="L280" s="13"/>
      <c r="M280" s="13"/>
      <c r="N280" s="12"/>
      <c r="O280" s="12"/>
      <c r="P280" s="8"/>
    </row>
    <row r="281" spans="1:16" ht="24" customHeight="1" thickBot="1" x14ac:dyDescent="0.3">
      <c r="A281" s="11"/>
      <c r="B281" s="9"/>
      <c r="C281" s="5"/>
      <c r="D281" s="5"/>
      <c r="E281" s="15"/>
      <c r="F281" s="15"/>
      <c r="G281" s="13"/>
      <c r="H281" s="13"/>
      <c r="I281" s="13"/>
      <c r="J281" s="13"/>
      <c r="K281" s="13"/>
      <c r="L281" s="13"/>
      <c r="M281" s="13"/>
      <c r="N281" s="12"/>
      <c r="O281" s="12"/>
      <c r="P281" s="8"/>
    </row>
    <row r="282" spans="1:16" ht="24" customHeight="1" thickBot="1" x14ac:dyDescent="0.3">
      <c r="A282" s="11"/>
      <c r="B282" s="9"/>
      <c r="C282" s="5"/>
      <c r="D282" s="5"/>
      <c r="E282" s="15"/>
      <c r="F282" s="15"/>
      <c r="G282" s="13"/>
      <c r="H282" s="13"/>
      <c r="I282" s="13"/>
      <c r="J282" s="13"/>
      <c r="K282" s="13"/>
      <c r="L282" s="13"/>
      <c r="M282" s="13"/>
      <c r="N282" s="12"/>
      <c r="O282" s="12"/>
      <c r="P282" s="8"/>
    </row>
    <row r="283" spans="1:16" ht="24" customHeight="1" thickBot="1" x14ac:dyDescent="0.3">
      <c r="A283" s="11"/>
      <c r="B283" s="9"/>
      <c r="C283" s="5"/>
      <c r="D283" s="5"/>
      <c r="E283" s="15"/>
      <c r="F283" s="15"/>
      <c r="G283" s="13"/>
      <c r="H283" s="13"/>
      <c r="I283" s="13"/>
      <c r="J283" s="13"/>
      <c r="K283" s="13"/>
      <c r="L283" s="13"/>
      <c r="M283" s="13"/>
      <c r="N283" s="12"/>
      <c r="O283" s="12"/>
      <c r="P283" s="8"/>
    </row>
    <row r="284" spans="1:16" ht="24" customHeight="1" thickBot="1" x14ac:dyDescent="0.3">
      <c r="A284" s="11"/>
      <c r="B284" s="9"/>
      <c r="C284" s="5"/>
      <c r="D284" s="5"/>
      <c r="E284" s="15"/>
      <c r="F284" s="15"/>
      <c r="G284" s="13"/>
      <c r="H284" s="13"/>
      <c r="I284" s="13"/>
      <c r="J284" s="13"/>
      <c r="K284" s="13"/>
      <c r="L284" s="13"/>
      <c r="M284" s="13"/>
      <c r="N284" s="12"/>
      <c r="O284" s="12"/>
      <c r="P284" s="8"/>
    </row>
    <row r="285" spans="1:16" ht="24" customHeight="1" thickBot="1" x14ac:dyDescent="0.3">
      <c r="A285" s="11"/>
      <c r="B285" s="9"/>
      <c r="C285" s="5"/>
      <c r="D285" s="5"/>
      <c r="E285" s="15"/>
      <c r="F285" s="15"/>
      <c r="G285" s="13"/>
      <c r="H285" s="13"/>
      <c r="I285" s="13"/>
      <c r="J285" s="13"/>
      <c r="K285" s="13"/>
      <c r="L285" s="13"/>
      <c r="M285" s="13"/>
      <c r="N285" s="12"/>
      <c r="O285" s="12"/>
      <c r="P285" s="8"/>
    </row>
    <row r="286" spans="1:16" ht="24" customHeight="1" thickBot="1" x14ac:dyDescent="0.3">
      <c r="A286" s="11"/>
      <c r="B286" s="9"/>
      <c r="C286" s="5"/>
      <c r="D286" s="5"/>
      <c r="E286" s="15"/>
      <c r="F286" s="15"/>
      <c r="G286" s="13"/>
      <c r="H286" s="13"/>
      <c r="I286" s="13"/>
      <c r="J286" s="13"/>
      <c r="K286" s="13"/>
      <c r="L286" s="13"/>
      <c r="M286" s="13"/>
      <c r="N286" s="12"/>
      <c r="O286" s="12"/>
      <c r="P286" s="8"/>
    </row>
    <row r="287" spans="1:16" ht="24" customHeight="1" thickBot="1" x14ac:dyDescent="0.3">
      <c r="A287" s="11"/>
      <c r="B287" s="9"/>
      <c r="C287" s="5"/>
      <c r="D287" s="5"/>
      <c r="E287" s="15"/>
      <c r="F287" s="15"/>
      <c r="G287" s="13"/>
      <c r="H287" s="13"/>
      <c r="I287" s="13"/>
      <c r="J287" s="13"/>
      <c r="K287" s="13"/>
      <c r="L287" s="13"/>
      <c r="M287" s="13"/>
      <c r="N287" s="12"/>
      <c r="O287" s="12"/>
      <c r="P287" s="8"/>
    </row>
    <row r="288" spans="1:16" ht="24" customHeight="1" thickBot="1" x14ac:dyDescent="0.3">
      <c r="A288" s="11"/>
      <c r="B288" s="9"/>
      <c r="C288" s="5"/>
      <c r="D288" s="5"/>
      <c r="E288" s="15"/>
      <c r="F288" s="15"/>
      <c r="G288" s="13"/>
      <c r="H288" s="13"/>
      <c r="I288" s="13"/>
      <c r="J288" s="13"/>
      <c r="K288" s="13"/>
      <c r="L288" s="13"/>
      <c r="M288" s="13"/>
      <c r="N288" s="12"/>
      <c r="O288" s="12"/>
      <c r="P288" s="8"/>
    </row>
    <row r="289" spans="1:16" ht="24" customHeight="1" thickBot="1" x14ac:dyDescent="0.3">
      <c r="A289" s="11"/>
      <c r="B289" s="9"/>
      <c r="C289" s="5"/>
      <c r="D289" s="5"/>
      <c r="E289" s="15"/>
      <c r="F289" s="15"/>
      <c r="G289" s="13"/>
      <c r="H289" s="13"/>
      <c r="I289" s="13"/>
      <c r="J289" s="13"/>
      <c r="K289" s="13"/>
      <c r="L289" s="13"/>
      <c r="M289" s="13"/>
      <c r="N289" s="12"/>
      <c r="O289" s="12"/>
      <c r="P289" s="8"/>
    </row>
    <row r="290" spans="1:16" ht="24" customHeight="1" thickBot="1" x14ac:dyDescent="0.3">
      <c r="A290" s="11"/>
      <c r="B290" s="9"/>
      <c r="C290" s="5"/>
      <c r="D290" s="5"/>
      <c r="E290" s="15"/>
      <c r="F290" s="15"/>
      <c r="G290" s="13"/>
      <c r="H290" s="13"/>
      <c r="I290" s="13"/>
      <c r="J290" s="13"/>
      <c r="K290" s="13"/>
      <c r="L290" s="13"/>
      <c r="M290" s="13"/>
      <c r="N290" s="12"/>
      <c r="O290" s="12"/>
      <c r="P290" s="8"/>
    </row>
    <row r="291" spans="1:16" ht="24" customHeight="1" thickBot="1" x14ac:dyDescent="0.3">
      <c r="A291" s="11"/>
      <c r="B291" s="9"/>
      <c r="C291" s="5"/>
      <c r="D291" s="5"/>
      <c r="E291" s="15"/>
      <c r="F291" s="15"/>
      <c r="G291" s="13"/>
      <c r="H291" s="13"/>
      <c r="I291" s="13"/>
      <c r="J291" s="13"/>
      <c r="K291" s="13"/>
      <c r="L291" s="13"/>
      <c r="M291" s="13"/>
      <c r="N291" s="12"/>
      <c r="O291" s="12"/>
      <c r="P291" s="8"/>
    </row>
    <row r="292" spans="1:16" ht="24" customHeight="1" thickBot="1" x14ac:dyDescent="0.3">
      <c r="A292" s="11"/>
      <c r="B292" s="9"/>
      <c r="C292" s="5"/>
      <c r="D292" s="5"/>
      <c r="E292" s="15"/>
      <c r="F292" s="15"/>
      <c r="G292" s="13"/>
      <c r="H292" s="13"/>
      <c r="I292" s="13"/>
      <c r="J292" s="13"/>
      <c r="K292" s="13"/>
      <c r="L292" s="13"/>
      <c r="M292" s="13"/>
      <c r="N292" s="12"/>
      <c r="O292" s="12"/>
      <c r="P292" s="8"/>
    </row>
    <row r="293" spans="1:16" ht="24" customHeight="1" thickBot="1" x14ac:dyDescent="0.3">
      <c r="A293" s="11"/>
      <c r="B293" s="9"/>
      <c r="C293" s="5"/>
      <c r="D293" s="5"/>
      <c r="E293" s="15"/>
      <c r="F293" s="15"/>
      <c r="G293" s="13"/>
      <c r="H293" s="13"/>
      <c r="I293" s="13"/>
      <c r="J293" s="13"/>
      <c r="K293" s="13"/>
      <c r="L293" s="13"/>
      <c r="M293" s="13"/>
      <c r="N293" s="12"/>
      <c r="O293" s="12"/>
      <c r="P293" s="8"/>
    </row>
    <row r="294" spans="1:16" ht="24" customHeight="1" thickBot="1" x14ac:dyDescent="0.3">
      <c r="A294" s="11"/>
      <c r="B294" s="9"/>
      <c r="C294" s="5"/>
      <c r="D294" s="5"/>
      <c r="E294" s="15"/>
      <c r="F294" s="15"/>
      <c r="G294" s="13"/>
      <c r="H294" s="13"/>
      <c r="I294" s="13"/>
      <c r="J294" s="13"/>
      <c r="K294" s="13"/>
      <c r="L294" s="13"/>
      <c r="M294" s="13"/>
      <c r="N294" s="12"/>
      <c r="O294" s="12"/>
      <c r="P294" s="8"/>
    </row>
    <row r="295" spans="1:16" ht="24" customHeight="1" thickBot="1" x14ac:dyDescent="0.3">
      <c r="A295" s="11"/>
      <c r="B295" s="9"/>
      <c r="C295" s="5"/>
      <c r="D295" s="5"/>
      <c r="E295" s="15"/>
      <c r="F295" s="15"/>
      <c r="G295" s="13"/>
      <c r="H295" s="13"/>
      <c r="I295" s="13"/>
      <c r="J295" s="13"/>
      <c r="K295" s="13"/>
      <c r="L295" s="13"/>
      <c r="M295" s="13"/>
      <c r="N295" s="12"/>
      <c r="O295" s="12"/>
      <c r="P295" s="8"/>
    </row>
    <row r="296" spans="1:16" ht="24" customHeight="1" thickBot="1" x14ac:dyDescent="0.3">
      <c r="A296" s="11"/>
      <c r="B296" s="9"/>
      <c r="C296" s="5"/>
      <c r="D296" s="5"/>
      <c r="E296" s="15"/>
      <c r="F296" s="15"/>
      <c r="G296" s="13"/>
      <c r="H296" s="13"/>
      <c r="I296" s="13"/>
      <c r="J296" s="13"/>
      <c r="K296" s="13"/>
      <c r="L296" s="13"/>
      <c r="M296" s="13"/>
      <c r="N296" s="12"/>
      <c r="O296" s="12"/>
      <c r="P296" s="8"/>
    </row>
    <row r="297" spans="1:16" ht="24" customHeight="1" thickBot="1" x14ac:dyDescent="0.3">
      <c r="A297" s="11"/>
      <c r="B297" s="9"/>
      <c r="C297" s="5"/>
      <c r="D297" s="5"/>
      <c r="E297" s="15"/>
      <c r="F297" s="15"/>
      <c r="G297" s="13"/>
      <c r="H297" s="13"/>
      <c r="I297" s="13"/>
      <c r="J297" s="13"/>
      <c r="K297" s="13"/>
      <c r="L297" s="13"/>
      <c r="M297" s="13"/>
      <c r="N297" s="12"/>
      <c r="O297" s="12"/>
      <c r="P297" s="8"/>
    </row>
    <row r="298" spans="1:16" ht="24" customHeight="1" thickBot="1" x14ac:dyDescent="0.3">
      <c r="A298" s="11"/>
      <c r="B298" s="9"/>
      <c r="C298" s="5"/>
      <c r="D298" s="5"/>
      <c r="E298" s="15"/>
      <c r="F298" s="15"/>
      <c r="G298" s="13"/>
      <c r="H298" s="13"/>
      <c r="I298" s="13"/>
      <c r="J298" s="13"/>
      <c r="K298" s="13"/>
      <c r="L298" s="13"/>
      <c r="M298" s="13"/>
      <c r="N298" s="12"/>
      <c r="O298" s="12"/>
      <c r="P298" s="8"/>
    </row>
    <row r="299" spans="1:16" ht="24" customHeight="1" thickBot="1" x14ac:dyDescent="0.3">
      <c r="A299" s="11"/>
      <c r="B299" s="9"/>
      <c r="C299" s="5"/>
      <c r="D299" s="5"/>
      <c r="E299" s="15"/>
      <c r="F299" s="15"/>
      <c r="G299" s="13"/>
      <c r="H299" s="13"/>
      <c r="I299" s="13"/>
      <c r="J299" s="13"/>
      <c r="K299" s="13"/>
      <c r="L299" s="13"/>
      <c r="M299" s="13"/>
      <c r="N299" s="12"/>
      <c r="O299" s="12"/>
      <c r="P299" s="8"/>
    </row>
    <row r="300" spans="1:16" ht="24" customHeight="1" thickBot="1" x14ac:dyDescent="0.3">
      <c r="A300" s="11"/>
      <c r="B300" s="9"/>
      <c r="C300" s="5"/>
      <c r="D300" s="5"/>
      <c r="E300" s="15"/>
      <c r="F300" s="15"/>
      <c r="G300" s="13"/>
      <c r="H300" s="13"/>
      <c r="I300" s="13"/>
      <c r="J300" s="13"/>
      <c r="K300" s="13"/>
      <c r="L300" s="13"/>
      <c r="M300" s="13"/>
      <c r="N300" s="12"/>
      <c r="O300" s="12"/>
      <c r="P300" s="8"/>
    </row>
    <row r="301" spans="1:16" ht="24" customHeight="1" thickBot="1" x14ac:dyDescent="0.3">
      <c r="A301" s="11"/>
      <c r="B301" s="9"/>
      <c r="C301" s="5"/>
      <c r="D301" s="5"/>
      <c r="E301" s="15"/>
      <c r="F301" s="15"/>
      <c r="G301" s="13"/>
      <c r="H301" s="13"/>
      <c r="I301" s="13"/>
      <c r="J301" s="13"/>
      <c r="K301" s="13"/>
      <c r="L301" s="13"/>
      <c r="M301" s="13"/>
      <c r="N301" s="12"/>
      <c r="O301" s="12"/>
      <c r="P301" s="8"/>
    </row>
    <row r="302" spans="1:16" ht="24" customHeight="1" thickBot="1" x14ac:dyDescent="0.3">
      <c r="A302" s="11"/>
      <c r="B302" s="9"/>
      <c r="C302" s="5"/>
      <c r="D302" s="5"/>
      <c r="E302" s="15"/>
      <c r="F302" s="15"/>
      <c r="G302" s="13"/>
      <c r="H302" s="13"/>
      <c r="I302" s="13"/>
      <c r="J302" s="13"/>
      <c r="K302" s="13"/>
      <c r="L302" s="13"/>
      <c r="M302" s="13"/>
      <c r="N302" s="12"/>
      <c r="O302" s="12"/>
      <c r="P302" s="8"/>
    </row>
    <row r="303" spans="1:16" ht="24" customHeight="1" thickBot="1" x14ac:dyDescent="0.3">
      <c r="A303" s="11"/>
      <c r="B303" s="9"/>
      <c r="C303" s="5"/>
      <c r="D303" s="5"/>
      <c r="E303" s="15"/>
      <c r="F303" s="15"/>
      <c r="G303" s="13"/>
      <c r="H303" s="13"/>
      <c r="I303" s="13"/>
      <c r="J303" s="13"/>
      <c r="K303" s="13"/>
      <c r="L303" s="13"/>
      <c r="M303" s="13"/>
      <c r="N303" s="12"/>
      <c r="O303" s="12"/>
      <c r="P303" s="8"/>
    </row>
    <row r="304" spans="1:16" ht="24" customHeight="1" thickBot="1" x14ac:dyDescent="0.3">
      <c r="A304" s="11"/>
      <c r="B304" s="9"/>
      <c r="C304" s="5"/>
      <c r="D304" s="5"/>
      <c r="E304" s="15"/>
      <c r="F304" s="15"/>
      <c r="G304" s="13"/>
      <c r="H304" s="13"/>
      <c r="I304" s="13"/>
      <c r="J304" s="13"/>
      <c r="K304" s="13"/>
      <c r="L304" s="13"/>
      <c r="M304" s="13"/>
      <c r="N304" s="12"/>
      <c r="O304" s="12"/>
      <c r="P304" s="8"/>
    </row>
    <row r="305" spans="1:16" ht="24" customHeight="1" thickBot="1" x14ac:dyDescent="0.3">
      <c r="A305" s="11"/>
      <c r="B305" s="9"/>
      <c r="C305" s="5"/>
      <c r="D305" s="5"/>
      <c r="E305" s="15"/>
      <c r="F305" s="15"/>
      <c r="G305" s="13"/>
      <c r="H305" s="13"/>
      <c r="I305" s="13"/>
      <c r="J305" s="13"/>
      <c r="K305" s="13"/>
      <c r="L305" s="13"/>
      <c r="M305" s="13"/>
      <c r="N305" s="12"/>
      <c r="O305" s="12"/>
      <c r="P305" s="8"/>
    </row>
    <row r="306" spans="1:16" ht="24" customHeight="1" thickBot="1" x14ac:dyDescent="0.3">
      <c r="A306" s="11"/>
      <c r="B306" s="9"/>
      <c r="C306" s="5"/>
      <c r="D306" s="5"/>
      <c r="E306" s="15"/>
      <c r="F306" s="15"/>
      <c r="G306" s="13"/>
      <c r="H306" s="13"/>
      <c r="I306" s="13"/>
      <c r="J306" s="13"/>
      <c r="K306" s="13"/>
      <c r="L306" s="13"/>
      <c r="M306" s="13"/>
      <c r="N306" s="12"/>
      <c r="O306" s="12"/>
      <c r="P306" s="8"/>
    </row>
    <row r="307" spans="1:16" ht="24" customHeight="1" thickBot="1" x14ac:dyDescent="0.3">
      <c r="A307" s="11"/>
      <c r="B307" s="9"/>
      <c r="C307" s="5"/>
      <c r="D307" s="5"/>
      <c r="E307" s="15"/>
      <c r="F307" s="15"/>
      <c r="G307" s="13"/>
      <c r="H307" s="13"/>
      <c r="I307" s="13"/>
      <c r="J307" s="13"/>
      <c r="K307" s="13"/>
      <c r="L307" s="13"/>
      <c r="M307" s="13"/>
      <c r="N307" s="12"/>
      <c r="O307" s="12"/>
      <c r="P307" s="8"/>
    </row>
    <row r="308" spans="1:16" ht="24" customHeight="1" thickBot="1" x14ac:dyDescent="0.3">
      <c r="A308" s="11"/>
      <c r="B308" s="9"/>
      <c r="C308" s="5"/>
      <c r="D308" s="5"/>
      <c r="E308" s="15"/>
      <c r="F308" s="15"/>
      <c r="G308" s="13"/>
      <c r="H308" s="13"/>
      <c r="I308" s="13"/>
      <c r="J308" s="13"/>
      <c r="K308" s="13"/>
      <c r="L308" s="13"/>
      <c r="M308" s="13"/>
      <c r="N308" s="12"/>
      <c r="O308" s="12"/>
      <c r="P308" s="8"/>
    </row>
    <row r="309" spans="1:16" ht="24" customHeight="1" thickBot="1" x14ac:dyDescent="0.3">
      <c r="A309" s="11"/>
      <c r="B309" s="9"/>
      <c r="C309" s="5"/>
      <c r="D309" s="5"/>
      <c r="E309" s="15"/>
      <c r="F309" s="15"/>
      <c r="G309" s="13"/>
      <c r="H309" s="13"/>
      <c r="I309" s="13"/>
      <c r="J309" s="13"/>
      <c r="K309" s="13"/>
      <c r="L309" s="13"/>
      <c r="M309" s="13"/>
      <c r="N309" s="12"/>
      <c r="O309" s="12"/>
      <c r="P309" s="8"/>
    </row>
  </sheetData>
  <mergeCells count="13">
    <mergeCell ref="A1:P1"/>
    <mergeCell ref="O5:O6"/>
    <mergeCell ref="P5:P6"/>
    <mergeCell ref="A2:O2"/>
    <mergeCell ref="A4:B4"/>
    <mergeCell ref="A5:A6"/>
    <mergeCell ref="B5:B6"/>
    <mergeCell ref="C5:C6"/>
    <mergeCell ref="D5:D6"/>
    <mergeCell ref="E5:E6"/>
    <mergeCell ref="F5:F6"/>
    <mergeCell ref="H5:M5"/>
    <mergeCell ref="N5:N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H466"/>
  <sheetViews>
    <sheetView view="pageBreakPreview" zoomScale="55" zoomScaleNormal="100" zoomScaleSheetLayoutView="55" workbookViewId="0">
      <pane xSplit="1" ySplit="6" topLeftCell="B7" activePane="bottomRight" state="frozen"/>
      <selection pane="topRight" activeCell="B1" sqref="B1"/>
      <selection pane="bottomLeft" activeCell="A6" sqref="A6"/>
      <selection pane="bottomRight" activeCell="P5" sqref="P5:Y7"/>
    </sheetView>
  </sheetViews>
  <sheetFormatPr defaultRowHeight="15" x14ac:dyDescent="0.25"/>
  <cols>
    <col min="1" max="1" width="6.140625" customWidth="1"/>
    <col min="2" max="2" width="9.28515625" bestFit="1" customWidth="1"/>
    <col min="3" max="3" width="15.5703125" customWidth="1"/>
    <col min="4" max="4" width="15.7109375" customWidth="1"/>
    <col min="5" max="5" width="9.140625" style="16" customWidth="1"/>
    <col min="6" max="6" width="15.140625" style="16" customWidth="1"/>
    <col min="7" max="13" width="11" bestFit="1" customWidth="1"/>
    <col min="14" max="14" width="13.140625" customWidth="1"/>
    <col min="15" max="25" width="13.28515625" customWidth="1"/>
    <col min="26" max="26" width="25.7109375" bestFit="1" customWidth="1"/>
  </cols>
  <sheetData>
    <row r="1" spans="1:34" ht="18.75" x14ac:dyDescent="0.3">
      <c r="A1" s="68" t="s">
        <v>52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spans="1:34" x14ac:dyDescent="0.25">
      <c r="A2" s="71" t="s">
        <v>0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53"/>
      <c r="Q2" s="53"/>
      <c r="R2" s="53"/>
      <c r="S2" s="53"/>
      <c r="T2" s="53"/>
      <c r="U2" s="53"/>
      <c r="V2" s="53"/>
      <c r="W2" s="34"/>
      <c r="X2" s="34"/>
      <c r="Y2" s="34"/>
    </row>
    <row r="3" spans="1:34" x14ac:dyDescent="0.25">
      <c r="A3" s="2" t="s">
        <v>1</v>
      </c>
      <c r="B3" s="2"/>
      <c r="C3" s="2"/>
      <c r="D3" s="2" t="s">
        <v>2</v>
      </c>
      <c r="E3" s="14" t="s">
        <v>57</v>
      </c>
      <c r="F3" s="14"/>
      <c r="G3" s="2"/>
      <c r="H3" s="3"/>
      <c r="I3" s="2"/>
      <c r="J3" s="2"/>
      <c r="K3" s="2"/>
      <c r="L3" s="2"/>
      <c r="M3" s="3"/>
      <c r="N3" s="4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34" ht="18.75" thickBot="1" x14ac:dyDescent="0.3">
      <c r="A4" s="80">
        <v>43697</v>
      </c>
      <c r="B4" s="80"/>
      <c r="C4" s="2"/>
      <c r="D4" s="6"/>
      <c r="E4" s="18"/>
      <c r="F4" s="14"/>
      <c r="G4" s="2"/>
      <c r="H4" s="30" t="s">
        <v>56</v>
      </c>
      <c r="I4" s="2"/>
      <c r="J4" s="2"/>
      <c r="K4" s="2"/>
      <c r="L4" s="2"/>
      <c r="M4" s="4"/>
      <c r="N4" s="4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34" s="1" customFormat="1" ht="14.45" customHeight="1" x14ac:dyDescent="0.25">
      <c r="A5" s="73" t="s">
        <v>3</v>
      </c>
      <c r="B5" s="75" t="s">
        <v>4</v>
      </c>
      <c r="C5" s="72" t="s">
        <v>5</v>
      </c>
      <c r="D5" s="72" t="s">
        <v>16</v>
      </c>
      <c r="E5" s="78" t="s">
        <v>6</v>
      </c>
      <c r="F5" s="78" t="s">
        <v>7</v>
      </c>
      <c r="G5" s="7" t="s">
        <v>17</v>
      </c>
      <c r="H5" s="72" t="s">
        <v>53</v>
      </c>
      <c r="I5" s="72"/>
      <c r="J5" s="72"/>
      <c r="K5" s="72"/>
      <c r="L5" s="72"/>
      <c r="M5" s="72"/>
      <c r="N5" s="72" t="s">
        <v>15</v>
      </c>
      <c r="O5" s="72" t="s">
        <v>18</v>
      </c>
      <c r="P5" s="81" t="s">
        <v>134</v>
      </c>
      <c r="Q5" s="82"/>
      <c r="R5" s="82"/>
      <c r="S5" s="82"/>
      <c r="T5" s="82"/>
      <c r="U5" s="82"/>
      <c r="V5" s="83"/>
      <c r="W5" s="84" t="s">
        <v>99</v>
      </c>
      <c r="X5" s="84" t="s">
        <v>100</v>
      </c>
      <c r="Y5" s="84" t="s">
        <v>135</v>
      </c>
      <c r="Z5" s="69" t="s">
        <v>19</v>
      </c>
      <c r="AB5" s="7" t="s">
        <v>17</v>
      </c>
      <c r="AC5" s="72" t="s">
        <v>53</v>
      </c>
      <c r="AD5" s="72"/>
      <c r="AE5" s="72"/>
      <c r="AF5" s="72"/>
      <c r="AG5" s="72"/>
      <c r="AH5" s="72"/>
    </row>
    <row r="6" spans="1:34" ht="13.9" customHeight="1" thickBot="1" x14ac:dyDescent="0.3">
      <c r="A6" s="74"/>
      <c r="B6" s="76"/>
      <c r="C6" s="77"/>
      <c r="D6" s="77"/>
      <c r="E6" s="79"/>
      <c r="F6" s="79"/>
      <c r="G6" s="20" t="s">
        <v>8</v>
      </c>
      <c r="H6" s="20" t="s">
        <v>9</v>
      </c>
      <c r="I6" s="20" t="s">
        <v>10</v>
      </c>
      <c r="J6" s="20" t="s">
        <v>11</v>
      </c>
      <c r="K6" s="20" t="s">
        <v>12</v>
      </c>
      <c r="L6" s="20" t="s">
        <v>13</v>
      </c>
      <c r="M6" s="20" t="s">
        <v>14</v>
      </c>
      <c r="N6" s="77"/>
      <c r="O6" s="77"/>
      <c r="P6" s="55" t="s">
        <v>8</v>
      </c>
      <c r="Q6" s="54" t="s">
        <v>9</v>
      </c>
      <c r="R6" s="55" t="s">
        <v>10</v>
      </c>
      <c r="S6" s="54" t="s">
        <v>11</v>
      </c>
      <c r="T6" s="55" t="s">
        <v>12</v>
      </c>
      <c r="U6" s="54" t="s">
        <v>13</v>
      </c>
      <c r="V6" s="55" t="s">
        <v>14</v>
      </c>
      <c r="W6" s="85"/>
      <c r="X6" s="85"/>
      <c r="Y6" s="85"/>
      <c r="Z6" s="70"/>
      <c r="AB6" s="20" t="s">
        <v>8</v>
      </c>
      <c r="AC6" s="20" t="s">
        <v>9</v>
      </c>
      <c r="AD6" s="20" t="s">
        <v>10</v>
      </c>
      <c r="AE6" s="20" t="s">
        <v>11</v>
      </c>
      <c r="AF6" s="20" t="s">
        <v>12</v>
      </c>
      <c r="AG6" s="20" t="s">
        <v>13</v>
      </c>
      <c r="AH6" s="20" t="s">
        <v>14</v>
      </c>
    </row>
    <row r="7" spans="1:34" ht="24" customHeight="1" x14ac:dyDescent="0.25">
      <c r="A7" s="10">
        <v>1</v>
      </c>
      <c r="B7" s="9">
        <v>0.3430555555555555</v>
      </c>
      <c r="C7" s="5" t="s">
        <v>20</v>
      </c>
      <c r="D7" s="5">
        <v>7</v>
      </c>
      <c r="E7" s="15"/>
      <c r="F7" s="15" t="s">
        <v>23</v>
      </c>
      <c r="G7" s="19">
        <f>AB7/1000</f>
        <v>2.44</v>
      </c>
      <c r="H7" s="19">
        <f t="shared" ref="H7:M7" si="0">AC7/1000</f>
        <v>3.36</v>
      </c>
      <c r="I7" s="19">
        <f t="shared" si="0"/>
        <v>0</v>
      </c>
      <c r="J7" s="19">
        <f t="shared" si="0"/>
        <v>0</v>
      </c>
      <c r="K7" s="19">
        <f t="shared" si="0"/>
        <v>0</v>
      </c>
      <c r="L7" s="19">
        <f t="shared" si="0"/>
        <v>0</v>
      </c>
      <c r="M7" s="19">
        <f t="shared" si="0"/>
        <v>0</v>
      </c>
      <c r="N7" s="39">
        <f>SUM(G7:M7)</f>
        <v>5.8</v>
      </c>
      <c r="O7" s="39">
        <f t="shared" ref="O7:O70" si="1">(N7/8.16)^4.5</f>
        <v>0.21518909378717271</v>
      </c>
      <c r="P7" s="40">
        <v>8</v>
      </c>
      <c r="Q7" s="40">
        <v>10</v>
      </c>
      <c r="R7" s="40">
        <v>9</v>
      </c>
      <c r="S7" s="40">
        <v>9</v>
      </c>
      <c r="T7" s="40">
        <v>9</v>
      </c>
      <c r="U7" s="40">
        <v>9</v>
      </c>
      <c r="V7" s="40">
        <v>9</v>
      </c>
      <c r="W7" s="41" t="str">
        <f t="shared" ref="W7" si="2">IF(G7&gt;P7,"Y",IF(H7&gt;Q7,"Y",IF(I7&gt;R7,"Y",IF(J7&gt;S7,"Y",IF(K7&gt;T7,"Y",IF(L7&gt;U7,"Y",IF(M7&gt;V7,"Y","N")))))))</f>
        <v>N</v>
      </c>
      <c r="X7" s="56">
        <f t="shared" ref="X7" si="3">IF(W7="Y",MAX((G7-P7),(H7-Q7),(I7-R7),(J7-S7),(K7-T7),(L7-U7),(M7-V7))/10,0)</f>
        <v>0</v>
      </c>
      <c r="Y7" s="56" t="str">
        <f t="shared" ref="Y7:Y70" si="4">IF(X7&lt;5%,"0-4.9%",IF(X7&lt;25%,"5-25%",IF(X7&lt;50%,"25-50%","Over 50%")))</f>
        <v>0-4.9%</v>
      </c>
      <c r="Z7" s="8" t="s">
        <v>35</v>
      </c>
      <c r="AB7" s="38">
        <v>2440</v>
      </c>
      <c r="AC7" s="38">
        <v>3360</v>
      </c>
      <c r="AD7" s="38"/>
      <c r="AE7" s="38"/>
      <c r="AF7" s="38"/>
      <c r="AG7" s="38"/>
      <c r="AH7" s="38"/>
    </row>
    <row r="8" spans="1:34" ht="24" customHeight="1" x14ac:dyDescent="0.25">
      <c r="A8" s="10">
        <v>3</v>
      </c>
      <c r="B8" s="9">
        <v>0.3444444444444445</v>
      </c>
      <c r="C8" s="5" t="s">
        <v>20</v>
      </c>
      <c r="D8" s="5">
        <v>7</v>
      </c>
      <c r="E8" s="15"/>
      <c r="F8" s="15" t="s">
        <v>23</v>
      </c>
      <c r="G8" s="19">
        <f t="shared" ref="G8:G71" si="5">AB8/1000</f>
        <v>2.44</v>
      </c>
      <c r="H8" s="19">
        <f t="shared" ref="H8:H71" si="6">AC8/1000</f>
        <v>3.36</v>
      </c>
      <c r="I8" s="19">
        <f t="shared" ref="I8:I71" si="7">AD8/1000</f>
        <v>0</v>
      </c>
      <c r="J8" s="19">
        <f t="shared" ref="J8:J71" si="8">AE8/1000</f>
        <v>0</v>
      </c>
      <c r="K8" s="19">
        <f t="shared" ref="K8:K71" si="9">AF8/1000</f>
        <v>0</v>
      </c>
      <c r="L8" s="19">
        <f t="shared" ref="L8:L71" si="10">AG8/1000</f>
        <v>0</v>
      </c>
      <c r="M8" s="19">
        <f t="shared" ref="M8:M71" si="11">AH8/1000</f>
        <v>0</v>
      </c>
      <c r="N8" s="39">
        <f t="shared" ref="N8:N71" si="12">SUM(G8:M8)</f>
        <v>5.8</v>
      </c>
      <c r="O8" s="39">
        <f t="shared" si="1"/>
        <v>0.21518909378717271</v>
      </c>
      <c r="P8" s="40">
        <v>8</v>
      </c>
      <c r="Q8" s="40">
        <v>10</v>
      </c>
      <c r="R8" s="40">
        <v>9</v>
      </c>
      <c r="S8" s="40">
        <v>9</v>
      </c>
      <c r="T8" s="40">
        <v>9</v>
      </c>
      <c r="U8" s="40">
        <v>9</v>
      </c>
      <c r="V8" s="40">
        <v>9</v>
      </c>
      <c r="W8" s="41" t="str">
        <f t="shared" ref="W8:W71" si="13">IF(G8&gt;P8,"Y",IF(H8&gt;Q8,"Y",IF(I8&gt;R8,"Y",IF(J8&gt;S8,"Y",IF(K8&gt;T8,"Y",IF(L8&gt;U8,"Y",IF(M8&gt;V8,"Y","N")))))))</f>
        <v>N</v>
      </c>
      <c r="X8" s="56">
        <f t="shared" ref="X8:X71" si="14">IF(W8="Y",MAX((G8-P8),(H8-Q8),(I8-R8),(J8-S8),(K8-T8),(L8-U8),(M8-V8))/10,0)</f>
        <v>0</v>
      </c>
      <c r="Y8" s="56" t="str">
        <f t="shared" si="4"/>
        <v>0-4.9%</v>
      </c>
      <c r="Z8" s="8" t="s">
        <v>35</v>
      </c>
      <c r="AB8" s="38">
        <v>2440</v>
      </c>
      <c r="AC8" s="38">
        <v>3360</v>
      </c>
      <c r="AD8" s="38"/>
      <c r="AE8" s="38"/>
      <c r="AF8" s="38"/>
      <c r="AG8" s="38"/>
      <c r="AH8" s="38"/>
    </row>
    <row r="9" spans="1:34" ht="24" customHeight="1" x14ac:dyDescent="0.25">
      <c r="A9" s="10">
        <v>4</v>
      </c>
      <c r="B9" s="9">
        <v>0.34652777777777777</v>
      </c>
      <c r="C9" s="5" t="s">
        <v>20</v>
      </c>
      <c r="D9" s="5">
        <v>7</v>
      </c>
      <c r="E9" s="15"/>
      <c r="F9" s="15" t="s">
        <v>23</v>
      </c>
      <c r="G9" s="19">
        <f t="shared" si="5"/>
        <v>3.6</v>
      </c>
      <c r="H9" s="19">
        <f t="shared" si="6"/>
        <v>2.88</v>
      </c>
      <c r="I9" s="19">
        <f t="shared" si="7"/>
        <v>0</v>
      </c>
      <c r="J9" s="19">
        <f t="shared" si="8"/>
        <v>0</v>
      </c>
      <c r="K9" s="19">
        <f t="shared" si="9"/>
        <v>0</v>
      </c>
      <c r="L9" s="19">
        <f t="shared" si="10"/>
        <v>0</v>
      </c>
      <c r="M9" s="19">
        <f t="shared" si="11"/>
        <v>0</v>
      </c>
      <c r="N9" s="39">
        <f t="shared" si="12"/>
        <v>6.48</v>
      </c>
      <c r="O9" s="39">
        <f t="shared" si="1"/>
        <v>0.35439028833194663</v>
      </c>
      <c r="P9" s="40">
        <v>8</v>
      </c>
      <c r="Q9" s="40">
        <v>10</v>
      </c>
      <c r="R9" s="40">
        <v>9</v>
      </c>
      <c r="S9" s="40">
        <v>9</v>
      </c>
      <c r="T9" s="40">
        <v>9</v>
      </c>
      <c r="U9" s="40">
        <v>9</v>
      </c>
      <c r="V9" s="40">
        <v>9</v>
      </c>
      <c r="W9" s="41" t="str">
        <f t="shared" si="13"/>
        <v>N</v>
      </c>
      <c r="X9" s="56">
        <f t="shared" si="14"/>
        <v>0</v>
      </c>
      <c r="Y9" s="56" t="str">
        <f t="shared" si="4"/>
        <v>0-4.9%</v>
      </c>
      <c r="Z9" s="8" t="s">
        <v>118</v>
      </c>
      <c r="AB9" s="38">
        <v>3600</v>
      </c>
      <c r="AC9" s="38">
        <v>2880</v>
      </c>
      <c r="AD9" s="38"/>
      <c r="AE9" s="38"/>
      <c r="AF9" s="38"/>
      <c r="AG9" s="38"/>
      <c r="AH9" s="38"/>
    </row>
    <row r="10" spans="1:34" ht="24" customHeight="1" x14ac:dyDescent="0.25">
      <c r="A10" s="10">
        <v>5</v>
      </c>
      <c r="B10" s="9">
        <v>0.34722222222222227</v>
      </c>
      <c r="C10" s="5" t="s">
        <v>20</v>
      </c>
      <c r="D10" s="5">
        <v>7</v>
      </c>
      <c r="E10" s="15"/>
      <c r="F10" s="15" t="s">
        <v>23</v>
      </c>
      <c r="G10" s="19">
        <f t="shared" si="5"/>
        <v>5.36</v>
      </c>
      <c r="H10" s="19">
        <f t="shared" si="6"/>
        <v>7.82</v>
      </c>
      <c r="I10" s="19">
        <f t="shared" si="7"/>
        <v>0</v>
      </c>
      <c r="J10" s="19">
        <f t="shared" si="8"/>
        <v>0</v>
      </c>
      <c r="K10" s="19">
        <f t="shared" si="9"/>
        <v>0</v>
      </c>
      <c r="L10" s="19">
        <f t="shared" si="10"/>
        <v>0</v>
      </c>
      <c r="M10" s="19">
        <f t="shared" si="11"/>
        <v>0</v>
      </c>
      <c r="N10" s="39">
        <f t="shared" si="12"/>
        <v>13.18</v>
      </c>
      <c r="O10" s="39">
        <f t="shared" si="1"/>
        <v>8.6499506908048769</v>
      </c>
      <c r="P10" s="40">
        <v>8</v>
      </c>
      <c r="Q10" s="40">
        <v>10</v>
      </c>
      <c r="R10" s="40">
        <v>9</v>
      </c>
      <c r="S10" s="40">
        <v>9</v>
      </c>
      <c r="T10" s="40">
        <v>9</v>
      </c>
      <c r="U10" s="40">
        <v>9</v>
      </c>
      <c r="V10" s="40">
        <v>9</v>
      </c>
      <c r="W10" s="41" t="str">
        <f t="shared" si="13"/>
        <v>N</v>
      </c>
      <c r="X10" s="56">
        <f t="shared" si="14"/>
        <v>0</v>
      </c>
      <c r="Y10" s="56" t="str">
        <f t="shared" si="4"/>
        <v>0-4.9%</v>
      </c>
      <c r="Z10" s="8" t="s">
        <v>107</v>
      </c>
      <c r="AB10" s="38">
        <v>5360</v>
      </c>
      <c r="AC10" s="38">
        <v>7820</v>
      </c>
      <c r="AD10" s="38"/>
      <c r="AE10" s="38"/>
      <c r="AF10" s="38"/>
      <c r="AG10" s="38"/>
      <c r="AH10" s="38"/>
    </row>
    <row r="11" spans="1:34" ht="24" customHeight="1" x14ac:dyDescent="0.25">
      <c r="A11" s="10">
        <v>6</v>
      </c>
      <c r="B11" s="9">
        <v>0.34791666666666665</v>
      </c>
      <c r="C11" s="5" t="s">
        <v>20</v>
      </c>
      <c r="D11" s="5">
        <v>7</v>
      </c>
      <c r="E11" s="15"/>
      <c r="F11" s="15" t="s">
        <v>23</v>
      </c>
      <c r="G11" s="19">
        <f t="shared" si="5"/>
        <v>2.02</v>
      </c>
      <c r="H11" s="19">
        <f t="shared" si="6"/>
        <v>2.08</v>
      </c>
      <c r="I11" s="19">
        <f t="shared" si="7"/>
        <v>0</v>
      </c>
      <c r="J11" s="19">
        <f t="shared" si="8"/>
        <v>0</v>
      </c>
      <c r="K11" s="19">
        <f t="shared" si="9"/>
        <v>0</v>
      </c>
      <c r="L11" s="19">
        <f t="shared" si="10"/>
        <v>0</v>
      </c>
      <c r="M11" s="19">
        <f t="shared" si="11"/>
        <v>0</v>
      </c>
      <c r="N11" s="39">
        <f t="shared" si="12"/>
        <v>4.0999999999999996</v>
      </c>
      <c r="O11" s="39">
        <f t="shared" si="1"/>
        <v>4.5177442398546395E-2</v>
      </c>
      <c r="P11" s="40">
        <v>8</v>
      </c>
      <c r="Q11" s="40">
        <v>10</v>
      </c>
      <c r="R11" s="40">
        <v>9</v>
      </c>
      <c r="S11" s="40">
        <v>9</v>
      </c>
      <c r="T11" s="40">
        <v>9</v>
      </c>
      <c r="U11" s="40">
        <v>9</v>
      </c>
      <c r="V11" s="40">
        <v>9</v>
      </c>
      <c r="W11" s="41" t="str">
        <f t="shared" si="13"/>
        <v>N</v>
      </c>
      <c r="X11" s="56">
        <f t="shared" si="14"/>
        <v>0</v>
      </c>
      <c r="Y11" s="56" t="str">
        <f t="shared" si="4"/>
        <v>0-4.9%</v>
      </c>
      <c r="Z11" s="8" t="s">
        <v>39</v>
      </c>
      <c r="AB11" s="38">
        <v>2020</v>
      </c>
      <c r="AC11" s="38">
        <v>2080</v>
      </c>
      <c r="AD11" s="38"/>
      <c r="AE11" s="38"/>
      <c r="AF11" s="38"/>
      <c r="AG11" s="38"/>
      <c r="AH11" s="38"/>
    </row>
    <row r="12" spans="1:34" ht="24" customHeight="1" x14ac:dyDescent="0.25">
      <c r="A12" s="10">
        <v>7</v>
      </c>
      <c r="B12" s="9">
        <v>0.35069444444444442</v>
      </c>
      <c r="C12" s="5" t="s">
        <v>20</v>
      </c>
      <c r="D12" s="5">
        <v>7</v>
      </c>
      <c r="E12" s="15"/>
      <c r="F12" s="15" t="s">
        <v>23</v>
      </c>
      <c r="G12" s="19">
        <f t="shared" si="5"/>
        <v>4.9400000000000004</v>
      </c>
      <c r="H12" s="19">
        <f t="shared" si="6"/>
        <v>7.06</v>
      </c>
      <c r="I12" s="19">
        <f t="shared" si="7"/>
        <v>0</v>
      </c>
      <c r="J12" s="19">
        <f t="shared" si="8"/>
        <v>0</v>
      </c>
      <c r="K12" s="19">
        <f t="shared" si="9"/>
        <v>0</v>
      </c>
      <c r="L12" s="19">
        <f t="shared" si="10"/>
        <v>0</v>
      </c>
      <c r="M12" s="19">
        <f t="shared" si="11"/>
        <v>0</v>
      </c>
      <c r="N12" s="39">
        <f t="shared" si="12"/>
        <v>12</v>
      </c>
      <c r="O12" s="39">
        <f t="shared" si="1"/>
        <v>5.6716561421569134</v>
      </c>
      <c r="P12" s="40">
        <v>8</v>
      </c>
      <c r="Q12" s="40">
        <v>10</v>
      </c>
      <c r="R12" s="40">
        <v>9</v>
      </c>
      <c r="S12" s="40">
        <v>9</v>
      </c>
      <c r="T12" s="40">
        <v>9</v>
      </c>
      <c r="U12" s="40">
        <v>9</v>
      </c>
      <c r="V12" s="40">
        <v>9</v>
      </c>
      <c r="W12" s="41" t="str">
        <f t="shared" si="13"/>
        <v>N</v>
      </c>
      <c r="X12" s="56">
        <f t="shared" si="14"/>
        <v>0</v>
      </c>
      <c r="Y12" s="56" t="str">
        <f t="shared" si="4"/>
        <v>0-4.9%</v>
      </c>
      <c r="Z12" s="8" t="s">
        <v>107</v>
      </c>
      <c r="AB12" s="38">
        <v>4940</v>
      </c>
      <c r="AC12" s="38">
        <v>7060</v>
      </c>
      <c r="AD12" s="38"/>
      <c r="AE12" s="38"/>
      <c r="AF12" s="38"/>
      <c r="AG12" s="38"/>
      <c r="AH12" s="38"/>
    </row>
    <row r="13" spans="1:34" ht="24" customHeight="1" x14ac:dyDescent="0.25">
      <c r="A13" s="10">
        <v>8</v>
      </c>
      <c r="B13" s="9">
        <v>0.3527777777777778</v>
      </c>
      <c r="C13" s="5" t="s">
        <v>20</v>
      </c>
      <c r="D13" s="5">
        <v>7</v>
      </c>
      <c r="E13" s="15"/>
      <c r="F13" s="15" t="s">
        <v>23</v>
      </c>
      <c r="G13" s="19">
        <f t="shared" si="5"/>
        <v>3.18</v>
      </c>
      <c r="H13" s="19">
        <f t="shared" si="6"/>
        <v>4.58</v>
      </c>
      <c r="I13" s="19">
        <f t="shared" si="7"/>
        <v>0</v>
      </c>
      <c r="J13" s="19">
        <f t="shared" si="8"/>
        <v>0</v>
      </c>
      <c r="K13" s="19">
        <f t="shared" si="9"/>
        <v>0</v>
      </c>
      <c r="L13" s="19">
        <f t="shared" si="10"/>
        <v>0</v>
      </c>
      <c r="M13" s="19">
        <f t="shared" si="11"/>
        <v>0</v>
      </c>
      <c r="N13" s="39">
        <f t="shared" si="12"/>
        <v>7.76</v>
      </c>
      <c r="O13" s="39">
        <f t="shared" si="1"/>
        <v>0.79757591589086552</v>
      </c>
      <c r="P13" s="40">
        <v>8</v>
      </c>
      <c r="Q13" s="40">
        <v>10</v>
      </c>
      <c r="R13" s="40">
        <v>9</v>
      </c>
      <c r="S13" s="40">
        <v>9</v>
      </c>
      <c r="T13" s="40">
        <v>9</v>
      </c>
      <c r="U13" s="40">
        <v>9</v>
      </c>
      <c r="V13" s="40">
        <v>9</v>
      </c>
      <c r="W13" s="41" t="str">
        <f t="shared" si="13"/>
        <v>N</v>
      </c>
      <c r="X13" s="56">
        <f t="shared" si="14"/>
        <v>0</v>
      </c>
      <c r="Y13" s="56" t="str">
        <f t="shared" si="4"/>
        <v>0-4.9%</v>
      </c>
      <c r="Z13" s="8" t="s">
        <v>118</v>
      </c>
      <c r="AB13" s="38">
        <v>3180</v>
      </c>
      <c r="AC13" s="38">
        <v>4580</v>
      </c>
      <c r="AD13" s="38"/>
      <c r="AE13" s="38"/>
      <c r="AF13" s="38"/>
      <c r="AG13" s="38"/>
      <c r="AH13" s="38"/>
    </row>
    <row r="14" spans="1:34" ht="24" customHeight="1" x14ac:dyDescent="0.25">
      <c r="A14" s="10">
        <v>9</v>
      </c>
      <c r="B14" s="9">
        <v>0.3576388888888889</v>
      </c>
      <c r="C14" s="5" t="s">
        <v>20</v>
      </c>
      <c r="D14" s="5">
        <v>7</v>
      </c>
      <c r="E14" s="15"/>
      <c r="F14" s="15" t="s">
        <v>23</v>
      </c>
      <c r="G14" s="19">
        <f t="shared" si="5"/>
        <v>2.94</v>
      </c>
      <c r="H14" s="19">
        <f t="shared" si="6"/>
        <v>3.2</v>
      </c>
      <c r="I14" s="19">
        <f t="shared" si="7"/>
        <v>0</v>
      </c>
      <c r="J14" s="19">
        <f t="shared" si="8"/>
        <v>0</v>
      </c>
      <c r="K14" s="19">
        <f t="shared" si="9"/>
        <v>0</v>
      </c>
      <c r="L14" s="19">
        <f t="shared" si="10"/>
        <v>0</v>
      </c>
      <c r="M14" s="19">
        <f t="shared" si="11"/>
        <v>0</v>
      </c>
      <c r="N14" s="39">
        <f t="shared" si="12"/>
        <v>6.1400000000000006</v>
      </c>
      <c r="O14" s="39">
        <f t="shared" si="1"/>
        <v>0.27806860346643436</v>
      </c>
      <c r="P14" s="40">
        <v>8</v>
      </c>
      <c r="Q14" s="40">
        <v>10</v>
      </c>
      <c r="R14" s="40">
        <v>9</v>
      </c>
      <c r="S14" s="40">
        <v>9</v>
      </c>
      <c r="T14" s="40">
        <v>9</v>
      </c>
      <c r="U14" s="40">
        <v>9</v>
      </c>
      <c r="V14" s="40">
        <v>9</v>
      </c>
      <c r="W14" s="41" t="str">
        <f t="shared" si="13"/>
        <v>N</v>
      </c>
      <c r="X14" s="56">
        <f t="shared" si="14"/>
        <v>0</v>
      </c>
      <c r="Y14" s="56" t="str">
        <f t="shared" si="4"/>
        <v>0-4.9%</v>
      </c>
      <c r="Z14" s="8" t="s">
        <v>118</v>
      </c>
      <c r="AB14" s="38">
        <v>2940</v>
      </c>
      <c r="AC14" s="38">
        <v>3200</v>
      </c>
      <c r="AD14" s="38"/>
      <c r="AE14" s="38"/>
      <c r="AF14" s="38"/>
      <c r="AG14" s="38"/>
      <c r="AH14" s="38"/>
    </row>
    <row r="15" spans="1:34" ht="24" customHeight="1" x14ac:dyDescent="0.25">
      <c r="A15" s="10">
        <v>11</v>
      </c>
      <c r="B15" s="9">
        <v>0.36458333333333331</v>
      </c>
      <c r="C15" s="5" t="s">
        <v>20</v>
      </c>
      <c r="D15" s="5">
        <v>7</v>
      </c>
      <c r="E15" s="15"/>
      <c r="F15" s="15" t="s">
        <v>23</v>
      </c>
      <c r="G15" s="19">
        <f t="shared" si="5"/>
        <v>2.3199999999999998</v>
      </c>
      <c r="H15" s="19">
        <f t="shared" si="6"/>
        <v>7.78</v>
      </c>
      <c r="I15" s="19">
        <f t="shared" si="7"/>
        <v>0</v>
      </c>
      <c r="J15" s="19">
        <f t="shared" si="8"/>
        <v>0</v>
      </c>
      <c r="K15" s="19">
        <f t="shared" si="9"/>
        <v>0</v>
      </c>
      <c r="L15" s="19">
        <f t="shared" si="10"/>
        <v>0</v>
      </c>
      <c r="M15" s="19">
        <f t="shared" si="11"/>
        <v>0</v>
      </c>
      <c r="N15" s="39">
        <f t="shared" si="12"/>
        <v>10.1</v>
      </c>
      <c r="O15" s="39">
        <f t="shared" si="1"/>
        <v>2.6112019874705696</v>
      </c>
      <c r="P15" s="40">
        <v>8</v>
      </c>
      <c r="Q15" s="40">
        <v>10</v>
      </c>
      <c r="R15" s="40">
        <v>9</v>
      </c>
      <c r="S15" s="40">
        <v>9</v>
      </c>
      <c r="T15" s="40">
        <v>9</v>
      </c>
      <c r="U15" s="40">
        <v>9</v>
      </c>
      <c r="V15" s="40">
        <v>9</v>
      </c>
      <c r="W15" s="41" t="str">
        <f t="shared" si="13"/>
        <v>N</v>
      </c>
      <c r="X15" s="56">
        <f t="shared" si="14"/>
        <v>0</v>
      </c>
      <c r="Y15" s="56" t="str">
        <f t="shared" si="4"/>
        <v>0-4.9%</v>
      </c>
      <c r="Z15" s="8" t="s">
        <v>111</v>
      </c>
      <c r="AB15" s="38">
        <v>2320</v>
      </c>
      <c r="AC15" s="38">
        <v>7780</v>
      </c>
      <c r="AD15" s="38"/>
      <c r="AE15" s="38"/>
      <c r="AF15" s="38"/>
      <c r="AG15" s="38"/>
      <c r="AH15" s="38"/>
    </row>
    <row r="16" spans="1:34" ht="24" customHeight="1" x14ac:dyDescent="0.25">
      <c r="A16" s="10">
        <v>12</v>
      </c>
      <c r="B16" s="9">
        <v>0.3659722222222222</v>
      </c>
      <c r="C16" s="5" t="s">
        <v>20</v>
      </c>
      <c r="D16" s="5">
        <v>7</v>
      </c>
      <c r="E16" s="15"/>
      <c r="F16" s="15" t="s">
        <v>23</v>
      </c>
      <c r="G16" s="19">
        <f t="shared" si="5"/>
        <v>4.4400000000000004</v>
      </c>
      <c r="H16" s="19">
        <f t="shared" si="6"/>
        <v>6.08</v>
      </c>
      <c r="I16" s="19">
        <f t="shared" si="7"/>
        <v>0</v>
      </c>
      <c r="J16" s="19">
        <f t="shared" si="8"/>
        <v>0</v>
      </c>
      <c r="K16" s="19">
        <f t="shared" si="9"/>
        <v>0</v>
      </c>
      <c r="L16" s="19">
        <f t="shared" si="10"/>
        <v>0</v>
      </c>
      <c r="M16" s="19">
        <f t="shared" si="11"/>
        <v>0</v>
      </c>
      <c r="N16" s="39">
        <f t="shared" si="12"/>
        <v>10.52</v>
      </c>
      <c r="O16" s="39">
        <f t="shared" si="1"/>
        <v>3.1366431655048812</v>
      </c>
      <c r="P16" s="40">
        <v>8</v>
      </c>
      <c r="Q16" s="40">
        <v>10</v>
      </c>
      <c r="R16" s="40">
        <v>9</v>
      </c>
      <c r="S16" s="40">
        <v>9</v>
      </c>
      <c r="T16" s="40">
        <v>9</v>
      </c>
      <c r="U16" s="40">
        <v>9</v>
      </c>
      <c r="V16" s="40">
        <v>9</v>
      </c>
      <c r="W16" s="41" t="str">
        <f t="shared" si="13"/>
        <v>N</v>
      </c>
      <c r="X16" s="56">
        <f t="shared" si="14"/>
        <v>0</v>
      </c>
      <c r="Y16" s="56" t="str">
        <f t="shared" si="4"/>
        <v>0-4.9%</v>
      </c>
      <c r="Z16" s="8" t="s">
        <v>35</v>
      </c>
      <c r="AB16" s="38">
        <v>4440</v>
      </c>
      <c r="AC16" s="38">
        <v>6080</v>
      </c>
      <c r="AD16" s="38"/>
      <c r="AE16" s="38"/>
      <c r="AF16" s="38"/>
      <c r="AG16" s="38"/>
      <c r="AH16" s="38"/>
    </row>
    <row r="17" spans="1:34" ht="24" customHeight="1" x14ac:dyDescent="0.25">
      <c r="A17" s="10">
        <v>13</v>
      </c>
      <c r="B17" s="9">
        <v>0.3743055555555555</v>
      </c>
      <c r="C17" s="5" t="s">
        <v>20</v>
      </c>
      <c r="D17" s="5">
        <v>7</v>
      </c>
      <c r="E17" s="15"/>
      <c r="F17" s="15" t="s">
        <v>23</v>
      </c>
      <c r="G17" s="19">
        <f t="shared" si="5"/>
        <v>2.92</v>
      </c>
      <c r="H17" s="19">
        <f t="shared" si="6"/>
        <v>2.86</v>
      </c>
      <c r="I17" s="19">
        <f t="shared" si="7"/>
        <v>0</v>
      </c>
      <c r="J17" s="19">
        <f t="shared" si="8"/>
        <v>0</v>
      </c>
      <c r="K17" s="19">
        <f t="shared" si="9"/>
        <v>0</v>
      </c>
      <c r="L17" s="19">
        <f t="shared" si="10"/>
        <v>0</v>
      </c>
      <c r="M17" s="19">
        <f t="shared" si="11"/>
        <v>0</v>
      </c>
      <c r="N17" s="39">
        <f t="shared" si="12"/>
        <v>5.7799999999999994</v>
      </c>
      <c r="O17" s="39">
        <f t="shared" si="1"/>
        <v>0.21187004483872118</v>
      </c>
      <c r="P17" s="40">
        <v>8</v>
      </c>
      <c r="Q17" s="40">
        <v>10</v>
      </c>
      <c r="R17" s="40">
        <v>9</v>
      </c>
      <c r="S17" s="40">
        <v>9</v>
      </c>
      <c r="T17" s="40">
        <v>9</v>
      </c>
      <c r="U17" s="40">
        <v>9</v>
      </c>
      <c r="V17" s="40">
        <v>9</v>
      </c>
      <c r="W17" s="41" t="str">
        <f t="shared" si="13"/>
        <v>N</v>
      </c>
      <c r="X17" s="56">
        <f t="shared" si="14"/>
        <v>0</v>
      </c>
      <c r="Y17" s="56" t="str">
        <f t="shared" si="4"/>
        <v>0-4.9%</v>
      </c>
      <c r="Z17" s="8" t="s">
        <v>118</v>
      </c>
      <c r="AB17" s="38">
        <v>2920</v>
      </c>
      <c r="AC17" s="38">
        <v>2860</v>
      </c>
      <c r="AD17" s="38"/>
      <c r="AE17" s="38"/>
      <c r="AF17" s="38"/>
      <c r="AG17" s="38"/>
      <c r="AH17" s="38"/>
    </row>
    <row r="18" spans="1:34" ht="24" customHeight="1" x14ac:dyDescent="0.25">
      <c r="A18" s="10">
        <v>14</v>
      </c>
      <c r="B18" s="9">
        <v>0.37847222222222227</v>
      </c>
      <c r="C18" s="5" t="s">
        <v>20</v>
      </c>
      <c r="D18" s="5">
        <v>7</v>
      </c>
      <c r="E18" s="15"/>
      <c r="F18" s="22" t="s">
        <v>23</v>
      </c>
      <c r="G18" s="19">
        <f t="shared" si="5"/>
        <v>8.98</v>
      </c>
      <c r="H18" s="19">
        <f t="shared" si="6"/>
        <v>14.78</v>
      </c>
      <c r="I18" s="19">
        <f t="shared" si="7"/>
        <v>0</v>
      </c>
      <c r="J18" s="19">
        <f t="shared" si="8"/>
        <v>0</v>
      </c>
      <c r="K18" s="19">
        <f t="shared" si="9"/>
        <v>0</v>
      </c>
      <c r="L18" s="19">
        <f t="shared" si="10"/>
        <v>0</v>
      </c>
      <c r="M18" s="19">
        <f t="shared" si="11"/>
        <v>0</v>
      </c>
      <c r="N18" s="39">
        <f t="shared" si="12"/>
        <v>23.759999999999998</v>
      </c>
      <c r="O18" s="39">
        <f t="shared" si="1"/>
        <v>122.66008152416727</v>
      </c>
      <c r="P18" s="40">
        <v>8</v>
      </c>
      <c r="Q18" s="40">
        <v>10</v>
      </c>
      <c r="R18" s="40">
        <v>9</v>
      </c>
      <c r="S18" s="40">
        <v>9</v>
      </c>
      <c r="T18" s="40">
        <v>9</v>
      </c>
      <c r="U18" s="40">
        <v>9</v>
      </c>
      <c r="V18" s="40">
        <v>9</v>
      </c>
      <c r="W18" s="41" t="str">
        <f t="shared" si="13"/>
        <v>Y</v>
      </c>
      <c r="X18" s="56">
        <f t="shared" si="14"/>
        <v>0.47799999999999992</v>
      </c>
      <c r="Y18" s="56" t="str">
        <f t="shared" si="4"/>
        <v>25-50%</v>
      </c>
      <c r="Z18" s="8" t="s">
        <v>35</v>
      </c>
      <c r="AB18" s="38">
        <v>8980</v>
      </c>
      <c r="AC18" s="38">
        <v>14780</v>
      </c>
      <c r="AD18" s="38"/>
      <c r="AE18" s="38"/>
      <c r="AF18" s="38"/>
      <c r="AG18" s="38"/>
      <c r="AH18" s="38"/>
    </row>
    <row r="19" spans="1:34" ht="24" customHeight="1" x14ac:dyDescent="0.25">
      <c r="A19" s="10">
        <v>16</v>
      </c>
      <c r="B19" s="9">
        <v>0.3888888888888889</v>
      </c>
      <c r="C19" s="5" t="s">
        <v>20</v>
      </c>
      <c r="D19" s="5">
        <v>7</v>
      </c>
      <c r="E19" s="15"/>
      <c r="F19" s="15" t="s">
        <v>23</v>
      </c>
      <c r="G19" s="19">
        <f t="shared" si="5"/>
        <v>3.06</v>
      </c>
      <c r="H19" s="19">
        <f t="shared" si="6"/>
        <v>5.86</v>
      </c>
      <c r="I19" s="19">
        <f t="shared" si="7"/>
        <v>0</v>
      </c>
      <c r="J19" s="19">
        <f t="shared" si="8"/>
        <v>0</v>
      </c>
      <c r="K19" s="19">
        <f t="shared" si="9"/>
        <v>0</v>
      </c>
      <c r="L19" s="19">
        <f t="shared" si="10"/>
        <v>0</v>
      </c>
      <c r="M19" s="19">
        <f t="shared" si="11"/>
        <v>0</v>
      </c>
      <c r="N19" s="39">
        <f t="shared" si="12"/>
        <v>8.92</v>
      </c>
      <c r="O19" s="39">
        <f t="shared" si="1"/>
        <v>1.4929186049255796</v>
      </c>
      <c r="P19" s="40">
        <v>8</v>
      </c>
      <c r="Q19" s="40">
        <v>10</v>
      </c>
      <c r="R19" s="40">
        <v>9</v>
      </c>
      <c r="S19" s="40">
        <v>9</v>
      </c>
      <c r="T19" s="40">
        <v>9</v>
      </c>
      <c r="U19" s="40">
        <v>9</v>
      </c>
      <c r="V19" s="40">
        <v>9</v>
      </c>
      <c r="W19" s="41" t="str">
        <f t="shared" si="13"/>
        <v>N</v>
      </c>
      <c r="X19" s="56">
        <f t="shared" si="14"/>
        <v>0</v>
      </c>
      <c r="Y19" s="56" t="str">
        <f t="shared" si="4"/>
        <v>0-4.9%</v>
      </c>
      <c r="Z19" s="8" t="s">
        <v>145</v>
      </c>
      <c r="AB19" s="38">
        <v>3060</v>
      </c>
      <c r="AC19" s="38">
        <v>5860</v>
      </c>
      <c r="AD19" s="38"/>
      <c r="AE19" s="38"/>
      <c r="AF19" s="38"/>
      <c r="AG19" s="38"/>
      <c r="AH19" s="38"/>
    </row>
    <row r="20" spans="1:34" ht="24" customHeight="1" x14ac:dyDescent="0.25">
      <c r="A20" s="10">
        <v>17</v>
      </c>
      <c r="B20" s="9">
        <v>0.39513888888888887</v>
      </c>
      <c r="C20" s="5" t="s">
        <v>20</v>
      </c>
      <c r="D20" s="5">
        <v>7</v>
      </c>
      <c r="E20" s="15"/>
      <c r="F20" s="15" t="s">
        <v>23</v>
      </c>
      <c r="G20" s="19">
        <f t="shared" si="5"/>
        <v>1.9</v>
      </c>
      <c r="H20" s="19">
        <f t="shared" si="6"/>
        <v>2.14</v>
      </c>
      <c r="I20" s="19">
        <f t="shared" si="7"/>
        <v>0</v>
      </c>
      <c r="J20" s="19">
        <f t="shared" si="8"/>
        <v>0</v>
      </c>
      <c r="K20" s="19">
        <f t="shared" si="9"/>
        <v>0</v>
      </c>
      <c r="L20" s="19">
        <f t="shared" si="10"/>
        <v>0</v>
      </c>
      <c r="M20" s="19">
        <f t="shared" si="11"/>
        <v>0</v>
      </c>
      <c r="N20" s="39">
        <f t="shared" si="12"/>
        <v>4.04</v>
      </c>
      <c r="O20" s="39">
        <f t="shared" si="1"/>
        <v>4.2277610041167112E-2</v>
      </c>
      <c r="P20" s="40">
        <v>8</v>
      </c>
      <c r="Q20" s="40">
        <v>10</v>
      </c>
      <c r="R20" s="40">
        <v>9</v>
      </c>
      <c r="S20" s="40">
        <v>9</v>
      </c>
      <c r="T20" s="40">
        <v>9</v>
      </c>
      <c r="U20" s="40">
        <v>9</v>
      </c>
      <c r="V20" s="40">
        <v>9</v>
      </c>
      <c r="W20" s="41" t="str">
        <f t="shared" si="13"/>
        <v>N</v>
      </c>
      <c r="X20" s="56">
        <f t="shared" si="14"/>
        <v>0</v>
      </c>
      <c r="Y20" s="56" t="str">
        <f t="shared" si="4"/>
        <v>0-4.9%</v>
      </c>
      <c r="Z20" s="8" t="s">
        <v>145</v>
      </c>
      <c r="AB20" s="38">
        <v>1900</v>
      </c>
      <c r="AC20" s="38">
        <v>2140</v>
      </c>
      <c r="AD20" s="38"/>
      <c r="AE20" s="38"/>
      <c r="AF20" s="38"/>
      <c r="AG20" s="38"/>
      <c r="AH20" s="38"/>
    </row>
    <row r="21" spans="1:34" ht="24" customHeight="1" x14ac:dyDescent="0.25">
      <c r="A21" s="10">
        <v>18</v>
      </c>
      <c r="B21" s="9">
        <v>0.4069444444444445</v>
      </c>
      <c r="C21" s="5" t="s">
        <v>20</v>
      </c>
      <c r="D21" s="5">
        <v>7</v>
      </c>
      <c r="E21" s="15"/>
      <c r="F21" s="15" t="s">
        <v>23</v>
      </c>
      <c r="G21" s="19">
        <f t="shared" si="5"/>
        <v>2.68</v>
      </c>
      <c r="H21" s="19">
        <f t="shared" si="6"/>
        <v>3.58</v>
      </c>
      <c r="I21" s="19">
        <f t="shared" si="7"/>
        <v>0</v>
      </c>
      <c r="J21" s="19">
        <f t="shared" si="8"/>
        <v>0</v>
      </c>
      <c r="K21" s="19">
        <f t="shared" si="9"/>
        <v>0</v>
      </c>
      <c r="L21" s="19">
        <f t="shared" si="10"/>
        <v>0</v>
      </c>
      <c r="M21" s="19">
        <f t="shared" si="11"/>
        <v>0</v>
      </c>
      <c r="N21" s="39">
        <f t="shared" si="12"/>
        <v>6.26</v>
      </c>
      <c r="O21" s="39">
        <f t="shared" si="1"/>
        <v>0.3033742984604833</v>
      </c>
      <c r="P21" s="40">
        <v>8</v>
      </c>
      <c r="Q21" s="40">
        <v>10</v>
      </c>
      <c r="R21" s="40">
        <v>9</v>
      </c>
      <c r="S21" s="40">
        <v>9</v>
      </c>
      <c r="T21" s="40">
        <v>9</v>
      </c>
      <c r="U21" s="40">
        <v>9</v>
      </c>
      <c r="V21" s="40">
        <v>9</v>
      </c>
      <c r="W21" s="41" t="str">
        <f t="shared" si="13"/>
        <v>N</v>
      </c>
      <c r="X21" s="56">
        <f t="shared" si="14"/>
        <v>0</v>
      </c>
      <c r="Y21" s="56" t="str">
        <f t="shared" si="4"/>
        <v>0-4.9%</v>
      </c>
      <c r="Z21" s="8" t="s">
        <v>35</v>
      </c>
      <c r="AB21" s="38">
        <v>2680</v>
      </c>
      <c r="AC21" s="38">
        <v>3580</v>
      </c>
      <c r="AD21" s="38"/>
      <c r="AE21" s="38"/>
      <c r="AF21" s="38"/>
      <c r="AG21" s="38"/>
      <c r="AH21" s="38"/>
    </row>
    <row r="22" spans="1:34" ht="24" customHeight="1" x14ac:dyDescent="0.25">
      <c r="A22" s="10">
        <v>19</v>
      </c>
      <c r="B22" s="9">
        <v>0.41180555555555554</v>
      </c>
      <c r="C22" s="5" t="s">
        <v>20</v>
      </c>
      <c r="D22" s="5">
        <v>7</v>
      </c>
      <c r="E22" s="15"/>
      <c r="F22" s="15" t="s">
        <v>23</v>
      </c>
      <c r="G22" s="19">
        <f t="shared" si="5"/>
        <v>2.2400000000000002</v>
      </c>
      <c r="H22" s="19">
        <f t="shared" si="6"/>
        <v>2.16</v>
      </c>
      <c r="I22" s="19">
        <f t="shared" si="7"/>
        <v>0</v>
      </c>
      <c r="J22" s="19">
        <f t="shared" si="8"/>
        <v>0</v>
      </c>
      <c r="K22" s="19">
        <f t="shared" si="9"/>
        <v>0</v>
      </c>
      <c r="L22" s="19">
        <f t="shared" si="10"/>
        <v>0</v>
      </c>
      <c r="M22" s="19">
        <f t="shared" si="11"/>
        <v>0</v>
      </c>
      <c r="N22" s="39">
        <f t="shared" si="12"/>
        <v>4.4000000000000004</v>
      </c>
      <c r="O22" s="39">
        <f t="shared" si="1"/>
        <v>6.2077087080684643E-2</v>
      </c>
      <c r="P22" s="40">
        <v>8</v>
      </c>
      <c r="Q22" s="40">
        <v>10</v>
      </c>
      <c r="R22" s="40">
        <v>9</v>
      </c>
      <c r="S22" s="40">
        <v>9</v>
      </c>
      <c r="T22" s="40">
        <v>9</v>
      </c>
      <c r="U22" s="40">
        <v>9</v>
      </c>
      <c r="V22" s="40">
        <v>9</v>
      </c>
      <c r="W22" s="41" t="str">
        <f t="shared" si="13"/>
        <v>N</v>
      </c>
      <c r="X22" s="56">
        <f t="shared" si="14"/>
        <v>0</v>
      </c>
      <c r="Y22" s="56" t="str">
        <f t="shared" si="4"/>
        <v>0-4.9%</v>
      </c>
      <c r="Z22" s="8" t="s">
        <v>118</v>
      </c>
      <c r="AB22" s="38">
        <v>2240</v>
      </c>
      <c r="AC22" s="38">
        <v>2160</v>
      </c>
      <c r="AD22" s="38"/>
      <c r="AE22" s="38"/>
      <c r="AF22" s="38"/>
      <c r="AG22" s="38"/>
      <c r="AH22" s="38"/>
    </row>
    <row r="23" spans="1:34" ht="24" customHeight="1" x14ac:dyDescent="0.25">
      <c r="A23" s="10">
        <v>20</v>
      </c>
      <c r="B23" s="9">
        <v>0.41736111111111113</v>
      </c>
      <c r="C23" s="5" t="s">
        <v>20</v>
      </c>
      <c r="D23" s="5">
        <v>7</v>
      </c>
      <c r="E23" s="15"/>
      <c r="F23" s="15" t="s">
        <v>23</v>
      </c>
      <c r="G23" s="19">
        <f t="shared" si="5"/>
        <v>8.18</v>
      </c>
      <c r="H23" s="19">
        <f t="shared" si="6"/>
        <v>18.46</v>
      </c>
      <c r="I23" s="19">
        <f t="shared" si="7"/>
        <v>0</v>
      </c>
      <c r="J23" s="19">
        <f t="shared" si="8"/>
        <v>0</v>
      </c>
      <c r="K23" s="19">
        <f t="shared" si="9"/>
        <v>0</v>
      </c>
      <c r="L23" s="19">
        <f t="shared" si="10"/>
        <v>0</v>
      </c>
      <c r="M23" s="19">
        <f t="shared" si="11"/>
        <v>0</v>
      </c>
      <c r="N23" s="39">
        <f t="shared" si="12"/>
        <v>26.64</v>
      </c>
      <c r="O23" s="39">
        <f t="shared" si="1"/>
        <v>205.25714216751078</v>
      </c>
      <c r="P23" s="40">
        <v>8</v>
      </c>
      <c r="Q23" s="40">
        <v>10</v>
      </c>
      <c r="R23" s="40">
        <v>9</v>
      </c>
      <c r="S23" s="40">
        <v>9</v>
      </c>
      <c r="T23" s="40">
        <v>9</v>
      </c>
      <c r="U23" s="40">
        <v>9</v>
      </c>
      <c r="V23" s="40">
        <v>9</v>
      </c>
      <c r="W23" s="41" t="str">
        <f t="shared" si="13"/>
        <v>Y</v>
      </c>
      <c r="X23" s="56">
        <f t="shared" si="14"/>
        <v>0.84600000000000009</v>
      </c>
      <c r="Y23" s="56" t="str">
        <f t="shared" si="4"/>
        <v>Over 50%</v>
      </c>
      <c r="Z23" s="8" t="s">
        <v>35</v>
      </c>
      <c r="AB23" s="38">
        <v>8180</v>
      </c>
      <c r="AC23" s="38">
        <v>18460</v>
      </c>
      <c r="AD23" s="38"/>
      <c r="AE23" s="38"/>
      <c r="AF23" s="38"/>
      <c r="AG23" s="38"/>
      <c r="AH23" s="38"/>
    </row>
    <row r="24" spans="1:34" ht="24" customHeight="1" x14ac:dyDescent="0.25">
      <c r="A24" s="10">
        <v>22</v>
      </c>
      <c r="B24" s="9">
        <v>0.42708333333333331</v>
      </c>
      <c r="C24" s="5" t="s">
        <v>20</v>
      </c>
      <c r="D24" s="5">
        <v>7</v>
      </c>
      <c r="E24" s="15"/>
      <c r="F24" s="15" t="s">
        <v>23</v>
      </c>
      <c r="G24" s="19">
        <f t="shared" si="5"/>
        <v>2.64</v>
      </c>
      <c r="H24" s="19">
        <f t="shared" si="6"/>
        <v>2.72</v>
      </c>
      <c r="I24" s="19">
        <f t="shared" si="7"/>
        <v>0</v>
      </c>
      <c r="J24" s="19">
        <f t="shared" si="8"/>
        <v>0</v>
      </c>
      <c r="K24" s="19">
        <f t="shared" si="9"/>
        <v>0</v>
      </c>
      <c r="L24" s="19">
        <f t="shared" si="10"/>
        <v>0</v>
      </c>
      <c r="M24" s="19">
        <f t="shared" si="11"/>
        <v>0</v>
      </c>
      <c r="N24" s="39">
        <f t="shared" si="12"/>
        <v>5.36</v>
      </c>
      <c r="O24" s="39">
        <f t="shared" si="1"/>
        <v>0.15088144658057004</v>
      </c>
      <c r="P24" s="40">
        <v>8</v>
      </c>
      <c r="Q24" s="40">
        <v>10</v>
      </c>
      <c r="R24" s="40">
        <v>9</v>
      </c>
      <c r="S24" s="40">
        <v>9</v>
      </c>
      <c r="T24" s="40">
        <v>9</v>
      </c>
      <c r="U24" s="40">
        <v>9</v>
      </c>
      <c r="V24" s="40">
        <v>9</v>
      </c>
      <c r="W24" s="41" t="str">
        <f t="shared" si="13"/>
        <v>N</v>
      </c>
      <c r="X24" s="56">
        <f t="shared" si="14"/>
        <v>0</v>
      </c>
      <c r="Y24" s="56" t="str">
        <f t="shared" si="4"/>
        <v>0-4.9%</v>
      </c>
      <c r="Z24" s="8" t="s">
        <v>118</v>
      </c>
      <c r="AB24" s="38">
        <v>2640</v>
      </c>
      <c r="AC24" s="38">
        <v>2720</v>
      </c>
      <c r="AD24" s="38"/>
      <c r="AE24" s="38"/>
      <c r="AF24" s="38"/>
      <c r="AG24" s="38"/>
      <c r="AH24" s="38"/>
    </row>
    <row r="25" spans="1:34" ht="24" customHeight="1" x14ac:dyDescent="0.25">
      <c r="A25" s="10">
        <v>23</v>
      </c>
      <c r="B25" s="9">
        <v>0.4375</v>
      </c>
      <c r="C25" s="5" t="s">
        <v>20</v>
      </c>
      <c r="D25" s="5">
        <v>7</v>
      </c>
      <c r="E25" s="15"/>
      <c r="F25" s="15" t="s">
        <v>23</v>
      </c>
      <c r="G25" s="19">
        <f t="shared" si="5"/>
        <v>6.26</v>
      </c>
      <c r="H25" s="19">
        <f t="shared" si="6"/>
        <v>19.239999999999998</v>
      </c>
      <c r="I25" s="19">
        <f t="shared" si="7"/>
        <v>0</v>
      </c>
      <c r="J25" s="19">
        <f t="shared" si="8"/>
        <v>0</v>
      </c>
      <c r="K25" s="19">
        <f t="shared" si="9"/>
        <v>0</v>
      </c>
      <c r="L25" s="19">
        <f t="shared" si="10"/>
        <v>0</v>
      </c>
      <c r="M25" s="19">
        <f t="shared" si="11"/>
        <v>0</v>
      </c>
      <c r="N25" s="39">
        <f t="shared" si="12"/>
        <v>25.5</v>
      </c>
      <c r="O25" s="39">
        <f t="shared" si="1"/>
        <v>168.58739404357613</v>
      </c>
      <c r="P25" s="40">
        <v>8</v>
      </c>
      <c r="Q25" s="40">
        <v>10</v>
      </c>
      <c r="R25" s="40">
        <v>9</v>
      </c>
      <c r="S25" s="40">
        <v>9</v>
      </c>
      <c r="T25" s="40">
        <v>9</v>
      </c>
      <c r="U25" s="40">
        <v>9</v>
      </c>
      <c r="V25" s="40">
        <v>9</v>
      </c>
      <c r="W25" s="41" t="str">
        <f t="shared" si="13"/>
        <v>Y</v>
      </c>
      <c r="X25" s="56">
        <f t="shared" si="14"/>
        <v>0.92399999999999982</v>
      </c>
      <c r="Y25" s="56" t="str">
        <f t="shared" si="4"/>
        <v>Over 50%</v>
      </c>
      <c r="Z25" s="8" t="s">
        <v>111</v>
      </c>
      <c r="AB25" s="38">
        <v>6260</v>
      </c>
      <c r="AC25" s="38">
        <v>19240</v>
      </c>
      <c r="AD25" s="38"/>
      <c r="AE25" s="38"/>
      <c r="AF25" s="38"/>
      <c r="AG25" s="38"/>
      <c r="AH25" s="38"/>
    </row>
    <row r="26" spans="1:34" ht="24" customHeight="1" x14ac:dyDescent="0.25">
      <c r="A26" s="10">
        <v>24</v>
      </c>
      <c r="B26" s="9">
        <v>0.44027777777777777</v>
      </c>
      <c r="C26" s="5" t="s">
        <v>20</v>
      </c>
      <c r="D26" s="5">
        <v>7</v>
      </c>
      <c r="E26" s="15"/>
      <c r="F26" s="15" t="s">
        <v>23</v>
      </c>
      <c r="G26" s="19">
        <f t="shared" si="5"/>
        <v>2.4</v>
      </c>
      <c r="H26" s="19">
        <f t="shared" si="6"/>
        <v>1.84</v>
      </c>
      <c r="I26" s="19">
        <f t="shared" si="7"/>
        <v>0</v>
      </c>
      <c r="J26" s="19">
        <f t="shared" si="8"/>
        <v>0</v>
      </c>
      <c r="K26" s="19">
        <f t="shared" si="9"/>
        <v>0</v>
      </c>
      <c r="L26" s="19">
        <f t="shared" si="10"/>
        <v>0</v>
      </c>
      <c r="M26" s="19">
        <f t="shared" si="11"/>
        <v>0</v>
      </c>
      <c r="N26" s="39">
        <f t="shared" si="12"/>
        <v>4.24</v>
      </c>
      <c r="O26" s="39">
        <f t="shared" si="1"/>
        <v>5.254611842539194E-2</v>
      </c>
      <c r="P26" s="40">
        <v>8</v>
      </c>
      <c r="Q26" s="40">
        <v>10</v>
      </c>
      <c r="R26" s="40">
        <v>9</v>
      </c>
      <c r="S26" s="40">
        <v>9</v>
      </c>
      <c r="T26" s="40">
        <v>9</v>
      </c>
      <c r="U26" s="40">
        <v>9</v>
      </c>
      <c r="V26" s="40">
        <v>9</v>
      </c>
      <c r="W26" s="41" t="str">
        <f t="shared" si="13"/>
        <v>N</v>
      </c>
      <c r="X26" s="56">
        <f t="shared" si="14"/>
        <v>0</v>
      </c>
      <c r="Y26" s="56" t="str">
        <f t="shared" si="4"/>
        <v>0-4.9%</v>
      </c>
      <c r="Z26" s="8" t="s">
        <v>118</v>
      </c>
      <c r="AB26" s="38">
        <v>2400</v>
      </c>
      <c r="AC26" s="38">
        <v>1840</v>
      </c>
      <c r="AD26" s="38"/>
      <c r="AE26" s="38"/>
      <c r="AF26" s="38"/>
      <c r="AG26" s="38"/>
      <c r="AH26" s="38"/>
    </row>
    <row r="27" spans="1:34" ht="24" customHeight="1" x14ac:dyDescent="0.25">
      <c r="A27" s="10">
        <v>25</v>
      </c>
      <c r="B27" s="9">
        <v>0.44166666666666665</v>
      </c>
      <c r="C27" s="5" t="s">
        <v>20</v>
      </c>
      <c r="D27" s="5">
        <v>7</v>
      </c>
      <c r="E27" s="15"/>
      <c r="F27" s="15" t="s">
        <v>23</v>
      </c>
      <c r="G27" s="19">
        <f t="shared" si="5"/>
        <v>2.88</v>
      </c>
      <c r="H27" s="19">
        <f t="shared" si="6"/>
        <v>2.75</v>
      </c>
      <c r="I27" s="19">
        <f t="shared" si="7"/>
        <v>0</v>
      </c>
      <c r="J27" s="19">
        <f t="shared" si="8"/>
        <v>0</v>
      </c>
      <c r="K27" s="19">
        <f t="shared" si="9"/>
        <v>0</v>
      </c>
      <c r="L27" s="19">
        <f t="shared" si="10"/>
        <v>0</v>
      </c>
      <c r="M27" s="19">
        <f t="shared" si="11"/>
        <v>0</v>
      </c>
      <c r="N27" s="39">
        <f t="shared" si="12"/>
        <v>5.63</v>
      </c>
      <c r="O27" s="39">
        <f t="shared" si="1"/>
        <v>0.18822706155239255</v>
      </c>
      <c r="P27" s="40">
        <v>8</v>
      </c>
      <c r="Q27" s="40">
        <v>10</v>
      </c>
      <c r="R27" s="40">
        <v>9</v>
      </c>
      <c r="S27" s="40">
        <v>9</v>
      </c>
      <c r="T27" s="40">
        <v>9</v>
      </c>
      <c r="U27" s="40">
        <v>9</v>
      </c>
      <c r="V27" s="40">
        <v>9</v>
      </c>
      <c r="W27" s="41" t="str">
        <f t="shared" si="13"/>
        <v>N</v>
      </c>
      <c r="X27" s="56">
        <f t="shared" si="14"/>
        <v>0</v>
      </c>
      <c r="Y27" s="56" t="str">
        <f t="shared" si="4"/>
        <v>0-4.9%</v>
      </c>
      <c r="Z27" s="8" t="s">
        <v>118</v>
      </c>
      <c r="AB27" s="38">
        <v>2880</v>
      </c>
      <c r="AC27" s="38">
        <v>2750</v>
      </c>
      <c r="AD27" s="38"/>
      <c r="AE27" s="38"/>
      <c r="AF27" s="38"/>
      <c r="AG27" s="38"/>
      <c r="AH27" s="38"/>
    </row>
    <row r="28" spans="1:34" ht="24" customHeight="1" x14ac:dyDescent="0.25">
      <c r="A28" s="10">
        <v>26</v>
      </c>
      <c r="B28" s="9">
        <v>0.4465277777777778</v>
      </c>
      <c r="C28" s="5" t="s">
        <v>20</v>
      </c>
      <c r="D28" s="5">
        <v>7</v>
      </c>
      <c r="E28" s="15"/>
      <c r="F28" s="15" t="s">
        <v>23</v>
      </c>
      <c r="G28" s="19">
        <f t="shared" si="5"/>
        <v>4.74</v>
      </c>
      <c r="H28" s="19">
        <f t="shared" si="6"/>
        <v>10.38</v>
      </c>
      <c r="I28" s="19">
        <f t="shared" si="7"/>
        <v>0</v>
      </c>
      <c r="J28" s="19">
        <f t="shared" si="8"/>
        <v>0</v>
      </c>
      <c r="K28" s="19">
        <f t="shared" si="9"/>
        <v>0</v>
      </c>
      <c r="L28" s="19">
        <f t="shared" si="10"/>
        <v>0</v>
      </c>
      <c r="M28" s="19">
        <f t="shared" si="11"/>
        <v>0</v>
      </c>
      <c r="N28" s="39">
        <f t="shared" si="12"/>
        <v>15.120000000000001</v>
      </c>
      <c r="O28" s="39">
        <f t="shared" si="1"/>
        <v>16.046390093555257</v>
      </c>
      <c r="P28" s="40">
        <v>8</v>
      </c>
      <c r="Q28" s="40">
        <v>10</v>
      </c>
      <c r="R28" s="40">
        <v>9</v>
      </c>
      <c r="S28" s="40">
        <v>9</v>
      </c>
      <c r="T28" s="40">
        <v>9</v>
      </c>
      <c r="U28" s="40">
        <v>9</v>
      </c>
      <c r="V28" s="40">
        <v>9</v>
      </c>
      <c r="W28" s="41" t="str">
        <f t="shared" si="13"/>
        <v>Y</v>
      </c>
      <c r="X28" s="56">
        <f t="shared" si="14"/>
        <v>3.8000000000000075E-2</v>
      </c>
      <c r="Y28" s="56" t="str">
        <f t="shared" si="4"/>
        <v>0-4.9%</v>
      </c>
      <c r="Z28" s="8" t="s">
        <v>35</v>
      </c>
      <c r="AB28" s="38">
        <v>4740</v>
      </c>
      <c r="AC28" s="38">
        <v>10380</v>
      </c>
      <c r="AD28" s="38"/>
      <c r="AE28" s="38"/>
      <c r="AF28" s="38"/>
      <c r="AG28" s="38"/>
      <c r="AH28" s="38"/>
    </row>
    <row r="29" spans="1:34" ht="24" customHeight="1" x14ac:dyDescent="0.25">
      <c r="A29" s="10">
        <v>29</v>
      </c>
      <c r="B29" s="9">
        <v>0.45</v>
      </c>
      <c r="C29" s="5" t="s">
        <v>20</v>
      </c>
      <c r="D29" s="5">
        <v>7</v>
      </c>
      <c r="E29" s="15"/>
      <c r="F29" s="15" t="s">
        <v>23</v>
      </c>
      <c r="G29" s="19">
        <f t="shared" si="5"/>
        <v>8.64</v>
      </c>
      <c r="H29" s="19">
        <f t="shared" si="6"/>
        <v>13.02</v>
      </c>
      <c r="I29" s="19">
        <f t="shared" si="7"/>
        <v>0</v>
      </c>
      <c r="J29" s="19">
        <f t="shared" si="8"/>
        <v>0</v>
      </c>
      <c r="K29" s="19">
        <f t="shared" si="9"/>
        <v>0</v>
      </c>
      <c r="L29" s="19">
        <f t="shared" si="10"/>
        <v>0</v>
      </c>
      <c r="M29" s="19">
        <f t="shared" si="11"/>
        <v>0</v>
      </c>
      <c r="N29" s="39">
        <f t="shared" si="12"/>
        <v>21.66</v>
      </c>
      <c r="O29" s="39">
        <f t="shared" si="1"/>
        <v>80.883012995737474</v>
      </c>
      <c r="P29" s="40">
        <v>8</v>
      </c>
      <c r="Q29" s="40">
        <v>10</v>
      </c>
      <c r="R29" s="40">
        <v>9</v>
      </c>
      <c r="S29" s="40">
        <v>9</v>
      </c>
      <c r="T29" s="40">
        <v>9</v>
      </c>
      <c r="U29" s="40">
        <v>9</v>
      </c>
      <c r="V29" s="40">
        <v>9</v>
      </c>
      <c r="W29" s="41" t="str">
        <f t="shared" si="13"/>
        <v>Y</v>
      </c>
      <c r="X29" s="56">
        <f t="shared" si="14"/>
        <v>0.30199999999999994</v>
      </c>
      <c r="Y29" s="56" t="str">
        <f t="shared" si="4"/>
        <v>25-50%</v>
      </c>
      <c r="Z29" s="8" t="s">
        <v>35</v>
      </c>
      <c r="AB29" s="38">
        <v>8640</v>
      </c>
      <c r="AC29" s="38">
        <v>13020</v>
      </c>
      <c r="AD29" s="38"/>
      <c r="AE29" s="38"/>
      <c r="AF29" s="38"/>
      <c r="AG29" s="38"/>
      <c r="AH29" s="38"/>
    </row>
    <row r="30" spans="1:34" ht="24" customHeight="1" x14ac:dyDescent="0.25">
      <c r="A30" s="10">
        <v>31</v>
      </c>
      <c r="B30" s="9">
        <v>0.4548611111111111</v>
      </c>
      <c r="C30" s="5" t="s">
        <v>20</v>
      </c>
      <c r="D30" s="5">
        <v>7</v>
      </c>
      <c r="E30" s="15"/>
      <c r="F30" s="15" t="s">
        <v>23</v>
      </c>
      <c r="G30" s="19">
        <f t="shared" si="5"/>
        <v>7.2</v>
      </c>
      <c r="H30" s="19">
        <f t="shared" si="6"/>
        <v>12.78</v>
      </c>
      <c r="I30" s="19">
        <f t="shared" si="7"/>
        <v>0</v>
      </c>
      <c r="J30" s="19">
        <f t="shared" si="8"/>
        <v>0</v>
      </c>
      <c r="K30" s="19">
        <f t="shared" si="9"/>
        <v>0</v>
      </c>
      <c r="L30" s="19">
        <f t="shared" si="10"/>
        <v>0</v>
      </c>
      <c r="M30" s="19">
        <f t="shared" si="11"/>
        <v>0</v>
      </c>
      <c r="N30" s="39">
        <f t="shared" si="12"/>
        <v>19.98</v>
      </c>
      <c r="O30" s="39">
        <f t="shared" si="1"/>
        <v>56.24371036502319</v>
      </c>
      <c r="P30" s="40">
        <v>8</v>
      </c>
      <c r="Q30" s="40">
        <v>10</v>
      </c>
      <c r="R30" s="40">
        <v>9</v>
      </c>
      <c r="S30" s="40">
        <v>9</v>
      </c>
      <c r="T30" s="40">
        <v>9</v>
      </c>
      <c r="U30" s="40">
        <v>9</v>
      </c>
      <c r="V30" s="40">
        <v>9</v>
      </c>
      <c r="W30" s="41" t="str">
        <f t="shared" si="13"/>
        <v>Y</v>
      </c>
      <c r="X30" s="56">
        <f t="shared" si="14"/>
        <v>0.27799999999999991</v>
      </c>
      <c r="Y30" s="56" t="str">
        <f t="shared" si="4"/>
        <v>25-50%</v>
      </c>
      <c r="Z30" s="8" t="s">
        <v>107</v>
      </c>
      <c r="AB30" s="38">
        <v>7200</v>
      </c>
      <c r="AC30" s="38">
        <v>12780</v>
      </c>
      <c r="AD30" s="38"/>
      <c r="AE30" s="38"/>
      <c r="AF30" s="38"/>
      <c r="AG30" s="38"/>
      <c r="AH30" s="38"/>
    </row>
    <row r="31" spans="1:34" ht="24" customHeight="1" x14ac:dyDescent="0.25">
      <c r="A31" s="10">
        <v>33</v>
      </c>
      <c r="B31" s="9">
        <v>0.45902777777777781</v>
      </c>
      <c r="C31" s="5" t="s">
        <v>20</v>
      </c>
      <c r="D31" s="5">
        <v>7</v>
      </c>
      <c r="E31" s="15"/>
      <c r="F31" s="15" t="s">
        <v>23</v>
      </c>
      <c r="G31" s="19">
        <f t="shared" si="5"/>
        <v>3.04</v>
      </c>
      <c r="H31" s="19">
        <f t="shared" si="6"/>
        <v>2.94</v>
      </c>
      <c r="I31" s="19">
        <f t="shared" si="7"/>
        <v>0</v>
      </c>
      <c r="J31" s="19">
        <f t="shared" si="8"/>
        <v>0</v>
      </c>
      <c r="K31" s="19">
        <f t="shared" si="9"/>
        <v>0</v>
      </c>
      <c r="L31" s="19">
        <f t="shared" si="10"/>
        <v>0</v>
      </c>
      <c r="M31" s="19">
        <f t="shared" si="11"/>
        <v>0</v>
      </c>
      <c r="N31" s="39">
        <f t="shared" si="12"/>
        <v>5.98</v>
      </c>
      <c r="O31" s="39">
        <f t="shared" si="1"/>
        <v>0.2469162164480998</v>
      </c>
      <c r="P31" s="40">
        <v>8</v>
      </c>
      <c r="Q31" s="40">
        <v>10</v>
      </c>
      <c r="R31" s="40">
        <v>9</v>
      </c>
      <c r="S31" s="40">
        <v>9</v>
      </c>
      <c r="T31" s="40">
        <v>9</v>
      </c>
      <c r="U31" s="40">
        <v>9</v>
      </c>
      <c r="V31" s="40">
        <v>9</v>
      </c>
      <c r="W31" s="41" t="str">
        <f t="shared" si="13"/>
        <v>N</v>
      </c>
      <c r="X31" s="56">
        <f t="shared" si="14"/>
        <v>0</v>
      </c>
      <c r="Y31" s="56" t="str">
        <f t="shared" si="4"/>
        <v>0-4.9%</v>
      </c>
      <c r="Z31" s="8" t="s">
        <v>118</v>
      </c>
      <c r="AB31" s="38">
        <v>3040</v>
      </c>
      <c r="AC31" s="38">
        <v>2940</v>
      </c>
      <c r="AD31" s="38"/>
      <c r="AE31" s="38"/>
      <c r="AF31" s="38"/>
      <c r="AG31" s="38"/>
      <c r="AH31" s="38"/>
    </row>
    <row r="32" spans="1:34" ht="24" customHeight="1" x14ac:dyDescent="0.25">
      <c r="A32" s="10">
        <v>35</v>
      </c>
      <c r="B32" s="9">
        <v>0.46388888888888885</v>
      </c>
      <c r="C32" s="5" t="s">
        <v>20</v>
      </c>
      <c r="D32" s="5">
        <v>7</v>
      </c>
      <c r="E32" s="15"/>
      <c r="F32" s="15" t="s">
        <v>23</v>
      </c>
      <c r="G32" s="19">
        <f t="shared" si="5"/>
        <v>2.56</v>
      </c>
      <c r="H32" s="19">
        <f t="shared" si="6"/>
        <v>2.88</v>
      </c>
      <c r="I32" s="19">
        <f t="shared" si="7"/>
        <v>0</v>
      </c>
      <c r="J32" s="19">
        <f t="shared" si="8"/>
        <v>0</v>
      </c>
      <c r="K32" s="19">
        <f t="shared" si="9"/>
        <v>0</v>
      </c>
      <c r="L32" s="19">
        <f t="shared" si="10"/>
        <v>0</v>
      </c>
      <c r="M32" s="19">
        <f t="shared" si="11"/>
        <v>0</v>
      </c>
      <c r="N32" s="39">
        <f t="shared" si="12"/>
        <v>5.4399999999999995</v>
      </c>
      <c r="O32" s="39">
        <f t="shared" si="1"/>
        <v>0.16128327524498287</v>
      </c>
      <c r="P32" s="40">
        <v>8</v>
      </c>
      <c r="Q32" s="40">
        <v>10</v>
      </c>
      <c r="R32" s="40">
        <v>9</v>
      </c>
      <c r="S32" s="40">
        <v>9</v>
      </c>
      <c r="T32" s="40">
        <v>9</v>
      </c>
      <c r="U32" s="40">
        <v>9</v>
      </c>
      <c r="V32" s="40">
        <v>9</v>
      </c>
      <c r="W32" s="41" t="str">
        <f t="shared" si="13"/>
        <v>N</v>
      </c>
      <c r="X32" s="56">
        <f t="shared" si="14"/>
        <v>0</v>
      </c>
      <c r="Y32" s="56" t="str">
        <f t="shared" si="4"/>
        <v>0-4.9%</v>
      </c>
      <c r="Z32" s="8" t="s">
        <v>118</v>
      </c>
      <c r="AB32" s="38">
        <v>2560</v>
      </c>
      <c r="AC32" s="38">
        <v>2880</v>
      </c>
      <c r="AD32" s="38"/>
      <c r="AE32" s="38"/>
      <c r="AF32" s="38"/>
      <c r="AG32" s="38"/>
      <c r="AH32" s="38"/>
    </row>
    <row r="33" spans="1:34" ht="24" customHeight="1" x14ac:dyDescent="0.25">
      <c r="A33" s="10">
        <v>36</v>
      </c>
      <c r="B33" s="9">
        <v>0.46527777777777773</v>
      </c>
      <c r="C33" s="5" t="s">
        <v>20</v>
      </c>
      <c r="D33" s="5">
        <v>7</v>
      </c>
      <c r="E33" s="15"/>
      <c r="F33" s="15" t="s">
        <v>23</v>
      </c>
      <c r="G33" s="19">
        <f t="shared" si="5"/>
        <v>3.5</v>
      </c>
      <c r="H33" s="19">
        <f t="shared" si="6"/>
        <v>3.56</v>
      </c>
      <c r="I33" s="19">
        <f t="shared" si="7"/>
        <v>0</v>
      </c>
      <c r="J33" s="19">
        <f t="shared" si="8"/>
        <v>0</v>
      </c>
      <c r="K33" s="19">
        <f t="shared" si="9"/>
        <v>0</v>
      </c>
      <c r="L33" s="19">
        <f t="shared" si="10"/>
        <v>0</v>
      </c>
      <c r="M33" s="19">
        <f t="shared" si="11"/>
        <v>0</v>
      </c>
      <c r="N33" s="39">
        <f t="shared" si="12"/>
        <v>7.0600000000000005</v>
      </c>
      <c r="O33" s="39">
        <f t="shared" si="1"/>
        <v>0.52121324131286151</v>
      </c>
      <c r="P33" s="40">
        <v>8</v>
      </c>
      <c r="Q33" s="40">
        <v>10</v>
      </c>
      <c r="R33" s="40">
        <v>9</v>
      </c>
      <c r="S33" s="40">
        <v>9</v>
      </c>
      <c r="T33" s="40">
        <v>9</v>
      </c>
      <c r="U33" s="40">
        <v>9</v>
      </c>
      <c r="V33" s="40">
        <v>9</v>
      </c>
      <c r="W33" s="41" t="str">
        <f t="shared" si="13"/>
        <v>N</v>
      </c>
      <c r="X33" s="56">
        <f t="shared" si="14"/>
        <v>0</v>
      </c>
      <c r="Y33" s="56" t="str">
        <f t="shared" si="4"/>
        <v>0-4.9%</v>
      </c>
      <c r="Z33" s="8" t="s">
        <v>118</v>
      </c>
      <c r="AB33" s="38">
        <v>3500</v>
      </c>
      <c r="AC33" s="38">
        <v>3560</v>
      </c>
      <c r="AD33" s="38"/>
      <c r="AE33" s="38"/>
      <c r="AF33" s="38"/>
      <c r="AG33" s="38"/>
      <c r="AH33" s="38"/>
    </row>
    <row r="34" spans="1:34" ht="24" customHeight="1" x14ac:dyDescent="0.25">
      <c r="A34" s="10">
        <v>37</v>
      </c>
      <c r="B34" s="9">
        <v>0.46597222222222223</v>
      </c>
      <c r="C34" s="5" t="s">
        <v>20</v>
      </c>
      <c r="D34" s="5">
        <v>7</v>
      </c>
      <c r="E34" s="15"/>
      <c r="F34" s="15" t="s">
        <v>23</v>
      </c>
      <c r="G34" s="19">
        <f t="shared" si="5"/>
        <v>4.9000000000000004</v>
      </c>
      <c r="H34" s="19">
        <f t="shared" si="6"/>
        <v>4.72</v>
      </c>
      <c r="I34" s="19">
        <f t="shared" si="7"/>
        <v>0</v>
      </c>
      <c r="J34" s="19">
        <f t="shared" si="8"/>
        <v>0</v>
      </c>
      <c r="K34" s="19">
        <f t="shared" si="9"/>
        <v>0</v>
      </c>
      <c r="L34" s="19">
        <f t="shared" si="10"/>
        <v>0</v>
      </c>
      <c r="M34" s="19">
        <f t="shared" si="11"/>
        <v>0</v>
      </c>
      <c r="N34" s="39">
        <f t="shared" si="12"/>
        <v>9.620000000000001</v>
      </c>
      <c r="O34" s="39">
        <f t="shared" si="1"/>
        <v>2.0974040862405223</v>
      </c>
      <c r="P34" s="40">
        <v>8</v>
      </c>
      <c r="Q34" s="40">
        <v>10</v>
      </c>
      <c r="R34" s="40">
        <v>9</v>
      </c>
      <c r="S34" s="40">
        <v>9</v>
      </c>
      <c r="T34" s="40">
        <v>9</v>
      </c>
      <c r="U34" s="40">
        <v>9</v>
      </c>
      <c r="V34" s="40">
        <v>9</v>
      </c>
      <c r="W34" s="41" t="str">
        <f t="shared" si="13"/>
        <v>N</v>
      </c>
      <c r="X34" s="56">
        <f t="shared" si="14"/>
        <v>0</v>
      </c>
      <c r="Y34" s="56" t="str">
        <f t="shared" si="4"/>
        <v>0-4.9%</v>
      </c>
      <c r="Z34" s="8" t="s">
        <v>107</v>
      </c>
      <c r="AB34" s="38">
        <v>4900</v>
      </c>
      <c r="AC34" s="38">
        <v>4720</v>
      </c>
      <c r="AD34" s="38"/>
      <c r="AE34" s="38"/>
      <c r="AF34" s="38"/>
      <c r="AG34" s="38"/>
      <c r="AH34" s="38"/>
    </row>
    <row r="35" spans="1:34" ht="24" customHeight="1" x14ac:dyDescent="0.25">
      <c r="A35" s="10">
        <v>38</v>
      </c>
      <c r="B35" s="9">
        <v>0.4680555555555555</v>
      </c>
      <c r="C35" s="5" t="s">
        <v>20</v>
      </c>
      <c r="D35" s="5">
        <v>7</v>
      </c>
      <c r="E35" s="15"/>
      <c r="F35" s="15" t="s">
        <v>23</v>
      </c>
      <c r="G35" s="19">
        <f t="shared" si="5"/>
        <v>6.52</v>
      </c>
      <c r="H35" s="19">
        <f t="shared" si="6"/>
        <v>18.28</v>
      </c>
      <c r="I35" s="19">
        <f t="shared" si="7"/>
        <v>0</v>
      </c>
      <c r="J35" s="19">
        <f t="shared" si="8"/>
        <v>0</v>
      </c>
      <c r="K35" s="19">
        <f t="shared" si="9"/>
        <v>0</v>
      </c>
      <c r="L35" s="19">
        <f t="shared" si="10"/>
        <v>0</v>
      </c>
      <c r="M35" s="19">
        <f t="shared" si="11"/>
        <v>0</v>
      </c>
      <c r="N35" s="39">
        <f t="shared" si="12"/>
        <v>24.8</v>
      </c>
      <c r="O35" s="39">
        <f t="shared" si="1"/>
        <v>148.73968223249935</v>
      </c>
      <c r="P35" s="40">
        <v>8</v>
      </c>
      <c r="Q35" s="40">
        <v>10</v>
      </c>
      <c r="R35" s="40">
        <v>9</v>
      </c>
      <c r="S35" s="40">
        <v>9</v>
      </c>
      <c r="T35" s="40">
        <v>9</v>
      </c>
      <c r="U35" s="40">
        <v>9</v>
      </c>
      <c r="V35" s="40">
        <v>9</v>
      </c>
      <c r="W35" s="41" t="str">
        <f t="shared" si="13"/>
        <v>Y</v>
      </c>
      <c r="X35" s="56">
        <f t="shared" si="14"/>
        <v>0.82800000000000007</v>
      </c>
      <c r="Y35" s="56" t="str">
        <f t="shared" si="4"/>
        <v>Over 50%</v>
      </c>
      <c r="Z35" s="8" t="s">
        <v>107</v>
      </c>
      <c r="AB35" s="38">
        <v>6520</v>
      </c>
      <c r="AC35" s="38">
        <v>18280</v>
      </c>
      <c r="AD35" s="38"/>
      <c r="AE35" s="38"/>
      <c r="AF35" s="38"/>
      <c r="AG35" s="38"/>
      <c r="AH35" s="38"/>
    </row>
    <row r="36" spans="1:34" ht="24" customHeight="1" x14ac:dyDescent="0.25">
      <c r="A36" s="10">
        <v>40</v>
      </c>
      <c r="B36" s="9">
        <v>0.47361111111111115</v>
      </c>
      <c r="C36" s="5" t="s">
        <v>20</v>
      </c>
      <c r="D36" s="5">
        <v>7</v>
      </c>
      <c r="E36" s="15"/>
      <c r="F36" s="15" t="s">
        <v>23</v>
      </c>
      <c r="G36" s="19">
        <f t="shared" si="5"/>
        <v>2.68</v>
      </c>
      <c r="H36" s="19">
        <f t="shared" si="6"/>
        <v>2.42</v>
      </c>
      <c r="I36" s="19">
        <f t="shared" si="7"/>
        <v>0</v>
      </c>
      <c r="J36" s="19">
        <f t="shared" si="8"/>
        <v>0</v>
      </c>
      <c r="K36" s="19">
        <f t="shared" si="9"/>
        <v>0</v>
      </c>
      <c r="L36" s="19">
        <f t="shared" si="10"/>
        <v>0</v>
      </c>
      <c r="M36" s="19">
        <f t="shared" si="11"/>
        <v>0</v>
      </c>
      <c r="N36" s="39">
        <f t="shared" si="12"/>
        <v>5.0999999999999996</v>
      </c>
      <c r="O36" s="39">
        <f t="shared" si="1"/>
        <v>0.12063131943391338</v>
      </c>
      <c r="P36" s="40">
        <v>8</v>
      </c>
      <c r="Q36" s="40">
        <v>10</v>
      </c>
      <c r="R36" s="40">
        <v>9</v>
      </c>
      <c r="S36" s="40">
        <v>9</v>
      </c>
      <c r="T36" s="40">
        <v>9</v>
      </c>
      <c r="U36" s="40">
        <v>9</v>
      </c>
      <c r="V36" s="40">
        <v>9</v>
      </c>
      <c r="W36" s="41" t="str">
        <f t="shared" si="13"/>
        <v>N</v>
      </c>
      <c r="X36" s="56">
        <f t="shared" si="14"/>
        <v>0</v>
      </c>
      <c r="Y36" s="56" t="str">
        <f t="shared" si="4"/>
        <v>0-4.9%</v>
      </c>
      <c r="Z36" s="8" t="s">
        <v>118</v>
      </c>
      <c r="AB36" s="38">
        <v>2680</v>
      </c>
      <c r="AC36" s="38">
        <v>2420</v>
      </c>
      <c r="AD36" s="38"/>
      <c r="AE36" s="38"/>
      <c r="AF36" s="38"/>
      <c r="AG36" s="38"/>
      <c r="AH36" s="38"/>
    </row>
    <row r="37" spans="1:34" ht="24" customHeight="1" x14ac:dyDescent="0.25">
      <c r="A37" s="10">
        <v>42</v>
      </c>
      <c r="B37" s="9">
        <v>0.47638888888888892</v>
      </c>
      <c r="C37" s="5" t="s">
        <v>20</v>
      </c>
      <c r="D37" s="5">
        <v>7</v>
      </c>
      <c r="E37" s="15"/>
      <c r="F37" s="15" t="s">
        <v>23</v>
      </c>
      <c r="G37" s="19">
        <f t="shared" si="5"/>
        <v>2.78</v>
      </c>
      <c r="H37" s="19">
        <f t="shared" si="6"/>
        <v>5.04</v>
      </c>
      <c r="I37" s="19">
        <f t="shared" si="7"/>
        <v>0</v>
      </c>
      <c r="J37" s="19">
        <f t="shared" si="8"/>
        <v>0</v>
      </c>
      <c r="K37" s="19">
        <f t="shared" si="9"/>
        <v>0</v>
      </c>
      <c r="L37" s="19">
        <f t="shared" si="10"/>
        <v>0</v>
      </c>
      <c r="M37" s="19">
        <f t="shared" si="11"/>
        <v>0</v>
      </c>
      <c r="N37" s="39">
        <f t="shared" si="12"/>
        <v>7.82</v>
      </c>
      <c r="O37" s="39">
        <f t="shared" si="1"/>
        <v>0.82570454357056522</v>
      </c>
      <c r="P37" s="40">
        <v>8</v>
      </c>
      <c r="Q37" s="40">
        <v>10</v>
      </c>
      <c r="R37" s="40">
        <v>9</v>
      </c>
      <c r="S37" s="40">
        <v>9</v>
      </c>
      <c r="T37" s="40">
        <v>9</v>
      </c>
      <c r="U37" s="40">
        <v>9</v>
      </c>
      <c r="V37" s="40">
        <v>9</v>
      </c>
      <c r="W37" s="41" t="str">
        <f t="shared" si="13"/>
        <v>N</v>
      </c>
      <c r="X37" s="56">
        <f t="shared" si="14"/>
        <v>0</v>
      </c>
      <c r="Y37" s="56" t="str">
        <f t="shared" si="4"/>
        <v>0-4.9%</v>
      </c>
      <c r="Z37" s="8" t="s">
        <v>145</v>
      </c>
      <c r="AB37" s="38">
        <v>2780</v>
      </c>
      <c r="AC37" s="38">
        <v>5040</v>
      </c>
      <c r="AD37" s="38"/>
      <c r="AE37" s="38"/>
      <c r="AF37" s="38"/>
      <c r="AG37" s="38"/>
      <c r="AH37" s="38"/>
    </row>
    <row r="38" spans="1:34" ht="24" customHeight="1" x14ac:dyDescent="0.25">
      <c r="A38" s="10">
        <v>43</v>
      </c>
      <c r="B38" s="9">
        <v>0.47847222222222219</v>
      </c>
      <c r="C38" s="5" t="s">
        <v>20</v>
      </c>
      <c r="D38" s="5">
        <v>7</v>
      </c>
      <c r="E38" s="15"/>
      <c r="F38" s="15" t="s">
        <v>23</v>
      </c>
      <c r="G38" s="19">
        <f t="shared" si="5"/>
        <v>2.96</v>
      </c>
      <c r="H38" s="19">
        <f t="shared" si="6"/>
        <v>3.2</v>
      </c>
      <c r="I38" s="19">
        <f t="shared" si="7"/>
        <v>0</v>
      </c>
      <c r="J38" s="19">
        <f t="shared" si="8"/>
        <v>0</v>
      </c>
      <c r="K38" s="19">
        <f t="shared" si="9"/>
        <v>0</v>
      </c>
      <c r="L38" s="19">
        <f t="shared" si="10"/>
        <v>0</v>
      </c>
      <c r="M38" s="19">
        <f t="shared" si="11"/>
        <v>0</v>
      </c>
      <c r="N38" s="39">
        <f t="shared" si="12"/>
        <v>6.16</v>
      </c>
      <c r="O38" s="39">
        <f t="shared" si="1"/>
        <v>0.28216782486146497</v>
      </c>
      <c r="P38" s="40">
        <v>8</v>
      </c>
      <c r="Q38" s="40">
        <v>10</v>
      </c>
      <c r="R38" s="40">
        <v>9</v>
      </c>
      <c r="S38" s="40">
        <v>9</v>
      </c>
      <c r="T38" s="40">
        <v>9</v>
      </c>
      <c r="U38" s="40">
        <v>9</v>
      </c>
      <c r="V38" s="40">
        <v>9</v>
      </c>
      <c r="W38" s="41" t="str">
        <f t="shared" si="13"/>
        <v>N</v>
      </c>
      <c r="X38" s="56">
        <f t="shared" si="14"/>
        <v>0</v>
      </c>
      <c r="Y38" s="56" t="str">
        <f t="shared" si="4"/>
        <v>0-4.9%</v>
      </c>
      <c r="Z38" s="8" t="s">
        <v>118</v>
      </c>
      <c r="AB38" s="38">
        <v>2960</v>
      </c>
      <c r="AC38" s="38">
        <v>3200</v>
      </c>
      <c r="AD38" s="38"/>
      <c r="AE38" s="38"/>
      <c r="AF38" s="38"/>
      <c r="AG38" s="38"/>
      <c r="AH38" s="38"/>
    </row>
    <row r="39" spans="1:34" ht="24" customHeight="1" x14ac:dyDescent="0.25">
      <c r="A39" s="10">
        <v>44</v>
      </c>
      <c r="B39" s="9">
        <v>0.47847222222222219</v>
      </c>
      <c r="C39" s="5" t="s">
        <v>20</v>
      </c>
      <c r="D39" s="5">
        <v>7</v>
      </c>
      <c r="E39" s="15"/>
      <c r="F39" s="15" t="s">
        <v>23</v>
      </c>
      <c r="G39" s="19">
        <f t="shared" si="5"/>
        <v>2.38</v>
      </c>
      <c r="H39" s="19">
        <f t="shared" si="6"/>
        <v>2.68</v>
      </c>
      <c r="I39" s="19">
        <f t="shared" si="7"/>
        <v>0</v>
      </c>
      <c r="J39" s="19">
        <f t="shared" si="8"/>
        <v>0</v>
      </c>
      <c r="K39" s="19">
        <f t="shared" si="9"/>
        <v>0</v>
      </c>
      <c r="L39" s="19">
        <f t="shared" si="10"/>
        <v>0</v>
      </c>
      <c r="M39" s="19">
        <f t="shared" si="11"/>
        <v>0</v>
      </c>
      <c r="N39" s="39">
        <f t="shared" si="12"/>
        <v>5.0600000000000005</v>
      </c>
      <c r="O39" s="39">
        <f t="shared" si="1"/>
        <v>0.11643179995049582</v>
      </c>
      <c r="P39" s="40">
        <v>8</v>
      </c>
      <c r="Q39" s="40">
        <v>10</v>
      </c>
      <c r="R39" s="40">
        <v>9</v>
      </c>
      <c r="S39" s="40">
        <v>9</v>
      </c>
      <c r="T39" s="40">
        <v>9</v>
      </c>
      <c r="U39" s="40">
        <v>9</v>
      </c>
      <c r="V39" s="40">
        <v>9</v>
      </c>
      <c r="W39" s="41" t="str">
        <f t="shared" si="13"/>
        <v>N</v>
      </c>
      <c r="X39" s="56">
        <f t="shared" si="14"/>
        <v>0</v>
      </c>
      <c r="Y39" s="56" t="str">
        <f t="shared" si="4"/>
        <v>0-4.9%</v>
      </c>
      <c r="Z39" s="8" t="s">
        <v>145</v>
      </c>
      <c r="AB39" s="38">
        <v>2380</v>
      </c>
      <c r="AC39" s="38">
        <v>2680</v>
      </c>
      <c r="AD39" s="38"/>
      <c r="AE39" s="38"/>
      <c r="AF39" s="38"/>
      <c r="AG39" s="38"/>
      <c r="AH39" s="38"/>
    </row>
    <row r="40" spans="1:34" ht="24" customHeight="1" x14ac:dyDescent="0.25">
      <c r="A40" s="10">
        <v>46</v>
      </c>
      <c r="B40" s="9">
        <v>0.48194444444444445</v>
      </c>
      <c r="C40" s="5" t="s">
        <v>20</v>
      </c>
      <c r="D40" s="5">
        <v>7</v>
      </c>
      <c r="E40" s="15"/>
      <c r="F40" s="15" t="s">
        <v>23</v>
      </c>
      <c r="G40" s="19">
        <f t="shared" si="5"/>
        <v>7.84</v>
      </c>
      <c r="H40" s="19">
        <f t="shared" si="6"/>
        <v>15.38</v>
      </c>
      <c r="I40" s="19">
        <f t="shared" si="7"/>
        <v>0</v>
      </c>
      <c r="J40" s="19">
        <f t="shared" si="8"/>
        <v>0</v>
      </c>
      <c r="K40" s="19">
        <f t="shared" si="9"/>
        <v>0</v>
      </c>
      <c r="L40" s="19">
        <f t="shared" si="10"/>
        <v>0</v>
      </c>
      <c r="M40" s="19">
        <f t="shared" si="11"/>
        <v>0</v>
      </c>
      <c r="N40" s="39">
        <f t="shared" si="12"/>
        <v>23.22</v>
      </c>
      <c r="O40" s="39">
        <f t="shared" si="1"/>
        <v>110.60487134420585</v>
      </c>
      <c r="P40" s="40">
        <v>8</v>
      </c>
      <c r="Q40" s="40">
        <v>10</v>
      </c>
      <c r="R40" s="40">
        <v>9</v>
      </c>
      <c r="S40" s="40">
        <v>9</v>
      </c>
      <c r="T40" s="40">
        <v>9</v>
      </c>
      <c r="U40" s="40">
        <v>9</v>
      </c>
      <c r="V40" s="40">
        <v>9</v>
      </c>
      <c r="W40" s="41" t="str">
        <f t="shared" si="13"/>
        <v>Y</v>
      </c>
      <c r="X40" s="56">
        <f t="shared" si="14"/>
        <v>0.53800000000000003</v>
      </c>
      <c r="Y40" s="56" t="str">
        <f t="shared" si="4"/>
        <v>Over 50%</v>
      </c>
      <c r="Z40" s="8" t="s">
        <v>35</v>
      </c>
      <c r="AB40" s="38">
        <v>7840</v>
      </c>
      <c r="AC40" s="38">
        <v>15380</v>
      </c>
      <c r="AD40" s="38"/>
      <c r="AE40" s="38"/>
      <c r="AF40" s="38"/>
      <c r="AG40" s="38"/>
      <c r="AH40" s="38"/>
    </row>
    <row r="41" spans="1:34" ht="24" customHeight="1" x14ac:dyDescent="0.25">
      <c r="A41" s="10">
        <v>47</v>
      </c>
      <c r="B41" s="9">
        <v>0.48402777777777778</v>
      </c>
      <c r="C41" s="5" t="s">
        <v>20</v>
      </c>
      <c r="D41" s="5">
        <v>7</v>
      </c>
      <c r="E41" s="15"/>
      <c r="F41" s="15" t="s">
        <v>23</v>
      </c>
      <c r="G41" s="19">
        <f t="shared" si="5"/>
        <v>2.76</v>
      </c>
      <c r="H41" s="19">
        <f t="shared" si="6"/>
        <v>2.2999999999999998</v>
      </c>
      <c r="I41" s="19">
        <f t="shared" si="7"/>
        <v>0</v>
      </c>
      <c r="J41" s="19">
        <f t="shared" si="8"/>
        <v>0</v>
      </c>
      <c r="K41" s="19">
        <f t="shared" si="9"/>
        <v>0</v>
      </c>
      <c r="L41" s="19">
        <f t="shared" si="10"/>
        <v>0</v>
      </c>
      <c r="M41" s="19">
        <f t="shared" si="11"/>
        <v>0</v>
      </c>
      <c r="N41" s="39">
        <f t="shared" si="12"/>
        <v>5.0599999999999996</v>
      </c>
      <c r="O41" s="39">
        <f t="shared" si="1"/>
        <v>0.11643179995049573</v>
      </c>
      <c r="P41" s="40">
        <v>8</v>
      </c>
      <c r="Q41" s="40">
        <v>10</v>
      </c>
      <c r="R41" s="40">
        <v>9</v>
      </c>
      <c r="S41" s="40">
        <v>9</v>
      </c>
      <c r="T41" s="40">
        <v>9</v>
      </c>
      <c r="U41" s="40">
        <v>9</v>
      </c>
      <c r="V41" s="40">
        <v>9</v>
      </c>
      <c r="W41" s="41" t="str">
        <f t="shared" si="13"/>
        <v>N</v>
      </c>
      <c r="X41" s="56">
        <f t="shared" si="14"/>
        <v>0</v>
      </c>
      <c r="Y41" s="56" t="str">
        <f t="shared" si="4"/>
        <v>0-4.9%</v>
      </c>
      <c r="Z41" s="8" t="s">
        <v>118</v>
      </c>
      <c r="AB41" s="38">
        <v>2760</v>
      </c>
      <c r="AC41" s="38">
        <v>2300</v>
      </c>
      <c r="AD41" s="38"/>
      <c r="AE41" s="38"/>
      <c r="AF41" s="38"/>
      <c r="AG41" s="38"/>
      <c r="AH41" s="38"/>
    </row>
    <row r="42" spans="1:34" ht="24" customHeight="1" x14ac:dyDescent="0.25">
      <c r="A42" s="10">
        <v>48</v>
      </c>
      <c r="B42" s="9">
        <v>0.48472222222222222</v>
      </c>
      <c r="C42" s="5" t="s">
        <v>20</v>
      </c>
      <c r="D42" s="5">
        <v>7</v>
      </c>
      <c r="E42" s="15"/>
      <c r="F42" s="15" t="s">
        <v>23</v>
      </c>
      <c r="G42" s="19">
        <f t="shared" si="5"/>
        <v>3.42</v>
      </c>
      <c r="H42" s="19">
        <f t="shared" si="6"/>
        <v>5.54</v>
      </c>
      <c r="I42" s="19">
        <f t="shared" si="7"/>
        <v>0</v>
      </c>
      <c r="J42" s="19">
        <f t="shared" si="8"/>
        <v>0</v>
      </c>
      <c r="K42" s="19">
        <f t="shared" si="9"/>
        <v>0</v>
      </c>
      <c r="L42" s="19">
        <f t="shared" si="10"/>
        <v>0</v>
      </c>
      <c r="M42" s="19">
        <f t="shared" si="11"/>
        <v>0</v>
      </c>
      <c r="N42" s="39">
        <f t="shared" si="12"/>
        <v>8.9600000000000009</v>
      </c>
      <c r="O42" s="39">
        <f t="shared" si="1"/>
        <v>1.5232820661243451</v>
      </c>
      <c r="P42" s="40">
        <v>8</v>
      </c>
      <c r="Q42" s="40">
        <v>10</v>
      </c>
      <c r="R42" s="40">
        <v>9</v>
      </c>
      <c r="S42" s="40">
        <v>9</v>
      </c>
      <c r="T42" s="40">
        <v>9</v>
      </c>
      <c r="U42" s="40">
        <v>9</v>
      </c>
      <c r="V42" s="40">
        <v>9</v>
      </c>
      <c r="W42" s="41" t="str">
        <f t="shared" si="13"/>
        <v>N</v>
      </c>
      <c r="X42" s="56">
        <f t="shared" si="14"/>
        <v>0</v>
      </c>
      <c r="Y42" s="56" t="str">
        <f t="shared" si="4"/>
        <v>0-4.9%</v>
      </c>
      <c r="Z42" s="8" t="s">
        <v>35</v>
      </c>
      <c r="AB42" s="38">
        <v>3420</v>
      </c>
      <c r="AC42" s="38">
        <v>5540</v>
      </c>
      <c r="AD42" s="38"/>
      <c r="AE42" s="38"/>
      <c r="AF42" s="38"/>
      <c r="AG42" s="38"/>
      <c r="AH42" s="38"/>
    </row>
    <row r="43" spans="1:34" ht="24" customHeight="1" x14ac:dyDescent="0.25">
      <c r="A43" s="10">
        <v>49</v>
      </c>
      <c r="B43" s="9">
        <v>0.48541666666666666</v>
      </c>
      <c r="C43" s="5" t="s">
        <v>20</v>
      </c>
      <c r="D43" s="5">
        <v>7</v>
      </c>
      <c r="E43" s="15"/>
      <c r="F43" s="15" t="s">
        <v>136</v>
      </c>
      <c r="G43" s="19">
        <f t="shared" si="5"/>
        <v>8.5399999999999991</v>
      </c>
      <c r="H43" s="19">
        <f t="shared" si="6"/>
        <v>16.399999999999999</v>
      </c>
      <c r="I43" s="19">
        <f t="shared" si="7"/>
        <v>0</v>
      </c>
      <c r="J43" s="19">
        <f t="shared" si="8"/>
        <v>0</v>
      </c>
      <c r="K43" s="19">
        <f t="shared" si="9"/>
        <v>0</v>
      </c>
      <c r="L43" s="19">
        <f t="shared" si="10"/>
        <v>0</v>
      </c>
      <c r="M43" s="19">
        <f t="shared" si="11"/>
        <v>0</v>
      </c>
      <c r="N43" s="39">
        <f t="shared" si="12"/>
        <v>24.939999999999998</v>
      </c>
      <c r="O43" s="39">
        <f t="shared" si="1"/>
        <v>152.5556535434977</v>
      </c>
      <c r="P43" s="40">
        <v>8</v>
      </c>
      <c r="Q43" s="40">
        <v>10</v>
      </c>
      <c r="R43" s="40">
        <v>9</v>
      </c>
      <c r="S43" s="40">
        <v>9</v>
      </c>
      <c r="T43" s="40">
        <v>9</v>
      </c>
      <c r="U43" s="40">
        <v>9</v>
      </c>
      <c r="V43" s="40">
        <v>9</v>
      </c>
      <c r="W43" s="41" t="str">
        <f t="shared" si="13"/>
        <v>Y</v>
      </c>
      <c r="X43" s="56">
        <f t="shared" si="14"/>
        <v>0.6399999999999999</v>
      </c>
      <c r="Y43" s="56" t="str">
        <f t="shared" si="4"/>
        <v>Over 50%</v>
      </c>
      <c r="Z43" s="8" t="s">
        <v>111</v>
      </c>
      <c r="AB43" s="38">
        <v>8540</v>
      </c>
      <c r="AC43" s="38">
        <v>16400</v>
      </c>
      <c r="AD43" s="38"/>
      <c r="AE43" s="38"/>
      <c r="AF43" s="38"/>
      <c r="AG43" s="38"/>
      <c r="AH43" s="38"/>
    </row>
    <row r="44" spans="1:34" ht="24" customHeight="1" x14ac:dyDescent="0.25">
      <c r="A44" s="10">
        <v>50</v>
      </c>
      <c r="B44" s="9">
        <v>0.48958333333333331</v>
      </c>
      <c r="C44" s="5" t="s">
        <v>20</v>
      </c>
      <c r="D44" s="5">
        <v>7</v>
      </c>
      <c r="E44" s="15"/>
      <c r="F44" s="15" t="s">
        <v>23</v>
      </c>
      <c r="G44" s="19">
        <f t="shared" si="5"/>
        <v>3.66</v>
      </c>
      <c r="H44" s="19">
        <f t="shared" si="6"/>
        <v>6</v>
      </c>
      <c r="I44" s="19">
        <f t="shared" si="7"/>
        <v>0</v>
      </c>
      <c r="J44" s="19">
        <f t="shared" si="8"/>
        <v>0</v>
      </c>
      <c r="K44" s="19">
        <f t="shared" si="9"/>
        <v>0</v>
      </c>
      <c r="L44" s="19">
        <f t="shared" si="10"/>
        <v>0</v>
      </c>
      <c r="M44" s="19">
        <f t="shared" si="11"/>
        <v>0</v>
      </c>
      <c r="N44" s="39">
        <f t="shared" si="12"/>
        <v>9.66</v>
      </c>
      <c r="O44" s="39">
        <f t="shared" si="1"/>
        <v>2.1369352077423991</v>
      </c>
      <c r="P44" s="40">
        <v>8</v>
      </c>
      <c r="Q44" s="40">
        <v>10</v>
      </c>
      <c r="R44" s="40">
        <v>9</v>
      </c>
      <c r="S44" s="40">
        <v>9</v>
      </c>
      <c r="T44" s="40">
        <v>9</v>
      </c>
      <c r="U44" s="40">
        <v>9</v>
      </c>
      <c r="V44" s="40">
        <v>9</v>
      </c>
      <c r="W44" s="41" t="str">
        <f t="shared" si="13"/>
        <v>N</v>
      </c>
      <c r="X44" s="56">
        <f t="shared" si="14"/>
        <v>0</v>
      </c>
      <c r="Y44" s="56" t="str">
        <f t="shared" si="4"/>
        <v>0-4.9%</v>
      </c>
      <c r="Z44" s="8" t="s">
        <v>35</v>
      </c>
      <c r="AB44" s="38">
        <v>3660</v>
      </c>
      <c r="AC44" s="38">
        <v>6000</v>
      </c>
      <c r="AD44" s="38"/>
      <c r="AE44" s="38"/>
      <c r="AF44" s="38"/>
      <c r="AG44" s="38"/>
      <c r="AH44" s="38"/>
    </row>
    <row r="45" spans="1:34" ht="24" customHeight="1" x14ac:dyDescent="0.25">
      <c r="A45" s="10">
        <v>51</v>
      </c>
      <c r="B45" s="9">
        <v>0.48958333333333331</v>
      </c>
      <c r="C45" s="5" t="s">
        <v>20</v>
      </c>
      <c r="D45" s="5">
        <v>7</v>
      </c>
      <c r="E45" s="15"/>
      <c r="F45" s="15" t="s">
        <v>23</v>
      </c>
      <c r="G45" s="19">
        <f t="shared" si="5"/>
        <v>2.1</v>
      </c>
      <c r="H45" s="19">
        <f t="shared" si="6"/>
        <v>8.6199999999999992</v>
      </c>
      <c r="I45" s="19">
        <f t="shared" si="7"/>
        <v>0</v>
      </c>
      <c r="J45" s="19">
        <f t="shared" si="8"/>
        <v>0</v>
      </c>
      <c r="K45" s="19">
        <f t="shared" si="9"/>
        <v>0</v>
      </c>
      <c r="L45" s="19">
        <f t="shared" si="10"/>
        <v>0</v>
      </c>
      <c r="M45" s="19">
        <f t="shared" si="11"/>
        <v>0</v>
      </c>
      <c r="N45" s="39">
        <f t="shared" si="12"/>
        <v>10.719999999999999</v>
      </c>
      <c r="O45" s="39">
        <f t="shared" si="1"/>
        <v>3.4140574090354172</v>
      </c>
      <c r="P45" s="40">
        <v>8</v>
      </c>
      <c r="Q45" s="40">
        <v>10</v>
      </c>
      <c r="R45" s="40">
        <v>9</v>
      </c>
      <c r="S45" s="40">
        <v>9</v>
      </c>
      <c r="T45" s="40">
        <v>9</v>
      </c>
      <c r="U45" s="40">
        <v>9</v>
      </c>
      <c r="V45" s="40">
        <v>9</v>
      </c>
      <c r="W45" s="41" t="str">
        <f t="shared" si="13"/>
        <v>N</v>
      </c>
      <c r="X45" s="56">
        <f t="shared" si="14"/>
        <v>0</v>
      </c>
      <c r="Y45" s="56" t="str">
        <f t="shared" si="4"/>
        <v>0-4.9%</v>
      </c>
      <c r="Z45" s="8" t="s">
        <v>111</v>
      </c>
      <c r="AB45" s="38">
        <v>2100</v>
      </c>
      <c r="AC45" s="38">
        <v>8620</v>
      </c>
      <c r="AD45" s="38"/>
      <c r="AE45" s="38"/>
      <c r="AF45" s="38"/>
      <c r="AG45" s="38"/>
      <c r="AH45" s="38"/>
    </row>
    <row r="46" spans="1:34" ht="24" customHeight="1" x14ac:dyDescent="0.25">
      <c r="A46" s="10">
        <v>52</v>
      </c>
      <c r="B46" s="9">
        <v>0.49027777777777781</v>
      </c>
      <c r="C46" s="5" t="s">
        <v>20</v>
      </c>
      <c r="D46" s="5">
        <v>7</v>
      </c>
      <c r="E46" s="15"/>
      <c r="F46" s="15" t="s">
        <v>23</v>
      </c>
      <c r="G46" s="19">
        <f t="shared" si="5"/>
        <v>1.82</v>
      </c>
      <c r="H46" s="19">
        <f t="shared" si="6"/>
        <v>2.04</v>
      </c>
      <c r="I46" s="19">
        <f t="shared" si="7"/>
        <v>0</v>
      </c>
      <c r="J46" s="19">
        <f t="shared" si="8"/>
        <v>0</v>
      </c>
      <c r="K46" s="19">
        <f t="shared" si="9"/>
        <v>0</v>
      </c>
      <c r="L46" s="19">
        <f t="shared" si="10"/>
        <v>0</v>
      </c>
      <c r="M46" s="19">
        <f t="shared" si="11"/>
        <v>0</v>
      </c>
      <c r="N46" s="39">
        <f t="shared" si="12"/>
        <v>3.8600000000000003</v>
      </c>
      <c r="O46" s="39">
        <f t="shared" si="1"/>
        <v>3.4437939333087732E-2</v>
      </c>
      <c r="P46" s="40">
        <v>8</v>
      </c>
      <c r="Q46" s="40">
        <v>10</v>
      </c>
      <c r="R46" s="40">
        <v>9</v>
      </c>
      <c r="S46" s="40">
        <v>9</v>
      </c>
      <c r="T46" s="40">
        <v>9</v>
      </c>
      <c r="U46" s="40">
        <v>9</v>
      </c>
      <c r="V46" s="40">
        <v>9</v>
      </c>
      <c r="W46" s="41" t="str">
        <f t="shared" si="13"/>
        <v>N</v>
      </c>
      <c r="X46" s="56">
        <f t="shared" si="14"/>
        <v>0</v>
      </c>
      <c r="Y46" s="56" t="str">
        <f t="shared" si="4"/>
        <v>0-4.9%</v>
      </c>
      <c r="Z46" s="8" t="s">
        <v>35</v>
      </c>
      <c r="AB46" s="38">
        <v>1820</v>
      </c>
      <c r="AC46" s="38">
        <v>2040</v>
      </c>
      <c r="AD46" s="38"/>
      <c r="AE46" s="38"/>
      <c r="AF46" s="38"/>
      <c r="AG46" s="38"/>
      <c r="AH46" s="38"/>
    </row>
    <row r="47" spans="1:34" ht="24" customHeight="1" x14ac:dyDescent="0.25">
      <c r="A47" s="10">
        <v>53</v>
      </c>
      <c r="B47" s="9">
        <v>0.49305555555555558</v>
      </c>
      <c r="C47" s="5" t="s">
        <v>20</v>
      </c>
      <c r="D47" s="5">
        <v>7</v>
      </c>
      <c r="E47" s="15"/>
      <c r="F47" s="15" t="s">
        <v>23</v>
      </c>
      <c r="G47" s="19">
        <f t="shared" si="5"/>
        <v>3.32</v>
      </c>
      <c r="H47" s="19">
        <f t="shared" si="6"/>
        <v>3.92</v>
      </c>
      <c r="I47" s="19">
        <f t="shared" si="7"/>
        <v>0</v>
      </c>
      <c r="J47" s="19">
        <f t="shared" si="8"/>
        <v>0</v>
      </c>
      <c r="K47" s="19">
        <f t="shared" si="9"/>
        <v>0</v>
      </c>
      <c r="L47" s="19">
        <f t="shared" si="10"/>
        <v>0</v>
      </c>
      <c r="M47" s="19">
        <f t="shared" si="11"/>
        <v>0</v>
      </c>
      <c r="N47" s="39">
        <f t="shared" si="12"/>
        <v>7.24</v>
      </c>
      <c r="O47" s="39">
        <f t="shared" si="1"/>
        <v>0.58373782216584869</v>
      </c>
      <c r="P47" s="40">
        <v>8</v>
      </c>
      <c r="Q47" s="40">
        <v>10</v>
      </c>
      <c r="R47" s="40">
        <v>9</v>
      </c>
      <c r="S47" s="40">
        <v>9</v>
      </c>
      <c r="T47" s="40">
        <v>9</v>
      </c>
      <c r="U47" s="40">
        <v>9</v>
      </c>
      <c r="V47" s="40">
        <v>9</v>
      </c>
      <c r="W47" s="41" t="str">
        <f t="shared" si="13"/>
        <v>N</v>
      </c>
      <c r="X47" s="56">
        <f t="shared" si="14"/>
        <v>0</v>
      </c>
      <c r="Y47" s="56" t="str">
        <f t="shared" si="4"/>
        <v>0-4.9%</v>
      </c>
      <c r="Z47" s="8" t="s">
        <v>145</v>
      </c>
      <c r="AB47" s="38">
        <v>3320</v>
      </c>
      <c r="AC47" s="38">
        <v>3920</v>
      </c>
      <c r="AD47" s="38"/>
      <c r="AE47" s="38"/>
      <c r="AF47" s="38"/>
      <c r="AG47" s="38"/>
      <c r="AH47" s="38"/>
    </row>
    <row r="48" spans="1:34" ht="24" customHeight="1" x14ac:dyDescent="0.25">
      <c r="A48" s="10">
        <v>54</v>
      </c>
      <c r="B48" s="9">
        <v>0.49444444444444446</v>
      </c>
      <c r="C48" s="5" t="s">
        <v>20</v>
      </c>
      <c r="D48" s="5">
        <v>7</v>
      </c>
      <c r="E48" s="15"/>
      <c r="F48" s="15" t="s">
        <v>23</v>
      </c>
      <c r="G48" s="19">
        <f t="shared" si="5"/>
        <v>2.36</v>
      </c>
      <c r="H48" s="19">
        <f t="shared" si="6"/>
        <v>2.46</v>
      </c>
      <c r="I48" s="19">
        <f t="shared" si="7"/>
        <v>0</v>
      </c>
      <c r="J48" s="19">
        <f t="shared" si="8"/>
        <v>0</v>
      </c>
      <c r="K48" s="19">
        <f t="shared" si="9"/>
        <v>0</v>
      </c>
      <c r="L48" s="19">
        <f t="shared" si="10"/>
        <v>0</v>
      </c>
      <c r="M48" s="19">
        <f t="shared" si="11"/>
        <v>0</v>
      </c>
      <c r="N48" s="39">
        <f t="shared" si="12"/>
        <v>4.82</v>
      </c>
      <c r="O48" s="39">
        <f t="shared" si="1"/>
        <v>9.3563391906700516E-2</v>
      </c>
      <c r="P48" s="40">
        <v>8</v>
      </c>
      <c r="Q48" s="40">
        <v>10</v>
      </c>
      <c r="R48" s="40">
        <v>9</v>
      </c>
      <c r="S48" s="40">
        <v>9</v>
      </c>
      <c r="T48" s="40">
        <v>9</v>
      </c>
      <c r="U48" s="40">
        <v>9</v>
      </c>
      <c r="V48" s="40">
        <v>9</v>
      </c>
      <c r="W48" s="41" t="str">
        <f t="shared" si="13"/>
        <v>N</v>
      </c>
      <c r="X48" s="56">
        <f t="shared" si="14"/>
        <v>0</v>
      </c>
      <c r="Y48" s="56" t="str">
        <f t="shared" si="4"/>
        <v>0-4.9%</v>
      </c>
      <c r="Z48" s="8" t="s">
        <v>118</v>
      </c>
      <c r="AB48" s="38">
        <v>2360</v>
      </c>
      <c r="AC48" s="38">
        <v>2460</v>
      </c>
      <c r="AD48" s="38"/>
      <c r="AE48" s="38"/>
      <c r="AF48" s="38"/>
      <c r="AG48" s="38"/>
      <c r="AH48" s="38"/>
    </row>
    <row r="49" spans="1:34" ht="24" customHeight="1" x14ac:dyDescent="0.25">
      <c r="A49" s="10">
        <v>55</v>
      </c>
      <c r="B49" s="9">
        <v>0.50138888888888888</v>
      </c>
      <c r="C49" s="5" t="s">
        <v>20</v>
      </c>
      <c r="D49" s="5">
        <v>7</v>
      </c>
      <c r="E49" s="15"/>
      <c r="F49" s="15" t="s">
        <v>23</v>
      </c>
      <c r="G49" s="19">
        <f t="shared" si="5"/>
        <v>3.22</v>
      </c>
      <c r="H49" s="19">
        <f t="shared" si="6"/>
        <v>2.46</v>
      </c>
      <c r="I49" s="19">
        <f t="shared" si="7"/>
        <v>0</v>
      </c>
      <c r="J49" s="19">
        <f t="shared" si="8"/>
        <v>0</v>
      </c>
      <c r="K49" s="19">
        <f t="shared" si="9"/>
        <v>0</v>
      </c>
      <c r="L49" s="19">
        <f t="shared" si="10"/>
        <v>0</v>
      </c>
      <c r="M49" s="19">
        <f t="shared" si="11"/>
        <v>0</v>
      </c>
      <c r="N49" s="39">
        <f t="shared" si="12"/>
        <v>5.68</v>
      </c>
      <c r="O49" s="39">
        <f t="shared" si="1"/>
        <v>0.19586723668987768</v>
      </c>
      <c r="P49" s="40">
        <v>8</v>
      </c>
      <c r="Q49" s="40">
        <v>10</v>
      </c>
      <c r="R49" s="40">
        <v>9</v>
      </c>
      <c r="S49" s="40">
        <v>9</v>
      </c>
      <c r="T49" s="40">
        <v>9</v>
      </c>
      <c r="U49" s="40">
        <v>9</v>
      </c>
      <c r="V49" s="40">
        <v>9</v>
      </c>
      <c r="W49" s="41" t="str">
        <f t="shared" si="13"/>
        <v>N</v>
      </c>
      <c r="X49" s="56">
        <f t="shared" si="14"/>
        <v>0</v>
      </c>
      <c r="Y49" s="56" t="str">
        <f t="shared" si="4"/>
        <v>0-4.9%</v>
      </c>
      <c r="Z49" s="8" t="s">
        <v>118</v>
      </c>
      <c r="AB49" s="38">
        <v>3220</v>
      </c>
      <c r="AC49" s="38">
        <v>2460</v>
      </c>
      <c r="AD49" s="38"/>
      <c r="AE49" s="38"/>
      <c r="AF49" s="38"/>
      <c r="AG49" s="38"/>
      <c r="AH49" s="38"/>
    </row>
    <row r="50" spans="1:34" ht="24" customHeight="1" x14ac:dyDescent="0.25">
      <c r="A50" s="10">
        <v>57</v>
      </c>
      <c r="B50" s="9">
        <v>0.50347222222222221</v>
      </c>
      <c r="C50" s="5" t="s">
        <v>20</v>
      </c>
      <c r="D50" s="5">
        <v>7</v>
      </c>
      <c r="E50" s="15"/>
      <c r="F50" s="15" t="s">
        <v>23</v>
      </c>
      <c r="G50" s="19">
        <f t="shared" si="5"/>
        <v>2.74</v>
      </c>
      <c r="H50" s="19">
        <f t="shared" si="6"/>
        <v>2.88</v>
      </c>
      <c r="I50" s="19">
        <f t="shared" si="7"/>
        <v>0</v>
      </c>
      <c r="J50" s="19">
        <f t="shared" si="8"/>
        <v>0</v>
      </c>
      <c r="K50" s="19">
        <f t="shared" si="9"/>
        <v>0</v>
      </c>
      <c r="L50" s="19">
        <f t="shared" si="10"/>
        <v>0</v>
      </c>
      <c r="M50" s="19">
        <f t="shared" si="11"/>
        <v>0</v>
      </c>
      <c r="N50" s="39">
        <f t="shared" si="12"/>
        <v>5.62</v>
      </c>
      <c r="O50" s="39">
        <f t="shared" si="1"/>
        <v>0.18672725190253947</v>
      </c>
      <c r="P50" s="40">
        <v>8</v>
      </c>
      <c r="Q50" s="40">
        <v>10</v>
      </c>
      <c r="R50" s="40">
        <v>9</v>
      </c>
      <c r="S50" s="40">
        <v>9</v>
      </c>
      <c r="T50" s="40">
        <v>9</v>
      </c>
      <c r="U50" s="40">
        <v>9</v>
      </c>
      <c r="V50" s="40">
        <v>9</v>
      </c>
      <c r="W50" s="41" t="str">
        <f t="shared" si="13"/>
        <v>N</v>
      </c>
      <c r="X50" s="56">
        <f t="shared" si="14"/>
        <v>0</v>
      </c>
      <c r="Y50" s="56" t="str">
        <f t="shared" si="4"/>
        <v>0-4.9%</v>
      </c>
      <c r="Z50" s="8" t="s">
        <v>118</v>
      </c>
      <c r="AB50" s="38">
        <v>2740</v>
      </c>
      <c r="AC50" s="38">
        <v>2880</v>
      </c>
      <c r="AD50" s="38"/>
      <c r="AE50" s="38"/>
      <c r="AF50" s="38"/>
      <c r="AG50" s="38"/>
      <c r="AH50" s="38"/>
    </row>
    <row r="51" spans="1:34" ht="24" customHeight="1" x14ac:dyDescent="0.25">
      <c r="A51" s="10">
        <v>58</v>
      </c>
      <c r="B51" s="9">
        <v>0.50416666666666665</v>
      </c>
      <c r="C51" s="5" t="s">
        <v>20</v>
      </c>
      <c r="D51" s="5">
        <v>7</v>
      </c>
      <c r="E51" s="15"/>
      <c r="F51" s="15" t="s">
        <v>23</v>
      </c>
      <c r="G51" s="19">
        <f t="shared" si="5"/>
        <v>7.04</v>
      </c>
      <c r="H51" s="19">
        <f t="shared" si="6"/>
        <v>9.68</v>
      </c>
      <c r="I51" s="19">
        <f t="shared" si="7"/>
        <v>0</v>
      </c>
      <c r="J51" s="19">
        <f t="shared" si="8"/>
        <v>0</v>
      </c>
      <c r="K51" s="19">
        <f t="shared" si="9"/>
        <v>0</v>
      </c>
      <c r="L51" s="19">
        <f t="shared" si="10"/>
        <v>0</v>
      </c>
      <c r="M51" s="19">
        <f t="shared" si="11"/>
        <v>0</v>
      </c>
      <c r="N51" s="39">
        <f t="shared" si="12"/>
        <v>16.72</v>
      </c>
      <c r="O51" s="39">
        <f t="shared" si="1"/>
        <v>25.232339217295131</v>
      </c>
      <c r="P51" s="40">
        <v>8</v>
      </c>
      <c r="Q51" s="40">
        <v>10</v>
      </c>
      <c r="R51" s="40">
        <v>9</v>
      </c>
      <c r="S51" s="40">
        <v>9</v>
      </c>
      <c r="T51" s="40">
        <v>9</v>
      </c>
      <c r="U51" s="40">
        <v>9</v>
      </c>
      <c r="V51" s="40">
        <v>9</v>
      </c>
      <c r="W51" s="41" t="str">
        <f t="shared" si="13"/>
        <v>N</v>
      </c>
      <c r="X51" s="56">
        <f t="shared" si="14"/>
        <v>0</v>
      </c>
      <c r="Y51" s="56" t="str">
        <f t="shared" si="4"/>
        <v>0-4.9%</v>
      </c>
      <c r="Z51" s="8" t="s">
        <v>118</v>
      </c>
      <c r="AB51" s="38">
        <v>7040</v>
      </c>
      <c r="AC51" s="38">
        <v>9680</v>
      </c>
      <c r="AD51" s="38"/>
      <c r="AE51" s="38"/>
      <c r="AF51" s="38"/>
      <c r="AG51" s="38"/>
      <c r="AH51" s="38"/>
    </row>
    <row r="52" spans="1:34" ht="24" customHeight="1" x14ac:dyDescent="0.25">
      <c r="A52" s="10">
        <v>59</v>
      </c>
      <c r="B52" s="9">
        <v>0.50486111111111109</v>
      </c>
      <c r="C52" s="5" t="s">
        <v>20</v>
      </c>
      <c r="D52" s="5">
        <v>7</v>
      </c>
      <c r="E52" s="15"/>
      <c r="F52" s="15" t="s">
        <v>23</v>
      </c>
      <c r="G52" s="19">
        <f t="shared" si="5"/>
        <v>5.22</v>
      </c>
      <c r="H52" s="19">
        <f t="shared" si="6"/>
        <v>5.54</v>
      </c>
      <c r="I52" s="19">
        <f t="shared" si="7"/>
        <v>0</v>
      </c>
      <c r="J52" s="19">
        <f t="shared" si="8"/>
        <v>0</v>
      </c>
      <c r="K52" s="19">
        <f t="shared" si="9"/>
        <v>0</v>
      </c>
      <c r="L52" s="19">
        <f t="shared" si="10"/>
        <v>0</v>
      </c>
      <c r="M52" s="19">
        <f t="shared" si="11"/>
        <v>0</v>
      </c>
      <c r="N52" s="39">
        <f t="shared" si="12"/>
        <v>10.76</v>
      </c>
      <c r="O52" s="39">
        <f t="shared" si="1"/>
        <v>3.4717584929938989</v>
      </c>
      <c r="P52" s="40">
        <v>8</v>
      </c>
      <c r="Q52" s="40">
        <v>10</v>
      </c>
      <c r="R52" s="40">
        <v>9</v>
      </c>
      <c r="S52" s="40">
        <v>9</v>
      </c>
      <c r="T52" s="40">
        <v>9</v>
      </c>
      <c r="U52" s="40">
        <v>9</v>
      </c>
      <c r="V52" s="40">
        <v>9</v>
      </c>
      <c r="W52" s="41" t="str">
        <f t="shared" si="13"/>
        <v>N</v>
      </c>
      <c r="X52" s="56">
        <f t="shared" si="14"/>
        <v>0</v>
      </c>
      <c r="Y52" s="56" t="str">
        <f t="shared" si="4"/>
        <v>0-4.9%</v>
      </c>
      <c r="Z52" s="8" t="s">
        <v>118</v>
      </c>
      <c r="AB52" s="38">
        <v>5220</v>
      </c>
      <c r="AC52" s="38">
        <v>5540</v>
      </c>
      <c r="AD52" s="38"/>
      <c r="AE52" s="38"/>
      <c r="AF52" s="38"/>
      <c r="AG52" s="38"/>
      <c r="AH52" s="38"/>
    </row>
    <row r="53" spans="1:34" ht="24" customHeight="1" x14ac:dyDescent="0.25">
      <c r="A53" s="10">
        <v>60</v>
      </c>
      <c r="B53" s="9">
        <v>0.50763888888888886</v>
      </c>
      <c r="C53" s="5" t="s">
        <v>20</v>
      </c>
      <c r="D53" s="5">
        <v>7</v>
      </c>
      <c r="E53" s="15"/>
      <c r="F53" s="15" t="s">
        <v>23</v>
      </c>
      <c r="G53" s="19">
        <f t="shared" si="5"/>
        <v>2.9</v>
      </c>
      <c r="H53" s="19">
        <f t="shared" si="6"/>
        <v>2.64</v>
      </c>
      <c r="I53" s="19">
        <f t="shared" si="7"/>
        <v>0</v>
      </c>
      <c r="J53" s="19">
        <f t="shared" si="8"/>
        <v>0</v>
      </c>
      <c r="K53" s="19">
        <f t="shared" si="9"/>
        <v>0</v>
      </c>
      <c r="L53" s="19">
        <f t="shared" si="10"/>
        <v>0</v>
      </c>
      <c r="M53" s="19">
        <f t="shared" si="11"/>
        <v>0</v>
      </c>
      <c r="N53" s="39">
        <f t="shared" si="12"/>
        <v>5.54</v>
      </c>
      <c r="O53" s="39">
        <f t="shared" si="1"/>
        <v>0.17506052512864442</v>
      </c>
      <c r="P53" s="40">
        <v>8</v>
      </c>
      <c r="Q53" s="40">
        <v>10</v>
      </c>
      <c r="R53" s="40">
        <v>9</v>
      </c>
      <c r="S53" s="40">
        <v>9</v>
      </c>
      <c r="T53" s="40">
        <v>9</v>
      </c>
      <c r="U53" s="40">
        <v>9</v>
      </c>
      <c r="V53" s="40">
        <v>9</v>
      </c>
      <c r="W53" s="41" t="str">
        <f t="shared" si="13"/>
        <v>N</v>
      </c>
      <c r="X53" s="56">
        <f t="shared" si="14"/>
        <v>0</v>
      </c>
      <c r="Y53" s="56" t="str">
        <f t="shared" si="4"/>
        <v>0-4.9%</v>
      </c>
      <c r="Z53" s="8" t="s">
        <v>118</v>
      </c>
      <c r="AB53" s="38">
        <v>2900</v>
      </c>
      <c r="AC53" s="38">
        <v>2640</v>
      </c>
      <c r="AD53" s="38"/>
      <c r="AE53" s="38"/>
      <c r="AF53" s="38"/>
      <c r="AG53" s="38"/>
      <c r="AH53" s="38"/>
    </row>
    <row r="54" spans="1:34" ht="24" customHeight="1" x14ac:dyDescent="0.25">
      <c r="A54" s="10">
        <v>61</v>
      </c>
      <c r="B54" s="9">
        <v>0.5083333333333333</v>
      </c>
      <c r="C54" s="5" t="s">
        <v>20</v>
      </c>
      <c r="D54" s="5">
        <v>7</v>
      </c>
      <c r="E54" s="15"/>
      <c r="F54" s="15" t="s">
        <v>23</v>
      </c>
      <c r="G54" s="19">
        <f t="shared" si="5"/>
        <v>3.14</v>
      </c>
      <c r="H54" s="19">
        <f t="shared" si="6"/>
        <v>3.56</v>
      </c>
      <c r="I54" s="19">
        <f t="shared" si="7"/>
        <v>0</v>
      </c>
      <c r="J54" s="19">
        <f t="shared" si="8"/>
        <v>0</v>
      </c>
      <c r="K54" s="19">
        <f t="shared" si="9"/>
        <v>0</v>
      </c>
      <c r="L54" s="19">
        <f t="shared" si="10"/>
        <v>0</v>
      </c>
      <c r="M54" s="19">
        <f t="shared" si="11"/>
        <v>0</v>
      </c>
      <c r="N54" s="39">
        <f t="shared" si="12"/>
        <v>6.7</v>
      </c>
      <c r="O54" s="39">
        <f t="shared" si="1"/>
        <v>0.41184224987507045</v>
      </c>
      <c r="P54" s="40">
        <v>8</v>
      </c>
      <c r="Q54" s="40">
        <v>10</v>
      </c>
      <c r="R54" s="40">
        <v>9</v>
      </c>
      <c r="S54" s="40">
        <v>9</v>
      </c>
      <c r="T54" s="40">
        <v>9</v>
      </c>
      <c r="U54" s="40">
        <v>9</v>
      </c>
      <c r="V54" s="40">
        <v>9</v>
      </c>
      <c r="W54" s="41" t="str">
        <f t="shared" si="13"/>
        <v>N</v>
      </c>
      <c r="X54" s="56">
        <f t="shared" si="14"/>
        <v>0</v>
      </c>
      <c r="Y54" s="56" t="str">
        <f t="shared" si="4"/>
        <v>0-4.9%</v>
      </c>
      <c r="Z54" s="8" t="s">
        <v>118</v>
      </c>
      <c r="AB54" s="38">
        <v>3140</v>
      </c>
      <c r="AC54" s="38">
        <v>3560</v>
      </c>
      <c r="AD54" s="38"/>
      <c r="AE54" s="38"/>
      <c r="AF54" s="38"/>
      <c r="AG54" s="38"/>
      <c r="AH54" s="38"/>
    </row>
    <row r="55" spans="1:34" ht="24" customHeight="1" x14ac:dyDescent="0.25">
      <c r="A55" s="10">
        <v>63</v>
      </c>
      <c r="B55" s="9">
        <v>0.51041666666666663</v>
      </c>
      <c r="C55" s="5" t="s">
        <v>20</v>
      </c>
      <c r="D55" s="5">
        <v>7</v>
      </c>
      <c r="E55" s="15"/>
      <c r="F55" s="15" t="s">
        <v>23</v>
      </c>
      <c r="G55" s="19">
        <f t="shared" si="5"/>
        <v>3.2</v>
      </c>
      <c r="H55" s="19">
        <f t="shared" si="6"/>
        <v>2.82</v>
      </c>
      <c r="I55" s="19">
        <f t="shared" si="7"/>
        <v>0</v>
      </c>
      <c r="J55" s="19">
        <f t="shared" si="8"/>
        <v>0</v>
      </c>
      <c r="K55" s="19">
        <f t="shared" si="9"/>
        <v>0</v>
      </c>
      <c r="L55" s="19">
        <f t="shared" si="10"/>
        <v>0</v>
      </c>
      <c r="M55" s="19">
        <f t="shared" si="11"/>
        <v>0</v>
      </c>
      <c r="N55" s="39">
        <f t="shared" si="12"/>
        <v>6.02</v>
      </c>
      <c r="O55" s="39">
        <f t="shared" si="1"/>
        <v>0.25443596301644156</v>
      </c>
      <c r="P55" s="40">
        <v>8</v>
      </c>
      <c r="Q55" s="40">
        <v>10</v>
      </c>
      <c r="R55" s="40">
        <v>9</v>
      </c>
      <c r="S55" s="40">
        <v>9</v>
      </c>
      <c r="T55" s="40">
        <v>9</v>
      </c>
      <c r="U55" s="40">
        <v>9</v>
      </c>
      <c r="V55" s="40">
        <v>9</v>
      </c>
      <c r="W55" s="41" t="str">
        <f t="shared" si="13"/>
        <v>N</v>
      </c>
      <c r="X55" s="56">
        <f t="shared" si="14"/>
        <v>0</v>
      </c>
      <c r="Y55" s="56" t="str">
        <f t="shared" si="4"/>
        <v>0-4.9%</v>
      </c>
      <c r="Z55" s="8" t="s">
        <v>118</v>
      </c>
      <c r="AB55" s="38">
        <v>3200</v>
      </c>
      <c r="AC55" s="38">
        <v>2820</v>
      </c>
      <c r="AD55" s="38"/>
      <c r="AE55" s="38"/>
      <c r="AF55" s="38"/>
      <c r="AG55" s="38"/>
      <c r="AH55" s="38"/>
    </row>
    <row r="56" spans="1:34" ht="24" customHeight="1" x14ac:dyDescent="0.25">
      <c r="A56" s="10">
        <v>64</v>
      </c>
      <c r="B56" s="9">
        <v>0.51250000000000007</v>
      </c>
      <c r="C56" s="5" t="s">
        <v>20</v>
      </c>
      <c r="D56" s="5">
        <v>7</v>
      </c>
      <c r="E56" s="15"/>
      <c r="F56" s="15" t="s">
        <v>23</v>
      </c>
      <c r="G56" s="19">
        <f t="shared" si="5"/>
        <v>5.08</v>
      </c>
      <c r="H56" s="19">
        <f t="shared" si="6"/>
        <v>8</v>
      </c>
      <c r="I56" s="19">
        <f t="shared" si="7"/>
        <v>0</v>
      </c>
      <c r="J56" s="19">
        <f t="shared" si="8"/>
        <v>0</v>
      </c>
      <c r="K56" s="19">
        <f t="shared" si="9"/>
        <v>0</v>
      </c>
      <c r="L56" s="19">
        <f t="shared" si="10"/>
        <v>0</v>
      </c>
      <c r="M56" s="19">
        <f t="shared" si="11"/>
        <v>0</v>
      </c>
      <c r="N56" s="39">
        <f t="shared" si="12"/>
        <v>13.08</v>
      </c>
      <c r="O56" s="39">
        <f t="shared" si="1"/>
        <v>8.3585151420894181</v>
      </c>
      <c r="P56" s="40">
        <v>8</v>
      </c>
      <c r="Q56" s="40">
        <v>10</v>
      </c>
      <c r="R56" s="40">
        <v>9</v>
      </c>
      <c r="S56" s="40">
        <v>9</v>
      </c>
      <c r="T56" s="40">
        <v>9</v>
      </c>
      <c r="U56" s="40">
        <v>9</v>
      </c>
      <c r="V56" s="40">
        <v>9</v>
      </c>
      <c r="W56" s="41" t="str">
        <f t="shared" si="13"/>
        <v>N</v>
      </c>
      <c r="X56" s="56">
        <f t="shared" si="14"/>
        <v>0</v>
      </c>
      <c r="Y56" s="56" t="str">
        <f t="shared" si="4"/>
        <v>0-4.9%</v>
      </c>
      <c r="Z56" s="8" t="s">
        <v>145</v>
      </c>
      <c r="AB56" s="38">
        <v>5080</v>
      </c>
      <c r="AC56" s="38">
        <v>8000</v>
      </c>
      <c r="AD56" s="38"/>
      <c r="AE56" s="38"/>
      <c r="AF56" s="38"/>
      <c r="AG56" s="38"/>
      <c r="AH56" s="38"/>
    </row>
    <row r="57" spans="1:34" ht="24" customHeight="1" x14ac:dyDescent="0.25">
      <c r="A57" s="10">
        <v>66</v>
      </c>
      <c r="B57" s="9">
        <v>0.51458333333333328</v>
      </c>
      <c r="C57" s="5" t="s">
        <v>20</v>
      </c>
      <c r="D57" s="5">
        <v>7</v>
      </c>
      <c r="E57" s="15"/>
      <c r="F57" s="15" t="s">
        <v>23</v>
      </c>
      <c r="G57" s="19">
        <f t="shared" si="5"/>
        <v>9.4</v>
      </c>
      <c r="H57" s="19">
        <f t="shared" si="6"/>
        <v>14.34</v>
      </c>
      <c r="I57" s="19">
        <f t="shared" si="7"/>
        <v>0</v>
      </c>
      <c r="J57" s="19">
        <f t="shared" si="8"/>
        <v>0</v>
      </c>
      <c r="K57" s="19">
        <f t="shared" si="9"/>
        <v>0</v>
      </c>
      <c r="L57" s="19">
        <f t="shared" si="10"/>
        <v>0</v>
      </c>
      <c r="M57" s="19">
        <f t="shared" si="11"/>
        <v>0</v>
      </c>
      <c r="N57" s="39">
        <f t="shared" si="12"/>
        <v>23.740000000000002</v>
      </c>
      <c r="O57" s="39">
        <f t="shared" si="1"/>
        <v>122.19614394052702</v>
      </c>
      <c r="P57" s="40">
        <v>8</v>
      </c>
      <c r="Q57" s="40">
        <v>10</v>
      </c>
      <c r="R57" s="40">
        <v>9</v>
      </c>
      <c r="S57" s="40">
        <v>9</v>
      </c>
      <c r="T57" s="40">
        <v>9</v>
      </c>
      <c r="U57" s="40">
        <v>9</v>
      </c>
      <c r="V57" s="40">
        <v>9</v>
      </c>
      <c r="W57" s="41" t="str">
        <f t="shared" si="13"/>
        <v>Y</v>
      </c>
      <c r="X57" s="56">
        <f t="shared" si="14"/>
        <v>0.434</v>
      </c>
      <c r="Y57" s="56" t="str">
        <f t="shared" si="4"/>
        <v>25-50%</v>
      </c>
      <c r="Z57" s="8" t="s">
        <v>35</v>
      </c>
      <c r="AB57" s="38">
        <v>9400</v>
      </c>
      <c r="AC57" s="38">
        <v>14340</v>
      </c>
      <c r="AD57" s="38"/>
      <c r="AE57" s="38"/>
      <c r="AF57" s="38"/>
      <c r="AG57" s="38"/>
      <c r="AH57" s="38"/>
    </row>
    <row r="58" spans="1:34" ht="24" customHeight="1" x14ac:dyDescent="0.25">
      <c r="A58" s="10">
        <v>67</v>
      </c>
      <c r="B58" s="9">
        <v>0.51458333333333328</v>
      </c>
      <c r="C58" s="5" t="s">
        <v>20</v>
      </c>
      <c r="D58" s="5">
        <v>7</v>
      </c>
      <c r="E58" s="15"/>
      <c r="F58" s="15" t="s">
        <v>23</v>
      </c>
      <c r="G58" s="19">
        <f t="shared" si="5"/>
        <v>7.58</v>
      </c>
      <c r="H58" s="19">
        <f t="shared" si="6"/>
        <v>16.2</v>
      </c>
      <c r="I58" s="19">
        <f t="shared" si="7"/>
        <v>0</v>
      </c>
      <c r="J58" s="19">
        <f t="shared" si="8"/>
        <v>0</v>
      </c>
      <c r="K58" s="19">
        <f t="shared" si="9"/>
        <v>0</v>
      </c>
      <c r="L58" s="19">
        <f t="shared" si="10"/>
        <v>0</v>
      </c>
      <c r="M58" s="19">
        <f t="shared" si="11"/>
        <v>0</v>
      </c>
      <c r="N58" s="39">
        <f t="shared" si="12"/>
        <v>23.78</v>
      </c>
      <c r="O58" s="39">
        <f t="shared" si="1"/>
        <v>123.12538794255795</v>
      </c>
      <c r="P58" s="40">
        <v>8</v>
      </c>
      <c r="Q58" s="40">
        <v>10</v>
      </c>
      <c r="R58" s="40">
        <v>9</v>
      </c>
      <c r="S58" s="40">
        <v>9</v>
      </c>
      <c r="T58" s="40">
        <v>9</v>
      </c>
      <c r="U58" s="40">
        <v>9</v>
      </c>
      <c r="V58" s="40">
        <v>9</v>
      </c>
      <c r="W58" s="41" t="str">
        <f t="shared" si="13"/>
        <v>Y</v>
      </c>
      <c r="X58" s="56">
        <f t="shared" si="14"/>
        <v>0.61999999999999988</v>
      </c>
      <c r="Y58" s="56" t="str">
        <f t="shared" si="4"/>
        <v>Over 50%</v>
      </c>
      <c r="Z58" s="8" t="s">
        <v>145</v>
      </c>
      <c r="AB58" s="38">
        <v>7580</v>
      </c>
      <c r="AC58" s="38">
        <v>16200</v>
      </c>
      <c r="AD58" s="38"/>
      <c r="AE58" s="38"/>
      <c r="AF58" s="38"/>
      <c r="AG58" s="38"/>
      <c r="AH58" s="38"/>
    </row>
    <row r="59" spans="1:34" ht="24" customHeight="1" x14ac:dyDescent="0.25">
      <c r="A59" s="10">
        <v>68</v>
      </c>
      <c r="B59" s="9">
        <v>0.51736111111111105</v>
      </c>
      <c r="C59" s="5" t="s">
        <v>20</v>
      </c>
      <c r="D59" s="5">
        <v>7</v>
      </c>
      <c r="E59" s="15"/>
      <c r="F59" s="15" t="s">
        <v>23</v>
      </c>
      <c r="G59" s="19">
        <f t="shared" si="5"/>
        <v>10.08</v>
      </c>
      <c r="H59" s="19">
        <f t="shared" si="6"/>
        <v>15.42</v>
      </c>
      <c r="I59" s="19">
        <f t="shared" si="7"/>
        <v>0</v>
      </c>
      <c r="J59" s="19">
        <f t="shared" si="8"/>
        <v>0</v>
      </c>
      <c r="K59" s="19">
        <f t="shared" si="9"/>
        <v>0</v>
      </c>
      <c r="L59" s="19">
        <f t="shared" si="10"/>
        <v>0</v>
      </c>
      <c r="M59" s="19">
        <f t="shared" si="11"/>
        <v>0</v>
      </c>
      <c r="N59" s="39">
        <f t="shared" si="12"/>
        <v>25.5</v>
      </c>
      <c r="O59" s="39">
        <f t="shared" si="1"/>
        <v>168.58739404357613</v>
      </c>
      <c r="P59" s="40">
        <v>8</v>
      </c>
      <c r="Q59" s="40">
        <v>10</v>
      </c>
      <c r="R59" s="40">
        <v>9</v>
      </c>
      <c r="S59" s="40">
        <v>9</v>
      </c>
      <c r="T59" s="40">
        <v>9</v>
      </c>
      <c r="U59" s="40">
        <v>9</v>
      </c>
      <c r="V59" s="40">
        <v>9</v>
      </c>
      <c r="W59" s="41" t="str">
        <f t="shared" si="13"/>
        <v>Y</v>
      </c>
      <c r="X59" s="56">
        <f t="shared" si="14"/>
        <v>0.54200000000000004</v>
      </c>
      <c r="Y59" s="56" t="str">
        <f t="shared" si="4"/>
        <v>Over 50%</v>
      </c>
      <c r="Z59" s="8" t="s">
        <v>35</v>
      </c>
      <c r="AB59" s="38">
        <v>10080</v>
      </c>
      <c r="AC59" s="38">
        <v>15420</v>
      </c>
      <c r="AD59" s="38"/>
      <c r="AE59" s="38"/>
      <c r="AF59" s="38"/>
      <c r="AG59" s="38"/>
      <c r="AH59" s="38"/>
    </row>
    <row r="60" spans="1:34" ht="24" customHeight="1" x14ac:dyDescent="0.25">
      <c r="A60" s="10">
        <v>70</v>
      </c>
      <c r="B60" s="9">
        <v>0.5180555555555556</v>
      </c>
      <c r="C60" s="5" t="s">
        <v>20</v>
      </c>
      <c r="D60" s="5">
        <v>7</v>
      </c>
      <c r="E60" s="15"/>
      <c r="F60" s="15" t="s">
        <v>23</v>
      </c>
      <c r="G60" s="19">
        <f t="shared" si="5"/>
        <v>3</v>
      </c>
      <c r="H60" s="19">
        <f t="shared" si="6"/>
        <v>4.0199999999999996</v>
      </c>
      <c r="I60" s="19">
        <f t="shared" si="7"/>
        <v>0</v>
      </c>
      <c r="J60" s="19">
        <f t="shared" si="8"/>
        <v>0</v>
      </c>
      <c r="K60" s="19">
        <f t="shared" si="9"/>
        <v>0</v>
      </c>
      <c r="L60" s="19">
        <f t="shared" si="10"/>
        <v>0</v>
      </c>
      <c r="M60" s="19">
        <f t="shared" si="11"/>
        <v>0</v>
      </c>
      <c r="N60" s="39">
        <f t="shared" si="12"/>
        <v>7.02</v>
      </c>
      <c r="O60" s="39">
        <f t="shared" si="1"/>
        <v>0.50805565555665033</v>
      </c>
      <c r="P60" s="40">
        <v>8</v>
      </c>
      <c r="Q60" s="40">
        <v>10</v>
      </c>
      <c r="R60" s="40">
        <v>9</v>
      </c>
      <c r="S60" s="40">
        <v>9</v>
      </c>
      <c r="T60" s="40">
        <v>9</v>
      </c>
      <c r="U60" s="40">
        <v>9</v>
      </c>
      <c r="V60" s="40">
        <v>9</v>
      </c>
      <c r="W60" s="41" t="str">
        <f t="shared" si="13"/>
        <v>N</v>
      </c>
      <c r="X60" s="56">
        <f t="shared" si="14"/>
        <v>0</v>
      </c>
      <c r="Y60" s="56" t="str">
        <f t="shared" si="4"/>
        <v>0-4.9%</v>
      </c>
      <c r="Z60" s="8" t="s">
        <v>118</v>
      </c>
      <c r="AB60" s="38">
        <v>3000</v>
      </c>
      <c r="AC60" s="38">
        <v>4020</v>
      </c>
      <c r="AD60" s="38"/>
      <c r="AE60" s="38"/>
      <c r="AF60" s="38"/>
      <c r="AG60" s="38"/>
      <c r="AH60" s="38"/>
    </row>
    <row r="61" spans="1:34" ht="24" customHeight="1" x14ac:dyDescent="0.25">
      <c r="A61" s="10">
        <v>71</v>
      </c>
      <c r="B61" s="9">
        <v>0.51874999999999993</v>
      </c>
      <c r="C61" s="5" t="s">
        <v>20</v>
      </c>
      <c r="D61" s="5">
        <v>7</v>
      </c>
      <c r="E61" s="15"/>
      <c r="F61" s="15" t="s">
        <v>136</v>
      </c>
      <c r="G61" s="19">
        <f t="shared" si="5"/>
        <v>10.039999999999999</v>
      </c>
      <c r="H61" s="19">
        <f t="shared" si="6"/>
        <v>12.52</v>
      </c>
      <c r="I61" s="19">
        <f t="shared" si="7"/>
        <v>0</v>
      </c>
      <c r="J61" s="19">
        <f t="shared" si="8"/>
        <v>0</v>
      </c>
      <c r="K61" s="19">
        <f t="shared" si="9"/>
        <v>0</v>
      </c>
      <c r="L61" s="19">
        <f t="shared" si="10"/>
        <v>0</v>
      </c>
      <c r="M61" s="19">
        <f t="shared" si="11"/>
        <v>0</v>
      </c>
      <c r="N61" s="39">
        <f t="shared" si="12"/>
        <v>22.56</v>
      </c>
      <c r="O61" s="39">
        <f t="shared" si="1"/>
        <v>97.144946739997792</v>
      </c>
      <c r="P61" s="40">
        <v>8</v>
      </c>
      <c r="Q61" s="40">
        <v>10</v>
      </c>
      <c r="R61" s="40">
        <v>9</v>
      </c>
      <c r="S61" s="40">
        <v>9</v>
      </c>
      <c r="T61" s="40">
        <v>9</v>
      </c>
      <c r="U61" s="40">
        <v>9</v>
      </c>
      <c r="V61" s="40">
        <v>9</v>
      </c>
      <c r="W61" s="41" t="str">
        <f t="shared" si="13"/>
        <v>Y</v>
      </c>
      <c r="X61" s="56">
        <f t="shared" si="14"/>
        <v>0.25199999999999995</v>
      </c>
      <c r="Y61" s="56" t="str">
        <f t="shared" si="4"/>
        <v>25-50%</v>
      </c>
      <c r="Z61" s="8" t="s">
        <v>145</v>
      </c>
      <c r="AB61" s="38">
        <v>10040</v>
      </c>
      <c r="AC61" s="38">
        <v>12520</v>
      </c>
      <c r="AD61" s="38"/>
      <c r="AE61" s="38"/>
      <c r="AF61" s="38"/>
      <c r="AG61" s="38"/>
      <c r="AH61" s="38"/>
    </row>
    <row r="62" spans="1:34" ht="24" customHeight="1" x14ac:dyDescent="0.25">
      <c r="A62" s="10">
        <v>72</v>
      </c>
      <c r="B62" s="9">
        <v>0.51944444444444449</v>
      </c>
      <c r="C62" s="5" t="s">
        <v>20</v>
      </c>
      <c r="D62" s="5">
        <v>7</v>
      </c>
      <c r="E62" s="15"/>
      <c r="F62" s="15" t="s">
        <v>23</v>
      </c>
      <c r="G62" s="19">
        <f t="shared" si="5"/>
        <v>2.38</v>
      </c>
      <c r="H62" s="19">
        <f t="shared" si="6"/>
        <v>2.2599999999999998</v>
      </c>
      <c r="I62" s="19">
        <f t="shared" si="7"/>
        <v>0</v>
      </c>
      <c r="J62" s="19">
        <f t="shared" si="8"/>
        <v>0</v>
      </c>
      <c r="K62" s="19">
        <f t="shared" si="9"/>
        <v>0</v>
      </c>
      <c r="L62" s="19">
        <f t="shared" si="10"/>
        <v>0</v>
      </c>
      <c r="M62" s="19">
        <f t="shared" si="11"/>
        <v>0</v>
      </c>
      <c r="N62" s="39">
        <f t="shared" si="12"/>
        <v>4.6399999999999997</v>
      </c>
      <c r="O62" s="39">
        <f t="shared" si="1"/>
        <v>7.8836112052174195E-2</v>
      </c>
      <c r="P62" s="40">
        <v>8</v>
      </c>
      <c r="Q62" s="40">
        <v>10</v>
      </c>
      <c r="R62" s="40">
        <v>9</v>
      </c>
      <c r="S62" s="40">
        <v>9</v>
      </c>
      <c r="T62" s="40">
        <v>9</v>
      </c>
      <c r="U62" s="40">
        <v>9</v>
      </c>
      <c r="V62" s="40">
        <v>9</v>
      </c>
      <c r="W62" s="41" t="str">
        <f t="shared" si="13"/>
        <v>N</v>
      </c>
      <c r="X62" s="56">
        <f t="shared" si="14"/>
        <v>0</v>
      </c>
      <c r="Y62" s="56" t="str">
        <f t="shared" si="4"/>
        <v>0-4.9%</v>
      </c>
      <c r="Z62" s="8" t="s">
        <v>35</v>
      </c>
      <c r="AB62" s="38">
        <v>2380</v>
      </c>
      <c r="AC62" s="38">
        <v>2260</v>
      </c>
      <c r="AD62" s="38"/>
      <c r="AE62" s="38"/>
      <c r="AF62" s="38"/>
      <c r="AG62" s="38"/>
      <c r="AH62" s="38"/>
    </row>
    <row r="63" spans="1:34" ht="24" customHeight="1" x14ac:dyDescent="0.25">
      <c r="A63" s="10">
        <v>73</v>
      </c>
      <c r="B63" s="9">
        <v>0.51944444444444449</v>
      </c>
      <c r="C63" s="5" t="s">
        <v>20</v>
      </c>
      <c r="D63" s="5">
        <v>7</v>
      </c>
      <c r="E63" s="15"/>
      <c r="F63" s="15" t="s">
        <v>23</v>
      </c>
      <c r="G63" s="19">
        <f t="shared" si="5"/>
        <v>8.32</v>
      </c>
      <c r="H63" s="19">
        <f t="shared" si="6"/>
        <v>18.059999999999999</v>
      </c>
      <c r="I63" s="19">
        <f t="shared" si="7"/>
        <v>0</v>
      </c>
      <c r="J63" s="19">
        <f t="shared" si="8"/>
        <v>0</v>
      </c>
      <c r="K63" s="19">
        <f t="shared" si="9"/>
        <v>0</v>
      </c>
      <c r="L63" s="19">
        <f t="shared" si="10"/>
        <v>0</v>
      </c>
      <c r="M63" s="19">
        <f t="shared" si="11"/>
        <v>0</v>
      </c>
      <c r="N63" s="39">
        <f t="shared" si="12"/>
        <v>26.38</v>
      </c>
      <c r="O63" s="39">
        <f t="shared" si="1"/>
        <v>196.39518953331753</v>
      </c>
      <c r="P63" s="40">
        <v>8</v>
      </c>
      <c r="Q63" s="40">
        <v>10</v>
      </c>
      <c r="R63" s="40">
        <v>9</v>
      </c>
      <c r="S63" s="40">
        <v>9</v>
      </c>
      <c r="T63" s="40">
        <v>9</v>
      </c>
      <c r="U63" s="40">
        <v>9</v>
      </c>
      <c r="V63" s="40">
        <v>9</v>
      </c>
      <c r="W63" s="41" t="str">
        <f t="shared" si="13"/>
        <v>Y</v>
      </c>
      <c r="X63" s="56">
        <f t="shared" si="14"/>
        <v>0.80599999999999983</v>
      </c>
      <c r="Y63" s="56" t="str">
        <f t="shared" si="4"/>
        <v>Over 50%</v>
      </c>
      <c r="Z63" s="8" t="s">
        <v>35</v>
      </c>
      <c r="AB63" s="38">
        <v>8320</v>
      </c>
      <c r="AC63" s="38">
        <v>18060</v>
      </c>
      <c r="AD63" s="38"/>
      <c r="AE63" s="38"/>
      <c r="AF63" s="38"/>
      <c r="AG63" s="38"/>
      <c r="AH63" s="38"/>
    </row>
    <row r="64" spans="1:34" ht="24" customHeight="1" x14ac:dyDescent="0.25">
      <c r="A64" s="10">
        <v>74</v>
      </c>
      <c r="B64" s="9">
        <v>0.52152777777777781</v>
      </c>
      <c r="C64" s="5" t="s">
        <v>20</v>
      </c>
      <c r="D64" s="5">
        <v>7</v>
      </c>
      <c r="E64" s="15"/>
      <c r="F64" s="15" t="s">
        <v>23</v>
      </c>
      <c r="G64" s="19">
        <f t="shared" si="5"/>
        <v>1.86</v>
      </c>
      <c r="H64" s="19">
        <f t="shared" si="6"/>
        <v>3.34</v>
      </c>
      <c r="I64" s="19">
        <f t="shared" si="7"/>
        <v>0</v>
      </c>
      <c r="J64" s="19">
        <f t="shared" si="8"/>
        <v>0</v>
      </c>
      <c r="K64" s="19">
        <f t="shared" si="9"/>
        <v>0</v>
      </c>
      <c r="L64" s="19">
        <f t="shared" si="10"/>
        <v>0</v>
      </c>
      <c r="M64" s="19">
        <f t="shared" si="11"/>
        <v>0</v>
      </c>
      <c r="N64" s="39">
        <f t="shared" si="12"/>
        <v>5.2</v>
      </c>
      <c r="O64" s="39">
        <f t="shared" si="1"/>
        <v>0.13164650444808809</v>
      </c>
      <c r="P64" s="40">
        <v>8</v>
      </c>
      <c r="Q64" s="40">
        <v>10</v>
      </c>
      <c r="R64" s="40">
        <v>9</v>
      </c>
      <c r="S64" s="40">
        <v>9</v>
      </c>
      <c r="T64" s="40">
        <v>9</v>
      </c>
      <c r="U64" s="40">
        <v>9</v>
      </c>
      <c r="V64" s="40">
        <v>9</v>
      </c>
      <c r="W64" s="41" t="str">
        <f t="shared" si="13"/>
        <v>N</v>
      </c>
      <c r="X64" s="56">
        <f t="shared" si="14"/>
        <v>0</v>
      </c>
      <c r="Y64" s="56" t="str">
        <f t="shared" si="4"/>
        <v>0-4.9%</v>
      </c>
      <c r="Z64" s="8" t="s">
        <v>35</v>
      </c>
      <c r="AB64" s="38">
        <v>1860</v>
      </c>
      <c r="AC64" s="38">
        <v>3340</v>
      </c>
      <c r="AD64" s="38"/>
      <c r="AE64" s="38"/>
      <c r="AF64" s="38"/>
      <c r="AG64" s="38"/>
      <c r="AH64" s="38"/>
    </row>
    <row r="65" spans="1:34" ht="24" customHeight="1" x14ac:dyDescent="0.25">
      <c r="A65" s="10">
        <v>75</v>
      </c>
      <c r="B65" s="9">
        <v>0.52222222222222225</v>
      </c>
      <c r="C65" s="5" t="s">
        <v>20</v>
      </c>
      <c r="D65" s="5">
        <v>7</v>
      </c>
      <c r="E65" s="15"/>
      <c r="F65" s="15" t="s">
        <v>23</v>
      </c>
      <c r="G65" s="19">
        <f t="shared" si="5"/>
        <v>3.32</v>
      </c>
      <c r="H65" s="19">
        <f t="shared" si="6"/>
        <v>3.76</v>
      </c>
      <c r="I65" s="19">
        <f t="shared" si="7"/>
        <v>0</v>
      </c>
      <c r="J65" s="19">
        <f t="shared" si="8"/>
        <v>0</v>
      </c>
      <c r="K65" s="19">
        <f t="shared" si="9"/>
        <v>0</v>
      </c>
      <c r="L65" s="19">
        <f t="shared" si="10"/>
        <v>0</v>
      </c>
      <c r="M65" s="19">
        <f t="shared" si="11"/>
        <v>0</v>
      </c>
      <c r="N65" s="39">
        <f t="shared" si="12"/>
        <v>7.08</v>
      </c>
      <c r="O65" s="39">
        <f t="shared" si="1"/>
        <v>0.52789062005830578</v>
      </c>
      <c r="P65" s="40">
        <v>8</v>
      </c>
      <c r="Q65" s="40">
        <v>10</v>
      </c>
      <c r="R65" s="40">
        <v>9</v>
      </c>
      <c r="S65" s="40">
        <v>9</v>
      </c>
      <c r="T65" s="40">
        <v>9</v>
      </c>
      <c r="U65" s="40">
        <v>9</v>
      </c>
      <c r="V65" s="40">
        <v>9</v>
      </c>
      <c r="W65" s="41" t="str">
        <f t="shared" si="13"/>
        <v>N</v>
      </c>
      <c r="X65" s="56">
        <f t="shared" si="14"/>
        <v>0</v>
      </c>
      <c r="Y65" s="56" t="str">
        <f t="shared" si="4"/>
        <v>0-4.9%</v>
      </c>
      <c r="Z65" s="8" t="s">
        <v>118</v>
      </c>
      <c r="AB65" s="38">
        <v>3320</v>
      </c>
      <c r="AC65" s="38">
        <v>3760</v>
      </c>
      <c r="AD65" s="38"/>
      <c r="AE65" s="38"/>
      <c r="AF65" s="38"/>
      <c r="AG65" s="38"/>
      <c r="AH65" s="38"/>
    </row>
    <row r="66" spans="1:34" ht="24" customHeight="1" x14ac:dyDescent="0.25">
      <c r="A66" s="10">
        <v>77</v>
      </c>
      <c r="B66" s="9">
        <v>0.53472222222222221</v>
      </c>
      <c r="C66" s="5" t="s">
        <v>20</v>
      </c>
      <c r="D66" s="5">
        <v>7</v>
      </c>
      <c r="E66" s="15"/>
      <c r="F66" s="15" t="s">
        <v>23</v>
      </c>
      <c r="G66" s="19">
        <f t="shared" si="5"/>
        <v>2.7</v>
      </c>
      <c r="H66" s="19">
        <f t="shared" si="6"/>
        <v>3.2</v>
      </c>
      <c r="I66" s="19">
        <f t="shared" si="7"/>
        <v>0</v>
      </c>
      <c r="J66" s="19">
        <f t="shared" si="8"/>
        <v>0</v>
      </c>
      <c r="K66" s="19">
        <f t="shared" si="9"/>
        <v>0</v>
      </c>
      <c r="L66" s="19">
        <f t="shared" si="10"/>
        <v>0</v>
      </c>
      <c r="M66" s="19">
        <f t="shared" si="11"/>
        <v>0</v>
      </c>
      <c r="N66" s="39">
        <f t="shared" si="12"/>
        <v>5.9</v>
      </c>
      <c r="O66" s="39">
        <f t="shared" si="1"/>
        <v>0.23239583373627443</v>
      </c>
      <c r="P66" s="40">
        <v>8</v>
      </c>
      <c r="Q66" s="40">
        <v>10</v>
      </c>
      <c r="R66" s="40">
        <v>9</v>
      </c>
      <c r="S66" s="40">
        <v>9</v>
      </c>
      <c r="T66" s="40">
        <v>9</v>
      </c>
      <c r="U66" s="40">
        <v>9</v>
      </c>
      <c r="V66" s="40">
        <v>9</v>
      </c>
      <c r="W66" s="41" t="str">
        <f t="shared" si="13"/>
        <v>N</v>
      </c>
      <c r="X66" s="56">
        <f t="shared" si="14"/>
        <v>0</v>
      </c>
      <c r="Y66" s="56" t="str">
        <f t="shared" si="4"/>
        <v>0-4.9%</v>
      </c>
      <c r="Z66" s="8" t="s">
        <v>118</v>
      </c>
      <c r="AB66" s="38">
        <v>2700</v>
      </c>
      <c r="AC66" s="38">
        <v>3200</v>
      </c>
      <c r="AD66" s="38"/>
      <c r="AE66" s="38"/>
      <c r="AF66" s="38"/>
      <c r="AG66" s="38"/>
      <c r="AH66" s="38"/>
    </row>
    <row r="67" spans="1:34" ht="24" customHeight="1" x14ac:dyDescent="0.25">
      <c r="A67" s="10">
        <v>78</v>
      </c>
      <c r="B67" s="9">
        <v>0.53611111111111109</v>
      </c>
      <c r="C67" s="5" t="s">
        <v>20</v>
      </c>
      <c r="D67" s="5">
        <v>7</v>
      </c>
      <c r="E67" s="15"/>
      <c r="F67" s="15" t="s">
        <v>23</v>
      </c>
      <c r="G67" s="19">
        <f t="shared" si="5"/>
        <v>3.94</v>
      </c>
      <c r="H67" s="19">
        <f t="shared" si="6"/>
        <v>8.8800000000000008</v>
      </c>
      <c r="I67" s="19">
        <f t="shared" si="7"/>
        <v>0</v>
      </c>
      <c r="J67" s="19">
        <f t="shared" si="8"/>
        <v>0</v>
      </c>
      <c r="K67" s="19">
        <f t="shared" si="9"/>
        <v>0</v>
      </c>
      <c r="L67" s="19">
        <f t="shared" si="10"/>
        <v>0</v>
      </c>
      <c r="M67" s="19">
        <f t="shared" si="11"/>
        <v>0</v>
      </c>
      <c r="N67" s="39">
        <f t="shared" si="12"/>
        <v>12.82</v>
      </c>
      <c r="O67" s="39">
        <f t="shared" si="1"/>
        <v>7.6364304187888266</v>
      </c>
      <c r="P67" s="40">
        <v>8</v>
      </c>
      <c r="Q67" s="40">
        <v>10</v>
      </c>
      <c r="R67" s="40">
        <v>9</v>
      </c>
      <c r="S67" s="40">
        <v>9</v>
      </c>
      <c r="T67" s="40">
        <v>9</v>
      </c>
      <c r="U67" s="40">
        <v>9</v>
      </c>
      <c r="V67" s="40">
        <v>9</v>
      </c>
      <c r="W67" s="41" t="str">
        <f t="shared" si="13"/>
        <v>N</v>
      </c>
      <c r="X67" s="56">
        <f t="shared" si="14"/>
        <v>0</v>
      </c>
      <c r="Y67" s="56" t="str">
        <f t="shared" si="4"/>
        <v>0-4.9%</v>
      </c>
      <c r="Z67" s="8" t="s">
        <v>145</v>
      </c>
      <c r="AB67" s="38">
        <v>3940</v>
      </c>
      <c r="AC67" s="38">
        <v>8880</v>
      </c>
      <c r="AD67" s="38"/>
      <c r="AE67" s="38"/>
      <c r="AF67" s="38"/>
      <c r="AG67" s="38"/>
      <c r="AH67" s="38"/>
    </row>
    <row r="68" spans="1:34" ht="24" customHeight="1" x14ac:dyDescent="0.25">
      <c r="A68" s="10">
        <v>79</v>
      </c>
      <c r="B68" s="9">
        <v>0.53680555555555554</v>
      </c>
      <c r="C68" s="5" t="s">
        <v>20</v>
      </c>
      <c r="D68" s="5">
        <v>7</v>
      </c>
      <c r="E68" s="15"/>
      <c r="F68" s="15" t="s">
        <v>23</v>
      </c>
      <c r="G68" s="19">
        <f t="shared" si="5"/>
        <v>4.8</v>
      </c>
      <c r="H68" s="19">
        <f t="shared" si="6"/>
        <v>16.739999999999998</v>
      </c>
      <c r="I68" s="19">
        <f t="shared" si="7"/>
        <v>0</v>
      </c>
      <c r="J68" s="19">
        <f t="shared" si="8"/>
        <v>0</v>
      </c>
      <c r="K68" s="19">
        <f t="shared" si="9"/>
        <v>0</v>
      </c>
      <c r="L68" s="19">
        <f t="shared" si="10"/>
        <v>0</v>
      </c>
      <c r="M68" s="19">
        <f t="shared" si="11"/>
        <v>0</v>
      </c>
      <c r="N68" s="39">
        <f t="shared" si="12"/>
        <v>21.54</v>
      </c>
      <c r="O68" s="39">
        <f t="shared" si="1"/>
        <v>78.885999217033358</v>
      </c>
      <c r="P68" s="40">
        <v>8</v>
      </c>
      <c r="Q68" s="40">
        <v>10</v>
      </c>
      <c r="R68" s="40">
        <v>9</v>
      </c>
      <c r="S68" s="40">
        <v>9</v>
      </c>
      <c r="T68" s="40">
        <v>9</v>
      </c>
      <c r="U68" s="40">
        <v>9</v>
      </c>
      <c r="V68" s="40">
        <v>9</v>
      </c>
      <c r="W68" s="41" t="str">
        <f t="shared" si="13"/>
        <v>Y</v>
      </c>
      <c r="X68" s="56">
        <f t="shared" si="14"/>
        <v>0.67399999999999982</v>
      </c>
      <c r="Y68" s="56" t="str">
        <f t="shared" si="4"/>
        <v>Over 50%</v>
      </c>
      <c r="Z68" s="8" t="s">
        <v>35</v>
      </c>
      <c r="AB68" s="38">
        <v>4800</v>
      </c>
      <c r="AC68" s="38">
        <v>16740</v>
      </c>
      <c r="AD68" s="38"/>
      <c r="AE68" s="38"/>
      <c r="AF68" s="38"/>
      <c r="AG68" s="38"/>
      <c r="AH68" s="38"/>
    </row>
    <row r="69" spans="1:34" ht="24" customHeight="1" x14ac:dyDescent="0.25">
      <c r="A69" s="10">
        <v>80</v>
      </c>
      <c r="B69" s="9">
        <v>0.53749999999999998</v>
      </c>
      <c r="C69" s="5" t="s">
        <v>20</v>
      </c>
      <c r="D69" s="5">
        <v>7</v>
      </c>
      <c r="E69" s="15"/>
      <c r="F69" s="15" t="s">
        <v>23</v>
      </c>
      <c r="G69" s="19">
        <f t="shared" si="5"/>
        <v>2.2999999999999998</v>
      </c>
      <c r="H69" s="19">
        <f t="shared" si="6"/>
        <v>2</v>
      </c>
      <c r="I69" s="19">
        <f t="shared" si="7"/>
        <v>0</v>
      </c>
      <c r="J69" s="19">
        <f t="shared" si="8"/>
        <v>0</v>
      </c>
      <c r="K69" s="19">
        <f t="shared" si="9"/>
        <v>0</v>
      </c>
      <c r="L69" s="19">
        <f t="shared" si="10"/>
        <v>0</v>
      </c>
      <c r="M69" s="19">
        <f t="shared" si="11"/>
        <v>0</v>
      </c>
      <c r="N69" s="39">
        <f t="shared" si="12"/>
        <v>4.3</v>
      </c>
      <c r="O69" s="39">
        <f t="shared" si="1"/>
        <v>5.597606119827498E-2</v>
      </c>
      <c r="P69" s="40">
        <v>8</v>
      </c>
      <c r="Q69" s="40">
        <v>10</v>
      </c>
      <c r="R69" s="40">
        <v>9</v>
      </c>
      <c r="S69" s="40">
        <v>9</v>
      </c>
      <c r="T69" s="40">
        <v>9</v>
      </c>
      <c r="U69" s="40">
        <v>9</v>
      </c>
      <c r="V69" s="40">
        <v>9</v>
      </c>
      <c r="W69" s="41" t="str">
        <f t="shared" si="13"/>
        <v>N</v>
      </c>
      <c r="X69" s="56">
        <f t="shared" si="14"/>
        <v>0</v>
      </c>
      <c r="Y69" s="56" t="str">
        <f t="shared" si="4"/>
        <v>0-4.9%</v>
      </c>
      <c r="Z69" s="8" t="s">
        <v>35</v>
      </c>
      <c r="AB69" s="38">
        <v>2300</v>
      </c>
      <c r="AC69" s="38">
        <v>2000</v>
      </c>
      <c r="AD69" s="38"/>
      <c r="AE69" s="38"/>
      <c r="AF69" s="38"/>
      <c r="AG69" s="38"/>
      <c r="AH69" s="38"/>
    </row>
    <row r="70" spans="1:34" ht="24" customHeight="1" x14ac:dyDescent="0.25">
      <c r="A70" s="10">
        <v>81</v>
      </c>
      <c r="B70" s="9">
        <v>0.53749999999999998</v>
      </c>
      <c r="C70" s="5" t="s">
        <v>20</v>
      </c>
      <c r="D70" s="5">
        <v>7</v>
      </c>
      <c r="E70" s="15"/>
      <c r="F70" s="15" t="s">
        <v>23</v>
      </c>
      <c r="G70" s="19">
        <f t="shared" si="5"/>
        <v>2.82</v>
      </c>
      <c r="H70" s="19">
        <f t="shared" si="6"/>
        <v>2.76</v>
      </c>
      <c r="I70" s="19">
        <f t="shared" si="7"/>
        <v>0</v>
      </c>
      <c r="J70" s="19">
        <f t="shared" si="8"/>
        <v>0</v>
      </c>
      <c r="K70" s="19">
        <f t="shared" si="9"/>
        <v>0</v>
      </c>
      <c r="L70" s="19">
        <f t="shared" si="10"/>
        <v>0</v>
      </c>
      <c r="M70" s="19">
        <f t="shared" si="11"/>
        <v>0</v>
      </c>
      <c r="N70" s="39">
        <f t="shared" si="12"/>
        <v>5.58</v>
      </c>
      <c r="O70" s="39">
        <f t="shared" si="1"/>
        <v>0.18082071443033287</v>
      </c>
      <c r="P70" s="40">
        <v>8</v>
      </c>
      <c r="Q70" s="40">
        <v>10</v>
      </c>
      <c r="R70" s="40">
        <v>9</v>
      </c>
      <c r="S70" s="40">
        <v>9</v>
      </c>
      <c r="T70" s="40">
        <v>9</v>
      </c>
      <c r="U70" s="40">
        <v>9</v>
      </c>
      <c r="V70" s="40">
        <v>9</v>
      </c>
      <c r="W70" s="41" t="str">
        <f t="shared" si="13"/>
        <v>N</v>
      </c>
      <c r="X70" s="56">
        <f t="shared" si="14"/>
        <v>0</v>
      </c>
      <c r="Y70" s="56" t="str">
        <f t="shared" si="4"/>
        <v>0-4.9%</v>
      </c>
      <c r="Z70" s="8" t="s">
        <v>118</v>
      </c>
      <c r="AB70" s="38">
        <v>2820</v>
      </c>
      <c r="AC70" s="38">
        <v>2760</v>
      </c>
      <c r="AD70" s="38"/>
      <c r="AE70" s="38"/>
      <c r="AF70" s="38"/>
      <c r="AG70" s="38"/>
      <c r="AH70" s="38"/>
    </row>
    <row r="71" spans="1:34" ht="24" customHeight="1" x14ac:dyDescent="0.25">
      <c r="A71" s="10">
        <v>82</v>
      </c>
      <c r="B71" s="9">
        <v>0.53819444444444442</v>
      </c>
      <c r="C71" s="5" t="s">
        <v>20</v>
      </c>
      <c r="D71" s="5">
        <v>7</v>
      </c>
      <c r="E71" s="15"/>
      <c r="F71" s="15" t="s">
        <v>23</v>
      </c>
      <c r="G71" s="19">
        <f t="shared" si="5"/>
        <v>4.4400000000000004</v>
      </c>
      <c r="H71" s="19">
        <f t="shared" si="6"/>
        <v>5.24</v>
      </c>
      <c r="I71" s="19">
        <f t="shared" si="7"/>
        <v>0</v>
      </c>
      <c r="J71" s="19">
        <f t="shared" si="8"/>
        <v>0</v>
      </c>
      <c r="K71" s="19">
        <f t="shared" si="9"/>
        <v>0</v>
      </c>
      <c r="L71" s="19">
        <f t="shared" si="10"/>
        <v>0</v>
      </c>
      <c r="M71" s="19">
        <f t="shared" si="11"/>
        <v>0</v>
      </c>
      <c r="N71" s="39">
        <f t="shared" si="12"/>
        <v>9.68</v>
      </c>
      <c r="O71" s="39">
        <f t="shared" ref="O71:O134" si="15">(N71/8.16)^4.5</f>
        <v>2.1569168017986202</v>
      </c>
      <c r="P71" s="40">
        <v>8</v>
      </c>
      <c r="Q71" s="40">
        <v>10</v>
      </c>
      <c r="R71" s="40">
        <v>9</v>
      </c>
      <c r="S71" s="40">
        <v>9</v>
      </c>
      <c r="T71" s="40">
        <v>9</v>
      </c>
      <c r="U71" s="40">
        <v>9</v>
      </c>
      <c r="V71" s="40">
        <v>9</v>
      </c>
      <c r="W71" s="41" t="str">
        <f t="shared" si="13"/>
        <v>N</v>
      </c>
      <c r="X71" s="56">
        <f t="shared" si="14"/>
        <v>0</v>
      </c>
      <c r="Y71" s="56" t="str">
        <f t="shared" ref="Y71:Y134" si="16">IF(X71&lt;5%,"0-4.9%",IF(X71&lt;25%,"5-25%",IF(X71&lt;50%,"25-50%","Over 50%")))</f>
        <v>0-4.9%</v>
      </c>
      <c r="Z71" s="8" t="s">
        <v>118</v>
      </c>
      <c r="AB71" s="38">
        <v>4440</v>
      </c>
      <c r="AC71" s="38">
        <v>5240</v>
      </c>
      <c r="AD71" s="38"/>
      <c r="AE71" s="38"/>
      <c r="AF71" s="38"/>
      <c r="AG71" s="38"/>
      <c r="AH71" s="38"/>
    </row>
    <row r="72" spans="1:34" ht="24" customHeight="1" x14ac:dyDescent="0.25">
      <c r="A72" s="10">
        <v>84</v>
      </c>
      <c r="B72" s="9">
        <v>4.2361111111111106E-2</v>
      </c>
      <c r="C72" s="5" t="s">
        <v>20</v>
      </c>
      <c r="D72" s="5">
        <v>7</v>
      </c>
      <c r="E72" s="15"/>
      <c r="F72" s="15" t="s">
        <v>23</v>
      </c>
      <c r="G72" s="19">
        <f t="shared" ref="G72:G135" si="17">AB72/1000</f>
        <v>5.98</v>
      </c>
      <c r="H72" s="19">
        <f t="shared" ref="H72:H135" si="18">AC72/1000</f>
        <v>10.54</v>
      </c>
      <c r="I72" s="19">
        <f t="shared" ref="I72:I135" si="19">AD72/1000</f>
        <v>0</v>
      </c>
      <c r="J72" s="19">
        <f t="shared" ref="J72:J135" si="20">AE72/1000</f>
        <v>0</v>
      </c>
      <c r="K72" s="19">
        <f t="shared" ref="K72:K135" si="21">AF72/1000</f>
        <v>0</v>
      </c>
      <c r="L72" s="19">
        <f t="shared" ref="L72:L135" si="22">AG72/1000</f>
        <v>0</v>
      </c>
      <c r="M72" s="19">
        <f t="shared" ref="M72:M135" si="23">AH72/1000</f>
        <v>0</v>
      </c>
      <c r="N72" s="39">
        <f t="shared" ref="N72:N135" si="24">SUM(G72:M72)</f>
        <v>16.52</v>
      </c>
      <c r="O72" s="39">
        <f t="shared" si="15"/>
        <v>23.902288225940477</v>
      </c>
      <c r="P72" s="40">
        <v>8</v>
      </c>
      <c r="Q72" s="40">
        <v>10</v>
      </c>
      <c r="R72" s="40">
        <v>9</v>
      </c>
      <c r="S72" s="40">
        <v>9</v>
      </c>
      <c r="T72" s="40">
        <v>9</v>
      </c>
      <c r="U72" s="40">
        <v>9</v>
      </c>
      <c r="V72" s="40">
        <v>9</v>
      </c>
      <c r="W72" s="41" t="str">
        <f t="shared" ref="W72:W135" si="25">IF(G72&gt;P72,"Y",IF(H72&gt;Q72,"Y",IF(I72&gt;R72,"Y",IF(J72&gt;S72,"Y",IF(K72&gt;T72,"Y",IF(L72&gt;U72,"Y",IF(M72&gt;V72,"Y","N")))))))</f>
        <v>Y</v>
      </c>
      <c r="X72" s="56">
        <f t="shared" ref="X72:X135" si="26">IF(W72="Y",MAX((G72-P72),(H72-Q72),(I72-R72),(J72-S72),(K72-T72),(L72-U72),(M72-V72))/10,0)</f>
        <v>5.3999999999999916E-2</v>
      </c>
      <c r="Y72" s="56" t="str">
        <f t="shared" si="16"/>
        <v>5-25%</v>
      </c>
      <c r="Z72" s="8" t="s">
        <v>115</v>
      </c>
      <c r="AB72" s="38">
        <v>5980</v>
      </c>
      <c r="AC72" s="38">
        <v>10540</v>
      </c>
      <c r="AD72" s="38"/>
      <c r="AE72" s="38"/>
      <c r="AF72" s="38"/>
      <c r="AG72" s="38"/>
      <c r="AH72" s="38"/>
    </row>
    <row r="73" spans="1:34" ht="24" customHeight="1" x14ac:dyDescent="0.25">
      <c r="A73" s="10">
        <v>87</v>
      </c>
      <c r="B73" s="9">
        <v>4.9999999999999996E-2</v>
      </c>
      <c r="C73" s="5" t="s">
        <v>21</v>
      </c>
      <c r="D73" s="5">
        <v>7</v>
      </c>
      <c r="E73" s="15"/>
      <c r="F73" s="15" t="s">
        <v>23</v>
      </c>
      <c r="G73" s="19">
        <f t="shared" si="17"/>
        <v>3.66</v>
      </c>
      <c r="H73" s="19">
        <f t="shared" si="18"/>
        <v>3.98</v>
      </c>
      <c r="I73" s="19">
        <f t="shared" si="19"/>
        <v>0</v>
      </c>
      <c r="J73" s="19">
        <f t="shared" si="20"/>
        <v>0</v>
      </c>
      <c r="K73" s="19">
        <f t="shared" si="21"/>
        <v>0</v>
      </c>
      <c r="L73" s="19">
        <f t="shared" si="22"/>
        <v>0</v>
      </c>
      <c r="M73" s="19">
        <f t="shared" si="23"/>
        <v>0</v>
      </c>
      <c r="N73" s="39">
        <f t="shared" si="24"/>
        <v>7.6400000000000006</v>
      </c>
      <c r="O73" s="39">
        <f t="shared" si="15"/>
        <v>0.74355722716141093</v>
      </c>
      <c r="P73" s="40">
        <v>8</v>
      </c>
      <c r="Q73" s="40">
        <v>10</v>
      </c>
      <c r="R73" s="40">
        <v>9</v>
      </c>
      <c r="S73" s="40">
        <v>9</v>
      </c>
      <c r="T73" s="40">
        <v>9</v>
      </c>
      <c r="U73" s="40">
        <v>9</v>
      </c>
      <c r="V73" s="40">
        <v>9</v>
      </c>
      <c r="W73" s="41" t="str">
        <f t="shared" si="25"/>
        <v>N</v>
      </c>
      <c r="X73" s="56">
        <f t="shared" si="26"/>
        <v>0</v>
      </c>
      <c r="Y73" s="56" t="str">
        <f t="shared" si="16"/>
        <v>0-4.9%</v>
      </c>
      <c r="Z73" s="8" t="s">
        <v>118</v>
      </c>
      <c r="AB73" s="38">
        <v>3660</v>
      </c>
      <c r="AC73" s="38">
        <v>3980</v>
      </c>
      <c r="AD73" s="38"/>
      <c r="AE73" s="38"/>
      <c r="AF73" s="38"/>
      <c r="AG73" s="38"/>
      <c r="AH73" s="38"/>
    </row>
    <row r="74" spans="1:34" ht="24" customHeight="1" x14ac:dyDescent="0.25">
      <c r="A74" s="10">
        <v>88</v>
      </c>
      <c r="B74" s="9">
        <v>5.5555555555555552E-2</v>
      </c>
      <c r="C74" s="5" t="s">
        <v>20</v>
      </c>
      <c r="D74" s="5">
        <v>7</v>
      </c>
      <c r="E74" s="15"/>
      <c r="F74" s="15" t="s">
        <v>23</v>
      </c>
      <c r="G74" s="19">
        <f t="shared" si="17"/>
        <v>5.62</v>
      </c>
      <c r="H74" s="19">
        <f t="shared" si="18"/>
        <v>8.98</v>
      </c>
      <c r="I74" s="19">
        <f t="shared" si="19"/>
        <v>0</v>
      </c>
      <c r="J74" s="19">
        <f t="shared" si="20"/>
        <v>0</v>
      </c>
      <c r="K74" s="19">
        <f t="shared" si="21"/>
        <v>0</v>
      </c>
      <c r="L74" s="19">
        <f t="shared" si="22"/>
        <v>0</v>
      </c>
      <c r="M74" s="19">
        <f t="shared" si="23"/>
        <v>0</v>
      </c>
      <c r="N74" s="39">
        <f t="shared" si="24"/>
        <v>14.600000000000001</v>
      </c>
      <c r="O74" s="39">
        <f t="shared" si="15"/>
        <v>13.708253803363332</v>
      </c>
      <c r="P74" s="40">
        <v>8</v>
      </c>
      <c r="Q74" s="40">
        <v>10</v>
      </c>
      <c r="R74" s="40">
        <v>9</v>
      </c>
      <c r="S74" s="40">
        <v>9</v>
      </c>
      <c r="T74" s="40">
        <v>9</v>
      </c>
      <c r="U74" s="40">
        <v>9</v>
      </c>
      <c r="V74" s="40">
        <v>9</v>
      </c>
      <c r="W74" s="41" t="str">
        <f t="shared" si="25"/>
        <v>N</v>
      </c>
      <c r="X74" s="56">
        <f t="shared" si="26"/>
        <v>0</v>
      </c>
      <c r="Y74" s="56" t="str">
        <f t="shared" si="16"/>
        <v>0-4.9%</v>
      </c>
      <c r="Z74" s="8" t="s">
        <v>145</v>
      </c>
      <c r="AB74" s="38">
        <v>5620</v>
      </c>
      <c r="AC74" s="38">
        <v>8980</v>
      </c>
      <c r="AD74" s="38"/>
      <c r="AE74" s="38"/>
      <c r="AF74" s="38"/>
      <c r="AG74" s="38"/>
      <c r="AH74" s="38"/>
    </row>
    <row r="75" spans="1:34" ht="24" customHeight="1" x14ac:dyDescent="0.25">
      <c r="A75" s="10">
        <v>89</v>
      </c>
      <c r="B75" s="9">
        <v>5.6250000000000001E-2</v>
      </c>
      <c r="C75" s="5" t="s">
        <v>20</v>
      </c>
      <c r="D75" s="5">
        <v>7</v>
      </c>
      <c r="E75" s="15"/>
      <c r="F75" s="15" t="s">
        <v>23</v>
      </c>
      <c r="G75" s="19">
        <f t="shared" si="17"/>
        <v>2.96</v>
      </c>
      <c r="H75" s="19">
        <f t="shared" si="18"/>
        <v>4.5</v>
      </c>
      <c r="I75" s="19">
        <f t="shared" si="19"/>
        <v>0</v>
      </c>
      <c r="J75" s="19">
        <f t="shared" si="20"/>
        <v>0</v>
      </c>
      <c r="K75" s="19">
        <f t="shared" si="21"/>
        <v>0</v>
      </c>
      <c r="L75" s="19">
        <f t="shared" si="22"/>
        <v>0</v>
      </c>
      <c r="M75" s="19">
        <f t="shared" si="23"/>
        <v>0</v>
      </c>
      <c r="N75" s="39">
        <f t="shared" si="24"/>
        <v>7.46</v>
      </c>
      <c r="O75" s="39">
        <f t="shared" si="15"/>
        <v>0.66791163547303123</v>
      </c>
      <c r="P75" s="40">
        <v>8</v>
      </c>
      <c r="Q75" s="40">
        <v>10</v>
      </c>
      <c r="R75" s="40">
        <v>9</v>
      </c>
      <c r="S75" s="40">
        <v>9</v>
      </c>
      <c r="T75" s="40">
        <v>9</v>
      </c>
      <c r="U75" s="40">
        <v>9</v>
      </c>
      <c r="V75" s="40">
        <v>9</v>
      </c>
      <c r="W75" s="41" t="str">
        <f t="shared" si="25"/>
        <v>N</v>
      </c>
      <c r="X75" s="56">
        <f t="shared" si="26"/>
        <v>0</v>
      </c>
      <c r="Y75" s="56" t="str">
        <f t="shared" si="16"/>
        <v>0-4.9%</v>
      </c>
      <c r="Z75" s="8" t="s">
        <v>35</v>
      </c>
      <c r="AB75" s="38">
        <v>2960</v>
      </c>
      <c r="AC75" s="38">
        <v>4500</v>
      </c>
      <c r="AD75" s="38"/>
      <c r="AE75" s="38"/>
      <c r="AF75" s="38"/>
      <c r="AG75" s="38"/>
      <c r="AH75" s="38"/>
    </row>
    <row r="76" spans="1:34" ht="24" customHeight="1" x14ac:dyDescent="0.25">
      <c r="A76" s="10">
        <v>91</v>
      </c>
      <c r="B76" s="9">
        <v>5.6250000000000001E-2</v>
      </c>
      <c r="C76" s="5" t="s">
        <v>20</v>
      </c>
      <c r="D76" s="5">
        <v>7</v>
      </c>
      <c r="E76" s="15"/>
      <c r="F76" s="15" t="s">
        <v>23</v>
      </c>
      <c r="G76" s="19">
        <f t="shared" si="17"/>
        <v>7.92</v>
      </c>
      <c r="H76" s="19">
        <f t="shared" si="18"/>
        <v>12.4</v>
      </c>
      <c r="I76" s="19">
        <f t="shared" si="19"/>
        <v>0</v>
      </c>
      <c r="J76" s="19">
        <f t="shared" si="20"/>
        <v>0</v>
      </c>
      <c r="K76" s="19">
        <f t="shared" si="21"/>
        <v>0</v>
      </c>
      <c r="L76" s="19">
        <f t="shared" si="22"/>
        <v>0</v>
      </c>
      <c r="M76" s="19">
        <f t="shared" si="23"/>
        <v>0</v>
      </c>
      <c r="N76" s="39">
        <f t="shared" si="24"/>
        <v>20.32</v>
      </c>
      <c r="O76" s="39">
        <f t="shared" si="15"/>
        <v>60.680751667467568</v>
      </c>
      <c r="P76" s="40">
        <v>8</v>
      </c>
      <c r="Q76" s="40">
        <v>10</v>
      </c>
      <c r="R76" s="40">
        <v>9</v>
      </c>
      <c r="S76" s="40">
        <v>9</v>
      </c>
      <c r="T76" s="40">
        <v>9</v>
      </c>
      <c r="U76" s="40">
        <v>9</v>
      </c>
      <c r="V76" s="40">
        <v>9</v>
      </c>
      <c r="W76" s="41" t="str">
        <f t="shared" si="25"/>
        <v>Y</v>
      </c>
      <c r="X76" s="56">
        <f t="shared" si="26"/>
        <v>0.24000000000000005</v>
      </c>
      <c r="Y76" s="56" t="str">
        <f t="shared" si="16"/>
        <v>5-25%</v>
      </c>
      <c r="Z76" s="8" t="s">
        <v>35</v>
      </c>
      <c r="AB76" s="38">
        <v>7920</v>
      </c>
      <c r="AC76" s="38">
        <v>12400</v>
      </c>
      <c r="AD76" s="38"/>
      <c r="AE76" s="38"/>
      <c r="AF76" s="38"/>
      <c r="AG76" s="38"/>
      <c r="AH76" s="38"/>
    </row>
    <row r="77" spans="1:34" ht="24" customHeight="1" x14ac:dyDescent="0.25">
      <c r="A77" s="10">
        <v>92</v>
      </c>
      <c r="B77" s="9">
        <v>5.8333333333333327E-2</v>
      </c>
      <c r="C77" s="5" t="s">
        <v>20</v>
      </c>
      <c r="D77" s="5">
        <v>7</v>
      </c>
      <c r="E77" s="15"/>
      <c r="F77" s="15" t="s">
        <v>23</v>
      </c>
      <c r="G77" s="19">
        <f t="shared" si="17"/>
        <v>1.52</v>
      </c>
      <c r="H77" s="19">
        <f t="shared" si="18"/>
        <v>2.34</v>
      </c>
      <c r="I77" s="19">
        <f t="shared" si="19"/>
        <v>0</v>
      </c>
      <c r="J77" s="19">
        <f t="shared" si="20"/>
        <v>0</v>
      </c>
      <c r="K77" s="19">
        <f t="shared" si="21"/>
        <v>0</v>
      </c>
      <c r="L77" s="19">
        <f t="shared" si="22"/>
        <v>0</v>
      </c>
      <c r="M77" s="19">
        <f t="shared" si="23"/>
        <v>0</v>
      </c>
      <c r="N77" s="39">
        <f t="shared" si="24"/>
        <v>3.86</v>
      </c>
      <c r="O77" s="39">
        <f t="shared" si="15"/>
        <v>3.4437939333087718E-2</v>
      </c>
      <c r="P77" s="40">
        <v>8</v>
      </c>
      <c r="Q77" s="40">
        <v>10</v>
      </c>
      <c r="R77" s="40">
        <v>9</v>
      </c>
      <c r="S77" s="40">
        <v>9</v>
      </c>
      <c r="T77" s="40">
        <v>9</v>
      </c>
      <c r="U77" s="40">
        <v>9</v>
      </c>
      <c r="V77" s="40">
        <v>9</v>
      </c>
      <c r="W77" s="41" t="str">
        <f t="shared" si="25"/>
        <v>N</v>
      </c>
      <c r="X77" s="56">
        <f t="shared" si="26"/>
        <v>0</v>
      </c>
      <c r="Y77" s="56" t="str">
        <f t="shared" si="16"/>
        <v>0-4.9%</v>
      </c>
      <c r="Z77" s="8" t="s">
        <v>145</v>
      </c>
      <c r="AB77" s="38">
        <v>1520</v>
      </c>
      <c r="AC77" s="38">
        <v>2340</v>
      </c>
      <c r="AD77" s="38"/>
      <c r="AE77" s="38"/>
      <c r="AF77" s="38"/>
      <c r="AG77" s="38"/>
      <c r="AH77" s="38"/>
    </row>
    <row r="78" spans="1:34" ht="24" customHeight="1" x14ac:dyDescent="0.25">
      <c r="A78" s="10">
        <v>93</v>
      </c>
      <c r="B78" s="9">
        <v>5.9722222222222225E-2</v>
      </c>
      <c r="C78" s="5" t="s">
        <v>20</v>
      </c>
      <c r="D78" s="5">
        <v>7</v>
      </c>
      <c r="E78" s="15"/>
      <c r="F78" s="15" t="s">
        <v>23</v>
      </c>
      <c r="G78" s="19">
        <f t="shared" si="17"/>
        <v>5.12</v>
      </c>
      <c r="H78" s="19">
        <f t="shared" si="18"/>
        <v>15.56</v>
      </c>
      <c r="I78" s="19">
        <f t="shared" si="19"/>
        <v>0</v>
      </c>
      <c r="J78" s="19">
        <f t="shared" si="20"/>
        <v>0</v>
      </c>
      <c r="K78" s="19">
        <f t="shared" si="21"/>
        <v>0</v>
      </c>
      <c r="L78" s="19">
        <f t="shared" si="22"/>
        <v>0</v>
      </c>
      <c r="M78" s="19">
        <f t="shared" si="23"/>
        <v>0</v>
      </c>
      <c r="N78" s="39">
        <f t="shared" si="24"/>
        <v>20.68</v>
      </c>
      <c r="O78" s="39">
        <f t="shared" si="15"/>
        <v>65.670706795965117</v>
      </c>
      <c r="P78" s="40">
        <v>8</v>
      </c>
      <c r="Q78" s="40">
        <v>10</v>
      </c>
      <c r="R78" s="40">
        <v>9</v>
      </c>
      <c r="S78" s="40">
        <v>9</v>
      </c>
      <c r="T78" s="40">
        <v>9</v>
      </c>
      <c r="U78" s="40">
        <v>9</v>
      </c>
      <c r="V78" s="40">
        <v>9</v>
      </c>
      <c r="W78" s="41" t="str">
        <f t="shared" si="25"/>
        <v>Y</v>
      </c>
      <c r="X78" s="56">
        <f t="shared" si="26"/>
        <v>0.55600000000000005</v>
      </c>
      <c r="Y78" s="56" t="str">
        <f t="shared" si="16"/>
        <v>Over 50%</v>
      </c>
      <c r="Z78" s="8" t="s">
        <v>115</v>
      </c>
      <c r="AB78" s="38">
        <v>5120</v>
      </c>
      <c r="AC78" s="38">
        <v>15560</v>
      </c>
      <c r="AD78" s="38"/>
      <c r="AE78" s="38"/>
      <c r="AF78" s="38"/>
      <c r="AG78" s="38"/>
      <c r="AH78" s="38"/>
    </row>
    <row r="79" spans="1:34" ht="24" customHeight="1" x14ac:dyDescent="0.25">
      <c r="A79" s="10">
        <v>94</v>
      </c>
      <c r="B79" s="9">
        <v>6.0416666666666667E-2</v>
      </c>
      <c r="C79" s="5" t="s">
        <v>20</v>
      </c>
      <c r="D79" s="5">
        <v>7</v>
      </c>
      <c r="E79" s="15"/>
      <c r="F79" s="15" t="s">
        <v>23</v>
      </c>
      <c r="G79" s="19">
        <f t="shared" si="17"/>
        <v>2.2599999999999998</v>
      </c>
      <c r="H79" s="19">
        <f t="shared" si="18"/>
        <v>2.64</v>
      </c>
      <c r="I79" s="19">
        <f t="shared" si="19"/>
        <v>0</v>
      </c>
      <c r="J79" s="19">
        <f t="shared" si="20"/>
        <v>0</v>
      </c>
      <c r="K79" s="19">
        <f t="shared" si="21"/>
        <v>0</v>
      </c>
      <c r="L79" s="19">
        <f t="shared" si="22"/>
        <v>0</v>
      </c>
      <c r="M79" s="19">
        <f t="shared" si="23"/>
        <v>0</v>
      </c>
      <c r="N79" s="39">
        <f t="shared" si="24"/>
        <v>4.9000000000000004</v>
      </c>
      <c r="O79" s="39">
        <f t="shared" si="15"/>
        <v>0.10075732890093157</v>
      </c>
      <c r="P79" s="40">
        <v>8</v>
      </c>
      <c r="Q79" s="40">
        <v>10</v>
      </c>
      <c r="R79" s="40">
        <v>9</v>
      </c>
      <c r="S79" s="40">
        <v>9</v>
      </c>
      <c r="T79" s="40">
        <v>9</v>
      </c>
      <c r="U79" s="40">
        <v>9</v>
      </c>
      <c r="V79" s="40">
        <v>9</v>
      </c>
      <c r="W79" s="41" t="str">
        <f t="shared" si="25"/>
        <v>N</v>
      </c>
      <c r="X79" s="56">
        <f t="shared" si="26"/>
        <v>0</v>
      </c>
      <c r="Y79" s="56" t="str">
        <f t="shared" si="16"/>
        <v>0-4.9%</v>
      </c>
      <c r="Z79" s="8" t="s">
        <v>118</v>
      </c>
      <c r="AB79" s="38">
        <v>2260</v>
      </c>
      <c r="AC79" s="38">
        <v>2640</v>
      </c>
      <c r="AD79" s="38"/>
      <c r="AE79" s="38"/>
      <c r="AF79" s="38"/>
      <c r="AG79" s="38"/>
      <c r="AH79" s="38"/>
    </row>
    <row r="80" spans="1:34" ht="24" customHeight="1" x14ac:dyDescent="0.25">
      <c r="A80" s="10">
        <v>95</v>
      </c>
      <c r="B80" s="9">
        <v>6.1805555555555558E-2</v>
      </c>
      <c r="C80" s="5" t="s">
        <v>20</v>
      </c>
      <c r="D80" s="5">
        <v>7</v>
      </c>
      <c r="E80" s="15"/>
      <c r="F80" s="15" t="s">
        <v>23</v>
      </c>
      <c r="G80" s="19">
        <f t="shared" si="17"/>
        <v>4.2</v>
      </c>
      <c r="H80" s="19">
        <f t="shared" si="18"/>
        <v>4.12</v>
      </c>
      <c r="I80" s="19">
        <f t="shared" si="19"/>
        <v>0</v>
      </c>
      <c r="J80" s="19">
        <f t="shared" si="20"/>
        <v>0</v>
      </c>
      <c r="K80" s="19">
        <f t="shared" si="21"/>
        <v>0</v>
      </c>
      <c r="L80" s="19">
        <f t="shared" si="22"/>
        <v>0</v>
      </c>
      <c r="M80" s="19">
        <f t="shared" si="23"/>
        <v>0</v>
      </c>
      <c r="N80" s="39">
        <f t="shared" si="24"/>
        <v>8.32</v>
      </c>
      <c r="O80" s="39">
        <f t="shared" si="15"/>
        <v>1.091312812177349</v>
      </c>
      <c r="P80" s="40">
        <v>8</v>
      </c>
      <c r="Q80" s="40">
        <v>10</v>
      </c>
      <c r="R80" s="40">
        <v>9</v>
      </c>
      <c r="S80" s="40">
        <v>9</v>
      </c>
      <c r="T80" s="40">
        <v>9</v>
      </c>
      <c r="U80" s="40">
        <v>9</v>
      </c>
      <c r="V80" s="40">
        <v>9</v>
      </c>
      <c r="W80" s="41" t="str">
        <f t="shared" si="25"/>
        <v>N</v>
      </c>
      <c r="X80" s="56">
        <f t="shared" si="26"/>
        <v>0</v>
      </c>
      <c r="Y80" s="56" t="str">
        <f t="shared" si="16"/>
        <v>0-4.9%</v>
      </c>
      <c r="Z80" s="8" t="s">
        <v>118</v>
      </c>
      <c r="AB80" s="38">
        <v>4200</v>
      </c>
      <c r="AC80" s="38">
        <v>4120</v>
      </c>
      <c r="AD80" s="38"/>
      <c r="AE80" s="38"/>
      <c r="AF80" s="38"/>
      <c r="AG80" s="38"/>
      <c r="AH80" s="38"/>
    </row>
    <row r="81" spans="1:34" ht="24" customHeight="1" x14ac:dyDescent="0.25">
      <c r="A81" s="10">
        <v>96</v>
      </c>
      <c r="B81" s="9">
        <v>6.5972222222222224E-2</v>
      </c>
      <c r="C81" s="5" t="s">
        <v>20</v>
      </c>
      <c r="D81" s="5">
        <v>7</v>
      </c>
      <c r="E81" s="15"/>
      <c r="F81" s="15" t="s">
        <v>23</v>
      </c>
      <c r="G81" s="19">
        <f t="shared" si="17"/>
        <v>3.24</v>
      </c>
      <c r="H81" s="19">
        <f t="shared" si="18"/>
        <v>2.54</v>
      </c>
      <c r="I81" s="19">
        <f t="shared" si="19"/>
        <v>0</v>
      </c>
      <c r="J81" s="19">
        <f t="shared" si="20"/>
        <v>0</v>
      </c>
      <c r="K81" s="19">
        <f t="shared" si="21"/>
        <v>0</v>
      </c>
      <c r="L81" s="19">
        <f t="shared" si="22"/>
        <v>0</v>
      </c>
      <c r="M81" s="19">
        <f t="shared" si="23"/>
        <v>0</v>
      </c>
      <c r="N81" s="39">
        <f t="shared" si="24"/>
        <v>5.78</v>
      </c>
      <c r="O81" s="39">
        <f t="shared" si="15"/>
        <v>0.21187004483872132</v>
      </c>
      <c r="P81" s="40">
        <v>8</v>
      </c>
      <c r="Q81" s="40">
        <v>10</v>
      </c>
      <c r="R81" s="40">
        <v>9</v>
      </c>
      <c r="S81" s="40">
        <v>9</v>
      </c>
      <c r="T81" s="40">
        <v>9</v>
      </c>
      <c r="U81" s="40">
        <v>9</v>
      </c>
      <c r="V81" s="40">
        <v>9</v>
      </c>
      <c r="W81" s="41" t="str">
        <f t="shared" si="25"/>
        <v>N</v>
      </c>
      <c r="X81" s="56">
        <f t="shared" si="26"/>
        <v>0</v>
      </c>
      <c r="Y81" s="56" t="str">
        <f t="shared" si="16"/>
        <v>0-4.9%</v>
      </c>
      <c r="Z81" s="8" t="s">
        <v>118</v>
      </c>
      <c r="AB81" s="38">
        <v>3240</v>
      </c>
      <c r="AC81" s="38">
        <v>2540</v>
      </c>
      <c r="AD81" s="38"/>
      <c r="AE81" s="38"/>
      <c r="AF81" s="38"/>
      <c r="AG81" s="38"/>
      <c r="AH81" s="38"/>
    </row>
    <row r="82" spans="1:34" ht="24" customHeight="1" x14ac:dyDescent="0.25">
      <c r="A82" s="10">
        <v>97</v>
      </c>
      <c r="B82" s="9">
        <v>6.7361111111111108E-2</v>
      </c>
      <c r="C82" s="5" t="s">
        <v>20</v>
      </c>
      <c r="D82" s="5">
        <v>7</v>
      </c>
      <c r="E82" s="15"/>
      <c r="F82" s="15" t="s">
        <v>23</v>
      </c>
      <c r="G82" s="19">
        <f t="shared" si="17"/>
        <v>3.62</v>
      </c>
      <c r="H82" s="19">
        <f t="shared" si="18"/>
        <v>4.82</v>
      </c>
      <c r="I82" s="19">
        <f t="shared" si="19"/>
        <v>0</v>
      </c>
      <c r="J82" s="19">
        <f t="shared" si="20"/>
        <v>0</v>
      </c>
      <c r="K82" s="19">
        <f t="shared" si="21"/>
        <v>0</v>
      </c>
      <c r="L82" s="19">
        <f t="shared" si="22"/>
        <v>0</v>
      </c>
      <c r="M82" s="19">
        <f t="shared" si="23"/>
        <v>0</v>
      </c>
      <c r="N82" s="39">
        <f t="shared" si="24"/>
        <v>8.4400000000000013</v>
      </c>
      <c r="O82" s="39">
        <f t="shared" si="15"/>
        <v>1.1639526017607265</v>
      </c>
      <c r="P82" s="40">
        <v>8</v>
      </c>
      <c r="Q82" s="40">
        <v>10</v>
      </c>
      <c r="R82" s="40">
        <v>9</v>
      </c>
      <c r="S82" s="40">
        <v>9</v>
      </c>
      <c r="T82" s="40">
        <v>9</v>
      </c>
      <c r="U82" s="40">
        <v>9</v>
      </c>
      <c r="V82" s="40">
        <v>9</v>
      </c>
      <c r="W82" s="41" t="str">
        <f t="shared" si="25"/>
        <v>N</v>
      </c>
      <c r="X82" s="56">
        <f t="shared" si="26"/>
        <v>0</v>
      </c>
      <c r="Y82" s="56" t="str">
        <f t="shared" si="16"/>
        <v>0-4.9%</v>
      </c>
      <c r="Z82" s="8" t="s">
        <v>118</v>
      </c>
      <c r="AB82" s="38">
        <v>3620</v>
      </c>
      <c r="AC82" s="38">
        <v>4820</v>
      </c>
      <c r="AD82" s="38"/>
      <c r="AE82" s="38"/>
      <c r="AF82" s="38"/>
      <c r="AG82" s="38"/>
      <c r="AH82" s="38"/>
    </row>
    <row r="83" spans="1:34" ht="24" customHeight="1" x14ac:dyDescent="0.25">
      <c r="A83" s="10">
        <v>102</v>
      </c>
      <c r="B83" s="9">
        <v>7.8472222222222221E-2</v>
      </c>
      <c r="C83" s="5" t="s">
        <v>20</v>
      </c>
      <c r="D83" s="5">
        <v>7</v>
      </c>
      <c r="E83" s="15"/>
      <c r="F83" s="15" t="s">
        <v>23</v>
      </c>
      <c r="G83" s="19">
        <f t="shared" si="17"/>
        <v>3.88</v>
      </c>
      <c r="H83" s="19">
        <f t="shared" si="18"/>
        <v>16.72</v>
      </c>
      <c r="I83" s="19">
        <f t="shared" si="19"/>
        <v>0</v>
      </c>
      <c r="J83" s="19">
        <f t="shared" si="20"/>
        <v>0</v>
      </c>
      <c r="K83" s="19">
        <f t="shared" si="21"/>
        <v>0</v>
      </c>
      <c r="L83" s="19">
        <f t="shared" si="22"/>
        <v>0</v>
      </c>
      <c r="M83" s="19">
        <f t="shared" si="23"/>
        <v>0</v>
      </c>
      <c r="N83" s="39">
        <f t="shared" si="24"/>
        <v>20.599999999999998</v>
      </c>
      <c r="O83" s="39">
        <f t="shared" si="15"/>
        <v>64.535217380104484</v>
      </c>
      <c r="P83" s="40">
        <v>8</v>
      </c>
      <c r="Q83" s="40">
        <v>10</v>
      </c>
      <c r="R83" s="40">
        <v>9</v>
      </c>
      <c r="S83" s="40">
        <v>9</v>
      </c>
      <c r="T83" s="40">
        <v>9</v>
      </c>
      <c r="U83" s="40">
        <v>9</v>
      </c>
      <c r="V83" s="40">
        <v>9</v>
      </c>
      <c r="W83" s="41" t="str">
        <f t="shared" si="25"/>
        <v>Y</v>
      </c>
      <c r="X83" s="56">
        <f t="shared" si="26"/>
        <v>0.67199999999999993</v>
      </c>
      <c r="Y83" s="56" t="str">
        <f t="shared" si="16"/>
        <v>Over 50%</v>
      </c>
      <c r="Z83" s="8" t="s">
        <v>115</v>
      </c>
      <c r="AB83" s="38">
        <v>3880</v>
      </c>
      <c r="AC83" s="38">
        <v>16720</v>
      </c>
      <c r="AD83" s="38"/>
      <c r="AE83" s="38"/>
      <c r="AF83" s="38"/>
      <c r="AG83" s="38"/>
      <c r="AH83" s="38"/>
    </row>
    <row r="84" spans="1:34" ht="24" customHeight="1" x14ac:dyDescent="0.25">
      <c r="A84" s="10">
        <v>103</v>
      </c>
      <c r="B84" s="9">
        <v>7.9861111111111105E-2</v>
      </c>
      <c r="C84" s="5" t="s">
        <v>20</v>
      </c>
      <c r="D84" s="5">
        <v>7</v>
      </c>
      <c r="E84" s="15"/>
      <c r="F84" s="15" t="s">
        <v>23</v>
      </c>
      <c r="G84" s="19">
        <f t="shared" si="17"/>
        <v>9.3000000000000007</v>
      </c>
      <c r="H84" s="19">
        <f t="shared" si="18"/>
        <v>16.36</v>
      </c>
      <c r="I84" s="19">
        <f t="shared" si="19"/>
        <v>0</v>
      </c>
      <c r="J84" s="19">
        <f t="shared" si="20"/>
        <v>0</v>
      </c>
      <c r="K84" s="19">
        <f t="shared" si="21"/>
        <v>0</v>
      </c>
      <c r="L84" s="19">
        <f t="shared" si="22"/>
        <v>0</v>
      </c>
      <c r="M84" s="19">
        <f t="shared" si="23"/>
        <v>0</v>
      </c>
      <c r="N84" s="39">
        <f t="shared" si="24"/>
        <v>25.66</v>
      </c>
      <c r="O84" s="39">
        <f t="shared" si="15"/>
        <v>173.40005056434811</v>
      </c>
      <c r="P84" s="40">
        <v>8</v>
      </c>
      <c r="Q84" s="40">
        <v>10</v>
      </c>
      <c r="R84" s="40">
        <v>9</v>
      </c>
      <c r="S84" s="40">
        <v>9</v>
      </c>
      <c r="T84" s="40">
        <v>9</v>
      </c>
      <c r="U84" s="40">
        <v>9</v>
      </c>
      <c r="V84" s="40">
        <v>9</v>
      </c>
      <c r="W84" s="41" t="str">
        <f t="shared" si="25"/>
        <v>Y</v>
      </c>
      <c r="X84" s="56">
        <f t="shared" si="26"/>
        <v>0.6359999999999999</v>
      </c>
      <c r="Y84" s="56" t="str">
        <f t="shared" si="16"/>
        <v>Over 50%</v>
      </c>
      <c r="Z84" s="8" t="s">
        <v>35</v>
      </c>
      <c r="AB84" s="38">
        <v>9300</v>
      </c>
      <c r="AC84" s="38">
        <v>16360</v>
      </c>
      <c r="AD84" s="38"/>
      <c r="AE84" s="38"/>
      <c r="AF84" s="38"/>
      <c r="AG84" s="38"/>
      <c r="AH84" s="38"/>
    </row>
    <row r="85" spans="1:34" ht="24" customHeight="1" x14ac:dyDescent="0.25">
      <c r="A85" s="10">
        <v>104</v>
      </c>
      <c r="B85" s="9">
        <v>8.1250000000000003E-2</v>
      </c>
      <c r="C85" s="5" t="s">
        <v>20</v>
      </c>
      <c r="D85" s="5">
        <v>7</v>
      </c>
      <c r="E85" s="15"/>
      <c r="F85" s="15" t="s">
        <v>23</v>
      </c>
      <c r="G85" s="19">
        <f t="shared" si="17"/>
        <v>3.06</v>
      </c>
      <c r="H85" s="19">
        <f t="shared" si="18"/>
        <v>3.16</v>
      </c>
      <c r="I85" s="19">
        <f t="shared" si="19"/>
        <v>0</v>
      </c>
      <c r="J85" s="19">
        <f t="shared" si="20"/>
        <v>0</v>
      </c>
      <c r="K85" s="19">
        <f t="shared" si="21"/>
        <v>0</v>
      </c>
      <c r="L85" s="19">
        <f t="shared" si="22"/>
        <v>0</v>
      </c>
      <c r="M85" s="19">
        <f t="shared" si="23"/>
        <v>0</v>
      </c>
      <c r="N85" s="39">
        <f t="shared" si="24"/>
        <v>6.2200000000000006</v>
      </c>
      <c r="O85" s="39">
        <f t="shared" si="15"/>
        <v>0.2947481016842074</v>
      </c>
      <c r="P85" s="40">
        <v>8</v>
      </c>
      <c r="Q85" s="40">
        <v>10</v>
      </c>
      <c r="R85" s="40">
        <v>9</v>
      </c>
      <c r="S85" s="40">
        <v>9</v>
      </c>
      <c r="T85" s="40">
        <v>9</v>
      </c>
      <c r="U85" s="40">
        <v>9</v>
      </c>
      <c r="V85" s="40">
        <v>9</v>
      </c>
      <c r="W85" s="41" t="str">
        <f t="shared" si="25"/>
        <v>N</v>
      </c>
      <c r="X85" s="56">
        <f t="shared" si="26"/>
        <v>0</v>
      </c>
      <c r="Y85" s="56" t="str">
        <f t="shared" si="16"/>
        <v>0-4.9%</v>
      </c>
      <c r="Z85" s="8" t="s">
        <v>118</v>
      </c>
      <c r="AB85" s="38">
        <v>3060</v>
      </c>
      <c r="AC85" s="38">
        <v>3160</v>
      </c>
      <c r="AD85" s="38"/>
      <c r="AE85" s="38"/>
      <c r="AF85" s="38"/>
      <c r="AG85" s="38"/>
      <c r="AH85" s="38"/>
    </row>
    <row r="86" spans="1:34" ht="24" customHeight="1" x14ac:dyDescent="0.25">
      <c r="A86" s="10">
        <v>106</v>
      </c>
      <c r="B86" s="9">
        <v>8.4027777777777771E-2</v>
      </c>
      <c r="C86" s="5" t="s">
        <v>20</v>
      </c>
      <c r="D86" s="5">
        <v>7</v>
      </c>
      <c r="E86" s="15"/>
      <c r="F86" s="15" t="s">
        <v>23</v>
      </c>
      <c r="G86" s="19">
        <f t="shared" si="17"/>
        <v>6.36</v>
      </c>
      <c r="H86" s="19">
        <f t="shared" si="18"/>
        <v>16.420000000000002</v>
      </c>
      <c r="I86" s="19">
        <f t="shared" si="19"/>
        <v>0</v>
      </c>
      <c r="J86" s="19">
        <f t="shared" si="20"/>
        <v>0</v>
      </c>
      <c r="K86" s="19">
        <f t="shared" si="21"/>
        <v>0</v>
      </c>
      <c r="L86" s="19">
        <f t="shared" si="22"/>
        <v>0</v>
      </c>
      <c r="M86" s="19">
        <f t="shared" si="23"/>
        <v>0</v>
      </c>
      <c r="N86" s="39">
        <f t="shared" si="24"/>
        <v>22.78</v>
      </c>
      <c r="O86" s="39">
        <f t="shared" si="15"/>
        <v>101.48130057220975</v>
      </c>
      <c r="P86" s="40">
        <v>8</v>
      </c>
      <c r="Q86" s="40">
        <v>10</v>
      </c>
      <c r="R86" s="40">
        <v>9</v>
      </c>
      <c r="S86" s="40">
        <v>9</v>
      </c>
      <c r="T86" s="40">
        <v>9</v>
      </c>
      <c r="U86" s="40">
        <v>9</v>
      </c>
      <c r="V86" s="40">
        <v>9</v>
      </c>
      <c r="W86" s="41" t="str">
        <f t="shared" si="25"/>
        <v>Y</v>
      </c>
      <c r="X86" s="56">
        <f t="shared" si="26"/>
        <v>0.64200000000000013</v>
      </c>
      <c r="Y86" s="56" t="str">
        <f t="shared" si="16"/>
        <v>Over 50%</v>
      </c>
      <c r="Z86" s="8" t="s">
        <v>118</v>
      </c>
      <c r="AB86" s="38">
        <v>6360</v>
      </c>
      <c r="AC86" s="38">
        <v>16420</v>
      </c>
      <c r="AD86" s="38"/>
      <c r="AE86" s="38"/>
      <c r="AF86" s="38"/>
      <c r="AG86" s="38"/>
      <c r="AH86" s="38"/>
    </row>
    <row r="87" spans="1:34" ht="24" customHeight="1" x14ac:dyDescent="0.25">
      <c r="A87" s="10">
        <v>108</v>
      </c>
      <c r="B87" s="9">
        <v>8.6111111111111124E-2</v>
      </c>
      <c r="C87" s="5" t="s">
        <v>20</v>
      </c>
      <c r="D87" s="5">
        <v>7</v>
      </c>
      <c r="E87" s="15"/>
      <c r="F87" s="15" t="s">
        <v>23</v>
      </c>
      <c r="G87" s="19">
        <f t="shared" si="17"/>
        <v>3.04</v>
      </c>
      <c r="H87" s="19">
        <f t="shared" si="18"/>
        <v>3.32</v>
      </c>
      <c r="I87" s="19">
        <f t="shared" si="19"/>
        <v>0</v>
      </c>
      <c r="J87" s="19">
        <f t="shared" si="20"/>
        <v>0</v>
      </c>
      <c r="K87" s="19">
        <f t="shared" si="21"/>
        <v>0</v>
      </c>
      <c r="L87" s="19">
        <f t="shared" si="22"/>
        <v>0</v>
      </c>
      <c r="M87" s="19">
        <f t="shared" si="23"/>
        <v>0</v>
      </c>
      <c r="N87" s="39">
        <f t="shared" si="24"/>
        <v>6.3599999999999994</v>
      </c>
      <c r="O87" s="39">
        <f t="shared" si="15"/>
        <v>0.32580016958098357</v>
      </c>
      <c r="P87" s="40">
        <v>8</v>
      </c>
      <c r="Q87" s="40">
        <v>10</v>
      </c>
      <c r="R87" s="40">
        <v>9</v>
      </c>
      <c r="S87" s="40">
        <v>9</v>
      </c>
      <c r="T87" s="40">
        <v>9</v>
      </c>
      <c r="U87" s="40">
        <v>9</v>
      </c>
      <c r="V87" s="40">
        <v>9</v>
      </c>
      <c r="W87" s="41" t="str">
        <f t="shared" si="25"/>
        <v>N</v>
      </c>
      <c r="X87" s="56">
        <f t="shared" si="26"/>
        <v>0</v>
      </c>
      <c r="Y87" s="56" t="str">
        <f t="shared" si="16"/>
        <v>0-4.9%</v>
      </c>
      <c r="Z87" s="8" t="s">
        <v>118</v>
      </c>
      <c r="AB87" s="38">
        <v>3040</v>
      </c>
      <c r="AC87" s="38">
        <v>3320</v>
      </c>
      <c r="AD87" s="38"/>
      <c r="AE87" s="38"/>
      <c r="AF87" s="38"/>
      <c r="AG87" s="38"/>
      <c r="AH87" s="38"/>
    </row>
    <row r="88" spans="1:34" ht="24" customHeight="1" x14ac:dyDescent="0.25">
      <c r="A88" s="10">
        <v>109</v>
      </c>
      <c r="B88" s="9">
        <v>8.6805555555555566E-2</v>
      </c>
      <c r="C88" s="5" t="s">
        <v>20</v>
      </c>
      <c r="D88" s="5">
        <v>7</v>
      </c>
      <c r="E88" s="15"/>
      <c r="F88" s="15" t="s">
        <v>23</v>
      </c>
      <c r="G88" s="19">
        <f t="shared" si="17"/>
        <v>9.1999999999999993</v>
      </c>
      <c r="H88" s="19">
        <f t="shared" si="18"/>
        <v>14.1</v>
      </c>
      <c r="I88" s="19">
        <f t="shared" si="19"/>
        <v>0</v>
      </c>
      <c r="J88" s="19">
        <f t="shared" si="20"/>
        <v>0</v>
      </c>
      <c r="K88" s="19">
        <f t="shared" si="21"/>
        <v>0</v>
      </c>
      <c r="L88" s="19">
        <f t="shared" si="22"/>
        <v>0</v>
      </c>
      <c r="M88" s="19">
        <f t="shared" si="23"/>
        <v>0</v>
      </c>
      <c r="N88" s="39">
        <f t="shared" si="24"/>
        <v>23.299999999999997</v>
      </c>
      <c r="O88" s="39">
        <f t="shared" si="15"/>
        <v>112.3300443172153</v>
      </c>
      <c r="P88" s="40">
        <v>8</v>
      </c>
      <c r="Q88" s="40">
        <v>10</v>
      </c>
      <c r="R88" s="40">
        <v>9</v>
      </c>
      <c r="S88" s="40">
        <v>9</v>
      </c>
      <c r="T88" s="40">
        <v>9</v>
      </c>
      <c r="U88" s="40">
        <v>9</v>
      </c>
      <c r="V88" s="40">
        <v>9</v>
      </c>
      <c r="W88" s="41" t="str">
        <f t="shared" si="25"/>
        <v>Y</v>
      </c>
      <c r="X88" s="56">
        <f t="shared" si="26"/>
        <v>0.41</v>
      </c>
      <c r="Y88" s="56" t="str">
        <f t="shared" si="16"/>
        <v>25-50%</v>
      </c>
      <c r="Z88" s="8" t="s">
        <v>35</v>
      </c>
      <c r="AB88" s="38">
        <v>9200</v>
      </c>
      <c r="AC88" s="38">
        <v>14100</v>
      </c>
      <c r="AD88" s="38"/>
      <c r="AE88" s="38"/>
      <c r="AF88" s="38"/>
      <c r="AG88" s="38"/>
      <c r="AH88" s="38"/>
    </row>
    <row r="89" spans="1:34" ht="24" customHeight="1" x14ac:dyDescent="0.25">
      <c r="A89" s="10">
        <v>110</v>
      </c>
      <c r="B89" s="9">
        <v>8.7500000000000008E-2</v>
      </c>
      <c r="C89" s="5" t="s">
        <v>20</v>
      </c>
      <c r="D89" s="5">
        <v>7</v>
      </c>
      <c r="E89" s="15"/>
      <c r="F89" s="15" t="s">
        <v>23</v>
      </c>
      <c r="G89" s="19">
        <f t="shared" si="17"/>
        <v>10.54</v>
      </c>
      <c r="H89" s="19">
        <f t="shared" si="18"/>
        <v>16.62</v>
      </c>
      <c r="I89" s="19">
        <f t="shared" si="19"/>
        <v>0</v>
      </c>
      <c r="J89" s="19">
        <f t="shared" si="20"/>
        <v>0</v>
      </c>
      <c r="K89" s="19">
        <f t="shared" si="21"/>
        <v>0</v>
      </c>
      <c r="L89" s="19">
        <f t="shared" si="22"/>
        <v>0</v>
      </c>
      <c r="M89" s="19">
        <f t="shared" si="23"/>
        <v>0</v>
      </c>
      <c r="N89" s="39">
        <f t="shared" si="24"/>
        <v>27.16</v>
      </c>
      <c r="O89" s="39">
        <f t="shared" si="15"/>
        <v>223.91244428474135</v>
      </c>
      <c r="P89" s="40">
        <v>8</v>
      </c>
      <c r="Q89" s="40">
        <v>10</v>
      </c>
      <c r="R89" s="40">
        <v>9</v>
      </c>
      <c r="S89" s="40">
        <v>9</v>
      </c>
      <c r="T89" s="40">
        <v>9</v>
      </c>
      <c r="U89" s="40">
        <v>9</v>
      </c>
      <c r="V89" s="40">
        <v>9</v>
      </c>
      <c r="W89" s="41" t="str">
        <f t="shared" si="25"/>
        <v>Y</v>
      </c>
      <c r="X89" s="56">
        <f t="shared" si="26"/>
        <v>0.66200000000000014</v>
      </c>
      <c r="Y89" s="56" t="str">
        <f t="shared" si="16"/>
        <v>Over 50%</v>
      </c>
      <c r="Z89" s="8" t="s">
        <v>35</v>
      </c>
      <c r="AB89" s="38">
        <v>10540</v>
      </c>
      <c r="AC89" s="38">
        <v>16620</v>
      </c>
      <c r="AD89" s="38"/>
      <c r="AE89" s="38"/>
      <c r="AF89" s="38"/>
      <c r="AG89" s="38"/>
      <c r="AH89" s="38"/>
    </row>
    <row r="90" spans="1:34" ht="24" customHeight="1" x14ac:dyDescent="0.25">
      <c r="A90" s="10">
        <v>113</v>
      </c>
      <c r="B90" s="9">
        <v>9.375E-2</v>
      </c>
      <c r="C90" s="5" t="s">
        <v>20</v>
      </c>
      <c r="D90" s="5">
        <v>7</v>
      </c>
      <c r="E90" s="15"/>
      <c r="F90" s="15" t="s">
        <v>23</v>
      </c>
      <c r="G90" s="19">
        <f t="shared" si="17"/>
        <v>8.6199999999999992</v>
      </c>
      <c r="H90" s="19">
        <f t="shared" si="18"/>
        <v>14.16</v>
      </c>
      <c r="I90" s="19">
        <f t="shared" si="19"/>
        <v>0</v>
      </c>
      <c r="J90" s="19">
        <f t="shared" si="20"/>
        <v>0</v>
      </c>
      <c r="K90" s="19">
        <f t="shared" si="21"/>
        <v>0</v>
      </c>
      <c r="L90" s="19">
        <f t="shared" si="22"/>
        <v>0</v>
      </c>
      <c r="M90" s="19">
        <f t="shared" si="23"/>
        <v>0</v>
      </c>
      <c r="N90" s="39">
        <f t="shared" si="24"/>
        <v>22.78</v>
      </c>
      <c r="O90" s="39">
        <f t="shared" si="15"/>
        <v>101.48130057220975</v>
      </c>
      <c r="P90" s="40">
        <v>8</v>
      </c>
      <c r="Q90" s="40">
        <v>10</v>
      </c>
      <c r="R90" s="40">
        <v>9</v>
      </c>
      <c r="S90" s="40">
        <v>9</v>
      </c>
      <c r="T90" s="40">
        <v>9</v>
      </c>
      <c r="U90" s="40">
        <v>9</v>
      </c>
      <c r="V90" s="40">
        <v>9</v>
      </c>
      <c r="W90" s="41" t="str">
        <f t="shared" si="25"/>
        <v>Y</v>
      </c>
      <c r="X90" s="56">
        <f t="shared" si="26"/>
        <v>0.41600000000000004</v>
      </c>
      <c r="Y90" s="56" t="str">
        <f t="shared" si="16"/>
        <v>25-50%</v>
      </c>
      <c r="Z90" s="8" t="s">
        <v>35</v>
      </c>
      <c r="AB90" s="38">
        <v>8620</v>
      </c>
      <c r="AC90" s="38">
        <v>14160</v>
      </c>
      <c r="AD90" s="38"/>
      <c r="AE90" s="38"/>
      <c r="AF90" s="38"/>
      <c r="AG90" s="38"/>
      <c r="AH90" s="38"/>
    </row>
    <row r="91" spans="1:34" ht="24" customHeight="1" x14ac:dyDescent="0.25">
      <c r="A91" s="10">
        <v>114</v>
      </c>
      <c r="B91" s="9">
        <v>9.4444444444444442E-2</v>
      </c>
      <c r="C91" s="5" t="s">
        <v>20</v>
      </c>
      <c r="D91" s="5">
        <v>7</v>
      </c>
      <c r="E91" s="15"/>
      <c r="F91" s="15" t="s">
        <v>23</v>
      </c>
      <c r="G91" s="19">
        <f t="shared" si="17"/>
        <v>10.24</v>
      </c>
      <c r="H91" s="19">
        <f t="shared" si="18"/>
        <v>15.18</v>
      </c>
      <c r="I91" s="19">
        <f t="shared" si="19"/>
        <v>0</v>
      </c>
      <c r="J91" s="19">
        <f t="shared" si="20"/>
        <v>0</v>
      </c>
      <c r="K91" s="19">
        <f t="shared" si="21"/>
        <v>0</v>
      </c>
      <c r="L91" s="19">
        <f t="shared" si="22"/>
        <v>0</v>
      </c>
      <c r="M91" s="19">
        <f t="shared" si="23"/>
        <v>0</v>
      </c>
      <c r="N91" s="39">
        <f t="shared" si="24"/>
        <v>25.42</v>
      </c>
      <c r="O91" s="39">
        <f t="shared" si="15"/>
        <v>166.22036957544401</v>
      </c>
      <c r="P91" s="40">
        <v>8</v>
      </c>
      <c r="Q91" s="40">
        <v>10</v>
      </c>
      <c r="R91" s="40">
        <v>9</v>
      </c>
      <c r="S91" s="40">
        <v>9</v>
      </c>
      <c r="T91" s="40">
        <v>9</v>
      </c>
      <c r="U91" s="40">
        <v>9</v>
      </c>
      <c r="V91" s="40">
        <v>9</v>
      </c>
      <c r="W91" s="41" t="str">
        <f t="shared" si="25"/>
        <v>Y</v>
      </c>
      <c r="X91" s="56">
        <f t="shared" si="26"/>
        <v>0.51800000000000002</v>
      </c>
      <c r="Y91" s="56" t="str">
        <f t="shared" si="16"/>
        <v>Over 50%</v>
      </c>
      <c r="Z91" s="8" t="s">
        <v>35</v>
      </c>
      <c r="AB91" s="38">
        <v>10240</v>
      </c>
      <c r="AC91" s="38">
        <v>15180</v>
      </c>
      <c r="AD91" s="38"/>
      <c r="AE91" s="38"/>
      <c r="AF91" s="38"/>
      <c r="AG91" s="38"/>
      <c r="AH91" s="38"/>
    </row>
    <row r="92" spans="1:34" ht="24" customHeight="1" x14ac:dyDescent="0.25">
      <c r="A92" s="10">
        <v>116</v>
      </c>
      <c r="B92" s="9">
        <v>9.8611111111111108E-2</v>
      </c>
      <c r="C92" s="5" t="s">
        <v>20</v>
      </c>
      <c r="D92" s="5">
        <v>7</v>
      </c>
      <c r="E92" s="15"/>
      <c r="F92" s="15" t="s">
        <v>23</v>
      </c>
      <c r="G92" s="19">
        <f t="shared" si="17"/>
        <v>9.7799999999999994</v>
      </c>
      <c r="H92" s="19">
        <f t="shared" si="18"/>
        <v>16.34</v>
      </c>
      <c r="I92" s="19">
        <f t="shared" si="19"/>
        <v>0</v>
      </c>
      <c r="J92" s="19">
        <f t="shared" si="20"/>
        <v>0</v>
      </c>
      <c r="K92" s="19">
        <f t="shared" si="21"/>
        <v>0</v>
      </c>
      <c r="L92" s="19">
        <f t="shared" si="22"/>
        <v>0</v>
      </c>
      <c r="M92" s="19">
        <f t="shared" si="23"/>
        <v>0</v>
      </c>
      <c r="N92" s="39">
        <f t="shared" si="24"/>
        <v>26.119999999999997</v>
      </c>
      <c r="O92" s="39">
        <f t="shared" si="15"/>
        <v>187.83372114067797</v>
      </c>
      <c r="P92" s="40">
        <v>8</v>
      </c>
      <c r="Q92" s="40">
        <v>10</v>
      </c>
      <c r="R92" s="40">
        <v>9</v>
      </c>
      <c r="S92" s="40">
        <v>9</v>
      </c>
      <c r="T92" s="40">
        <v>9</v>
      </c>
      <c r="U92" s="40">
        <v>9</v>
      </c>
      <c r="V92" s="40">
        <v>9</v>
      </c>
      <c r="W92" s="41" t="str">
        <f t="shared" si="25"/>
        <v>Y</v>
      </c>
      <c r="X92" s="56">
        <f t="shared" si="26"/>
        <v>0.63400000000000001</v>
      </c>
      <c r="Y92" s="56" t="str">
        <f t="shared" si="16"/>
        <v>Over 50%</v>
      </c>
      <c r="Z92" s="8" t="s">
        <v>35</v>
      </c>
      <c r="AB92" s="38">
        <v>9780</v>
      </c>
      <c r="AC92" s="38">
        <v>16340</v>
      </c>
      <c r="AD92" s="38"/>
      <c r="AE92" s="38"/>
      <c r="AF92" s="38"/>
      <c r="AG92" s="38"/>
      <c r="AH92" s="38"/>
    </row>
    <row r="93" spans="1:34" ht="24" customHeight="1" x14ac:dyDescent="0.25">
      <c r="A93" s="10">
        <v>120</v>
      </c>
      <c r="B93" s="9">
        <v>0.10555555555555556</v>
      </c>
      <c r="C93" s="5" t="s">
        <v>20</v>
      </c>
      <c r="D93" s="5">
        <v>7</v>
      </c>
      <c r="E93" s="15"/>
      <c r="F93" s="15" t="s">
        <v>23</v>
      </c>
      <c r="G93" s="19">
        <f t="shared" si="17"/>
        <v>6.32</v>
      </c>
      <c r="H93" s="19">
        <f t="shared" si="18"/>
        <v>16.8</v>
      </c>
      <c r="I93" s="19">
        <f t="shared" si="19"/>
        <v>0</v>
      </c>
      <c r="J93" s="19">
        <f t="shared" si="20"/>
        <v>0</v>
      </c>
      <c r="K93" s="19">
        <f t="shared" si="21"/>
        <v>0</v>
      </c>
      <c r="L93" s="19">
        <f t="shared" si="22"/>
        <v>0</v>
      </c>
      <c r="M93" s="19">
        <f t="shared" si="23"/>
        <v>0</v>
      </c>
      <c r="N93" s="39">
        <f t="shared" si="24"/>
        <v>23.12</v>
      </c>
      <c r="O93" s="39">
        <f t="shared" si="15"/>
        <v>108.47746295742533</v>
      </c>
      <c r="P93" s="40">
        <v>8</v>
      </c>
      <c r="Q93" s="40">
        <v>10</v>
      </c>
      <c r="R93" s="40">
        <v>9</v>
      </c>
      <c r="S93" s="40">
        <v>9</v>
      </c>
      <c r="T93" s="40">
        <v>9</v>
      </c>
      <c r="U93" s="40">
        <v>9</v>
      </c>
      <c r="V93" s="40">
        <v>9</v>
      </c>
      <c r="W93" s="41" t="str">
        <f t="shared" si="25"/>
        <v>Y</v>
      </c>
      <c r="X93" s="56">
        <f t="shared" si="26"/>
        <v>0.68</v>
      </c>
      <c r="Y93" s="56" t="str">
        <f t="shared" si="16"/>
        <v>Over 50%</v>
      </c>
      <c r="Z93" s="8" t="s">
        <v>118</v>
      </c>
      <c r="AB93" s="38">
        <v>6320</v>
      </c>
      <c r="AC93" s="38">
        <v>16800</v>
      </c>
      <c r="AD93" s="38"/>
      <c r="AE93" s="38"/>
      <c r="AF93" s="38"/>
      <c r="AG93" s="38"/>
      <c r="AH93" s="38"/>
    </row>
    <row r="94" spans="1:34" ht="24" customHeight="1" x14ac:dyDescent="0.25">
      <c r="A94" s="10">
        <v>122</v>
      </c>
      <c r="B94" s="9">
        <v>0.1111111111111111</v>
      </c>
      <c r="C94" s="5" t="s">
        <v>20</v>
      </c>
      <c r="D94" s="5">
        <v>7</v>
      </c>
      <c r="E94" s="15"/>
      <c r="F94" s="15" t="s">
        <v>23</v>
      </c>
      <c r="G94" s="19">
        <f t="shared" si="17"/>
        <v>4.4400000000000004</v>
      </c>
      <c r="H94" s="19">
        <f t="shared" si="18"/>
        <v>5.98</v>
      </c>
      <c r="I94" s="19">
        <f t="shared" si="19"/>
        <v>0</v>
      </c>
      <c r="J94" s="19">
        <f t="shared" si="20"/>
        <v>0</v>
      </c>
      <c r="K94" s="19">
        <f t="shared" si="21"/>
        <v>0</v>
      </c>
      <c r="L94" s="19">
        <f t="shared" si="22"/>
        <v>0</v>
      </c>
      <c r="M94" s="19">
        <f t="shared" si="23"/>
        <v>0</v>
      </c>
      <c r="N94" s="39">
        <f t="shared" si="24"/>
        <v>10.420000000000002</v>
      </c>
      <c r="O94" s="39">
        <f t="shared" si="15"/>
        <v>3.0046854983871101</v>
      </c>
      <c r="P94" s="40">
        <v>8</v>
      </c>
      <c r="Q94" s="40">
        <v>10</v>
      </c>
      <c r="R94" s="40">
        <v>9</v>
      </c>
      <c r="S94" s="40">
        <v>9</v>
      </c>
      <c r="T94" s="40">
        <v>9</v>
      </c>
      <c r="U94" s="40">
        <v>9</v>
      </c>
      <c r="V94" s="40">
        <v>9</v>
      </c>
      <c r="W94" s="41" t="str">
        <f t="shared" si="25"/>
        <v>N</v>
      </c>
      <c r="X94" s="56">
        <f t="shared" si="26"/>
        <v>0</v>
      </c>
      <c r="Y94" s="56" t="str">
        <f t="shared" si="16"/>
        <v>0-4.9%</v>
      </c>
      <c r="Z94" s="8" t="s">
        <v>107</v>
      </c>
      <c r="AB94" s="38">
        <v>4440</v>
      </c>
      <c r="AC94" s="38">
        <v>5980</v>
      </c>
      <c r="AD94" s="38"/>
      <c r="AE94" s="38"/>
      <c r="AF94" s="38"/>
      <c r="AG94" s="38"/>
      <c r="AH94" s="38"/>
    </row>
    <row r="95" spans="1:34" ht="24" customHeight="1" x14ac:dyDescent="0.25">
      <c r="A95" s="10">
        <v>124</v>
      </c>
      <c r="B95" s="9">
        <v>0.11458333333333333</v>
      </c>
      <c r="C95" s="5" t="s">
        <v>20</v>
      </c>
      <c r="D95" s="5">
        <v>7</v>
      </c>
      <c r="E95" s="15"/>
      <c r="F95" s="15" t="s">
        <v>23</v>
      </c>
      <c r="G95" s="19">
        <f t="shared" si="17"/>
        <v>2.9</v>
      </c>
      <c r="H95" s="19">
        <f t="shared" si="18"/>
        <v>3.26</v>
      </c>
      <c r="I95" s="19">
        <f t="shared" si="19"/>
        <v>0</v>
      </c>
      <c r="J95" s="19">
        <f t="shared" si="20"/>
        <v>0</v>
      </c>
      <c r="K95" s="19">
        <f t="shared" si="21"/>
        <v>0</v>
      </c>
      <c r="L95" s="19">
        <f t="shared" si="22"/>
        <v>0</v>
      </c>
      <c r="M95" s="19">
        <f t="shared" si="23"/>
        <v>0</v>
      </c>
      <c r="N95" s="39">
        <f t="shared" si="24"/>
        <v>6.16</v>
      </c>
      <c r="O95" s="39">
        <f t="shared" si="15"/>
        <v>0.28216782486146497</v>
      </c>
      <c r="P95" s="40">
        <v>8</v>
      </c>
      <c r="Q95" s="40">
        <v>10</v>
      </c>
      <c r="R95" s="40">
        <v>9</v>
      </c>
      <c r="S95" s="40">
        <v>9</v>
      </c>
      <c r="T95" s="40">
        <v>9</v>
      </c>
      <c r="U95" s="40">
        <v>9</v>
      </c>
      <c r="V95" s="40">
        <v>9</v>
      </c>
      <c r="W95" s="41" t="str">
        <f t="shared" si="25"/>
        <v>N</v>
      </c>
      <c r="X95" s="56">
        <f t="shared" si="26"/>
        <v>0</v>
      </c>
      <c r="Y95" s="56" t="str">
        <f t="shared" si="16"/>
        <v>0-4.9%</v>
      </c>
      <c r="Z95" s="8" t="s">
        <v>118</v>
      </c>
      <c r="AB95" s="38">
        <v>2900</v>
      </c>
      <c r="AC95" s="38">
        <v>3260</v>
      </c>
      <c r="AD95" s="38"/>
      <c r="AE95" s="38"/>
      <c r="AF95" s="38"/>
      <c r="AG95" s="38"/>
      <c r="AH95" s="38"/>
    </row>
    <row r="96" spans="1:34" ht="24" customHeight="1" x14ac:dyDescent="0.25">
      <c r="A96" s="10">
        <v>128</v>
      </c>
      <c r="B96" s="9">
        <v>0.11944444444444445</v>
      </c>
      <c r="C96" s="5" t="s">
        <v>20</v>
      </c>
      <c r="D96" s="5">
        <v>7</v>
      </c>
      <c r="E96" s="15"/>
      <c r="F96" s="15" t="s">
        <v>23</v>
      </c>
      <c r="G96" s="19">
        <f t="shared" si="17"/>
        <v>9.8000000000000007</v>
      </c>
      <c r="H96" s="19">
        <f t="shared" si="18"/>
        <v>14.25</v>
      </c>
      <c r="I96" s="19">
        <f t="shared" si="19"/>
        <v>0</v>
      </c>
      <c r="J96" s="19">
        <f t="shared" si="20"/>
        <v>0</v>
      </c>
      <c r="K96" s="19">
        <f t="shared" si="21"/>
        <v>0</v>
      </c>
      <c r="L96" s="19">
        <f t="shared" si="22"/>
        <v>0</v>
      </c>
      <c r="M96" s="19">
        <f t="shared" si="23"/>
        <v>0</v>
      </c>
      <c r="N96" s="39">
        <f t="shared" si="24"/>
        <v>24.05</v>
      </c>
      <c r="O96" s="39">
        <f t="shared" si="15"/>
        <v>129.54246262234906</v>
      </c>
      <c r="P96" s="40">
        <v>8</v>
      </c>
      <c r="Q96" s="40">
        <v>10</v>
      </c>
      <c r="R96" s="40">
        <v>9</v>
      </c>
      <c r="S96" s="40">
        <v>9</v>
      </c>
      <c r="T96" s="40">
        <v>9</v>
      </c>
      <c r="U96" s="40">
        <v>9</v>
      </c>
      <c r="V96" s="40">
        <v>9</v>
      </c>
      <c r="W96" s="41" t="str">
        <f t="shared" si="25"/>
        <v>Y</v>
      </c>
      <c r="X96" s="56">
        <f t="shared" si="26"/>
        <v>0.42499999999999999</v>
      </c>
      <c r="Y96" s="56" t="str">
        <f t="shared" si="16"/>
        <v>25-50%</v>
      </c>
      <c r="Z96" s="8" t="s">
        <v>35</v>
      </c>
      <c r="AB96" s="38">
        <v>9800</v>
      </c>
      <c r="AC96" s="38">
        <v>14250</v>
      </c>
      <c r="AD96" s="38"/>
      <c r="AE96" s="38"/>
      <c r="AF96" s="38"/>
      <c r="AG96" s="38"/>
      <c r="AH96" s="38"/>
    </row>
    <row r="97" spans="1:34" ht="24" customHeight="1" x14ac:dyDescent="0.25">
      <c r="A97" s="10">
        <v>129</v>
      </c>
      <c r="B97" s="9">
        <v>0.11944444444444445</v>
      </c>
      <c r="C97" s="5" t="s">
        <v>20</v>
      </c>
      <c r="D97" s="5">
        <v>7</v>
      </c>
      <c r="E97" s="15"/>
      <c r="F97" s="15" t="s">
        <v>23</v>
      </c>
      <c r="G97" s="19">
        <f t="shared" si="17"/>
        <v>3.56</v>
      </c>
      <c r="H97" s="19">
        <f t="shared" si="18"/>
        <v>5.0199999999999996</v>
      </c>
      <c r="I97" s="19">
        <f t="shared" si="19"/>
        <v>0</v>
      </c>
      <c r="J97" s="19">
        <f t="shared" si="20"/>
        <v>0</v>
      </c>
      <c r="K97" s="19">
        <f t="shared" si="21"/>
        <v>0</v>
      </c>
      <c r="L97" s="19">
        <f t="shared" si="22"/>
        <v>0</v>
      </c>
      <c r="M97" s="19">
        <f t="shared" si="23"/>
        <v>0</v>
      </c>
      <c r="N97" s="39">
        <f t="shared" si="24"/>
        <v>8.58</v>
      </c>
      <c r="O97" s="39">
        <f t="shared" si="15"/>
        <v>1.2533924690300295</v>
      </c>
      <c r="P97" s="40">
        <v>8</v>
      </c>
      <c r="Q97" s="40">
        <v>10</v>
      </c>
      <c r="R97" s="40">
        <v>9</v>
      </c>
      <c r="S97" s="40">
        <v>9</v>
      </c>
      <c r="T97" s="40">
        <v>9</v>
      </c>
      <c r="U97" s="40">
        <v>9</v>
      </c>
      <c r="V97" s="40">
        <v>9</v>
      </c>
      <c r="W97" s="41" t="str">
        <f t="shared" si="25"/>
        <v>N</v>
      </c>
      <c r="X97" s="56">
        <f t="shared" si="26"/>
        <v>0</v>
      </c>
      <c r="Y97" s="56" t="str">
        <f t="shared" si="16"/>
        <v>0-4.9%</v>
      </c>
      <c r="Z97" s="8" t="s">
        <v>107</v>
      </c>
      <c r="AB97" s="38">
        <v>3560</v>
      </c>
      <c r="AC97" s="38">
        <v>5020</v>
      </c>
      <c r="AD97" s="38"/>
      <c r="AE97" s="38"/>
      <c r="AF97" s="38"/>
      <c r="AG97" s="38"/>
      <c r="AH97" s="38"/>
    </row>
    <row r="98" spans="1:34" ht="24" customHeight="1" x14ac:dyDescent="0.25">
      <c r="A98" s="10">
        <v>133</v>
      </c>
      <c r="B98" s="9">
        <v>0.13125000000000001</v>
      </c>
      <c r="C98" s="5" t="s">
        <v>20</v>
      </c>
      <c r="D98" s="5">
        <v>7</v>
      </c>
      <c r="E98" s="15"/>
      <c r="F98" s="15" t="s">
        <v>23</v>
      </c>
      <c r="G98" s="19">
        <f t="shared" si="17"/>
        <v>5.34</v>
      </c>
      <c r="H98" s="19">
        <f t="shared" si="18"/>
        <v>15.02</v>
      </c>
      <c r="I98" s="19">
        <f t="shared" si="19"/>
        <v>0</v>
      </c>
      <c r="J98" s="19">
        <f t="shared" si="20"/>
        <v>0</v>
      </c>
      <c r="K98" s="19">
        <f t="shared" si="21"/>
        <v>0</v>
      </c>
      <c r="L98" s="19">
        <f t="shared" si="22"/>
        <v>0</v>
      </c>
      <c r="M98" s="19">
        <f t="shared" si="23"/>
        <v>0</v>
      </c>
      <c r="N98" s="39">
        <f t="shared" si="24"/>
        <v>20.36</v>
      </c>
      <c r="O98" s="39">
        <f t="shared" si="15"/>
        <v>61.22013276557724</v>
      </c>
      <c r="P98" s="40">
        <v>8</v>
      </c>
      <c r="Q98" s="40">
        <v>10</v>
      </c>
      <c r="R98" s="40">
        <v>9</v>
      </c>
      <c r="S98" s="40">
        <v>9</v>
      </c>
      <c r="T98" s="40">
        <v>9</v>
      </c>
      <c r="U98" s="40">
        <v>9</v>
      </c>
      <c r="V98" s="40">
        <v>9</v>
      </c>
      <c r="W98" s="41" t="str">
        <f t="shared" si="25"/>
        <v>Y</v>
      </c>
      <c r="X98" s="56">
        <f t="shared" si="26"/>
        <v>0.502</v>
      </c>
      <c r="Y98" s="56" t="str">
        <f t="shared" si="16"/>
        <v>Over 50%</v>
      </c>
      <c r="Z98" s="8" t="s">
        <v>145</v>
      </c>
      <c r="AB98" s="38">
        <v>5340</v>
      </c>
      <c r="AC98" s="38">
        <v>15020</v>
      </c>
      <c r="AD98" s="38"/>
      <c r="AE98" s="38"/>
      <c r="AF98" s="38"/>
      <c r="AG98" s="38"/>
      <c r="AH98" s="38"/>
    </row>
    <row r="99" spans="1:34" ht="24" customHeight="1" x14ac:dyDescent="0.25">
      <c r="A99" s="10">
        <v>135</v>
      </c>
      <c r="B99" s="9">
        <v>0.13541666666666666</v>
      </c>
      <c r="C99" s="5" t="s">
        <v>20</v>
      </c>
      <c r="D99" s="5">
        <v>7</v>
      </c>
      <c r="E99" s="15"/>
      <c r="F99" s="15" t="s">
        <v>23</v>
      </c>
      <c r="G99" s="19">
        <f t="shared" si="17"/>
        <v>7.3</v>
      </c>
      <c r="H99" s="19">
        <f t="shared" si="18"/>
        <v>15.64</v>
      </c>
      <c r="I99" s="19">
        <f t="shared" si="19"/>
        <v>0</v>
      </c>
      <c r="J99" s="19">
        <f t="shared" si="20"/>
        <v>0</v>
      </c>
      <c r="K99" s="19">
        <f t="shared" si="21"/>
        <v>0</v>
      </c>
      <c r="L99" s="19">
        <f t="shared" si="22"/>
        <v>0</v>
      </c>
      <c r="M99" s="19">
        <f t="shared" si="23"/>
        <v>0</v>
      </c>
      <c r="N99" s="39">
        <f t="shared" si="24"/>
        <v>22.94</v>
      </c>
      <c r="O99" s="39">
        <f t="shared" si="15"/>
        <v>104.7284429360363</v>
      </c>
      <c r="P99" s="40">
        <v>8</v>
      </c>
      <c r="Q99" s="40">
        <v>10</v>
      </c>
      <c r="R99" s="40">
        <v>9</v>
      </c>
      <c r="S99" s="40">
        <v>9</v>
      </c>
      <c r="T99" s="40">
        <v>9</v>
      </c>
      <c r="U99" s="40">
        <v>9</v>
      </c>
      <c r="V99" s="40">
        <v>9</v>
      </c>
      <c r="W99" s="41" t="str">
        <f t="shared" si="25"/>
        <v>Y</v>
      </c>
      <c r="X99" s="56">
        <f t="shared" si="26"/>
        <v>0.56400000000000006</v>
      </c>
      <c r="Y99" s="56" t="str">
        <f t="shared" si="16"/>
        <v>Over 50%</v>
      </c>
      <c r="Z99" s="8" t="s">
        <v>111</v>
      </c>
      <c r="AB99" s="38">
        <v>7300</v>
      </c>
      <c r="AC99" s="38">
        <v>15640</v>
      </c>
      <c r="AD99" s="38"/>
      <c r="AE99" s="38"/>
      <c r="AF99" s="38"/>
      <c r="AG99" s="38"/>
      <c r="AH99" s="38"/>
    </row>
    <row r="100" spans="1:34" ht="24" customHeight="1" x14ac:dyDescent="0.25">
      <c r="A100" s="10">
        <v>136</v>
      </c>
      <c r="B100" s="9">
        <v>0.13749999999999998</v>
      </c>
      <c r="C100" s="5" t="s">
        <v>20</v>
      </c>
      <c r="D100" s="5">
        <v>7</v>
      </c>
      <c r="E100" s="15"/>
      <c r="F100" s="15" t="s">
        <v>23</v>
      </c>
      <c r="G100" s="19">
        <f t="shared" si="17"/>
        <v>6.04</v>
      </c>
      <c r="H100" s="19">
        <f t="shared" si="18"/>
        <v>16.16</v>
      </c>
      <c r="I100" s="19">
        <f t="shared" si="19"/>
        <v>0</v>
      </c>
      <c r="J100" s="19">
        <f t="shared" si="20"/>
        <v>0</v>
      </c>
      <c r="K100" s="19">
        <f t="shared" si="21"/>
        <v>0</v>
      </c>
      <c r="L100" s="19">
        <f t="shared" si="22"/>
        <v>0</v>
      </c>
      <c r="M100" s="19">
        <f t="shared" si="23"/>
        <v>0</v>
      </c>
      <c r="N100" s="39">
        <f t="shared" si="24"/>
        <v>22.2</v>
      </c>
      <c r="O100" s="39">
        <f t="shared" si="15"/>
        <v>90.36134167164218</v>
      </c>
      <c r="P100" s="40">
        <v>8</v>
      </c>
      <c r="Q100" s="40">
        <v>10</v>
      </c>
      <c r="R100" s="40">
        <v>9</v>
      </c>
      <c r="S100" s="40">
        <v>9</v>
      </c>
      <c r="T100" s="40">
        <v>9</v>
      </c>
      <c r="U100" s="40">
        <v>9</v>
      </c>
      <c r="V100" s="40">
        <v>9</v>
      </c>
      <c r="W100" s="41" t="str">
        <f t="shared" si="25"/>
        <v>Y</v>
      </c>
      <c r="X100" s="56">
        <f t="shared" si="26"/>
        <v>0.61599999999999999</v>
      </c>
      <c r="Y100" s="56" t="str">
        <f t="shared" si="16"/>
        <v>Over 50%</v>
      </c>
      <c r="Z100" s="8" t="s">
        <v>145</v>
      </c>
      <c r="AB100" s="38">
        <v>6040</v>
      </c>
      <c r="AC100" s="38">
        <v>16160</v>
      </c>
      <c r="AD100" s="38"/>
      <c r="AE100" s="38"/>
      <c r="AF100" s="38"/>
      <c r="AG100" s="38"/>
      <c r="AH100" s="38"/>
    </row>
    <row r="101" spans="1:34" ht="24" customHeight="1" x14ac:dyDescent="0.25">
      <c r="A101" s="10">
        <v>137</v>
      </c>
      <c r="B101" s="9">
        <v>0.13749999999999998</v>
      </c>
      <c r="C101" s="5" t="s">
        <v>20</v>
      </c>
      <c r="D101" s="5">
        <v>7</v>
      </c>
      <c r="E101" s="15"/>
      <c r="F101" s="15" t="s">
        <v>23</v>
      </c>
      <c r="G101" s="19">
        <f t="shared" si="17"/>
        <v>3.26</v>
      </c>
      <c r="H101" s="19">
        <f t="shared" si="18"/>
        <v>4</v>
      </c>
      <c r="I101" s="19">
        <f t="shared" si="19"/>
        <v>0</v>
      </c>
      <c r="J101" s="19">
        <f t="shared" si="20"/>
        <v>0</v>
      </c>
      <c r="K101" s="19">
        <f t="shared" si="21"/>
        <v>0</v>
      </c>
      <c r="L101" s="19">
        <f t="shared" si="22"/>
        <v>0</v>
      </c>
      <c r="M101" s="19">
        <f t="shared" si="23"/>
        <v>0</v>
      </c>
      <c r="N101" s="39">
        <f t="shared" si="24"/>
        <v>7.26</v>
      </c>
      <c r="O101" s="39">
        <f t="shared" si="15"/>
        <v>0.59102939172177449</v>
      </c>
      <c r="P101" s="40">
        <v>8</v>
      </c>
      <c r="Q101" s="40">
        <v>10</v>
      </c>
      <c r="R101" s="40">
        <v>9</v>
      </c>
      <c r="S101" s="40">
        <v>9</v>
      </c>
      <c r="T101" s="40">
        <v>9</v>
      </c>
      <c r="U101" s="40">
        <v>9</v>
      </c>
      <c r="V101" s="40">
        <v>9</v>
      </c>
      <c r="W101" s="41" t="str">
        <f t="shared" si="25"/>
        <v>N</v>
      </c>
      <c r="X101" s="56">
        <f t="shared" si="26"/>
        <v>0</v>
      </c>
      <c r="Y101" s="56" t="str">
        <f t="shared" si="16"/>
        <v>0-4.9%</v>
      </c>
      <c r="Z101" s="8" t="s">
        <v>118</v>
      </c>
      <c r="AB101" s="38">
        <v>3260</v>
      </c>
      <c r="AC101" s="38">
        <v>4000</v>
      </c>
      <c r="AD101" s="38"/>
      <c r="AE101" s="38"/>
      <c r="AF101" s="38"/>
      <c r="AG101" s="38"/>
      <c r="AH101" s="38"/>
    </row>
    <row r="102" spans="1:34" ht="24" customHeight="1" x14ac:dyDescent="0.25">
      <c r="A102" s="10">
        <v>139</v>
      </c>
      <c r="B102" s="9">
        <v>0.14097222222222222</v>
      </c>
      <c r="C102" s="5" t="s">
        <v>20</v>
      </c>
      <c r="D102" s="5">
        <v>7</v>
      </c>
      <c r="E102" s="15"/>
      <c r="F102" s="15" t="s">
        <v>23</v>
      </c>
      <c r="G102" s="19">
        <f t="shared" si="17"/>
        <v>2.12</v>
      </c>
      <c r="H102" s="19">
        <f t="shared" si="18"/>
        <v>3.02</v>
      </c>
      <c r="I102" s="19">
        <f t="shared" si="19"/>
        <v>0</v>
      </c>
      <c r="J102" s="19">
        <f t="shared" si="20"/>
        <v>0</v>
      </c>
      <c r="K102" s="19">
        <f t="shared" si="21"/>
        <v>0</v>
      </c>
      <c r="L102" s="19">
        <f t="shared" si="22"/>
        <v>0</v>
      </c>
      <c r="M102" s="19">
        <f t="shared" si="23"/>
        <v>0</v>
      </c>
      <c r="N102" s="39">
        <f t="shared" si="24"/>
        <v>5.1400000000000006</v>
      </c>
      <c r="O102" s="39">
        <f t="shared" si="15"/>
        <v>0.12494771579880057</v>
      </c>
      <c r="P102" s="40">
        <v>8</v>
      </c>
      <c r="Q102" s="40">
        <v>10</v>
      </c>
      <c r="R102" s="40">
        <v>9</v>
      </c>
      <c r="S102" s="40">
        <v>9</v>
      </c>
      <c r="T102" s="40">
        <v>9</v>
      </c>
      <c r="U102" s="40">
        <v>9</v>
      </c>
      <c r="V102" s="40">
        <v>9</v>
      </c>
      <c r="W102" s="41" t="str">
        <f t="shared" si="25"/>
        <v>N</v>
      </c>
      <c r="X102" s="56">
        <f t="shared" si="26"/>
        <v>0</v>
      </c>
      <c r="Y102" s="56" t="str">
        <f t="shared" si="16"/>
        <v>0-4.9%</v>
      </c>
      <c r="Z102" s="8" t="s">
        <v>118</v>
      </c>
      <c r="AB102" s="38">
        <v>2120</v>
      </c>
      <c r="AC102" s="38">
        <v>3020</v>
      </c>
      <c r="AD102" s="38"/>
      <c r="AE102" s="38"/>
      <c r="AF102" s="38"/>
      <c r="AG102" s="38"/>
      <c r="AH102" s="38"/>
    </row>
    <row r="103" spans="1:34" ht="24" customHeight="1" x14ac:dyDescent="0.25">
      <c r="A103" s="10">
        <v>140</v>
      </c>
      <c r="B103" s="9">
        <v>0.14166666666666666</v>
      </c>
      <c r="C103" s="5" t="s">
        <v>20</v>
      </c>
      <c r="D103" s="5">
        <v>7</v>
      </c>
      <c r="E103" s="15"/>
      <c r="F103" s="15" t="s">
        <v>23</v>
      </c>
      <c r="G103" s="19">
        <f t="shared" si="17"/>
        <v>2.04</v>
      </c>
      <c r="H103" s="19">
        <f t="shared" si="18"/>
        <v>3.16</v>
      </c>
      <c r="I103" s="19">
        <f t="shared" si="19"/>
        <v>0</v>
      </c>
      <c r="J103" s="19">
        <f t="shared" si="20"/>
        <v>0</v>
      </c>
      <c r="K103" s="19">
        <f t="shared" si="21"/>
        <v>0</v>
      </c>
      <c r="L103" s="19">
        <f t="shared" si="22"/>
        <v>0</v>
      </c>
      <c r="M103" s="19">
        <f t="shared" si="23"/>
        <v>0</v>
      </c>
      <c r="N103" s="39">
        <f t="shared" si="24"/>
        <v>5.2</v>
      </c>
      <c r="O103" s="39">
        <f t="shared" si="15"/>
        <v>0.13164650444808809</v>
      </c>
      <c r="P103" s="40">
        <v>8</v>
      </c>
      <c r="Q103" s="40">
        <v>10</v>
      </c>
      <c r="R103" s="40">
        <v>9</v>
      </c>
      <c r="S103" s="40">
        <v>9</v>
      </c>
      <c r="T103" s="40">
        <v>9</v>
      </c>
      <c r="U103" s="40">
        <v>9</v>
      </c>
      <c r="V103" s="40">
        <v>9</v>
      </c>
      <c r="W103" s="41" t="str">
        <f t="shared" si="25"/>
        <v>N</v>
      </c>
      <c r="X103" s="56">
        <f t="shared" si="26"/>
        <v>0</v>
      </c>
      <c r="Y103" s="56" t="str">
        <f t="shared" si="16"/>
        <v>0-4.9%</v>
      </c>
      <c r="Z103" s="8" t="s">
        <v>118</v>
      </c>
      <c r="AB103" s="38">
        <v>2040</v>
      </c>
      <c r="AC103" s="38">
        <v>3160</v>
      </c>
      <c r="AD103" s="38"/>
      <c r="AE103" s="38"/>
      <c r="AF103" s="38"/>
      <c r="AG103" s="38"/>
      <c r="AH103" s="38"/>
    </row>
    <row r="104" spans="1:34" ht="24" customHeight="1" x14ac:dyDescent="0.25">
      <c r="A104" s="10">
        <v>141</v>
      </c>
      <c r="B104" s="9">
        <v>0.14305555555555557</v>
      </c>
      <c r="C104" s="5" t="s">
        <v>20</v>
      </c>
      <c r="D104" s="5">
        <v>7</v>
      </c>
      <c r="E104" s="15"/>
      <c r="F104" s="15" t="s">
        <v>23</v>
      </c>
      <c r="G104" s="19">
        <f t="shared" si="17"/>
        <v>2.38</v>
      </c>
      <c r="H104" s="19">
        <f t="shared" si="18"/>
        <v>4.2</v>
      </c>
      <c r="I104" s="19">
        <f t="shared" si="19"/>
        <v>0</v>
      </c>
      <c r="J104" s="19">
        <f t="shared" si="20"/>
        <v>0</v>
      </c>
      <c r="K104" s="19">
        <f t="shared" si="21"/>
        <v>0</v>
      </c>
      <c r="L104" s="19">
        <f t="shared" si="22"/>
        <v>0</v>
      </c>
      <c r="M104" s="19">
        <f t="shared" si="23"/>
        <v>0</v>
      </c>
      <c r="N104" s="39">
        <f t="shared" si="24"/>
        <v>6.58</v>
      </c>
      <c r="O104" s="39">
        <f t="shared" si="15"/>
        <v>0.3796739555121893</v>
      </c>
      <c r="P104" s="40">
        <v>8</v>
      </c>
      <c r="Q104" s="40">
        <v>10</v>
      </c>
      <c r="R104" s="40">
        <v>9</v>
      </c>
      <c r="S104" s="40">
        <v>9</v>
      </c>
      <c r="T104" s="40">
        <v>9</v>
      </c>
      <c r="U104" s="40">
        <v>9</v>
      </c>
      <c r="V104" s="40">
        <v>9</v>
      </c>
      <c r="W104" s="41" t="str">
        <f t="shared" si="25"/>
        <v>N</v>
      </c>
      <c r="X104" s="56">
        <f t="shared" si="26"/>
        <v>0</v>
      </c>
      <c r="Y104" s="56" t="str">
        <f t="shared" si="16"/>
        <v>0-4.9%</v>
      </c>
      <c r="Z104" s="8" t="s">
        <v>107</v>
      </c>
      <c r="AB104" s="38">
        <v>2380</v>
      </c>
      <c r="AC104" s="38">
        <v>4200</v>
      </c>
      <c r="AD104" s="38"/>
      <c r="AE104" s="38"/>
      <c r="AF104" s="38"/>
      <c r="AG104" s="38"/>
      <c r="AH104" s="38"/>
    </row>
    <row r="105" spans="1:34" ht="24" customHeight="1" x14ac:dyDescent="0.25">
      <c r="A105" s="10">
        <v>142</v>
      </c>
      <c r="B105" s="9">
        <v>0.14444444444444446</v>
      </c>
      <c r="C105" s="5" t="s">
        <v>20</v>
      </c>
      <c r="D105" s="5">
        <v>7</v>
      </c>
      <c r="E105" s="15"/>
      <c r="F105" s="15" t="s">
        <v>23</v>
      </c>
      <c r="G105" s="19">
        <f t="shared" si="17"/>
        <v>5.36</v>
      </c>
      <c r="H105" s="19">
        <f t="shared" si="18"/>
        <v>17.38</v>
      </c>
      <c r="I105" s="19">
        <f t="shared" si="19"/>
        <v>0</v>
      </c>
      <c r="J105" s="19">
        <f t="shared" si="20"/>
        <v>0</v>
      </c>
      <c r="K105" s="19">
        <f t="shared" si="21"/>
        <v>0</v>
      </c>
      <c r="L105" s="19">
        <f t="shared" si="22"/>
        <v>0</v>
      </c>
      <c r="M105" s="19">
        <f t="shared" si="23"/>
        <v>0</v>
      </c>
      <c r="N105" s="39">
        <f t="shared" si="24"/>
        <v>22.74</v>
      </c>
      <c r="O105" s="39">
        <f t="shared" si="15"/>
        <v>100.68188945830468</v>
      </c>
      <c r="P105" s="40">
        <v>8</v>
      </c>
      <c r="Q105" s="40">
        <v>10</v>
      </c>
      <c r="R105" s="40">
        <v>9</v>
      </c>
      <c r="S105" s="40">
        <v>9</v>
      </c>
      <c r="T105" s="40">
        <v>9</v>
      </c>
      <c r="U105" s="40">
        <v>9</v>
      </c>
      <c r="V105" s="40">
        <v>9</v>
      </c>
      <c r="W105" s="41" t="str">
        <f t="shared" si="25"/>
        <v>Y</v>
      </c>
      <c r="X105" s="56">
        <f t="shared" si="26"/>
        <v>0.73799999999999988</v>
      </c>
      <c r="Y105" s="56" t="str">
        <f t="shared" si="16"/>
        <v>Over 50%</v>
      </c>
      <c r="Z105" s="8" t="s">
        <v>145</v>
      </c>
      <c r="AB105" s="38">
        <v>5360</v>
      </c>
      <c r="AC105" s="38">
        <v>17380</v>
      </c>
      <c r="AD105" s="38"/>
      <c r="AE105" s="38"/>
      <c r="AF105" s="38"/>
      <c r="AG105" s="38"/>
      <c r="AH105" s="38"/>
    </row>
    <row r="106" spans="1:34" ht="24" customHeight="1" x14ac:dyDescent="0.25">
      <c r="A106" s="10">
        <v>143</v>
      </c>
      <c r="B106" s="9">
        <v>0.1451388888888889</v>
      </c>
      <c r="C106" s="5" t="s">
        <v>20</v>
      </c>
      <c r="D106" s="5">
        <v>7</v>
      </c>
      <c r="E106" s="15"/>
      <c r="F106" s="15" t="s">
        <v>23</v>
      </c>
      <c r="G106" s="19">
        <f t="shared" si="17"/>
        <v>2.96</v>
      </c>
      <c r="H106" s="19">
        <f t="shared" si="18"/>
        <v>3.02</v>
      </c>
      <c r="I106" s="19">
        <f t="shared" si="19"/>
        <v>0</v>
      </c>
      <c r="J106" s="19">
        <f t="shared" si="20"/>
        <v>0</v>
      </c>
      <c r="K106" s="19">
        <f t="shared" si="21"/>
        <v>0</v>
      </c>
      <c r="L106" s="19">
        <f t="shared" si="22"/>
        <v>0</v>
      </c>
      <c r="M106" s="19">
        <f t="shared" si="23"/>
        <v>0</v>
      </c>
      <c r="N106" s="39">
        <f t="shared" si="24"/>
        <v>5.98</v>
      </c>
      <c r="O106" s="39">
        <f t="shared" si="15"/>
        <v>0.2469162164480998</v>
      </c>
      <c r="P106" s="40">
        <v>8</v>
      </c>
      <c r="Q106" s="40">
        <v>10</v>
      </c>
      <c r="R106" s="40">
        <v>9</v>
      </c>
      <c r="S106" s="40">
        <v>9</v>
      </c>
      <c r="T106" s="40">
        <v>9</v>
      </c>
      <c r="U106" s="40">
        <v>9</v>
      </c>
      <c r="V106" s="40">
        <v>9</v>
      </c>
      <c r="W106" s="41" t="str">
        <f t="shared" si="25"/>
        <v>N</v>
      </c>
      <c r="X106" s="56">
        <f t="shared" si="26"/>
        <v>0</v>
      </c>
      <c r="Y106" s="56" t="str">
        <f t="shared" si="16"/>
        <v>0-4.9%</v>
      </c>
      <c r="Z106" s="8" t="s">
        <v>118</v>
      </c>
      <c r="AB106" s="38">
        <v>2960</v>
      </c>
      <c r="AC106" s="38">
        <v>3020</v>
      </c>
      <c r="AD106" s="38"/>
      <c r="AE106" s="38"/>
      <c r="AF106" s="38"/>
      <c r="AG106" s="38"/>
      <c r="AH106" s="38"/>
    </row>
    <row r="107" spans="1:34" ht="24" customHeight="1" x14ac:dyDescent="0.25">
      <c r="A107" s="10">
        <v>146</v>
      </c>
      <c r="B107" s="9">
        <v>0.14791666666666667</v>
      </c>
      <c r="C107" s="5" t="s">
        <v>20</v>
      </c>
      <c r="D107" s="5">
        <v>7</v>
      </c>
      <c r="E107" s="15"/>
      <c r="F107" s="15" t="s">
        <v>23</v>
      </c>
      <c r="G107" s="19">
        <f t="shared" si="17"/>
        <v>5.26</v>
      </c>
      <c r="H107" s="19">
        <f t="shared" si="18"/>
        <v>18.98</v>
      </c>
      <c r="I107" s="19">
        <f t="shared" si="19"/>
        <v>0</v>
      </c>
      <c r="J107" s="19">
        <f t="shared" si="20"/>
        <v>0</v>
      </c>
      <c r="K107" s="19">
        <f t="shared" si="21"/>
        <v>0</v>
      </c>
      <c r="L107" s="19">
        <f t="shared" si="22"/>
        <v>0</v>
      </c>
      <c r="M107" s="19">
        <f t="shared" si="23"/>
        <v>0</v>
      </c>
      <c r="N107" s="39">
        <f t="shared" si="24"/>
        <v>24.240000000000002</v>
      </c>
      <c r="O107" s="39">
        <f t="shared" si="15"/>
        <v>134.21190950021287</v>
      </c>
      <c r="P107" s="40">
        <v>8</v>
      </c>
      <c r="Q107" s="40">
        <v>10</v>
      </c>
      <c r="R107" s="40">
        <v>9</v>
      </c>
      <c r="S107" s="40">
        <v>9</v>
      </c>
      <c r="T107" s="40">
        <v>9</v>
      </c>
      <c r="U107" s="40">
        <v>9</v>
      </c>
      <c r="V107" s="40">
        <v>9</v>
      </c>
      <c r="W107" s="41" t="str">
        <f t="shared" si="25"/>
        <v>Y</v>
      </c>
      <c r="X107" s="56">
        <f t="shared" si="26"/>
        <v>0.89800000000000002</v>
      </c>
      <c r="Y107" s="56" t="str">
        <f t="shared" si="16"/>
        <v>Over 50%</v>
      </c>
      <c r="Z107" s="8" t="s">
        <v>111</v>
      </c>
      <c r="AB107" s="38">
        <v>5260</v>
      </c>
      <c r="AC107" s="38">
        <v>18980</v>
      </c>
      <c r="AD107" s="38"/>
      <c r="AE107" s="38"/>
      <c r="AF107" s="38"/>
      <c r="AG107" s="38"/>
      <c r="AH107" s="38"/>
    </row>
    <row r="108" spans="1:34" ht="24" customHeight="1" x14ac:dyDescent="0.25">
      <c r="A108" s="10">
        <v>147</v>
      </c>
      <c r="B108" s="9">
        <v>0.14861111111111111</v>
      </c>
      <c r="C108" s="5" t="s">
        <v>20</v>
      </c>
      <c r="D108" s="5">
        <v>7</v>
      </c>
      <c r="E108" s="15"/>
      <c r="F108" s="15" t="s">
        <v>23</v>
      </c>
      <c r="G108" s="19">
        <f t="shared" si="17"/>
        <v>2.08</v>
      </c>
      <c r="H108" s="19">
        <f t="shared" si="18"/>
        <v>5.58</v>
      </c>
      <c r="I108" s="19">
        <f t="shared" si="19"/>
        <v>0</v>
      </c>
      <c r="J108" s="19">
        <f t="shared" si="20"/>
        <v>0</v>
      </c>
      <c r="K108" s="19">
        <f t="shared" si="21"/>
        <v>0</v>
      </c>
      <c r="L108" s="19">
        <f t="shared" si="22"/>
        <v>0</v>
      </c>
      <c r="M108" s="19">
        <f t="shared" si="23"/>
        <v>0</v>
      </c>
      <c r="N108" s="39">
        <f t="shared" si="24"/>
        <v>7.66</v>
      </c>
      <c r="O108" s="39">
        <f t="shared" si="15"/>
        <v>0.75235662392276914</v>
      </c>
      <c r="P108" s="40">
        <v>8</v>
      </c>
      <c r="Q108" s="40">
        <v>10</v>
      </c>
      <c r="R108" s="40">
        <v>9</v>
      </c>
      <c r="S108" s="40">
        <v>9</v>
      </c>
      <c r="T108" s="40">
        <v>9</v>
      </c>
      <c r="U108" s="40">
        <v>9</v>
      </c>
      <c r="V108" s="40">
        <v>9</v>
      </c>
      <c r="W108" s="41" t="str">
        <f t="shared" si="25"/>
        <v>N</v>
      </c>
      <c r="X108" s="56">
        <f t="shared" si="26"/>
        <v>0</v>
      </c>
      <c r="Y108" s="56" t="str">
        <f t="shared" si="16"/>
        <v>0-4.9%</v>
      </c>
      <c r="Z108" s="8" t="s">
        <v>118</v>
      </c>
      <c r="AB108" s="38">
        <v>2080</v>
      </c>
      <c r="AC108" s="38">
        <v>5580</v>
      </c>
      <c r="AD108" s="38"/>
      <c r="AE108" s="38"/>
      <c r="AF108" s="38"/>
      <c r="AG108" s="38"/>
      <c r="AH108" s="38"/>
    </row>
    <row r="109" spans="1:34" ht="24" customHeight="1" x14ac:dyDescent="0.25">
      <c r="A109" s="10">
        <v>149</v>
      </c>
      <c r="B109" s="9">
        <v>0.15694444444444444</v>
      </c>
      <c r="C109" s="5" t="s">
        <v>20</v>
      </c>
      <c r="D109" s="5">
        <v>7</v>
      </c>
      <c r="E109" s="15"/>
      <c r="F109" s="15" t="s">
        <v>23</v>
      </c>
      <c r="G109" s="19">
        <f t="shared" si="17"/>
        <v>2.94</v>
      </c>
      <c r="H109" s="19">
        <f t="shared" si="18"/>
        <v>3.38</v>
      </c>
      <c r="I109" s="19">
        <f t="shared" si="19"/>
        <v>0</v>
      </c>
      <c r="J109" s="19">
        <f t="shared" si="20"/>
        <v>0</v>
      </c>
      <c r="K109" s="19">
        <f t="shared" si="21"/>
        <v>0</v>
      </c>
      <c r="L109" s="19">
        <f t="shared" si="22"/>
        <v>0</v>
      </c>
      <c r="M109" s="19">
        <f t="shared" si="23"/>
        <v>0</v>
      </c>
      <c r="N109" s="39">
        <f t="shared" si="24"/>
        <v>6.32</v>
      </c>
      <c r="O109" s="39">
        <f t="shared" si="15"/>
        <v>0.31668036576601688</v>
      </c>
      <c r="P109" s="40">
        <v>8</v>
      </c>
      <c r="Q109" s="40">
        <v>10</v>
      </c>
      <c r="R109" s="40">
        <v>9</v>
      </c>
      <c r="S109" s="40">
        <v>9</v>
      </c>
      <c r="T109" s="40">
        <v>9</v>
      </c>
      <c r="U109" s="40">
        <v>9</v>
      </c>
      <c r="V109" s="40">
        <v>9</v>
      </c>
      <c r="W109" s="41" t="str">
        <f t="shared" si="25"/>
        <v>N</v>
      </c>
      <c r="X109" s="56">
        <f t="shared" si="26"/>
        <v>0</v>
      </c>
      <c r="Y109" s="56" t="str">
        <f t="shared" si="16"/>
        <v>0-4.9%</v>
      </c>
      <c r="Z109" s="8" t="s">
        <v>118</v>
      </c>
      <c r="AB109" s="38">
        <v>2940</v>
      </c>
      <c r="AC109" s="38">
        <v>3380</v>
      </c>
      <c r="AD109" s="38"/>
      <c r="AE109" s="38"/>
      <c r="AF109" s="38"/>
      <c r="AG109" s="38"/>
      <c r="AH109" s="38"/>
    </row>
    <row r="110" spans="1:34" ht="24" customHeight="1" x14ac:dyDescent="0.25">
      <c r="A110" s="10">
        <v>150</v>
      </c>
      <c r="B110" s="9">
        <v>0.15833333333333333</v>
      </c>
      <c r="C110" s="5" t="s">
        <v>20</v>
      </c>
      <c r="D110" s="5">
        <v>7</v>
      </c>
      <c r="E110" s="15"/>
      <c r="F110" s="15" t="s">
        <v>23</v>
      </c>
      <c r="G110" s="19">
        <f t="shared" si="17"/>
        <v>8.06</v>
      </c>
      <c r="H110" s="19">
        <f t="shared" si="18"/>
        <v>2.04</v>
      </c>
      <c r="I110" s="19">
        <f t="shared" si="19"/>
        <v>0</v>
      </c>
      <c r="J110" s="19">
        <f t="shared" si="20"/>
        <v>0</v>
      </c>
      <c r="K110" s="19">
        <f t="shared" si="21"/>
        <v>0</v>
      </c>
      <c r="L110" s="19">
        <f t="shared" si="22"/>
        <v>0</v>
      </c>
      <c r="M110" s="19">
        <f t="shared" si="23"/>
        <v>0</v>
      </c>
      <c r="N110" s="39">
        <f t="shared" si="24"/>
        <v>10.100000000000001</v>
      </c>
      <c r="O110" s="39">
        <f t="shared" si="15"/>
        <v>2.6112019874705696</v>
      </c>
      <c r="P110" s="40">
        <v>8</v>
      </c>
      <c r="Q110" s="40">
        <v>10</v>
      </c>
      <c r="R110" s="40">
        <v>9</v>
      </c>
      <c r="S110" s="40">
        <v>9</v>
      </c>
      <c r="T110" s="40">
        <v>9</v>
      </c>
      <c r="U110" s="40">
        <v>9</v>
      </c>
      <c r="V110" s="40">
        <v>9</v>
      </c>
      <c r="W110" s="41" t="str">
        <f t="shared" si="25"/>
        <v>Y</v>
      </c>
      <c r="X110" s="56">
        <f t="shared" si="26"/>
        <v>6.0000000000000496E-3</v>
      </c>
      <c r="Y110" s="56" t="str">
        <f t="shared" si="16"/>
        <v>0-4.9%</v>
      </c>
      <c r="Z110" s="8" t="s">
        <v>118</v>
      </c>
      <c r="AB110" s="38">
        <v>8060</v>
      </c>
      <c r="AC110" s="38">
        <v>2040</v>
      </c>
      <c r="AD110" s="38"/>
      <c r="AE110" s="38"/>
      <c r="AF110" s="38"/>
      <c r="AG110" s="38"/>
      <c r="AH110" s="38"/>
    </row>
    <row r="111" spans="1:34" ht="24" customHeight="1" x14ac:dyDescent="0.25">
      <c r="A111" s="10">
        <v>152</v>
      </c>
      <c r="B111" s="9">
        <v>0.15902777777777777</v>
      </c>
      <c r="C111" s="5" t="s">
        <v>20</v>
      </c>
      <c r="D111" s="5">
        <v>7</v>
      </c>
      <c r="E111" s="15"/>
      <c r="F111" s="15" t="s">
        <v>23</v>
      </c>
      <c r="G111" s="19">
        <f t="shared" si="17"/>
        <v>8.0399999999999991</v>
      </c>
      <c r="H111" s="19">
        <f t="shared" si="18"/>
        <v>16.96</v>
      </c>
      <c r="I111" s="19">
        <f t="shared" si="19"/>
        <v>0</v>
      </c>
      <c r="J111" s="19">
        <f t="shared" si="20"/>
        <v>0</v>
      </c>
      <c r="K111" s="19">
        <f t="shared" si="21"/>
        <v>0</v>
      </c>
      <c r="L111" s="19">
        <f t="shared" si="22"/>
        <v>0</v>
      </c>
      <c r="M111" s="19">
        <f t="shared" si="23"/>
        <v>0</v>
      </c>
      <c r="N111" s="39">
        <f t="shared" si="24"/>
        <v>25</v>
      </c>
      <c r="O111" s="39">
        <f t="shared" si="15"/>
        <v>154.2141855699181</v>
      </c>
      <c r="P111" s="40">
        <v>8</v>
      </c>
      <c r="Q111" s="40">
        <v>10</v>
      </c>
      <c r="R111" s="40">
        <v>9</v>
      </c>
      <c r="S111" s="40">
        <v>9</v>
      </c>
      <c r="T111" s="40">
        <v>9</v>
      </c>
      <c r="U111" s="40">
        <v>9</v>
      </c>
      <c r="V111" s="40">
        <v>9</v>
      </c>
      <c r="W111" s="41" t="str">
        <f t="shared" si="25"/>
        <v>Y</v>
      </c>
      <c r="X111" s="56">
        <f t="shared" si="26"/>
        <v>0.69600000000000006</v>
      </c>
      <c r="Y111" s="56" t="str">
        <f t="shared" si="16"/>
        <v>Over 50%</v>
      </c>
      <c r="Z111" s="8" t="s">
        <v>145</v>
      </c>
      <c r="AB111" s="38">
        <v>8040</v>
      </c>
      <c r="AC111" s="38">
        <v>16960</v>
      </c>
      <c r="AD111" s="38"/>
      <c r="AE111" s="38"/>
      <c r="AF111" s="38"/>
      <c r="AG111" s="38"/>
      <c r="AH111" s="38"/>
    </row>
    <row r="112" spans="1:34" ht="24" customHeight="1" x14ac:dyDescent="0.25">
      <c r="A112" s="10">
        <v>4</v>
      </c>
      <c r="B112" s="9">
        <v>0.16666666666666666</v>
      </c>
      <c r="C112" s="5" t="s">
        <v>20</v>
      </c>
      <c r="D112" s="5">
        <v>7</v>
      </c>
      <c r="E112" s="15"/>
      <c r="F112" s="15" t="s">
        <v>23</v>
      </c>
      <c r="G112" s="19">
        <f t="shared" si="17"/>
        <v>3.06</v>
      </c>
      <c r="H112" s="19">
        <f t="shared" si="18"/>
        <v>9.86</v>
      </c>
      <c r="I112" s="19">
        <f t="shared" si="19"/>
        <v>0</v>
      </c>
      <c r="J112" s="19">
        <f t="shared" si="20"/>
        <v>0</v>
      </c>
      <c r="K112" s="19">
        <f t="shared" si="21"/>
        <v>0</v>
      </c>
      <c r="L112" s="19">
        <f t="shared" si="22"/>
        <v>0</v>
      </c>
      <c r="M112" s="19">
        <f t="shared" si="23"/>
        <v>0</v>
      </c>
      <c r="N112" s="39">
        <f t="shared" si="24"/>
        <v>12.92</v>
      </c>
      <c r="O112" s="39">
        <f t="shared" si="15"/>
        <v>7.9081627237567469</v>
      </c>
      <c r="P112" s="40">
        <v>8</v>
      </c>
      <c r="Q112" s="40">
        <v>10</v>
      </c>
      <c r="R112" s="40">
        <v>9</v>
      </c>
      <c r="S112" s="40">
        <v>9</v>
      </c>
      <c r="T112" s="40">
        <v>9</v>
      </c>
      <c r="U112" s="40">
        <v>9</v>
      </c>
      <c r="V112" s="40">
        <v>9</v>
      </c>
      <c r="W112" s="41" t="str">
        <f t="shared" si="25"/>
        <v>N</v>
      </c>
      <c r="X112" s="56">
        <f t="shared" si="26"/>
        <v>0</v>
      </c>
      <c r="Y112" s="56" t="str">
        <f t="shared" si="16"/>
        <v>0-4.9%</v>
      </c>
      <c r="Z112" s="8" t="s">
        <v>111</v>
      </c>
      <c r="AB112" s="38">
        <v>3060</v>
      </c>
      <c r="AC112" s="38">
        <v>9860</v>
      </c>
      <c r="AD112" s="38"/>
      <c r="AE112" s="38"/>
      <c r="AF112" s="38"/>
      <c r="AG112" s="38"/>
      <c r="AH112" s="38"/>
    </row>
    <row r="113" spans="1:34" ht="24" customHeight="1" x14ac:dyDescent="0.25">
      <c r="A113" s="10">
        <v>5</v>
      </c>
      <c r="B113" s="9">
        <v>0.1673611111111111</v>
      </c>
      <c r="C113" s="5" t="s">
        <v>20</v>
      </c>
      <c r="D113" s="5">
        <v>7</v>
      </c>
      <c r="E113" s="15"/>
      <c r="F113" s="15" t="s">
        <v>23</v>
      </c>
      <c r="G113" s="19">
        <f t="shared" si="17"/>
        <v>2.8</v>
      </c>
      <c r="H113" s="19">
        <f t="shared" si="18"/>
        <v>2.78</v>
      </c>
      <c r="I113" s="19">
        <f t="shared" si="19"/>
        <v>0</v>
      </c>
      <c r="J113" s="19">
        <f t="shared" si="20"/>
        <v>0</v>
      </c>
      <c r="K113" s="19">
        <f t="shared" si="21"/>
        <v>0</v>
      </c>
      <c r="L113" s="19">
        <f t="shared" si="22"/>
        <v>0</v>
      </c>
      <c r="M113" s="19">
        <f t="shared" si="23"/>
        <v>0</v>
      </c>
      <c r="N113" s="39">
        <f t="shared" si="24"/>
        <v>5.58</v>
      </c>
      <c r="O113" s="39">
        <f t="shared" si="15"/>
        <v>0.18082071443033287</v>
      </c>
      <c r="P113" s="40">
        <v>8</v>
      </c>
      <c r="Q113" s="40">
        <v>10</v>
      </c>
      <c r="R113" s="40">
        <v>9</v>
      </c>
      <c r="S113" s="40">
        <v>9</v>
      </c>
      <c r="T113" s="40">
        <v>9</v>
      </c>
      <c r="U113" s="40">
        <v>9</v>
      </c>
      <c r="V113" s="40">
        <v>9</v>
      </c>
      <c r="W113" s="41" t="str">
        <f t="shared" si="25"/>
        <v>N</v>
      </c>
      <c r="X113" s="56">
        <f t="shared" si="26"/>
        <v>0</v>
      </c>
      <c r="Y113" s="56" t="str">
        <f t="shared" si="16"/>
        <v>0-4.9%</v>
      </c>
      <c r="Z113" s="8" t="s">
        <v>145</v>
      </c>
      <c r="AB113" s="38">
        <v>2800</v>
      </c>
      <c r="AC113" s="38">
        <v>2780</v>
      </c>
      <c r="AD113" s="38"/>
      <c r="AE113" s="38"/>
      <c r="AF113" s="38"/>
      <c r="AG113" s="38"/>
      <c r="AH113" s="38"/>
    </row>
    <row r="114" spans="1:34" ht="24" customHeight="1" x14ac:dyDescent="0.25">
      <c r="A114" s="10">
        <v>6</v>
      </c>
      <c r="B114" s="9">
        <v>0.17361111111111113</v>
      </c>
      <c r="C114" s="5" t="s">
        <v>20</v>
      </c>
      <c r="D114" s="5">
        <v>7</v>
      </c>
      <c r="E114" s="15"/>
      <c r="F114" s="15" t="s">
        <v>23</v>
      </c>
      <c r="G114" s="19">
        <f t="shared" si="17"/>
        <v>8.0399999999999991</v>
      </c>
      <c r="H114" s="19">
        <f t="shared" si="18"/>
        <v>13.16</v>
      </c>
      <c r="I114" s="19">
        <f t="shared" si="19"/>
        <v>0</v>
      </c>
      <c r="J114" s="19">
        <f t="shared" si="20"/>
        <v>0</v>
      </c>
      <c r="K114" s="19">
        <f t="shared" si="21"/>
        <v>0</v>
      </c>
      <c r="L114" s="19">
        <f t="shared" si="22"/>
        <v>0</v>
      </c>
      <c r="M114" s="19">
        <f t="shared" si="23"/>
        <v>0</v>
      </c>
      <c r="N114" s="39">
        <f t="shared" si="24"/>
        <v>21.2</v>
      </c>
      <c r="O114" s="39">
        <f t="shared" si="15"/>
        <v>73.435432970581559</v>
      </c>
      <c r="P114" s="40">
        <v>8</v>
      </c>
      <c r="Q114" s="40">
        <v>10</v>
      </c>
      <c r="R114" s="40">
        <v>9</v>
      </c>
      <c r="S114" s="40">
        <v>9</v>
      </c>
      <c r="T114" s="40">
        <v>9</v>
      </c>
      <c r="U114" s="40">
        <v>9</v>
      </c>
      <c r="V114" s="40">
        <v>9</v>
      </c>
      <c r="W114" s="41" t="str">
        <f t="shared" si="25"/>
        <v>Y</v>
      </c>
      <c r="X114" s="56">
        <f t="shared" si="26"/>
        <v>0.316</v>
      </c>
      <c r="Y114" s="56" t="str">
        <f t="shared" si="16"/>
        <v>25-50%</v>
      </c>
      <c r="Z114" s="8" t="s">
        <v>118</v>
      </c>
      <c r="AB114" s="38">
        <v>8040</v>
      </c>
      <c r="AC114" s="38">
        <v>13160</v>
      </c>
      <c r="AD114" s="38"/>
      <c r="AE114" s="38"/>
      <c r="AF114" s="38"/>
      <c r="AG114" s="38"/>
      <c r="AH114" s="38"/>
    </row>
    <row r="115" spans="1:34" ht="24" customHeight="1" x14ac:dyDescent="0.25">
      <c r="A115" s="10">
        <v>8</v>
      </c>
      <c r="B115" s="9">
        <v>0.17430555555555557</v>
      </c>
      <c r="C115" s="5" t="s">
        <v>20</v>
      </c>
      <c r="D115" s="5">
        <v>7</v>
      </c>
      <c r="E115" s="15"/>
      <c r="F115" s="15" t="s">
        <v>23</v>
      </c>
      <c r="G115" s="19">
        <f t="shared" si="17"/>
        <v>4.12</v>
      </c>
      <c r="H115" s="19">
        <f t="shared" si="18"/>
        <v>7.02</v>
      </c>
      <c r="I115" s="19">
        <f t="shared" si="19"/>
        <v>0</v>
      </c>
      <c r="J115" s="19">
        <f t="shared" si="20"/>
        <v>0</v>
      </c>
      <c r="K115" s="19">
        <f t="shared" si="21"/>
        <v>0</v>
      </c>
      <c r="L115" s="19">
        <f t="shared" si="22"/>
        <v>0</v>
      </c>
      <c r="M115" s="19">
        <f t="shared" si="23"/>
        <v>0</v>
      </c>
      <c r="N115" s="39">
        <f t="shared" si="24"/>
        <v>11.14</v>
      </c>
      <c r="O115" s="39">
        <f t="shared" si="15"/>
        <v>4.058613021200153</v>
      </c>
      <c r="P115" s="40">
        <v>8</v>
      </c>
      <c r="Q115" s="40">
        <v>10</v>
      </c>
      <c r="R115" s="40">
        <v>9</v>
      </c>
      <c r="S115" s="40">
        <v>9</v>
      </c>
      <c r="T115" s="40">
        <v>9</v>
      </c>
      <c r="U115" s="40">
        <v>9</v>
      </c>
      <c r="V115" s="40">
        <v>9</v>
      </c>
      <c r="W115" s="41" t="str">
        <f t="shared" si="25"/>
        <v>N</v>
      </c>
      <c r="X115" s="56">
        <f t="shared" si="26"/>
        <v>0</v>
      </c>
      <c r="Y115" s="56" t="str">
        <f t="shared" si="16"/>
        <v>0-4.9%</v>
      </c>
      <c r="Z115" s="8" t="s">
        <v>107</v>
      </c>
      <c r="AB115" s="38">
        <v>4120</v>
      </c>
      <c r="AC115" s="38">
        <v>7020</v>
      </c>
      <c r="AD115" s="38"/>
      <c r="AE115" s="38"/>
      <c r="AF115" s="38"/>
      <c r="AG115" s="38"/>
      <c r="AH115" s="38"/>
    </row>
    <row r="116" spans="1:34" ht="24" customHeight="1" x14ac:dyDescent="0.25">
      <c r="A116" s="10">
        <v>9</v>
      </c>
      <c r="B116" s="9">
        <v>0.17500000000000002</v>
      </c>
      <c r="C116" s="5" t="s">
        <v>20</v>
      </c>
      <c r="D116" s="5">
        <v>7</v>
      </c>
      <c r="E116" s="15"/>
      <c r="F116" s="15" t="s">
        <v>23</v>
      </c>
      <c r="G116" s="19">
        <f t="shared" si="17"/>
        <v>3.8</v>
      </c>
      <c r="H116" s="19">
        <f t="shared" si="18"/>
        <v>4.84</v>
      </c>
      <c r="I116" s="19">
        <f t="shared" si="19"/>
        <v>0</v>
      </c>
      <c r="J116" s="19">
        <f t="shared" si="20"/>
        <v>0</v>
      </c>
      <c r="K116" s="19">
        <f t="shared" si="21"/>
        <v>0</v>
      </c>
      <c r="L116" s="19">
        <f t="shared" si="22"/>
        <v>0</v>
      </c>
      <c r="M116" s="19">
        <f t="shared" si="23"/>
        <v>0</v>
      </c>
      <c r="N116" s="39">
        <f t="shared" si="24"/>
        <v>8.64</v>
      </c>
      <c r="O116" s="39">
        <f t="shared" si="15"/>
        <v>1.293320396589122</v>
      </c>
      <c r="P116" s="40">
        <v>8</v>
      </c>
      <c r="Q116" s="40">
        <v>10</v>
      </c>
      <c r="R116" s="40">
        <v>9</v>
      </c>
      <c r="S116" s="40">
        <v>9</v>
      </c>
      <c r="T116" s="40">
        <v>9</v>
      </c>
      <c r="U116" s="40">
        <v>9</v>
      </c>
      <c r="V116" s="40">
        <v>9</v>
      </c>
      <c r="W116" s="41" t="str">
        <f t="shared" si="25"/>
        <v>N</v>
      </c>
      <c r="X116" s="56">
        <f t="shared" si="26"/>
        <v>0</v>
      </c>
      <c r="Y116" s="56" t="str">
        <f t="shared" si="16"/>
        <v>0-4.9%</v>
      </c>
      <c r="Z116" s="8" t="s">
        <v>118</v>
      </c>
      <c r="AB116" s="38">
        <v>3800</v>
      </c>
      <c r="AC116" s="38">
        <v>4840</v>
      </c>
      <c r="AD116" s="38"/>
      <c r="AE116" s="38"/>
      <c r="AF116" s="38"/>
      <c r="AG116" s="38"/>
      <c r="AH116" s="38"/>
    </row>
    <row r="117" spans="1:34" ht="24" customHeight="1" x14ac:dyDescent="0.25">
      <c r="A117" s="10">
        <v>10</v>
      </c>
      <c r="B117" s="9">
        <v>0.17569444444444446</v>
      </c>
      <c r="C117" s="5" t="s">
        <v>20</v>
      </c>
      <c r="D117" s="5">
        <v>7</v>
      </c>
      <c r="E117" s="15"/>
      <c r="F117" s="15" t="s">
        <v>23</v>
      </c>
      <c r="G117" s="19">
        <f t="shared" si="17"/>
        <v>3.4</v>
      </c>
      <c r="H117" s="19">
        <f t="shared" si="18"/>
        <v>5.22</v>
      </c>
      <c r="I117" s="19">
        <f t="shared" si="19"/>
        <v>0</v>
      </c>
      <c r="J117" s="19">
        <f t="shared" si="20"/>
        <v>0</v>
      </c>
      <c r="K117" s="19">
        <f t="shared" si="21"/>
        <v>0</v>
      </c>
      <c r="L117" s="19">
        <f t="shared" si="22"/>
        <v>0</v>
      </c>
      <c r="M117" s="19">
        <f t="shared" si="23"/>
        <v>0</v>
      </c>
      <c r="N117" s="39">
        <f t="shared" si="24"/>
        <v>8.6199999999999992</v>
      </c>
      <c r="O117" s="39">
        <f t="shared" si="15"/>
        <v>1.2799027783696539</v>
      </c>
      <c r="P117" s="40">
        <v>8</v>
      </c>
      <c r="Q117" s="40">
        <v>10</v>
      </c>
      <c r="R117" s="40">
        <v>9</v>
      </c>
      <c r="S117" s="40">
        <v>9</v>
      </c>
      <c r="T117" s="40">
        <v>9</v>
      </c>
      <c r="U117" s="40">
        <v>9</v>
      </c>
      <c r="V117" s="40">
        <v>9</v>
      </c>
      <c r="W117" s="41" t="str">
        <f t="shared" si="25"/>
        <v>N</v>
      </c>
      <c r="X117" s="56">
        <f t="shared" si="26"/>
        <v>0</v>
      </c>
      <c r="Y117" s="56" t="str">
        <f t="shared" si="16"/>
        <v>0-4.9%</v>
      </c>
      <c r="Z117" s="8" t="s">
        <v>118</v>
      </c>
      <c r="AB117" s="38">
        <v>3400</v>
      </c>
      <c r="AC117" s="38">
        <v>5220</v>
      </c>
      <c r="AD117" s="38"/>
      <c r="AE117" s="38"/>
      <c r="AF117" s="38"/>
      <c r="AG117" s="38"/>
      <c r="AH117" s="38"/>
    </row>
    <row r="118" spans="1:34" ht="24" customHeight="1" x14ac:dyDescent="0.25">
      <c r="A118" s="10">
        <v>12</v>
      </c>
      <c r="B118" s="9">
        <v>0.17777777777777778</v>
      </c>
      <c r="C118" s="5" t="s">
        <v>20</v>
      </c>
      <c r="D118" s="5">
        <v>7</v>
      </c>
      <c r="E118" s="15"/>
      <c r="F118" s="15" t="s">
        <v>23</v>
      </c>
      <c r="G118" s="19">
        <f t="shared" si="17"/>
        <v>3.4</v>
      </c>
      <c r="H118" s="19">
        <f t="shared" si="18"/>
        <v>7.52</v>
      </c>
      <c r="I118" s="19">
        <f t="shared" si="19"/>
        <v>0</v>
      </c>
      <c r="J118" s="19">
        <f t="shared" si="20"/>
        <v>0</v>
      </c>
      <c r="K118" s="19">
        <f t="shared" si="21"/>
        <v>0</v>
      </c>
      <c r="L118" s="19">
        <f t="shared" si="22"/>
        <v>0</v>
      </c>
      <c r="M118" s="19">
        <f t="shared" si="23"/>
        <v>0</v>
      </c>
      <c r="N118" s="39">
        <f t="shared" si="24"/>
        <v>10.92</v>
      </c>
      <c r="O118" s="39">
        <f t="shared" si="15"/>
        <v>3.7101900659943867</v>
      </c>
      <c r="P118" s="40">
        <v>8</v>
      </c>
      <c r="Q118" s="40">
        <v>10</v>
      </c>
      <c r="R118" s="40">
        <v>9</v>
      </c>
      <c r="S118" s="40">
        <v>9</v>
      </c>
      <c r="T118" s="40">
        <v>9</v>
      </c>
      <c r="U118" s="40">
        <v>9</v>
      </c>
      <c r="V118" s="40">
        <v>9</v>
      </c>
      <c r="W118" s="41" t="str">
        <f t="shared" si="25"/>
        <v>N</v>
      </c>
      <c r="X118" s="56">
        <f t="shared" si="26"/>
        <v>0</v>
      </c>
      <c r="Y118" s="56" t="str">
        <f t="shared" si="16"/>
        <v>0-4.9%</v>
      </c>
      <c r="Z118" s="8" t="s">
        <v>145</v>
      </c>
      <c r="AB118" s="38">
        <v>3400</v>
      </c>
      <c r="AC118" s="38">
        <v>7520</v>
      </c>
      <c r="AD118" s="38"/>
      <c r="AE118" s="38"/>
      <c r="AF118" s="38"/>
      <c r="AG118" s="38"/>
      <c r="AH118" s="38"/>
    </row>
    <row r="119" spans="1:34" ht="24" customHeight="1" x14ac:dyDescent="0.25">
      <c r="A119" s="10">
        <v>15</v>
      </c>
      <c r="B119" s="9">
        <v>0.18472222222222223</v>
      </c>
      <c r="C119" s="5" t="s">
        <v>20</v>
      </c>
      <c r="D119" s="5">
        <v>7</v>
      </c>
      <c r="E119" s="15"/>
      <c r="F119" s="15" t="s">
        <v>23</v>
      </c>
      <c r="G119" s="19">
        <f t="shared" si="17"/>
        <v>8.1999999999999993</v>
      </c>
      <c r="H119" s="19">
        <f t="shared" si="18"/>
        <v>19.239999999999998</v>
      </c>
      <c r="I119" s="19">
        <f t="shared" si="19"/>
        <v>0</v>
      </c>
      <c r="J119" s="19">
        <f t="shared" si="20"/>
        <v>0</v>
      </c>
      <c r="K119" s="19">
        <f t="shared" si="21"/>
        <v>0</v>
      </c>
      <c r="L119" s="19">
        <f t="shared" si="22"/>
        <v>0</v>
      </c>
      <c r="M119" s="19">
        <f t="shared" si="23"/>
        <v>0</v>
      </c>
      <c r="N119" s="39">
        <f t="shared" si="24"/>
        <v>27.439999999999998</v>
      </c>
      <c r="O119" s="39">
        <f t="shared" si="15"/>
        <v>234.48915804492876</v>
      </c>
      <c r="P119" s="40">
        <v>8</v>
      </c>
      <c r="Q119" s="40">
        <v>10</v>
      </c>
      <c r="R119" s="40">
        <v>9</v>
      </c>
      <c r="S119" s="40">
        <v>9</v>
      </c>
      <c r="T119" s="40">
        <v>9</v>
      </c>
      <c r="U119" s="40">
        <v>9</v>
      </c>
      <c r="V119" s="40">
        <v>9</v>
      </c>
      <c r="W119" s="41" t="str">
        <f t="shared" si="25"/>
        <v>Y</v>
      </c>
      <c r="X119" s="56">
        <f t="shared" si="26"/>
        <v>0.92399999999999982</v>
      </c>
      <c r="Y119" s="56" t="str">
        <f t="shared" si="16"/>
        <v>Over 50%</v>
      </c>
      <c r="Z119" s="8" t="s">
        <v>35</v>
      </c>
      <c r="AB119" s="38">
        <v>8200</v>
      </c>
      <c r="AC119" s="38">
        <v>19240</v>
      </c>
      <c r="AD119" s="38"/>
      <c r="AE119" s="38"/>
      <c r="AF119" s="38"/>
      <c r="AG119" s="38"/>
      <c r="AH119" s="38"/>
    </row>
    <row r="120" spans="1:34" ht="24" customHeight="1" x14ac:dyDescent="0.25">
      <c r="A120" s="10">
        <v>17</v>
      </c>
      <c r="B120" s="9">
        <v>0.19236111111111112</v>
      </c>
      <c r="C120" s="5" t="s">
        <v>20</v>
      </c>
      <c r="D120" s="5">
        <v>7</v>
      </c>
      <c r="E120" s="15"/>
      <c r="F120" s="15" t="s">
        <v>23</v>
      </c>
      <c r="G120" s="19">
        <f t="shared" si="17"/>
        <v>3.26</v>
      </c>
      <c r="H120" s="19">
        <f t="shared" si="18"/>
        <v>4.22</v>
      </c>
      <c r="I120" s="19">
        <f t="shared" si="19"/>
        <v>0</v>
      </c>
      <c r="J120" s="19">
        <f t="shared" si="20"/>
        <v>0</v>
      </c>
      <c r="K120" s="19">
        <f t="shared" si="21"/>
        <v>0</v>
      </c>
      <c r="L120" s="19">
        <f t="shared" si="22"/>
        <v>0</v>
      </c>
      <c r="M120" s="19">
        <f t="shared" si="23"/>
        <v>0</v>
      </c>
      <c r="N120" s="39">
        <f t="shared" si="24"/>
        <v>7.4799999999999995</v>
      </c>
      <c r="O120" s="39">
        <f t="shared" si="15"/>
        <v>0.67600744042537342</v>
      </c>
      <c r="P120" s="40">
        <v>8</v>
      </c>
      <c r="Q120" s="40">
        <v>10</v>
      </c>
      <c r="R120" s="40">
        <v>9</v>
      </c>
      <c r="S120" s="40">
        <v>9</v>
      </c>
      <c r="T120" s="40">
        <v>9</v>
      </c>
      <c r="U120" s="40">
        <v>9</v>
      </c>
      <c r="V120" s="40">
        <v>9</v>
      </c>
      <c r="W120" s="41" t="str">
        <f t="shared" si="25"/>
        <v>N</v>
      </c>
      <c r="X120" s="56">
        <f t="shared" si="26"/>
        <v>0</v>
      </c>
      <c r="Y120" s="56" t="str">
        <f t="shared" si="16"/>
        <v>0-4.9%</v>
      </c>
      <c r="Z120" s="8" t="s">
        <v>118</v>
      </c>
      <c r="AB120" s="38">
        <v>3260</v>
      </c>
      <c r="AC120" s="38">
        <v>4220</v>
      </c>
      <c r="AD120" s="38"/>
      <c r="AE120" s="38"/>
      <c r="AF120" s="38"/>
      <c r="AG120" s="38"/>
      <c r="AH120" s="38"/>
    </row>
    <row r="121" spans="1:34" ht="24" customHeight="1" x14ac:dyDescent="0.25">
      <c r="A121" s="10">
        <v>18</v>
      </c>
      <c r="B121" s="9">
        <v>0.19444444444444445</v>
      </c>
      <c r="C121" s="5" t="s">
        <v>20</v>
      </c>
      <c r="D121" s="5">
        <v>7</v>
      </c>
      <c r="E121" s="15"/>
      <c r="F121" s="15" t="s">
        <v>23</v>
      </c>
      <c r="G121" s="19">
        <f t="shared" si="17"/>
        <v>6.42</v>
      </c>
      <c r="H121" s="19">
        <f t="shared" si="18"/>
        <v>13.14</v>
      </c>
      <c r="I121" s="19">
        <f t="shared" si="19"/>
        <v>0</v>
      </c>
      <c r="J121" s="19">
        <f t="shared" si="20"/>
        <v>0</v>
      </c>
      <c r="K121" s="19">
        <f t="shared" si="21"/>
        <v>0</v>
      </c>
      <c r="L121" s="19">
        <f t="shared" si="22"/>
        <v>0</v>
      </c>
      <c r="M121" s="19">
        <f t="shared" si="23"/>
        <v>0</v>
      </c>
      <c r="N121" s="39">
        <f t="shared" si="24"/>
        <v>19.560000000000002</v>
      </c>
      <c r="O121" s="39">
        <f t="shared" si="15"/>
        <v>51.115676466978698</v>
      </c>
      <c r="P121" s="40">
        <v>8</v>
      </c>
      <c r="Q121" s="40">
        <v>10</v>
      </c>
      <c r="R121" s="40">
        <v>9</v>
      </c>
      <c r="S121" s="40">
        <v>9</v>
      </c>
      <c r="T121" s="40">
        <v>9</v>
      </c>
      <c r="U121" s="40">
        <v>9</v>
      </c>
      <c r="V121" s="40">
        <v>9</v>
      </c>
      <c r="W121" s="41" t="str">
        <f t="shared" si="25"/>
        <v>Y</v>
      </c>
      <c r="X121" s="56">
        <f t="shared" si="26"/>
        <v>0.31400000000000006</v>
      </c>
      <c r="Y121" s="56" t="str">
        <f t="shared" si="16"/>
        <v>25-50%</v>
      </c>
      <c r="Z121" s="8" t="s">
        <v>145</v>
      </c>
      <c r="AB121" s="38">
        <v>6420</v>
      </c>
      <c r="AC121" s="38">
        <v>13140</v>
      </c>
      <c r="AD121" s="38"/>
      <c r="AE121" s="38"/>
      <c r="AF121" s="38"/>
      <c r="AG121" s="38"/>
      <c r="AH121" s="38"/>
    </row>
    <row r="122" spans="1:34" ht="24" customHeight="1" x14ac:dyDescent="0.25">
      <c r="A122" s="10">
        <v>19</v>
      </c>
      <c r="B122" s="9">
        <v>0.19513888888888889</v>
      </c>
      <c r="C122" s="5" t="s">
        <v>20</v>
      </c>
      <c r="D122" s="5">
        <v>7</v>
      </c>
      <c r="E122" s="15"/>
      <c r="F122" s="15" t="s">
        <v>23</v>
      </c>
      <c r="G122" s="19">
        <f t="shared" si="17"/>
        <v>4.12</v>
      </c>
      <c r="H122" s="19">
        <f t="shared" si="18"/>
        <v>6.2</v>
      </c>
      <c r="I122" s="19">
        <f t="shared" si="19"/>
        <v>0</v>
      </c>
      <c r="J122" s="19">
        <f t="shared" si="20"/>
        <v>0</v>
      </c>
      <c r="K122" s="19">
        <f t="shared" si="21"/>
        <v>0</v>
      </c>
      <c r="L122" s="19">
        <f t="shared" si="22"/>
        <v>0</v>
      </c>
      <c r="M122" s="19">
        <f t="shared" si="23"/>
        <v>0</v>
      </c>
      <c r="N122" s="39">
        <f t="shared" si="24"/>
        <v>10.32</v>
      </c>
      <c r="O122" s="39">
        <f t="shared" si="15"/>
        <v>2.8770865278785451</v>
      </c>
      <c r="P122" s="40">
        <v>8</v>
      </c>
      <c r="Q122" s="40">
        <v>10</v>
      </c>
      <c r="R122" s="40">
        <v>9</v>
      </c>
      <c r="S122" s="40">
        <v>9</v>
      </c>
      <c r="T122" s="40">
        <v>9</v>
      </c>
      <c r="U122" s="40">
        <v>9</v>
      </c>
      <c r="V122" s="40">
        <v>9</v>
      </c>
      <c r="W122" s="41" t="str">
        <f t="shared" si="25"/>
        <v>N</v>
      </c>
      <c r="X122" s="56">
        <f t="shared" si="26"/>
        <v>0</v>
      </c>
      <c r="Y122" s="56" t="str">
        <f t="shared" si="16"/>
        <v>0-4.9%</v>
      </c>
      <c r="Z122" s="8" t="s">
        <v>145</v>
      </c>
      <c r="AB122" s="38">
        <v>4120</v>
      </c>
      <c r="AC122" s="38">
        <v>6200</v>
      </c>
      <c r="AD122" s="38"/>
      <c r="AE122" s="38"/>
      <c r="AF122" s="38"/>
      <c r="AG122" s="38"/>
      <c r="AH122" s="38"/>
    </row>
    <row r="123" spans="1:34" ht="24" customHeight="1" x14ac:dyDescent="0.25">
      <c r="A123" s="10">
        <v>20</v>
      </c>
      <c r="B123" s="9">
        <v>0.19583333333333333</v>
      </c>
      <c r="C123" s="5" t="s">
        <v>20</v>
      </c>
      <c r="D123" s="5">
        <v>7</v>
      </c>
      <c r="E123" s="15"/>
      <c r="F123" s="15" t="s">
        <v>23</v>
      </c>
      <c r="G123" s="19">
        <f t="shared" si="17"/>
        <v>3.34</v>
      </c>
      <c r="H123" s="19">
        <f t="shared" si="18"/>
        <v>5.28</v>
      </c>
      <c r="I123" s="19">
        <f t="shared" si="19"/>
        <v>0</v>
      </c>
      <c r="J123" s="19">
        <f t="shared" si="20"/>
        <v>0</v>
      </c>
      <c r="K123" s="19">
        <f t="shared" si="21"/>
        <v>0</v>
      </c>
      <c r="L123" s="19">
        <f t="shared" si="22"/>
        <v>0</v>
      </c>
      <c r="M123" s="19">
        <f t="shared" si="23"/>
        <v>0</v>
      </c>
      <c r="N123" s="39">
        <f t="shared" si="24"/>
        <v>8.620000000000001</v>
      </c>
      <c r="O123" s="39">
        <f t="shared" si="15"/>
        <v>1.2799027783696553</v>
      </c>
      <c r="P123" s="40">
        <v>8</v>
      </c>
      <c r="Q123" s="40">
        <v>10</v>
      </c>
      <c r="R123" s="40">
        <v>9</v>
      </c>
      <c r="S123" s="40">
        <v>9</v>
      </c>
      <c r="T123" s="40">
        <v>9</v>
      </c>
      <c r="U123" s="40">
        <v>9</v>
      </c>
      <c r="V123" s="40">
        <v>9</v>
      </c>
      <c r="W123" s="41" t="str">
        <f t="shared" si="25"/>
        <v>N</v>
      </c>
      <c r="X123" s="56">
        <f t="shared" si="26"/>
        <v>0</v>
      </c>
      <c r="Y123" s="56" t="str">
        <f t="shared" si="16"/>
        <v>0-4.9%</v>
      </c>
      <c r="Z123" s="8" t="s">
        <v>145</v>
      </c>
      <c r="AB123" s="38">
        <v>3340</v>
      </c>
      <c r="AC123" s="38">
        <v>5280</v>
      </c>
      <c r="AD123" s="38"/>
      <c r="AE123" s="38"/>
      <c r="AF123" s="38"/>
      <c r="AG123" s="38"/>
      <c r="AH123" s="38"/>
    </row>
    <row r="124" spans="1:34" ht="24" customHeight="1" x14ac:dyDescent="0.25">
      <c r="A124" s="10">
        <v>21</v>
      </c>
      <c r="B124" s="9">
        <v>0.19930555555555554</v>
      </c>
      <c r="C124" s="5" t="s">
        <v>20</v>
      </c>
      <c r="D124" s="5">
        <v>7</v>
      </c>
      <c r="E124" s="15"/>
      <c r="F124" s="15" t="s">
        <v>23</v>
      </c>
      <c r="G124" s="19">
        <f t="shared" si="17"/>
        <v>10.68</v>
      </c>
      <c r="H124" s="19">
        <f t="shared" si="18"/>
        <v>13.74</v>
      </c>
      <c r="I124" s="19">
        <f t="shared" si="19"/>
        <v>0</v>
      </c>
      <c r="J124" s="19">
        <f t="shared" si="20"/>
        <v>0</v>
      </c>
      <c r="K124" s="19">
        <f t="shared" si="21"/>
        <v>0</v>
      </c>
      <c r="L124" s="19">
        <f t="shared" si="22"/>
        <v>0</v>
      </c>
      <c r="M124" s="19">
        <f t="shared" si="23"/>
        <v>0</v>
      </c>
      <c r="N124" s="39">
        <f t="shared" si="24"/>
        <v>24.42</v>
      </c>
      <c r="O124" s="39">
        <f t="shared" si="15"/>
        <v>138.75535530568592</v>
      </c>
      <c r="P124" s="40">
        <v>8</v>
      </c>
      <c r="Q124" s="40">
        <v>10</v>
      </c>
      <c r="R124" s="40">
        <v>9</v>
      </c>
      <c r="S124" s="40">
        <v>9</v>
      </c>
      <c r="T124" s="40">
        <v>9</v>
      </c>
      <c r="U124" s="40">
        <v>9</v>
      </c>
      <c r="V124" s="40">
        <v>9</v>
      </c>
      <c r="W124" s="41" t="str">
        <f t="shared" si="25"/>
        <v>Y</v>
      </c>
      <c r="X124" s="56">
        <f t="shared" si="26"/>
        <v>0.374</v>
      </c>
      <c r="Y124" s="56" t="str">
        <f t="shared" si="16"/>
        <v>25-50%</v>
      </c>
      <c r="Z124" s="8" t="s">
        <v>35</v>
      </c>
      <c r="AB124" s="38">
        <v>10680</v>
      </c>
      <c r="AC124" s="38">
        <v>13740</v>
      </c>
      <c r="AD124" s="38"/>
      <c r="AE124" s="38"/>
      <c r="AF124" s="38"/>
      <c r="AG124" s="38"/>
      <c r="AH124" s="38"/>
    </row>
    <row r="125" spans="1:34" ht="24" customHeight="1" x14ac:dyDescent="0.25">
      <c r="A125" s="10">
        <v>22</v>
      </c>
      <c r="B125" s="9">
        <v>0.20277777777777781</v>
      </c>
      <c r="C125" s="5" t="s">
        <v>20</v>
      </c>
      <c r="D125" s="5">
        <v>7</v>
      </c>
      <c r="E125" s="15"/>
      <c r="F125" s="15" t="s">
        <v>23</v>
      </c>
      <c r="G125" s="19">
        <f t="shared" si="17"/>
        <v>8.16</v>
      </c>
      <c r="H125" s="19">
        <f t="shared" si="18"/>
        <v>14.72</v>
      </c>
      <c r="I125" s="19">
        <f t="shared" si="19"/>
        <v>0</v>
      </c>
      <c r="J125" s="19">
        <f t="shared" si="20"/>
        <v>0</v>
      </c>
      <c r="K125" s="19">
        <f t="shared" si="21"/>
        <v>0</v>
      </c>
      <c r="L125" s="19">
        <f t="shared" si="22"/>
        <v>0</v>
      </c>
      <c r="M125" s="19">
        <f t="shared" si="23"/>
        <v>0</v>
      </c>
      <c r="N125" s="39">
        <f t="shared" si="24"/>
        <v>22.880000000000003</v>
      </c>
      <c r="O125" s="39">
        <f t="shared" si="15"/>
        <v>103.50143619715031</v>
      </c>
      <c r="P125" s="40">
        <v>8</v>
      </c>
      <c r="Q125" s="40">
        <v>10</v>
      </c>
      <c r="R125" s="40">
        <v>9</v>
      </c>
      <c r="S125" s="40">
        <v>9</v>
      </c>
      <c r="T125" s="40">
        <v>9</v>
      </c>
      <c r="U125" s="40">
        <v>9</v>
      </c>
      <c r="V125" s="40">
        <v>9</v>
      </c>
      <c r="W125" s="41" t="str">
        <f t="shared" si="25"/>
        <v>Y</v>
      </c>
      <c r="X125" s="56">
        <f t="shared" si="26"/>
        <v>0.47200000000000009</v>
      </c>
      <c r="Y125" s="56" t="str">
        <f t="shared" si="16"/>
        <v>25-50%</v>
      </c>
      <c r="Z125" s="8" t="s">
        <v>35</v>
      </c>
      <c r="AB125" s="38">
        <v>8160</v>
      </c>
      <c r="AC125" s="38">
        <v>14720</v>
      </c>
      <c r="AD125" s="38"/>
      <c r="AE125" s="38"/>
      <c r="AF125" s="38"/>
      <c r="AG125" s="38"/>
      <c r="AH125" s="38"/>
    </row>
    <row r="126" spans="1:34" ht="24" customHeight="1" x14ac:dyDescent="0.25">
      <c r="A126" s="10">
        <v>23</v>
      </c>
      <c r="B126" s="9">
        <v>0.21527777777777779</v>
      </c>
      <c r="C126" s="5" t="s">
        <v>20</v>
      </c>
      <c r="D126" s="5">
        <v>7</v>
      </c>
      <c r="E126" s="15"/>
      <c r="F126" s="15" t="s">
        <v>23</v>
      </c>
      <c r="G126" s="19">
        <f t="shared" si="17"/>
        <v>3.02</v>
      </c>
      <c r="H126" s="19">
        <f t="shared" si="18"/>
        <v>3.38</v>
      </c>
      <c r="I126" s="19">
        <f t="shared" si="19"/>
        <v>0</v>
      </c>
      <c r="J126" s="19">
        <f t="shared" si="20"/>
        <v>0</v>
      </c>
      <c r="K126" s="19">
        <f t="shared" si="21"/>
        <v>0</v>
      </c>
      <c r="L126" s="19">
        <f t="shared" si="22"/>
        <v>0</v>
      </c>
      <c r="M126" s="19">
        <f t="shared" si="23"/>
        <v>0</v>
      </c>
      <c r="N126" s="39">
        <f t="shared" si="24"/>
        <v>6.4</v>
      </c>
      <c r="O126" s="39">
        <f t="shared" si="15"/>
        <v>0.33512294859866604</v>
      </c>
      <c r="P126" s="40">
        <v>8</v>
      </c>
      <c r="Q126" s="40">
        <v>10</v>
      </c>
      <c r="R126" s="40">
        <v>9</v>
      </c>
      <c r="S126" s="40">
        <v>9</v>
      </c>
      <c r="T126" s="40">
        <v>9</v>
      </c>
      <c r="U126" s="40">
        <v>9</v>
      </c>
      <c r="V126" s="40">
        <v>9</v>
      </c>
      <c r="W126" s="41" t="str">
        <f t="shared" si="25"/>
        <v>N</v>
      </c>
      <c r="X126" s="56">
        <f t="shared" si="26"/>
        <v>0</v>
      </c>
      <c r="Y126" s="56" t="str">
        <f t="shared" si="16"/>
        <v>0-4.9%</v>
      </c>
      <c r="Z126" s="8" t="s">
        <v>118</v>
      </c>
      <c r="AB126" s="38">
        <v>3020</v>
      </c>
      <c r="AC126" s="38">
        <v>3380</v>
      </c>
      <c r="AD126" s="38"/>
      <c r="AE126" s="38"/>
      <c r="AF126" s="38"/>
      <c r="AG126" s="38"/>
      <c r="AH126" s="38"/>
    </row>
    <row r="127" spans="1:34" ht="24" customHeight="1" x14ac:dyDescent="0.25">
      <c r="A127" s="10">
        <v>24</v>
      </c>
      <c r="B127" s="9">
        <v>0.21666666666666667</v>
      </c>
      <c r="C127" s="5" t="s">
        <v>20</v>
      </c>
      <c r="D127" s="5">
        <v>7</v>
      </c>
      <c r="E127" s="15"/>
      <c r="F127" s="15" t="s">
        <v>23</v>
      </c>
      <c r="G127" s="19">
        <f t="shared" si="17"/>
        <v>2.76</v>
      </c>
      <c r="H127" s="19">
        <f t="shared" si="18"/>
        <v>3.14</v>
      </c>
      <c r="I127" s="19">
        <f t="shared" si="19"/>
        <v>0</v>
      </c>
      <c r="J127" s="19">
        <f t="shared" si="20"/>
        <v>0</v>
      </c>
      <c r="K127" s="19">
        <f t="shared" si="21"/>
        <v>0</v>
      </c>
      <c r="L127" s="19">
        <f t="shared" si="22"/>
        <v>0</v>
      </c>
      <c r="M127" s="19">
        <f t="shared" si="23"/>
        <v>0</v>
      </c>
      <c r="N127" s="39">
        <f t="shared" si="24"/>
        <v>5.9</v>
      </c>
      <c r="O127" s="39">
        <f t="shared" si="15"/>
        <v>0.23239583373627443</v>
      </c>
      <c r="P127" s="40">
        <v>8</v>
      </c>
      <c r="Q127" s="40">
        <v>10</v>
      </c>
      <c r="R127" s="40">
        <v>9</v>
      </c>
      <c r="S127" s="40">
        <v>9</v>
      </c>
      <c r="T127" s="40">
        <v>9</v>
      </c>
      <c r="U127" s="40">
        <v>9</v>
      </c>
      <c r="V127" s="40">
        <v>9</v>
      </c>
      <c r="W127" s="41" t="str">
        <f t="shared" si="25"/>
        <v>N</v>
      </c>
      <c r="X127" s="56">
        <f t="shared" si="26"/>
        <v>0</v>
      </c>
      <c r="Y127" s="56" t="str">
        <f t="shared" si="16"/>
        <v>0-4.9%</v>
      </c>
      <c r="Z127" s="8" t="s">
        <v>118</v>
      </c>
      <c r="AB127" s="38">
        <v>2760</v>
      </c>
      <c r="AC127" s="38">
        <v>3140</v>
      </c>
      <c r="AD127" s="38"/>
      <c r="AE127" s="38"/>
      <c r="AF127" s="38"/>
      <c r="AG127" s="38"/>
      <c r="AH127" s="38"/>
    </row>
    <row r="128" spans="1:34" ht="24" customHeight="1" x14ac:dyDescent="0.25">
      <c r="A128" s="10">
        <v>25</v>
      </c>
      <c r="B128" s="9">
        <v>0.21805555555555556</v>
      </c>
      <c r="C128" s="5" t="s">
        <v>20</v>
      </c>
      <c r="D128" s="5">
        <v>7</v>
      </c>
      <c r="E128" s="15"/>
      <c r="F128" s="15" t="s">
        <v>23</v>
      </c>
      <c r="G128" s="19">
        <f t="shared" si="17"/>
        <v>2.7</v>
      </c>
      <c r="H128" s="19">
        <f t="shared" si="18"/>
        <v>3.36</v>
      </c>
      <c r="I128" s="19">
        <f t="shared" si="19"/>
        <v>0</v>
      </c>
      <c r="J128" s="19">
        <f t="shared" si="20"/>
        <v>0</v>
      </c>
      <c r="K128" s="19">
        <f t="shared" si="21"/>
        <v>0</v>
      </c>
      <c r="L128" s="19">
        <f t="shared" si="22"/>
        <v>0</v>
      </c>
      <c r="M128" s="19">
        <f t="shared" si="23"/>
        <v>0</v>
      </c>
      <c r="N128" s="39">
        <f t="shared" si="24"/>
        <v>6.0600000000000005</v>
      </c>
      <c r="O128" s="39">
        <f t="shared" si="15"/>
        <v>0.2621326357426032</v>
      </c>
      <c r="P128" s="40">
        <v>8</v>
      </c>
      <c r="Q128" s="40">
        <v>10</v>
      </c>
      <c r="R128" s="40">
        <v>9</v>
      </c>
      <c r="S128" s="40">
        <v>9</v>
      </c>
      <c r="T128" s="40">
        <v>9</v>
      </c>
      <c r="U128" s="40">
        <v>9</v>
      </c>
      <c r="V128" s="40">
        <v>9</v>
      </c>
      <c r="W128" s="41" t="str">
        <f t="shared" si="25"/>
        <v>N</v>
      </c>
      <c r="X128" s="56">
        <f t="shared" si="26"/>
        <v>0</v>
      </c>
      <c r="Y128" s="56" t="str">
        <f t="shared" si="16"/>
        <v>0-4.9%</v>
      </c>
      <c r="Z128" s="8" t="s">
        <v>118</v>
      </c>
      <c r="AB128" s="38">
        <v>2700</v>
      </c>
      <c r="AC128" s="38">
        <v>3360</v>
      </c>
      <c r="AD128" s="38"/>
      <c r="AE128" s="38"/>
      <c r="AF128" s="38"/>
      <c r="AG128" s="38"/>
      <c r="AH128" s="38"/>
    </row>
    <row r="129" spans="1:34" ht="24" customHeight="1" x14ac:dyDescent="0.25">
      <c r="A129" s="10">
        <v>27</v>
      </c>
      <c r="B129" s="9">
        <v>0.22083333333333333</v>
      </c>
      <c r="C129" s="5" t="s">
        <v>20</v>
      </c>
      <c r="D129" s="5">
        <v>7</v>
      </c>
      <c r="E129" s="15"/>
      <c r="F129" s="15" t="s">
        <v>23</v>
      </c>
      <c r="G129" s="19">
        <f t="shared" si="17"/>
        <v>3.12</v>
      </c>
      <c r="H129" s="19">
        <f t="shared" si="18"/>
        <v>3.24</v>
      </c>
      <c r="I129" s="19">
        <f t="shared" si="19"/>
        <v>0</v>
      </c>
      <c r="J129" s="19">
        <f t="shared" si="20"/>
        <v>0</v>
      </c>
      <c r="K129" s="19">
        <f t="shared" si="21"/>
        <v>0</v>
      </c>
      <c r="L129" s="19">
        <f t="shared" si="22"/>
        <v>0</v>
      </c>
      <c r="M129" s="19">
        <f t="shared" si="23"/>
        <v>0</v>
      </c>
      <c r="N129" s="39">
        <f t="shared" si="24"/>
        <v>6.36</v>
      </c>
      <c r="O129" s="39">
        <f t="shared" si="15"/>
        <v>0.32580016958098379</v>
      </c>
      <c r="P129" s="40">
        <v>8</v>
      </c>
      <c r="Q129" s="40">
        <v>10</v>
      </c>
      <c r="R129" s="40">
        <v>9</v>
      </c>
      <c r="S129" s="40">
        <v>9</v>
      </c>
      <c r="T129" s="40">
        <v>9</v>
      </c>
      <c r="U129" s="40">
        <v>9</v>
      </c>
      <c r="V129" s="40">
        <v>9</v>
      </c>
      <c r="W129" s="41" t="str">
        <f t="shared" si="25"/>
        <v>N</v>
      </c>
      <c r="X129" s="56">
        <f t="shared" si="26"/>
        <v>0</v>
      </c>
      <c r="Y129" s="56" t="str">
        <f t="shared" si="16"/>
        <v>0-4.9%</v>
      </c>
      <c r="Z129" s="8" t="s">
        <v>118</v>
      </c>
      <c r="AB129" s="38">
        <v>3120</v>
      </c>
      <c r="AC129" s="38">
        <v>3240</v>
      </c>
      <c r="AD129" s="38"/>
      <c r="AE129" s="38"/>
      <c r="AF129" s="38"/>
      <c r="AG129" s="38"/>
      <c r="AH129" s="38"/>
    </row>
    <row r="130" spans="1:34" ht="24" customHeight="1" x14ac:dyDescent="0.25">
      <c r="A130" s="10">
        <v>28</v>
      </c>
      <c r="B130" s="9">
        <v>0.22152777777777777</v>
      </c>
      <c r="C130" s="5" t="s">
        <v>20</v>
      </c>
      <c r="D130" s="5">
        <v>7</v>
      </c>
      <c r="E130" s="15"/>
      <c r="F130" s="15" t="s">
        <v>23</v>
      </c>
      <c r="G130" s="19">
        <f t="shared" si="17"/>
        <v>4.04</v>
      </c>
      <c r="H130" s="19">
        <f t="shared" si="18"/>
        <v>3.7</v>
      </c>
      <c r="I130" s="19">
        <f t="shared" si="19"/>
        <v>0</v>
      </c>
      <c r="J130" s="19">
        <f t="shared" si="20"/>
        <v>0</v>
      </c>
      <c r="K130" s="19">
        <f t="shared" si="21"/>
        <v>0</v>
      </c>
      <c r="L130" s="19">
        <f t="shared" si="22"/>
        <v>0</v>
      </c>
      <c r="M130" s="19">
        <f t="shared" si="23"/>
        <v>0</v>
      </c>
      <c r="N130" s="39">
        <f t="shared" si="24"/>
        <v>7.74</v>
      </c>
      <c r="O130" s="39">
        <f t="shared" si="15"/>
        <v>0.78836731165754559</v>
      </c>
      <c r="P130" s="40">
        <v>8</v>
      </c>
      <c r="Q130" s="40">
        <v>10</v>
      </c>
      <c r="R130" s="40">
        <v>9</v>
      </c>
      <c r="S130" s="40">
        <v>9</v>
      </c>
      <c r="T130" s="40">
        <v>9</v>
      </c>
      <c r="U130" s="40">
        <v>9</v>
      </c>
      <c r="V130" s="40">
        <v>9</v>
      </c>
      <c r="W130" s="41" t="str">
        <f t="shared" si="25"/>
        <v>N</v>
      </c>
      <c r="X130" s="56">
        <f t="shared" si="26"/>
        <v>0</v>
      </c>
      <c r="Y130" s="56" t="str">
        <f t="shared" si="16"/>
        <v>0-4.9%</v>
      </c>
      <c r="Z130" s="8" t="s">
        <v>118</v>
      </c>
      <c r="AB130" s="38">
        <v>4040</v>
      </c>
      <c r="AC130" s="38">
        <v>3700</v>
      </c>
      <c r="AD130" s="38"/>
      <c r="AE130" s="38"/>
      <c r="AF130" s="38"/>
      <c r="AG130" s="38"/>
      <c r="AH130" s="38"/>
    </row>
    <row r="131" spans="1:34" ht="24" customHeight="1" x14ac:dyDescent="0.25">
      <c r="A131" s="10">
        <v>29</v>
      </c>
      <c r="B131" s="9">
        <v>0.22152777777777777</v>
      </c>
      <c r="C131" s="5" t="s">
        <v>20</v>
      </c>
      <c r="D131" s="5">
        <v>7</v>
      </c>
      <c r="E131" s="15"/>
      <c r="F131" s="15" t="s">
        <v>23</v>
      </c>
      <c r="G131" s="19">
        <f t="shared" si="17"/>
        <v>3.8</v>
      </c>
      <c r="H131" s="19">
        <f t="shared" si="18"/>
        <v>7.06</v>
      </c>
      <c r="I131" s="19">
        <f t="shared" si="19"/>
        <v>0</v>
      </c>
      <c r="J131" s="19">
        <f t="shared" si="20"/>
        <v>0</v>
      </c>
      <c r="K131" s="19">
        <f t="shared" si="21"/>
        <v>0</v>
      </c>
      <c r="L131" s="19">
        <f t="shared" si="22"/>
        <v>0</v>
      </c>
      <c r="M131" s="19">
        <f t="shared" si="23"/>
        <v>0</v>
      </c>
      <c r="N131" s="39">
        <f t="shared" si="24"/>
        <v>10.86</v>
      </c>
      <c r="O131" s="39">
        <f t="shared" si="15"/>
        <v>3.6193326386705262</v>
      </c>
      <c r="P131" s="40">
        <v>8</v>
      </c>
      <c r="Q131" s="40">
        <v>10</v>
      </c>
      <c r="R131" s="40">
        <v>9</v>
      </c>
      <c r="S131" s="40">
        <v>9</v>
      </c>
      <c r="T131" s="40">
        <v>9</v>
      </c>
      <c r="U131" s="40">
        <v>9</v>
      </c>
      <c r="V131" s="40">
        <v>9</v>
      </c>
      <c r="W131" s="41" t="str">
        <f t="shared" si="25"/>
        <v>N</v>
      </c>
      <c r="X131" s="56">
        <f t="shared" si="26"/>
        <v>0</v>
      </c>
      <c r="Y131" s="56" t="str">
        <f t="shared" si="16"/>
        <v>0-4.9%</v>
      </c>
      <c r="Z131" s="8" t="s">
        <v>107</v>
      </c>
      <c r="AB131" s="38">
        <v>3800</v>
      </c>
      <c r="AC131" s="38">
        <v>7060</v>
      </c>
      <c r="AD131" s="38"/>
      <c r="AE131" s="38"/>
      <c r="AF131" s="38"/>
      <c r="AG131" s="38"/>
      <c r="AH131" s="38"/>
    </row>
    <row r="132" spans="1:34" ht="24" customHeight="1" x14ac:dyDescent="0.25">
      <c r="A132" s="10">
        <v>31</v>
      </c>
      <c r="B132" s="9">
        <v>0.22847222222222222</v>
      </c>
      <c r="C132" s="5" t="s">
        <v>20</v>
      </c>
      <c r="D132" s="5">
        <v>7</v>
      </c>
      <c r="E132" s="15"/>
      <c r="F132" s="15" t="s">
        <v>23</v>
      </c>
      <c r="G132" s="19">
        <f t="shared" si="17"/>
        <v>7.76</v>
      </c>
      <c r="H132" s="19">
        <f t="shared" si="18"/>
        <v>17.739999999999998</v>
      </c>
      <c r="I132" s="19">
        <f t="shared" si="19"/>
        <v>0</v>
      </c>
      <c r="J132" s="19">
        <f t="shared" si="20"/>
        <v>0</v>
      </c>
      <c r="K132" s="19">
        <f t="shared" si="21"/>
        <v>0</v>
      </c>
      <c r="L132" s="19">
        <f t="shared" si="22"/>
        <v>0</v>
      </c>
      <c r="M132" s="19">
        <f t="shared" si="23"/>
        <v>0</v>
      </c>
      <c r="N132" s="39">
        <f t="shared" si="24"/>
        <v>25.5</v>
      </c>
      <c r="O132" s="39">
        <f t="shared" si="15"/>
        <v>168.58739404357613</v>
      </c>
      <c r="P132" s="40">
        <v>8</v>
      </c>
      <c r="Q132" s="40">
        <v>10</v>
      </c>
      <c r="R132" s="40">
        <v>9</v>
      </c>
      <c r="S132" s="40">
        <v>9</v>
      </c>
      <c r="T132" s="40">
        <v>9</v>
      </c>
      <c r="U132" s="40">
        <v>9</v>
      </c>
      <c r="V132" s="40">
        <v>9</v>
      </c>
      <c r="W132" s="41" t="str">
        <f t="shared" si="25"/>
        <v>Y</v>
      </c>
      <c r="X132" s="56">
        <f t="shared" si="26"/>
        <v>0.7739999999999998</v>
      </c>
      <c r="Y132" s="56" t="str">
        <f t="shared" si="16"/>
        <v>Over 50%</v>
      </c>
      <c r="Z132" s="8" t="s">
        <v>145</v>
      </c>
      <c r="AB132" s="38">
        <v>7760</v>
      </c>
      <c r="AC132" s="38">
        <v>17740</v>
      </c>
      <c r="AD132" s="38"/>
      <c r="AE132" s="38"/>
      <c r="AF132" s="38"/>
      <c r="AG132" s="38"/>
      <c r="AH132" s="38"/>
    </row>
    <row r="133" spans="1:34" ht="24" customHeight="1" x14ac:dyDescent="0.25">
      <c r="A133" s="10">
        <v>32</v>
      </c>
      <c r="B133" s="9">
        <v>0.23333333333333331</v>
      </c>
      <c r="C133" s="5" t="s">
        <v>20</v>
      </c>
      <c r="D133" s="5">
        <v>7</v>
      </c>
      <c r="E133" s="15"/>
      <c r="F133" s="15" t="s">
        <v>23</v>
      </c>
      <c r="G133" s="19">
        <f t="shared" si="17"/>
        <v>2.38</v>
      </c>
      <c r="H133" s="19">
        <f t="shared" si="18"/>
        <v>2.92</v>
      </c>
      <c r="I133" s="19">
        <f t="shared" si="19"/>
        <v>0</v>
      </c>
      <c r="J133" s="19">
        <f t="shared" si="20"/>
        <v>0</v>
      </c>
      <c r="K133" s="19">
        <f t="shared" si="21"/>
        <v>0</v>
      </c>
      <c r="L133" s="19">
        <f t="shared" si="22"/>
        <v>0</v>
      </c>
      <c r="M133" s="19">
        <f t="shared" si="23"/>
        <v>0</v>
      </c>
      <c r="N133" s="39">
        <f t="shared" si="24"/>
        <v>5.3</v>
      </c>
      <c r="O133" s="39">
        <f t="shared" si="15"/>
        <v>0.14342858002066711</v>
      </c>
      <c r="P133" s="40">
        <v>8</v>
      </c>
      <c r="Q133" s="40">
        <v>10</v>
      </c>
      <c r="R133" s="40">
        <v>9</v>
      </c>
      <c r="S133" s="40">
        <v>9</v>
      </c>
      <c r="T133" s="40">
        <v>9</v>
      </c>
      <c r="U133" s="40">
        <v>9</v>
      </c>
      <c r="V133" s="40">
        <v>9</v>
      </c>
      <c r="W133" s="41" t="str">
        <f t="shared" si="25"/>
        <v>N</v>
      </c>
      <c r="X133" s="56">
        <f t="shared" si="26"/>
        <v>0</v>
      </c>
      <c r="Y133" s="56" t="str">
        <f t="shared" si="16"/>
        <v>0-4.9%</v>
      </c>
      <c r="Z133" s="8" t="s">
        <v>111</v>
      </c>
      <c r="AB133" s="38">
        <v>2380</v>
      </c>
      <c r="AC133" s="38">
        <v>2920</v>
      </c>
      <c r="AD133" s="38"/>
      <c r="AE133" s="38"/>
      <c r="AF133" s="38"/>
      <c r="AG133" s="38"/>
      <c r="AH133" s="38"/>
    </row>
    <row r="134" spans="1:34" ht="24" customHeight="1" x14ac:dyDescent="0.25">
      <c r="A134" s="10">
        <v>33</v>
      </c>
      <c r="B134" s="9">
        <v>0.23611111111111113</v>
      </c>
      <c r="C134" s="5" t="s">
        <v>20</v>
      </c>
      <c r="D134" s="5">
        <v>7</v>
      </c>
      <c r="E134" s="15"/>
      <c r="F134" s="15" t="s">
        <v>23</v>
      </c>
      <c r="G134" s="19">
        <f t="shared" si="17"/>
        <v>3.64</v>
      </c>
      <c r="H134" s="19">
        <f t="shared" si="18"/>
        <v>3.22</v>
      </c>
      <c r="I134" s="19">
        <f t="shared" si="19"/>
        <v>0</v>
      </c>
      <c r="J134" s="19">
        <f t="shared" si="20"/>
        <v>0</v>
      </c>
      <c r="K134" s="19">
        <f t="shared" si="21"/>
        <v>0</v>
      </c>
      <c r="L134" s="19">
        <f t="shared" si="22"/>
        <v>0</v>
      </c>
      <c r="M134" s="19">
        <f t="shared" si="23"/>
        <v>0</v>
      </c>
      <c r="N134" s="39">
        <f t="shared" si="24"/>
        <v>6.86</v>
      </c>
      <c r="O134" s="39">
        <f t="shared" si="15"/>
        <v>0.45798663680650159</v>
      </c>
      <c r="P134" s="40">
        <v>8</v>
      </c>
      <c r="Q134" s="40">
        <v>10</v>
      </c>
      <c r="R134" s="40">
        <v>9</v>
      </c>
      <c r="S134" s="40">
        <v>9</v>
      </c>
      <c r="T134" s="40">
        <v>9</v>
      </c>
      <c r="U134" s="40">
        <v>9</v>
      </c>
      <c r="V134" s="40">
        <v>9</v>
      </c>
      <c r="W134" s="41" t="str">
        <f t="shared" si="25"/>
        <v>N</v>
      </c>
      <c r="X134" s="56">
        <f t="shared" si="26"/>
        <v>0</v>
      </c>
      <c r="Y134" s="56" t="str">
        <f t="shared" si="16"/>
        <v>0-4.9%</v>
      </c>
      <c r="Z134" s="8" t="s">
        <v>118</v>
      </c>
      <c r="AB134" s="38">
        <v>3640</v>
      </c>
      <c r="AC134" s="38">
        <v>3220</v>
      </c>
      <c r="AD134" s="38"/>
      <c r="AE134" s="38"/>
      <c r="AF134" s="38"/>
      <c r="AG134" s="38"/>
      <c r="AH134" s="38"/>
    </row>
    <row r="135" spans="1:34" ht="24" customHeight="1" x14ac:dyDescent="0.25">
      <c r="A135" s="10">
        <v>34</v>
      </c>
      <c r="B135" s="9">
        <v>0.24097222222222223</v>
      </c>
      <c r="C135" s="5" t="s">
        <v>20</v>
      </c>
      <c r="D135" s="5">
        <v>7</v>
      </c>
      <c r="E135" s="15"/>
      <c r="F135" s="15" t="s">
        <v>23</v>
      </c>
      <c r="G135" s="19">
        <f t="shared" si="17"/>
        <v>3.36</v>
      </c>
      <c r="H135" s="19">
        <f t="shared" si="18"/>
        <v>5.72</v>
      </c>
      <c r="I135" s="19">
        <f t="shared" si="19"/>
        <v>0</v>
      </c>
      <c r="J135" s="19">
        <f t="shared" si="20"/>
        <v>0</v>
      </c>
      <c r="K135" s="19">
        <f t="shared" si="21"/>
        <v>0</v>
      </c>
      <c r="L135" s="19">
        <f t="shared" si="22"/>
        <v>0</v>
      </c>
      <c r="M135" s="19">
        <f t="shared" si="23"/>
        <v>0</v>
      </c>
      <c r="N135" s="39">
        <f t="shared" si="24"/>
        <v>9.08</v>
      </c>
      <c r="O135" s="39">
        <f t="shared" ref="O135:O198" si="27">(N135/8.16)^4.5</f>
        <v>1.6172628255313029</v>
      </c>
      <c r="P135" s="40">
        <v>8</v>
      </c>
      <c r="Q135" s="40">
        <v>10</v>
      </c>
      <c r="R135" s="40">
        <v>9</v>
      </c>
      <c r="S135" s="40">
        <v>9</v>
      </c>
      <c r="T135" s="40">
        <v>9</v>
      </c>
      <c r="U135" s="40">
        <v>9</v>
      </c>
      <c r="V135" s="40">
        <v>9</v>
      </c>
      <c r="W135" s="41" t="str">
        <f t="shared" si="25"/>
        <v>N</v>
      </c>
      <c r="X135" s="56">
        <f t="shared" si="26"/>
        <v>0</v>
      </c>
      <c r="Y135" s="56" t="str">
        <f t="shared" ref="Y135:Y198" si="28">IF(X135&lt;5%,"0-4.9%",IF(X135&lt;25%,"5-25%",IF(X135&lt;50%,"25-50%","Over 50%")))</f>
        <v>0-4.9%</v>
      </c>
      <c r="Z135" s="8" t="s">
        <v>145</v>
      </c>
      <c r="AB135" s="38">
        <v>3360</v>
      </c>
      <c r="AC135" s="38">
        <v>5720</v>
      </c>
      <c r="AD135" s="38"/>
      <c r="AE135" s="38"/>
      <c r="AF135" s="38"/>
      <c r="AG135" s="38"/>
      <c r="AH135" s="38"/>
    </row>
    <row r="136" spans="1:34" ht="24" customHeight="1" x14ac:dyDescent="0.25">
      <c r="A136" s="10">
        <v>35</v>
      </c>
      <c r="B136" s="9">
        <v>0.24583333333333335</v>
      </c>
      <c r="C136" s="5" t="s">
        <v>20</v>
      </c>
      <c r="D136" s="5">
        <v>7</v>
      </c>
      <c r="E136" s="15"/>
      <c r="F136" s="15" t="s">
        <v>23</v>
      </c>
      <c r="G136" s="19">
        <f t="shared" ref="G136:G199" si="29">AB136/1000</f>
        <v>2.8</v>
      </c>
      <c r="H136" s="19">
        <f t="shared" ref="H136:H199" si="30">AC136/1000</f>
        <v>2.88</v>
      </c>
      <c r="I136" s="19">
        <f t="shared" ref="I136:I199" si="31">AD136/1000</f>
        <v>0</v>
      </c>
      <c r="J136" s="19">
        <f t="shared" ref="J136:J199" si="32">AE136/1000</f>
        <v>0</v>
      </c>
      <c r="K136" s="19">
        <f t="shared" ref="K136:K199" si="33">AF136/1000</f>
        <v>0</v>
      </c>
      <c r="L136" s="19">
        <f t="shared" ref="L136:L199" si="34">AG136/1000</f>
        <v>0</v>
      </c>
      <c r="M136" s="19">
        <f t="shared" ref="M136:M199" si="35">AH136/1000</f>
        <v>0</v>
      </c>
      <c r="N136" s="39">
        <f t="shared" ref="N136:N199" si="36">SUM(G136:M136)</f>
        <v>5.68</v>
      </c>
      <c r="O136" s="39">
        <f t="shared" si="27"/>
        <v>0.19586723668987768</v>
      </c>
      <c r="P136" s="40">
        <v>8</v>
      </c>
      <c r="Q136" s="40">
        <v>10</v>
      </c>
      <c r="R136" s="40">
        <v>9</v>
      </c>
      <c r="S136" s="40">
        <v>9</v>
      </c>
      <c r="T136" s="40">
        <v>9</v>
      </c>
      <c r="U136" s="40">
        <v>9</v>
      </c>
      <c r="V136" s="40">
        <v>9</v>
      </c>
      <c r="W136" s="41" t="str">
        <f t="shared" ref="W136:W199" si="37">IF(G136&gt;P136,"Y",IF(H136&gt;Q136,"Y",IF(I136&gt;R136,"Y",IF(J136&gt;S136,"Y",IF(K136&gt;T136,"Y",IF(L136&gt;U136,"Y",IF(M136&gt;V136,"Y","N")))))))</f>
        <v>N</v>
      </c>
      <c r="X136" s="56">
        <f t="shared" ref="X136:X199" si="38">IF(W136="Y",MAX((G136-P136),(H136-Q136),(I136-R136),(J136-S136),(K136-T136),(L136-U136),(M136-V136))/10,0)</f>
        <v>0</v>
      </c>
      <c r="Y136" s="56" t="str">
        <f t="shared" si="28"/>
        <v>0-4.9%</v>
      </c>
      <c r="Z136" s="8" t="s">
        <v>118</v>
      </c>
      <c r="AB136" s="38">
        <v>2800</v>
      </c>
      <c r="AC136" s="38">
        <v>2880</v>
      </c>
      <c r="AD136" s="38"/>
      <c r="AE136" s="38"/>
      <c r="AF136" s="38"/>
      <c r="AG136" s="38"/>
      <c r="AH136" s="38"/>
    </row>
    <row r="137" spans="1:34" ht="24" customHeight="1" x14ac:dyDescent="0.25">
      <c r="A137" s="10">
        <v>36</v>
      </c>
      <c r="B137" s="9">
        <v>0.24652777777777779</v>
      </c>
      <c r="C137" s="5" t="s">
        <v>20</v>
      </c>
      <c r="D137" s="5">
        <v>7</v>
      </c>
      <c r="E137" s="15"/>
      <c r="F137" s="15" t="s">
        <v>23</v>
      </c>
      <c r="G137" s="19">
        <f t="shared" si="29"/>
        <v>3.06</v>
      </c>
      <c r="H137" s="19">
        <f t="shared" si="30"/>
        <v>3.78</v>
      </c>
      <c r="I137" s="19">
        <f t="shared" si="31"/>
        <v>0</v>
      </c>
      <c r="J137" s="19">
        <f t="shared" si="32"/>
        <v>0</v>
      </c>
      <c r="K137" s="19">
        <f t="shared" si="33"/>
        <v>0</v>
      </c>
      <c r="L137" s="19">
        <f t="shared" si="34"/>
        <v>0</v>
      </c>
      <c r="M137" s="19">
        <f t="shared" si="35"/>
        <v>0</v>
      </c>
      <c r="N137" s="39">
        <f t="shared" si="36"/>
        <v>6.84</v>
      </c>
      <c r="O137" s="39">
        <f t="shared" si="27"/>
        <v>0.45200864734574792</v>
      </c>
      <c r="P137" s="40">
        <v>8</v>
      </c>
      <c r="Q137" s="40">
        <v>10</v>
      </c>
      <c r="R137" s="40">
        <v>9</v>
      </c>
      <c r="S137" s="40">
        <v>9</v>
      </c>
      <c r="T137" s="40">
        <v>9</v>
      </c>
      <c r="U137" s="40">
        <v>9</v>
      </c>
      <c r="V137" s="40">
        <v>9</v>
      </c>
      <c r="W137" s="41" t="str">
        <f t="shared" si="37"/>
        <v>N</v>
      </c>
      <c r="X137" s="56">
        <f t="shared" si="38"/>
        <v>0</v>
      </c>
      <c r="Y137" s="56" t="str">
        <f t="shared" si="28"/>
        <v>0-4.9%</v>
      </c>
      <c r="Z137" s="8" t="s">
        <v>118</v>
      </c>
      <c r="AB137" s="38">
        <v>3060</v>
      </c>
      <c r="AC137" s="38">
        <v>3780</v>
      </c>
      <c r="AD137" s="38"/>
      <c r="AE137" s="38"/>
      <c r="AF137" s="38"/>
      <c r="AG137" s="38"/>
      <c r="AH137" s="38"/>
    </row>
    <row r="138" spans="1:34" ht="24" customHeight="1" x14ac:dyDescent="0.25">
      <c r="A138" s="10">
        <v>37</v>
      </c>
      <c r="B138" s="9">
        <v>0.25486111111111109</v>
      </c>
      <c r="C138" s="5" t="s">
        <v>20</v>
      </c>
      <c r="D138" s="5">
        <v>7</v>
      </c>
      <c r="E138" s="15"/>
      <c r="F138" s="15" t="s">
        <v>23</v>
      </c>
      <c r="G138" s="19">
        <f t="shared" si="29"/>
        <v>3.64</v>
      </c>
      <c r="H138" s="19">
        <f t="shared" si="30"/>
        <v>3.48</v>
      </c>
      <c r="I138" s="19">
        <f t="shared" si="31"/>
        <v>0</v>
      </c>
      <c r="J138" s="19">
        <f t="shared" si="32"/>
        <v>0</v>
      </c>
      <c r="K138" s="19">
        <f t="shared" si="33"/>
        <v>0</v>
      </c>
      <c r="L138" s="19">
        <f t="shared" si="34"/>
        <v>0</v>
      </c>
      <c r="M138" s="19">
        <f t="shared" si="35"/>
        <v>0</v>
      </c>
      <c r="N138" s="39">
        <f t="shared" si="36"/>
        <v>7.12</v>
      </c>
      <c r="O138" s="39">
        <f t="shared" si="27"/>
        <v>0.5414448870701849</v>
      </c>
      <c r="P138" s="40">
        <v>8</v>
      </c>
      <c r="Q138" s="40">
        <v>10</v>
      </c>
      <c r="R138" s="40">
        <v>9</v>
      </c>
      <c r="S138" s="40">
        <v>9</v>
      </c>
      <c r="T138" s="40">
        <v>9</v>
      </c>
      <c r="U138" s="40">
        <v>9</v>
      </c>
      <c r="V138" s="40">
        <v>9</v>
      </c>
      <c r="W138" s="41" t="str">
        <f t="shared" si="37"/>
        <v>N</v>
      </c>
      <c r="X138" s="56">
        <f t="shared" si="38"/>
        <v>0</v>
      </c>
      <c r="Y138" s="56" t="str">
        <f t="shared" si="28"/>
        <v>0-4.9%</v>
      </c>
      <c r="Z138" s="8" t="s">
        <v>118</v>
      </c>
      <c r="AB138" s="38">
        <v>3640</v>
      </c>
      <c r="AC138" s="38">
        <v>3480</v>
      </c>
      <c r="AD138" s="38"/>
      <c r="AE138" s="38"/>
      <c r="AF138" s="38"/>
      <c r="AG138" s="38"/>
      <c r="AH138" s="38"/>
    </row>
    <row r="139" spans="1:34" ht="24" customHeight="1" x14ac:dyDescent="0.25">
      <c r="A139" s="10">
        <v>38</v>
      </c>
      <c r="B139" s="9">
        <v>0.40069444444444446</v>
      </c>
      <c r="C139" s="5" t="s">
        <v>20</v>
      </c>
      <c r="D139" s="5">
        <v>7</v>
      </c>
      <c r="E139" s="15"/>
      <c r="F139" s="15" t="s">
        <v>23</v>
      </c>
      <c r="G139" s="19">
        <f t="shared" si="29"/>
        <v>3.28</v>
      </c>
      <c r="H139" s="19">
        <f t="shared" si="30"/>
        <v>4.34</v>
      </c>
      <c r="I139" s="19">
        <f t="shared" si="31"/>
        <v>0</v>
      </c>
      <c r="J139" s="19">
        <f t="shared" si="32"/>
        <v>0</v>
      </c>
      <c r="K139" s="19">
        <f t="shared" si="33"/>
        <v>0</v>
      </c>
      <c r="L139" s="19">
        <f t="shared" si="34"/>
        <v>0</v>
      </c>
      <c r="M139" s="19">
        <f t="shared" si="35"/>
        <v>0</v>
      </c>
      <c r="N139" s="39">
        <f t="shared" si="36"/>
        <v>7.6199999999999992</v>
      </c>
      <c r="O139" s="39">
        <f t="shared" si="27"/>
        <v>0.73483808485721658</v>
      </c>
      <c r="P139" s="40">
        <v>8</v>
      </c>
      <c r="Q139" s="40">
        <v>10</v>
      </c>
      <c r="R139" s="40">
        <v>9</v>
      </c>
      <c r="S139" s="40">
        <v>9</v>
      </c>
      <c r="T139" s="40">
        <v>9</v>
      </c>
      <c r="U139" s="40">
        <v>9</v>
      </c>
      <c r="V139" s="40">
        <v>9</v>
      </c>
      <c r="W139" s="41" t="str">
        <f t="shared" si="37"/>
        <v>N</v>
      </c>
      <c r="X139" s="56">
        <f t="shared" si="38"/>
        <v>0</v>
      </c>
      <c r="Y139" s="56" t="str">
        <f t="shared" si="28"/>
        <v>0-4.9%</v>
      </c>
      <c r="Z139" s="8" t="s">
        <v>118</v>
      </c>
      <c r="AB139" s="38">
        <v>3280</v>
      </c>
      <c r="AC139" s="38">
        <v>4340</v>
      </c>
      <c r="AD139" s="38"/>
      <c r="AE139" s="38"/>
      <c r="AF139" s="38"/>
      <c r="AG139" s="38"/>
      <c r="AH139" s="38"/>
    </row>
    <row r="140" spans="1:34" ht="24" customHeight="1" x14ac:dyDescent="0.25">
      <c r="A140" s="10">
        <v>39</v>
      </c>
      <c r="B140" s="9">
        <v>0.40277777777777773</v>
      </c>
      <c r="C140" s="5" t="s">
        <v>20</v>
      </c>
      <c r="D140" s="5">
        <v>7</v>
      </c>
      <c r="E140" s="15"/>
      <c r="F140" s="15" t="s">
        <v>23</v>
      </c>
      <c r="G140" s="19">
        <f t="shared" si="29"/>
        <v>3.02</v>
      </c>
      <c r="H140" s="19">
        <f t="shared" si="30"/>
        <v>3.14</v>
      </c>
      <c r="I140" s="19">
        <f t="shared" si="31"/>
        <v>0</v>
      </c>
      <c r="J140" s="19">
        <f t="shared" si="32"/>
        <v>0</v>
      </c>
      <c r="K140" s="19">
        <f t="shared" si="33"/>
        <v>0</v>
      </c>
      <c r="L140" s="19">
        <f t="shared" si="34"/>
        <v>0</v>
      </c>
      <c r="M140" s="19">
        <f t="shared" si="35"/>
        <v>0</v>
      </c>
      <c r="N140" s="39">
        <f t="shared" si="36"/>
        <v>6.16</v>
      </c>
      <c r="O140" s="39">
        <f t="shared" si="27"/>
        <v>0.28216782486146497</v>
      </c>
      <c r="P140" s="40">
        <v>8</v>
      </c>
      <c r="Q140" s="40">
        <v>10</v>
      </c>
      <c r="R140" s="40">
        <v>9</v>
      </c>
      <c r="S140" s="40">
        <v>9</v>
      </c>
      <c r="T140" s="40">
        <v>9</v>
      </c>
      <c r="U140" s="40">
        <v>9</v>
      </c>
      <c r="V140" s="40">
        <v>9</v>
      </c>
      <c r="W140" s="41" t="str">
        <f t="shared" si="37"/>
        <v>N</v>
      </c>
      <c r="X140" s="56">
        <f t="shared" si="38"/>
        <v>0</v>
      </c>
      <c r="Y140" s="56" t="str">
        <f t="shared" si="28"/>
        <v>0-4.9%</v>
      </c>
      <c r="Z140" s="8" t="s">
        <v>118</v>
      </c>
      <c r="AB140" s="38">
        <v>3020</v>
      </c>
      <c r="AC140" s="38">
        <v>3140</v>
      </c>
      <c r="AD140" s="38"/>
      <c r="AE140" s="38"/>
      <c r="AF140" s="38"/>
      <c r="AG140" s="38"/>
      <c r="AH140" s="38"/>
    </row>
    <row r="141" spans="1:34" ht="24" customHeight="1" x14ac:dyDescent="0.25">
      <c r="A141" s="10">
        <v>40</v>
      </c>
      <c r="B141" s="9">
        <v>0.4055555555555555</v>
      </c>
      <c r="C141" s="5" t="s">
        <v>20</v>
      </c>
      <c r="D141" s="5">
        <v>7</v>
      </c>
      <c r="E141" s="15"/>
      <c r="F141" s="15" t="s">
        <v>23</v>
      </c>
      <c r="G141" s="19">
        <f t="shared" si="29"/>
        <v>3.76</v>
      </c>
      <c r="H141" s="19">
        <f t="shared" si="30"/>
        <v>10.16</v>
      </c>
      <c r="I141" s="19">
        <f t="shared" si="31"/>
        <v>0</v>
      </c>
      <c r="J141" s="19">
        <f t="shared" si="32"/>
        <v>0</v>
      </c>
      <c r="K141" s="19">
        <f t="shared" si="33"/>
        <v>0</v>
      </c>
      <c r="L141" s="19">
        <f t="shared" si="34"/>
        <v>0</v>
      </c>
      <c r="M141" s="19">
        <f t="shared" si="35"/>
        <v>0</v>
      </c>
      <c r="N141" s="39">
        <f t="shared" si="36"/>
        <v>13.92</v>
      </c>
      <c r="O141" s="39">
        <f t="shared" si="27"/>
        <v>11.060400275190259</v>
      </c>
      <c r="P141" s="40">
        <v>8</v>
      </c>
      <c r="Q141" s="40">
        <v>10</v>
      </c>
      <c r="R141" s="40">
        <v>9</v>
      </c>
      <c r="S141" s="40">
        <v>9</v>
      </c>
      <c r="T141" s="40">
        <v>9</v>
      </c>
      <c r="U141" s="40">
        <v>9</v>
      </c>
      <c r="V141" s="40">
        <v>9</v>
      </c>
      <c r="W141" s="41" t="str">
        <f t="shared" si="37"/>
        <v>Y</v>
      </c>
      <c r="X141" s="56">
        <f t="shared" si="38"/>
        <v>1.6000000000000014E-2</v>
      </c>
      <c r="Y141" s="56" t="str">
        <f t="shared" si="28"/>
        <v>0-4.9%</v>
      </c>
      <c r="Z141" s="8" t="s">
        <v>111</v>
      </c>
      <c r="AB141" s="38">
        <v>3760</v>
      </c>
      <c r="AC141" s="38">
        <v>10160</v>
      </c>
      <c r="AD141" s="38"/>
      <c r="AE141" s="38"/>
      <c r="AF141" s="38"/>
      <c r="AG141" s="38"/>
      <c r="AH141" s="38"/>
    </row>
    <row r="142" spans="1:34" ht="24" customHeight="1" x14ac:dyDescent="0.25">
      <c r="A142" s="10">
        <v>41</v>
      </c>
      <c r="B142" s="9">
        <v>0.40972222222222227</v>
      </c>
      <c r="C142" s="5" t="s">
        <v>20</v>
      </c>
      <c r="D142" s="5">
        <v>7</v>
      </c>
      <c r="E142" s="15"/>
      <c r="F142" s="15" t="s">
        <v>23</v>
      </c>
      <c r="G142" s="19">
        <f t="shared" si="29"/>
        <v>2.68</v>
      </c>
      <c r="H142" s="19">
        <f t="shared" si="30"/>
        <v>2.84</v>
      </c>
      <c r="I142" s="19">
        <f t="shared" si="31"/>
        <v>0</v>
      </c>
      <c r="J142" s="19">
        <f t="shared" si="32"/>
        <v>0</v>
      </c>
      <c r="K142" s="19">
        <f t="shared" si="33"/>
        <v>0</v>
      </c>
      <c r="L142" s="19">
        <f t="shared" si="34"/>
        <v>0</v>
      </c>
      <c r="M142" s="19">
        <f t="shared" si="35"/>
        <v>0</v>
      </c>
      <c r="N142" s="39">
        <f t="shared" si="36"/>
        <v>5.52</v>
      </c>
      <c r="O142" s="39">
        <f t="shared" si="27"/>
        <v>0.17223449475235322</v>
      </c>
      <c r="P142" s="40">
        <v>8</v>
      </c>
      <c r="Q142" s="40">
        <v>10</v>
      </c>
      <c r="R142" s="40">
        <v>9</v>
      </c>
      <c r="S142" s="40">
        <v>9</v>
      </c>
      <c r="T142" s="40">
        <v>9</v>
      </c>
      <c r="U142" s="40">
        <v>9</v>
      </c>
      <c r="V142" s="40">
        <v>9</v>
      </c>
      <c r="W142" s="41" t="str">
        <f t="shared" si="37"/>
        <v>N</v>
      </c>
      <c r="X142" s="56">
        <f t="shared" si="38"/>
        <v>0</v>
      </c>
      <c r="Y142" s="56" t="str">
        <f t="shared" si="28"/>
        <v>0-4.9%</v>
      </c>
      <c r="Z142" s="8" t="s">
        <v>118</v>
      </c>
      <c r="AB142" s="38">
        <v>2680</v>
      </c>
      <c r="AC142" s="38">
        <v>2840</v>
      </c>
      <c r="AD142" s="38"/>
      <c r="AE142" s="38"/>
      <c r="AF142" s="38"/>
      <c r="AG142" s="38"/>
      <c r="AH142" s="38"/>
    </row>
    <row r="143" spans="1:34" ht="24" customHeight="1" x14ac:dyDescent="0.25">
      <c r="A143" s="10">
        <v>42</v>
      </c>
      <c r="B143" s="9">
        <v>0.41041666666666665</v>
      </c>
      <c r="C143" s="5" t="s">
        <v>20</v>
      </c>
      <c r="D143" s="5">
        <v>7</v>
      </c>
      <c r="E143" s="15"/>
      <c r="F143" s="15" t="s">
        <v>23</v>
      </c>
      <c r="G143" s="19">
        <f t="shared" si="29"/>
        <v>2.12</v>
      </c>
      <c r="H143" s="19">
        <f t="shared" si="30"/>
        <v>2.1800000000000002</v>
      </c>
      <c r="I143" s="19">
        <f t="shared" si="31"/>
        <v>0</v>
      </c>
      <c r="J143" s="19">
        <f t="shared" si="32"/>
        <v>0</v>
      </c>
      <c r="K143" s="19">
        <f t="shared" si="33"/>
        <v>0</v>
      </c>
      <c r="L143" s="19">
        <f t="shared" si="34"/>
        <v>0</v>
      </c>
      <c r="M143" s="19">
        <f t="shared" si="35"/>
        <v>0</v>
      </c>
      <c r="N143" s="39">
        <f t="shared" si="36"/>
        <v>4.3000000000000007</v>
      </c>
      <c r="O143" s="39">
        <f t="shared" si="27"/>
        <v>5.5976061198275029E-2</v>
      </c>
      <c r="P143" s="40">
        <v>8</v>
      </c>
      <c r="Q143" s="40">
        <v>10</v>
      </c>
      <c r="R143" s="40">
        <v>9</v>
      </c>
      <c r="S143" s="40">
        <v>9</v>
      </c>
      <c r="T143" s="40">
        <v>9</v>
      </c>
      <c r="U143" s="40">
        <v>9</v>
      </c>
      <c r="V143" s="40">
        <v>9</v>
      </c>
      <c r="W143" s="41" t="str">
        <f t="shared" si="37"/>
        <v>N</v>
      </c>
      <c r="X143" s="56">
        <f t="shared" si="38"/>
        <v>0</v>
      </c>
      <c r="Y143" s="56" t="str">
        <f t="shared" si="28"/>
        <v>0-4.9%</v>
      </c>
      <c r="Z143" s="8" t="s">
        <v>118</v>
      </c>
      <c r="AB143" s="38">
        <v>2120</v>
      </c>
      <c r="AC143" s="38">
        <v>2180</v>
      </c>
      <c r="AD143" s="38"/>
      <c r="AE143" s="38"/>
      <c r="AF143" s="38"/>
      <c r="AG143" s="38"/>
      <c r="AH143" s="38"/>
    </row>
    <row r="144" spans="1:34" ht="24" customHeight="1" x14ac:dyDescent="0.25">
      <c r="A144" s="10">
        <v>44</v>
      </c>
      <c r="B144" s="9">
        <v>0.41111111111111115</v>
      </c>
      <c r="C144" s="5" t="s">
        <v>20</v>
      </c>
      <c r="D144" s="5">
        <v>7</v>
      </c>
      <c r="E144" s="15"/>
      <c r="F144" s="15" t="s">
        <v>23</v>
      </c>
      <c r="G144" s="19">
        <f t="shared" si="29"/>
        <v>2.96</v>
      </c>
      <c r="H144" s="19">
        <f t="shared" si="30"/>
        <v>2.94</v>
      </c>
      <c r="I144" s="19">
        <f t="shared" si="31"/>
        <v>0</v>
      </c>
      <c r="J144" s="19">
        <f t="shared" si="32"/>
        <v>0</v>
      </c>
      <c r="K144" s="19">
        <f t="shared" si="33"/>
        <v>0</v>
      </c>
      <c r="L144" s="19">
        <f t="shared" si="34"/>
        <v>0</v>
      </c>
      <c r="M144" s="19">
        <f t="shared" si="35"/>
        <v>0</v>
      </c>
      <c r="N144" s="39">
        <f t="shared" si="36"/>
        <v>5.9</v>
      </c>
      <c r="O144" s="39">
        <f t="shared" si="27"/>
        <v>0.23239583373627443</v>
      </c>
      <c r="P144" s="40">
        <v>8</v>
      </c>
      <c r="Q144" s="40">
        <v>10</v>
      </c>
      <c r="R144" s="40">
        <v>9</v>
      </c>
      <c r="S144" s="40">
        <v>9</v>
      </c>
      <c r="T144" s="40">
        <v>9</v>
      </c>
      <c r="U144" s="40">
        <v>9</v>
      </c>
      <c r="V144" s="40">
        <v>9</v>
      </c>
      <c r="W144" s="41" t="str">
        <f t="shared" si="37"/>
        <v>N</v>
      </c>
      <c r="X144" s="56">
        <f t="shared" si="38"/>
        <v>0</v>
      </c>
      <c r="Y144" s="56" t="str">
        <f t="shared" si="28"/>
        <v>0-4.9%</v>
      </c>
      <c r="Z144" s="8" t="s">
        <v>118</v>
      </c>
      <c r="AB144" s="38">
        <v>2960</v>
      </c>
      <c r="AC144" s="38">
        <v>2940</v>
      </c>
      <c r="AD144" s="38"/>
      <c r="AE144" s="38"/>
      <c r="AF144" s="38"/>
      <c r="AG144" s="38"/>
      <c r="AH144" s="38"/>
    </row>
    <row r="145" spans="1:34" ht="24" customHeight="1" x14ac:dyDescent="0.25">
      <c r="A145" s="10">
        <v>45</v>
      </c>
      <c r="B145" s="9">
        <v>0.41180555555555554</v>
      </c>
      <c r="C145" s="5" t="s">
        <v>20</v>
      </c>
      <c r="D145" s="5">
        <v>7</v>
      </c>
      <c r="E145" s="15"/>
      <c r="F145" s="15" t="s">
        <v>23</v>
      </c>
      <c r="G145" s="19">
        <f t="shared" si="29"/>
        <v>2.74</v>
      </c>
      <c r="H145" s="19">
        <f t="shared" si="30"/>
        <v>2.56</v>
      </c>
      <c r="I145" s="19">
        <f t="shared" si="31"/>
        <v>0</v>
      </c>
      <c r="J145" s="19">
        <f t="shared" si="32"/>
        <v>0</v>
      </c>
      <c r="K145" s="19">
        <f t="shared" si="33"/>
        <v>0</v>
      </c>
      <c r="L145" s="19">
        <f t="shared" si="34"/>
        <v>0</v>
      </c>
      <c r="M145" s="19">
        <f t="shared" si="35"/>
        <v>0</v>
      </c>
      <c r="N145" s="39">
        <f t="shared" si="36"/>
        <v>5.3000000000000007</v>
      </c>
      <c r="O145" s="39">
        <f t="shared" si="27"/>
        <v>0.14342858002066719</v>
      </c>
      <c r="P145" s="40">
        <v>8</v>
      </c>
      <c r="Q145" s="40">
        <v>10</v>
      </c>
      <c r="R145" s="40">
        <v>9</v>
      </c>
      <c r="S145" s="40">
        <v>9</v>
      </c>
      <c r="T145" s="40">
        <v>9</v>
      </c>
      <c r="U145" s="40">
        <v>9</v>
      </c>
      <c r="V145" s="40">
        <v>9</v>
      </c>
      <c r="W145" s="41" t="str">
        <f t="shared" si="37"/>
        <v>N</v>
      </c>
      <c r="X145" s="56">
        <f t="shared" si="38"/>
        <v>0</v>
      </c>
      <c r="Y145" s="56" t="str">
        <f t="shared" si="28"/>
        <v>0-4.9%</v>
      </c>
      <c r="Z145" s="8" t="s">
        <v>118</v>
      </c>
      <c r="AB145" s="38">
        <v>2740</v>
      </c>
      <c r="AC145" s="38">
        <v>2560</v>
      </c>
      <c r="AD145" s="38"/>
      <c r="AE145" s="38"/>
      <c r="AF145" s="38"/>
      <c r="AG145" s="38"/>
      <c r="AH145" s="38"/>
    </row>
    <row r="146" spans="1:34" ht="24" customHeight="1" x14ac:dyDescent="0.25">
      <c r="A146" s="10">
        <v>46</v>
      </c>
      <c r="B146" s="9">
        <v>0.41250000000000003</v>
      </c>
      <c r="C146" s="5" t="s">
        <v>20</v>
      </c>
      <c r="D146" s="5">
        <v>7</v>
      </c>
      <c r="E146" s="15"/>
      <c r="F146" s="15" t="s">
        <v>23</v>
      </c>
      <c r="G146" s="19">
        <f t="shared" si="29"/>
        <v>2.68</v>
      </c>
      <c r="H146" s="19">
        <f t="shared" si="30"/>
        <v>5.24</v>
      </c>
      <c r="I146" s="19">
        <f t="shared" si="31"/>
        <v>0</v>
      </c>
      <c r="J146" s="19">
        <f t="shared" si="32"/>
        <v>0</v>
      </c>
      <c r="K146" s="19">
        <f t="shared" si="33"/>
        <v>0</v>
      </c>
      <c r="L146" s="19">
        <f t="shared" si="34"/>
        <v>0</v>
      </c>
      <c r="M146" s="19">
        <f t="shared" si="35"/>
        <v>0</v>
      </c>
      <c r="N146" s="39">
        <f t="shared" si="36"/>
        <v>7.92</v>
      </c>
      <c r="O146" s="39">
        <f t="shared" si="27"/>
        <v>0.8742942109481413</v>
      </c>
      <c r="P146" s="40">
        <v>8</v>
      </c>
      <c r="Q146" s="40">
        <v>10</v>
      </c>
      <c r="R146" s="40">
        <v>9</v>
      </c>
      <c r="S146" s="40">
        <v>9</v>
      </c>
      <c r="T146" s="40">
        <v>9</v>
      </c>
      <c r="U146" s="40">
        <v>9</v>
      </c>
      <c r="V146" s="40">
        <v>9</v>
      </c>
      <c r="W146" s="41" t="str">
        <f t="shared" si="37"/>
        <v>N</v>
      </c>
      <c r="X146" s="56">
        <f t="shared" si="38"/>
        <v>0</v>
      </c>
      <c r="Y146" s="56" t="str">
        <f t="shared" si="28"/>
        <v>0-4.9%</v>
      </c>
      <c r="Z146" s="8" t="s">
        <v>145</v>
      </c>
      <c r="AB146" s="38">
        <v>2680</v>
      </c>
      <c r="AC146" s="38">
        <v>5240</v>
      </c>
      <c r="AD146" s="38"/>
      <c r="AE146" s="38"/>
      <c r="AF146" s="38"/>
      <c r="AG146" s="38"/>
      <c r="AH146" s="38"/>
    </row>
    <row r="147" spans="1:34" ht="24" customHeight="1" x14ac:dyDescent="0.25">
      <c r="A147" s="10">
        <v>47</v>
      </c>
      <c r="B147" s="9">
        <v>0.41319444444444442</v>
      </c>
      <c r="C147" s="5" t="s">
        <v>20</v>
      </c>
      <c r="D147" s="5">
        <v>7</v>
      </c>
      <c r="E147" s="15"/>
      <c r="F147" s="15" t="s">
        <v>23</v>
      </c>
      <c r="G147" s="19">
        <f t="shared" si="29"/>
        <v>4.22</v>
      </c>
      <c r="H147" s="19">
        <f t="shared" si="30"/>
        <v>9.56</v>
      </c>
      <c r="I147" s="19">
        <f t="shared" si="31"/>
        <v>0</v>
      </c>
      <c r="J147" s="19">
        <f t="shared" si="32"/>
        <v>0</v>
      </c>
      <c r="K147" s="19">
        <f t="shared" si="33"/>
        <v>0</v>
      </c>
      <c r="L147" s="19">
        <f t="shared" si="34"/>
        <v>0</v>
      </c>
      <c r="M147" s="19">
        <f t="shared" si="35"/>
        <v>0</v>
      </c>
      <c r="N147" s="39">
        <f t="shared" si="36"/>
        <v>13.780000000000001</v>
      </c>
      <c r="O147" s="39">
        <f t="shared" si="27"/>
        <v>10.568558718748934</v>
      </c>
      <c r="P147" s="40">
        <v>8</v>
      </c>
      <c r="Q147" s="40">
        <v>10</v>
      </c>
      <c r="R147" s="40">
        <v>9</v>
      </c>
      <c r="S147" s="40">
        <v>9</v>
      </c>
      <c r="T147" s="40">
        <v>9</v>
      </c>
      <c r="U147" s="40">
        <v>9</v>
      </c>
      <c r="V147" s="40">
        <v>9</v>
      </c>
      <c r="W147" s="41" t="str">
        <f t="shared" si="37"/>
        <v>N</v>
      </c>
      <c r="X147" s="56">
        <f t="shared" si="38"/>
        <v>0</v>
      </c>
      <c r="Y147" s="56" t="str">
        <f t="shared" si="28"/>
        <v>0-4.9%</v>
      </c>
      <c r="Z147" s="8" t="s">
        <v>35</v>
      </c>
      <c r="AB147" s="38">
        <v>4220</v>
      </c>
      <c r="AC147" s="38">
        <v>9560</v>
      </c>
      <c r="AD147" s="38"/>
      <c r="AE147" s="38"/>
      <c r="AF147" s="38"/>
      <c r="AG147" s="38"/>
      <c r="AH147" s="38"/>
    </row>
    <row r="148" spans="1:34" ht="24" customHeight="1" x14ac:dyDescent="0.25">
      <c r="A148" s="10">
        <v>48</v>
      </c>
      <c r="B148" s="9">
        <v>0.41388888888888892</v>
      </c>
      <c r="C148" s="5" t="s">
        <v>20</v>
      </c>
      <c r="D148" s="5">
        <v>7</v>
      </c>
      <c r="E148" s="15"/>
      <c r="F148" s="15" t="s">
        <v>23</v>
      </c>
      <c r="G148" s="19">
        <f t="shared" si="29"/>
        <v>3.5</v>
      </c>
      <c r="H148" s="19">
        <f t="shared" si="30"/>
        <v>2.62</v>
      </c>
      <c r="I148" s="19">
        <f t="shared" si="31"/>
        <v>0</v>
      </c>
      <c r="J148" s="19">
        <f t="shared" si="32"/>
        <v>0</v>
      </c>
      <c r="K148" s="19">
        <f t="shared" si="33"/>
        <v>0</v>
      </c>
      <c r="L148" s="19">
        <f t="shared" si="34"/>
        <v>0</v>
      </c>
      <c r="M148" s="19">
        <f t="shared" si="35"/>
        <v>0</v>
      </c>
      <c r="N148" s="39">
        <f t="shared" si="36"/>
        <v>6.12</v>
      </c>
      <c r="O148" s="39">
        <f t="shared" si="27"/>
        <v>0.2740158504161701</v>
      </c>
      <c r="P148" s="40">
        <v>8</v>
      </c>
      <c r="Q148" s="40">
        <v>10</v>
      </c>
      <c r="R148" s="40">
        <v>9</v>
      </c>
      <c r="S148" s="40">
        <v>9</v>
      </c>
      <c r="T148" s="40">
        <v>9</v>
      </c>
      <c r="U148" s="40">
        <v>9</v>
      </c>
      <c r="V148" s="40">
        <v>9</v>
      </c>
      <c r="W148" s="41" t="str">
        <f t="shared" si="37"/>
        <v>N</v>
      </c>
      <c r="X148" s="56">
        <f t="shared" si="38"/>
        <v>0</v>
      </c>
      <c r="Y148" s="56" t="str">
        <f t="shared" si="28"/>
        <v>0-4.9%</v>
      </c>
      <c r="Z148" s="8" t="s">
        <v>111</v>
      </c>
      <c r="AB148" s="38">
        <v>3500</v>
      </c>
      <c r="AC148" s="38">
        <v>2620</v>
      </c>
      <c r="AD148" s="38"/>
      <c r="AE148" s="38"/>
      <c r="AF148" s="38"/>
      <c r="AG148" s="38"/>
      <c r="AH148" s="38"/>
    </row>
    <row r="149" spans="1:34" ht="24" customHeight="1" x14ac:dyDescent="0.25">
      <c r="A149" s="10">
        <v>49</v>
      </c>
      <c r="B149" s="9">
        <v>0.4145833333333333</v>
      </c>
      <c r="C149" s="5" t="s">
        <v>20</v>
      </c>
      <c r="D149" s="5">
        <v>7</v>
      </c>
      <c r="E149" s="15"/>
      <c r="F149" s="15" t="s">
        <v>23</v>
      </c>
      <c r="G149" s="19">
        <f t="shared" si="29"/>
        <v>1.78</v>
      </c>
      <c r="H149" s="19">
        <f t="shared" si="30"/>
        <v>5.3</v>
      </c>
      <c r="I149" s="19">
        <f t="shared" si="31"/>
        <v>0</v>
      </c>
      <c r="J149" s="19">
        <f t="shared" si="32"/>
        <v>0</v>
      </c>
      <c r="K149" s="19">
        <f t="shared" si="33"/>
        <v>0</v>
      </c>
      <c r="L149" s="19">
        <f t="shared" si="34"/>
        <v>0</v>
      </c>
      <c r="M149" s="19">
        <f t="shared" si="35"/>
        <v>0</v>
      </c>
      <c r="N149" s="39">
        <f t="shared" si="36"/>
        <v>7.08</v>
      </c>
      <c r="O149" s="39">
        <f t="shared" si="27"/>
        <v>0.52789062005830578</v>
      </c>
      <c r="P149" s="40">
        <v>8</v>
      </c>
      <c r="Q149" s="40">
        <v>10</v>
      </c>
      <c r="R149" s="40">
        <v>9</v>
      </c>
      <c r="S149" s="40">
        <v>9</v>
      </c>
      <c r="T149" s="40">
        <v>9</v>
      </c>
      <c r="U149" s="40">
        <v>9</v>
      </c>
      <c r="V149" s="40">
        <v>9</v>
      </c>
      <c r="W149" s="41" t="str">
        <f t="shared" si="37"/>
        <v>N</v>
      </c>
      <c r="X149" s="56">
        <f t="shared" si="38"/>
        <v>0</v>
      </c>
      <c r="Y149" s="56" t="str">
        <f t="shared" si="28"/>
        <v>0-4.9%</v>
      </c>
      <c r="Z149" s="8" t="s">
        <v>111</v>
      </c>
      <c r="AB149" s="38">
        <v>1780</v>
      </c>
      <c r="AC149" s="38">
        <v>5300</v>
      </c>
      <c r="AD149" s="38"/>
      <c r="AE149" s="38"/>
      <c r="AF149" s="38"/>
      <c r="AG149" s="38"/>
      <c r="AH149" s="38"/>
    </row>
    <row r="150" spans="1:34" ht="24" customHeight="1" x14ac:dyDescent="0.25">
      <c r="A150" s="10">
        <v>51</v>
      </c>
      <c r="B150" s="9"/>
      <c r="C150" s="5" t="s">
        <v>20</v>
      </c>
      <c r="D150" s="5">
        <v>7</v>
      </c>
      <c r="E150" s="15"/>
      <c r="F150" s="15" t="s">
        <v>23</v>
      </c>
      <c r="G150" s="19">
        <f t="shared" si="29"/>
        <v>7.76</v>
      </c>
      <c r="H150" s="19">
        <f t="shared" si="30"/>
        <v>14.22</v>
      </c>
      <c r="I150" s="19">
        <f t="shared" si="31"/>
        <v>0</v>
      </c>
      <c r="J150" s="19">
        <f t="shared" si="32"/>
        <v>0</v>
      </c>
      <c r="K150" s="19">
        <f t="shared" si="33"/>
        <v>0</v>
      </c>
      <c r="L150" s="19">
        <f t="shared" si="34"/>
        <v>0</v>
      </c>
      <c r="M150" s="19">
        <f t="shared" si="35"/>
        <v>0</v>
      </c>
      <c r="N150" s="39">
        <f t="shared" si="36"/>
        <v>21.98</v>
      </c>
      <c r="O150" s="39">
        <f t="shared" si="27"/>
        <v>86.4010224798552</v>
      </c>
      <c r="P150" s="40">
        <v>8</v>
      </c>
      <c r="Q150" s="40">
        <v>10</v>
      </c>
      <c r="R150" s="40">
        <v>9</v>
      </c>
      <c r="S150" s="40">
        <v>9</v>
      </c>
      <c r="T150" s="40">
        <v>9</v>
      </c>
      <c r="U150" s="40">
        <v>9</v>
      </c>
      <c r="V150" s="40">
        <v>9</v>
      </c>
      <c r="W150" s="41" t="str">
        <f t="shared" si="37"/>
        <v>Y</v>
      </c>
      <c r="X150" s="56">
        <f t="shared" si="38"/>
        <v>0.42200000000000004</v>
      </c>
      <c r="Y150" s="56" t="str">
        <f t="shared" si="28"/>
        <v>25-50%</v>
      </c>
      <c r="Z150" s="8" t="s">
        <v>145</v>
      </c>
      <c r="AB150" s="38">
        <v>7760</v>
      </c>
      <c r="AC150" s="38">
        <v>14220</v>
      </c>
      <c r="AD150" s="38"/>
      <c r="AE150" s="38"/>
      <c r="AF150" s="38"/>
      <c r="AG150" s="38"/>
      <c r="AH150" s="38"/>
    </row>
    <row r="151" spans="1:34" ht="24" customHeight="1" x14ac:dyDescent="0.25">
      <c r="A151" s="10">
        <v>53</v>
      </c>
      <c r="B151" s="9">
        <v>0.4201388888888889</v>
      </c>
      <c r="C151" s="5" t="s">
        <v>20</v>
      </c>
      <c r="D151" s="5">
        <v>7</v>
      </c>
      <c r="E151" s="15"/>
      <c r="F151" s="15" t="s">
        <v>23</v>
      </c>
      <c r="G151" s="19">
        <f t="shared" si="29"/>
        <v>6.74</v>
      </c>
      <c r="H151" s="19">
        <f t="shared" si="30"/>
        <v>10.78</v>
      </c>
      <c r="I151" s="19">
        <f t="shared" si="31"/>
        <v>0</v>
      </c>
      <c r="J151" s="19">
        <f t="shared" si="32"/>
        <v>0</v>
      </c>
      <c r="K151" s="19">
        <f t="shared" si="33"/>
        <v>0</v>
      </c>
      <c r="L151" s="19">
        <f t="shared" si="34"/>
        <v>0</v>
      </c>
      <c r="M151" s="19">
        <f t="shared" si="35"/>
        <v>0</v>
      </c>
      <c r="N151" s="39">
        <f t="shared" si="36"/>
        <v>17.52</v>
      </c>
      <c r="O151" s="39">
        <f t="shared" si="27"/>
        <v>31.138504007718634</v>
      </c>
      <c r="P151" s="40">
        <v>8</v>
      </c>
      <c r="Q151" s="40">
        <v>10</v>
      </c>
      <c r="R151" s="40">
        <v>9</v>
      </c>
      <c r="S151" s="40">
        <v>9</v>
      </c>
      <c r="T151" s="40">
        <v>9</v>
      </c>
      <c r="U151" s="40">
        <v>9</v>
      </c>
      <c r="V151" s="40">
        <v>9</v>
      </c>
      <c r="W151" s="41" t="str">
        <f t="shared" si="37"/>
        <v>Y</v>
      </c>
      <c r="X151" s="56">
        <f t="shared" si="38"/>
        <v>7.7999999999999931E-2</v>
      </c>
      <c r="Y151" s="56" t="str">
        <f t="shared" si="28"/>
        <v>5-25%</v>
      </c>
      <c r="Z151" s="8" t="s">
        <v>35</v>
      </c>
      <c r="AB151" s="38">
        <v>6740</v>
      </c>
      <c r="AC151" s="38">
        <v>10780</v>
      </c>
      <c r="AD151" s="38"/>
      <c r="AE151" s="38"/>
      <c r="AF151" s="38"/>
      <c r="AG151" s="38"/>
      <c r="AH151" s="38"/>
    </row>
    <row r="152" spans="1:34" ht="24" customHeight="1" x14ac:dyDescent="0.25">
      <c r="A152" s="10">
        <v>54</v>
      </c>
      <c r="B152" s="9"/>
      <c r="C152" s="5" t="s">
        <v>20</v>
      </c>
      <c r="D152" s="5">
        <v>7</v>
      </c>
      <c r="E152" s="15"/>
      <c r="F152" s="15" t="s">
        <v>23</v>
      </c>
      <c r="G152" s="19">
        <f t="shared" si="29"/>
        <v>3.98</v>
      </c>
      <c r="H152" s="19">
        <f t="shared" si="30"/>
        <v>6.56</v>
      </c>
      <c r="I152" s="19">
        <f t="shared" si="31"/>
        <v>0</v>
      </c>
      <c r="J152" s="19">
        <f t="shared" si="32"/>
        <v>0</v>
      </c>
      <c r="K152" s="19">
        <f t="shared" si="33"/>
        <v>0</v>
      </c>
      <c r="L152" s="19">
        <f t="shared" si="34"/>
        <v>0</v>
      </c>
      <c r="M152" s="19">
        <f t="shared" si="35"/>
        <v>0</v>
      </c>
      <c r="N152" s="39">
        <f t="shared" si="36"/>
        <v>10.54</v>
      </c>
      <c r="O152" s="39">
        <f t="shared" si="27"/>
        <v>3.1635669846980261</v>
      </c>
      <c r="P152" s="40">
        <v>8</v>
      </c>
      <c r="Q152" s="40">
        <v>10</v>
      </c>
      <c r="R152" s="40">
        <v>9</v>
      </c>
      <c r="S152" s="40">
        <v>9</v>
      </c>
      <c r="T152" s="40">
        <v>9</v>
      </c>
      <c r="U152" s="40">
        <v>9</v>
      </c>
      <c r="V152" s="40">
        <v>9</v>
      </c>
      <c r="W152" s="41" t="str">
        <f t="shared" si="37"/>
        <v>N</v>
      </c>
      <c r="X152" s="56">
        <f t="shared" si="38"/>
        <v>0</v>
      </c>
      <c r="Y152" s="56" t="str">
        <f t="shared" si="28"/>
        <v>0-4.9%</v>
      </c>
      <c r="Z152" s="8" t="s">
        <v>145</v>
      </c>
      <c r="AB152" s="38">
        <v>3980</v>
      </c>
      <c r="AC152" s="38">
        <v>6560</v>
      </c>
      <c r="AD152" s="38"/>
      <c r="AE152" s="38"/>
      <c r="AF152" s="38"/>
      <c r="AG152" s="38"/>
      <c r="AH152" s="38"/>
    </row>
    <row r="153" spans="1:34" ht="24" customHeight="1" x14ac:dyDescent="0.25">
      <c r="A153" s="10">
        <v>56</v>
      </c>
      <c r="B153" s="9"/>
      <c r="C153" s="5" t="s">
        <v>20</v>
      </c>
      <c r="D153" s="5">
        <v>7</v>
      </c>
      <c r="E153" s="15"/>
      <c r="F153" s="15" t="s">
        <v>23</v>
      </c>
      <c r="G153" s="19">
        <f t="shared" si="29"/>
        <v>2.16</v>
      </c>
      <c r="H153" s="19">
        <f t="shared" si="30"/>
        <v>1.74</v>
      </c>
      <c r="I153" s="19">
        <f t="shared" si="31"/>
        <v>0</v>
      </c>
      <c r="J153" s="19">
        <f t="shared" si="32"/>
        <v>0</v>
      </c>
      <c r="K153" s="19">
        <f t="shared" si="33"/>
        <v>0</v>
      </c>
      <c r="L153" s="19">
        <f t="shared" si="34"/>
        <v>0</v>
      </c>
      <c r="M153" s="19">
        <f t="shared" si="35"/>
        <v>0</v>
      </c>
      <c r="N153" s="39">
        <f t="shared" si="36"/>
        <v>3.9000000000000004</v>
      </c>
      <c r="O153" s="39">
        <f t="shared" si="27"/>
        <v>3.6073228870658995E-2</v>
      </c>
      <c r="P153" s="40">
        <v>8</v>
      </c>
      <c r="Q153" s="40">
        <v>10</v>
      </c>
      <c r="R153" s="40">
        <v>9</v>
      </c>
      <c r="S153" s="40">
        <v>9</v>
      </c>
      <c r="T153" s="40">
        <v>9</v>
      </c>
      <c r="U153" s="40">
        <v>9</v>
      </c>
      <c r="V153" s="40">
        <v>9</v>
      </c>
      <c r="W153" s="41" t="str">
        <f t="shared" si="37"/>
        <v>N</v>
      </c>
      <c r="X153" s="56">
        <f t="shared" si="38"/>
        <v>0</v>
      </c>
      <c r="Y153" s="56" t="str">
        <f t="shared" si="28"/>
        <v>0-4.9%</v>
      </c>
      <c r="Z153" s="8" t="s">
        <v>118</v>
      </c>
      <c r="AB153" s="38">
        <v>2160</v>
      </c>
      <c r="AC153" s="38">
        <v>1740</v>
      </c>
      <c r="AD153" s="38"/>
      <c r="AE153" s="38"/>
      <c r="AF153" s="38"/>
      <c r="AG153" s="38"/>
      <c r="AH153" s="38"/>
    </row>
    <row r="154" spans="1:34" ht="24" customHeight="1" x14ac:dyDescent="0.25">
      <c r="A154" s="10">
        <v>57</v>
      </c>
      <c r="B154" s="9">
        <v>0.43055555555555558</v>
      </c>
      <c r="C154" s="5" t="s">
        <v>20</v>
      </c>
      <c r="D154" s="5">
        <v>7</v>
      </c>
      <c r="E154" s="15"/>
      <c r="F154" s="15" t="s">
        <v>23</v>
      </c>
      <c r="G154" s="19">
        <f t="shared" si="29"/>
        <v>2.1</v>
      </c>
      <c r="H154" s="19">
        <f t="shared" si="30"/>
        <v>2.78</v>
      </c>
      <c r="I154" s="19">
        <f t="shared" si="31"/>
        <v>0</v>
      </c>
      <c r="J154" s="19">
        <f t="shared" si="32"/>
        <v>0</v>
      </c>
      <c r="K154" s="19">
        <f t="shared" si="33"/>
        <v>0</v>
      </c>
      <c r="L154" s="19">
        <f t="shared" si="34"/>
        <v>0</v>
      </c>
      <c r="M154" s="19">
        <f t="shared" si="35"/>
        <v>0</v>
      </c>
      <c r="N154" s="39">
        <f t="shared" si="36"/>
        <v>4.88</v>
      </c>
      <c r="O154" s="39">
        <f t="shared" si="27"/>
        <v>9.8919858082506029E-2</v>
      </c>
      <c r="P154" s="40">
        <v>8</v>
      </c>
      <c r="Q154" s="40">
        <v>10</v>
      </c>
      <c r="R154" s="40">
        <v>9</v>
      </c>
      <c r="S154" s="40">
        <v>9</v>
      </c>
      <c r="T154" s="40">
        <v>9</v>
      </c>
      <c r="U154" s="40">
        <v>9</v>
      </c>
      <c r="V154" s="40">
        <v>9</v>
      </c>
      <c r="W154" s="41" t="str">
        <f t="shared" si="37"/>
        <v>N</v>
      </c>
      <c r="X154" s="56">
        <f t="shared" si="38"/>
        <v>0</v>
      </c>
      <c r="Y154" s="56" t="str">
        <f t="shared" si="28"/>
        <v>0-4.9%</v>
      </c>
      <c r="Z154" s="8" t="s">
        <v>118</v>
      </c>
      <c r="AB154" s="38">
        <v>2100</v>
      </c>
      <c r="AC154" s="38">
        <v>2780</v>
      </c>
      <c r="AD154" s="38"/>
      <c r="AE154" s="38"/>
      <c r="AF154" s="38"/>
      <c r="AG154" s="38"/>
      <c r="AH154" s="38"/>
    </row>
    <row r="155" spans="1:34" ht="24" customHeight="1" x14ac:dyDescent="0.25">
      <c r="A155" s="10">
        <v>58</v>
      </c>
      <c r="B155" s="9">
        <v>0.43124999999999997</v>
      </c>
      <c r="C155" s="5" t="s">
        <v>20</v>
      </c>
      <c r="D155" s="5">
        <v>7</v>
      </c>
      <c r="E155" s="15"/>
      <c r="F155" s="15" t="s">
        <v>23</v>
      </c>
      <c r="G155" s="19">
        <f t="shared" si="29"/>
        <v>7.7</v>
      </c>
      <c r="H155" s="19">
        <f t="shared" si="30"/>
        <v>15.38</v>
      </c>
      <c r="I155" s="19">
        <f t="shared" si="31"/>
        <v>0</v>
      </c>
      <c r="J155" s="19">
        <f t="shared" si="32"/>
        <v>0</v>
      </c>
      <c r="K155" s="19">
        <f t="shared" si="33"/>
        <v>0</v>
      </c>
      <c r="L155" s="19">
        <f t="shared" si="34"/>
        <v>0</v>
      </c>
      <c r="M155" s="19">
        <f t="shared" si="35"/>
        <v>0</v>
      </c>
      <c r="N155" s="39">
        <f t="shared" si="36"/>
        <v>23.080000000000002</v>
      </c>
      <c r="O155" s="39">
        <f t="shared" si="27"/>
        <v>107.63546857288544</v>
      </c>
      <c r="P155" s="40">
        <v>8</v>
      </c>
      <c r="Q155" s="40">
        <v>10</v>
      </c>
      <c r="R155" s="40">
        <v>9</v>
      </c>
      <c r="S155" s="40">
        <v>9</v>
      </c>
      <c r="T155" s="40">
        <v>9</v>
      </c>
      <c r="U155" s="40">
        <v>9</v>
      </c>
      <c r="V155" s="40">
        <v>9</v>
      </c>
      <c r="W155" s="41" t="str">
        <f t="shared" si="37"/>
        <v>Y</v>
      </c>
      <c r="X155" s="56">
        <f t="shared" si="38"/>
        <v>0.53800000000000003</v>
      </c>
      <c r="Y155" s="56" t="str">
        <f t="shared" si="28"/>
        <v>Over 50%</v>
      </c>
      <c r="Z155" s="8" t="s">
        <v>145</v>
      </c>
      <c r="AB155" s="38">
        <v>7700</v>
      </c>
      <c r="AC155" s="38">
        <v>15380</v>
      </c>
      <c r="AD155" s="38"/>
      <c r="AE155" s="38"/>
      <c r="AF155" s="38"/>
      <c r="AG155" s="38"/>
      <c r="AH155" s="38"/>
    </row>
    <row r="156" spans="1:34" ht="24" customHeight="1" x14ac:dyDescent="0.25">
      <c r="A156" s="10">
        <v>59</v>
      </c>
      <c r="B156" s="9">
        <v>0.43263888888888885</v>
      </c>
      <c r="C156" s="5" t="s">
        <v>20</v>
      </c>
      <c r="D156" s="5">
        <v>7</v>
      </c>
      <c r="E156" s="15"/>
      <c r="F156" s="15" t="s">
        <v>23</v>
      </c>
      <c r="G156" s="19">
        <f t="shared" si="29"/>
        <v>2.3199999999999998</v>
      </c>
      <c r="H156" s="19">
        <f t="shared" si="30"/>
        <v>5.0199999999999996</v>
      </c>
      <c r="I156" s="19">
        <f t="shared" si="31"/>
        <v>0</v>
      </c>
      <c r="J156" s="19">
        <f t="shared" si="32"/>
        <v>0</v>
      </c>
      <c r="K156" s="19">
        <f t="shared" si="33"/>
        <v>0</v>
      </c>
      <c r="L156" s="19">
        <f t="shared" si="34"/>
        <v>0</v>
      </c>
      <c r="M156" s="19">
        <f t="shared" si="35"/>
        <v>0</v>
      </c>
      <c r="N156" s="39">
        <f t="shared" si="36"/>
        <v>7.34</v>
      </c>
      <c r="O156" s="39">
        <f t="shared" si="27"/>
        <v>0.62090699884791933</v>
      </c>
      <c r="P156" s="40">
        <v>8</v>
      </c>
      <c r="Q156" s="40">
        <v>10</v>
      </c>
      <c r="R156" s="40">
        <v>9</v>
      </c>
      <c r="S156" s="40">
        <v>9</v>
      </c>
      <c r="T156" s="40">
        <v>9</v>
      </c>
      <c r="U156" s="40">
        <v>9</v>
      </c>
      <c r="V156" s="40">
        <v>9</v>
      </c>
      <c r="W156" s="41" t="str">
        <f t="shared" si="37"/>
        <v>N</v>
      </c>
      <c r="X156" s="56">
        <f t="shared" si="38"/>
        <v>0</v>
      </c>
      <c r="Y156" s="56" t="str">
        <f t="shared" si="28"/>
        <v>0-4.9%</v>
      </c>
      <c r="Z156" s="8" t="s">
        <v>145</v>
      </c>
      <c r="AB156" s="38">
        <v>2320</v>
      </c>
      <c r="AC156" s="38">
        <v>5020</v>
      </c>
      <c r="AD156" s="38"/>
      <c r="AE156" s="38"/>
      <c r="AF156" s="38"/>
      <c r="AG156" s="38"/>
      <c r="AH156" s="38"/>
    </row>
    <row r="157" spans="1:34" ht="24" customHeight="1" x14ac:dyDescent="0.25">
      <c r="A157" s="10">
        <v>60</v>
      </c>
      <c r="B157" s="9">
        <v>0.43333333333333335</v>
      </c>
      <c r="C157" s="5" t="s">
        <v>20</v>
      </c>
      <c r="D157" s="5">
        <v>7</v>
      </c>
      <c r="E157" s="15"/>
      <c r="F157" s="15" t="s">
        <v>23</v>
      </c>
      <c r="G157" s="19">
        <f t="shared" si="29"/>
        <v>2.64</v>
      </c>
      <c r="H157" s="19">
        <f t="shared" si="30"/>
        <v>4.12</v>
      </c>
      <c r="I157" s="19">
        <f t="shared" si="31"/>
        <v>0</v>
      </c>
      <c r="J157" s="19">
        <f t="shared" si="32"/>
        <v>0</v>
      </c>
      <c r="K157" s="19">
        <f t="shared" si="33"/>
        <v>0</v>
      </c>
      <c r="L157" s="19">
        <f t="shared" si="34"/>
        <v>0</v>
      </c>
      <c r="M157" s="19">
        <f t="shared" si="35"/>
        <v>0</v>
      </c>
      <c r="N157" s="39">
        <f t="shared" si="36"/>
        <v>6.76</v>
      </c>
      <c r="O157" s="39">
        <f t="shared" si="27"/>
        <v>0.4287009218059048</v>
      </c>
      <c r="P157" s="40">
        <v>8</v>
      </c>
      <c r="Q157" s="40">
        <v>10</v>
      </c>
      <c r="R157" s="40">
        <v>9</v>
      </c>
      <c r="S157" s="40">
        <v>9</v>
      </c>
      <c r="T157" s="40">
        <v>9</v>
      </c>
      <c r="U157" s="40">
        <v>9</v>
      </c>
      <c r="V157" s="40">
        <v>9</v>
      </c>
      <c r="W157" s="41" t="str">
        <f t="shared" si="37"/>
        <v>N</v>
      </c>
      <c r="X157" s="56">
        <f t="shared" si="38"/>
        <v>0</v>
      </c>
      <c r="Y157" s="56" t="str">
        <f t="shared" si="28"/>
        <v>0-4.9%</v>
      </c>
      <c r="Z157" s="8" t="s">
        <v>118</v>
      </c>
      <c r="AB157" s="38">
        <v>2640</v>
      </c>
      <c r="AC157" s="38">
        <v>4120</v>
      </c>
      <c r="AD157" s="38"/>
      <c r="AE157" s="38"/>
      <c r="AF157" s="38"/>
      <c r="AG157" s="38"/>
      <c r="AH157" s="38"/>
    </row>
    <row r="158" spans="1:34" ht="24" customHeight="1" x14ac:dyDescent="0.25">
      <c r="A158" s="10">
        <v>61</v>
      </c>
      <c r="B158" s="9">
        <v>0.43402777777777773</v>
      </c>
      <c r="C158" s="5" t="s">
        <v>20</v>
      </c>
      <c r="D158" s="5">
        <v>7</v>
      </c>
      <c r="E158" s="15"/>
      <c r="F158" s="15" t="s">
        <v>23</v>
      </c>
      <c r="G158" s="19">
        <f t="shared" si="29"/>
        <v>3.06</v>
      </c>
      <c r="H158" s="19">
        <f t="shared" si="30"/>
        <v>2.86</v>
      </c>
      <c r="I158" s="19">
        <f t="shared" si="31"/>
        <v>0</v>
      </c>
      <c r="J158" s="19">
        <f t="shared" si="32"/>
        <v>0</v>
      </c>
      <c r="K158" s="19">
        <f t="shared" si="33"/>
        <v>0</v>
      </c>
      <c r="L158" s="19">
        <f t="shared" si="34"/>
        <v>0</v>
      </c>
      <c r="M158" s="19">
        <f t="shared" si="35"/>
        <v>0</v>
      </c>
      <c r="N158" s="39">
        <f t="shared" si="36"/>
        <v>5.92</v>
      </c>
      <c r="O158" s="39">
        <f t="shared" si="27"/>
        <v>0.23596194419731639</v>
      </c>
      <c r="P158" s="40">
        <v>8</v>
      </c>
      <c r="Q158" s="40">
        <v>10</v>
      </c>
      <c r="R158" s="40">
        <v>9</v>
      </c>
      <c r="S158" s="40">
        <v>9</v>
      </c>
      <c r="T158" s="40">
        <v>9</v>
      </c>
      <c r="U158" s="40">
        <v>9</v>
      </c>
      <c r="V158" s="40">
        <v>9</v>
      </c>
      <c r="W158" s="41" t="str">
        <f t="shared" si="37"/>
        <v>N</v>
      </c>
      <c r="X158" s="56">
        <f t="shared" si="38"/>
        <v>0</v>
      </c>
      <c r="Y158" s="56" t="str">
        <f t="shared" si="28"/>
        <v>0-4.9%</v>
      </c>
      <c r="Z158" s="8" t="s">
        <v>118</v>
      </c>
      <c r="AB158" s="38">
        <v>3060</v>
      </c>
      <c r="AC158" s="38">
        <v>2860</v>
      </c>
      <c r="AD158" s="38"/>
      <c r="AE158" s="38"/>
      <c r="AF158" s="38"/>
      <c r="AG158" s="38"/>
      <c r="AH158" s="38"/>
    </row>
    <row r="159" spans="1:34" ht="24" customHeight="1" x14ac:dyDescent="0.25">
      <c r="A159" s="10">
        <v>62</v>
      </c>
      <c r="B159" s="9">
        <v>0.43541666666666662</v>
      </c>
      <c r="C159" s="5" t="s">
        <v>20</v>
      </c>
      <c r="D159" s="5">
        <v>7</v>
      </c>
      <c r="E159" s="15"/>
      <c r="F159" s="15" t="s">
        <v>23</v>
      </c>
      <c r="G159" s="19">
        <f t="shared" si="29"/>
        <v>1.94</v>
      </c>
      <c r="H159" s="19">
        <f t="shared" si="30"/>
        <v>6.44</v>
      </c>
      <c r="I159" s="19">
        <f t="shared" si="31"/>
        <v>0</v>
      </c>
      <c r="J159" s="19">
        <f t="shared" si="32"/>
        <v>0</v>
      </c>
      <c r="K159" s="19">
        <f t="shared" si="33"/>
        <v>0</v>
      </c>
      <c r="L159" s="19">
        <f t="shared" si="34"/>
        <v>0</v>
      </c>
      <c r="M159" s="19">
        <f t="shared" si="35"/>
        <v>0</v>
      </c>
      <c r="N159" s="39">
        <f t="shared" si="36"/>
        <v>8.3800000000000008</v>
      </c>
      <c r="O159" s="39">
        <f t="shared" si="27"/>
        <v>1.1271776514847822</v>
      </c>
      <c r="P159" s="40">
        <v>8</v>
      </c>
      <c r="Q159" s="40">
        <v>10</v>
      </c>
      <c r="R159" s="40">
        <v>9</v>
      </c>
      <c r="S159" s="40">
        <v>9</v>
      </c>
      <c r="T159" s="40">
        <v>9</v>
      </c>
      <c r="U159" s="40">
        <v>9</v>
      </c>
      <c r="V159" s="40">
        <v>9</v>
      </c>
      <c r="W159" s="41" t="str">
        <f t="shared" si="37"/>
        <v>N</v>
      </c>
      <c r="X159" s="56">
        <f t="shared" si="38"/>
        <v>0</v>
      </c>
      <c r="Y159" s="56" t="str">
        <f t="shared" si="28"/>
        <v>0-4.9%</v>
      </c>
      <c r="Z159" s="8" t="s">
        <v>111</v>
      </c>
      <c r="AB159" s="38">
        <v>1940</v>
      </c>
      <c r="AC159" s="38">
        <v>6440</v>
      </c>
      <c r="AD159" s="38"/>
      <c r="AE159" s="38"/>
      <c r="AF159" s="38"/>
      <c r="AG159" s="38"/>
      <c r="AH159" s="38"/>
    </row>
    <row r="160" spans="1:34" ht="24" customHeight="1" x14ac:dyDescent="0.25">
      <c r="A160" s="10">
        <v>63</v>
      </c>
      <c r="B160" s="9">
        <v>0.43611111111111112</v>
      </c>
      <c r="C160" s="5" t="s">
        <v>20</v>
      </c>
      <c r="D160" s="5">
        <v>7</v>
      </c>
      <c r="E160" s="15"/>
      <c r="F160" s="15" t="s">
        <v>23</v>
      </c>
      <c r="G160" s="19">
        <f t="shared" si="29"/>
        <v>2.88</v>
      </c>
      <c r="H160" s="19">
        <f t="shared" si="30"/>
        <v>4.8600000000000003</v>
      </c>
      <c r="I160" s="19">
        <f t="shared" si="31"/>
        <v>0</v>
      </c>
      <c r="J160" s="19">
        <f t="shared" si="32"/>
        <v>0</v>
      </c>
      <c r="K160" s="19">
        <f t="shared" si="33"/>
        <v>0</v>
      </c>
      <c r="L160" s="19">
        <f t="shared" si="34"/>
        <v>0</v>
      </c>
      <c r="M160" s="19">
        <f t="shared" si="35"/>
        <v>0</v>
      </c>
      <c r="N160" s="39">
        <f t="shared" si="36"/>
        <v>7.74</v>
      </c>
      <c r="O160" s="39">
        <f t="shared" si="27"/>
        <v>0.78836731165754559</v>
      </c>
      <c r="P160" s="40">
        <v>8</v>
      </c>
      <c r="Q160" s="40">
        <v>10</v>
      </c>
      <c r="R160" s="40">
        <v>9</v>
      </c>
      <c r="S160" s="40">
        <v>9</v>
      </c>
      <c r="T160" s="40">
        <v>9</v>
      </c>
      <c r="U160" s="40">
        <v>9</v>
      </c>
      <c r="V160" s="40">
        <v>9</v>
      </c>
      <c r="W160" s="41" t="str">
        <f t="shared" si="37"/>
        <v>N</v>
      </c>
      <c r="X160" s="56">
        <f t="shared" si="38"/>
        <v>0</v>
      </c>
      <c r="Y160" s="56" t="str">
        <f t="shared" si="28"/>
        <v>0-4.9%</v>
      </c>
      <c r="Z160" s="8" t="s">
        <v>118</v>
      </c>
      <c r="AB160" s="38">
        <v>2880</v>
      </c>
      <c r="AC160" s="38">
        <v>4860</v>
      </c>
      <c r="AD160" s="38"/>
      <c r="AE160" s="38"/>
      <c r="AF160" s="38"/>
      <c r="AG160" s="38"/>
      <c r="AH160" s="38"/>
    </row>
    <row r="161" spans="1:34" ht="24" customHeight="1" x14ac:dyDescent="0.25">
      <c r="A161" s="10">
        <v>64</v>
      </c>
      <c r="B161" s="9"/>
      <c r="C161" s="5" t="s">
        <v>20</v>
      </c>
      <c r="D161" s="5">
        <v>7</v>
      </c>
      <c r="E161" s="15"/>
      <c r="F161" s="15" t="s">
        <v>23</v>
      </c>
      <c r="G161" s="19">
        <f t="shared" si="29"/>
        <v>2.2999999999999998</v>
      </c>
      <c r="H161" s="19">
        <f t="shared" si="30"/>
        <v>2.2000000000000002</v>
      </c>
      <c r="I161" s="19">
        <f t="shared" si="31"/>
        <v>0</v>
      </c>
      <c r="J161" s="19">
        <f t="shared" si="32"/>
        <v>0</v>
      </c>
      <c r="K161" s="19">
        <f t="shared" si="33"/>
        <v>0</v>
      </c>
      <c r="L161" s="19">
        <f t="shared" si="34"/>
        <v>0</v>
      </c>
      <c r="M161" s="19">
        <f t="shared" si="35"/>
        <v>0</v>
      </c>
      <c r="N161" s="39">
        <f t="shared" si="36"/>
        <v>4.5</v>
      </c>
      <c r="O161" s="39">
        <f t="shared" si="27"/>
        <v>6.8683212105061855E-2</v>
      </c>
      <c r="P161" s="40">
        <v>8</v>
      </c>
      <c r="Q161" s="40">
        <v>10</v>
      </c>
      <c r="R161" s="40">
        <v>9</v>
      </c>
      <c r="S161" s="40">
        <v>9</v>
      </c>
      <c r="T161" s="40">
        <v>9</v>
      </c>
      <c r="U161" s="40">
        <v>9</v>
      </c>
      <c r="V161" s="40">
        <v>9</v>
      </c>
      <c r="W161" s="41" t="str">
        <f t="shared" si="37"/>
        <v>N</v>
      </c>
      <c r="X161" s="56">
        <f t="shared" si="38"/>
        <v>0</v>
      </c>
      <c r="Y161" s="56" t="str">
        <f t="shared" si="28"/>
        <v>0-4.9%</v>
      </c>
      <c r="Z161" s="8" t="s">
        <v>118</v>
      </c>
      <c r="AB161" s="38">
        <v>2300</v>
      </c>
      <c r="AC161" s="38">
        <v>2200</v>
      </c>
      <c r="AD161" s="38"/>
      <c r="AE161" s="38"/>
      <c r="AF161" s="38"/>
      <c r="AG161" s="38"/>
      <c r="AH161" s="38"/>
    </row>
    <row r="162" spans="1:34" ht="24" customHeight="1" x14ac:dyDescent="0.25">
      <c r="A162" s="10">
        <v>65</v>
      </c>
      <c r="B162" s="9">
        <v>0.44027777777777777</v>
      </c>
      <c r="C162" s="5" t="s">
        <v>20</v>
      </c>
      <c r="D162" s="5">
        <v>7</v>
      </c>
      <c r="E162" s="15"/>
      <c r="F162" s="15" t="s">
        <v>23</v>
      </c>
      <c r="G162" s="19">
        <f t="shared" si="29"/>
        <v>2.42</v>
      </c>
      <c r="H162" s="19">
        <f t="shared" si="30"/>
        <v>2.46</v>
      </c>
      <c r="I162" s="19">
        <f t="shared" si="31"/>
        <v>0</v>
      </c>
      <c r="J162" s="19">
        <f t="shared" si="32"/>
        <v>0</v>
      </c>
      <c r="K162" s="19">
        <f t="shared" si="33"/>
        <v>0</v>
      </c>
      <c r="L162" s="19">
        <f t="shared" si="34"/>
        <v>0</v>
      </c>
      <c r="M162" s="19">
        <f t="shared" si="35"/>
        <v>0</v>
      </c>
      <c r="N162" s="39">
        <f t="shared" si="36"/>
        <v>4.88</v>
      </c>
      <c r="O162" s="39">
        <f t="shared" si="27"/>
        <v>9.8919858082506029E-2</v>
      </c>
      <c r="P162" s="40">
        <v>8</v>
      </c>
      <c r="Q162" s="40">
        <v>10</v>
      </c>
      <c r="R162" s="40">
        <v>9</v>
      </c>
      <c r="S162" s="40">
        <v>9</v>
      </c>
      <c r="T162" s="40">
        <v>9</v>
      </c>
      <c r="U162" s="40">
        <v>9</v>
      </c>
      <c r="V162" s="40">
        <v>9</v>
      </c>
      <c r="W162" s="41" t="str">
        <f t="shared" si="37"/>
        <v>N</v>
      </c>
      <c r="X162" s="56">
        <f t="shared" si="38"/>
        <v>0</v>
      </c>
      <c r="Y162" s="56" t="str">
        <f t="shared" si="28"/>
        <v>0-4.9%</v>
      </c>
      <c r="Z162" s="8" t="s">
        <v>118</v>
      </c>
      <c r="AB162" s="38">
        <v>2420</v>
      </c>
      <c r="AC162" s="38">
        <v>2460</v>
      </c>
      <c r="AD162" s="38"/>
      <c r="AE162" s="38"/>
      <c r="AF162" s="38"/>
      <c r="AG162" s="38"/>
      <c r="AH162" s="38"/>
    </row>
    <row r="163" spans="1:34" ht="24" customHeight="1" x14ac:dyDescent="0.25">
      <c r="A163" s="10">
        <v>66</v>
      </c>
      <c r="B163" s="9"/>
      <c r="C163" s="5" t="s">
        <v>20</v>
      </c>
      <c r="D163" s="5">
        <v>7</v>
      </c>
      <c r="E163" s="15"/>
      <c r="F163" s="15" t="s">
        <v>23</v>
      </c>
      <c r="G163" s="19">
        <f t="shared" si="29"/>
        <v>3</v>
      </c>
      <c r="H163" s="19">
        <f t="shared" si="30"/>
        <v>3</v>
      </c>
      <c r="I163" s="19">
        <f t="shared" si="31"/>
        <v>0</v>
      </c>
      <c r="J163" s="19">
        <f t="shared" si="32"/>
        <v>0</v>
      </c>
      <c r="K163" s="19">
        <f t="shared" si="33"/>
        <v>0</v>
      </c>
      <c r="L163" s="19">
        <f t="shared" si="34"/>
        <v>0</v>
      </c>
      <c r="M163" s="19">
        <f t="shared" si="35"/>
        <v>0</v>
      </c>
      <c r="N163" s="39">
        <f t="shared" si="36"/>
        <v>6</v>
      </c>
      <c r="O163" s="39">
        <f t="shared" si="27"/>
        <v>0.25065415741734298</v>
      </c>
      <c r="P163" s="40">
        <v>8</v>
      </c>
      <c r="Q163" s="40">
        <v>10</v>
      </c>
      <c r="R163" s="40">
        <v>9</v>
      </c>
      <c r="S163" s="40">
        <v>9</v>
      </c>
      <c r="T163" s="40">
        <v>9</v>
      </c>
      <c r="U163" s="40">
        <v>9</v>
      </c>
      <c r="V163" s="40">
        <v>9</v>
      </c>
      <c r="W163" s="41" t="str">
        <f t="shared" si="37"/>
        <v>N</v>
      </c>
      <c r="X163" s="56">
        <f t="shared" si="38"/>
        <v>0</v>
      </c>
      <c r="Y163" s="56" t="str">
        <f t="shared" si="28"/>
        <v>0-4.9%</v>
      </c>
      <c r="Z163" s="8" t="s">
        <v>145</v>
      </c>
      <c r="AB163" s="38">
        <v>3000</v>
      </c>
      <c r="AC163" s="38">
        <v>3000</v>
      </c>
      <c r="AD163" s="38"/>
      <c r="AE163" s="38"/>
      <c r="AF163" s="38"/>
      <c r="AG163" s="38"/>
      <c r="AH163" s="38"/>
    </row>
    <row r="164" spans="1:34" ht="24" customHeight="1" x14ac:dyDescent="0.25">
      <c r="A164" s="10">
        <v>67</v>
      </c>
      <c r="B164" s="9">
        <v>0.44375000000000003</v>
      </c>
      <c r="C164" s="5" t="s">
        <v>20</v>
      </c>
      <c r="D164" s="5">
        <v>7</v>
      </c>
      <c r="E164" s="15"/>
      <c r="F164" s="15" t="s">
        <v>23</v>
      </c>
      <c r="G164" s="19">
        <f t="shared" si="29"/>
        <v>1.48</v>
      </c>
      <c r="H164" s="19">
        <f t="shared" si="30"/>
        <v>1.08</v>
      </c>
      <c r="I164" s="19">
        <f t="shared" si="31"/>
        <v>0</v>
      </c>
      <c r="J164" s="19">
        <f t="shared" si="32"/>
        <v>0</v>
      </c>
      <c r="K164" s="19">
        <f t="shared" si="33"/>
        <v>0</v>
      </c>
      <c r="L164" s="19">
        <f t="shared" si="34"/>
        <v>0</v>
      </c>
      <c r="M164" s="19">
        <f t="shared" si="35"/>
        <v>0</v>
      </c>
      <c r="N164" s="39">
        <f t="shared" si="36"/>
        <v>2.56</v>
      </c>
      <c r="O164" s="39">
        <f t="shared" si="27"/>
        <v>5.4259292864681855E-3</v>
      </c>
      <c r="P164" s="40">
        <v>8</v>
      </c>
      <c r="Q164" s="40">
        <v>10</v>
      </c>
      <c r="R164" s="40">
        <v>9</v>
      </c>
      <c r="S164" s="40">
        <v>9</v>
      </c>
      <c r="T164" s="40">
        <v>9</v>
      </c>
      <c r="U164" s="40">
        <v>9</v>
      </c>
      <c r="V164" s="40">
        <v>9</v>
      </c>
      <c r="W164" s="41" t="str">
        <f t="shared" si="37"/>
        <v>N</v>
      </c>
      <c r="X164" s="56">
        <f t="shared" si="38"/>
        <v>0</v>
      </c>
      <c r="Y164" s="56" t="str">
        <f t="shared" si="28"/>
        <v>0-4.9%</v>
      </c>
      <c r="Z164" s="8" t="s">
        <v>118</v>
      </c>
      <c r="AB164" s="38">
        <v>1480</v>
      </c>
      <c r="AC164" s="38">
        <v>1080</v>
      </c>
      <c r="AD164" s="38"/>
      <c r="AE164" s="38"/>
      <c r="AF164" s="38"/>
      <c r="AG164" s="38"/>
      <c r="AH164" s="38"/>
    </row>
    <row r="165" spans="1:34" ht="24" customHeight="1" x14ac:dyDescent="0.25">
      <c r="A165" s="10">
        <v>68</v>
      </c>
      <c r="B165" s="9"/>
      <c r="C165" s="5" t="s">
        <v>20</v>
      </c>
      <c r="D165" s="5">
        <v>7</v>
      </c>
      <c r="E165" s="15"/>
      <c r="F165" s="15" t="s">
        <v>23</v>
      </c>
      <c r="G165" s="19">
        <f t="shared" si="29"/>
        <v>5.28</v>
      </c>
      <c r="H165" s="19">
        <f t="shared" si="30"/>
        <v>14.64</v>
      </c>
      <c r="I165" s="19">
        <f t="shared" si="31"/>
        <v>0</v>
      </c>
      <c r="J165" s="19">
        <f t="shared" si="32"/>
        <v>0</v>
      </c>
      <c r="K165" s="19">
        <f t="shared" si="33"/>
        <v>0</v>
      </c>
      <c r="L165" s="19">
        <f t="shared" si="34"/>
        <v>0</v>
      </c>
      <c r="M165" s="19">
        <f t="shared" si="35"/>
        <v>0</v>
      </c>
      <c r="N165" s="39">
        <f t="shared" si="36"/>
        <v>19.920000000000002</v>
      </c>
      <c r="O165" s="39">
        <f t="shared" si="27"/>
        <v>55.487644498061762</v>
      </c>
      <c r="P165" s="40">
        <v>8</v>
      </c>
      <c r="Q165" s="40">
        <v>10</v>
      </c>
      <c r="R165" s="40">
        <v>9</v>
      </c>
      <c r="S165" s="40">
        <v>9</v>
      </c>
      <c r="T165" s="40">
        <v>9</v>
      </c>
      <c r="U165" s="40">
        <v>9</v>
      </c>
      <c r="V165" s="40">
        <v>9</v>
      </c>
      <c r="W165" s="41" t="str">
        <f t="shared" si="37"/>
        <v>Y</v>
      </c>
      <c r="X165" s="56">
        <f t="shared" si="38"/>
        <v>0.46400000000000008</v>
      </c>
      <c r="Y165" s="56" t="str">
        <f t="shared" si="28"/>
        <v>25-50%</v>
      </c>
      <c r="Z165" s="8" t="s">
        <v>113</v>
      </c>
      <c r="AB165" s="38">
        <v>5280</v>
      </c>
      <c r="AC165" s="38">
        <v>14640</v>
      </c>
      <c r="AD165" s="38"/>
      <c r="AE165" s="38"/>
      <c r="AF165" s="38"/>
      <c r="AG165" s="38"/>
      <c r="AH165" s="38"/>
    </row>
    <row r="166" spans="1:34" ht="24" customHeight="1" x14ac:dyDescent="0.25">
      <c r="A166" s="10">
        <v>69</v>
      </c>
      <c r="B166" s="9">
        <v>0.44513888888888892</v>
      </c>
      <c r="C166" s="5" t="s">
        <v>20</v>
      </c>
      <c r="D166" s="5">
        <v>7</v>
      </c>
      <c r="E166" s="15"/>
      <c r="F166" s="15" t="s">
        <v>23</v>
      </c>
      <c r="G166" s="19">
        <f t="shared" si="29"/>
        <v>3.06</v>
      </c>
      <c r="H166" s="19">
        <f t="shared" si="30"/>
        <v>4.0599999999999996</v>
      </c>
      <c r="I166" s="19">
        <f t="shared" si="31"/>
        <v>0</v>
      </c>
      <c r="J166" s="19">
        <f t="shared" si="32"/>
        <v>0</v>
      </c>
      <c r="K166" s="19">
        <f t="shared" si="33"/>
        <v>0</v>
      </c>
      <c r="L166" s="19">
        <f t="shared" si="34"/>
        <v>0</v>
      </c>
      <c r="M166" s="19">
        <f t="shared" si="35"/>
        <v>0</v>
      </c>
      <c r="N166" s="39">
        <f t="shared" si="36"/>
        <v>7.1199999999999992</v>
      </c>
      <c r="O166" s="39">
        <f t="shared" si="27"/>
        <v>0.54144488707018446</v>
      </c>
      <c r="P166" s="40">
        <v>8</v>
      </c>
      <c r="Q166" s="40">
        <v>10</v>
      </c>
      <c r="R166" s="40">
        <v>9</v>
      </c>
      <c r="S166" s="40">
        <v>9</v>
      </c>
      <c r="T166" s="40">
        <v>9</v>
      </c>
      <c r="U166" s="40">
        <v>9</v>
      </c>
      <c r="V166" s="40">
        <v>9</v>
      </c>
      <c r="W166" s="41" t="str">
        <f t="shared" si="37"/>
        <v>N</v>
      </c>
      <c r="X166" s="56">
        <f t="shared" si="38"/>
        <v>0</v>
      </c>
      <c r="Y166" s="56" t="str">
        <f t="shared" si="28"/>
        <v>0-4.9%</v>
      </c>
      <c r="Z166" s="8" t="s">
        <v>35</v>
      </c>
      <c r="AB166" s="38">
        <v>3060</v>
      </c>
      <c r="AC166" s="38">
        <v>4060</v>
      </c>
      <c r="AD166" s="38"/>
      <c r="AE166" s="38"/>
      <c r="AF166" s="38"/>
      <c r="AG166" s="38"/>
      <c r="AH166" s="38"/>
    </row>
    <row r="167" spans="1:34" ht="24" customHeight="1" x14ac:dyDescent="0.25">
      <c r="A167" s="10">
        <v>70</v>
      </c>
      <c r="B167" s="9">
        <v>0.4458333333333333</v>
      </c>
      <c r="C167" s="5" t="s">
        <v>20</v>
      </c>
      <c r="D167" s="5">
        <v>7</v>
      </c>
      <c r="E167" s="15"/>
      <c r="F167" s="15" t="s">
        <v>23</v>
      </c>
      <c r="G167" s="19">
        <f t="shared" si="29"/>
        <v>6.24</v>
      </c>
      <c r="H167" s="19">
        <f t="shared" si="30"/>
        <v>16.96</v>
      </c>
      <c r="I167" s="19">
        <f t="shared" si="31"/>
        <v>0</v>
      </c>
      <c r="J167" s="19">
        <f t="shared" si="32"/>
        <v>0</v>
      </c>
      <c r="K167" s="19">
        <f t="shared" si="33"/>
        <v>0</v>
      </c>
      <c r="L167" s="19">
        <f t="shared" si="34"/>
        <v>0</v>
      </c>
      <c r="M167" s="19">
        <f t="shared" si="35"/>
        <v>0</v>
      </c>
      <c r="N167" s="39">
        <f t="shared" si="36"/>
        <v>23.200000000000003</v>
      </c>
      <c r="O167" s="39">
        <f t="shared" si="27"/>
        <v>110.17681601903247</v>
      </c>
      <c r="P167" s="40">
        <v>8</v>
      </c>
      <c r="Q167" s="40">
        <v>10</v>
      </c>
      <c r="R167" s="40">
        <v>9</v>
      </c>
      <c r="S167" s="40">
        <v>9</v>
      </c>
      <c r="T167" s="40">
        <v>9</v>
      </c>
      <c r="U167" s="40">
        <v>9</v>
      </c>
      <c r="V167" s="40">
        <v>9</v>
      </c>
      <c r="W167" s="41" t="str">
        <f t="shared" si="37"/>
        <v>Y</v>
      </c>
      <c r="X167" s="56">
        <f t="shared" si="38"/>
        <v>0.69600000000000006</v>
      </c>
      <c r="Y167" s="56" t="str">
        <f t="shared" si="28"/>
        <v>Over 50%</v>
      </c>
      <c r="Z167" s="8" t="s">
        <v>35</v>
      </c>
      <c r="AB167" s="38">
        <v>6240</v>
      </c>
      <c r="AC167" s="38">
        <v>16960</v>
      </c>
      <c r="AD167" s="38"/>
      <c r="AE167" s="38"/>
      <c r="AF167" s="38"/>
      <c r="AG167" s="38"/>
      <c r="AH167" s="38"/>
    </row>
    <row r="168" spans="1:34" ht="24" customHeight="1" x14ac:dyDescent="0.25">
      <c r="A168" s="10">
        <v>71</v>
      </c>
      <c r="B168" s="9">
        <v>0.4465277777777778</v>
      </c>
      <c r="C168" s="5" t="s">
        <v>20</v>
      </c>
      <c r="D168" s="5">
        <v>7</v>
      </c>
      <c r="E168" s="15"/>
      <c r="F168" s="15" t="s">
        <v>23</v>
      </c>
      <c r="G168" s="19">
        <f t="shared" si="29"/>
        <v>9.34</v>
      </c>
      <c r="H168" s="19">
        <f t="shared" si="30"/>
        <v>15.28</v>
      </c>
      <c r="I168" s="19">
        <f t="shared" si="31"/>
        <v>0</v>
      </c>
      <c r="J168" s="19">
        <f t="shared" si="32"/>
        <v>0</v>
      </c>
      <c r="K168" s="19">
        <f t="shared" si="33"/>
        <v>0</v>
      </c>
      <c r="L168" s="19">
        <f t="shared" si="34"/>
        <v>0</v>
      </c>
      <c r="M168" s="19">
        <f t="shared" si="35"/>
        <v>0</v>
      </c>
      <c r="N168" s="39">
        <f t="shared" si="36"/>
        <v>24.619999999999997</v>
      </c>
      <c r="O168" s="39">
        <f t="shared" si="27"/>
        <v>143.94298490489118</v>
      </c>
      <c r="P168" s="40">
        <v>8</v>
      </c>
      <c r="Q168" s="40">
        <v>10</v>
      </c>
      <c r="R168" s="40">
        <v>9</v>
      </c>
      <c r="S168" s="40">
        <v>9</v>
      </c>
      <c r="T168" s="40">
        <v>9</v>
      </c>
      <c r="U168" s="40">
        <v>9</v>
      </c>
      <c r="V168" s="40">
        <v>9</v>
      </c>
      <c r="W168" s="41" t="str">
        <f t="shared" si="37"/>
        <v>Y</v>
      </c>
      <c r="X168" s="56">
        <f t="shared" si="38"/>
        <v>0.52799999999999991</v>
      </c>
      <c r="Y168" s="56" t="str">
        <f t="shared" si="28"/>
        <v>Over 50%</v>
      </c>
      <c r="Z168" s="8" t="s">
        <v>35</v>
      </c>
      <c r="AB168" s="38">
        <v>9340</v>
      </c>
      <c r="AC168" s="38">
        <v>15280</v>
      </c>
      <c r="AD168" s="38"/>
      <c r="AE168" s="38"/>
      <c r="AF168" s="38"/>
      <c r="AG168" s="38"/>
      <c r="AH168" s="38"/>
    </row>
    <row r="169" spans="1:34" ht="24" customHeight="1" x14ac:dyDescent="0.25">
      <c r="A169" s="10">
        <v>72</v>
      </c>
      <c r="B169" s="9">
        <v>0.44791666666666669</v>
      </c>
      <c r="C169" s="5" t="s">
        <v>20</v>
      </c>
      <c r="D169" s="5">
        <v>7</v>
      </c>
      <c r="E169" s="15"/>
      <c r="F169" s="15" t="s">
        <v>23</v>
      </c>
      <c r="G169" s="19">
        <f t="shared" si="29"/>
        <v>2.42</v>
      </c>
      <c r="H169" s="19">
        <f t="shared" si="30"/>
        <v>4.1399999999999997</v>
      </c>
      <c r="I169" s="19">
        <f t="shared" si="31"/>
        <v>0</v>
      </c>
      <c r="J169" s="19">
        <f t="shared" si="32"/>
        <v>0</v>
      </c>
      <c r="K169" s="19">
        <f t="shared" si="33"/>
        <v>0</v>
      </c>
      <c r="L169" s="19">
        <f t="shared" si="34"/>
        <v>0</v>
      </c>
      <c r="M169" s="19">
        <f t="shared" si="35"/>
        <v>0</v>
      </c>
      <c r="N169" s="39">
        <f t="shared" si="36"/>
        <v>6.56</v>
      </c>
      <c r="O169" s="39">
        <f t="shared" si="27"/>
        <v>0.37450839973027383</v>
      </c>
      <c r="P169" s="40">
        <v>8</v>
      </c>
      <c r="Q169" s="40">
        <v>10</v>
      </c>
      <c r="R169" s="40">
        <v>9</v>
      </c>
      <c r="S169" s="40">
        <v>9</v>
      </c>
      <c r="T169" s="40">
        <v>9</v>
      </c>
      <c r="U169" s="40">
        <v>9</v>
      </c>
      <c r="V169" s="40">
        <v>9</v>
      </c>
      <c r="W169" s="41" t="str">
        <f t="shared" si="37"/>
        <v>N</v>
      </c>
      <c r="X169" s="56">
        <f t="shared" si="38"/>
        <v>0</v>
      </c>
      <c r="Y169" s="56" t="str">
        <f t="shared" si="28"/>
        <v>0-4.9%</v>
      </c>
      <c r="Z169" s="8" t="s">
        <v>145</v>
      </c>
      <c r="AB169" s="38">
        <v>2420</v>
      </c>
      <c r="AC169" s="38">
        <v>4140</v>
      </c>
      <c r="AD169" s="38"/>
      <c r="AE169" s="38"/>
      <c r="AF169" s="38"/>
      <c r="AG169" s="38"/>
      <c r="AH169" s="38"/>
    </row>
    <row r="170" spans="1:34" ht="24" customHeight="1" x14ac:dyDescent="0.25">
      <c r="A170" s="10">
        <v>73</v>
      </c>
      <c r="B170" s="9">
        <v>0.45208333333333334</v>
      </c>
      <c r="C170" s="5" t="s">
        <v>20</v>
      </c>
      <c r="D170" s="5">
        <v>7</v>
      </c>
      <c r="E170" s="15"/>
      <c r="F170" s="22" t="s">
        <v>23</v>
      </c>
      <c r="G170" s="19">
        <f t="shared" si="29"/>
        <v>3.26</v>
      </c>
      <c r="H170" s="19">
        <f t="shared" si="30"/>
        <v>12.58</v>
      </c>
      <c r="I170" s="19">
        <f t="shared" si="31"/>
        <v>0</v>
      </c>
      <c r="J170" s="19">
        <f t="shared" si="32"/>
        <v>0</v>
      </c>
      <c r="K170" s="19">
        <f t="shared" si="33"/>
        <v>0</v>
      </c>
      <c r="L170" s="19">
        <f t="shared" si="34"/>
        <v>0</v>
      </c>
      <c r="M170" s="19">
        <f t="shared" si="35"/>
        <v>0</v>
      </c>
      <c r="N170" s="39">
        <f t="shared" si="36"/>
        <v>15.84</v>
      </c>
      <c r="O170" s="39">
        <f t="shared" si="27"/>
        <v>19.783019690034326</v>
      </c>
      <c r="P170" s="40">
        <v>8</v>
      </c>
      <c r="Q170" s="40">
        <v>10</v>
      </c>
      <c r="R170" s="40">
        <v>9</v>
      </c>
      <c r="S170" s="40">
        <v>9</v>
      </c>
      <c r="T170" s="40">
        <v>9</v>
      </c>
      <c r="U170" s="40">
        <v>9</v>
      </c>
      <c r="V170" s="40">
        <v>9</v>
      </c>
      <c r="W170" s="41" t="str">
        <f t="shared" si="37"/>
        <v>Y</v>
      </c>
      <c r="X170" s="56">
        <f t="shared" si="38"/>
        <v>0.25800000000000001</v>
      </c>
      <c r="Y170" s="56" t="str">
        <f t="shared" si="28"/>
        <v>25-50%</v>
      </c>
      <c r="Z170" s="8" t="s">
        <v>107</v>
      </c>
      <c r="AB170" s="38">
        <v>3260</v>
      </c>
      <c r="AC170" s="38">
        <v>12580</v>
      </c>
      <c r="AD170" s="38"/>
      <c r="AE170" s="38"/>
      <c r="AF170" s="38"/>
      <c r="AG170" s="38"/>
      <c r="AH170" s="38"/>
    </row>
    <row r="171" spans="1:34" ht="24" customHeight="1" x14ac:dyDescent="0.25">
      <c r="A171" s="10">
        <v>74</v>
      </c>
      <c r="B171" s="9">
        <v>0.45347222222222222</v>
      </c>
      <c r="C171" s="5" t="s">
        <v>20</v>
      </c>
      <c r="D171" s="5">
        <v>7</v>
      </c>
      <c r="E171" s="15"/>
      <c r="F171" s="15" t="s">
        <v>23</v>
      </c>
      <c r="G171" s="19">
        <f t="shared" si="29"/>
        <v>3.12</v>
      </c>
      <c r="H171" s="19">
        <f t="shared" si="30"/>
        <v>5.64</v>
      </c>
      <c r="I171" s="19">
        <f t="shared" si="31"/>
        <v>0</v>
      </c>
      <c r="J171" s="19">
        <f t="shared" si="32"/>
        <v>0</v>
      </c>
      <c r="K171" s="19">
        <f t="shared" si="33"/>
        <v>0</v>
      </c>
      <c r="L171" s="19">
        <f t="shared" si="34"/>
        <v>0</v>
      </c>
      <c r="M171" s="19">
        <f t="shared" si="35"/>
        <v>0</v>
      </c>
      <c r="N171" s="39">
        <f t="shared" si="36"/>
        <v>8.76</v>
      </c>
      <c r="O171" s="39">
        <f t="shared" si="27"/>
        <v>1.3761404587413959</v>
      </c>
      <c r="P171" s="40">
        <v>8</v>
      </c>
      <c r="Q171" s="40">
        <v>10</v>
      </c>
      <c r="R171" s="40">
        <v>9</v>
      </c>
      <c r="S171" s="40">
        <v>9</v>
      </c>
      <c r="T171" s="40">
        <v>9</v>
      </c>
      <c r="U171" s="40">
        <v>9</v>
      </c>
      <c r="V171" s="40">
        <v>9</v>
      </c>
      <c r="W171" s="41" t="str">
        <f t="shared" si="37"/>
        <v>N</v>
      </c>
      <c r="X171" s="56">
        <f t="shared" si="38"/>
        <v>0</v>
      </c>
      <c r="Y171" s="56" t="str">
        <f t="shared" si="28"/>
        <v>0-4.9%</v>
      </c>
      <c r="Z171" s="8" t="s">
        <v>145</v>
      </c>
      <c r="AB171" s="38">
        <v>3120</v>
      </c>
      <c r="AC171" s="38">
        <v>5640</v>
      </c>
      <c r="AD171" s="38"/>
      <c r="AE171" s="38"/>
      <c r="AF171" s="38"/>
      <c r="AG171" s="38"/>
      <c r="AH171" s="38"/>
    </row>
    <row r="172" spans="1:34" ht="24" customHeight="1" x14ac:dyDescent="0.25">
      <c r="A172" s="10">
        <v>75</v>
      </c>
      <c r="B172" s="9">
        <v>0.4548611111111111</v>
      </c>
      <c r="C172" s="5" t="s">
        <v>20</v>
      </c>
      <c r="D172" s="5">
        <v>7</v>
      </c>
      <c r="E172" s="15"/>
      <c r="F172" s="15" t="s">
        <v>23</v>
      </c>
      <c r="G172" s="19">
        <f t="shared" si="29"/>
        <v>3.16</v>
      </c>
      <c r="H172" s="19">
        <f t="shared" si="30"/>
        <v>3.52</v>
      </c>
      <c r="I172" s="19">
        <f t="shared" si="31"/>
        <v>0</v>
      </c>
      <c r="J172" s="19">
        <f t="shared" si="32"/>
        <v>0</v>
      </c>
      <c r="K172" s="19">
        <f t="shared" si="33"/>
        <v>0</v>
      </c>
      <c r="L172" s="19">
        <f t="shared" si="34"/>
        <v>0</v>
      </c>
      <c r="M172" s="19">
        <f t="shared" si="35"/>
        <v>0</v>
      </c>
      <c r="N172" s="39">
        <f t="shared" si="36"/>
        <v>6.68</v>
      </c>
      <c r="O172" s="39">
        <f t="shared" si="27"/>
        <v>0.40633886834024541</v>
      </c>
      <c r="P172" s="40">
        <v>8</v>
      </c>
      <c r="Q172" s="40">
        <v>10</v>
      </c>
      <c r="R172" s="40">
        <v>9</v>
      </c>
      <c r="S172" s="40">
        <v>9</v>
      </c>
      <c r="T172" s="40">
        <v>9</v>
      </c>
      <c r="U172" s="40">
        <v>9</v>
      </c>
      <c r="V172" s="40">
        <v>9</v>
      </c>
      <c r="W172" s="41" t="str">
        <f t="shared" si="37"/>
        <v>N</v>
      </c>
      <c r="X172" s="56">
        <f t="shared" si="38"/>
        <v>0</v>
      </c>
      <c r="Y172" s="56" t="str">
        <f t="shared" si="28"/>
        <v>0-4.9%</v>
      </c>
      <c r="Z172" s="8" t="s">
        <v>118</v>
      </c>
      <c r="AB172" s="38">
        <v>3160</v>
      </c>
      <c r="AC172" s="38">
        <v>3520</v>
      </c>
      <c r="AD172" s="38"/>
      <c r="AE172" s="38"/>
      <c r="AF172" s="38"/>
      <c r="AG172" s="38"/>
      <c r="AH172" s="38"/>
    </row>
    <row r="173" spans="1:34" ht="24" customHeight="1" x14ac:dyDescent="0.25">
      <c r="A173" s="10">
        <v>76</v>
      </c>
      <c r="B173" s="9">
        <v>0.46180555555555558</v>
      </c>
      <c r="C173" s="5" t="s">
        <v>20</v>
      </c>
      <c r="D173" s="5">
        <v>7</v>
      </c>
      <c r="E173" s="15"/>
      <c r="F173" s="15" t="s">
        <v>23</v>
      </c>
      <c r="G173" s="19">
        <f t="shared" si="29"/>
        <v>2.62</v>
      </c>
      <c r="H173" s="19">
        <f t="shared" si="30"/>
        <v>1.56</v>
      </c>
      <c r="I173" s="19">
        <f t="shared" si="31"/>
        <v>0</v>
      </c>
      <c r="J173" s="19">
        <f t="shared" si="32"/>
        <v>0</v>
      </c>
      <c r="K173" s="19">
        <f t="shared" si="33"/>
        <v>0</v>
      </c>
      <c r="L173" s="19">
        <f t="shared" si="34"/>
        <v>0</v>
      </c>
      <c r="M173" s="19">
        <f t="shared" si="35"/>
        <v>0</v>
      </c>
      <c r="N173" s="39">
        <f t="shared" si="36"/>
        <v>4.18</v>
      </c>
      <c r="O173" s="39">
        <f t="shared" si="27"/>
        <v>4.928191253377958E-2</v>
      </c>
      <c r="P173" s="40">
        <v>8</v>
      </c>
      <c r="Q173" s="40">
        <v>10</v>
      </c>
      <c r="R173" s="40">
        <v>9</v>
      </c>
      <c r="S173" s="40">
        <v>9</v>
      </c>
      <c r="T173" s="40">
        <v>9</v>
      </c>
      <c r="U173" s="40">
        <v>9</v>
      </c>
      <c r="V173" s="40">
        <v>9</v>
      </c>
      <c r="W173" s="41" t="str">
        <f t="shared" si="37"/>
        <v>N</v>
      </c>
      <c r="X173" s="56">
        <f t="shared" si="38"/>
        <v>0</v>
      </c>
      <c r="Y173" s="56" t="str">
        <f t="shared" si="28"/>
        <v>0-4.9%</v>
      </c>
      <c r="Z173" s="8" t="s">
        <v>118</v>
      </c>
      <c r="AB173" s="38">
        <v>2620</v>
      </c>
      <c r="AC173" s="38">
        <v>1560</v>
      </c>
      <c r="AD173" s="38"/>
      <c r="AE173" s="38"/>
      <c r="AF173" s="38"/>
      <c r="AG173" s="38"/>
      <c r="AH173" s="38"/>
    </row>
    <row r="174" spans="1:34" ht="24" customHeight="1" x14ac:dyDescent="0.25">
      <c r="A174" s="10">
        <v>77</v>
      </c>
      <c r="B174" s="9">
        <v>0.46249999999999997</v>
      </c>
      <c r="C174" s="5" t="s">
        <v>20</v>
      </c>
      <c r="D174" s="5">
        <v>7</v>
      </c>
      <c r="E174" s="15"/>
      <c r="F174" s="15" t="s">
        <v>23</v>
      </c>
      <c r="G174" s="19">
        <f t="shared" si="29"/>
        <v>6.56</v>
      </c>
      <c r="H174" s="19">
        <f t="shared" si="30"/>
        <v>12.18</v>
      </c>
      <c r="I174" s="19">
        <f t="shared" si="31"/>
        <v>0</v>
      </c>
      <c r="J174" s="19">
        <f t="shared" si="32"/>
        <v>0</v>
      </c>
      <c r="K174" s="19">
        <f t="shared" si="33"/>
        <v>0</v>
      </c>
      <c r="L174" s="19">
        <f t="shared" si="34"/>
        <v>0</v>
      </c>
      <c r="M174" s="19">
        <f t="shared" si="35"/>
        <v>0</v>
      </c>
      <c r="N174" s="39">
        <f t="shared" si="36"/>
        <v>18.739999999999998</v>
      </c>
      <c r="O174" s="39">
        <f t="shared" si="27"/>
        <v>42.155808704198733</v>
      </c>
      <c r="P174" s="40">
        <v>8</v>
      </c>
      <c r="Q174" s="40">
        <v>10</v>
      </c>
      <c r="R174" s="40">
        <v>9</v>
      </c>
      <c r="S174" s="40">
        <v>9</v>
      </c>
      <c r="T174" s="40">
        <v>9</v>
      </c>
      <c r="U174" s="40">
        <v>9</v>
      </c>
      <c r="V174" s="40">
        <v>9</v>
      </c>
      <c r="W174" s="41" t="str">
        <f t="shared" si="37"/>
        <v>Y</v>
      </c>
      <c r="X174" s="56">
        <f t="shared" si="38"/>
        <v>0.21799999999999997</v>
      </c>
      <c r="Y174" s="56" t="str">
        <f t="shared" si="28"/>
        <v>5-25%</v>
      </c>
      <c r="Z174" s="8" t="s">
        <v>115</v>
      </c>
      <c r="AB174" s="38">
        <v>6560</v>
      </c>
      <c r="AC174" s="38">
        <v>12180</v>
      </c>
      <c r="AD174" s="38"/>
      <c r="AE174" s="38"/>
      <c r="AF174" s="38"/>
      <c r="AG174" s="38"/>
      <c r="AH174" s="38"/>
    </row>
    <row r="175" spans="1:34" ht="24" customHeight="1" x14ac:dyDescent="0.25">
      <c r="A175" s="10">
        <v>81</v>
      </c>
      <c r="B175" s="9">
        <v>0.46736111111111112</v>
      </c>
      <c r="C175" s="5" t="s">
        <v>20</v>
      </c>
      <c r="D175" s="5">
        <v>7</v>
      </c>
      <c r="E175" s="15"/>
      <c r="F175" s="15" t="s">
        <v>23</v>
      </c>
      <c r="G175" s="19">
        <f t="shared" si="29"/>
        <v>6.18</v>
      </c>
      <c r="H175" s="19">
        <f t="shared" si="30"/>
        <v>10.38</v>
      </c>
      <c r="I175" s="19">
        <f t="shared" si="31"/>
        <v>0</v>
      </c>
      <c r="J175" s="19">
        <f t="shared" si="32"/>
        <v>0</v>
      </c>
      <c r="K175" s="19">
        <f t="shared" si="33"/>
        <v>0</v>
      </c>
      <c r="L175" s="19">
        <f t="shared" si="34"/>
        <v>0</v>
      </c>
      <c r="M175" s="19">
        <f t="shared" si="35"/>
        <v>0</v>
      </c>
      <c r="N175" s="39">
        <f t="shared" si="36"/>
        <v>16.560000000000002</v>
      </c>
      <c r="O175" s="39">
        <f t="shared" si="27"/>
        <v>24.163830553889536</v>
      </c>
      <c r="P175" s="40">
        <v>8</v>
      </c>
      <c r="Q175" s="40">
        <v>10</v>
      </c>
      <c r="R175" s="40">
        <v>9</v>
      </c>
      <c r="S175" s="40">
        <v>9</v>
      </c>
      <c r="T175" s="40">
        <v>9</v>
      </c>
      <c r="U175" s="40">
        <v>9</v>
      </c>
      <c r="V175" s="40">
        <v>9</v>
      </c>
      <c r="W175" s="41" t="str">
        <f t="shared" si="37"/>
        <v>Y</v>
      </c>
      <c r="X175" s="56">
        <f t="shared" si="38"/>
        <v>3.8000000000000075E-2</v>
      </c>
      <c r="Y175" s="56" t="str">
        <f t="shared" si="28"/>
        <v>0-4.9%</v>
      </c>
      <c r="Z175" s="8" t="s">
        <v>145</v>
      </c>
      <c r="AB175" s="38">
        <v>6180</v>
      </c>
      <c r="AC175" s="38">
        <v>10380</v>
      </c>
      <c r="AD175" s="38"/>
      <c r="AE175" s="38"/>
      <c r="AF175" s="38"/>
      <c r="AG175" s="38"/>
      <c r="AH175" s="38"/>
    </row>
    <row r="176" spans="1:34" ht="24" customHeight="1" x14ac:dyDescent="0.25">
      <c r="A176" s="10">
        <v>88</v>
      </c>
      <c r="B176" s="9">
        <v>0.4777777777777778</v>
      </c>
      <c r="C176" s="5" t="s">
        <v>20</v>
      </c>
      <c r="D176" s="5">
        <v>7</v>
      </c>
      <c r="E176" s="15"/>
      <c r="F176" s="15" t="s">
        <v>23</v>
      </c>
      <c r="G176" s="19">
        <f t="shared" si="29"/>
        <v>2.92</v>
      </c>
      <c r="H176" s="19">
        <f t="shared" si="30"/>
        <v>5.26</v>
      </c>
      <c r="I176" s="19">
        <f t="shared" si="31"/>
        <v>0</v>
      </c>
      <c r="J176" s="19">
        <f t="shared" si="32"/>
        <v>0</v>
      </c>
      <c r="K176" s="19">
        <f t="shared" si="33"/>
        <v>0</v>
      </c>
      <c r="L176" s="19">
        <f t="shared" si="34"/>
        <v>0</v>
      </c>
      <c r="M176" s="19">
        <f t="shared" si="35"/>
        <v>0</v>
      </c>
      <c r="N176" s="39">
        <f t="shared" si="36"/>
        <v>8.18</v>
      </c>
      <c r="O176" s="39">
        <f t="shared" si="27"/>
        <v>1.0110768160043375</v>
      </c>
      <c r="P176" s="40">
        <v>8</v>
      </c>
      <c r="Q176" s="40">
        <v>10</v>
      </c>
      <c r="R176" s="40">
        <v>9</v>
      </c>
      <c r="S176" s="40">
        <v>9</v>
      </c>
      <c r="T176" s="40">
        <v>9</v>
      </c>
      <c r="U176" s="40">
        <v>9</v>
      </c>
      <c r="V176" s="40">
        <v>9</v>
      </c>
      <c r="W176" s="41" t="str">
        <f t="shared" si="37"/>
        <v>N</v>
      </c>
      <c r="X176" s="56">
        <f t="shared" si="38"/>
        <v>0</v>
      </c>
      <c r="Y176" s="56" t="str">
        <f t="shared" si="28"/>
        <v>0-4.9%</v>
      </c>
      <c r="Z176" s="8" t="s">
        <v>145</v>
      </c>
      <c r="AB176" s="38">
        <v>2920</v>
      </c>
      <c r="AC176" s="38">
        <v>5260</v>
      </c>
      <c r="AD176" s="38"/>
      <c r="AE176" s="38"/>
      <c r="AF176" s="38"/>
      <c r="AG176" s="38"/>
      <c r="AH176" s="38"/>
    </row>
    <row r="177" spans="1:34" ht="24" customHeight="1" x14ac:dyDescent="0.25">
      <c r="A177" s="10">
        <v>90</v>
      </c>
      <c r="B177" s="9">
        <v>0.47986111111111113</v>
      </c>
      <c r="C177" s="5" t="s">
        <v>20</v>
      </c>
      <c r="D177" s="5">
        <v>7</v>
      </c>
      <c r="E177" s="15"/>
      <c r="F177" s="15" t="s">
        <v>23</v>
      </c>
      <c r="G177" s="19">
        <f t="shared" si="29"/>
        <v>3.22</v>
      </c>
      <c r="H177" s="19">
        <f t="shared" si="30"/>
        <v>3.12</v>
      </c>
      <c r="I177" s="19">
        <f t="shared" si="31"/>
        <v>0</v>
      </c>
      <c r="J177" s="19">
        <f t="shared" si="32"/>
        <v>0</v>
      </c>
      <c r="K177" s="19">
        <f t="shared" si="33"/>
        <v>0</v>
      </c>
      <c r="L177" s="19">
        <f t="shared" si="34"/>
        <v>0</v>
      </c>
      <c r="M177" s="19">
        <f t="shared" si="35"/>
        <v>0</v>
      </c>
      <c r="N177" s="39">
        <f t="shared" si="36"/>
        <v>6.34</v>
      </c>
      <c r="O177" s="39">
        <f t="shared" si="27"/>
        <v>0.32121509500047579</v>
      </c>
      <c r="P177" s="40">
        <v>8</v>
      </c>
      <c r="Q177" s="40">
        <v>10</v>
      </c>
      <c r="R177" s="40">
        <v>9</v>
      </c>
      <c r="S177" s="40">
        <v>9</v>
      </c>
      <c r="T177" s="40">
        <v>9</v>
      </c>
      <c r="U177" s="40">
        <v>9</v>
      </c>
      <c r="V177" s="40">
        <v>9</v>
      </c>
      <c r="W177" s="41" t="str">
        <f t="shared" si="37"/>
        <v>N</v>
      </c>
      <c r="X177" s="56">
        <f t="shared" si="38"/>
        <v>0</v>
      </c>
      <c r="Y177" s="56" t="str">
        <f t="shared" si="28"/>
        <v>0-4.9%</v>
      </c>
      <c r="Z177" s="8" t="s">
        <v>118</v>
      </c>
      <c r="AB177" s="38">
        <v>3220</v>
      </c>
      <c r="AC177" s="38">
        <v>3120</v>
      </c>
      <c r="AD177" s="38"/>
      <c r="AE177" s="38"/>
      <c r="AF177" s="38"/>
      <c r="AG177" s="38"/>
      <c r="AH177" s="38"/>
    </row>
    <row r="178" spans="1:34" ht="24" customHeight="1" x14ac:dyDescent="0.25">
      <c r="A178" s="10">
        <v>93</v>
      </c>
      <c r="B178" s="9">
        <v>0.48333333333333334</v>
      </c>
      <c r="C178" s="5" t="s">
        <v>20</v>
      </c>
      <c r="D178" s="5">
        <v>7</v>
      </c>
      <c r="E178" s="15"/>
      <c r="F178" s="15" t="s">
        <v>23</v>
      </c>
      <c r="G178" s="19">
        <f t="shared" si="29"/>
        <v>5.78</v>
      </c>
      <c r="H178" s="19">
        <f t="shared" si="30"/>
        <v>15.02</v>
      </c>
      <c r="I178" s="19">
        <f t="shared" si="31"/>
        <v>0</v>
      </c>
      <c r="J178" s="19">
        <f t="shared" si="32"/>
        <v>0</v>
      </c>
      <c r="K178" s="19">
        <f t="shared" si="33"/>
        <v>0</v>
      </c>
      <c r="L178" s="19">
        <f t="shared" si="34"/>
        <v>0</v>
      </c>
      <c r="M178" s="19">
        <f t="shared" si="35"/>
        <v>0</v>
      </c>
      <c r="N178" s="39">
        <f t="shared" si="36"/>
        <v>20.8</v>
      </c>
      <c r="O178" s="39">
        <f t="shared" si="27"/>
        <v>67.403010277421103</v>
      </c>
      <c r="P178" s="40">
        <v>8</v>
      </c>
      <c r="Q178" s="40">
        <v>10</v>
      </c>
      <c r="R178" s="40">
        <v>9</v>
      </c>
      <c r="S178" s="40">
        <v>9</v>
      </c>
      <c r="T178" s="40">
        <v>9</v>
      </c>
      <c r="U178" s="40">
        <v>9</v>
      </c>
      <c r="V178" s="40">
        <v>9</v>
      </c>
      <c r="W178" s="41" t="str">
        <f t="shared" si="37"/>
        <v>Y</v>
      </c>
      <c r="X178" s="56">
        <f t="shared" si="38"/>
        <v>0.502</v>
      </c>
      <c r="Y178" s="56" t="str">
        <f t="shared" si="28"/>
        <v>Over 50%</v>
      </c>
      <c r="Z178" s="8" t="s">
        <v>145</v>
      </c>
      <c r="AB178" s="38">
        <v>5780</v>
      </c>
      <c r="AC178" s="38">
        <v>15020</v>
      </c>
      <c r="AD178" s="38"/>
      <c r="AE178" s="38"/>
      <c r="AF178" s="38"/>
      <c r="AG178" s="38"/>
      <c r="AH178" s="38"/>
    </row>
    <row r="179" spans="1:34" ht="24" customHeight="1" x14ac:dyDescent="0.25">
      <c r="A179" s="10">
        <v>95</v>
      </c>
      <c r="B179" s="9">
        <v>0.48680555555555555</v>
      </c>
      <c r="C179" s="5" t="s">
        <v>20</v>
      </c>
      <c r="D179" s="5">
        <v>7</v>
      </c>
      <c r="E179" s="15"/>
      <c r="F179" s="15" t="s">
        <v>23</v>
      </c>
      <c r="G179" s="19">
        <f t="shared" si="29"/>
        <v>2.5</v>
      </c>
      <c r="H179" s="19">
        <f t="shared" si="30"/>
        <v>3.72</v>
      </c>
      <c r="I179" s="19">
        <f t="shared" si="31"/>
        <v>0</v>
      </c>
      <c r="J179" s="19">
        <f t="shared" si="32"/>
        <v>0</v>
      </c>
      <c r="K179" s="19">
        <f t="shared" si="33"/>
        <v>0</v>
      </c>
      <c r="L179" s="19">
        <f t="shared" si="34"/>
        <v>0</v>
      </c>
      <c r="M179" s="19">
        <f t="shared" si="35"/>
        <v>0</v>
      </c>
      <c r="N179" s="39">
        <f t="shared" si="36"/>
        <v>6.2200000000000006</v>
      </c>
      <c r="O179" s="39">
        <f t="shared" si="27"/>
        <v>0.2947481016842074</v>
      </c>
      <c r="P179" s="40">
        <v>8</v>
      </c>
      <c r="Q179" s="40">
        <v>10</v>
      </c>
      <c r="R179" s="40">
        <v>9</v>
      </c>
      <c r="S179" s="40">
        <v>9</v>
      </c>
      <c r="T179" s="40">
        <v>9</v>
      </c>
      <c r="U179" s="40">
        <v>9</v>
      </c>
      <c r="V179" s="40">
        <v>9</v>
      </c>
      <c r="W179" s="41" t="str">
        <f t="shared" si="37"/>
        <v>N</v>
      </c>
      <c r="X179" s="56">
        <f t="shared" si="38"/>
        <v>0</v>
      </c>
      <c r="Y179" s="56" t="str">
        <f t="shared" si="28"/>
        <v>0-4.9%</v>
      </c>
      <c r="Z179" s="8" t="s">
        <v>118</v>
      </c>
      <c r="AB179" s="38">
        <v>2500</v>
      </c>
      <c r="AC179" s="38">
        <v>3720</v>
      </c>
      <c r="AD179" s="38"/>
      <c r="AE179" s="38"/>
      <c r="AF179" s="38"/>
      <c r="AG179" s="38"/>
      <c r="AH179" s="38"/>
    </row>
    <row r="180" spans="1:34" ht="24" customHeight="1" x14ac:dyDescent="0.25">
      <c r="A180" s="10">
        <v>96</v>
      </c>
      <c r="B180" s="9">
        <v>0.48680555555555555</v>
      </c>
      <c r="C180" s="5" t="s">
        <v>20</v>
      </c>
      <c r="D180" s="5">
        <v>7</v>
      </c>
      <c r="E180" s="15"/>
      <c r="F180" s="15" t="s">
        <v>23</v>
      </c>
      <c r="G180" s="19">
        <f t="shared" si="29"/>
        <v>3.08</v>
      </c>
      <c r="H180" s="19">
        <f t="shared" si="30"/>
        <v>3.42</v>
      </c>
      <c r="I180" s="19">
        <f t="shared" si="31"/>
        <v>0</v>
      </c>
      <c r="J180" s="19">
        <f t="shared" si="32"/>
        <v>0</v>
      </c>
      <c r="K180" s="19">
        <f t="shared" si="33"/>
        <v>0</v>
      </c>
      <c r="L180" s="19">
        <f t="shared" si="34"/>
        <v>0</v>
      </c>
      <c r="M180" s="19">
        <f t="shared" si="35"/>
        <v>0</v>
      </c>
      <c r="N180" s="39">
        <f t="shared" si="36"/>
        <v>6.5</v>
      </c>
      <c r="O180" s="39">
        <f t="shared" si="27"/>
        <v>0.35933902947528501</v>
      </c>
      <c r="P180" s="40">
        <v>8</v>
      </c>
      <c r="Q180" s="40">
        <v>10</v>
      </c>
      <c r="R180" s="40">
        <v>9</v>
      </c>
      <c r="S180" s="40">
        <v>9</v>
      </c>
      <c r="T180" s="40">
        <v>9</v>
      </c>
      <c r="U180" s="40">
        <v>9</v>
      </c>
      <c r="V180" s="40">
        <v>9</v>
      </c>
      <c r="W180" s="41" t="str">
        <f t="shared" si="37"/>
        <v>N</v>
      </c>
      <c r="X180" s="56">
        <f t="shared" si="38"/>
        <v>0</v>
      </c>
      <c r="Y180" s="56" t="str">
        <f t="shared" si="28"/>
        <v>0-4.9%</v>
      </c>
      <c r="Z180" s="8" t="s">
        <v>118</v>
      </c>
      <c r="AB180" s="38">
        <v>3080</v>
      </c>
      <c r="AC180" s="38">
        <v>3420</v>
      </c>
      <c r="AD180" s="38"/>
      <c r="AE180" s="38"/>
      <c r="AF180" s="38"/>
      <c r="AG180" s="38"/>
      <c r="AH180" s="38"/>
    </row>
    <row r="181" spans="1:34" ht="24" customHeight="1" x14ac:dyDescent="0.25">
      <c r="A181" s="10">
        <v>97</v>
      </c>
      <c r="B181" s="9">
        <v>0.48888888888888887</v>
      </c>
      <c r="C181" s="5" t="s">
        <v>20</v>
      </c>
      <c r="D181" s="5">
        <v>7</v>
      </c>
      <c r="E181" s="15"/>
      <c r="F181" s="15" t="s">
        <v>23</v>
      </c>
      <c r="G181" s="19">
        <f t="shared" si="29"/>
        <v>4.0999999999999996</v>
      </c>
      <c r="H181" s="19">
        <f t="shared" si="30"/>
        <v>4.3</v>
      </c>
      <c r="I181" s="19">
        <f t="shared" si="31"/>
        <v>0</v>
      </c>
      <c r="J181" s="19">
        <f t="shared" si="32"/>
        <v>0</v>
      </c>
      <c r="K181" s="19">
        <f t="shared" si="33"/>
        <v>0</v>
      </c>
      <c r="L181" s="19">
        <f t="shared" si="34"/>
        <v>0</v>
      </c>
      <c r="M181" s="19">
        <f t="shared" si="35"/>
        <v>0</v>
      </c>
      <c r="N181" s="39">
        <f t="shared" si="36"/>
        <v>8.3999999999999986</v>
      </c>
      <c r="O181" s="39">
        <f t="shared" si="27"/>
        <v>1.1393340396112364</v>
      </c>
      <c r="P181" s="40">
        <v>8</v>
      </c>
      <c r="Q181" s="40">
        <v>10</v>
      </c>
      <c r="R181" s="40">
        <v>9</v>
      </c>
      <c r="S181" s="40">
        <v>9</v>
      </c>
      <c r="T181" s="40">
        <v>9</v>
      </c>
      <c r="U181" s="40">
        <v>9</v>
      </c>
      <c r="V181" s="40">
        <v>9</v>
      </c>
      <c r="W181" s="41" t="str">
        <f t="shared" si="37"/>
        <v>N</v>
      </c>
      <c r="X181" s="56">
        <f t="shared" si="38"/>
        <v>0</v>
      </c>
      <c r="Y181" s="56" t="str">
        <f t="shared" si="28"/>
        <v>0-4.9%</v>
      </c>
      <c r="Z181" s="8" t="s">
        <v>145</v>
      </c>
      <c r="AB181" s="38">
        <v>4100</v>
      </c>
      <c r="AC181" s="38">
        <v>4300</v>
      </c>
      <c r="AD181" s="38"/>
      <c r="AE181" s="38"/>
      <c r="AF181" s="38"/>
      <c r="AG181" s="38"/>
      <c r="AH181" s="38"/>
    </row>
    <row r="182" spans="1:34" ht="24" customHeight="1" x14ac:dyDescent="0.25">
      <c r="A182" s="10">
        <v>100</v>
      </c>
      <c r="B182" s="9">
        <v>0.49305555555555558</v>
      </c>
      <c r="C182" s="5" t="s">
        <v>20</v>
      </c>
      <c r="D182" s="5">
        <v>7</v>
      </c>
      <c r="E182" s="15"/>
      <c r="F182" s="15" t="s">
        <v>23</v>
      </c>
      <c r="G182" s="19">
        <f t="shared" si="29"/>
        <v>2.9</v>
      </c>
      <c r="H182" s="19">
        <f t="shared" si="30"/>
        <v>2.64</v>
      </c>
      <c r="I182" s="19">
        <f t="shared" si="31"/>
        <v>0</v>
      </c>
      <c r="J182" s="19">
        <f t="shared" si="32"/>
        <v>0</v>
      </c>
      <c r="K182" s="19">
        <f t="shared" si="33"/>
        <v>0</v>
      </c>
      <c r="L182" s="19">
        <f t="shared" si="34"/>
        <v>0</v>
      </c>
      <c r="M182" s="19">
        <f t="shared" si="35"/>
        <v>0</v>
      </c>
      <c r="N182" s="39">
        <f t="shared" si="36"/>
        <v>5.54</v>
      </c>
      <c r="O182" s="39">
        <f t="shared" si="27"/>
        <v>0.17506052512864442</v>
      </c>
      <c r="P182" s="40">
        <v>8</v>
      </c>
      <c r="Q182" s="40">
        <v>10</v>
      </c>
      <c r="R182" s="40">
        <v>9</v>
      </c>
      <c r="S182" s="40">
        <v>9</v>
      </c>
      <c r="T182" s="40">
        <v>9</v>
      </c>
      <c r="U182" s="40">
        <v>9</v>
      </c>
      <c r="V182" s="40">
        <v>9</v>
      </c>
      <c r="W182" s="41" t="str">
        <f t="shared" si="37"/>
        <v>N</v>
      </c>
      <c r="X182" s="56">
        <f t="shared" si="38"/>
        <v>0</v>
      </c>
      <c r="Y182" s="56" t="str">
        <f t="shared" si="28"/>
        <v>0-4.9%</v>
      </c>
      <c r="Z182" s="8" t="s">
        <v>118</v>
      </c>
      <c r="AB182" s="38">
        <v>2900</v>
      </c>
      <c r="AC182" s="38">
        <v>2640</v>
      </c>
      <c r="AD182" s="38"/>
      <c r="AE182" s="38"/>
      <c r="AF182" s="38"/>
      <c r="AG182" s="38"/>
      <c r="AH182" s="38"/>
    </row>
    <row r="183" spans="1:34" ht="24" customHeight="1" x14ac:dyDescent="0.25">
      <c r="A183" s="10">
        <v>101</v>
      </c>
      <c r="B183" s="9">
        <v>0.49652777777777773</v>
      </c>
      <c r="C183" s="5" t="s">
        <v>20</v>
      </c>
      <c r="D183" s="5">
        <v>7</v>
      </c>
      <c r="E183" s="15"/>
      <c r="F183" s="15" t="s">
        <v>23</v>
      </c>
      <c r="G183" s="19">
        <f t="shared" si="29"/>
        <v>3.06</v>
      </c>
      <c r="H183" s="19">
        <f t="shared" si="30"/>
        <v>3.72</v>
      </c>
      <c r="I183" s="19">
        <f t="shared" si="31"/>
        <v>0</v>
      </c>
      <c r="J183" s="19">
        <f t="shared" si="32"/>
        <v>0</v>
      </c>
      <c r="K183" s="19">
        <f t="shared" si="33"/>
        <v>0</v>
      </c>
      <c r="L183" s="19">
        <f t="shared" si="34"/>
        <v>0</v>
      </c>
      <c r="M183" s="19">
        <f t="shared" si="35"/>
        <v>0</v>
      </c>
      <c r="N183" s="39">
        <f t="shared" si="36"/>
        <v>6.78</v>
      </c>
      <c r="O183" s="39">
        <f t="shared" si="27"/>
        <v>0.43443810235441116</v>
      </c>
      <c r="P183" s="40">
        <v>8</v>
      </c>
      <c r="Q183" s="40">
        <v>10</v>
      </c>
      <c r="R183" s="40">
        <v>9</v>
      </c>
      <c r="S183" s="40">
        <v>9</v>
      </c>
      <c r="T183" s="40">
        <v>9</v>
      </c>
      <c r="U183" s="40">
        <v>9</v>
      </c>
      <c r="V183" s="40">
        <v>9</v>
      </c>
      <c r="W183" s="41" t="str">
        <f t="shared" si="37"/>
        <v>N</v>
      </c>
      <c r="X183" s="56">
        <f t="shared" si="38"/>
        <v>0</v>
      </c>
      <c r="Y183" s="56" t="str">
        <f t="shared" si="28"/>
        <v>0-4.9%</v>
      </c>
      <c r="Z183" s="8" t="s">
        <v>118</v>
      </c>
      <c r="AB183" s="38">
        <v>3060</v>
      </c>
      <c r="AC183" s="38">
        <v>3720</v>
      </c>
      <c r="AD183" s="38"/>
      <c r="AE183" s="38"/>
      <c r="AF183" s="38"/>
      <c r="AG183" s="38"/>
      <c r="AH183" s="38"/>
    </row>
    <row r="184" spans="1:34" ht="24" customHeight="1" x14ac:dyDescent="0.25">
      <c r="A184" s="10">
        <v>102</v>
      </c>
      <c r="B184" s="9">
        <v>0.49722222222222223</v>
      </c>
      <c r="C184" s="5" t="s">
        <v>20</v>
      </c>
      <c r="D184" s="5">
        <v>7</v>
      </c>
      <c r="E184" s="15"/>
      <c r="F184" s="15" t="s">
        <v>23</v>
      </c>
      <c r="G184" s="19">
        <f t="shared" si="29"/>
        <v>3.04</v>
      </c>
      <c r="H184" s="19">
        <f t="shared" si="30"/>
        <v>3.2</v>
      </c>
      <c r="I184" s="19">
        <f t="shared" si="31"/>
        <v>0</v>
      </c>
      <c r="J184" s="19">
        <f t="shared" si="32"/>
        <v>0</v>
      </c>
      <c r="K184" s="19">
        <f t="shared" si="33"/>
        <v>0</v>
      </c>
      <c r="L184" s="19">
        <f t="shared" si="34"/>
        <v>0</v>
      </c>
      <c r="M184" s="19">
        <f t="shared" si="35"/>
        <v>0</v>
      </c>
      <c r="N184" s="39">
        <f t="shared" si="36"/>
        <v>6.24</v>
      </c>
      <c r="O184" s="39">
        <f t="shared" si="27"/>
        <v>0.2990370082988385</v>
      </c>
      <c r="P184" s="40">
        <v>8</v>
      </c>
      <c r="Q184" s="40">
        <v>10</v>
      </c>
      <c r="R184" s="40">
        <v>9</v>
      </c>
      <c r="S184" s="40">
        <v>9</v>
      </c>
      <c r="T184" s="40">
        <v>9</v>
      </c>
      <c r="U184" s="40">
        <v>9</v>
      </c>
      <c r="V184" s="40">
        <v>9</v>
      </c>
      <c r="W184" s="41" t="str">
        <f t="shared" si="37"/>
        <v>N</v>
      </c>
      <c r="X184" s="56">
        <f t="shared" si="38"/>
        <v>0</v>
      </c>
      <c r="Y184" s="56" t="str">
        <f t="shared" si="28"/>
        <v>0-4.9%</v>
      </c>
      <c r="Z184" s="8" t="s">
        <v>118</v>
      </c>
      <c r="AB184" s="38">
        <v>3040</v>
      </c>
      <c r="AC184" s="38">
        <v>3200</v>
      </c>
      <c r="AD184" s="38"/>
      <c r="AE184" s="38"/>
      <c r="AF184" s="38"/>
      <c r="AG184" s="38"/>
      <c r="AH184" s="38"/>
    </row>
    <row r="185" spans="1:34" ht="24" customHeight="1" x14ac:dyDescent="0.25">
      <c r="A185" s="10">
        <v>103</v>
      </c>
      <c r="B185" s="9">
        <v>0.49791666666666662</v>
      </c>
      <c r="C185" s="5" t="s">
        <v>20</v>
      </c>
      <c r="D185" s="5">
        <v>7</v>
      </c>
      <c r="E185" s="15"/>
      <c r="F185" s="15" t="s">
        <v>23</v>
      </c>
      <c r="G185" s="19">
        <f t="shared" si="29"/>
        <v>3.22</v>
      </c>
      <c r="H185" s="19">
        <f t="shared" si="30"/>
        <v>3.04</v>
      </c>
      <c r="I185" s="19">
        <f t="shared" si="31"/>
        <v>0</v>
      </c>
      <c r="J185" s="19">
        <f t="shared" si="32"/>
        <v>0</v>
      </c>
      <c r="K185" s="19">
        <f t="shared" si="33"/>
        <v>0</v>
      </c>
      <c r="L185" s="19">
        <f t="shared" si="34"/>
        <v>0</v>
      </c>
      <c r="M185" s="19">
        <f t="shared" si="35"/>
        <v>0</v>
      </c>
      <c r="N185" s="39">
        <f t="shared" si="36"/>
        <v>6.26</v>
      </c>
      <c r="O185" s="39">
        <f t="shared" si="27"/>
        <v>0.3033742984604833</v>
      </c>
      <c r="P185" s="40">
        <v>8</v>
      </c>
      <c r="Q185" s="40">
        <v>10</v>
      </c>
      <c r="R185" s="40">
        <v>9</v>
      </c>
      <c r="S185" s="40">
        <v>9</v>
      </c>
      <c r="T185" s="40">
        <v>9</v>
      </c>
      <c r="U185" s="40">
        <v>9</v>
      </c>
      <c r="V185" s="40">
        <v>9</v>
      </c>
      <c r="W185" s="41" t="str">
        <f t="shared" si="37"/>
        <v>N</v>
      </c>
      <c r="X185" s="56">
        <f t="shared" si="38"/>
        <v>0</v>
      </c>
      <c r="Y185" s="56" t="str">
        <f t="shared" si="28"/>
        <v>0-4.9%</v>
      </c>
      <c r="Z185" s="8" t="s">
        <v>118</v>
      </c>
      <c r="AB185" s="38">
        <v>3220</v>
      </c>
      <c r="AC185" s="38">
        <v>3040</v>
      </c>
      <c r="AD185" s="38"/>
      <c r="AE185" s="38"/>
      <c r="AF185" s="38"/>
      <c r="AG185" s="38"/>
      <c r="AH185" s="38"/>
    </row>
    <row r="186" spans="1:34" ht="24" customHeight="1" x14ac:dyDescent="0.25">
      <c r="A186" s="10">
        <v>105</v>
      </c>
      <c r="B186" s="9">
        <v>0.50277777777777777</v>
      </c>
      <c r="C186" s="5" t="s">
        <v>20</v>
      </c>
      <c r="D186" s="5">
        <v>7</v>
      </c>
      <c r="E186" s="15"/>
      <c r="F186" s="15" t="s">
        <v>23</v>
      </c>
      <c r="G186" s="19">
        <f t="shared" si="29"/>
        <v>3.5</v>
      </c>
      <c r="H186" s="19">
        <f t="shared" si="30"/>
        <v>3.6</v>
      </c>
      <c r="I186" s="19">
        <f t="shared" si="31"/>
        <v>0</v>
      </c>
      <c r="J186" s="19">
        <f t="shared" si="32"/>
        <v>0</v>
      </c>
      <c r="K186" s="19">
        <f t="shared" si="33"/>
        <v>0</v>
      </c>
      <c r="L186" s="19">
        <f t="shared" si="34"/>
        <v>0</v>
      </c>
      <c r="M186" s="19">
        <f t="shared" si="35"/>
        <v>0</v>
      </c>
      <c r="N186" s="39">
        <f t="shared" si="36"/>
        <v>7.1</v>
      </c>
      <c r="O186" s="39">
        <f t="shared" si="27"/>
        <v>0.53463434546338784</v>
      </c>
      <c r="P186" s="40">
        <v>8</v>
      </c>
      <c r="Q186" s="40">
        <v>10</v>
      </c>
      <c r="R186" s="40">
        <v>9</v>
      </c>
      <c r="S186" s="40">
        <v>9</v>
      </c>
      <c r="T186" s="40">
        <v>9</v>
      </c>
      <c r="U186" s="40">
        <v>9</v>
      </c>
      <c r="V186" s="40">
        <v>9</v>
      </c>
      <c r="W186" s="41" t="str">
        <f t="shared" si="37"/>
        <v>N</v>
      </c>
      <c r="X186" s="56">
        <f t="shared" si="38"/>
        <v>0</v>
      </c>
      <c r="Y186" s="56" t="str">
        <f t="shared" si="28"/>
        <v>0-4.9%</v>
      </c>
      <c r="Z186" s="8" t="s">
        <v>118</v>
      </c>
      <c r="AB186" s="38">
        <v>3500</v>
      </c>
      <c r="AC186" s="38">
        <v>3600</v>
      </c>
      <c r="AD186" s="38"/>
      <c r="AE186" s="38"/>
      <c r="AF186" s="38"/>
      <c r="AG186" s="38"/>
      <c r="AH186" s="38"/>
    </row>
    <row r="187" spans="1:34" ht="24" customHeight="1" x14ac:dyDescent="0.25">
      <c r="A187" s="10">
        <v>106</v>
      </c>
      <c r="B187" s="9">
        <v>0.50277777777777777</v>
      </c>
      <c r="C187" s="5" t="s">
        <v>20</v>
      </c>
      <c r="D187" s="5">
        <v>7</v>
      </c>
      <c r="E187" s="15"/>
      <c r="F187" s="15" t="s">
        <v>23</v>
      </c>
      <c r="G187" s="19">
        <f t="shared" si="29"/>
        <v>3.5</v>
      </c>
      <c r="H187" s="19">
        <f t="shared" si="30"/>
        <v>3.64</v>
      </c>
      <c r="I187" s="19">
        <f t="shared" si="31"/>
        <v>0</v>
      </c>
      <c r="J187" s="19">
        <f t="shared" si="32"/>
        <v>0</v>
      </c>
      <c r="K187" s="19">
        <f t="shared" si="33"/>
        <v>0</v>
      </c>
      <c r="L187" s="19">
        <f t="shared" si="34"/>
        <v>0</v>
      </c>
      <c r="M187" s="19">
        <f t="shared" si="35"/>
        <v>0</v>
      </c>
      <c r="N187" s="39">
        <f t="shared" si="36"/>
        <v>7.1400000000000006</v>
      </c>
      <c r="O187" s="39">
        <f t="shared" si="27"/>
        <v>0.5483227164089497</v>
      </c>
      <c r="P187" s="40">
        <v>8</v>
      </c>
      <c r="Q187" s="40">
        <v>10</v>
      </c>
      <c r="R187" s="40">
        <v>9</v>
      </c>
      <c r="S187" s="40">
        <v>9</v>
      </c>
      <c r="T187" s="40">
        <v>9</v>
      </c>
      <c r="U187" s="40">
        <v>9</v>
      </c>
      <c r="V187" s="40">
        <v>9</v>
      </c>
      <c r="W187" s="41" t="str">
        <f t="shared" si="37"/>
        <v>N</v>
      </c>
      <c r="X187" s="56">
        <f t="shared" si="38"/>
        <v>0</v>
      </c>
      <c r="Y187" s="56" t="str">
        <f t="shared" si="28"/>
        <v>0-4.9%</v>
      </c>
      <c r="Z187" s="8" t="s">
        <v>118</v>
      </c>
      <c r="AB187" s="38">
        <v>3500</v>
      </c>
      <c r="AC187" s="38">
        <v>3640</v>
      </c>
      <c r="AD187" s="38"/>
      <c r="AE187" s="38"/>
      <c r="AF187" s="38"/>
      <c r="AG187" s="38"/>
      <c r="AH187" s="38"/>
    </row>
    <row r="188" spans="1:34" ht="24" customHeight="1" x14ac:dyDescent="0.25">
      <c r="A188" s="10">
        <v>108</v>
      </c>
      <c r="B188" s="9">
        <v>0.50902777777777775</v>
      </c>
      <c r="C188" s="5" t="s">
        <v>20</v>
      </c>
      <c r="D188" s="5">
        <v>7</v>
      </c>
      <c r="E188" s="15"/>
      <c r="F188" s="15" t="s">
        <v>23</v>
      </c>
      <c r="G188" s="19">
        <f t="shared" si="29"/>
        <v>3.52</v>
      </c>
      <c r="H188" s="19">
        <f t="shared" si="30"/>
        <v>3.58</v>
      </c>
      <c r="I188" s="19">
        <f t="shared" si="31"/>
        <v>0</v>
      </c>
      <c r="J188" s="19">
        <f t="shared" si="32"/>
        <v>0</v>
      </c>
      <c r="K188" s="19">
        <f t="shared" si="33"/>
        <v>0</v>
      </c>
      <c r="L188" s="19">
        <f t="shared" si="34"/>
        <v>0</v>
      </c>
      <c r="M188" s="19">
        <f t="shared" si="35"/>
        <v>0</v>
      </c>
      <c r="N188" s="39">
        <f t="shared" si="36"/>
        <v>7.1</v>
      </c>
      <c r="O188" s="39">
        <f t="shared" si="27"/>
        <v>0.53463434546338784</v>
      </c>
      <c r="P188" s="40">
        <v>8</v>
      </c>
      <c r="Q188" s="40">
        <v>10</v>
      </c>
      <c r="R188" s="40">
        <v>9</v>
      </c>
      <c r="S188" s="40">
        <v>9</v>
      </c>
      <c r="T188" s="40">
        <v>9</v>
      </c>
      <c r="U188" s="40">
        <v>9</v>
      </c>
      <c r="V188" s="40">
        <v>9</v>
      </c>
      <c r="W188" s="41" t="str">
        <f t="shared" si="37"/>
        <v>N</v>
      </c>
      <c r="X188" s="56">
        <f t="shared" si="38"/>
        <v>0</v>
      </c>
      <c r="Y188" s="56" t="str">
        <f t="shared" si="28"/>
        <v>0-4.9%</v>
      </c>
      <c r="Z188" s="8" t="s">
        <v>118</v>
      </c>
      <c r="AB188" s="38">
        <v>3520</v>
      </c>
      <c r="AC188" s="38">
        <v>3580</v>
      </c>
      <c r="AD188" s="38"/>
      <c r="AE188" s="38"/>
      <c r="AF188" s="38"/>
      <c r="AG188" s="38"/>
      <c r="AH188" s="38"/>
    </row>
    <row r="189" spans="1:34" ht="24" customHeight="1" x14ac:dyDescent="0.25">
      <c r="A189" s="10">
        <v>110</v>
      </c>
      <c r="B189" s="9">
        <v>0.51180555555555551</v>
      </c>
      <c r="C189" s="5" t="s">
        <v>20</v>
      </c>
      <c r="D189" s="5">
        <v>7</v>
      </c>
      <c r="E189" s="15"/>
      <c r="F189" s="15" t="s">
        <v>23</v>
      </c>
      <c r="G189" s="19">
        <f t="shared" si="29"/>
        <v>10.52</v>
      </c>
      <c r="H189" s="19">
        <f t="shared" si="30"/>
        <v>16.62</v>
      </c>
      <c r="I189" s="19">
        <f t="shared" si="31"/>
        <v>0</v>
      </c>
      <c r="J189" s="19">
        <f t="shared" si="32"/>
        <v>0</v>
      </c>
      <c r="K189" s="19">
        <f t="shared" si="33"/>
        <v>0</v>
      </c>
      <c r="L189" s="19">
        <f t="shared" si="34"/>
        <v>0</v>
      </c>
      <c r="M189" s="19">
        <f t="shared" si="35"/>
        <v>0</v>
      </c>
      <c r="N189" s="39">
        <f t="shared" si="36"/>
        <v>27.14</v>
      </c>
      <c r="O189" s="39">
        <f t="shared" si="27"/>
        <v>223.17142194709814</v>
      </c>
      <c r="P189" s="40">
        <v>8</v>
      </c>
      <c r="Q189" s="40">
        <v>10</v>
      </c>
      <c r="R189" s="40">
        <v>9</v>
      </c>
      <c r="S189" s="40">
        <v>9</v>
      </c>
      <c r="T189" s="40">
        <v>9</v>
      </c>
      <c r="U189" s="40">
        <v>9</v>
      </c>
      <c r="V189" s="40">
        <v>9</v>
      </c>
      <c r="W189" s="41" t="str">
        <f t="shared" si="37"/>
        <v>Y</v>
      </c>
      <c r="X189" s="56">
        <f t="shared" si="38"/>
        <v>0.66200000000000014</v>
      </c>
      <c r="Y189" s="56" t="str">
        <f t="shared" si="28"/>
        <v>Over 50%</v>
      </c>
      <c r="Z189" s="8" t="s">
        <v>35</v>
      </c>
      <c r="AB189" s="38">
        <v>10520</v>
      </c>
      <c r="AC189" s="38">
        <v>16620</v>
      </c>
      <c r="AD189" s="38"/>
      <c r="AE189" s="38"/>
      <c r="AF189" s="38"/>
      <c r="AG189" s="38"/>
      <c r="AH189" s="38"/>
    </row>
    <row r="190" spans="1:34" ht="24" customHeight="1" x14ac:dyDescent="0.25">
      <c r="A190" s="10">
        <v>111</v>
      </c>
      <c r="B190" s="9">
        <v>0.52083333333333337</v>
      </c>
      <c r="C190" s="5" t="s">
        <v>20</v>
      </c>
      <c r="D190" s="5">
        <v>7</v>
      </c>
      <c r="E190" s="15"/>
      <c r="F190" s="15" t="s">
        <v>23</v>
      </c>
      <c r="G190" s="19">
        <f t="shared" si="29"/>
        <v>2.62</v>
      </c>
      <c r="H190" s="19">
        <f t="shared" si="30"/>
        <v>2.04</v>
      </c>
      <c r="I190" s="19">
        <f t="shared" si="31"/>
        <v>0</v>
      </c>
      <c r="J190" s="19">
        <f t="shared" si="32"/>
        <v>0</v>
      </c>
      <c r="K190" s="19">
        <f t="shared" si="33"/>
        <v>0</v>
      </c>
      <c r="L190" s="19">
        <f t="shared" si="34"/>
        <v>0</v>
      </c>
      <c r="M190" s="19">
        <f t="shared" si="35"/>
        <v>0</v>
      </c>
      <c r="N190" s="39">
        <f t="shared" si="36"/>
        <v>4.66</v>
      </c>
      <c r="O190" s="39">
        <f t="shared" si="27"/>
        <v>8.0376836802834306E-2</v>
      </c>
      <c r="P190" s="40">
        <v>8</v>
      </c>
      <c r="Q190" s="40">
        <v>10</v>
      </c>
      <c r="R190" s="40">
        <v>9</v>
      </c>
      <c r="S190" s="40">
        <v>9</v>
      </c>
      <c r="T190" s="40">
        <v>9</v>
      </c>
      <c r="U190" s="40">
        <v>9</v>
      </c>
      <c r="V190" s="40">
        <v>9</v>
      </c>
      <c r="W190" s="41" t="str">
        <f t="shared" si="37"/>
        <v>N</v>
      </c>
      <c r="X190" s="56">
        <f t="shared" si="38"/>
        <v>0</v>
      </c>
      <c r="Y190" s="56" t="str">
        <f t="shared" si="28"/>
        <v>0-4.9%</v>
      </c>
      <c r="Z190" s="8" t="s">
        <v>118</v>
      </c>
      <c r="AB190" s="38">
        <v>2620</v>
      </c>
      <c r="AC190" s="38">
        <v>2040</v>
      </c>
      <c r="AD190" s="38"/>
      <c r="AE190" s="38"/>
      <c r="AF190" s="38"/>
      <c r="AG190" s="38"/>
      <c r="AH190" s="38"/>
    </row>
    <row r="191" spans="1:34" ht="24" customHeight="1" x14ac:dyDescent="0.25">
      <c r="A191" s="10">
        <v>112</v>
      </c>
      <c r="B191" s="9">
        <v>4.7222222222222221E-2</v>
      </c>
      <c r="C191" s="5" t="s">
        <v>20</v>
      </c>
      <c r="D191" s="5">
        <v>7</v>
      </c>
      <c r="E191" s="15"/>
      <c r="F191" s="15" t="s">
        <v>23</v>
      </c>
      <c r="G191" s="19">
        <f t="shared" si="29"/>
        <v>2.98</v>
      </c>
      <c r="H191" s="19">
        <f t="shared" si="30"/>
        <v>3.22</v>
      </c>
      <c r="I191" s="19">
        <f t="shared" si="31"/>
        <v>0</v>
      </c>
      <c r="J191" s="19">
        <f t="shared" si="32"/>
        <v>0</v>
      </c>
      <c r="K191" s="19">
        <f t="shared" si="33"/>
        <v>0</v>
      </c>
      <c r="L191" s="19">
        <f t="shared" si="34"/>
        <v>0</v>
      </c>
      <c r="M191" s="19">
        <f t="shared" si="35"/>
        <v>0</v>
      </c>
      <c r="N191" s="39">
        <f t="shared" si="36"/>
        <v>6.2</v>
      </c>
      <c r="O191" s="39">
        <f t="shared" si="27"/>
        <v>0.29050719186035034</v>
      </c>
      <c r="P191" s="40">
        <v>8</v>
      </c>
      <c r="Q191" s="40">
        <v>10</v>
      </c>
      <c r="R191" s="40">
        <v>9</v>
      </c>
      <c r="S191" s="40">
        <v>9</v>
      </c>
      <c r="T191" s="40">
        <v>9</v>
      </c>
      <c r="U191" s="40">
        <v>9</v>
      </c>
      <c r="V191" s="40">
        <v>9</v>
      </c>
      <c r="W191" s="41" t="str">
        <f t="shared" si="37"/>
        <v>N</v>
      </c>
      <c r="X191" s="56">
        <f t="shared" si="38"/>
        <v>0</v>
      </c>
      <c r="Y191" s="56" t="str">
        <f t="shared" si="28"/>
        <v>0-4.9%</v>
      </c>
      <c r="Z191" s="8" t="s">
        <v>145</v>
      </c>
      <c r="AB191" s="38">
        <v>2980</v>
      </c>
      <c r="AC191" s="38">
        <v>3220</v>
      </c>
      <c r="AD191" s="38"/>
      <c r="AE191" s="38"/>
      <c r="AF191" s="38"/>
      <c r="AG191" s="38"/>
      <c r="AH191" s="38"/>
    </row>
    <row r="192" spans="1:34" ht="24" customHeight="1" x14ac:dyDescent="0.25">
      <c r="A192" s="10">
        <v>114</v>
      </c>
      <c r="B192" s="9">
        <v>4.9999999999999996E-2</v>
      </c>
      <c r="C192" s="5" t="s">
        <v>20</v>
      </c>
      <c r="D192" s="5">
        <v>7</v>
      </c>
      <c r="E192" s="15"/>
      <c r="F192" s="15" t="s">
        <v>23</v>
      </c>
      <c r="G192" s="19">
        <f t="shared" si="29"/>
        <v>5.5</v>
      </c>
      <c r="H192" s="19">
        <f t="shared" si="30"/>
        <v>6.84</v>
      </c>
      <c r="I192" s="19">
        <f t="shared" si="31"/>
        <v>0</v>
      </c>
      <c r="J192" s="19">
        <f t="shared" si="32"/>
        <v>0</v>
      </c>
      <c r="K192" s="19">
        <f t="shared" si="33"/>
        <v>0</v>
      </c>
      <c r="L192" s="19">
        <f t="shared" si="34"/>
        <v>0</v>
      </c>
      <c r="M192" s="19">
        <f t="shared" si="35"/>
        <v>0</v>
      </c>
      <c r="N192" s="39">
        <f t="shared" si="36"/>
        <v>12.34</v>
      </c>
      <c r="O192" s="39">
        <f t="shared" si="27"/>
        <v>6.4315034101036588</v>
      </c>
      <c r="P192" s="40">
        <v>8</v>
      </c>
      <c r="Q192" s="40">
        <v>10</v>
      </c>
      <c r="R192" s="40">
        <v>9</v>
      </c>
      <c r="S192" s="40">
        <v>9</v>
      </c>
      <c r="T192" s="40">
        <v>9</v>
      </c>
      <c r="U192" s="40">
        <v>9</v>
      </c>
      <c r="V192" s="40">
        <v>9</v>
      </c>
      <c r="W192" s="41" t="str">
        <f t="shared" si="37"/>
        <v>N</v>
      </c>
      <c r="X192" s="56">
        <f t="shared" si="38"/>
        <v>0</v>
      </c>
      <c r="Y192" s="56" t="str">
        <f t="shared" si="28"/>
        <v>0-4.9%</v>
      </c>
      <c r="Z192" s="8" t="s">
        <v>107</v>
      </c>
      <c r="AB192" s="38">
        <v>5500</v>
      </c>
      <c r="AC192" s="38">
        <v>6840</v>
      </c>
      <c r="AD192" s="38"/>
      <c r="AE192" s="38"/>
      <c r="AF192" s="38"/>
      <c r="AG192" s="38"/>
      <c r="AH192" s="38"/>
    </row>
    <row r="193" spans="1:34" ht="24" customHeight="1" x14ac:dyDescent="0.25">
      <c r="A193" s="10">
        <v>117</v>
      </c>
      <c r="B193" s="9">
        <v>5.5555555555555552E-2</v>
      </c>
      <c r="C193" s="5" t="s">
        <v>20</v>
      </c>
      <c r="D193" s="5">
        <v>7</v>
      </c>
      <c r="E193" s="15"/>
      <c r="F193" s="15" t="s">
        <v>23</v>
      </c>
      <c r="G193" s="19">
        <f t="shared" si="29"/>
        <v>3.38</v>
      </c>
      <c r="H193" s="19">
        <f t="shared" si="30"/>
        <v>3.46</v>
      </c>
      <c r="I193" s="19">
        <f t="shared" si="31"/>
        <v>0</v>
      </c>
      <c r="J193" s="19">
        <f t="shared" si="32"/>
        <v>0</v>
      </c>
      <c r="K193" s="19">
        <f t="shared" si="33"/>
        <v>0</v>
      </c>
      <c r="L193" s="19">
        <f t="shared" si="34"/>
        <v>0</v>
      </c>
      <c r="M193" s="19">
        <f t="shared" si="35"/>
        <v>0</v>
      </c>
      <c r="N193" s="39">
        <f t="shared" si="36"/>
        <v>6.84</v>
      </c>
      <c r="O193" s="39">
        <f t="shared" si="27"/>
        <v>0.45200864734574792</v>
      </c>
      <c r="P193" s="40">
        <v>8</v>
      </c>
      <c r="Q193" s="40">
        <v>10</v>
      </c>
      <c r="R193" s="40">
        <v>9</v>
      </c>
      <c r="S193" s="40">
        <v>9</v>
      </c>
      <c r="T193" s="40">
        <v>9</v>
      </c>
      <c r="U193" s="40">
        <v>9</v>
      </c>
      <c r="V193" s="40">
        <v>9</v>
      </c>
      <c r="W193" s="41" t="str">
        <f t="shared" si="37"/>
        <v>N</v>
      </c>
      <c r="X193" s="56">
        <f t="shared" si="38"/>
        <v>0</v>
      </c>
      <c r="Y193" s="56" t="str">
        <f t="shared" si="28"/>
        <v>0-4.9%</v>
      </c>
      <c r="Z193" s="8" t="s">
        <v>118</v>
      </c>
      <c r="AB193" s="38">
        <v>3380</v>
      </c>
      <c r="AC193" s="38">
        <v>3460</v>
      </c>
      <c r="AD193" s="38"/>
      <c r="AE193" s="38"/>
      <c r="AF193" s="38"/>
      <c r="AG193" s="38"/>
      <c r="AH193" s="38"/>
    </row>
    <row r="194" spans="1:34" ht="24" customHeight="1" x14ac:dyDescent="0.25">
      <c r="A194" s="10">
        <v>119</v>
      </c>
      <c r="B194" s="9">
        <v>5.7638888888888885E-2</v>
      </c>
      <c r="C194" s="5" t="s">
        <v>20</v>
      </c>
      <c r="D194" s="5">
        <v>7</v>
      </c>
      <c r="E194" s="15"/>
      <c r="F194" s="15" t="s">
        <v>23</v>
      </c>
      <c r="G194" s="19">
        <f t="shared" si="29"/>
        <v>10.5</v>
      </c>
      <c r="H194" s="19">
        <f t="shared" si="30"/>
        <v>14.82</v>
      </c>
      <c r="I194" s="19">
        <f t="shared" si="31"/>
        <v>0</v>
      </c>
      <c r="J194" s="19">
        <f t="shared" si="32"/>
        <v>0</v>
      </c>
      <c r="K194" s="19">
        <f t="shared" si="33"/>
        <v>0</v>
      </c>
      <c r="L194" s="19">
        <f t="shared" si="34"/>
        <v>0</v>
      </c>
      <c r="M194" s="19">
        <f t="shared" si="35"/>
        <v>0</v>
      </c>
      <c r="N194" s="39">
        <f t="shared" si="36"/>
        <v>25.32</v>
      </c>
      <c r="O194" s="39">
        <f t="shared" si="27"/>
        <v>163.29802855197653</v>
      </c>
      <c r="P194" s="40">
        <v>8</v>
      </c>
      <c r="Q194" s="40">
        <v>10</v>
      </c>
      <c r="R194" s="40">
        <v>9</v>
      </c>
      <c r="S194" s="40">
        <v>9</v>
      </c>
      <c r="T194" s="40">
        <v>9</v>
      </c>
      <c r="U194" s="40">
        <v>9</v>
      </c>
      <c r="V194" s="40">
        <v>9</v>
      </c>
      <c r="W194" s="41" t="str">
        <f t="shared" si="37"/>
        <v>Y</v>
      </c>
      <c r="X194" s="56">
        <f t="shared" si="38"/>
        <v>0.48200000000000004</v>
      </c>
      <c r="Y194" s="56" t="str">
        <f t="shared" si="28"/>
        <v>25-50%</v>
      </c>
      <c r="Z194" s="8" t="s">
        <v>35</v>
      </c>
      <c r="AB194" s="38">
        <v>10500</v>
      </c>
      <c r="AC194" s="38">
        <v>14820</v>
      </c>
      <c r="AD194" s="38"/>
      <c r="AE194" s="38"/>
      <c r="AF194" s="38"/>
      <c r="AG194" s="38"/>
      <c r="AH194" s="38"/>
    </row>
    <row r="195" spans="1:34" ht="24" customHeight="1" x14ac:dyDescent="0.25">
      <c r="A195" s="10">
        <v>121</v>
      </c>
      <c r="B195" s="9">
        <v>6.1805555555555558E-2</v>
      </c>
      <c r="C195" s="5" t="s">
        <v>20</v>
      </c>
      <c r="D195" s="5">
        <v>7</v>
      </c>
      <c r="E195" s="15"/>
      <c r="F195" s="15" t="s">
        <v>23</v>
      </c>
      <c r="G195" s="19">
        <f t="shared" si="29"/>
        <v>3.24</v>
      </c>
      <c r="H195" s="19">
        <f t="shared" si="30"/>
        <v>3.12</v>
      </c>
      <c r="I195" s="19">
        <f t="shared" si="31"/>
        <v>0</v>
      </c>
      <c r="J195" s="19">
        <f t="shared" si="32"/>
        <v>0</v>
      </c>
      <c r="K195" s="19">
        <f t="shared" si="33"/>
        <v>0</v>
      </c>
      <c r="L195" s="19">
        <f t="shared" si="34"/>
        <v>0</v>
      </c>
      <c r="M195" s="19">
        <f t="shared" si="35"/>
        <v>0</v>
      </c>
      <c r="N195" s="39">
        <f t="shared" si="36"/>
        <v>6.36</v>
      </c>
      <c r="O195" s="39">
        <f t="shared" si="27"/>
        <v>0.32580016958098379</v>
      </c>
      <c r="P195" s="40">
        <v>8</v>
      </c>
      <c r="Q195" s="40">
        <v>10</v>
      </c>
      <c r="R195" s="40">
        <v>9</v>
      </c>
      <c r="S195" s="40">
        <v>9</v>
      </c>
      <c r="T195" s="40">
        <v>9</v>
      </c>
      <c r="U195" s="40">
        <v>9</v>
      </c>
      <c r="V195" s="40">
        <v>9</v>
      </c>
      <c r="W195" s="41" t="str">
        <f t="shared" si="37"/>
        <v>N</v>
      </c>
      <c r="X195" s="56">
        <f t="shared" si="38"/>
        <v>0</v>
      </c>
      <c r="Y195" s="56" t="str">
        <f t="shared" si="28"/>
        <v>0-4.9%</v>
      </c>
      <c r="Z195" s="8" t="s">
        <v>118</v>
      </c>
      <c r="AB195" s="38">
        <v>3240</v>
      </c>
      <c r="AC195" s="38">
        <v>3120</v>
      </c>
      <c r="AD195" s="38"/>
      <c r="AE195" s="38"/>
      <c r="AF195" s="38"/>
      <c r="AG195" s="38"/>
      <c r="AH195" s="38"/>
    </row>
    <row r="196" spans="1:34" ht="24" customHeight="1" x14ac:dyDescent="0.25">
      <c r="A196" s="10">
        <v>122</v>
      </c>
      <c r="B196" s="9">
        <v>6.5277777777777782E-2</v>
      </c>
      <c r="C196" s="5" t="s">
        <v>20</v>
      </c>
      <c r="D196" s="5">
        <v>7</v>
      </c>
      <c r="E196" s="15"/>
      <c r="F196" s="15" t="s">
        <v>23</v>
      </c>
      <c r="G196" s="19">
        <f t="shared" si="29"/>
        <v>3.28</v>
      </c>
      <c r="H196" s="19">
        <f t="shared" si="30"/>
        <v>3.04</v>
      </c>
      <c r="I196" s="19">
        <f t="shared" si="31"/>
        <v>0</v>
      </c>
      <c r="J196" s="19">
        <f t="shared" si="32"/>
        <v>0</v>
      </c>
      <c r="K196" s="19">
        <f t="shared" si="33"/>
        <v>0</v>
      </c>
      <c r="L196" s="19">
        <f t="shared" si="34"/>
        <v>0</v>
      </c>
      <c r="M196" s="19">
        <f t="shared" si="35"/>
        <v>0</v>
      </c>
      <c r="N196" s="39">
        <f t="shared" si="36"/>
        <v>6.32</v>
      </c>
      <c r="O196" s="39">
        <f t="shared" si="27"/>
        <v>0.31668036576601688</v>
      </c>
      <c r="P196" s="40">
        <v>8</v>
      </c>
      <c r="Q196" s="40">
        <v>10</v>
      </c>
      <c r="R196" s="40">
        <v>9</v>
      </c>
      <c r="S196" s="40">
        <v>9</v>
      </c>
      <c r="T196" s="40">
        <v>9</v>
      </c>
      <c r="U196" s="40">
        <v>9</v>
      </c>
      <c r="V196" s="40">
        <v>9</v>
      </c>
      <c r="W196" s="41" t="str">
        <f t="shared" si="37"/>
        <v>N</v>
      </c>
      <c r="X196" s="56">
        <f t="shared" si="38"/>
        <v>0</v>
      </c>
      <c r="Y196" s="56" t="str">
        <f t="shared" si="28"/>
        <v>0-4.9%</v>
      </c>
      <c r="Z196" s="8" t="s">
        <v>118</v>
      </c>
      <c r="AB196" s="38">
        <v>3280</v>
      </c>
      <c r="AC196" s="38">
        <v>3040</v>
      </c>
      <c r="AD196" s="38"/>
      <c r="AE196" s="38"/>
      <c r="AF196" s="38"/>
      <c r="AG196" s="38"/>
      <c r="AH196" s="38"/>
    </row>
    <row r="197" spans="1:34" ht="24" customHeight="1" x14ac:dyDescent="0.25">
      <c r="A197" s="10">
        <v>123</v>
      </c>
      <c r="B197" s="9">
        <v>6.5972222222222224E-2</v>
      </c>
      <c r="C197" s="5" t="s">
        <v>20</v>
      </c>
      <c r="D197" s="5">
        <v>7</v>
      </c>
      <c r="E197" s="15"/>
      <c r="F197" s="15" t="s">
        <v>23</v>
      </c>
      <c r="G197" s="19">
        <f t="shared" si="29"/>
        <v>2.68</v>
      </c>
      <c r="H197" s="19">
        <f t="shared" si="30"/>
        <v>2.44</v>
      </c>
      <c r="I197" s="19">
        <f t="shared" si="31"/>
        <v>0</v>
      </c>
      <c r="J197" s="19">
        <f t="shared" si="32"/>
        <v>0</v>
      </c>
      <c r="K197" s="19">
        <f t="shared" si="33"/>
        <v>0</v>
      </c>
      <c r="L197" s="19">
        <f t="shared" si="34"/>
        <v>0</v>
      </c>
      <c r="M197" s="19">
        <f t="shared" si="35"/>
        <v>0</v>
      </c>
      <c r="N197" s="39">
        <f t="shared" si="36"/>
        <v>5.12</v>
      </c>
      <c r="O197" s="39">
        <f t="shared" si="27"/>
        <v>0.12277476456641084</v>
      </c>
      <c r="P197" s="40">
        <v>8</v>
      </c>
      <c r="Q197" s="40">
        <v>10</v>
      </c>
      <c r="R197" s="40">
        <v>9</v>
      </c>
      <c r="S197" s="40">
        <v>9</v>
      </c>
      <c r="T197" s="40">
        <v>9</v>
      </c>
      <c r="U197" s="40">
        <v>9</v>
      </c>
      <c r="V197" s="40">
        <v>9</v>
      </c>
      <c r="W197" s="41" t="str">
        <f t="shared" si="37"/>
        <v>N</v>
      </c>
      <c r="X197" s="56">
        <f t="shared" si="38"/>
        <v>0</v>
      </c>
      <c r="Y197" s="56" t="str">
        <f t="shared" si="28"/>
        <v>0-4.9%</v>
      </c>
      <c r="Z197" s="8" t="s">
        <v>118</v>
      </c>
      <c r="AB197" s="38">
        <v>2680</v>
      </c>
      <c r="AC197" s="38">
        <v>2440</v>
      </c>
      <c r="AD197" s="38"/>
      <c r="AE197" s="38"/>
      <c r="AF197" s="38"/>
      <c r="AG197" s="38"/>
      <c r="AH197" s="38"/>
    </row>
    <row r="198" spans="1:34" ht="24" customHeight="1" x14ac:dyDescent="0.25">
      <c r="A198" s="10">
        <v>124</v>
      </c>
      <c r="B198" s="9">
        <v>6.6666666666666666E-2</v>
      </c>
      <c r="C198" s="5" t="s">
        <v>20</v>
      </c>
      <c r="D198" s="5">
        <v>7</v>
      </c>
      <c r="E198" s="15"/>
      <c r="F198" s="15" t="s">
        <v>23</v>
      </c>
      <c r="G198" s="19">
        <f t="shared" si="29"/>
        <v>6.18</v>
      </c>
      <c r="H198" s="19">
        <f t="shared" si="30"/>
        <v>21.34</v>
      </c>
      <c r="I198" s="19">
        <f t="shared" si="31"/>
        <v>0</v>
      </c>
      <c r="J198" s="19">
        <f t="shared" si="32"/>
        <v>0</v>
      </c>
      <c r="K198" s="19">
        <f t="shared" si="33"/>
        <v>0</v>
      </c>
      <c r="L198" s="19">
        <f t="shared" si="34"/>
        <v>0</v>
      </c>
      <c r="M198" s="19">
        <f t="shared" si="35"/>
        <v>0</v>
      </c>
      <c r="N198" s="39">
        <f t="shared" si="36"/>
        <v>27.52</v>
      </c>
      <c r="O198" s="39">
        <f t="shared" si="27"/>
        <v>237.58128045028738</v>
      </c>
      <c r="P198" s="40">
        <v>8</v>
      </c>
      <c r="Q198" s="40">
        <v>10</v>
      </c>
      <c r="R198" s="40">
        <v>9</v>
      </c>
      <c r="S198" s="40">
        <v>9</v>
      </c>
      <c r="T198" s="40">
        <v>9</v>
      </c>
      <c r="U198" s="40">
        <v>9</v>
      </c>
      <c r="V198" s="40">
        <v>9</v>
      </c>
      <c r="W198" s="41" t="str">
        <f t="shared" si="37"/>
        <v>Y</v>
      </c>
      <c r="X198" s="56">
        <f t="shared" si="38"/>
        <v>1.1339999999999999</v>
      </c>
      <c r="Y198" s="56" t="str">
        <f t="shared" si="28"/>
        <v>Over 50%</v>
      </c>
      <c r="Z198" s="8" t="s">
        <v>113</v>
      </c>
      <c r="AB198" s="38">
        <v>6180</v>
      </c>
      <c r="AC198" s="38">
        <v>21340</v>
      </c>
      <c r="AD198" s="38"/>
      <c r="AE198" s="38"/>
      <c r="AF198" s="38"/>
      <c r="AG198" s="38"/>
      <c r="AH198" s="38"/>
    </row>
    <row r="199" spans="1:34" ht="24" customHeight="1" x14ac:dyDescent="0.25">
      <c r="A199" s="10">
        <v>125</v>
      </c>
      <c r="B199" s="9">
        <v>6.805555555555555E-2</v>
      </c>
      <c r="C199" s="5" t="s">
        <v>20</v>
      </c>
      <c r="D199" s="5">
        <v>7</v>
      </c>
      <c r="E199" s="15"/>
      <c r="F199" s="15" t="s">
        <v>23</v>
      </c>
      <c r="G199" s="19">
        <f t="shared" si="29"/>
        <v>3.34</v>
      </c>
      <c r="H199" s="19">
        <f t="shared" si="30"/>
        <v>4.54</v>
      </c>
      <c r="I199" s="19">
        <f t="shared" si="31"/>
        <v>0</v>
      </c>
      <c r="J199" s="19">
        <f t="shared" si="32"/>
        <v>0</v>
      </c>
      <c r="K199" s="19">
        <f t="shared" si="33"/>
        <v>0</v>
      </c>
      <c r="L199" s="19">
        <f t="shared" si="34"/>
        <v>0</v>
      </c>
      <c r="M199" s="19">
        <f t="shared" si="35"/>
        <v>0</v>
      </c>
      <c r="N199" s="39">
        <f t="shared" si="36"/>
        <v>7.88</v>
      </c>
      <c r="O199" s="39">
        <f t="shared" ref="O199:O262" si="39">(N199/8.16)^4.5</f>
        <v>0.85459877176479482</v>
      </c>
      <c r="P199" s="40">
        <v>8</v>
      </c>
      <c r="Q199" s="40">
        <v>10</v>
      </c>
      <c r="R199" s="40">
        <v>9</v>
      </c>
      <c r="S199" s="40">
        <v>9</v>
      </c>
      <c r="T199" s="40">
        <v>9</v>
      </c>
      <c r="U199" s="40">
        <v>9</v>
      </c>
      <c r="V199" s="40">
        <v>9</v>
      </c>
      <c r="W199" s="41" t="str">
        <f t="shared" si="37"/>
        <v>N</v>
      </c>
      <c r="X199" s="56">
        <f t="shared" si="38"/>
        <v>0</v>
      </c>
      <c r="Y199" s="56" t="str">
        <f t="shared" ref="Y199:Y262" si="40">IF(X199&lt;5%,"0-4.9%",IF(X199&lt;25%,"5-25%",IF(X199&lt;50%,"25-50%","Over 50%")))</f>
        <v>0-4.9%</v>
      </c>
      <c r="Z199" s="8" t="s">
        <v>111</v>
      </c>
      <c r="AB199" s="38">
        <v>3340</v>
      </c>
      <c r="AC199" s="38">
        <v>4540</v>
      </c>
      <c r="AD199" s="38"/>
      <c r="AE199" s="38"/>
      <c r="AF199" s="38"/>
      <c r="AG199" s="38"/>
      <c r="AH199" s="38"/>
    </row>
    <row r="200" spans="1:34" ht="24" customHeight="1" x14ac:dyDescent="0.25">
      <c r="A200" s="10">
        <v>126</v>
      </c>
      <c r="B200" s="9">
        <v>6.8749999999999992E-2</v>
      </c>
      <c r="C200" s="5" t="s">
        <v>20</v>
      </c>
      <c r="D200" s="5">
        <v>7</v>
      </c>
      <c r="E200" s="15"/>
      <c r="F200" s="15" t="s">
        <v>23</v>
      </c>
      <c r="G200" s="19">
        <f t="shared" ref="G200:G263" si="41">AB200/1000</f>
        <v>3.32</v>
      </c>
      <c r="H200" s="19">
        <f t="shared" ref="H200:H263" si="42">AC200/1000</f>
        <v>1.56</v>
      </c>
      <c r="I200" s="19">
        <f t="shared" ref="I200:I263" si="43">AD200/1000</f>
        <v>0</v>
      </c>
      <c r="J200" s="19">
        <f t="shared" ref="J200:J263" si="44">AE200/1000</f>
        <v>0</v>
      </c>
      <c r="K200" s="19">
        <f t="shared" ref="K200:K263" si="45">AF200/1000</f>
        <v>0</v>
      </c>
      <c r="L200" s="19">
        <f t="shared" ref="L200:L263" si="46">AG200/1000</f>
        <v>0</v>
      </c>
      <c r="M200" s="19">
        <f t="shared" ref="M200:M263" si="47">AH200/1000</f>
        <v>0</v>
      </c>
      <c r="N200" s="39">
        <f t="shared" ref="N200:N263" si="48">SUM(G200:M200)</f>
        <v>4.88</v>
      </c>
      <c r="O200" s="39">
        <f t="shared" si="39"/>
        <v>9.8919858082506029E-2</v>
      </c>
      <c r="P200" s="40">
        <v>8</v>
      </c>
      <c r="Q200" s="40">
        <v>10</v>
      </c>
      <c r="R200" s="40">
        <v>9</v>
      </c>
      <c r="S200" s="40">
        <v>9</v>
      </c>
      <c r="T200" s="40">
        <v>9</v>
      </c>
      <c r="U200" s="40">
        <v>9</v>
      </c>
      <c r="V200" s="40">
        <v>9</v>
      </c>
      <c r="W200" s="41" t="str">
        <f t="shared" ref="W200:W263" si="49">IF(G200&gt;P200,"Y",IF(H200&gt;Q200,"Y",IF(I200&gt;R200,"Y",IF(J200&gt;S200,"Y",IF(K200&gt;T200,"Y",IF(L200&gt;U200,"Y",IF(M200&gt;V200,"Y","N")))))))</f>
        <v>N</v>
      </c>
      <c r="X200" s="56">
        <f t="shared" ref="X200:X263" si="50">IF(W200="Y",MAX((G200-P200),(H200-Q200),(I200-R200),(J200-S200),(K200-T200),(L200-U200),(M200-V200))/10,0)</f>
        <v>0</v>
      </c>
      <c r="Y200" s="56" t="str">
        <f t="shared" si="40"/>
        <v>0-4.9%</v>
      </c>
      <c r="Z200" s="8" t="s">
        <v>118</v>
      </c>
      <c r="AB200" s="38">
        <v>3320</v>
      </c>
      <c r="AC200" s="38">
        <v>1560</v>
      </c>
      <c r="AD200" s="38"/>
      <c r="AE200" s="38"/>
      <c r="AF200" s="38"/>
      <c r="AG200" s="38"/>
      <c r="AH200" s="38"/>
    </row>
    <row r="201" spans="1:34" ht="24" customHeight="1" x14ac:dyDescent="0.25">
      <c r="A201" s="10">
        <v>128</v>
      </c>
      <c r="B201" s="9">
        <v>7.1527777777777787E-2</v>
      </c>
      <c r="C201" s="5" t="s">
        <v>20</v>
      </c>
      <c r="D201" s="5">
        <v>7</v>
      </c>
      <c r="E201" s="15"/>
      <c r="F201" s="15" t="s">
        <v>23</v>
      </c>
      <c r="G201" s="19">
        <f t="shared" si="41"/>
        <v>2.72</v>
      </c>
      <c r="H201" s="19">
        <f t="shared" si="42"/>
        <v>2.56</v>
      </c>
      <c r="I201" s="19">
        <f t="shared" si="43"/>
        <v>0</v>
      </c>
      <c r="J201" s="19">
        <f t="shared" si="44"/>
        <v>0</v>
      </c>
      <c r="K201" s="19">
        <f t="shared" si="45"/>
        <v>0</v>
      </c>
      <c r="L201" s="19">
        <f t="shared" si="46"/>
        <v>0</v>
      </c>
      <c r="M201" s="19">
        <f t="shared" si="47"/>
        <v>0</v>
      </c>
      <c r="N201" s="39">
        <f t="shared" si="48"/>
        <v>5.28</v>
      </c>
      <c r="O201" s="39">
        <f t="shared" si="39"/>
        <v>0.14100903386944427</v>
      </c>
      <c r="P201" s="40">
        <v>8</v>
      </c>
      <c r="Q201" s="40">
        <v>10</v>
      </c>
      <c r="R201" s="40">
        <v>9</v>
      </c>
      <c r="S201" s="40">
        <v>9</v>
      </c>
      <c r="T201" s="40">
        <v>9</v>
      </c>
      <c r="U201" s="40">
        <v>9</v>
      </c>
      <c r="V201" s="40">
        <v>9</v>
      </c>
      <c r="W201" s="41" t="str">
        <f t="shared" si="49"/>
        <v>N</v>
      </c>
      <c r="X201" s="56">
        <f t="shared" si="50"/>
        <v>0</v>
      </c>
      <c r="Y201" s="56" t="str">
        <f t="shared" si="40"/>
        <v>0-4.9%</v>
      </c>
      <c r="Z201" s="8" t="s">
        <v>118</v>
      </c>
      <c r="AB201" s="38">
        <v>2720</v>
      </c>
      <c r="AC201" s="38">
        <v>2560</v>
      </c>
      <c r="AD201" s="38"/>
      <c r="AE201" s="38"/>
      <c r="AF201" s="38"/>
      <c r="AG201" s="38"/>
      <c r="AH201" s="38"/>
    </row>
    <row r="202" spans="1:34" ht="24" customHeight="1" x14ac:dyDescent="0.25">
      <c r="A202" s="10">
        <v>130</v>
      </c>
      <c r="B202" s="9">
        <v>7.2916666666666671E-2</v>
      </c>
      <c r="C202" s="5" t="s">
        <v>20</v>
      </c>
      <c r="D202" s="5">
        <v>7</v>
      </c>
      <c r="E202" s="15"/>
      <c r="F202" s="15" t="s">
        <v>23</v>
      </c>
      <c r="G202" s="19">
        <f t="shared" si="41"/>
        <v>3.46</v>
      </c>
      <c r="H202" s="19">
        <f t="shared" si="42"/>
        <v>4.4400000000000004</v>
      </c>
      <c r="I202" s="19">
        <f t="shared" si="43"/>
        <v>0</v>
      </c>
      <c r="J202" s="19">
        <f t="shared" si="44"/>
        <v>0</v>
      </c>
      <c r="K202" s="19">
        <f t="shared" si="45"/>
        <v>0</v>
      </c>
      <c r="L202" s="19">
        <f t="shared" si="46"/>
        <v>0</v>
      </c>
      <c r="M202" s="19">
        <f t="shared" si="47"/>
        <v>0</v>
      </c>
      <c r="N202" s="39">
        <f t="shared" si="48"/>
        <v>7.9</v>
      </c>
      <c r="O202" s="39">
        <f t="shared" si="39"/>
        <v>0.8644028625394421</v>
      </c>
      <c r="P202" s="40">
        <v>8</v>
      </c>
      <c r="Q202" s="40">
        <v>10</v>
      </c>
      <c r="R202" s="40">
        <v>9</v>
      </c>
      <c r="S202" s="40">
        <v>9</v>
      </c>
      <c r="T202" s="40">
        <v>9</v>
      </c>
      <c r="U202" s="40">
        <v>9</v>
      </c>
      <c r="V202" s="40">
        <v>9</v>
      </c>
      <c r="W202" s="41" t="str">
        <f t="shared" si="49"/>
        <v>N</v>
      </c>
      <c r="X202" s="56">
        <f t="shared" si="50"/>
        <v>0</v>
      </c>
      <c r="Y202" s="56" t="str">
        <f t="shared" si="40"/>
        <v>0-4.9%</v>
      </c>
      <c r="Z202" s="8" t="s">
        <v>145</v>
      </c>
      <c r="AB202" s="38">
        <v>3460</v>
      </c>
      <c r="AC202" s="38">
        <v>4440</v>
      </c>
      <c r="AD202" s="38"/>
      <c r="AE202" s="38"/>
      <c r="AF202" s="38"/>
      <c r="AG202" s="38"/>
      <c r="AH202" s="38"/>
    </row>
    <row r="203" spans="1:34" ht="24" customHeight="1" x14ac:dyDescent="0.25">
      <c r="A203" s="10">
        <v>131</v>
      </c>
      <c r="B203" s="9">
        <v>7.2916666666666671E-2</v>
      </c>
      <c r="C203" s="5" t="s">
        <v>20</v>
      </c>
      <c r="D203" s="5">
        <v>7</v>
      </c>
      <c r="E203" s="15"/>
      <c r="F203" s="15" t="s">
        <v>23</v>
      </c>
      <c r="G203" s="19">
        <f t="shared" si="41"/>
        <v>2.5</v>
      </c>
      <c r="H203" s="19">
        <f t="shared" si="42"/>
        <v>2.64</v>
      </c>
      <c r="I203" s="19">
        <f t="shared" si="43"/>
        <v>0</v>
      </c>
      <c r="J203" s="19">
        <f t="shared" si="44"/>
        <v>0</v>
      </c>
      <c r="K203" s="19">
        <f t="shared" si="45"/>
        <v>0</v>
      </c>
      <c r="L203" s="19">
        <f t="shared" si="46"/>
        <v>0</v>
      </c>
      <c r="M203" s="19">
        <f t="shared" si="47"/>
        <v>0</v>
      </c>
      <c r="N203" s="39">
        <f t="shared" si="48"/>
        <v>5.1400000000000006</v>
      </c>
      <c r="O203" s="39">
        <f t="shared" si="39"/>
        <v>0.12494771579880057</v>
      </c>
      <c r="P203" s="40">
        <v>8</v>
      </c>
      <c r="Q203" s="40">
        <v>10</v>
      </c>
      <c r="R203" s="40">
        <v>9</v>
      </c>
      <c r="S203" s="40">
        <v>9</v>
      </c>
      <c r="T203" s="40">
        <v>9</v>
      </c>
      <c r="U203" s="40">
        <v>9</v>
      </c>
      <c r="V203" s="40">
        <v>9</v>
      </c>
      <c r="W203" s="41" t="str">
        <f t="shared" si="49"/>
        <v>N</v>
      </c>
      <c r="X203" s="56">
        <f t="shared" si="50"/>
        <v>0</v>
      </c>
      <c r="Y203" s="56" t="str">
        <f t="shared" si="40"/>
        <v>0-4.9%</v>
      </c>
      <c r="Z203" s="8" t="s">
        <v>145</v>
      </c>
      <c r="AB203" s="38">
        <v>2500</v>
      </c>
      <c r="AC203" s="38">
        <v>2640</v>
      </c>
      <c r="AD203" s="38"/>
      <c r="AE203" s="38"/>
      <c r="AF203" s="38"/>
      <c r="AG203" s="38"/>
      <c r="AH203" s="38"/>
    </row>
    <row r="204" spans="1:34" ht="24" customHeight="1" x14ac:dyDescent="0.25">
      <c r="A204" s="10">
        <v>132</v>
      </c>
      <c r="B204" s="9">
        <v>7.3611111111111113E-2</v>
      </c>
      <c r="C204" s="5" t="s">
        <v>20</v>
      </c>
      <c r="D204" s="5">
        <v>7</v>
      </c>
      <c r="E204" s="15"/>
      <c r="F204" s="15" t="s">
        <v>23</v>
      </c>
      <c r="G204" s="19">
        <f t="shared" si="41"/>
        <v>3.1</v>
      </c>
      <c r="H204" s="19">
        <f t="shared" si="42"/>
        <v>2.94</v>
      </c>
      <c r="I204" s="19">
        <f t="shared" si="43"/>
        <v>0</v>
      </c>
      <c r="J204" s="19">
        <f t="shared" si="44"/>
        <v>0</v>
      </c>
      <c r="K204" s="19">
        <f t="shared" si="45"/>
        <v>0</v>
      </c>
      <c r="L204" s="19">
        <f t="shared" si="46"/>
        <v>0</v>
      </c>
      <c r="M204" s="19">
        <f t="shared" si="47"/>
        <v>0</v>
      </c>
      <c r="N204" s="39">
        <f t="shared" si="48"/>
        <v>6.04</v>
      </c>
      <c r="O204" s="39">
        <f t="shared" si="39"/>
        <v>0.25826199969731295</v>
      </c>
      <c r="P204" s="40">
        <v>8</v>
      </c>
      <c r="Q204" s="40">
        <v>10</v>
      </c>
      <c r="R204" s="40">
        <v>9</v>
      </c>
      <c r="S204" s="40">
        <v>9</v>
      </c>
      <c r="T204" s="40">
        <v>9</v>
      </c>
      <c r="U204" s="40">
        <v>9</v>
      </c>
      <c r="V204" s="40">
        <v>9</v>
      </c>
      <c r="W204" s="41" t="str">
        <f t="shared" si="49"/>
        <v>N</v>
      </c>
      <c r="X204" s="56">
        <f t="shared" si="50"/>
        <v>0</v>
      </c>
      <c r="Y204" s="56" t="str">
        <f t="shared" si="40"/>
        <v>0-4.9%</v>
      </c>
      <c r="Z204" s="8" t="s">
        <v>118</v>
      </c>
      <c r="AB204" s="38">
        <v>3100</v>
      </c>
      <c r="AC204" s="38">
        <v>2940</v>
      </c>
      <c r="AD204" s="38"/>
      <c r="AE204" s="38"/>
      <c r="AF204" s="38"/>
      <c r="AG204" s="38"/>
      <c r="AH204" s="38"/>
    </row>
    <row r="205" spans="1:34" ht="24" customHeight="1" x14ac:dyDescent="0.25">
      <c r="A205" s="10">
        <v>133</v>
      </c>
      <c r="B205" s="9">
        <v>7.4305555555555555E-2</v>
      </c>
      <c r="C205" s="5" t="s">
        <v>20</v>
      </c>
      <c r="D205" s="5">
        <v>7</v>
      </c>
      <c r="E205" s="15"/>
      <c r="F205" s="15" t="s">
        <v>23</v>
      </c>
      <c r="G205" s="19">
        <f t="shared" si="41"/>
        <v>8.92</v>
      </c>
      <c r="H205" s="19">
        <f t="shared" si="42"/>
        <v>16.420000000000002</v>
      </c>
      <c r="I205" s="19">
        <f t="shared" si="43"/>
        <v>0</v>
      </c>
      <c r="J205" s="19">
        <f t="shared" si="44"/>
        <v>0</v>
      </c>
      <c r="K205" s="19">
        <f t="shared" si="45"/>
        <v>0</v>
      </c>
      <c r="L205" s="19">
        <f t="shared" si="46"/>
        <v>0</v>
      </c>
      <c r="M205" s="19">
        <f t="shared" si="47"/>
        <v>0</v>
      </c>
      <c r="N205" s="39">
        <f t="shared" si="48"/>
        <v>25.340000000000003</v>
      </c>
      <c r="O205" s="39">
        <f t="shared" si="39"/>
        <v>163.87927466015904</v>
      </c>
      <c r="P205" s="40">
        <v>8</v>
      </c>
      <c r="Q205" s="40">
        <v>10</v>
      </c>
      <c r="R205" s="40">
        <v>9</v>
      </c>
      <c r="S205" s="40">
        <v>9</v>
      </c>
      <c r="T205" s="40">
        <v>9</v>
      </c>
      <c r="U205" s="40">
        <v>9</v>
      </c>
      <c r="V205" s="40">
        <v>9</v>
      </c>
      <c r="W205" s="41" t="str">
        <f t="shared" si="49"/>
        <v>Y</v>
      </c>
      <c r="X205" s="56">
        <f t="shared" si="50"/>
        <v>0.64200000000000013</v>
      </c>
      <c r="Y205" s="56" t="str">
        <f t="shared" si="40"/>
        <v>Over 50%</v>
      </c>
      <c r="Z205" s="8" t="s">
        <v>35</v>
      </c>
      <c r="AB205" s="38">
        <v>8920</v>
      </c>
      <c r="AC205" s="38">
        <v>16420</v>
      </c>
      <c r="AD205" s="38"/>
      <c r="AE205" s="38"/>
      <c r="AF205" s="38"/>
      <c r="AG205" s="38"/>
      <c r="AH205" s="38"/>
    </row>
    <row r="206" spans="1:34" ht="24" customHeight="1" x14ac:dyDescent="0.25">
      <c r="A206" s="10">
        <v>134</v>
      </c>
      <c r="B206" s="9">
        <v>7.4999999999999997E-2</v>
      </c>
      <c r="C206" s="5" t="s">
        <v>20</v>
      </c>
      <c r="D206" s="5">
        <v>7</v>
      </c>
      <c r="E206" s="15"/>
      <c r="F206" s="15" t="s">
        <v>23</v>
      </c>
      <c r="G206" s="19">
        <f t="shared" si="41"/>
        <v>2.8</v>
      </c>
      <c r="H206" s="19">
        <f t="shared" si="42"/>
        <v>2.6</v>
      </c>
      <c r="I206" s="19">
        <f t="shared" si="43"/>
        <v>0</v>
      </c>
      <c r="J206" s="19">
        <f t="shared" si="44"/>
        <v>0</v>
      </c>
      <c r="K206" s="19">
        <f t="shared" si="45"/>
        <v>0</v>
      </c>
      <c r="L206" s="19">
        <f t="shared" si="46"/>
        <v>0</v>
      </c>
      <c r="M206" s="19">
        <f t="shared" si="47"/>
        <v>0</v>
      </c>
      <c r="N206" s="39">
        <f t="shared" si="48"/>
        <v>5.4</v>
      </c>
      <c r="O206" s="39">
        <f t="shared" si="39"/>
        <v>0.15601494589133791</v>
      </c>
      <c r="P206" s="40">
        <v>8</v>
      </c>
      <c r="Q206" s="40">
        <v>10</v>
      </c>
      <c r="R206" s="40">
        <v>9</v>
      </c>
      <c r="S206" s="40">
        <v>9</v>
      </c>
      <c r="T206" s="40">
        <v>9</v>
      </c>
      <c r="U206" s="40">
        <v>9</v>
      </c>
      <c r="V206" s="40">
        <v>9</v>
      </c>
      <c r="W206" s="41" t="str">
        <f t="shared" si="49"/>
        <v>N</v>
      </c>
      <c r="X206" s="56">
        <f t="shared" si="50"/>
        <v>0</v>
      </c>
      <c r="Y206" s="56" t="str">
        <f t="shared" si="40"/>
        <v>0-4.9%</v>
      </c>
      <c r="Z206" s="8" t="s">
        <v>118</v>
      </c>
      <c r="AB206" s="38">
        <v>2800</v>
      </c>
      <c r="AC206" s="38">
        <v>2600</v>
      </c>
      <c r="AD206" s="38"/>
      <c r="AE206" s="38"/>
      <c r="AF206" s="38"/>
      <c r="AG206" s="38"/>
      <c r="AH206" s="38"/>
    </row>
    <row r="207" spans="1:34" ht="24" customHeight="1" x14ac:dyDescent="0.25">
      <c r="A207" s="10">
        <v>136</v>
      </c>
      <c r="B207" s="9">
        <v>7.7777777777777779E-2</v>
      </c>
      <c r="C207" s="5" t="s">
        <v>20</v>
      </c>
      <c r="D207" s="5">
        <v>7</v>
      </c>
      <c r="E207" s="15"/>
      <c r="F207" s="15" t="s">
        <v>23</v>
      </c>
      <c r="G207" s="19">
        <f t="shared" si="41"/>
        <v>2.7</v>
      </c>
      <c r="H207" s="19">
        <f t="shared" si="42"/>
        <v>3.16</v>
      </c>
      <c r="I207" s="19">
        <f t="shared" si="43"/>
        <v>0</v>
      </c>
      <c r="J207" s="19">
        <f t="shared" si="44"/>
        <v>0</v>
      </c>
      <c r="K207" s="19">
        <f t="shared" si="45"/>
        <v>0</v>
      </c>
      <c r="L207" s="19">
        <f t="shared" si="46"/>
        <v>0</v>
      </c>
      <c r="M207" s="19">
        <f t="shared" si="47"/>
        <v>0</v>
      </c>
      <c r="N207" s="39">
        <f t="shared" si="48"/>
        <v>5.86</v>
      </c>
      <c r="O207" s="39">
        <f t="shared" si="39"/>
        <v>0.22538943645606657</v>
      </c>
      <c r="P207" s="40">
        <v>8</v>
      </c>
      <c r="Q207" s="40">
        <v>10</v>
      </c>
      <c r="R207" s="40">
        <v>9</v>
      </c>
      <c r="S207" s="40">
        <v>9</v>
      </c>
      <c r="T207" s="40">
        <v>9</v>
      </c>
      <c r="U207" s="40">
        <v>9</v>
      </c>
      <c r="V207" s="40">
        <v>9</v>
      </c>
      <c r="W207" s="41" t="str">
        <f t="shared" si="49"/>
        <v>N</v>
      </c>
      <c r="X207" s="56">
        <f t="shared" si="50"/>
        <v>0</v>
      </c>
      <c r="Y207" s="56" t="str">
        <f t="shared" si="40"/>
        <v>0-4.9%</v>
      </c>
      <c r="Z207" s="8" t="s">
        <v>35</v>
      </c>
      <c r="AB207" s="38">
        <v>2700</v>
      </c>
      <c r="AC207" s="38">
        <v>3160</v>
      </c>
      <c r="AD207" s="38"/>
      <c r="AE207" s="38"/>
      <c r="AF207" s="38"/>
      <c r="AG207" s="38"/>
      <c r="AH207" s="38"/>
    </row>
    <row r="208" spans="1:34" ht="24" customHeight="1" x14ac:dyDescent="0.25">
      <c r="A208" s="10">
        <v>139</v>
      </c>
      <c r="B208" s="9">
        <v>8.2638888888888887E-2</v>
      </c>
      <c r="C208" s="5" t="s">
        <v>20</v>
      </c>
      <c r="D208" s="5">
        <v>7</v>
      </c>
      <c r="E208" s="15"/>
      <c r="F208" s="15" t="s">
        <v>23</v>
      </c>
      <c r="G208" s="19">
        <f t="shared" si="41"/>
        <v>8.74</v>
      </c>
      <c r="H208" s="19">
        <f t="shared" si="42"/>
        <v>16.059999999999999</v>
      </c>
      <c r="I208" s="19">
        <f t="shared" si="43"/>
        <v>0</v>
      </c>
      <c r="J208" s="19">
        <f t="shared" si="44"/>
        <v>0</v>
      </c>
      <c r="K208" s="19">
        <f t="shared" si="45"/>
        <v>0</v>
      </c>
      <c r="L208" s="19">
        <f t="shared" si="46"/>
        <v>0</v>
      </c>
      <c r="M208" s="19">
        <f t="shared" si="47"/>
        <v>0</v>
      </c>
      <c r="N208" s="39">
        <f t="shared" si="48"/>
        <v>24.799999999999997</v>
      </c>
      <c r="O208" s="39">
        <f t="shared" si="39"/>
        <v>148.73968223249923</v>
      </c>
      <c r="P208" s="40">
        <v>8</v>
      </c>
      <c r="Q208" s="40">
        <v>10</v>
      </c>
      <c r="R208" s="40">
        <v>9</v>
      </c>
      <c r="S208" s="40">
        <v>9</v>
      </c>
      <c r="T208" s="40">
        <v>9</v>
      </c>
      <c r="U208" s="40">
        <v>9</v>
      </c>
      <c r="V208" s="40">
        <v>9</v>
      </c>
      <c r="W208" s="41" t="str">
        <f t="shared" si="49"/>
        <v>Y</v>
      </c>
      <c r="X208" s="56">
        <f t="shared" si="50"/>
        <v>0.60599999999999987</v>
      </c>
      <c r="Y208" s="56" t="str">
        <f t="shared" si="40"/>
        <v>Over 50%</v>
      </c>
      <c r="Z208" s="8" t="s">
        <v>145</v>
      </c>
      <c r="AB208" s="38">
        <v>8740</v>
      </c>
      <c r="AC208" s="38">
        <v>16060</v>
      </c>
      <c r="AD208" s="38"/>
      <c r="AE208" s="38"/>
      <c r="AF208" s="38"/>
      <c r="AG208" s="38"/>
      <c r="AH208" s="38"/>
    </row>
    <row r="209" spans="1:34" ht="24" customHeight="1" x14ac:dyDescent="0.25">
      <c r="A209" s="10">
        <v>142</v>
      </c>
      <c r="B209" s="9">
        <v>8.5416666666666655E-2</v>
      </c>
      <c r="C209" s="5" t="s">
        <v>20</v>
      </c>
      <c r="D209" s="5">
        <v>7</v>
      </c>
      <c r="E209" s="15"/>
      <c r="F209" s="15" t="s">
        <v>23</v>
      </c>
      <c r="G209" s="19">
        <f t="shared" si="41"/>
        <v>1.76</v>
      </c>
      <c r="H209" s="19">
        <f t="shared" si="42"/>
        <v>1.56</v>
      </c>
      <c r="I209" s="19">
        <f t="shared" si="43"/>
        <v>0</v>
      </c>
      <c r="J209" s="19">
        <f t="shared" si="44"/>
        <v>0</v>
      </c>
      <c r="K209" s="19">
        <f t="shared" si="45"/>
        <v>0</v>
      </c>
      <c r="L209" s="19">
        <f t="shared" si="46"/>
        <v>0</v>
      </c>
      <c r="M209" s="19">
        <f t="shared" si="47"/>
        <v>0</v>
      </c>
      <c r="N209" s="39">
        <f t="shared" si="48"/>
        <v>3.3200000000000003</v>
      </c>
      <c r="O209" s="39">
        <f t="shared" si="39"/>
        <v>1.7478962969290354E-2</v>
      </c>
      <c r="P209" s="40">
        <v>8</v>
      </c>
      <c r="Q209" s="40">
        <v>10</v>
      </c>
      <c r="R209" s="40">
        <v>9</v>
      </c>
      <c r="S209" s="40">
        <v>9</v>
      </c>
      <c r="T209" s="40">
        <v>9</v>
      </c>
      <c r="U209" s="40">
        <v>9</v>
      </c>
      <c r="V209" s="40">
        <v>9</v>
      </c>
      <c r="W209" s="41" t="str">
        <f t="shared" si="49"/>
        <v>N</v>
      </c>
      <c r="X209" s="56">
        <f t="shared" si="50"/>
        <v>0</v>
      </c>
      <c r="Y209" s="56" t="str">
        <f t="shared" si="40"/>
        <v>0-4.9%</v>
      </c>
      <c r="Z209" s="8" t="s">
        <v>145</v>
      </c>
      <c r="AB209" s="38">
        <v>1760</v>
      </c>
      <c r="AC209" s="38">
        <v>1560</v>
      </c>
      <c r="AD209" s="38"/>
      <c r="AE209" s="38"/>
      <c r="AF209" s="38"/>
      <c r="AG209" s="38"/>
      <c r="AH209" s="38"/>
    </row>
    <row r="210" spans="1:34" ht="24" customHeight="1" x14ac:dyDescent="0.25">
      <c r="A210" s="10">
        <v>143</v>
      </c>
      <c r="B210" s="9">
        <v>8.6111111111111124E-2</v>
      </c>
      <c r="C210" s="5" t="s">
        <v>20</v>
      </c>
      <c r="D210" s="5">
        <v>7</v>
      </c>
      <c r="E210" s="15"/>
      <c r="F210" s="15" t="s">
        <v>23</v>
      </c>
      <c r="G210" s="19">
        <f t="shared" si="41"/>
        <v>4.5199999999999996</v>
      </c>
      <c r="H210" s="19">
        <f t="shared" si="42"/>
        <v>9.64</v>
      </c>
      <c r="I210" s="19">
        <f t="shared" si="43"/>
        <v>0</v>
      </c>
      <c r="J210" s="19">
        <f t="shared" si="44"/>
        <v>0</v>
      </c>
      <c r="K210" s="19">
        <f t="shared" si="45"/>
        <v>0</v>
      </c>
      <c r="L210" s="19">
        <f t="shared" si="46"/>
        <v>0</v>
      </c>
      <c r="M210" s="19">
        <f t="shared" si="47"/>
        <v>0</v>
      </c>
      <c r="N210" s="39">
        <f t="shared" si="48"/>
        <v>14.16</v>
      </c>
      <c r="O210" s="39">
        <f t="shared" si="39"/>
        <v>11.944801189375982</v>
      </c>
      <c r="P210" s="40">
        <v>8</v>
      </c>
      <c r="Q210" s="40">
        <v>10</v>
      </c>
      <c r="R210" s="40">
        <v>9</v>
      </c>
      <c r="S210" s="40">
        <v>9</v>
      </c>
      <c r="T210" s="40">
        <v>9</v>
      </c>
      <c r="U210" s="40">
        <v>9</v>
      </c>
      <c r="V210" s="40">
        <v>9</v>
      </c>
      <c r="W210" s="41" t="str">
        <f t="shared" si="49"/>
        <v>N</v>
      </c>
      <c r="X210" s="56">
        <f t="shared" si="50"/>
        <v>0</v>
      </c>
      <c r="Y210" s="56" t="str">
        <f t="shared" si="40"/>
        <v>0-4.9%</v>
      </c>
      <c r="Z210" s="8" t="s">
        <v>111</v>
      </c>
      <c r="AB210" s="38">
        <v>4520</v>
      </c>
      <c r="AC210" s="38">
        <v>9640</v>
      </c>
      <c r="AD210" s="38"/>
      <c r="AE210" s="38"/>
      <c r="AF210" s="38"/>
      <c r="AG210" s="38"/>
      <c r="AH210" s="38"/>
    </row>
    <row r="211" spans="1:34" ht="24" customHeight="1" x14ac:dyDescent="0.25">
      <c r="A211" s="10">
        <v>144</v>
      </c>
      <c r="B211" s="9">
        <v>8.6805555555555566E-2</v>
      </c>
      <c r="C211" s="5" t="s">
        <v>20</v>
      </c>
      <c r="D211" s="5">
        <v>7</v>
      </c>
      <c r="E211" s="15"/>
      <c r="F211" s="15" t="s">
        <v>23</v>
      </c>
      <c r="G211" s="19">
        <f t="shared" si="41"/>
        <v>3.48</v>
      </c>
      <c r="H211" s="19">
        <f t="shared" si="42"/>
        <v>4.26</v>
      </c>
      <c r="I211" s="19">
        <f t="shared" si="43"/>
        <v>0</v>
      </c>
      <c r="J211" s="19">
        <f t="shared" si="44"/>
        <v>0</v>
      </c>
      <c r="K211" s="19">
        <f t="shared" si="45"/>
        <v>0</v>
      </c>
      <c r="L211" s="19">
        <f t="shared" si="46"/>
        <v>0</v>
      </c>
      <c r="M211" s="19">
        <f t="shared" si="47"/>
        <v>0</v>
      </c>
      <c r="N211" s="39">
        <f t="shared" si="48"/>
        <v>7.74</v>
      </c>
      <c r="O211" s="39">
        <f t="shared" si="39"/>
        <v>0.78836731165754559</v>
      </c>
      <c r="P211" s="40">
        <v>8</v>
      </c>
      <c r="Q211" s="40">
        <v>10</v>
      </c>
      <c r="R211" s="40">
        <v>9</v>
      </c>
      <c r="S211" s="40">
        <v>9</v>
      </c>
      <c r="T211" s="40">
        <v>9</v>
      </c>
      <c r="U211" s="40">
        <v>9</v>
      </c>
      <c r="V211" s="40">
        <v>9</v>
      </c>
      <c r="W211" s="41" t="str">
        <f t="shared" si="49"/>
        <v>N</v>
      </c>
      <c r="X211" s="56">
        <f t="shared" si="50"/>
        <v>0</v>
      </c>
      <c r="Y211" s="56" t="str">
        <f t="shared" si="40"/>
        <v>0-4.9%</v>
      </c>
      <c r="Z211" s="8" t="s">
        <v>118</v>
      </c>
      <c r="AB211" s="38">
        <v>3480</v>
      </c>
      <c r="AC211" s="38">
        <v>4260</v>
      </c>
      <c r="AD211" s="38"/>
      <c r="AE211" s="38"/>
      <c r="AF211" s="38"/>
      <c r="AG211" s="38"/>
      <c r="AH211" s="38"/>
    </row>
    <row r="212" spans="1:34" ht="24" customHeight="1" x14ac:dyDescent="0.25">
      <c r="A212" s="10">
        <v>145</v>
      </c>
      <c r="B212" s="9">
        <v>8.7500000000000008E-2</v>
      </c>
      <c r="C212" s="5" t="s">
        <v>20</v>
      </c>
      <c r="D212" s="5">
        <v>7</v>
      </c>
      <c r="E212" s="15"/>
      <c r="F212" s="15" t="s">
        <v>23</v>
      </c>
      <c r="G212" s="19">
        <f t="shared" si="41"/>
        <v>2.66</v>
      </c>
      <c r="H212" s="19">
        <f t="shared" si="42"/>
        <v>2.14</v>
      </c>
      <c r="I212" s="19">
        <f t="shared" si="43"/>
        <v>0</v>
      </c>
      <c r="J212" s="19">
        <f t="shared" si="44"/>
        <v>0</v>
      </c>
      <c r="K212" s="19">
        <f t="shared" si="45"/>
        <v>0</v>
      </c>
      <c r="L212" s="19">
        <f t="shared" si="46"/>
        <v>0</v>
      </c>
      <c r="M212" s="19">
        <f t="shared" si="47"/>
        <v>0</v>
      </c>
      <c r="N212" s="39">
        <f t="shared" si="48"/>
        <v>4.8000000000000007</v>
      </c>
      <c r="O212" s="39">
        <f t="shared" si="39"/>
        <v>9.1828999754238E-2</v>
      </c>
      <c r="P212" s="40">
        <v>8</v>
      </c>
      <c r="Q212" s="40">
        <v>10</v>
      </c>
      <c r="R212" s="40">
        <v>9</v>
      </c>
      <c r="S212" s="40">
        <v>9</v>
      </c>
      <c r="T212" s="40">
        <v>9</v>
      </c>
      <c r="U212" s="40">
        <v>9</v>
      </c>
      <c r="V212" s="40">
        <v>9</v>
      </c>
      <c r="W212" s="41" t="str">
        <f t="shared" si="49"/>
        <v>N</v>
      </c>
      <c r="X212" s="56">
        <f t="shared" si="50"/>
        <v>0</v>
      </c>
      <c r="Y212" s="56" t="str">
        <f t="shared" si="40"/>
        <v>0-4.9%</v>
      </c>
      <c r="Z212" s="8" t="s">
        <v>118</v>
      </c>
      <c r="AB212" s="38">
        <v>2660</v>
      </c>
      <c r="AC212" s="38">
        <v>2140</v>
      </c>
      <c r="AD212" s="38"/>
      <c r="AE212" s="38"/>
      <c r="AF212" s="38"/>
      <c r="AG212" s="38"/>
      <c r="AH212" s="38"/>
    </row>
    <row r="213" spans="1:34" ht="24" customHeight="1" x14ac:dyDescent="0.25">
      <c r="A213" s="10">
        <v>146</v>
      </c>
      <c r="B213" s="9">
        <v>8.819444444444445E-2</v>
      </c>
      <c r="C213" s="5" t="s">
        <v>20</v>
      </c>
      <c r="D213" s="5">
        <v>7</v>
      </c>
      <c r="E213" s="15"/>
      <c r="F213" s="15" t="s">
        <v>23</v>
      </c>
      <c r="G213" s="19">
        <f t="shared" si="41"/>
        <v>7.18</v>
      </c>
      <c r="H213" s="19">
        <f t="shared" si="42"/>
        <v>15.44</v>
      </c>
      <c r="I213" s="19">
        <f t="shared" si="43"/>
        <v>0</v>
      </c>
      <c r="J213" s="19">
        <f t="shared" si="44"/>
        <v>0</v>
      </c>
      <c r="K213" s="19">
        <f t="shared" si="45"/>
        <v>0</v>
      </c>
      <c r="L213" s="19">
        <f t="shared" si="46"/>
        <v>0</v>
      </c>
      <c r="M213" s="19">
        <f t="shared" si="47"/>
        <v>0</v>
      </c>
      <c r="N213" s="39">
        <f t="shared" si="48"/>
        <v>22.619999999999997</v>
      </c>
      <c r="O213" s="39">
        <f t="shared" si="39"/>
        <v>98.313008953855061</v>
      </c>
      <c r="P213" s="40">
        <v>8</v>
      </c>
      <c r="Q213" s="40">
        <v>10</v>
      </c>
      <c r="R213" s="40">
        <v>9</v>
      </c>
      <c r="S213" s="40">
        <v>9</v>
      </c>
      <c r="T213" s="40">
        <v>9</v>
      </c>
      <c r="U213" s="40">
        <v>9</v>
      </c>
      <c r="V213" s="40">
        <v>9</v>
      </c>
      <c r="W213" s="41" t="str">
        <f t="shared" si="49"/>
        <v>Y</v>
      </c>
      <c r="X213" s="56">
        <f t="shared" si="50"/>
        <v>0.54399999999999993</v>
      </c>
      <c r="Y213" s="56" t="str">
        <f t="shared" si="40"/>
        <v>Over 50%</v>
      </c>
      <c r="Z213" s="8" t="s">
        <v>111</v>
      </c>
      <c r="AB213" s="38">
        <v>7180</v>
      </c>
      <c r="AC213" s="38">
        <v>15440</v>
      </c>
      <c r="AD213" s="38"/>
      <c r="AE213" s="38"/>
      <c r="AF213" s="38"/>
      <c r="AG213" s="38"/>
      <c r="AH213" s="38"/>
    </row>
    <row r="214" spans="1:34" ht="24" customHeight="1" x14ac:dyDescent="0.25">
      <c r="A214" s="10">
        <v>151</v>
      </c>
      <c r="B214" s="9">
        <v>9.1666666666666674E-2</v>
      </c>
      <c r="C214" s="5" t="s">
        <v>20</v>
      </c>
      <c r="D214" s="5">
        <v>7</v>
      </c>
      <c r="E214" s="15"/>
      <c r="F214" s="15" t="s">
        <v>23</v>
      </c>
      <c r="G214" s="19">
        <f t="shared" si="41"/>
        <v>3.12</v>
      </c>
      <c r="H214" s="19">
        <f t="shared" si="42"/>
        <v>2.68</v>
      </c>
      <c r="I214" s="19">
        <f t="shared" si="43"/>
        <v>0</v>
      </c>
      <c r="J214" s="19">
        <f t="shared" si="44"/>
        <v>0</v>
      </c>
      <c r="K214" s="19">
        <f t="shared" si="45"/>
        <v>0</v>
      </c>
      <c r="L214" s="19">
        <f t="shared" si="46"/>
        <v>0</v>
      </c>
      <c r="M214" s="19">
        <f t="shared" si="47"/>
        <v>0</v>
      </c>
      <c r="N214" s="39">
        <f t="shared" si="48"/>
        <v>5.8000000000000007</v>
      </c>
      <c r="O214" s="39">
        <f t="shared" si="39"/>
        <v>0.21518909378717288</v>
      </c>
      <c r="P214" s="40">
        <v>8</v>
      </c>
      <c r="Q214" s="40">
        <v>10</v>
      </c>
      <c r="R214" s="40">
        <v>9</v>
      </c>
      <c r="S214" s="40">
        <v>9</v>
      </c>
      <c r="T214" s="40">
        <v>9</v>
      </c>
      <c r="U214" s="40">
        <v>9</v>
      </c>
      <c r="V214" s="40">
        <v>9</v>
      </c>
      <c r="W214" s="41" t="str">
        <f t="shared" si="49"/>
        <v>N</v>
      </c>
      <c r="X214" s="56">
        <f t="shared" si="50"/>
        <v>0</v>
      </c>
      <c r="Y214" s="56" t="str">
        <f t="shared" si="40"/>
        <v>0-4.9%</v>
      </c>
      <c r="Z214" s="8" t="s">
        <v>118</v>
      </c>
      <c r="AB214" s="38">
        <v>3120</v>
      </c>
      <c r="AC214" s="38">
        <v>2680</v>
      </c>
      <c r="AD214" s="38"/>
      <c r="AE214" s="38"/>
      <c r="AF214" s="38"/>
      <c r="AG214" s="38"/>
      <c r="AH214" s="38"/>
    </row>
    <row r="215" spans="1:34" ht="24" customHeight="1" x14ac:dyDescent="0.25">
      <c r="A215" s="10">
        <v>2</v>
      </c>
      <c r="B215" s="9">
        <v>0.10347222222222223</v>
      </c>
      <c r="C215" s="5" t="s">
        <v>20</v>
      </c>
      <c r="D215" s="5">
        <v>7</v>
      </c>
      <c r="E215" s="15"/>
      <c r="F215" s="15" t="s">
        <v>23</v>
      </c>
      <c r="G215" s="19">
        <f t="shared" si="41"/>
        <v>3.7</v>
      </c>
      <c r="H215" s="19">
        <f t="shared" si="42"/>
        <v>3.6</v>
      </c>
      <c r="I215" s="19">
        <f t="shared" si="43"/>
        <v>0</v>
      </c>
      <c r="J215" s="19">
        <f t="shared" si="44"/>
        <v>0</v>
      </c>
      <c r="K215" s="19">
        <f t="shared" si="45"/>
        <v>0</v>
      </c>
      <c r="L215" s="19">
        <f t="shared" si="46"/>
        <v>0</v>
      </c>
      <c r="M215" s="19">
        <f t="shared" si="47"/>
        <v>0</v>
      </c>
      <c r="N215" s="39">
        <f t="shared" si="48"/>
        <v>7.3000000000000007</v>
      </c>
      <c r="O215" s="39">
        <f t="shared" si="39"/>
        <v>0.6058249514115307</v>
      </c>
      <c r="P215" s="40">
        <v>8</v>
      </c>
      <c r="Q215" s="40">
        <v>10</v>
      </c>
      <c r="R215" s="40">
        <v>9</v>
      </c>
      <c r="S215" s="40">
        <v>9</v>
      </c>
      <c r="T215" s="40">
        <v>9</v>
      </c>
      <c r="U215" s="40">
        <v>9</v>
      </c>
      <c r="V215" s="40">
        <v>9</v>
      </c>
      <c r="W215" s="41" t="str">
        <f t="shared" si="49"/>
        <v>N</v>
      </c>
      <c r="X215" s="56">
        <f t="shared" si="50"/>
        <v>0</v>
      </c>
      <c r="Y215" s="56" t="str">
        <f t="shared" si="40"/>
        <v>0-4.9%</v>
      </c>
      <c r="Z215" s="8" t="s">
        <v>118</v>
      </c>
      <c r="AB215" s="38">
        <v>3700</v>
      </c>
      <c r="AC215" s="38">
        <v>3600</v>
      </c>
      <c r="AD215" s="38"/>
      <c r="AE215" s="38"/>
      <c r="AF215" s="38"/>
      <c r="AG215" s="38"/>
      <c r="AH215" s="38"/>
    </row>
    <row r="216" spans="1:34" ht="24" customHeight="1" x14ac:dyDescent="0.25">
      <c r="A216" s="10">
        <v>3</v>
      </c>
      <c r="B216" s="9">
        <v>0.10347222222222223</v>
      </c>
      <c r="C216" s="5" t="s">
        <v>20</v>
      </c>
      <c r="D216" s="5">
        <v>7</v>
      </c>
      <c r="E216" s="15"/>
      <c r="F216" s="15" t="s">
        <v>23</v>
      </c>
      <c r="G216" s="19">
        <f t="shared" si="41"/>
        <v>3.1</v>
      </c>
      <c r="H216" s="19">
        <f t="shared" si="42"/>
        <v>3.3</v>
      </c>
      <c r="I216" s="19">
        <f t="shared" si="43"/>
        <v>0</v>
      </c>
      <c r="J216" s="19">
        <f t="shared" si="44"/>
        <v>0</v>
      </c>
      <c r="K216" s="19">
        <f t="shared" si="45"/>
        <v>0</v>
      </c>
      <c r="L216" s="19">
        <f t="shared" si="46"/>
        <v>0</v>
      </c>
      <c r="M216" s="19">
        <f t="shared" si="47"/>
        <v>0</v>
      </c>
      <c r="N216" s="39">
        <f t="shared" si="48"/>
        <v>6.4</v>
      </c>
      <c r="O216" s="39">
        <f t="shared" si="39"/>
        <v>0.33512294859866604</v>
      </c>
      <c r="P216" s="40">
        <v>8</v>
      </c>
      <c r="Q216" s="40">
        <v>10</v>
      </c>
      <c r="R216" s="40">
        <v>9</v>
      </c>
      <c r="S216" s="40">
        <v>9</v>
      </c>
      <c r="T216" s="40">
        <v>9</v>
      </c>
      <c r="U216" s="40">
        <v>9</v>
      </c>
      <c r="V216" s="40">
        <v>9</v>
      </c>
      <c r="W216" s="41" t="str">
        <f t="shared" si="49"/>
        <v>N</v>
      </c>
      <c r="X216" s="56">
        <f t="shared" si="50"/>
        <v>0</v>
      </c>
      <c r="Y216" s="56" t="str">
        <f t="shared" si="40"/>
        <v>0-4.9%</v>
      </c>
      <c r="Z216" s="8" t="s">
        <v>118</v>
      </c>
      <c r="AB216" s="38">
        <v>3100</v>
      </c>
      <c r="AC216" s="38">
        <v>3300</v>
      </c>
      <c r="AD216" s="38"/>
      <c r="AE216" s="38"/>
      <c r="AF216" s="38"/>
      <c r="AG216" s="38"/>
      <c r="AH216" s="38"/>
    </row>
    <row r="217" spans="1:34" ht="24" customHeight="1" x14ac:dyDescent="0.25">
      <c r="A217" s="10">
        <v>4</v>
      </c>
      <c r="B217" s="9">
        <v>0.10347222222222223</v>
      </c>
      <c r="C217" s="5" t="s">
        <v>20</v>
      </c>
      <c r="D217" s="5">
        <v>7</v>
      </c>
      <c r="E217" s="15"/>
      <c r="F217" s="15" t="s">
        <v>23</v>
      </c>
      <c r="G217" s="19">
        <f t="shared" si="41"/>
        <v>2.74</v>
      </c>
      <c r="H217" s="19">
        <f t="shared" si="42"/>
        <v>2.48</v>
      </c>
      <c r="I217" s="19">
        <f t="shared" si="43"/>
        <v>0</v>
      </c>
      <c r="J217" s="19">
        <f t="shared" si="44"/>
        <v>0</v>
      </c>
      <c r="K217" s="19">
        <f t="shared" si="45"/>
        <v>0</v>
      </c>
      <c r="L217" s="19">
        <f t="shared" si="46"/>
        <v>0</v>
      </c>
      <c r="M217" s="19">
        <f t="shared" si="47"/>
        <v>0</v>
      </c>
      <c r="N217" s="39">
        <f t="shared" si="48"/>
        <v>5.2200000000000006</v>
      </c>
      <c r="O217" s="39">
        <f t="shared" si="39"/>
        <v>0.1339403869041467</v>
      </c>
      <c r="P217" s="40">
        <v>8</v>
      </c>
      <c r="Q217" s="40">
        <v>10</v>
      </c>
      <c r="R217" s="40">
        <v>9</v>
      </c>
      <c r="S217" s="40">
        <v>9</v>
      </c>
      <c r="T217" s="40">
        <v>9</v>
      </c>
      <c r="U217" s="40">
        <v>9</v>
      </c>
      <c r="V217" s="40">
        <v>9</v>
      </c>
      <c r="W217" s="41" t="str">
        <f t="shared" si="49"/>
        <v>N</v>
      </c>
      <c r="X217" s="56">
        <f t="shared" si="50"/>
        <v>0</v>
      </c>
      <c r="Y217" s="56" t="str">
        <f t="shared" si="40"/>
        <v>0-4.9%</v>
      </c>
      <c r="Z217" s="8" t="s">
        <v>118</v>
      </c>
      <c r="AB217" s="38">
        <v>2740</v>
      </c>
      <c r="AC217" s="38">
        <v>2480</v>
      </c>
      <c r="AD217" s="38"/>
      <c r="AE217" s="38"/>
      <c r="AF217" s="38"/>
      <c r="AG217" s="38"/>
      <c r="AH217" s="38"/>
    </row>
    <row r="218" spans="1:34" ht="24" customHeight="1" x14ac:dyDescent="0.25">
      <c r="A218" s="10">
        <v>5</v>
      </c>
      <c r="B218" s="9">
        <v>0.10416666666666667</v>
      </c>
      <c r="C218" s="5" t="s">
        <v>20</v>
      </c>
      <c r="D218" s="5">
        <v>7</v>
      </c>
      <c r="E218" s="15"/>
      <c r="F218" s="15" t="s">
        <v>23</v>
      </c>
      <c r="G218" s="19">
        <f t="shared" si="41"/>
        <v>2.68</v>
      </c>
      <c r="H218" s="19">
        <f t="shared" si="42"/>
        <v>2.12</v>
      </c>
      <c r="I218" s="19">
        <f t="shared" si="43"/>
        <v>0</v>
      </c>
      <c r="J218" s="19">
        <f t="shared" si="44"/>
        <v>0</v>
      </c>
      <c r="K218" s="19">
        <f t="shared" si="45"/>
        <v>0</v>
      </c>
      <c r="L218" s="19">
        <f t="shared" si="46"/>
        <v>0</v>
      </c>
      <c r="M218" s="19">
        <f t="shared" si="47"/>
        <v>0</v>
      </c>
      <c r="N218" s="39">
        <f t="shared" si="48"/>
        <v>4.8000000000000007</v>
      </c>
      <c r="O218" s="39">
        <f t="shared" si="39"/>
        <v>9.1828999754238E-2</v>
      </c>
      <c r="P218" s="40">
        <v>8</v>
      </c>
      <c r="Q218" s="40">
        <v>10</v>
      </c>
      <c r="R218" s="40">
        <v>9</v>
      </c>
      <c r="S218" s="40">
        <v>9</v>
      </c>
      <c r="T218" s="40">
        <v>9</v>
      </c>
      <c r="U218" s="40">
        <v>9</v>
      </c>
      <c r="V218" s="40">
        <v>9</v>
      </c>
      <c r="W218" s="41" t="str">
        <f t="shared" si="49"/>
        <v>N</v>
      </c>
      <c r="X218" s="56">
        <f t="shared" si="50"/>
        <v>0</v>
      </c>
      <c r="Y218" s="56" t="str">
        <f t="shared" si="40"/>
        <v>0-4.9%</v>
      </c>
      <c r="Z218" s="8" t="s">
        <v>118</v>
      </c>
      <c r="AB218" s="38">
        <v>2680</v>
      </c>
      <c r="AC218" s="38">
        <v>2120</v>
      </c>
      <c r="AD218" s="38"/>
      <c r="AE218" s="38"/>
      <c r="AF218" s="38"/>
      <c r="AG218" s="38"/>
      <c r="AH218" s="38"/>
    </row>
    <row r="219" spans="1:34" ht="24" customHeight="1" x14ac:dyDescent="0.25">
      <c r="A219" s="10">
        <v>6</v>
      </c>
      <c r="B219" s="9">
        <v>0.10486111111111111</v>
      </c>
      <c r="C219" s="5" t="s">
        <v>20</v>
      </c>
      <c r="D219" s="5">
        <v>7</v>
      </c>
      <c r="E219" s="15"/>
      <c r="F219" s="15" t="s">
        <v>23</v>
      </c>
      <c r="G219" s="19">
        <f t="shared" si="41"/>
        <v>2.3199999999999998</v>
      </c>
      <c r="H219" s="19">
        <f t="shared" si="42"/>
        <v>2.1800000000000002</v>
      </c>
      <c r="I219" s="19">
        <f t="shared" si="43"/>
        <v>0</v>
      </c>
      <c r="J219" s="19">
        <f t="shared" si="44"/>
        <v>0</v>
      </c>
      <c r="K219" s="19">
        <f t="shared" si="45"/>
        <v>0</v>
      </c>
      <c r="L219" s="19">
        <f t="shared" si="46"/>
        <v>0</v>
      </c>
      <c r="M219" s="19">
        <f t="shared" si="47"/>
        <v>0</v>
      </c>
      <c r="N219" s="39">
        <f t="shared" si="48"/>
        <v>4.5</v>
      </c>
      <c r="O219" s="39">
        <f t="shared" si="39"/>
        <v>6.8683212105061855E-2</v>
      </c>
      <c r="P219" s="40">
        <v>8</v>
      </c>
      <c r="Q219" s="40">
        <v>10</v>
      </c>
      <c r="R219" s="40">
        <v>9</v>
      </c>
      <c r="S219" s="40">
        <v>9</v>
      </c>
      <c r="T219" s="40">
        <v>9</v>
      </c>
      <c r="U219" s="40">
        <v>9</v>
      </c>
      <c r="V219" s="40">
        <v>9</v>
      </c>
      <c r="W219" s="41" t="str">
        <f t="shared" si="49"/>
        <v>N</v>
      </c>
      <c r="X219" s="56">
        <f t="shared" si="50"/>
        <v>0</v>
      </c>
      <c r="Y219" s="56" t="str">
        <f t="shared" si="40"/>
        <v>0-4.9%</v>
      </c>
      <c r="Z219" s="8" t="s">
        <v>145</v>
      </c>
      <c r="AB219" s="38">
        <v>2320</v>
      </c>
      <c r="AC219" s="38">
        <v>2180</v>
      </c>
      <c r="AD219" s="38"/>
      <c r="AE219" s="38"/>
      <c r="AF219" s="38"/>
      <c r="AG219" s="38"/>
      <c r="AH219" s="38"/>
    </row>
    <row r="220" spans="1:34" ht="24" customHeight="1" x14ac:dyDescent="0.25">
      <c r="A220" s="10">
        <v>7</v>
      </c>
      <c r="B220" s="9">
        <v>0.10555555555555556</v>
      </c>
      <c r="C220" s="5" t="s">
        <v>20</v>
      </c>
      <c r="D220" s="5">
        <v>7</v>
      </c>
      <c r="E220" s="15"/>
      <c r="F220" s="15" t="s">
        <v>23</v>
      </c>
      <c r="G220" s="19">
        <f t="shared" si="41"/>
        <v>2.86</v>
      </c>
      <c r="H220" s="19">
        <f t="shared" si="42"/>
        <v>2.64</v>
      </c>
      <c r="I220" s="19">
        <f t="shared" si="43"/>
        <v>0</v>
      </c>
      <c r="J220" s="19">
        <f t="shared" si="44"/>
        <v>0</v>
      </c>
      <c r="K220" s="19">
        <f t="shared" si="45"/>
        <v>0</v>
      </c>
      <c r="L220" s="19">
        <f t="shared" si="46"/>
        <v>0</v>
      </c>
      <c r="M220" s="19">
        <f t="shared" si="47"/>
        <v>0</v>
      </c>
      <c r="N220" s="39">
        <f t="shared" si="48"/>
        <v>5.5</v>
      </c>
      <c r="O220" s="39">
        <f t="shared" si="39"/>
        <v>0.16944407538767667</v>
      </c>
      <c r="P220" s="40">
        <v>8</v>
      </c>
      <c r="Q220" s="40">
        <v>10</v>
      </c>
      <c r="R220" s="40">
        <v>9</v>
      </c>
      <c r="S220" s="40">
        <v>9</v>
      </c>
      <c r="T220" s="40">
        <v>9</v>
      </c>
      <c r="U220" s="40">
        <v>9</v>
      </c>
      <c r="V220" s="40">
        <v>9</v>
      </c>
      <c r="W220" s="41" t="str">
        <f t="shared" si="49"/>
        <v>N</v>
      </c>
      <c r="X220" s="56">
        <f t="shared" si="50"/>
        <v>0</v>
      </c>
      <c r="Y220" s="56" t="str">
        <f t="shared" si="40"/>
        <v>0-4.9%</v>
      </c>
      <c r="Z220" s="8" t="s">
        <v>118</v>
      </c>
      <c r="AB220" s="38">
        <v>2860</v>
      </c>
      <c r="AC220" s="38">
        <v>2640</v>
      </c>
      <c r="AD220" s="38"/>
      <c r="AE220" s="38"/>
      <c r="AF220" s="38"/>
      <c r="AG220" s="38"/>
      <c r="AH220" s="38"/>
    </row>
    <row r="221" spans="1:34" ht="24" customHeight="1" x14ac:dyDescent="0.25">
      <c r="A221" s="10">
        <v>9</v>
      </c>
      <c r="B221" s="9">
        <v>0.1076388888888889</v>
      </c>
      <c r="C221" s="5" t="s">
        <v>20</v>
      </c>
      <c r="D221" s="5">
        <v>7</v>
      </c>
      <c r="E221" s="15"/>
      <c r="F221" s="15" t="s">
        <v>23</v>
      </c>
      <c r="G221" s="19">
        <f t="shared" si="41"/>
        <v>3.4</v>
      </c>
      <c r="H221" s="19">
        <f t="shared" si="42"/>
        <v>3.9</v>
      </c>
      <c r="I221" s="19">
        <f t="shared" si="43"/>
        <v>0</v>
      </c>
      <c r="J221" s="19">
        <f t="shared" si="44"/>
        <v>0</v>
      </c>
      <c r="K221" s="19">
        <f t="shared" si="45"/>
        <v>0</v>
      </c>
      <c r="L221" s="19">
        <f t="shared" si="46"/>
        <v>0</v>
      </c>
      <c r="M221" s="19">
        <f t="shared" si="47"/>
        <v>0</v>
      </c>
      <c r="N221" s="39">
        <f t="shared" si="48"/>
        <v>7.3</v>
      </c>
      <c r="O221" s="39">
        <f t="shared" si="39"/>
        <v>0.60582495141153048</v>
      </c>
      <c r="P221" s="40">
        <v>8</v>
      </c>
      <c r="Q221" s="40">
        <v>10</v>
      </c>
      <c r="R221" s="40">
        <v>9</v>
      </c>
      <c r="S221" s="40">
        <v>9</v>
      </c>
      <c r="T221" s="40">
        <v>9</v>
      </c>
      <c r="U221" s="40">
        <v>9</v>
      </c>
      <c r="V221" s="40">
        <v>9</v>
      </c>
      <c r="W221" s="41" t="str">
        <f t="shared" si="49"/>
        <v>N</v>
      </c>
      <c r="X221" s="56">
        <f t="shared" si="50"/>
        <v>0</v>
      </c>
      <c r="Y221" s="56" t="str">
        <f t="shared" si="40"/>
        <v>0-4.9%</v>
      </c>
      <c r="Z221" s="8" t="s">
        <v>118</v>
      </c>
      <c r="AB221" s="38">
        <v>3400</v>
      </c>
      <c r="AC221" s="38">
        <v>3900</v>
      </c>
      <c r="AD221" s="38"/>
      <c r="AE221" s="38"/>
      <c r="AF221" s="38"/>
      <c r="AG221" s="38"/>
      <c r="AH221" s="38"/>
    </row>
    <row r="222" spans="1:34" ht="24" customHeight="1" x14ac:dyDescent="0.25">
      <c r="A222" s="10">
        <v>10</v>
      </c>
      <c r="B222" s="9">
        <v>0.10833333333333334</v>
      </c>
      <c r="C222" s="5" t="s">
        <v>20</v>
      </c>
      <c r="D222" s="5">
        <v>7</v>
      </c>
      <c r="E222" s="15"/>
      <c r="F222" s="15" t="s">
        <v>23</v>
      </c>
      <c r="G222" s="19">
        <f t="shared" si="41"/>
        <v>5.82</v>
      </c>
      <c r="H222" s="19">
        <f t="shared" si="42"/>
        <v>14.42</v>
      </c>
      <c r="I222" s="19">
        <f t="shared" si="43"/>
        <v>0</v>
      </c>
      <c r="J222" s="19">
        <f t="shared" si="44"/>
        <v>0</v>
      </c>
      <c r="K222" s="19">
        <f t="shared" si="45"/>
        <v>0</v>
      </c>
      <c r="L222" s="19">
        <f t="shared" si="46"/>
        <v>0</v>
      </c>
      <c r="M222" s="19">
        <f t="shared" si="47"/>
        <v>0</v>
      </c>
      <c r="N222" s="39">
        <f t="shared" si="48"/>
        <v>20.240000000000002</v>
      </c>
      <c r="O222" s="39">
        <f t="shared" si="39"/>
        <v>59.613081574653862</v>
      </c>
      <c r="P222" s="40">
        <v>8</v>
      </c>
      <c r="Q222" s="40">
        <v>10</v>
      </c>
      <c r="R222" s="40">
        <v>9</v>
      </c>
      <c r="S222" s="40">
        <v>9</v>
      </c>
      <c r="T222" s="40">
        <v>9</v>
      </c>
      <c r="U222" s="40">
        <v>9</v>
      </c>
      <c r="V222" s="40">
        <v>9</v>
      </c>
      <c r="W222" s="41" t="str">
        <f t="shared" si="49"/>
        <v>Y</v>
      </c>
      <c r="X222" s="56">
        <f t="shared" si="50"/>
        <v>0.442</v>
      </c>
      <c r="Y222" s="56" t="str">
        <f t="shared" si="40"/>
        <v>25-50%</v>
      </c>
      <c r="Z222" s="8" t="s">
        <v>115</v>
      </c>
      <c r="AB222" s="38">
        <v>5820</v>
      </c>
      <c r="AC222" s="38">
        <v>14420</v>
      </c>
      <c r="AD222" s="38"/>
      <c r="AE222" s="38"/>
      <c r="AF222" s="38"/>
      <c r="AG222" s="38"/>
      <c r="AH222" s="38"/>
    </row>
    <row r="223" spans="1:34" ht="24" customHeight="1" x14ac:dyDescent="0.25">
      <c r="A223" s="10">
        <v>11</v>
      </c>
      <c r="B223" s="9">
        <v>0.10902777777777778</v>
      </c>
      <c r="C223" s="5" t="s">
        <v>20</v>
      </c>
      <c r="D223" s="5">
        <v>7</v>
      </c>
      <c r="E223" s="15"/>
      <c r="F223" s="15" t="s">
        <v>23</v>
      </c>
      <c r="G223" s="19">
        <f t="shared" si="41"/>
        <v>8.02</v>
      </c>
      <c r="H223" s="19">
        <f t="shared" si="42"/>
        <v>17.079999999999998</v>
      </c>
      <c r="I223" s="19">
        <f t="shared" si="43"/>
        <v>0</v>
      </c>
      <c r="J223" s="19">
        <f t="shared" si="44"/>
        <v>0</v>
      </c>
      <c r="K223" s="19">
        <f t="shared" si="45"/>
        <v>0</v>
      </c>
      <c r="L223" s="19">
        <f t="shared" si="46"/>
        <v>0</v>
      </c>
      <c r="M223" s="19">
        <f t="shared" si="47"/>
        <v>0</v>
      </c>
      <c r="N223" s="39">
        <f t="shared" si="48"/>
        <v>25.099999999999998</v>
      </c>
      <c r="O223" s="39">
        <f t="shared" si="39"/>
        <v>157.00953676471016</v>
      </c>
      <c r="P223" s="40">
        <v>8</v>
      </c>
      <c r="Q223" s="40">
        <v>10</v>
      </c>
      <c r="R223" s="40">
        <v>9</v>
      </c>
      <c r="S223" s="40">
        <v>9</v>
      </c>
      <c r="T223" s="40">
        <v>9</v>
      </c>
      <c r="U223" s="40">
        <v>9</v>
      </c>
      <c r="V223" s="40">
        <v>9</v>
      </c>
      <c r="W223" s="41" t="str">
        <f t="shared" si="49"/>
        <v>Y</v>
      </c>
      <c r="X223" s="56">
        <f t="shared" si="50"/>
        <v>0.70799999999999985</v>
      </c>
      <c r="Y223" s="56" t="str">
        <f t="shared" si="40"/>
        <v>Over 50%</v>
      </c>
      <c r="Z223" s="8" t="s">
        <v>115</v>
      </c>
      <c r="AB223" s="38">
        <v>8020</v>
      </c>
      <c r="AC223" s="38">
        <v>17080</v>
      </c>
      <c r="AD223" s="38"/>
      <c r="AE223" s="38"/>
      <c r="AF223" s="38"/>
      <c r="AG223" s="38"/>
      <c r="AH223" s="38"/>
    </row>
    <row r="224" spans="1:34" ht="24" customHeight="1" x14ac:dyDescent="0.25">
      <c r="A224" s="10">
        <v>12</v>
      </c>
      <c r="B224" s="9">
        <v>0.1111111111111111</v>
      </c>
      <c r="C224" s="5" t="s">
        <v>20</v>
      </c>
      <c r="D224" s="5">
        <v>7</v>
      </c>
      <c r="E224" s="15"/>
      <c r="F224" s="15" t="s">
        <v>23</v>
      </c>
      <c r="G224" s="19">
        <f t="shared" si="41"/>
        <v>3.36</v>
      </c>
      <c r="H224" s="19">
        <f t="shared" si="42"/>
        <v>3.46</v>
      </c>
      <c r="I224" s="19">
        <f t="shared" si="43"/>
        <v>0</v>
      </c>
      <c r="J224" s="19">
        <f t="shared" si="44"/>
        <v>0</v>
      </c>
      <c r="K224" s="19">
        <f t="shared" si="45"/>
        <v>0</v>
      </c>
      <c r="L224" s="19">
        <f t="shared" si="46"/>
        <v>0</v>
      </c>
      <c r="M224" s="19">
        <f t="shared" si="47"/>
        <v>0</v>
      </c>
      <c r="N224" s="39">
        <f t="shared" si="48"/>
        <v>6.82</v>
      </c>
      <c r="O224" s="39">
        <f t="shared" si="39"/>
        <v>0.44609152409353986</v>
      </c>
      <c r="P224" s="40">
        <v>8</v>
      </c>
      <c r="Q224" s="40">
        <v>10</v>
      </c>
      <c r="R224" s="40">
        <v>9</v>
      </c>
      <c r="S224" s="40">
        <v>9</v>
      </c>
      <c r="T224" s="40">
        <v>9</v>
      </c>
      <c r="U224" s="40">
        <v>9</v>
      </c>
      <c r="V224" s="40">
        <v>9</v>
      </c>
      <c r="W224" s="41" t="str">
        <f t="shared" si="49"/>
        <v>N</v>
      </c>
      <c r="X224" s="56">
        <f t="shared" si="50"/>
        <v>0</v>
      </c>
      <c r="Y224" s="56" t="str">
        <f t="shared" si="40"/>
        <v>0-4.9%</v>
      </c>
      <c r="Z224" s="8" t="s">
        <v>118</v>
      </c>
      <c r="AB224" s="38">
        <v>3360</v>
      </c>
      <c r="AC224" s="38">
        <v>3460</v>
      </c>
      <c r="AD224" s="38"/>
      <c r="AE224" s="38"/>
      <c r="AF224" s="38"/>
      <c r="AG224" s="38"/>
      <c r="AH224" s="38"/>
    </row>
    <row r="225" spans="1:34" ht="24" customHeight="1" x14ac:dyDescent="0.25">
      <c r="A225" s="10">
        <v>13</v>
      </c>
      <c r="B225" s="9">
        <v>0.11597222222222221</v>
      </c>
      <c r="C225" s="5" t="s">
        <v>20</v>
      </c>
      <c r="D225" s="5">
        <v>7</v>
      </c>
      <c r="E225" s="15"/>
      <c r="F225" s="15" t="s">
        <v>23</v>
      </c>
      <c r="G225" s="19">
        <f t="shared" si="41"/>
        <v>2.2599999999999998</v>
      </c>
      <c r="H225" s="19">
        <f t="shared" si="42"/>
        <v>2.06</v>
      </c>
      <c r="I225" s="19">
        <f t="shared" si="43"/>
        <v>0</v>
      </c>
      <c r="J225" s="19">
        <f t="shared" si="44"/>
        <v>0</v>
      </c>
      <c r="K225" s="19">
        <f t="shared" si="45"/>
        <v>0</v>
      </c>
      <c r="L225" s="19">
        <f t="shared" si="46"/>
        <v>0</v>
      </c>
      <c r="M225" s="19">
        <f t="shared" si="47"/>
        <v>0</v>
      </c>
      <c r="N225" s="39">
        <f t="shared" si="48"/>
        <v>4.32</v>
      </c>
      <c r="O225" s="39">
        <f t="shared" si="39"/>
        <v>5.7157226417190177E-2</v>
      </c>
      <c r="P225" s="40">
        <v>8</v>
      </c>
      <c r="Q225" s="40">
        <v>10</v>
      </c>
      <c r="R225" s="40">
        <v>9</v>
      </c>
      <c r="S225" s="40">
        <v>9</v>
      </c>
      <c r="T225" s="40">
        <v>9</v>
      </c>
      <c r="U225" s="40">
        <v>9</v>
      </c>
      <c r="V225" s="40">
        <v>9</v>
      </c>
      <c r="W225" s="41" t="str">
        <f t="shared" si="49"/>
        <v>N</v>
      </c>
      <c r="X225" s="56">
        <f t="shared" si="50"/>
        <v>0</v>
      </c>
      <c r="Y225" s="56" t="str">
        <f t="shared" si="40"/>
        <v>0-4.9%</v>
      </c>
      <c r="Z225" s="8" t="s">
        <v>118</v>
      </c>
      <c r="AB225" s="38">
        <v>2260</v>
      </c>
      <c r="AC225" s="38">
        <v>2060</v>
      </c>
      <c r="AD225" s="38"/>
      <c r="AE225" s="38"/>
      <c r="AF225" s="38"/>
      <c r="AG225" s="38"/>
      <c r="AH225" s="38"/>
    </row>
    <row r="226" spans="1:34" ht="24" customHeight="1" x14ac:dyDescent="0.25">
      <c r="A226" s="10">
        <v>14</v>
      </c>
      <c r="B226" s="9">
        <v>0.11597222222222221</v>
      </c>
      <c r="C226" s="5" t="s">
        <v>20</v>
      </c>
      <c r="D226" s="5">
        <v>7</v>
      </c>
      <c r="E226" s="15"/>
      <c r="F226" s="15" t="s">
        <v>23</v>
      </c>
      <c r="G226" s="19">
        <f t="shared" si="41"/>
        <v>3.92</v>
      </c>
      <c r="H226" s="19">
        <f t="shared" si="42"/>
        <v>3.92</v>
      </c>
      <c r="I226" s="19">
        <f t="shared" si="43"/>
        <v>0</v>
      </c>
      <c r="J226" s="19">
        <f t="shared" si="44"/>
        <v>0</v>
      </c>
      <c r="K226" s="19">
        <f t="shared" si="45"/>
        <v>0</v>
      </c>
      <c r="L226" s="19">
        <f t="shared" si="46"/>
        <v>0</v>
      </c>
      <c r="M226" s="19">
        <f t="shared" si="47"/>
        <v>0</v>
      </c>
      <c r="N226" s="39">
        <f t="shared" si="48"/>
        <v>7.84</v>
      </c>
      <c r="O226" s="39">
        <f t="shared" si="39"/>
        <v>0.83525016035433775</v>
      </c>
      <c r="P226" s="40">
        <v>8</v>
      </c>
      <c r="Q226" s="40">
        <v>10</v>
      </c>
      <c r="R226" s="40">
        <v>9</v>
      </c>
      <c r="S226" s="40">
        <v>9</v>
      </c>
      <c r="T226" s="40">
        <v>9</v>
      </c>
      <c r="U226" s="40">
        <v>9</v>
      </c>
      <c r="V226" s="40">
        <v>9</v>
      </c>
      <c r="W226" s="41" t="str">
        <f t="shared" si="49"/>
        <v>N</v>
      </c>
      <c r="X226" s="56">
        <f t="shared" si="50"/>
        <v>0</v>
      </c>
      <c r="Y226" s="56" t="str">
        <f t="shared" si="40"/>
        <v>0-4.9%</v>
      </c>
      <c r="Z226" s="8" t="s">
        <v>145</v>
      </c>
      <c r="AB226" s="38">
        <v>3920</v>
      </c>
      <c r="AC226" s="38">
        <v>3920</v>
      </c>
      <c r="AD226" s="38"/>
      <c r="AE226" s="38"/>
      <c r="AF226" s="38"/>
      <c r="AG226" s="38"/>
      <c r="AH226" s="38"/>
    </row>
    <row r="227" spans="1:34" ht="24" customHeight="1" x14ac:dyDescent="0.25">
      <c r="A227" s="10">
        <v>15</v>
      </c>
      <c r="B227" s="9">
        <v>0.11666666666666665</v>
      </c>
      <c r="C227" s="5" t="s">
        <v>20</v>
      </c>
      <c r="D227" s="5">
        <v>7</v>
      </c>
      <c r="E227" s="15"/>
      <c r="F227" s="15" t="s">
        <v>23</v>
      </c>
      <c r="G227" s="19">
        <f t="shared" si="41"/>
        <v>3.02</v>
      </c>
      <c r="H227" s="19">
        <f t="shared" si="42"/>
        <v>2.7</v>
      </c>
      <c r="I227" s="19">
        <f t="shared" si="43"/>
        <v>0</v>
      </c>
      <c r="J227" s="19">
        <f t="shared" si="44"/>
        <v>0</v>
      </c>
      <c r="K227" s="19">
        <f t="shared" si="45"/>
        <v>0</v>
      </c>
      <c r="L227" s="19">
        <f t="shared" si="46"/>
        <v>0</v>
      </c>
      <c r="M227" s="19">
        <f t="shared" si="47"/>
        <v>0</v>
      </c>
      <c r="N227" s="39">
        <f t="shared" si="48"/>
        <v>5.7200000000000006</v>
      </c>
      <c r="O227" s="39">
        <f t="shared" si="39"/>
        <v>0.20215124257255904</v>
      </c>
      <c r="P227" s="40">
        <v>8</v>
      </c>
      <c r="Q227" s="40">
        <v>10</v>
      </c>
      <c r="R227" s="40">
        <v>9</v>
      </c>
      <c r="S227" s="40">
        <v>9</v>
      </c>
      <c r="T227" s="40">
        <v>9</v>
      </c>
      <c r="U227" s="40">
        <v>9</v>
      </c>
      <c r="V227" s="40">
        <v>9</v>
      </c>
      <c r="W227" s="41" t="str">
        <f t="shared" si="49"/>
        <v>N</v>
      </c>
      <c r="X227" s="56">
        <f t="shared" si="50"/>
        <v>0</v>
      </c>
      <c r="Y227" s="56" t="str">
        <f t="shared" si="40"/>
        <v>0-4.9%</v>
      </c>
      <c r="Z227" s="8" t="s">
        <v>118</v>
      </c>
      <c r="AB227" s="38">
        <v>3020</v>
      </c>
      <c r="AC227" s="38">
        <v>2700</v>
      </c>
      <c r="AD227" s="38"/>
      <c r="AE227" s="38"/>
      <c r="AF227" s="38"/>
      <c r="AG227" s="38"/>
      <c r="AH227" s="38"/>
    </row>
    <row r="228" spans="1:34" ht="24" customHeight="1" x14ac:dyDescent="0.25">
      <c r="A228" s="10">
        <v>18</v>
      </c>
      <c r="B228" s="9">
        <v>0.11666666666666665</v>
      </c>
      <c r="C228" s="5" t="s">
        <v>20</v>
      </c>
      <c r="D228" s="5">
        <v>7</v>
      </c>
      <c r="E228" s="15"/>
      <c r="F228" s="15" t="s">
        <v>23</v>
      </c>
      <c r="G228" s="19">
        <f t="shared" si="41"/>
        <v>8.68</v>
      </c>
      <c r="H228" s="19">
        <f t="shared" si="42"/>
        <v>16.2</v>
      </c>
      <c r="I228" s="19">
        <f t="shared" si="43"/>
        <v>0</v>
      </c>
      <c r="J228" s="19">
        <f t="shared" si="44"/>
        <v>0</v>
      </c>
      <c r="K228" s="19">
        <f t="shared" si="45"/>
        <v>0</v>
      </c>
      <c r="L228" s="19">
        <f t="shared" si="46"/>
        <v>0</v>
      </c>
      <c r="M228" s="19">
        <f t="shared" si="47"/>
        <v>0</v>
      </c>
      <c r="N228" s="39">
        <f t="shared" si="48"/>
        <v>24.88</v>
      </c>
      <c r="O228" s="39">
        <f t="shared" si="39"/>
        <v>150.91102806231413</v>
      </c>
      <c r="P228" s="40">
        <v>8</v>
      </c>
      <c r="Q228" s="40">
        <v>10</v>
      </c>
      <c r="R228" s="40">
        <v>9</v>
      </c>
      <c r="S228" s="40">
        <v>9</v>
      </c>
      <c r="T228" s="40">
        <v>9</v>
      </c>
      <c r="U228" s="40">
        <v>9</v>
      </c>
      <c r="V228" s="40">
        <v>9</v>
      </c>
      <c r="W228" s="41" t="str">
        <f t="shared" si="49"/>
        <v>Y</v>
      </c>
      <c r="X228" s="56">
        <f t="shared" si="50"/>
        <v>0.61999999999999988</v>
      </c>
      <c r="Y228" s="56" t="str">
        <f t="shared" si="40"/>
        <v>Over 50%</v>
      </c>
      <c r="Z228" s="8" t="s">
        <v>111</v>
      </c>
      <c r="AB228" s="38">
        <v>8680</v>
      </c>
      <c r="AC228" s="38">
        <v>16200</v>
      </c>
      <c r="AD228" s="38"/>
      <c r="AE228" s="38"/>
      <c r="AF228" s="38"/>
      <c r="AG228" s="38"/>
      <c r="AH228" s="38"/>
    </row>
    <row r="229" spans="1:34" ht="24" customHeight="1" x14ac:dyDescent="0.25">
      <c r="A229" s="10">
        <v>19</v>
      </c>
      <c r="B229" s="9">
        <v>0.11805555555555557</v>
      </c>
      <c r="C229" s="5" t="s">
        <v>20</v>
      </c>
      <c r="D229" s="5">
        <v>7</v>
      </c>
      <c r="E229" s="15"/>
      <c r="F229" s="15" t="s">
        <v>23</v>
      </c>
      <c r="G229" s="19">
        <f t="shared" si="41"/>
        <v>6</v>
      </c>
      <c r="H229" s="19">
        <f t="shared" si="42"/>
        <v>17.100000000000001</v>
      </c>
      <c r="I229" s="19">
        <f t="shared" si="43"/>
        <v>0</v>
      </c>
      <c r="J229" s="19">
        <f t="shared" si="44"/>
        <v>0</v>
      </c>
      <c r="K229" s="19">
        <f t="shared" si="45"/>
        <v>0</v>
      </c>
      <c r="L229" s="19">
        <f t="shared" si="46"/>
        <v>0</v>
      </c>
      <c r="M229" s="19">
        <f t="shared" si="47"/>
        <v>0</v>
      </c>
      <c r="N229" s="39">
        <f t="shared" si="48"/>
        <v>23.1</v>
      </c>
      <c r="O229" s="39">
        <f t="shared" si="39"/>
        <v>108.0558278911695</v>
      </c>
      <c r="P229" s="40">
        <v>8</v>
      </c>
      <c r="Q229" s="40">
        <v>10</v>
      </c>
      <c r="R229" s="40">
        <v>9</v>
      </c>
      <c r="S229" s="40">
        <v>9</v>
      </c>
      <c r="T229" s="40">
        <v>9</v>
      </c>
      <c r="U229" s="40">
        <v>9</v>
      </c>
      <c r="V229" s="40">
        <v>9</v>
      </c>
      <c r="W229" s="41" t="str">
        <f t="shared" si="49"/>
        <v>Y</v>
      </c>
      <c r="X229" s="56">
        <f t="shared" si="50"/>
        <v>0.71000000000000019</v>
      </c>
      <c r="Y229" s="56" t="str">
        <f t="shared" si="40"/>
        <v>Over 50%</v>
      </c>
      <c r="Z229" s="8" t="s">
        <v>111</v>
      </c>
      <c r="AB229" s="38">
        <v>6000</v>
      </c>
      <c r="AC229" s="38">
        <v>17100</v>
      </c>
      <c r="AD229" s="38"/>
      <c r="AE229" s="38"/>
      <c r="AF229" s="38"/>
      <c r="AG229" s="38"/>
      <c r="AH229" s="38"/>
    </row>
    <row r="230" spans="1:34" ht="24" customHeight="1" x14ac:dyDescent="0.25">
      <c r="A230" s="10">
        <v>20</v>
      </c>
      <c r="B230" s="9">
        <v>0.11944444444444445</v>
      </c>
      <c r="C230" s="5" t="s">
        <v>20</v>
      </c>
      <c r="D230" s="5">
        <v>7</v>
      </c>
      <c r="E230" s="15"/>
      <c r="F230" s="15" t="s">
        <v>23</v>
      </c>
      <c r="G230" s="19">
        <f t="shared" si="41"/>
        <v>3.26</v>
      </c>
      <c r="H230" s="19">
        <f t="shared" si="42"/>
        <v>2.46</v>
      </c>
      <c r="I230" s="19">
        <f t="shared" si="43"/>
        <v>0</v>
      </c>
      <c r="J230" s="19">
        <f t="shared" si="44"/>
        <v>0</v>
      </c>
      <c r="K230" s="19">
        <f t="shared" si="45"/>
        <v>0</v>
      </c>
      <c r="L230" s="19">
        <f t="shared" si="46"/>
        <v>0</v>
      </c>
      <c r="M230" s="19">
        <f t="shared" si="47"/>
        <v>0</v>
      </c>
      <c r="N230" s="39">
        <f t="shared" si="48"/>
        <v>5.72</v>
      </c>
      <c r="O230" s="39">
        <f t="shared" si="39"/>
        <v>0.20215124257255893</v>
      </c>
      <c r="P230" s="40">
        <v>8</v>
      </c>
      <c r="Q230" s="40">
        <v>10</v>
      </c>
      <c r="R230" s="40">
        <v>9</v>
      </c>
      <c r="S230" s="40">
        <v>9</v>
      </c>
      <c r="T230" s="40">
        <v>9</v>
      </c>
      <c r="U230" s="40">
        <v>9</v>
      </c>
      <c r="V230" s="40">
        <v>9</v>
      </c>
      <c r="W230" s="41" t="str">
        <f t="shared" si="49"/>
        <v>N</v>
      </c>
      <c r="X230" s="56">
        <f t="shared" si="50"/>
        <v>0</v>
      </c>
      <c r="Y230" s="56" t="str">
        <f t="shared" si="40"/>
        <v>0-4.9%</v>
      </c>
      <c r="Z230" s="8" t="s">
        <v>118</v>
      </c>
      <c r="AB230" s="38">
        <v>3260</v>
      </c>
      <c r="AC230" s="38">
        <v>2460</v>
      </c>
      <c r="AD230" s="38"/>
      <c r="AE230" s="38"/>
      <c r="AF230" s="38"/>
      <c r="AG230" s="38"/>
      <c r="AH230" s="38"/>
    </row>
    <row r="231" spans="1:34" ht="24" customHeight="1" x14ac:dyDescent="0.25">
      <c r="A231" s="10">
        <v>21</v>
      </c>
      <c r="B231" s="9">
        <v>0.12013888888888889</v>
      </c>
      <c r="C231" s="5" t="s">
        <v>20</v>
      </c>
      <c r="D231" s="5">
        <v>7</v>
      </c>
      <c r="E231" s="15"/>
      <c r="F231" s="15" t="s">
        <v>23</v>
      </c>
      <c r="G231" s="19">
        <f t="shared" si="41"/>
        <v>2.02</v>
      </c>
      <c r="H231" s="19">
        <f t="shared" si="42"/>
        <v>1.8</v>
      </c>
      <c r="I231" s="19">
        <f t="shared" si="43"/>
        <v>0</v>
      </c>
      <c r="J231" s="19">
        <f t="shared" si="44"/>
        <v>0</v>
      </c>
      <c r="K231" s="19">
        <f t="shared" si="45"/>
        <v>0</v>
      </c>
      <c r="L231" s="19">
        <f t="shared" si="46"/>
        <v>0</v>
      </c>
      <c r="M231" s="19">
        <f t="shared" si="47"/>
        <v>0</v>
      </c>
      <c r="N231" s="39">
        <f t="shared" si="48"/>
        <v>3.8200000000000003</v>
      </c>
      <c r="O231" s="39">
        <f t="shared" si="39"/>
        <v>3.2860897345381244E-2</v>
      </c>
      <c r="P231" s="40">
        <v>8</v>
      </c>
      <c r="Q231" s="40">
        <v>10</v>
      </c>
      <c r="R231" s="40">
        <v>9</v>
      </c>
      <c r="S231" s="40">
        <v>9</v>
      </c>
      <c r="T231" s="40">
        <v>9</v>
      </c>
      <c r="U231" s="40">
        <v>9</v>
      </c>
      <c r="V231" s="40">
        <v>9</v>
      </c>
      <c r="W231" s="41" t="str">
        <f t="shared" si="49"/>
        <v>N</v>
      </c>
      <c r="X231" s="56">
        <f t="shared" si="50"/>
        <v>0</v>
      </c>
      <c r="Y231" s="56" t="str">
        <f t="shared" si="40"/>
        <v>0-4.9%</v>
      </c>
      <c r="Z231" s="8" t="s">
        <v>118</v>
      </c>
      <c r="AB231" s="38">
        <v>2020</v>
      </c>
      <c r="AC231" s="38">
        <v>1800</v>
      </c>
      <c r="AD231" s="38"/>
      <c r="AE231" s="38"/>
      <c r="AF231" s="38"/>
      <c r="AG231" s="38"/>
      <c r="AH231" s="38"/>
    </row>
    <row r="232" spans="1:34" ht="24" customHeight="1" x14ac:dyDescent="0.25">
      <c r="A232" s="10">
        <v>26</v>
      </c>
      <c r="B232" s="9">
        <v>0.12638888888888888</v>
      </c>
      <c r="C232" s="5" t="s">
        <v>20</v>
      </c>
      <c r="D232" s="5">
        <v>7</v>
      </c>
      <c r="E232" s="15"/>
      <c r="F232" s="15" t="s">
        <v>23</v>
      </c>
      <c r="G232" s="19">
        <f t="shared" si="41"/>
        <v>2.86</v>
      </c>
      <c r="H232" s="19">
        <f t="shared" si="42"/>
        <v>2.34</v>
      </c>
      <c r="I232" s="19">
        <f t="shared" si="43"/>
        <v>0</v>
      </c>
      <c r="J232" s="19">
        <f t="shared" si="44"/>
        <v>0</v>
      </c>
      <c r="K232" s="19">
        <f t="shared" si="45"/>
        <v>0</v>
      </c>
      <c r="L232" s="19">
        <f t="shared" si="46"/>
        <v>0</v>
      </c>
      <c r="M232" s="19">
        <f t="shared" si="47"/>
        <v>0</v>
      </c>
      <c r="N232" s="39">
        <f t="shared" si="48"/>
        <v>5.1999999999999993</v>
      </c>
      <c r="O232" s="39">
        <f t="shared" si="39"/>
        <v>0.13164650444808809</v>
      </c>
      <c r="P232" s="40">
        <v>8</v>
      </c>
      <c r="Q232" s="40">
        <v>10</v>
      </c>
      <c r="R232" s="40">
        <v>9</v>
      </c>
      <c r="S232" s="40">
        <v>9</v>
      </c>
      <c r="T232" s="40">
        <v>9</v>
      </c>
      <c r="U232" s="40">
        <v>9</v>
      </c>
      <c r="V232" s="40">
        <v>9</v>
      </c>
      <c r="W232" s="41" t="str">
        <f t="shared" si="49"/>
        <v>N</v>
      </c>
      <c r="X232" s="56">
        <f t="shared" si="50"/>
        <v>0</v>
      </c>
      <c r="Y232" s="56" t="str">
        <f t="shared" si="40"/>
        <v>0-4.9%</v>
      </c>
      <c r="Z232" s="8" t="s">
        <v>118</v>
      </c>
      <c r="AB232" s="38">
        <v>2860</v>
      </c>
      <c r="AC232" s="38">
        <v>2340</v>
      </c>
      <c r="AD232" s="38"/>
      <c r="AE232" s="38"/>
      <c r="AF232" s="38"/>
      <c r="AG232" s="38"/>
      <c r="AH232" s="38"/>
    </row>
    <row r="233" spans="1:34" ht="24" customHeight="1" x14ac:dyDescent="0.25">
      <c r="A233" s="10">
        <v>27</v>
      </c>
      <c r="B233" s="9">
        <v>0.12708333333333333</v>
      </c>
      <c r="C233" s="5" t="s">
        <v>20</v>
      </c>
      <c r="D233" s="5">
        <v>7</v>
      </c>
      <c r="E233" s="15"/>
      <c r="F233" s="15" t="s">
        <v>23</v>
      </c>
      <c r="G233" s="19">
        <f t="shared" si="41"/>
        <v>3.16</v>
      </c>
      <c r="H233" s="19">
        <f t="shared" si="42"/>
        <v>3.76</v>
      </c>
      <c r="I233" s="19">
        <f t="shared" si="43"/>
        <v>0</v>
      </c>
      <c r="J233" s="19">
        <f t="shared" si="44"/>
        <v>0</v>
      </c>
      <c r="K233" s="19">
        <f t="shared" si="45"/>
        <v>0</v>
      </c>
      <c r="L233" s="19">
        <f t="shared" si="46"/>
        <v>0</v>
      </c>
      <c r="M233" s="19">
        <f t="shared" si="47"/>
        <v>0</v>
      </c>
      <c r="N233" s="39">
        <f t="shared" si="48"/>
        <v>6.92</v>
      </c>
      <c r="O233" s="39">
        <f t="shared" si="39"/>
        <v>0.47629027125097884</v>
      </c>
      <c r="P233" s="40">
        <v>8</v>
      </c>
      <c r="Q233" s="40">
        <v>10</v>
      </c>
      <c r="R233" s="40">
        <v>9</v>
      </c>
      <c r="S233" s="40">
        <v>9</v>
      </c>
      <c r="T233" s="40">
        <v>9</v>
      </c>
      <c r="U233" s="40">
        <v>9</v>
      </c>
      <c r="V233" s="40">
        <v>9</v>
      </c>
      <c r="W233" s="41" t="str">
        <f t="shared" si="49"/>
        <v>N</v>
      </c>
      <c r="X233" s="56">
        <f t="shared" si="50"/>
        <v>0</v>
      </c>
      <c r="Y233" s="56" t="str">
        <f t="shared" si="40"/>
        <v>0-4.9%</v>
      </c>
      <c r="Z233" s="8" t="s">
        <v>145</v>
      </c>
      <c r="AB233" s="38">
        <v>3160</v>
      </c>
      <c r="AC233" s="38">
        <v>3760</v>
      </c>
      <c r="AD233" s="38"/>
      <c r="AE233" s="38"/>
      <c r="AF233" s="38"/>
      <c r="AG233" s="38"/>
      <c r="AH233" s="38"/>
    </row>
    <row r="234" spans="1:34" ht="24" customHeight="1" x14ac:dyDescent="0.25">
      <c r="A234" s="10">
        <v>28</v>
      </c>
      <c r="B234" s="9">
        <v>0.1277777777777778</v>
      </c>
      <c r="C234" s="5" t="s">
        <v>20</v>
      </c>
      <c r="D234" s="5">
        <v>7</v>
      </c>
      <c r="E234" s="15"/>
      <c r="F234" s="15" t="s">
        <v>23</v>
      </c>
      <c r="G234" s="19">
        <f t="shared" si="41"/>
        <v>2.4</v>
      </c>
      <c r="H234" s="19">
        <f t="shared" si="42"/>
        <v>2.1</v>
      </c>
      <c r="I234" s="19">
        <f t="shared" si="43"/>
        <v>0</v>
      </c>
      <c r="J234" s="19">
        <f t="shared" si="44"/>
        <v>0</v>
      </c>
      <c r="K234" s="19">
        <f t="shared" si="45"/>
        <v>0</v>
      </c>
      <c r="L234" s="19">
        <f t="shared" si="46"/>
        <v>0</v>
      </c>
      <c r="M234" s="19">
        <f t="shared" si="47"/>
        <v>0</v>
      </c>
      <c r="N234" s="39">
        <f t="shared" si="48"/>
        <v>4.5</v>
      </c>
      <c r="O234" s="39">
        <f t="shared" si="39"/>
        <v>6.8683212105061855E-2</v>
      </c>
      <c r="P234" s="40">
        <v>8</v>
      </c>
      <c r="Q234" s="40">
        <v>10</v>
      </c>
      <c r="R234" s="40">
        <v>9</v>
      </c>
      <c r="S234" s="40">
        <v>9</v>
      </c>
      <c r="T234" s="40">
        <v>9</v>
      </c>
      <c r="U234" s="40">
        <v>9</v>
      </c>
      <c r="V234" s="40">
        <v>9</v>
      </c>
      <c r="W234" s="41" t="str">
        <f t="shared" si="49"/>
        <v>N</v>
      </c>
      <c r="X234" s="56">
        <f t="shared" si="50"/>
        <v>0</v>
      </c>
      <c r="Y234" s="56" t="str">
        <f t="shared" si="40"/>
        <v>0-4.9%</v>
      </c>
      <c r="Z234" s="8" t="s">
        <v>118</v>
      </c>
      <c r="AB234" s="38">
        <v>2400</v>
      </c>
      <c r="AC234" s="38">
        <v>2100</v>
      </c>
      <c r="AD234" s="38"/>
      <c r="AE234" s="38"/>
      <c r="AF234" s="38"/>
      <c r="AG234" s="38"/>
      <c r="AH234" s="38"/>
    </row>
    <row r="235" spans="1:34" ht="24" customHeight="1" x14ac:dyDescent="0.25">
      <c r="A235" s="10">
        <v>29</v>
      </c>
      <c r="B235" s="9">
        <v>0.12847222222222224</v>
      </c>
      <c r="C235" s="5" t="s">
        <v>20</v>
      </c>
      <c r="D235" s="5">
        <v>7</v>
      </c>
      <c r="E235" s="15"/>
      <c r="F235" s="15" t="s">
        <v>23</v>
      </c>
      <c r="G235" s="19">
        <f t="shared" si="41"/>
        <v>2.68</v>
      </c>
      <c r="H235" s="19">
        <f t="shared" si="42"/>
        <v>1.28</v>
      </c>
      <c r="I235" s="19">
        <f t="shared" si="43"/>
        <v>0</v>
      </c>
      <c r="J235" s="19">
        <f t="shared" si="44"/>
        <v>0</v>
      </c>
      <c r="K235" s="19">
        <f t="shared" si="45"/>
        <v>0</v>
      </c>
      <c r="L235" s="19">
        <f t="shared" si="46"/>
        <v>0</v>
      </c>
      <c r="M235" s="19">
        <f t="shared" si="47"/>
        <v>0</v>
      </c>
      <c r="N235" s="39">
        <f t="shared" si="48"/>
        <v>3.96</v>
      </c>
      <c r="O235" s="39">
        <f t="shared" si="39"/>
        <v>3.8638710332098279E-2</v>
      </c>
      <c r="P235" s="40">
        <v>8</v>
      </c>
      <c r="Q235" s="40">
        <v>10</v>
      </c>
      <c r="R235" s="40">
        <v>9</v>
      </c>
      <c r="S235" s="40">
        <v>9</v>
      </c>
      <c r="T235" s="40">
        <v>9</v>
      </c>
      <c r="U235" s="40">
        <v>9</v>
      </c>
      <c r="V235" s="40">
        <v>9</v>
      </c>
      <c r="W235" s="41" t="str">
        <f t="shared" si="49"/>
        <v>N</v>
      </c>
      <c r="X235" s="56">
        <f t="shared" si="50"/>
        <v>0</v>
      </c>
      <c r="Y235" s="56" t="str">
        <f t="shared" si="40"/>
        <v>0-4.9%</v>
      </c>
      <c r="Z235" s="8" t="s">
        <v>118</v>
      </c>
      <c r="AB235" s="38">
        <v>2680</v>
      </c>
      <c r="AC235" s="38">
        <v>1280</v>
      </c>
      <c r="AD235" s="38"/>
      <c r="AE235" s="38"/>
      <c r="AF235" s="38"/>
      <c r="AG235" s="38"/>
      <c r="AH235" s="38"/>
    </row>
    <row r="236" spans="1:34" ht="24" customHeight="1" x14ac:dyDescent="0.25">
      <c r="A236" s="10">
        <v>31</v>
      </c>
      <c r="B236" s="9">
        <v>0.12986111111111112</v>
      </c>
      <c r="C236" s="5" t="s">
        <v>20</v>
      </c>
      <c r="D236" s="5">
        <v>7</v>
      </c>
      <c r="E236" s="15"/>
      <c r="F236" s="15" t="s">
        <v>23</v>
      </c>
      <c r="G236" s="19">
        <f t="shared" si="41"/>
        <v>7.82</v>
      </c>
      <c r="H236" s="19">
        <f t="shared" si="42"/>
        <v>18.739999999999998</v>
      </c>
      <c r="I236" s="19">
        <f t="shared" si="43"/>
        <v>0</v>
      </c>
      <c r="J236" s="19">
        <f t="shared" si="44"/>
        <v>0</v>
      </c>
      <c r="K236" s="19">
        <f t="shared" si="45"/>
        <v>0</v>
      </c>
      <c r="L236" s="19">
        <f t="shared" si="46"/>
        <v>0</v>
      </c>
      <c r="M236" s="19">
        <f t="shared" si="47"/>
        <v>0</v>
      </c>
      <c r="N236" s="39">
        <f t="shared" si="48"/>
        <v>26.56</v>
      </c>
      <c r="O236" s="39">
        <f t="shared" si="39"/>
        <v>202.49793730467846</v>
      </c>
      <c r="P236" s="40">
        <v>8</v>
      </c>
      <c r="Q236" s="40">
        <v>10</v>
      </c>
      <c r="R236" s="40">
        <v>9</v>
      </c>
      <c r="S236" s="40">
        <v>9</v>
      </c>
      <c r="T236" s="40">
        <v>9</v>
      </c>
      <c r="U236" s="40">
        <v>9</v>
      </c>
      <c r="V236" s="40">
        <v>9</v>
      </c>
      <c r="W236" s="41" t="str">
        <f t="shared" si="49"/>
        <v>Y</v>
      </c>
      <c r="X236" s="56">
        <f t="shared" si="50"/>
        <v>0.87399999999999989</v>
      </c>
      <c r="Y236" s="56" t="str">
        <f t="shared" si="40"/>
        <v>Over 50%</v>
      </c>
      <c r="Z236" s="8" t="s">
        <v>107</v>
      </c>
      <c r="AB236" s="38">
        <v>7820</v>
      </c>
      <c r="AC236" s="38">
        <v>18740</v>
      </c>
      <c r="AD236" s="38"/>
      <c r="AE236" s="38"/>
      <c r="AF236" s="38"/>
      <c r="AG236" s="38"/>
      <c r="AH236" s="38"/>
    </row>
    <row r="237" spans="1:34" ht="24" customHeight="1" x14ac:dyDescent="0.25">
      <c r="A237" s="10">
        <v>32</v>
      </c>
      <c r="B237" s="9">
        <v>0.13125000000000001</v>
      </c>
      <c r="C237" s="5" t="s">
        <v>20</v>
      </c>
      <c r="D237" s="5">
        <v>7</v>
      </c>
      <c r="E237" s="15"/>
      <c r="F237" s="15" t="s">
        <v>23</v>
      </c>
      <c r="G237" s="19">
        <f t="shared" si="41"/>
        <v>3.88</v>
      </c>
      <c r="H237" s="19">
        <f t="shared" si="42"/>
        <v>3.94</v>
      </c>
      <c r="I237" s="19">
        <f t="shared" si="43"/>
        <v>0</v>
      </c>
      <c r="J237" s="19">
        <f t="shared" si="44"/>
        <v>0</v>
      </c>
      <c r="K237" s="19">
        <f t="shared" si="45"/>
        <v>0</v>
      </c>
      <c r="L237" s="19">
        <f t="shared" si="46"/>
        <v>0</v>
      </c>
      <c r="M237" s="19">
        <f t="shared" si="47"/>
        <v>0</v>
      </c>
      <c r="N237" s="39">
        <f t="shared" si="48"/>
        <v>7.82</v>
      </c>
      <c r="O237" s="39">
        <f t="shared" si="39"/>
        <v>0.82570454357056522</v>
      </c>
      <c r="P237" s="40">
        <v>8</v>
      </c>
      <c r="Q237" s="40">
        <v>10</v>
      </c>
      <c r="R237" s="40">
        <v>9</v>
      </c>
      <c r="S237" s="40">
        <v>9</v>
      </c>
      <c r="T237" s="40">
        <v>9</v>
      </c>
      <c r="U237" s="40">
        <v>9</v>
      </c>
      <c r="V237" s="40">
        <v>9</v>
      </c>
      <c r="W237" s="41" t="str">
        <f t="shared" si="49"/>
        <v>N</v>
      </c>
      <c r="X237" s="56">
        <f t="shared" si="50"/>
        <v>0</v>
      </c>
      <c r="Y237" s="56" t="str">
        <f t="shared" si="40"/>
        <v>0-4.9%</v>
      </c>
      <c r="Z237" s="8" t="s">
        <v>118</v>
      </c>
      <c r="AB237" s="38">
        <v>3880</v>
      </c>
      <c r="AC237" s="38">
        <v>3940</v>
      </c>
      <c r="AD237" s="38"/>
      <c r="AE237" s="38"/>
      <c r="AF237" s="38"/>
      <c r="AG237" s="38"/>
      <c r="AH237" s="38"/>
    </row>
    <row r="238" spans="1:34" ht="24" customHeight="1" x14ac:dyDescent="0.25">
      <c r="A238" s="10">
        <v>33</v>
      </c>
      <c r="B238" s="9">
        <v>0.13125000000000001</v>
      </c>
      <c r="C238" s="5" t="s">
        <v>20</v>
      </c>
      <c r="D238" s="5">
        <v>7</v>
      </c>
      <c r="E238" s="15"/>
      <c r="F238" s="15" t="s">
        <v>23</v>
      </c>
      <c r="G238" s="19">
        <f t="shared" si="41"/>
        <v>3.4</v>
      </c>
      <c r="H238" s="19">
        <f t="shared" si="42"/>
        <v>7.96</v>
      </c>
      <c r="I238" s="19">
        <f t="shared" si="43"/>
        <v>0</v>
      </c>
      <c r="J238" s="19">
        <f t="shared" si="44"/>
        <v>0</v>
      </c>
      <c r="K238" s="19">
        <f t="shared" si="45"/>
        <v>0</v>
      </c>
      <c r="L238" s="19">
        <f t="shared" si="46"/>
        <v>0</v>
      </c>
      <c r="M238" s="19">
        <f t="shared" si="47"/>
        <v>0</v>
      </c>
      <c r="N238" s="39">
        <f t="shared" si="48"/>
        <v>11.36</v>
      </c>
      <c r="O238" s="39">
        <f t="shared" si="39"/>
        <v>4.4319696408218583</v>
      </c>
      <c r="P238" s="40">
        <v>8</v>
      </c>
      <c r="Q238" s="40">
        <v>10</v>
      </c>
      <c r="R238" s="40">
        <v>9</v>
      </c>
      <c r="S238" s="40">
        <v>9</v>
      </c>
      <c r="T238" s="40">
        <v>9</v>
      </c>
      <c r="U238" s="40">
        <v>9</v>
      </c>
      <c r="V238" s="40">
        <v>9</v>
      </c>
      <c r="W238" s="41" t="str">
        <f t="shared" si="49"/>
        <v>N</v>
      </c>
      <c r="X238" s="56">
        <f t="shared" si="50"/>
        <v>0</v>
      </c>
      <c r="Y238" s="56" t="str">
        <f t="shared" si="40"/>
        <v>0-4.9%</v>
      </c>
      <c r="Z238" s="8" t="s">
        <v>111</v>
      </c>
      <c r="AB238" s="38">
        <v>3400</v>
      </c>
      <c r="AC238" s="38">
        <v>7960</v>
      </c>
      <c r="AD238" s="38"/>
      <c r="AE238" s="38"/>
      <c r="AF238" s="38"/>
      <c r="AG238" s="38"/>
      <c r="AH238" s="38"/>
    </row>
    <row r="239" spans="1:34" ht="24" customHeight="1" x14ac:dyDescent="0.25">
      <c r="A239" s="10">
        <v>34</v>
      </c>
      <c r="B239" s="9">
        <v>0.13194444444444445</v>
      </c>
      <c r="C239" s="5" t="s">
        <v>20</v>
      </c>
      <c r="D239" s="5">
        <v>7</v>
      </c>
      <c r="E239" s="15"/>
      <c r="F239" s="15" t="s">
        <v>23</v>
      </c>
      <c r="G239" s="19">
        <f t="shared" si="41"/>
        <v>2.04</v>
      </c>
      <c r="H239" s="19">
        <f t="shared" si="42"/>
        <v>2.2200000000000002</v>
      </c>
      <c r="I239" s="19">
        <f t="shared" si="43"/>
        <v>0</v>
      </c>
      <c r="J239" s="19">
        <f t="shared" si="44"/>
        <v>0</v>
      </c>
      <c r="K239" s="19">
        <f t="shared" si="45"/>
        <v>0</v>
      </c>
      <c r="L239" s="19">
        <f t="shared" si="46"/>
        <v>0</v>
      </c>
      <c r="M239" s="19">
        <f t="shared" si="47"/>
        <v>0</v>
      </c>
      <c r="N239" s="39">
        <f t="shared" si="48"/>
        <v>4.26</v>
      </c>
      <c r="O239" s="39">
        <f t="shared" si="39"/>
        <v>5.3670727430242059E-2</v>
      </c>
      <c r="P239" s="40">
        <v>8</v>
      </c>
      <c r="Q239" s="40">
        <v>10</v>
      </c>
      <c r="R239" s="40">
        <v>9</v>
      </c>
      <c r="S239" s="40">
        <v>9</v>
      </c>
      <c r="T239" s="40">
        <v>9</v>
      </c>
      <c r="U239" s="40">
        <v>9</v>
      </c>
      <c r="V239" s="40">
        <v>9</v>
      </c>
      <c r="W239" s="41" t="str">
        <f t="shared" si="49"/>
        <v>N</v>
      </c>
      <c r="X239" s="56">
        <f t="shared" si="50"/>
        <v>0</v>
      </c>
      <c r="Y239" s="56" t="str">
        <f t="shared" si="40"/>
        <v>0-4.9%</v>
      </c>
      <c r="Z239" s="8" t="s">
        <v>107</v>
      </c>
      <c r="AB239" s="38">
        <v>2040</v>
      </c>
      <c r="AC239" s="38">
        <v>2220</v>
      </c>
      <c r="AD239" s="38"/>
      <c r="AE239" s="38"/>
      <c r="AF239" s="38"/>
      <c r="AG239" s="38"/>
      <c r="AH239" s="38"/>
    </row>
    <row r="240" spans="1:34" ht="24" customHeight="1" x14ac:dyDescent="0.25">
      <c r="A240" s="10">
        <v>38</v>
      </c>
      <c r="B240" s="9">
        <v>0.13958333333333334</v>
      </c>
      <c r="C240" s="5" t="s">
        <v>20</v>
      </c>
      <c r="D240" s="5">
        <v>7</v>
      </c>
      <c r="E240" s="15"/>
      <c r="F240" s="15" t="s">
        <v>23</v>
      </c>
      <c r="G240" s="19">
        <f t="shared" si="41"/>
        <v>4.22</v>
      </c>
      <c r="H240" s="19">
        <f t="shared" si="42"/>
        <v>7.44</v>
      </c>
      <c r="I240" s="19">
        <f t="shared" si="43"/>
        <v>0</v>
      </c>
      <c r="J240" s="19">
        <f t="shared" si="44"/>
        <v>0</v>
      </c>
      <c r="K240" s="19">
        <f t="shared" si="45"/>
        <v>0</v>
      </c>
      <c r="L240" s="19">
        <f t="shared" si="46"/>
        <v>0</v>
      </c>
      <c r="M240" s="19">
        <f t="shared" si="47"/>
        <v>0</v>
      </c>
      <c r="N240" s="39">
        <f t="shared" si="48"/>
        <v>11.66</v>
      </c>
      <c r="O240" s="39">
        <f t="shared" si="39"/>
        <v>4.9835378664369365</v>
      </c>
      <c r="P240" s="40">
        <v>8</v>
      </c>
      <c r="Q240" s="40">
        <v>10</v>
      </c>
      <c r="R240" s="40">
        <v>9</v>
      </c>
      <c r="S240" s="40">
        <v>9</v>
      </c>
      <c r="T240" s="40">
        <v>9</v>
      </c>
      <c r="U240" s="40">
        <v>9</v>
      </c>
      <c r="V240" s="40">
        <v>9</v>
      </c>
      <c r="W240" s="41" t="str">
        <f t="shared" si="49"/>
        <v>N</v>
      </c>
      <c r="X240" s="56">
        <f t="shared" si="50"/>
        <v>0</v>
      </c>
      <c r="Y240" s="56" t="str">
        <f t="shared" si="40"/>
        <v>0-4.9%</v>
      </c>
      <c r="Z240" s="8" t="s">
        <v>111</v>
      </c>
      <c r="AB240" s="38">
        <v>4220</v>
      </c>
      <c r="AC240" s="38">
        <v>7440</v>
      </c>
      <c r="AD240" s="38"/>
      <c r="AE240" s="38"/>
      <c r="AF240" s="38"/>
      <c r="AG240" s="38"/>
      <c r="AH240" s="38"/>
    </row>
    <row r="241" spans="1:34" ht="24" customHeight="1" x14ac:dyDescent="0.25">
      <c r="A241" s="10">
        <v>42</v>
      </c>
      <c r="B241" s="9">
        <v>0.15277777777777776</v>
      </c>
      <c r="C241" s="5" t="s">
        <v>20</v>
      </c>
      <c r="D241" s="5">
        <v>7</v>
      </c>
      <c r="E241" s="15"/>
      <c r="F241" s="15" t="s">
        <v>23</v>
      </c>
      <c r="G241" s="19">
        <f t="shared" si="41"/>
        <v>2.98</v>
      </c>
      <c r="H241" s="19">
        <f t="shared" si="42"/>
        <v>3.04</v>
      </c>
      <c r="I241" s="19">
        <f t="shared" si="43"/>
        <v>0</v>
      </c>
      <c r="J241" s="19">
        <f t="shared" si="44"/>
        <v>0</v>
      </c>
      <c r="K241" s="19">
        <f t="shared" si="45"/>
        <v>0</v>
      </c>
      <c r="L241" s="19">
        <f t="shared" si="46"/>
        <v>0</v>
      </c>
      <c r="M241" s="19">
        <f t="shared" si="47"/>
        <v>0</v>
      </c>
      <c r="N241" s="39">
        <f t="shared" si="48"/>
        <v>6.02</v>
      </c>
      <c r="O241" s="39">
        <f t="shared" si="39"/>
        <v>0.25443596301644156</v>
      </c>
      <c r="P241" s="40">
        <v>8</v>
      </c>
      <c r="Q241" s="40">
        <v>10</v>
      </c>
      <c r="R241" s="40">
        <v>9</v>
      </c>
      <c r="S241" s="40">
        <v>9</v>
      </c>
      <c r="T241" s="40">
        <v>9</v>
      </c>
      <c r="U241" s="40">
        <v>9</v>
      </c>
      <c r="V241" s="40">
        <v>9</v>
      </c>
      <c r="W241" s="41" t="str">
        <f t="shared" si="49"/>
        <v>N</v>
      </c>
      <c r="X241" s="56">
        <f t="shared" si="50"/>
        <v>0</v>
      </c>
      <c r="Y241" s="56" t="str">
        <f t="shared" si="40"/>
        <v>0-4.9%</v>
      </c>
      <c r="Z241" s="8" t="s">
        <v>118</v>
      </c>
      <c r="AB241" s="38">
        <v>2980</v>
      </c>
      <c r="AC241" s="38">
        <v>3040</v>
      </c>
      <c r="AD241" s="38"/>
      <c r="AE241" s="38"/>
      <c r="AF241" s="38"/>
      <c r="AG241" s="38"/>
      <c r="AH241" s="38"/>
    </row>
    <row r="242" spans="1:34" ht="24" customHeight="1" x14ac:dyDescent="0.25">
      <c r="A242" s="10">
        <v>43</v>
      </c>
      <c r="B242" s="9">
        <v>0.16041666666666668</v>
      </c>
      <c r="C242" s="5" t="s">
        <v>20</v>
      </c>
      <c r="D242" s="5">
        <v>7</v>
      </c>
      <c r="E242" s="15"/>
      <c r="F242" s="15" t="s">
        <v>23</v>
      </c>
      <c r="G242" s="19">
        <f t="shared" si="41"/>
        <v>2.2200000000000002</v>
      </c>
      <c r="H242" s="19">
        <f t="shared" si="42"/>
        <v>1.92</v>
      </c>
      <c r="I242" s="19">
        <f t="shared" si="43"/>
        <v>0</v>
      </c>
      <c r="J242" s="19">
        <f t="shared" si="44"/>
        <v>0</v>
      </c>
      <c r="K242" s="19">
        <f t="shared" si="45"/>
        <v>0</v>
      </c>
      <c r="L242" s="19">
        <f t="shared" si="46"/>
        <v>0</v>
      </c>
      <c r="M242" s="19">
        <f t="shared" si="47"/>
        <v>0</v>
      </c>
      <c r="N242" s="39">
        <f t="shared" si="48"/>
        <v>4.1400000000000006</v>
      </c>
      <c r="O242" s="39">
        <f t="shared" si="39"/>
        <v>4.7194981550565507E-2</v>
      </c>
      <c r="P242" s="40">
        <v>8</v>
      </c>
      <c r="Q242" s="40">
        <v>10</v>
      </c>
      <c r="R242" s="40">
        <v>9</v>
      </c>
      <c r="S242" s="40">
        <v>9</v>
      </c>
      <c r="T242" s="40">
        <v>9</v>
      </c>
      <c r="U242" s="40">
        <v>9</v>
      </c>
      <c r="V242" s="40">
        <v>9</v>
      </c>
      <c r="W242" s="41" t="str">
        <f t="shared" si="49"/>
        <v>N</v>
      </c>
      <c r="X242" s="56">
        <f t="shared" si="50"/>
        <v>0</v>
      </c>
      <c r="Y242" s="56" t="str">
        <f t="shared" si="40"/>
        <v>0-4.9%</v>
      </c>
      <c r="Z242" s="8" t="s">
        <v>118</v>
      </c>
      <c r="AB242" s="38">
        <v>2220</v>
      </c>
      <c r="AC242" s="38">
        <v>1920</v>
      </c>
      <c r="AD242" s="38"/>
      <c r="AE242" s="38"/>
      <c r="AF242" s="38"/>
      <c r="AG242" s="38"/>
      <c r="AH242" s="38"/>
    </row>
    <row r="243" spans="1:34" ht="24" customHeight="1" x14ac:dyDescent="0.25">
      <c r="A243" s="10">
        <v>44</v>
      </c>
      <c r="B243" s="9">
        <v>0.18333333333333335</v>
      </c>
      <c r="C243" s="5" t="s">
        <v>20</v>
      </c>
      <c r="D243" s="5">
        <v>7</v>
      </c>
      <c r="E243" s="15"/>
      <c r="F243" s="15" t="s">
        <v>23</v>
      </c>
      <c r="G243" s="19">
        <f t="shared" si="41"/>
        <v>3.68</v>
      </c>
      <c r="H243" s="19">
        <f t="shared" si="42"/>
        <v>2.84</v>
      </c>
      <c r="I243" s="19">
        <f t="shared" si="43"/>
        <v>0</v>
      </c>
      <c r="J243" s="19">
        <f t="shared" si="44"/>
        <v>0</v>
      </c>
      <c r="K243" s="19">
        <f t="shared" si="45"/>
        <v>0</v>
      </c>
      <c r="L243" s="19">
        <f t="shared" si="46"/>
        <v>0</v>
      </c>
      <c r="M243" s="19">
        <f t="shared" si="47"/>
        <v>0</v>
      </c>
      <c r="N243" s="39">
        <f t="shared" si="48"/>
        <v>6.52</v>
      </c>
      <c r="O243" s="39">
        <f t="shared" si="39"/>
        <v>0.36434135269160423</v>
      </c>
      <c r="P243" s="40">
        <v>8</v>
      </c>
      <c r="Q243" s="40">
        <v>10</v>
      </c>
      <c r="R243" s="40">
        <v>9</v>
      </c>
      <c r="S243" s="40">
        <v>9</v>
      </c>
      <c r="T243" s="40">
        <v>9</v>
      </c>
      <c r="U243" s="40">
        <v>9</v>
      </c>
      <c r="V243" s="40">
        <v>9</v>
      </c>
      <c r="W243" s="41" t="str">
        <f t="shared" si="49"/>
        <v>N</v>
      </c>
      <c r="X243" s="56">
        <f t="shared" si="50"/>
        <v>0</v>
      </c>
      <c r="Y243" s="56" t="str">
        <f t="shared" si="40"/>
        <v>0-4.9%</v>
      </c>
      <c r="Z243" s="8" t="s">
        <v>118</v>
      </c>
      <c r="AB243" s="38">
        <v>3680</v>
      </c>
      <c r="AC243" s="38">
        <v>2840</v>
      </c>
      <c r="AD243" s="38"/>
      <c r="AE243" s="38"/>
      <c r="AF243" s="38"/>
      <c r="AG243" s="38"/>
      <c r="AH243" s="38"/>
    </row>
    <row r="244" spans="1:34" ht="24" customHeight="1" x14ac:dyDescent="0.25">
      <c r="A244" s="10">
        <v>45</v>
      </c>
      <c r="B244" s="9">
        <v>0.18541666666666667</v>
      </c>
      <c r="C244" s="5" t="s">
        <v>20</v>
      </c>
      <c r="D244" s="5">
        <v>7</v>
      </c>
      <c r="E244" s="15"/>
      <c r="F244" s="15" t="s">
        <v>23</v>
      </c>
      <c r="G244" s="19">
        <f t="shared" si="41"/>
        <v>3.4</v>
      </c>
      <c r="H244" s="19">
        <f t="shared" si="42"/>
        <v>3.72</v>
      </c>
      <c r="I244" s="19">
        <f t="shared" si="43"/>
        <v>0</v>
      </c>
      <c r="J244" s="19">
        <f t="shared" si="44"/>
        <v>0</v>
      </c>
      <c r="K244" s="19">
        <f t="shared" si="45"/>
        <v>0</v>
      </c>
      <c r="L244" s="19">
        <f t="shared" si="46"/>
        <v>0</v>
      </c>
      <c r="M244" s="19">
        <f t="shared" si="47"/>
        <v>0</v>
      </c>
      <c r="N244" s="39">
        <f t="shared" si="48"/>
        <v>7.12</v>
      </c>
      <c r="O244" s="39">
        <f t="shared" si="39"/>
        <v>0.5414448870701849</v>
      </c>
      <c r="P244" s="40">
        <v>8</v>
      </c>
      <c r="Q244" s="40">
        <v>10</v>
      </c>
      <c r="R244" s="40">
        <v>9</v>
      </c>
      <c r="S244" s="40">
        <v>9</v>
      </c>
      <c r="T244" s="40">
        <v>9</v>
      </c>
      <c r="U244" s="40">
        <v>9</v>
      </c>
      <c r="V244" s="40">
        <v>9</v>
      </c>
      <c r="W244" s="41" t="str">
        <f t="shared" si="49"/>
        <v>N</v>
      </c>
      <c r="X244" s="56">
        <f t="shared" si="50"/>
        <v>0</v>
      </c>
      <c r="Y244" s="56" t="str">
        <f t="shared" si="40"/>
        <v>0-4.9%</v>
      </c>
      <c r="Z244" s="8" t="s">
        <v>118</v>
      </c>
      <c r="AB244" s="38">
        <v>3400</v>
      </c>
      <c r="AC244" s="38">
        <v>3720</v>
      </c>
      <c r="AD244" s="38"/>
      <c r="AE244" s="38"/>
      <c r="AF244" s="38"/>
      <c r="AG244" s="38"/>
      <c r="AH244" s="38"/>
    </row>
    <row r="245" spans="1:34" ht="24" customHeight="1" x14ac:dyDescent="0.25">
      <c r="A245" s="10">
        <v>46</v>
      </c>
      <c r="B245" s="9">
        <v>0.20902777777777778</v>
      </c>
      <c r="C245" s="5" t="s">
        <v>20</v>
      </c>
      <c r="D245" s="5">
        <v>7</v>
      </c>
      <c r="E245" s="15"/>
      <c r="F245" s="15" t="s">
        <v>23</v>
      </c>
      <c r="G245" s="19">
        <f t="shared" si="41"/>
        <v>6.34</v>
      </c>
      <c r="H245" s="19">
        <f t="shared" si="42"/>
        <v>15.92</v>
      </c>
      <c r="I245" s="19">
        <f t="shared" si="43"/>
        <v>0</v>
      </c>
      <c r="J245" s="19">
        <f t="shared" si="44"/>
        <v>0</v>
      </c>
      <c r="K245" s="19">
        <f t="shared" si="45"/>
        <v>0</v>
      </c>
      <c r="L245" s="19">
        <f t="shared" si="46"/>
        <v>0</v>
      </c>
      <c r="M245" s="19">
        <f t="shared" si="47"/>
        <v>0</v>
      </c>
      <c r="N245" s="39">
        <f t="shared" si="48"/>
        <v>22.259999999999998</v>
      </c>
      <c r="O245" s="39">
        <f t="shared" si="39"/>
        <v>91.465540603464405</v>
      </c>
      <c r="P245" s="40">
        <v>8</v>
      </c>
      <c r="Q245" s="40">
        <v>10</v>
      </c>
      <c r="R245" s="40">
        <v>9</v>
      </c>
      <c r="S245" s="40">
        <v>9</v>
      </c>
      <c r="T245" s="40">
        <v>9</v>
      </c>
      <c r="U245" s="40">
        <v>9</v>
      </c>
      <c r="V245" s="40">
        <v>9</v>
      </c>
      <c r="W245" s="41" t="str">
        <f t="shared" si="49"/>
        <v>Y</v>
      </c>
      <c r="X245" s="56">
        <f t="shared" si="50"/>
        <v>0.59199999999999997</v>
      </c>
      <c r="Y245" s="56" t="str">
        <f t="shared" si="40"/>
        <v>Over 50%</v>
      </c>
      <c r="Z245" s="8" t="s">
        <v>145</v>
      </c>
      <c r="AB245" s="38">
        <v>6340</v>
      </c>
      <c r="AC245" s="38">
        <v>15920</v>
      </c>
      <c r="AD245" s="38"/>
      <c r="AE245" s="38"/>
      <c r="AF245" s="38"/>
      <c r="AG245" s="38"/>
      <c r="AH245" s="38"/>
    </row>
    <row r="246" spans="1:34" ht="24" customHeight="1" x14ac:dyDescent="0.25">
      <c r="A246" s="10">
        <v>47</v>
      </c>
      <c r="B246" s="9">
        <v>0.21319444444444444</v>
      </c>
      <c r="C246" s="5" t="s">
        <v>20</v>
      </c>
      <c r="D246" s="5">
        <v>7</v>
      </c>
      <c r="E246" s="15"/>
      <c r="F246" s="15" t="s">
        <v>23</v>
      </c>
      <c r="G246" s="19">
        <f t="shared" si="41"/>
        <v>8.4600000000000009</v>
      </c>
      <c r="H246" s="19">
        <f t="shared" si="42"/>
        <v>17.86</v>
      </c>
      <c r="I246" s="19">
        <f t="shared" si="43"/>
        <v>0</v>
      </c>
      <c r="J246" s="19">
        <f t="shared" si="44"/>
        <v>0</v>
      </c>
      <c r="K246" s="19">
        <f t="shared" si="45"/>
        <v>0</v>
      </c>
      <c r="L246" s="19">
        <f t="shared" si="46"/>
        <v>0</v>
      </c>
      <c r="M246" s="19">
        <f t="shared" si="47"/>
        <v>0</v>
      </c>
      <c r="N246" s="39">
        <f t="shared" si="48"/>
        <v>26.32</v>
      </c>
      <c r="O246" s="39">
        <f t="shared" si="39"/>
        <v>194.39306522224089</v>
      </c>
      <c r="P246" s="40">
        <v>8</v>
      </c>
      <c r="Q246" s="40">
        <v>10</v>
      </c>
      <c r="R246" s="40">
        <v>9</v>
      </c>
      <c r="S246" s="40">
        <v>9</v>
      </c>
      <c r="T246" s="40">
        <v>9</v>
      </c>
      <c r="U246" s="40">
        <v>9</v>
      </c>
      <c r="V246" s="40">
        <v>9</v>
      </c>
      <c r="W246" s="41" t="str">
        <f t="shared" si="49"/>
        <v>Y</v>
      </c>
      <c r="X246" s="56">
        <f t="shared" si="50"/>
        <v>0.78599999999999992</v>
      </c>
      <c r="Y246" s="56" t="str">
        <f t="shared" si="40"/>
        <v>Over 50%</v>
      </c>
      <c r="Z246" s="8" t="s">
        <v>145</v>
      </c>
      <c r="AB246" s="38">
        <v>8460</v>
      </c>
      <c r="AC246" s="38">
        <v>17860</v>
      </c>
      <c r="AD246" s="38"/>
      <c r="AE246" s="38"/>
      <c r="AF246" s="38"/>
      <c r="AG246" s="38"/>
      <c r="AH246" s="38"/>
    </row>
    <row r="247" spans="1:34" ht="24" customHeight="1" x14ac:dyDescent="0.25">
      <c r="A247" s="10">
        <v>48</v>
      </c>
      <c r="B247" s="9">
        <v>0.22500000000000001</v>
      </c>
      <c r="C247" s="5" t="s">
        <v>20</v>
      </c>
      <c r="D247" s="5">
        <v>7</v>
      </c>
      <c r="E247" s="15"/>
      <c r="F247" s="15" t="s">
        <v>23</v>
      </c>
      <c r="G247" s="19">
        <f t="shared" si="41"/>
        <v>3.88</v>
      </c>
      <c r="H247" s="19">
        <f t="shared" si="42"/>
        <v>8.5399999999999991</v>
      </c>
      <c r="I247" s="19">
        <f t="shared" si="43"/>
        <v>0</v>
      </c>
      <c r="J247" s="19">
        <f t="shared" si="44"/>
        <v>0</v>
      </c>
      <c r="K247" s="19">
        <f t="shared" si="45"/>
        <v>0</v>
      </c>
      <c r="L247" s="19">
        <f t="shared" si="46"/>
        <v>0</v>
      </c>
      <c r="M247" s="19">
        <f t="shared" si="47"/>
        <v>0</v>
      </c>
      <c r="N247" s="39">
        <f t="shared" si="48"/>
        <v>12.419999999999998</v>
      </c>
      <c r="O247" s="39">
        <f t="shared" si="39"/>
        <v>6.6212725785362654</v>
      </c>
      <c r="P247" s="40">
        <v>8</v>
      </c>
      <c r="Q247" s="40">
        <v>10</v>
      </c>
      <c r="R247" s="40">
        <v>9</v>
      </c>
      <c r="S247" s="40">
        <v>9</v>
      </c>
      <c r="T247" s="40">
        <v>9</v>
      </c>
      <c r="U247" s="40">
        <v>9</v>
      </c>
      <c r="V247" s="40">
        <v>9</v>
      </c>
      <c r="W247" s="41" t="str">
        <f t="shared" si="49"/>
        <v>N</v>
      </c>
      <c r="X247" s="56">
        <f t="shared" si="50"/>
        <v>0</v>
      </c>
      <c r="Y247" s="56" t="str">
        <f t="shared" si="40"/>
        <v>0-4.9%</v>
      </c>
      <c r="Z247" s="8" t="s">
        <v>118</v>
      </c>
      <c r="AB247" s="38">
        <v>3880</v>
      </c>
      <c r="AC247" s="38">
        <v>8540</v>
      </c>
      <c r="AD247" s="38"/>
      <c r="AE247" s="38"/>
      <c r="AF247" s="38"/>
      <c r="AG247" s="38"/>
      <c r="AH247" s="38"/>
    </row>
    <row r="248" spans="1:34" ht="24" customHeight="1" x14ac:dyDescent="0.25">
      <c r="A248" s="10">
        <v>49</v>
      </c>
      <c r="B248" s="9">
        <v>0.22708333333333333</v>
      </c>
      <c r="C248" s="5" t="s">
        <v>20</v>
      </c>
      <c r="D248" s="5">
        <v>7</v>
      </c>
      <c r="E248" s="15"/>
      <c r="F248" s="15" t="s">
        <v>23</v>
      </c>
      <c r="G248" s="19">
        <f t="shared" si="41"/>
        <v>3.3</v>
      </c>
      <c r="H248" s="19">
        <f t="shared" si="42"/>
        <v>3.46</v>
      </c>
      <c r="I248" s="19">
        <f t="shared" si="43"/>
        <v>0</v>
      </c>
      <c r="J248" s="19">
        <f t="shared" si="44"/>
        <v>0</v>
      </c>
      <c r="K248" s="19">
        <f t="shared" si="45"/>
        <v>0</v>
      </c>
      <c r="L248" s="19">
        <f t="shared" si="46"/>
        <v>0</v>
      </c>
      <c r="M248" s="19">
        <f t="shared" si="47"/>
        <v>0</v>
      </c>
      <c r="N248" s="39">
        <f t="shared" si="48"/>
        <v>6.76</v>
      </c>
      <c r="O248" s="39">
        <f t="shared" si="39"/>
        <v>0.4287009218059048</v>
      </c>
      <c r="P248" s="40">
        <v>8</v>
      </c>
      <c r="Q248" s="40">
        <v>10</v>
      </c>
      <c r="R248" s="40">
        <v>9</v>
      </c>
      <c r="S248" s="40">
        <v>9</v>
      </c>
      <c r="T248" s="40">
        <v>9</v>
      </c>
      <c r="U248" s="40">
        <v>9</v>
      </c>
      <c r="V248" s="40">
        <v>9</v>
      </c>
      <c r="W248" s="41" t="str">
        <f t="shared" si="49"/>
        <v>N</v>
      </c>
      <c r="X248" s="56">
        <f t="shared" si="50"/>
        <v>0</v>
      </c>
      <c r="Y248" s="56" t="str">
        <f t="shared" si="40"/>
        <v>0-4.9%</v>
      </c>
      <c r="Z248" s="8" t="s">
        <v>118</v>
      </c>
      <c r="AB248" s="38">
        <v>3300</v>
      </c>
      <c r="AC248" s="38">
        <v>3460</v>
      </c>
      <c r="AD248" s="38"/>
      <c r="AE248" s="38"/>
      <c r="AF248" s="38"/>
      <c r="AG248" s="38"/>
      <c r="AH248" s="38"/>
    </row>
    <row r="249" spans="1:34" ht="24" customHeight="1" x14ac:dyDescent="0.25">
      <c r="A249" s="10">
        <v>50</v>
      </c>
      <c r="B249" s="9">
        <v>0.35138888888888892</v>
      </c>
      <c r="C249" s="5" t="s">
        <v>20</v>
      </c>
      <c r="D249" s="5">
        <v>7</v>
      </c>
      <c r="E249" s="15"/>
      <c r="F249" s="15" t="s">
        <v>23</v>
      </c>
      <c r="G249" s="19">
        <f t="shared" si="41"/>
        <v>2.82</v>
      </c>
      <c r="H249" s="19">
        <f t="shared" si="42"/>
        <v>4.92</v>
      </c>
      <c r="I249" s="19">
        <f t="shared" si="43"/>
        <v>0</v>
      </c>
      <c r="J249" s="19">
        <f t="shared" si="44"/>
        <v>0</v>
      </c>
      <c r="K249" s="19">
        <f t="shared" si="45"/>
        <v>0</v>
      </c>
      <c r="L249" s="19">
        <f t="shared" si="46"/>
        <v>0</v>
      </c>
      <c r="M249" s="19">
        <f t="shared" si="47"/>
        <v>0</v>
      </c>
      <c r="N249" s="39">
        <f t="shared" si="48"/>
        <v>7.74</v>
      </c>
      <c r="O249" s="39">
        <f t="shared" si="39"/>
        <v>0.78836731165754559</v>
      </c>
      <c r="P249" s="40">
        <v>8</v>
      </c>
      <c r="Q249" s="40">
        <v>10</v>
      </c>
      <c r="R249" s="40">
        <v>9</v>
      </c>
      <c r="S249" s="40">
        <v>9</v>
      </c>
      <c r="T249" s="40">
        <v>9</v>
      </c>
      <c r="U249" s="40">
        <v>9</v>
      </c>
      <c r="V249" s="40">
        <v>9</v>
      </c>
      <c r="W249" s="41" t="str">
        <f t="shared" si="49"/>
        <v>N</v>
      </c>
      <c r="X249" s="56">
        <f t="shared" si="50"/>
        <v>0</v>
      </c>
      <c r="Y249" s="56" t="str">
        <f t="shared" si="40"/>
        <v>0-4.9%</v>
      </c>
      <c r="Z249" s="8" t="s">
        <v>35</v>
      </c>
      <c r="AB249" s="38">
        <v>2820</v>
      </c>
      <c r="AC249" s="38">
        <v>4920</v>
      </c>
      <c r="AD249" s="38"/>
      <c r="AE249" s="38"/>
      <c r="AF249" s="38"/>
      <c r="AG249" s="38"/>
      <c r="AH249" s="38"/>
    </row>
    <row r="250" spans="1:34" ht="24" customHeight="1" x14ac:dyDescent="0.25">
      <c r="A250" s="10">
        <v>51</v>
      </c>
      <c r="B250" s="9">
        <v>0.3520833333333333</v>
      </c>
      <c r="C250" s="5" t="s">
        <v>20</v>
      </c>
      <c r="D250" s="5">
        <v>7</v>
      </c>
      <c r="E250" s="15"/>
      <c r="F250" s="15" t="s">
        <v>23</v>
      </c>
      <c r="G250" s="19">
        <f t="shared" si="41"/>
        <v>2.58</v>
      </c>
      <c r="H250" s="19">
        <f t="shared" si="42"/>
        <v>4.7</v>
      </c>
      <c r="I250" s="19">
        <f t="shared" si="43"/>
        <v>0</v>
      </c>
      <c r="J250" s="19">
        <f t="shared" si="44"/>
        <v>0</v>
      </c>
      <c r="K250" s="19">
        <f t="shared" si="45"/>
        <v>0</v>
      </c>
      <c r="L250" s="19">
        <f t="shared" si="46"/>
        <v>0</v>
      </c>
      <c r="M250" s="19">
        <f t="shared" si="47"/>
        <v>0</v>
      </c>
      <c r="N250" s="39">
        <f t="shared" si="48"/>
        <v>7.28</v>
      </c>
      <c r="O250" s="39">
        <f t="shared" si="39"/>
        <v>0.5983916056249744</v>
      </c>
      <c r="P250" s="40">
        <v>8</v>
      </c>
      <c r="Q250" s="40">
        <v>10</v>
      </c>
      <c r="R250" s="40">
        <v>9</v>
      </c>
      <c r="S250" s="40">
        <v>9</v>
      </c>
      <c r="T250" s="40">
        <v>9</v>
      </c>
      <c r="U250" s="40">
        <v>9</v>
      </c>
      <c r="V250" s="40">
        <v>9</v>
      </c>
      <c r="W250" s="41" t="str">
        <f t="shared" si="49"/>
        <v>N</v>
      </c>
      <c r="X250" s="56">
        <f t="shared" si="50"/>
        <v>0</v>
      </c>
      <c r="Y250" s="56" t="str">
        <f t="shared" si="40"/>
        <v>0-4.9%</v>
      </c>
      <c r="Z250" s="8" t="s">
        <v>35</v>
      </c>
      <c r="AB250" s="38">
        <v>2580</v>
      </c>
      <c r="AC250" s="38">
        <v>4700</v>
      </c>
      <c r="AD250" s="38"/>
      <c r="AE250" s="38"/>
      <c r="AF250" s="38"/>
      <c r="AG250" s="38"/>
      <c r="AH250" s="38"/>
    </row>
    <row r="251" spans="1:34" ht="24" customHeight="1" x14ac:dyDescent="0.25">
      <c r="A251" s="10">
        <v>53</v>
      </c>
      <c r="B251" s="9">
        <v>0.37152777777777773</v>
      </c>
      <c r="C251" s="5" t="s">
        <v>20</v>
      </c>
      <c r="D251" s="5">
        <v>7</v>
      </c>
      <c r="E251" s="15"/>
      <c r="F251" s="15" t="s">
        <v>23</v>
      </c>
      <c r="G251" s="19">
        <f t="shared" si="41"/>
        <v>1.36</v>
      </c>
      <c r="H251" s="19">
        <f t="shared" si="42"/>
        <v>3.38</v>
      </c>
      <c r="I251" s="19">
        <f t="shared" si="43"/>
        <v>0</v>
      </c>
      <c r="J251" s="19">
        <f t="shared" si="44"/>
        <v>0</v>
      </c>
      <c r="K251" s="19">
        <f t="shared" si="45"/>
        <v>0</v>
      </c>
      <c r="L251" s="19">
        <f t="shared" si="46"/>
        <v>0</v>
      </c>
      <c r="M251" s="19">
        <f t="shared" si="47"/>
        <v>0</v>
      </c>
      <c r="N251" s="39">
        <f t="shared" si="48"/>
        <v>4.74</v>
      </c>
      <c r="O251" s="39">
        <f t="shared" si="39"/>
        <v>8.677543973547891E-2</v>
      </c>
      <c r="P251" s="40">
        <v>8</v>
      </c>
      <c r="Q251" s="40">
        <v>10</v>
      </c>
      <c r="R251" s="40">
        <v>9</v>
      </c>
      <c r="S251" s="40">
        <v>9</v>
      </c>
      <c r="T251" s="40">
        <v>9</v>
      </c>
      <c r="U251" s="40">
        <v>9</v>
      </c>
      <c r="V251" s="40">
        <v>9</v>
      </c>
      <c r="W251" s="41" t="str">
        <f t="shared" si="49"/>
        <v>N</v>
      </c>
      <c r="X251" s="56">
        <f t="shared" si="50"/>
        <v>0</v>
      </c>
      <c r="Y251" s="56" t="str">
        <f t="shared" si="40"/>
        <v>0-4.9%</v>
      </c>
      <c r="Z251" s="8" t="s">
        <v>118</v>
      </c>
      <c r="AB251" s="38">
        <v>1360</v>
      </c>
      <c r="AC251" s="38">
        <v>3380</v>
      </c>
      <c r="AD251" s="38"/>
      <c r="AE251" s="38"/>
      <c r="AF251" s="38"/>
      <c r="AG251" s="38"/>
      <c r="AH251" s="38"/>
    </row>
    <row r="252" spans="1:34" ht="24" customHeight="1" x14ac:dyDescent="0.25">
      <c r="A252" s="10">
        <v>54</v>
      </c>
      <c r="B252" s="9">
        <v>0.37361111111111112</v>
      </c>
      <c r="C252" s="5" t="s">
        <v>20</v>
      </c>
      <c r="D252" s="5">
        <v>7</v>
      </c>
      <c r="E252" s="15"/>
      <c r="F252" s="15" t="s">
        <v>23</v>
      </c>
      <c r="G252" s="19">
        <f t="shared" si="41"/>
        <v>2.2599999999999998</v>
      </c>
      <c r="H252" s="19">
        <f t="shared" si="42"/>
        <v>2.38</v>
      </c>
      <c r="I252" s="19">
        <f t="shared" si="43"/>
        <v>0</v>
      </c>
      <c r="J252" s="19">
        <f t="shared" si="44"/>
        <v>0</v>
      </c>
      <c r="K252" s="19">
        <f t="shared" si="45"/>
        <v>0</v>
      </c>
      <c r="L252" s="19">
        <f t="shared" si="46"/>
        <v>0</v>
      </c>
      <c r="M252" s="19">
        <f t="shared" si="47"/>
        <v>0</v>
      </c>
      <c r="N252" s="39">
        <f t="shared" si="48"/>
        <v>4.6399999999999997</v>
      </c>
      <c r="O252" s="39">
        <f t="shared" si="39"/>
        <v>7.8836112052174195E-2</v>
      </c>
      <c r="P252" s="40">
        <v>8</v>
      </c>
      <c r="Q252" s="40">
        <v>10</v>
      </c>
      <c r="R252" s="40">
        <v>9</v>
      </c>
      <c r="S252" s="40">
        <v>9</v>
      </c>
      <c r="T252" s="40">
        <v>9</v>
      </c>
      <c r="U252" s="40">
        <v>9</v>
      </c>
      <c r="V252" s="40">
        <v>9</v>
      </c>
      <c r="W252" s="41" t="str">
        <f t="shared" si="49"/>
        <v>N</v>
      </c>
      <c r="X252" s="56">
        <f t="shared" si="50"/>
        <v>0</v>
      </c>
      <c r="Y252" s="56" t="str">
        <f t="shared" si="40"/>
        <v>0-4.9%</v>
      </c>
      <c r="Z252" s="8" t="s">
        <v>118</v>
      </c>
      <c r="AB252" s="38">
        <v>2260</v>
      </c>
      <c r="AC252" s="38">
        <v>2380</v>
      </c>
      <c r="AD252" s="38"/>
      <c r="AE252" s="38"/>
      <c r="AF252" s="38"/>
      <c r="AG252" s="38"/>
      <c r="AH252" s="38"/>
    </row>
    <row r="253" spans="1:34" ht="24" customHeight="1" x14ac:dyDescent="0.25">
      <c r="A253" s="10">
        <v>57</v>
      </c>
      <c r="B253" s="9">
        <v>0.37638888888888888</v>
      </c>
      <c r="C253" s="5" t="s">
        <v>20</v>
      </c>
      <c r="D253" s="5">
        <v>7</v>
      </c>
      <c r="E253" s="15"/>
      <c r="F253" s="15" t="s">
        <v>23</v>
      </c>
      <c r="G253" s="19">
        <f t="shared" si="41"/>
        <v>3.28</v>
      </c>
      <c r="H253" s="19">
        <f t="shared" si="42"/>
        <v>5.52</v>
      </c>
      <c r="I253" s="19">
        <f t="shared" si="43"/>
        <v>0</v>
      </c>
      <c r="J253" s="19">
        <f t="shared" si="44"/>
        <v>0</v>
      </c>
      <c r="K253" s="19">
        <f t="shared" si="45"/>
        <v>0</v>
      </c>
      <c r="L253" s="19">
        <f t="shared" si="46"/>
        <v>0</v>
      </c>
      <c r="M253" s="19">
        <f t="shared" si="47"/>
        <v>0</v>
      </c>
      <c r="N253" s="39">
        <f t="shared" si="48"/>
        <v>8.7999999999999989</v>
      </c>
      <c r="O253" s="39">
        <f t="shared" si="39"/>
        <v>1.4046441353939172</v>
      </c>
      <c r="P253" s="40">
        <v>8</v>
      </c>
      <c r="Q253" s="40">
        <v>10</v>
      </c>
      <c r="R253" s="40">
        <v>9</v>
      </c>
      <c r="S253" s="40">
        <v>9</v>
      </c>
      <c r="T253" s="40">
        <v>9</v>
      </c>
      <c r="U253" s="40">
        <v>9</v>
      </c>
      <c r="V253" s="40">
        <v>9</v>
      </c>
      <c r="W253" s="41" t="str">
        <f t="shared" si="49"/>
        <v>N</v>
      </c>
      <c r="X253" s="56">
        <f t="shared" si="50"/>
        <v>0</v>
      </c>
      <c r="Y253" s="56" t="str">
        <f t="shared" si="40"/>
        <v>0-4.9%</v>
      </c>
      <c r="Z253" s="8" t="s">
        <v>35</v>
      </c>
      <c r="AB253" s="38">
        <v>3280</v>
      </c>
      <c r="AC253" s="38">
        <v>5520</v>
      </c>
      <c r="AD253" s="38"/>
      <c r="AE253" s="38"/>
      <c r="AF253" s="38"/>
      <c r="AG253" s="38"/>
      <c r="AH253" s="38"/>
    </row>
    <row r="254" spans="1:34" ht="24" customHeight="1" x14ac:dyDescent="0.25">
      <c r="A254" s="10">
        <v>58</v>
      </c>
      <c r="B254" s="9">
        <v>0.37847222222222227</v>
      </c>
      <c r="C254" s="5" t="s">
        <v>20</v>
      </c>
      <c r="D254" s="5">
        <v>7</v>
      </c>
      <c r="E254" s="15"/>
      <c r="F254" s="15" t="s">
        <v>23</v>
      </c>
      <c r="G254" s="19">
        <f t="shared" si="41"/>
        <v>2.88</v>
      </c>
      <c r="H254" s="19">
        <f t="shared" si="42"/>
        <v>3.3</v>
      </c>
      <c r="I254" s="19">
        <f t="shared" si="43"/>
        <v>0</v>
      </c>
      <c r="J254" s="19">
        <f t="shared" si="44"/>
        <v>0</v>
      </c>
      <c r="K254" s="19">
        <f t="shared" si="45"/>
        <v>0</v>
      </c>
      <c r="L254" s="19">
        <f t="shared" si="46"/>
        <v>0</v>
      </c>
      <c r="M254" s="19">
        <f t="shared" si="47"/>
        <v>0</v>
      </c>
      <c r="N254" s="39">
        <f t="shared" si="48"/>
        <v>6.18</v>
      </c>
      <c r="O254" s="39">
        <f t="shared" si="39"/>
        <v>0.28631389393191964</v>
      </c>
      <c r="P254" s="40">
        <v>8</v>
      </c>
      <c r="Q254" s="40">
        <v>10</v>
      </c>
      <c r="R254" s="40">
        <v>9</v>
      </c>
      <c r="S254" s="40">
        <v>9</v>
      </c>
      <c r="T254" s="40">
        <v>9</v>
      </c>
      <c r="U254" s="40">
        <v>9</v>
      </c>
      <c r="V254" s="40">
        <v>9</v>
      </c>
      <c r="W254" s="41" t="str">
        <f t="shared" si="49"/>
        <v>N</v>
      </c>
      <c r="X254" s="56">
        <f t="shared" si="50"/>
        <v>0</v>
      </c>
      <c r="Y254" s="56" t="str">
        <f t="shared" si="40"/>
        <v>0-4.9%</v>
      </c>
      <c r="Z254" s="8" t="s">
        <v>118</v>
      </c>
      <c r="AB254" s="38">
        <v>2880</v>
      </c>
      <c r="AC254" s="38">
        <v>3300</v>
      </c>
      <c r="AD254" s="38"/>
      <c r="AE254" s="38"/>
      <c r="AF254" s="38"/>
      <c r="AG254" s="38"/>
      <c r="AH254" s="38"/>
    </row>
    <row r="255" spans="1:34" ht="24" customHeight="1" x14ac:dyDescent="0.25">
      <c r="A255" s="10">
        <v>61</v>
      </c>
      <c r="B255" s="9">
        <v>0.38263888888888892</v>
      </c>
      <c r="C255" s="5" t="s">
        <v>20</v>
      </c>
      <c r="D255" s="5">
        <v>7</v>
      </c>
      <c r="E255" s="15"/>
      <c r="F255" s="15" t="s">
        <v>23</v>
      </c>
      <c r="G255" s="19">
        <f t="shared" si="41"/>
        <v>9.5399999999999991</v>
      </c>
      <c r="H255" s="19">
        <f t="shared" si="42"/>
        <v>13.48</v>
      </c>
      <c r="I255" s="19">
        <f t="shared" si="43"/>
        <v>0</v>
      </c>
      <c r="J255" s="19">
        <f t="shared" si="44"/>
        <v>0</v>
      </c>
      <c r="K255" s="19">
        <f t="shared" si="45"/>
        <v>0</v>
      </c>
      <c r="L255" s="19">
        <f t="shared" si="46"/>
        <v>0</v>
      </c>
      <c r="M255" s="19">
        <f t="shared" si="47"/>
        <v>0</v>
      </c>
      <c r="N255" s="39">
        <f t="shared" si="48"/>
        <v>23.02</v>
      </c>
      <c r="O255" s="39">
        <f t="shared" si="39"/>
        <v>106.3820175281259</v>
      </c>
      <c r="P255" s="40">
        <v>8</v>
      </c>
      <c r="Q255" s="40">
        <v>10</v>
      </c>
      <c r="R255" s="40">
        <v>9</v>
      </c>
      <c r="S255" s="40">
        <v>9</v>
      </c>
      <c r="T255" s="40">
        <v>9</v>
      </c>
      <c r="U255" s="40">
        <v>9</v>
      </c>
      <c r="V255" s="40">
        <v>9</v>
      </c>
      <c r="W255" s="41" t="str">
        <f t="shared" si="49"/>
        <v>Y</v>
      </c>
      <c r="X255" s="56">
        <f t="shared" si="50"/>
        <v>0.34800000000000003</v>
      </c>
      <c r="Y255" s="56" t="str">
        <f t="shared" si="40"/>
        <v>25-50%</v>
      </c>
      <c r="Z255" s="8" t="s">
        <v>35</v>
      </c>
      <c r="AB255" s="38">
        <v>9540</v>
      </c>
      <c r="AC255" s="38">
        <v>13480</v>
      </c>
      <c r="AD255" s="38"/>
      <c r="AE255" s="38"/>
      <c r="AF255" s="38"/>
      <c r="AG255" s="38"/>
      <c r="AH255" s="38"/>
    </row>
    <row r="256" spans="1:34" ht="24" customHeight="1" x14ac:dyDescent="0.25">
      <c r="A256" s="10">
        <v>63</v>
      </c>
      <c r="B256" s="9">
        <v>0.38472222222222219</v>
      </c>
      <c r="C256" s="5" t="s">
        <v>20</v>
      </c>
      <c r="D256" s="5">
        <v>7</v>
      </c>
      <c r="E256" s="15"/>
      <c r="F256" s="15" t="s">
        <v>23</v>
      </c>
      <c r="G256" s="19">
        <f t="shared" si="41"/>
        <v>3.82</v>
      </c>
      <c r="H256" s="19">
        <f t="shared" si="42"/>
        <v>10.64</v>
      </c>
      <c r="I256" s="19">
        <f t="shared" si="43"/>
        <v>0</v>
      </c>
      <c r="J256" s="19">
        <f t="shared" si="44"/>
        <v>0</v>
      </c>
      <c r="K256" s="19">
        <f t="shared" si="45"/>
        <v>0</v>
      </c>
      <c r="L256" s="19">
        <f t="shared" si="46"/>
        <v>0</v>
      </c>
      <c r="M256" s="19">
        <f t="shared" si="47"/>
        <v>0</v>
      </c>
      <c r="N256" s="39">
        <f t="shared" si="48"/>
        <v>14.46</v>
      </c>
      <c r="O256" s="39">
        <f t="shared" si="39"/>
        <v>13.12658042938161</v>
      </c>
      <c r="P256" s="40">
        <v>8</v>
      </c>
      <c r="Q256" s="40">
        <v>10</v>
      </c>
      <c r="R256" s="40">
        <v>9</v>
      </c>
      <c r="S256" s="40">
        <v>9</v>
      </c>
      <c r="T256" s="40">
        <v>9</v>
      </c>
      <c r="U256" s="40">
        <v>9</v>
      </c>
      <c r="V256" s="40">
        <v>9</v>
      </c>
      <c r="W256" s="41" t="str">
        <f t="shared" si="49"/>
        <v>Y</v>
      </c>
      <c r="X256" s="56">
        <f t="shared" si="50"/>
        <v>6.4000000000000057E-2</v>
      </c>
      <c r="Y256" s="56" t="str">
        <f t="shared" si="40"/>
        <v>5-25%</v>
      </c>
      <c r="Z256" s="8" t="s">
        <v>145</v>
      </c>
      <c r="AB256" s="38">
        <v>3820</v>
      </c>
      <c r="AC256" s="38">
        <v>10640</v>
      </c>
      <c r="AD256" s="38"/>
      <c r="AE256" s="38"/>
      <c r="AF256" s="38"/>
      <c r="AG256" s="38"/>
      <c r="AH256" s="38"/>
    </row>
    <row r="257" spans="1:34" ht="24" customHeight="1" x14ac:dyDescent="0.25">
      <c r="A257" s="10">
        <v>64</v>
      </c>
      <c r="B257" s="9">
        <v>0.39097222222222222</v>
      </c>
      <c r="C257" s="5" t="s">
        <v>20</v>
      </c>
      <c r="D257" s="5">
        <v>7</v>
      </c>
      <c r="E257" s="15"/>
      <c r="F257" s="15" t="s">
        <v>23</v>
      </c>
      <c r="G257" s="19">
        <f t="shared" si="41"/>
        <v>2.82</v>
      </c>
      <c r="H257" s="19">
        <f t="shared" si="42"/>
        <v>3.58</v>
      </c>
      <c r="I257" s="19">
        <f t="shared" si="43"/>
        <v>0</v>
      </c>
      <c r="J257" s="19">
        <f t="shared" si="44"/>
        <v>0</v>
      </c>
      <c r="K257" s="19">
        <f t="shared" si="45"/>
        <v>0</v>
      </c>
      <c r="L257" s="19">
        <f t="shared" si="46"/>
        <v>0</v>
      </c>
      <c r="M257" s="19">
        <f t="shared" si="47"/>
        <v>0</v>
      </c>
      <c r="N257" s="39">
        <f t="shared" si="48"/>
        <v>6.4</v>
      </c>
      <c r="O257" s="39">
        <f t="shared" si="39"/>
        <v>0.33512294859866604</v>
      </c>
      <c r="P257" s="40">
        <v>8</v>
      </c>
      <c r="Q257" s="40">
        <v>10</v>
      </c>
      <c r="R257" s="40">
        <v>9</v>
      </c>
      <c r="S257" s="40">
        <v>9</v>
      </c>
      <c r="T257" s="40">
        <v>9</v>
      </c>
      <c r="U257" s="40">
        <v>9</v>
      </c>
      <c r="V257" s="40">
        <v>9</v>
      </c>
      <c r="W257" s="41" t="str">
        <f t="shared" si="49"/>
        <v>N</v>
      </c>
      <c r="X257" s="56">
        <f t="shared" si="50"/>
        <v>0</v>
      </c>
      <c r="Y257" s="56" t="str">
        <f t="shared" si="40"/>
        <v>0-4.9%</v>
      </c>
      <c r="Z257" s="8" t="s">
        <v>145</v>
      </c>
      <c r="AB257" s="38">
        <v>2820</v>
      </c>
      <c r="AC257" s="38">
        <v>3580</v>
      </c>
      <c r="AD257" s="38"/>
      <c r="AE257" s="38"/>
      <c r="AF257" s="38"/>
      <c r="AG257" s="38"/>
      <c r="AH257" s="38"/>
    </row>
    <row r="258" spans="1:34" ht="24" customHeight="1" x14ac:dyDescent="0.25">
      <c r="A258" s="10">
        <v>65</v>
      </c>
      <c r="B258" s="9">
        <v>0.39583333333333331</v>
      </c>
      <c r="C258" s="5" t="s">
        <v>20</v>
      </c>
      <c r="D258" s="5">
        <v>7</v>
      </c>
      <c r="E258" s="15"/>
      <c r="F258" s="15" t="s">
        <v>23</v>
      </c>
      <c r="G258" s="19">
        <f t="shared" si="41"/>
        <v>2.3199999999999998</v>
      </c>
      <c r="H258" s="19">
        <f t="shared" si="42"/>
        <v>3.02</v>
      </c>
      <c r="I258" s="19">
        <f t="shared" si="43"/>
        <v>0</v>
      </c>
      <c r="J258" s="19">
        <f t="shared" si="44"/>
        <v>0</v>
      </c>
      <c r="K258" s="19">
        <f t="shared" si="45"/>
        <v>0</v>
      </c>
      <c r="L258" s="19">
        <f t="shared" si="46"/>
        <v>0</v>
      </c>
      <c r="M258" s="19">
        <f t="shared" si="47"/>
        <v>0</v>
      </c>
      <c r="N258" s="39">
        <f t="shared" si="48"/>
        <v>5.34</v>
      </c>
      <c r="O258" s="39">
        <f t="shared" si="39"/>
        <v>0.14836448118402384</v>
      </c>
      <c r="P258" s="40">
        <v>8</v>
      </c>
      <c r="Q258" s="40">
        <v>10</v>
      </c>
      <c r="R258" s="40">
        <v>9</v>
      </c>
      <c r="S258" s="40">
        <v>9</v>
      </c>
      <c r="T258" s="40">
        <v>9</v>
      </c>
      <c r="U258" s="40">
        <v>9</v>
      </c>
      <c r="V258" s="40">
        <v>9</v>
      </c>
      <c r="W258" s="41" t="str">
        <f t="shared" si="49"/>
        <v>N</v>
      </c>
      <c r="X258" s="56">
        <f t="shared" si="50"/>
        <v>0</v>
      </c>
      <c r="Y258" s="56" t="str">
        <f t="shared" si="40"/>
        <v>0-4.9%</v>
      </c>
      <c r="Z258" s="8" t="s">
        <v>118</v>
      </c>
      <c r="AB258" s="38">
        <v>2320</v>
      </c>
      <c r="AC258" s="38">
        <v>3020</v>
      </c>
      <c r="AD258" s="38"/>
      <c r="AE258" s="38"/>
      <c r="AF258" s="38"/>
      <c r="AG258" s="38"/>
      <c r="AH258" s="38"/>
    </row>
    <row r="259" spans="1:34" ht="24" customHeight="1" x14ac:dyDescent="0.25">
      <c r="A259" s="10">
        <v>66</v>
      </c>
      <c r="B259" s="9">
        <v>0.39861111111111108</v>
      </c>
      <c r="C259" s="5" t="s">
        <v>20</v>
      </c>
      <c r="D259" s="5">
        <v>7</v>
      </c>
      <c r="E259" s="15"/>
      <c r="F259" s="15" t="s">
        <v>23</v>
      </c>
      <c r="G259" s="19">
        <f t="shared" si="41"/>
        <v>5.12</v>
      </c>
      <c r="H259" s="19">
        <f t="shared" si="42"/>
        <v>11.56</v>
      </c>
      <c r="I259" s="19">
        <f t="shared" si="43"/>
        <v>0</v>
      </c>
      <c r="J259" s="19">
        <f t="shared" si="44"/>
        <v>0</v>
      </c>
      <c r="K259" s="19">
        <f t="shared" si="45"/>
        <v>0</v>
      </c>
      <c r="L259" s="19">
        <f t="shared" si="46"/>
        <v>0</v>
      </c>
      <c r="M259" s="19">
        <f t="shared" si="47"/>
        <v>0</v>
      </c>
      <c r="N259" s="39">
        <f t="shared" si="48"/>
        <v>16.68</v>
      </c>
      <c r="O259" s="39">
        <f t="shared" si="39"/>
        <v>24.961834185457619</v>
      </c>
      <c r="P259" s="40">
        <v>8</v>
      </c>
      <c r="Q259" s="40">
        <v>10</v>
      </c>
      <c r="R259" s="40">
        <v>9</v>
      </c>
      <c r="S259" s="40">
        <v>9</v>
      </c>
      <c r="T259" s="40">
        <v>9</v>
      </c>
      <c r="U259" s="40">
        <v>9</v>
      </c>
      <c r="V259" s="40">
        <v>9</v>
      </c>
      <c r="W259" s="41" t="str">
        <f t="shared" si="49"/>
        <v>Y</v>
      </c>
      <c r="X259" s="56">
        <f t="shared" si="50"/>
        <v>0.15600000000000006</v>
      </c>
      <c r="Y259" s="56" t="str">
        <f t="shared" si="40"/>
        <v>5-25%</v>
      </c>
      <c r="Z259" s="8" t="s">
        <v>145</v>
      </c>
      <c r="AB259" s="38">
        <v>5120</v>
      </c>
      <c r="AC259" s="38">
        <v>11560</v>
      </c>
      <c r="AD259" s="38"/>
      <c r="AE259" s="38"/>
      <c r="AF259" s="38"/>
      <c r="AG259" s="38"/>
      <c r="AH259" s="38"/>
    </row>
    <row r="260" spans="1:34" ht="24" customHeight="1" x14ac:dyDescent="0.25">
      <c r="A260" s="10">
        <v>67</v>
      </c>
      <c r="B260" s="9">
        <v>0.39930555555555558</v>
      </c>
      <c r="C260" s="5" t="s">
        <v>20</v>
      </c>
      <c r="D260" s="5">
        <v>7</v>
      </c>
      <c r="E260" s="15"/>
      <c r="F260" s="15" t="s">
        <v>23</v>
      </c>
      <c r="G260" s="19">
        <f t="shared" si="41"/>
        <v>1.74</v>
      </c>
      <c r="H260" s="19">
        <f t="shared" si="42"/>
        <v>3.4</v>
      </c>
      <c r="I260" s="19">
        <f t="shared" si="43"/>
        <v>0</v>
      </c>
      <c r="J260" s="19">
        <f t="shared" si="44"/>
        <v>0</v>
      </c>
      <c r="K260" s="19">
        <f t="shared" si="45"/>
        <v>0</v>
      </c>
      <c r="L260" s="19">
        <f t="shared" si="46"/>
        <v>0</v>
      </c>
      <c r="M260" s="19">
        <f t="shared" si="47"/>
        <v>0</v>
      </c>
      <c r="N260" s="39">
        <f t="shared" si="48"/>
        <v>5.14</v>
      </c>
      <c r="O260" s="39">
        <f t="shared" si="39"/>
        <v>0.12494771579880046</v>
      </c>
      <c r="P260" s="40">
        <v>8</v>
      </c>
      <c r="Q260" s="40">
        <v>10</v>
      </c>
      <c r="R260" s="40">
        <v>9</v>
      </c>
      <c r="S260" s="40">
        <v>9</v>
      </c>
      <c r="T260" s="40">
        <v>9</v>
      </c>
      <c r="U260" s="40">
        <v>9</v>
      </c>
      <c r="V260" s="40">
        <v>9</v>
      </c>
      <c r="W260" s="41" t="str">
        <f t="shared" si="49"/>
        <v>N</v>
      </c>
      <c r="X260" s="56">
        <f t="shared" si="50"/>
        <v>0</v>
      </c>
      <c r="Y260" s="56" t="str">
        <f t="shared" si="40"/>
        <v>0-4.9%</v>
      </c>
      <c r="Z260" s="8" t="s">
        <v>118</v>
      </c>
      <c r="AB260" s="38">
        <v>1740</v>
      </c>
      <c r="AC260" s="38">
        <v>3400</v>
      </c>
      <c r="AD260" s="38"/>
      <c r="AE260" s="38"/>
      <c r="AF260" s="38"/>
      <c r="AG260" s="38"/>
      <c r="AH260" s="38"/>
    </row>
    <row r="261" spans="1:34" ht="24" customHeight="1" x14ac:dyDescent="0.25">
      <c r="A261" s="10">
        <v>68</v>
      </c>
      <c r="B261" s="9">
        <v>0.39999999999999997</v>
      </c>
      <c r="C261" s="5" t="s">
        <v>20</v>
      </c>
      <c r="D261" s="5">
        <v>7</v>
      </c>
      <c r="E261" s="15"/>
      <c r="F261" s="15" t="s">
        <v>23</v>
      </c>
      <c r="G261" s="19">
        <f t="shared" si="41"/>
        <v>7.3</v>
      </c>
      <c r="H261" s="19">
        <f t="shared" si="42"/>
        <v>15.74</v>
      </c>
      <c r="I261" s="19">
        <f t="shared" si="43"/>
        <v>0</v>
      </c>
      <c r="J261" s="19">
        <f t="shared" si="44"/>
        <v>0</v>
      </c>
      <c r="K261" s="19">
        <f t="shared" si="45"/>
        <v>0</v>
      </c>
      <c r="L261" s="19">
        <f t="shared" si="46"/>
        <v>0</v>
      </c>
      <c r="M261" s="19">
        <f t="shared" si="47"/>
        <v>0</v>
      </c>
      <c r="N261" s="39">
        <f t="shared" si="48"/>
        <v>23.04</v>
      </c>
      <c r="O261" s="39">
        <f t="shared" si="39"/>
        <v>106.79856614555331</v>
      </c>
      <c r="P261" s="40">
        <v>8</v>
      </c>
      <c r="Q261" s="40">
        <v>10</v>
      </c>
      <c r="R261" s="40">
        <v>9</v>
      </c>
      <c r="S261" s="40">
        <v>9</v>
      </c>
      <c r="T261" s="40">
        <v>9</v>
      </c>
      <c r="U261" s="40">
        <v>9</v>
      </c>
      <c r="V261" s="40">
        <v>9</v>
      </c>
      <c r="W261" s="41" t="str">
        <f t="shared" si="49"/>
        <v>Y</v>
      </c>
      <c r="X261" s="56">
        <f t="shared" si="50"/>
        <v>0.57400000000000007</v>
      </c>
      <c r="Y261" s="56" t="str">
        <f t="shared" si="40"/>
        <v>Over 50%</v>
      </c>
      <c r="Z261" s="8" t="s">
        <v>115</v>
      </c>
      <c r="AB261" s="38">
        <v>7300</v>
      </c>
      <c r="AC261" s="38">
        <v>15740</v>
      </c>
      <c r="AD261" s="38"/>
      <c r="AE261" s="38"/>
      <c r="AF261" s="38"/>
      <c r="AG261" s="38"/>
      <c r="AH261" s="38"/>
    </row>
    <row r="262" spans="1:34" ht="24" customHeight="1" x14ac:dyDescent="0.25">
      <c r="A262" s="10">
        <v>69</v>
      </c>
      <c r="B262" s="9">
        <v>0.39999999999999997</v>
      </c>
      <c r="C262" s="5" t="s">
        <v>20</v>
      </c>
      <c r="D262" s="5">
        <v>7</v>
      </c>
      <c r="E262" s="15"/>
      <c r="F262" s="15" t="s">
        <v>23</v>
      </c>
      <c r="G262" s="19">
        <f t="shared" si="41"/>
        <v>9.98</v>
      </c>
      <c r="H262" s="19">
        <f t="shared" si="42"/>
        <v>17.04</v>
      </c>
      <c r="I262" s="19">
        <f t="shared" si="43"/>
        <v>0</v>
      </c>
      <c r="J262" s="19">
        <f t="shared" si="44"/>
        <v>0</v>
      </c>
      <c r="K262" s="19">
        <f t="shared" si="45"/>
        <v>0</v>
      </c>
      <c r="L262" s="19">
        <f t="shared" si="46"/>
        <v>0</v>
      </c>
      <c r="M262" s="19">
        <f t="shared" si="47"/>
        <v>0</v>
      </c>
      <c r="N262" s="39">
        <f t="shared" si="48"/>
        <v>27.02</v>
      </c>
      <c r="O262" s="39">
        <f t="shared" si="39"/>
        <v>218.76524976125202</v>
      </c>
      <c r="P262" s="40">
        <v>8</v>
      </c>
      <c r="Q262" s="40">
        <v>10</v>
      </c>
      <c r="R262" s="40">
        <v>9</v>
      </c>
      <c r="S262" s="40">
        <v>9</v>
      </c>
      <c r="T262" s="40">
        <v>9</v>
      </c>
      <c r="U262" s="40">
        <v>9</v>
      </c>
      <c r="V262" s="40">
        <v>9</v>
      </c>
      <c r="W262" s="41" t="str">
        <f t="shared" si="49"/>
        <v>Y</v>
      </c>
      <c r="X262" s="56">
        <f t="shared" si="50"/>
        <v>0.70399999999999996</v>
      </c>
      <c r="Y262" s="56" t="str">
        <f t="shared" si="40"/>
        <v>Over 50%</v>
      </c>
      <c r="Z262" s="8" t="s">
        <v>35</v>
      </c>
      <c r="AB262" s="38">
        <v>9980</v>
      </c>
      <c r="AC262" s="38">
        <v>17040</v>
      </c>
      <c r="AD262" s="38"/>
      <c r="AE262" s="38"/>
      <c r="AF262" s="38"/>
      <c r="AG262" s="38"/>
      <c r="AH262" s="38"/>
    </row>
    <row r="263" spans="1:34" ht="24" customHeight="1" x14ac:dyDescent="0.25">
      <c r="A263" s="10">
        <v>70</v>
      </c>
      <c r="B263" s="9">
        <v>0.40069444444444446</v>
      </c>
      <c r="C263" s="5" t="s">
        <v>20</v>
      </c>
      <c r="D263" s="5">
        <v>7</v>
      </c>
      <c r="E263" s="15"/>
      <c r="F263" s="15" t="s">
        <v>23</v>
      </c>
      <c r="G263" s="19">
        <f t="shared" si="41"/>
        <v>3.1</v>
      </c>
      <c r="H263" s="19">
        <f t="shared" si="42"/>
        <v>3.78</v>
      </c>
      <c r="I263" s="19">
        <f t="shared" si="43"/>
        <v>0</v>
      </c>
      <c r="J263" s="19">
        <f t="shared" si="44"/>
        <v>0</v>
      </c>
      <c r="K263" s="19">
        <f t="shared" si="45"/>
        <v>0</v>
      </c>
      <c r="L263" s="19">
        <f t="shared" si="46"/>
        <v>0</v>
      </c>
      <c r="M263" s="19">
        <f t="shared" si="47"/>
        <v>0</v>
      </c>
      <c r="N263" s="39">
        <f t="shared" si="48"/>
        <v>6.88</v>
      </c>
      <c r="O263" s="39">
        <f t="shared" ref="O263:O326" si="51">(N263/8.16)^4.5</f>
        <v>0.46402593837946776</v>
      </c>
      <c r="P263" s="40">
        <v>8</v>
      </c>
      <c r="Q263" s="40">
        <v>10</v>
      </c>
      <c r="R263" s="40">
        <v>9</v>
      </c>
      <c r="S263" s="40">
        <v>9</v>
      </c>
      <c r="T263" s="40">
        <v>9</v>
      </c>
      <c r="U263" s="40">
        <v>9</v>
      </c>
      <c r="V263" s="40">
        <v>9</v>
      </c>
      <c r="W263" s="41" t="str">
        <f t="shared" si="49"/>
        <v>N</v>
      </c>
      <c r="X263" s="56">
        <f t="shared" si="50"/>
        <v>0</v>
      </c>
      <c r="Y263" s="56" t="str">
        <f t="shared" ref="Y263:Y326" si="52">IF(X263&lt;5%,"0-4.9%",IF(X263&lt;25%,"5-25%",IF(X263&lt;50%,"25-50%","Over 50%")))</f>
        <v>0-4.9%</v>
      </c>
      <c r="Z263" s="8" t="s">
        <v>118</v>
      </c>
      <c r="AB263" s="38">
        <v>3100</v>
      </c>
      <c r="AC263" s="38">
        <v>3780</v>
      </c>
      <c r="AD263" s="38"/>
      <c r="AE263" s="38"/>
      <c r="AF263" s="38"/>
      <c r="AG263" s="38"/>
      <c r="AH263" s="38"/>
    </row>
    <row r="264" spans="1:34" ht="24" customHeight="1" x14ac:dyDescent="0.25">
      <c r="A264" s="10">
        <v>71</v>
      </c>
      <c r="B264" s="9">
        <v>0.40138888888888885</v>
      </c>
      <c r="C264" s="5" t="s">
        <v>20</v>
      </c>
      <c r="D264" s="5">
        <v>7</v>
      </c>
      <c r="E264" s="15"/>
      <c r="F264" s="15" t="s">
        <v>23</v>
      </c>
      <c r="G264" s="19">
        <f t="shared" ref="G264:G327" si="53">AB264/1000</f>
        <v>4.8</v>
      </c>
      <c r="H264" s="19">
        <f t="shared" ref="H264:H327" si="54">AC264/1000</f>
        <v>15.02</v>
      </c>
      <c r="I264" s="19">
        <f t="shared" ref="I264:I327" si="55">AD264/1000</f>
        <v>0</v>
      </c>
      <c r="J264" s="19">
        <f t="shared" ref="J264:J327" si="56">AE264/1000</f>
        <v>0</v>
      </c>
      <c r="K264" s="19">
        <f t="shared" ref="K264:K327" si="57">AF264/1000</f>
        <v>0</v>
      </c>
      <c r="L264" s="19">
        <f t="shared" ref="L264:L327" si="58">AG264/1000</f>
        <v>0</v>
      </c>
      <c r="M264" s="19">
        <f t="shared" ref="M264:M327" si="59">AH264/1000</f>
        <v>0</v>
      </c>
      <c r="N264" s="39">
        <f t="shared" ref="N264:N327" si="60">SUM(G264:M264)</f>
        <v>19.82</v>
      </c>
      <c r="O264" s="39">
        <f t="shared" si="51"/>
        <v>54.245124622161555</v>
      </c>
      <c r="P264" s="40">
        <v>8</v>
      </c>
      <c r="Q264" s="40">
        <v>10</v>
      </c>
      <c r="R264" s="40">
        <v>9</v>
      </c>
      <c r="S264" s="40">
        <v>9</v>
      </c>
      <c r="T264" s="40">
        <v>9</v>
      </c>
      <c r="U264" s="40">
        <v>9</v>
      </c>
      <c r="V264" s="40">
        <v>9</v>
      </c>
      <c r="W264" s="41" t="str">
        <f t="shared" ref="W264:W327" si="61">IF(G264&gt;P264,"Y",IF(H264&gt;Q264,"Y",IF(I264&gt;R264,"Y",IF(J264&gt;S264,"Y",IF(K264&gt;T264,"Y",IF(L264&gt;U264,"Y",IF(M264&gt;V264,"Y","N")))))))</f>
        <v>Y</v>
      </c>
      <c r="X264" s="56">
        <f t="shared" ref="X264:X327" si="62">IF(W264="Y",MAX((G264-P264),(H264-Q264),(I264-R264),(J264-S264),(K264-T264),(L264-U264),(M264-V264))/10,0)</f>
        <v>0.502</v>
      </c>
      <c r="Y264" s="56" t="str">
        <f t="shared" si="52"/>
        <v>Over 50%</v>
      </c>
      <c r="Z264" s="8" t="s">
        <v>107</v>
      </c>
      <c r="AB264" s="38">
        <v>4800</v>
      </c>
      <c r="AC264" s="38">
        <v>15020</v>
      </c>
      <c r="AD264" s="38"/>
      <c r="AE264" s="38"/>
      <c r="AF264" s="38"/>
      <c r="AG264" s="38"/>
      <c r="AH264" s="38"/>
    </row>
    <row r="265" spans="1:34" ht="24" customHeight="1" x14ac:dyDescent="0.25">
      <c r="A265" s="10">
        <v>72</v>
      </c>
      <c r="B265" s="9">
        <v>0.40138888888888885</v>
      </c>
      <c r="C265" s="5" t="s">
        <v>20</v>
      </c>
      <c r="D265" s="5">
        <v>7</v>
      </c>
      <c r="E265" s="15"/>
      <c r="F265" s="15" t="s">
        <v>23</v>
      </c>
      <c r="G265" s="19">
        <f t="shared" si="53"/>
        <v>7.48</v>
      </c>
      <c r="H265" s="19">
        <f t="shared" si="54"/>
        <v>16.28</v>
      </c>
      <c r="I265" s="19">
        <f t="shared" si="55"/>
        <v>0</v>
      </c>
      <c r="J265" s="19">
        <f t="shared" si="56"/>
        <v>0</v>
      </c>
      <c r="K265" s="19">
        <f t="shared" si="57"/>
        <v>0</v>
      </c>
      <c r="L265" s="19">
        <f t="shared" si="58"/>
        <v>0</v>
      </c>
      <c r="M265" s="19">
        <f t="shared" si="59"/>
        <v>0</v>
      </c>
      <c r="N265" s="39">
        <f t="shared" si="60"/>
        <v>23.76</v>
      </c>
      <c r="O265" s="39">
        <f t="shared" si="51"/>
        <v>122.66008152416737</v>
      </c>
      <c r="P265" s="40">
        <v>8</v>
      </c>
      <c r="Q265" s="40">
        <v>10</v>
      </c>
      <c r="R265" s="40">
        <v>9</v>
      </c>
      <c r="S265" s="40">
        <v>9</v>
      </c>
      <c r="T265" s="40">
        <v>9</v>
      </c>
      <c r="U265" s="40">
        <v>9</v>
      </c>
      <c r="V265" s="40">
        <v>9</v>
      </c>
      <c r="W265" s="41" t="str">
        <f t="shared" si="61"/>
        <v>Y</v>
      </c>
      <c r="X265" s="56">
        <f t="shared" si="62"/>
        <v>0.62800000000000011</v>
      </c>
      <c r="Y265" s="56" t="str">
        <f t="shared" si="52"/>
        <v>Over 50%</v>
      </c>
      <c r="Z265" s="8" t="s">
        <v>35</v>
      </c>
      <c r="AB265" s="38">
        <v>7480</v>
      </c>
      <c r="AC265" s="38">
        <v>16280</v>
      </c>
      <c r="AD265" s="38"/>
      <c r="AE265" s="38"/>
      <c r="AF265" s="38"/>
      <c r="AG265" s="38"/>
      <c r="AH265" s="38"/>
    </row>
    <row r="266" spans="1:34" ht="24" customHeight="1" x14ac:dyDescent="0.25">
      <c r="A266" s="10">
        <v>73</v>
      </c>
      <c r="B266" s="9">
        <v>0.40277777777777773</v>
      </c>
      <c r="C266" s="5" t="s">
        <v>20</v>
      </c>
      <c r="D266" s="5">
        <v>7</v>
      </c>
      <c r="E266" s="15"/>
      <c r="F266" s="15" t="s">
        <v>23</v>
      </c>
      <c r="G266" s="19">
        <f t="shared" si="53"/>
        <v>2.2200000000000002</v>
      </c>
      <c r="H266" s="19">
        <f t="shared" si="54"/>
        <v>3.94</v>
      </c>
      <c r="I266" s="19">
        <f t="shared" si="55"/>
        <v>0</v>
      </c>
      <c r="J266" s="19">
        <f t="shared" si="56"/>
        <v>0</v>
      </c>
      <c r="K266" s="19">
        <f t="shared" si="57"/>
        <v>0</v>
      </c>
      <c r="L266" s="19">
        <f t="shared" si="58"/>
        <v>0</v>
      </c>
      <c r="M266" s="19">
        <f t="shared" si="59"/>
        <v>0</v>
      </c>
      <c r="N266" s="39">
        <f t="shared" si="60"/>
        <v>6.16</v>
      </c>
      <c r="O266" s="39">
        <f t="shared" si="51"/>
        <v>0.28216782486146497</v>
      </c>
      <c r="P266" s="40">
        <v>8</v>
      </c>
      <c r="Q266" s="40">
        <v>10</v>
      </c>
      <c r="R266" s="40">
        <v>9</v>
      </c>
      <c r="S266" s="40">
        <v>9</v>
      </c>
      <c r="T266" s="40">
        <v>9</v>
      </c>
      <c r="U266" s="40">
        <v>9</v>
      </c>
      <c r="V266" s="40">
        <v>9</v>
      </c>
      <c r="W266" s="41" t="str">
        <f t="shared" si="61"/>
        <v>N</v>
      </c>
      <c r="X266" s="56">
        <f t="shared" si="62"/>
        <v>0</v>
      </c>
      <c r="Y266" s="56" t="str">
        <f t="shared" si="52"/>
        <v>0-4.9%</v>
      </c>
      <c r="Z266" s="8" t="s">
        <v>118</v>
      </c>
      <c r="AB266" s="38">
        <v>2220</v>
      </c>
      <c r="AC266" s="38">
        <v>3940</v>
      </c>
      <c r="AD266" s="38"/>
      <c r="AE266" s="38"/>
      <c r="AF266" s="38"/>
      <c r="AG266" s="38"/>
      <c r="AH266" s="38"/>
    </row>
    <row r="267" spans="1:34" ht="24" customHeight="1" x14ac:dyDescent="0.25">
      <c r="A267" s="10">
        <v>75</v>
      </c>
      <c r="B267" s="9">
        <v>0.4152777777777778</v>
      </c>
      <c r="C267" s="5" t="s">
        <v>20</v>
      </c>
      <c r="D267" s="5">
        <v>7</v>
      </c>
      <c r="E267" s="15"/>
      <c r="F267" s="15" t="s">
        <v>23</v>
      </c>
      <c r="G267" s="19">
        <f t="shared" si="53"/>
        <v>3.22</v>
      </c>
      <c r="H267" s="19">
        <f t="shared" si="54"/>
        <v>2.1</v>
      </c>
      <c r="I267" s="19">
        <f t="shared" si="55"/>
        <v>0</v>
      </c>
      <c r="J267" s="19">
        <f t="shared" si="56"/>
        <v>0</v>
      </c>
      <c r="K267" s="19">
        <f t="shared" si="57"/>
        <v>0</v>
      </c>
      <c r="L267" s="19">
        <f t="shared" si="58"/>
        <v>0</v>
      </c>
      <c r="M267" s="19">
        <f t="shared" si="59"/>
        <v>0</v>
      </c>
      <c r="N267" s="39">
        <f t="shared" si="60"/>
        <v>5.32</v>
      </c>
      <c r="O267" s="39">
        <f t="shared" si="51"/>
        <v>0.14588029434829219</v>
      </c>
      <c r="P267" s="40">
        <v>8</v>
      </c>
      <c r="Q267" s="40">
        <v>10</v>
      </c>
      <c r="R267" s="40">
        <v>9</v>
      </c>
      <c r="S267" s="40">
        <v>9</v>
      </c>
      <c r="T267" s="40">
        <v>9</v>
      </c>
      <c r="U267" s="40">
        <v>9</v>
      </c>
      <c r="V267" s="40">
        <v>9</v>
      </c>
      <c r="W267" s="41" t="str">
        <f t="shared" si="61"/>
        <v>N</v>
      </c>
      <c r="X267" s="56">
        <f t="shared" si="62"/>
        <v>0</v>
      </c>
      <c r="Y267" s="56" t="str">
        <f t="shared" si="52"/>
        <v>0-4.9%</v>
      </c>
      <c r="Z267" s="8" t="s">
        <v>118</v>
      </c>
      <c r="AB267" s="38">
        <v>3220</v>
      </c>
      <c r="AC267" s="38">
        <v>2100</v>
      </c>
      <c r="AD267" s="38"/>
      <c r="AE267" s="38"/>
      <c r="AF267" s="38"/>
      <c r="AG267" s="38"/>
      <c r="AH267" s="38"/>
    </row>
    <row r="268" spans="1:34" ht="24" customHeight="1" x14ac:dyDescent="0.25">
      <c r="A268" s="10">
        <v>76</v>
      </c>
      <c r="B268" s="9">
        <v>0.41666666666666669</v>
      </c>
      <c r="C268" s="5" t="s">
        <v>20</v>
      </c>
      <c r="D268" s="5">
        <v>7</v>
      </c>
      <c r="E268" s="15"/>
      <c r="F268" s="15" t="s">
        <v>23</v>
      </c>
      <c r="G268" s="19">
        <f t="shared" si="53"/>
        <v>2.8</v>
      </c>
      <c r="H268" s="19">
        <f t="shared" si="54"/>
        <v>3.14</v>
      </c>
      <c r="I268" s="19">
        <f t="shared" si="55"/>
        <v>0</v>
      </c>
      <c r="J268" s="19">
        <f t="shared" si="56"/>
        <v>0</v>
      </c>
      <c r="K268" s="19">
        <f t="shared" si="57"/>
        <v>0</v>
      </c>
      <c r="L268" s="19">
        <f t="shared" si="58"/>
        <v>0</v>
      </c>
      <c r="M268" s="19">
        <f t="shared" si="59"/>
        <v>0</v>
      </c>
      <c r="N268" s="39">
        <f t="shared" si="60"/>
        <v>5.9399999999999995</v>
      </c>
      <c r="O268" s="39">
        <f t="shared" si="51"/>
        <v>0.23957047172688925</v>
      </c>
      <c r="P268" s="40">
        <v>8</v>
      </c>
      <c r="Q268" s="40">
        <v>10</v>
      </c>
      <c r="R268" s="40">
        <v>9</v>
      </c>
      <c r="S268" s="40">
        <v>9</v>
      </c>
      <c r="T268" s="40">
        <v>9</v>
      </c>
      <c r="U268" s="40">
        <v>9</v>
      </c>
      <c r="V268" s="40">
        <v>9</v>
      </c>
      <c r="W268" s="41" t="str">
        <f t="shared" si="61"/>
        <v>N</v>
      </c>
      <c r="X268" s="56">
        <f t="shared" si="62"/>
        <v>0</v>
      </c>
      <c r="Y268" s="56" t="str">
        <f t="shared" si="52"/>
        <v>0-4.9%</v>
      </c>
      <c r="Z268" s="8" t="s">
        <v>118</v>
      </c>
      <c r="AB268" s="38">
        <v>2800</v>
      </c>
      <c r="AC268" s="38">
        <v>3140</v>
      </c>
      <c r="AD268" s="38"/>
      <c r="AE268" s="38"/>
      <c r="AF268" s="38"/>
      <c r="AG268" s="38"/>
      <c r="AH268" s="38"/>
    </row>
    <row r="269" spans="1:34" ht="24" customHeight="1" x14ac:dyDescent="0.25">
      <c r="A269" s="10">
        <v>77</v>
      </c>
      <c r="B269" s="9">
        <v>0.41736111111111113</v>
      </c>
      <c r="C269" s="5" t="s">
        <v>20</v>
      </c>
      <c r="D269" s="5">
        <v>7</v>
      </c>
      <c r="E269" s="15"/>
      <c r="F269" s="15" t="s">
        <v>23</v>
      </c>
      <c r="G269" s="19">
        <f t="shared" si="53"/>
        <v>3.66</v>
      </c>
      <c r="H269" s="19">
        <f t="shared" si="54"/>
        <v>6.68</v>
      </c>
      <c r="I269" s="19">
        <f t="shared" si="55"/>
        <v>0</v>
      </c>
      <c r="J269" s="19">
        <f t="shared" si="56"/>
        <v>0</v>
      </c>
      <c r="K269" s="19">
        <f t="shared" si="57"/>
        <v>0</v>
      </c>
      <c r="L269" s="19">
        <f t="shared" si="58"/>
        <v>0</v>
      </c>
      <c r="M269" s="19">
        <f t="shared" si="59"/>
        <v>0</v>
      </c>
      <c r="N269" s="39">
        <f t="shared" si="60"/>
        <v>10.34</v>
      </c>
      <c r="O269" s="39">
        <f t="shared" si="51"/>
        <v>2.9022626312962778</v>
      </c>
      <c r="P269" s="40">
        <v>8</v>
      </c>
      <c r="Q269" s="40">
        <v>10</v>
      </c>
      <c r="R269" s="40">
        <v>9</v>
      </c>
      <c r="S269" s="40">
        <v>9</v>
      </c>
      <c r="T269" s="40">
        <v>9</v>
      </c>
      <c r="U269" s="40">
        <v>9</v>
      </c>
      <c r="V269" s="40">
        <v>9</v>
      </c>
      <c r="W269" s="41" t="str">
        <f t="shared" si="61"/>
        <v>N</v>
      </c>
      <c r="X269" s="56">
        <f t="shared" si="62"/>
        <v>0</v>
      </c>
      <c r="Y269" s="56" t="str">
        <f t="shared" si="52"/>
        <v>0-4.9%</v>
      </c>
      <c r="Z269" s="8" t="s">
        <v>107</v>
      </c>
      <c r="AB269" s="38">
        <v>3660</v>
      </c>
      <c r="AC269" s="38">
        <v>6680</v>
      </c>
      <c r="AD269" s="38"/>
      <c r="AE269" s="38"/>
      <c r="AF269" s="38"/>
      <c r="AG269" s="38"/>
      <c r="AH269" s="38"/>
    </row>
    <row r="270" spans="1:34" ht="24" customHeight="1" x14ac:dyDescent="0.25">
      <c r="A270" s="10">
        <v>78</v>
      </c>
      <c r="B270" s="9">
        <v>0.41805555555555557</v>
      </c>
      <c r="C270" s="5" t="s">
        <v>20</v>
      </c>
      <c r="D270" s="5">
        <v>7</v>
      </c>
      <c r="E270" s="15"/>
      <c r="F270" s="15" t="s">
        <v>23</v>
      </c>
      <c r="G270" s="19">
        <f t="shared" si="53"/>
        <v>3.16</v>
      </c>
      <c r="H270" s="19">
        <f t="shared" si="54"/>
        <v>2.78</v>
      </c>
      <c r="I270" s="19">
        <f t="shared" si="55"/>
        <v>0</v>
      </c>
      <c r="J270" s="19">
        <f t="shared" si="56"/>
        <v>0</v>
      </c>
      <c r="K270" s="19">
        <f t="shared" si="57"/>
        <v>0</v>
      </c>
      <c r="L270" s="19">
        <f t="shared" si="58"/>
        <v>0</v>
      </c>
      <c r="M270" s="19">
        <f t="shared" si="59"/>
        <v>0</v>
      </c>
      <c r="N270" s="39">
        <f t="shared" si="60"/>
        <v>5.9399999999999995</v>
      </c>
      <c r="O270" s="39">
        <f t="shared" si="51"/>
        <v>0.23957047172688925</v>
      </c>
      <c r="P270" s="40">
        <v>8</v>
      </c>
      <c r="Q270" s="40">
        <v>10</v>
      </c>
      <c r="R270" s="40">
        <v>9</v>
      </c>
      <c r="S270" s="40">
        <v>9</v>
      </c>
      <c r="T270" s="40">
        <v>9</v>
      </c>
      <c r="U270" s="40">
        <v>9</v>
      </c>
      <c r="V270" s="40">
        <v>9</v>
      </c>
      <c r="W270" s="41" t="str">
        <f t="shared" si="61"/>
        <v>N</v>
      </c>
      <c r="X270" s="56">
        <f t="shared" si="62"/>
        <v>0</v>
      </c>
      <c r="Y270" s="56" t="str">
        <f t="shared" si="52"/>
        <v>0-4.9%</v>
      </c>
      <c r="Z270" s="8" t="s">
        <v>118</v>
      </c>
      <c r="AB270" s="38">
        <v>3160</v>
      </c>
      <c r="AC270" s="38">
        <v>2780</v>
      </c>
      <c r="AD270" s="38"/>
      <c r="AE270" s="38"/>
      <c r="AF270" s="38"/>
      <c r="AG270" s="38"/>
      <c r="AH270" s="38"/>
    </row>
    <row r="271" spans="1:34" ht="24" customHeight="1" x14ac:dyDescent="0.25">
      <c r="A271" s="10">
        <v>79</v>
      </c>
      <c r="B271" s="9">
        <v>0.41875000000000001</v>
      </c>
      <c r="C271" s="5" t="s">
        <v>20</v>
      </c>
      <c r="D271" s="5">
        <v>7</v>
      </c>
      <c r="E271" s="15"/>
      <c r="F271" s="15" t="s">
        <v>23</v>
      </c>
      <c r="G271" s="19">
        <f t="shared" si="53"/>
        <v>9</v>
      </c>
      <c r="H271" s="19">
        <f t="shared" si="54"/>
        <v>9.64</v>
      </c>
      <c r="I271" s="19">
        <f t="shared" si="55"/>
        <v>0</v>
      </c>
      <c r="J271" s="19">
        <f t="shared" si="56"/>
        <v>0</v>
      </c>
      <c r="K271" s="19">
        <f t="shared" si="57"/>
        <v>0</v>
      </c>
      <c r="L271" s="19">
        <f t="shared" si="58"/>
        <v>0</v>
      </c>
      <c r="M271" s="19">
        <f t="shared" si="59"/>
        <v>0</v>
      </c>
      <c r="N271" s="39">
        <f t="shared" si="60"/>
        <v>18.64</v>
      </c>
      <c r="O271" s="39">
        <f t="shared" si="51"/>
        <v>41.152940443051179</v>
      </c>
      <c r="P271" s="40">
        <v>8</v>
      </c>
      <c r="Q271" s="40">
        <v>10</v>
      </c>
      <c r="R271" s="40">
        <v>9</v>
      </c>
      <c r="S271" s="40">
        <v>9</v>
      </c>
      <c r="T271" s="40">
        <v>9</v>
      </c>
      <c r="U271" s="40">
        <v>9</v>
      </c>
      <c r="V271" s="40">
        <v>9</v>
      </c>
      <c r="W271" s="41" t="str">
        <f t="shared" si="61"/>
        <v>Y</v>
      </c>
      <c r="X271" s="56">
        <f t="shared" si="62"/>
        <v>0.1</v>
      </c>
      <c r="Y271" s="56" t="str">
        <f t="shared" si="52"/>
        <v>5-25%</v>
      </c>
      <c r="Z271" s="8" t="s">
        <v>113</v>
      </c>
      <c r="AB271" s="38">
        <v>9000</v>
      </c>
      <c r="AC271" s="38">
        <v>9640</v>
      </c>
      <c r="AD271" s="38"/>
      <c r="AE271" s="38"/>
      <c r="AF271" s="38"/>
      <c r="AG271" s="38"/>
      <c r="AH271" s="38"/>
    </row>
    <row r="272" spans="1:34" ht="24" customHeight="1" x14ac:dyDescent="0.25">
      <c r="A272" s="10">
        <v>80</v>
      </c>
      <c r="B272" s="9">
        <v>0.41875000000000001</v>
      </c>
      <c r="C272" s="5" t="s">
        <v>20</v>
      </c>
      <c r="D272" s="5">
        <v>7</v>
      </c>
      <c r="E272" s="15"/>
      <c r="F272" s="15" t="s">
        <v>23</v>
      </c>
      <c r="G272" s="19">
        <f t="shared" si="53"/>
        <v>2.4</v>
      </c>
      <c r="H272" s="19">
        <f t="shared" si="54"/>
        <v>2.12</v>
      </c>
      <c r="I272" s="19">
        <f t="shared" si="55"/>
        <v>0</v>
      </c>
      <c r="J272" s="19">
        <f t="shared" si="56"/>
        <v>0</v>
      </c>
      <c r="K272" s="19">
        <f t="shared" si="57"/>
        <v>0</v>
      </c>
      <c r="L272" s="19">
        <f t="shared" si="58"/>
        <v>0</v>
      </c>
      <c r="M272" s="19">
        <f t="shared" si="59"/>
        <v>0</v>
      </c>
      <c r="N272" s="39">
        <f t="shared" si="60"/>
        <v>4.5199999999999996</v>
      </c>
      <c r="O272" s="39">
        <f t="shared" si="51"/>
        <v>7.0067600038934488E-2</v>
      </c>
      <c r="P272" s="40">
        <v>8</v>
      </c>
      <c r="Q272" s="40">
        <v>10</v>
      </c>
      <c r="R272" s="40">
        <v>9</v>
      </c>
      <c r="S272" s="40">
        <v>9</v>
      </c>
      <c r="T272" s="40">
        <v>9</v>
      </c>
      <c r="U272" s="40">
        <v>9</v>
      </c>
      <c r="V272" s="40">
        <v>9</v>
      </c>
      <c r="W272" s="41" t="str">
        <f t="shared" si="61"/>
        <v>N</v>
      </c>
      <c r="X272" s="56">
        <f t="shared" si="62"/>
        <v>0</v>
      </c>
      <c r="Y272" s="56" t="str">
        <f t="shared" si="52"/>
        <v>0-4.9%</v>
      </c>
      <c r="Z272" s="8" t="s">
        <v>118</v>
      </c>
      <c r="AB272" s="38">
        <v>2400</v>
      </c>
      <c r="AC272" s="38">
        <v>2120</v>
      </c>
      <c r="AD272" s="38"/>
      <c r="AE272" s="38"/>
      <c r="AF272" s="38"/>
      <c r="AG272" s="38"/>
      <c r="AH272" s="38"/>
    </row>
    <row r="273" spans="1:34" ht="24" customHeight="1" x14ac:dyDescent="0.25">
      <c r="A273" s="10">
        <v>81</v>
      </c>
      <c r="B273" s="9">
        <v>0.41944444444444445</v>
      </c>
      <c r="C273" s="5" t="s">
        <v>20</v>
      </c>
      <c r="D273" s="5">
        <v>7</v>
      </c>
      <c r="E273" s="15"/>
      <c r="F273" s="15" t="s">
        <v>23</v>
      </c>
      <c r="G273" s="19">
        <f t="shared" si="53"/>
        <v>3.02</v>
      </c>
      <c r="H273" s="19">
        <f t="shared" si="54"/>
        <v>2.86</v>
      </c>
      <c r="I273" s="19">
        <f t="shared" si="55"/>
        <v>0</v>
      </c>
      <c r="J273" s="19">
        <f t="shared" si="56"/>
        <v>0</v>
      </c>
      <c r="K273" s="19">
        <f t="shared" si="57"/>
        <v>0</v>
      </c>
      <c r="L273" s="19">
        <f t="shared" si="58"/>
        <v>0</v>
      </c>
      <c r="M273" s="19">
        <f t="shared" si="59"/>
        <v>0</v>
      </c>
      <c r="N273" s="39">
        <f t="shared" si="60"/>
        <v>5.88</v>
      </c>
      <c r="O273" s="39">
        <f t="shared" si="51"/>
        <v>0.22887178299973635</v>
      </c>
      <c r="P273" s="40">
        <v>8</v>
      </c>
      <c r="Q273" s="40">
        <v>10</v>
      </c>
      <c r="R273" s="40">
        <v>9</v>
      </c>
      <c r="S273" s="40">
        <v>9</v>
      </c>
      <c r="T273" s="40">
        <v>9</v>
      </c>
      <c r="U273" s="40">
        <v>9</v>
      </c>
      <c r="V273" s="40">
        <v>9</v>
      </c>
      <c r="W273" s="41" t="str">
        <f t="shared" si="61"/>
        <v>N</v>
      </c>
      <c r="X273" s="56">
        <f t="shared" si="62"/>
        <v>0</v>
      </c>
      <c r="Y273" s="56" t="str">
        <f t="shared" si="52"/>
        <v>0-4.9%</v>
      </c>
      <c r="Z273" s="8" t="s">
        <v>118</v>
      </c>
      <c r="AB273" s="38">
        <v>3020</v>
      </c>
      <c r="AC273" s="38">
        <v>2860</v>
      </c>
      <c r="AD273" s="38"/>
      <c r="AE273" s="38"/>
      <c r="AF273" s="38"/>
      <c r="AG273" s="38"/>
      <c r="AH273" s="38"/>
    </row>
    <row r="274" spans="1:34" ht="24" customHeight="1" x14ac:dyDescent="0.25">
      <c r="A274" s="10">
        <v>83</v>
      </c>
      <c r="B274" s="9">
        <v>0.42152777777777778</v>
      </c>
      <c r="C274" s="5" t="s">
        <v>20</v>
      </c>
      <c r="D274" s="5">
        <v>7</v>
      </c>
      <c r="E274" s="15"/>
      <c r="F274" s="15" t="s">
        <v>23</v>
      </c>
      <c r="G274" s="19">
        <f t="shared" si="53"/>
        <v>3.12</v>
      </c>
      <c r="H274" s="19">
        <f t="shared" si="54"/>
        <v>2.98</v>
      </c>
      <c r="I274" s="19">
        <f t="shared" si="55"/>
        <v>0</v>
      </c>
      <c r="J274" s="19">
        <f t="shared" si="56"/>
        <v>0</v>
      </c>
      <c r="K274" s="19">
        <f t="shared" si="57"/>
        <v>0</v>
      </c>
      <c r="L274" s="19">
        <f t="shared" si="58"/>
        <v>0</v>
      </c>
      <c r="M274" s="19">
        <f t="shared" si="59"/>
        <v>0</v>
      </c>
      <c r="N274" s="39">
        <f t="shared" si="60"/>
        <v>6.1</v>
      </c>
      <c r="O274" s="39">
        <f t="shared" si="51"/>
        <v>0.27000918822890069</v>
      </c>
      <c r="P274" s="40">
        <v>8</v>
      </c>
      <c r="Q274" s="40">
        <v>10</v>
      </c>
      <c r="R274" s="40">
        <v>9</v>
      </c>
      <c r="S274" s="40">
        <v>9</v>
      </c>
      <c r="T274" s="40">
        <v>9</v>
      </c>
      <c r="U274" s="40">
        <v>9</v>
      </c>
      <c r="V274" s="40">
        <v>9</v>
      </c>
      <c r="W274" s="41" t="str">
        <f t="shared" si="61"/>
        <v>N</v>
      </c>
      <c r="X274" s="56">
        <f t="shared" si="62"/>
        <v>0</v>
      </c>
      <c r="Y274" s="56" t="str">
        <f t="shared" si="52"/>
        <v>0-4.9%</v>
      </c>
      <c r="Z274" s="8" t="s">
        <v>118</v>
      </c>
      <c r="AB274" s="38">
        <v>3120</v>
      </c>
      <c r="AC274" s="38">
        <v>2980</v>
      </c>
      <c r="AD274" s="38"/>
      <c r="AE274" s="38"/>
      <c r="AF274" s="38"/>
      <c r="AG274" s="38"/>
      <c r="AH274" s="38"/>
    </row>
    <row r="275" spans="1:34" ht="24" customHeight="1" x14ac:dyDescent="0.25">
      <c r="A275" s="10">
        <v>84</v>
      </c>
      <c r="B275" s="9">
        <v>0.42222222222222222</v>
      </c>
      <c r="C275" s="5" t="s">
        <v>20</v>
      </c>
      <c r="D275" s="5">
        <v>7</v>
      </c>
      <c r="E275" s="15"/>
      <c r="F275" s="15" t="s">
        <v>23</v>
      </c>
      <c r="G275" s="19">
        <f t="shared" si="53"/>
        <v>6.1</v>
      </c>
      <c r="H275" s="19">
        <f t="shared" si="54"/>
        <v>12.04</v>
      </c>
      <c r="I275" s="19">
        <f t="shared" si="55"/>
        <v>0</v>
      </c>
      <c r="J275" s="19">
        <f t="shared" si="56"/>
        <v>0</v>
      </c>
      <c r="K275" s="19">
        <f t="shared" si="57"/>
        <v>0</v>
      </c>
      <c r="L275" s="19">
        <f t="shared" si="58"/>
        <v>0</v>
      </c>
      <c r="M275" s="19">
        <f t="shared" si="59"/>
        <v>0</v>
      </c>
      <c r="N275" s="39">
        <f t="shared" si="60"/>
        <v>18.14</v>
      </c>
      <c r="O275" s="39">
        <f t="shared" si="51"/>
        <v>36.413469255893709</v>
      </c>
      <c r="P275" s="40">
        <v>8</v>
      </c>
      <c r="Q275" s="40">
        <v>10</v>
      </c>
      <c r="R275" s="40">
        <v>9</v>
      </c>
      <c r="S275" s="40">
        <v>9</v>
      </c>
      <c r="T275" s="40">
        <v>9</v>
      </c>
      <c r="U275" s="40">
        <v>9</v>
      </c>
      <c r="V275" s="40">
        <v>9</v>
      </c>
      <c r="W275" s="41" t="str">
        <f t="shared" si="61"/>
        <v>Y</v>
      </c>
      <c r="X275" s="56">
        <f t="shared" si="62"/>
        <v>0.2039999999999999</v>
      </c>
      <c r="Y275" s="56" t="str">
        <f t="shared" si="52"/>
        <v>5-25%</v>
      </c>
      <c r="Z275" s="8" t="s">
        <v>35</v>
      </c>
      <c r="AB275" s="38">
        <v>6100</v>
      </c>
      <c r="AC275" s="38">
        <v>12040</v>
      </c>
      <c r="AD275" s="38"/>
      <c r="AE275" s="38"/>
      <c r="AF275" s="38"/>
      <c r="AG275" s="38"/>
      <c r="AH275" s="38"/>
    </row>
    <row r="276" spans="1:34" ht="24" customHeight="1" x14ac:dyDescent="0.25">
      <c r="A276" s="10">
        <v>85</v>
      </c>
      <c r="B276" s="9">
        <v>0.42291666666666666</v>
      </c>
      <c r="C276" s="5" t="s">
        <v>20</v>
      </c>
      <c r="D276" s="5">
        <v>7</v>
      </c>
      <c r="E276" s="15"/>
      <c r="F276" s="15" t="s">
        <v>23</v>
      </c>
      <c r="G276" s="19">
        <f t="shared" si="53"/>
        <v>2.98</v>
      </c>
      <c r="H276" s="19">
        <f t="shared" si="54"/>
        <v>3.2</v>
      </c>
      <c r="I276" s="19">
        <f t="shared" si="55"/>
        <v>0</v>
      </c>
      <c r="J276" s="19">
        <f t="shared" si="56"/>
        <v>0</v>
      </c>
      <c r="K276" s="19">
        <f t="shared" si="57"/>
        <v>0</v>
      </c>
      <c r="L276" s="19">
        <f t="shared" si="58"/>
        <v>0</v>
      </c>
      <c r="M276" s="19">
        <f t="shared" si="59"/>
        <v>0</v>
      </c>
      <c r="N276" s="39">
        <f t="shared" si="60"/>
        <v>6.18</v>
      </c>
      <c r="O276" s="39">
        <f t="shared" si="51"/>
        <v>0.28631389393191964</v>
      </c>
      <c r="P276" s="40">
        <v>8</v>
      </c>
      <c r="Q276" s="40">
        <v>10</v>
      </c>
      <c r="R276" s="40">
        <v>9</v>
      </c>
      <c r="S276" s="40">
        <v>9</v>
      </c>
      <c r="T276" s="40">
        <v>9</v>
      </c>
      <c r="U276" s="40">
        <v>9</v>
      </c>
      <c r="V276" s="40">
        <v>9</v>
      </c>
      <c r="W276" s="41" t="str">
        <f t="shared" si="61"/>
        <v>N</v>
      </c>
      <c r="X276" s="56">
        <f t="shared" si="62"/>
        <v>0</v>
      </c>
      <c r="Y276" s="56" t="str">
        <f t="shared" si="52"/>
        <v>0-4.9%</v>
      </c>
      <c r="Z276" s="8" t="s">
        <v>118</v>
      </c>
      <c r="AB276" s="38">
        <v>2980</v>
      </c>
      <c r="AC276" s="38">
        <v>3200</v>
      </c>
      <c r="AD276" s="38"/>
      <c r="AE276" s="38"/>
      <c r="AF276" s="38"/>
      <c r="AG276" s="38"/>
      <c r="AH276" s="38"/>
    </row>
    <row r="277" spans="1:34" ht="24" customHeight="1" x14ac:dyDescent="0.25">
      <c r="A277" s="10">
        <v>86</v>
      </c>
      <c r="B277" s="9">
        <v>0.4236111111111111</v>
      </c>
      <c r="C277" s="5" t="s">
        <v>20</v>
      </c>
      <c r="D277" s="5">
        <v>7</v>
      </c>
      <c r="E277" s="15"/>
      <c r="F277" s="15" t="s">
        <v>23</v>
      </c>
      <c r="G277" s="19">
        <f t="shared" si="53"/>
        <v>3.23</v>
      </c>
      <c r="H277" s="19">
        <f t="shared" si="54"/>
        <v>3.18</v>
      </c>
      <c r="I277" s="19">
        <f t="shared" si="55"/>
        <v>0</v>
      </c>
      <c r="J277" s="19">
        <f t="shared" si="56"/>
        <v>0</v>
      </c>
      <c r="K277" s="19">
        <f t="shared" si="57"/>
        <v>0</v>
      </c>
      <c r="L277" s="19">
        <f t="shared" si="58"/>
        <v>0</v>
      </c>
      <c r="M277" s="19">
        <f t="shared" si="59"/>
        <v>0</v>
      </c>
      <c r="N277" s="39">
        <f t="shared" si="60"/>
        <v>6.41</v>
      </c>
      <c r="O277" s="39">
        <f t="shared" si="51"/>
        <v>0.33748573332405041</v>
      </c>
      <c r="P277" s="40">
        <v>8</v>
      </c>
      <c r="Q277" s="40">
        <v>10</v>
      </c>
      <c r="R277" s="40">
        <v>9</v>
      </c>
      <c r="S277" s="40">
        <v>9</v>
      </c>
      <c r="T277" s="40">
        <v>9</v>
      </c>
      <c r="U277" s="40">
        <v>9</v>
      </c>
      <c r="V277" s="40">
        <v>9</v>
      </c>
      <c r="W277" s="41" t="str">
        <f t="shared" si="61"/>
        <v>N</v>
      </c>
      <c r="X277" s="56">
        <f t="shared" si="62"/>
        <v>0</v>
      </c>
      <c r="Y277" s="56" t="str">
        <f t="shared" si="52"/>
        <v>0-4.9%</v>
      </c>
      <c r="Z277" s="8" t="s">
        <v>35</v>
      </c>
      <c r="AB277" s="38">
        <v>3230</v>
      </c>
      <c r="AC277" s="38">
        <v>3180</v>
      </c>
      <c r="AD277" s="38"/>
      <c r="AE277" s="38"/>
      <c r="AF277" s="38"/>
      <c r="AG277" s="38"/>
      <c r="AH277" s="38"/>
    </row>
    <row r="278" spans="1:34" ht="24" customHeight="1" x14ac:dyDescent="0.25">
      <c r="A278" s="10">
        <v>87</v>
      </c>
      <c r="B278" s="9">
        <v>0.42430555555555555</v>
      </c>
      <c r="C278" s="5" t="s">
        <v>20</v>
      </c>
      <c r="D278" s="5">
        <v>7</v>
      </c>
      <c r="E278" s="15"/>
      <c r="F278" s="15" t="s">
        <v>23</v>
      </c>
      <c r="G278" s="19">
        <f t="shared" si="53"/>
        <v>2.78</v>
      </c>
      <c r="H278" s="19">
        <f t="shared" si="54"/>
        <v>3.48</v>
      </c>
      <c r="I278" s="19">
        <f t="shared" si="55"/>
        <v>0</v>
      </c>
      <c r="J278" s="19">
        <f t="shared" si="56"/>
        <v>0</v>
      </c>
      <c r="K278" s="19">
        <f t="shared" si="57"/>
        <v>0</v>
      </c>
      <c r="L278" s="19">
        <f t="shared" si="58"/>
        <v>0</v>
      </c>
      <c r="M278" s="19">
        <f t="shared" si="59"/>
        <v>0</v>
      </c>
      <c r="N278" s="39">
        <f t="shared" si="60"/>
        <v>6.26</v>
      </c>
      <c r="O278" s="39">
        <f t="shared" si="51"/>
        <v>0.3033742984604833</v>
      </c>
      <c r="P278" s="40">
        <v>8</v>
      </c>
      <c r="Q278" s="40">
        <v>10</v>
      </c>
      <c r="R278" s="40">
        <v>9</v>
      </c>
      <c r="S278" s="40">
        <v>9</v>
      </c>
      <c r="T278" s="40">
        <v>9</v>
      </c>
      <c r="U278" s="40">
        <v>9</v>
      </c>
      <c r="V278" s="40">
        <v>9</v>
      </c>
      <c r="W278" s="41" t="str">
        <f t="shared" si="61"/>
        <v>N</v>
      </c>
      <c r="X278" s="56">
        <f t="shared" si="62"/>
        <v>0</v>
      </c>
      <c r="Y278" s="56" t="str">
        <f t="shared" si="52"/>
        <v>0-4.9%</v>
      </c>
      <c r="Z278" s="8" t="s">
        <v>118</v>
      </c>
      <c r="AB278" s="38">
        <v>2780</v>
      </c>
      <c r="AC278" s="38">
        <v>3480</v>
      </c>
      <c r="AD278" s="38"/>
      <c r="AE278" s="38"/>
      <c r="AF278" s="38"/>
      <c r="AG278" s="38"/>
      <c r="AH278" s="38"/>
    </row>
    <row r="279" spans="1:34" ht="24" customHeight="1" x14ac:dyDescent="0.25">
      <c r="A279" s="10">
        <v>88</v>
      </c>
      <c r="B279" s="9">
        <v>0.42777777777777781</v>
      </c>
      <c r="C279" s="5" t="s">
        <v>20</v>
      </c>
      <c r="D279" s="5">
        <v>7</v>
      </c>
      <c r="E279" s="15"/>
      <c r="F279" s="15" t="s">
        <v>23</v>
      </c>
      <c r="G279" s="19">
        <f t="shared" si="53"/>
        <v>3.74</v>
      </c>
      <c r="H279" s="19">
        <f t="shared" si="54"/>
        <v>3.68</v>
      </c>
      <c r="I279" s="19">
        <f t="shared" si="55"/>
        <v>0</v>
      </c>
      <c r="J279" s="19">
        <f t="shared" si="56"/>
        <v>0</v>
      </c>
      <c r="K279" s="19">
        <f t="shared" si="57"/>
        <v>0</v>
      </c>
      <c r="L279" s="19">
        <f t="shared" si="58"/>
        <v>0</v>
      </c>
      <c r="M279" s="19">
        <f t="shared" si="59"/>
        <v>0</v>
      </c>
      <c r="N279" s="39">
        <f t="shared" si="60"/>
        <v>7.42</v>
      </c>
      <c r="O279" s="39">
        <f t="shared" si="51"/>
        <v>0.65194635171586235</v>
      </c>
      <c r="P279" s="40">
        <v>8</v>
      </c>
      <c r="Q279" s="40">
        <v>10</v>
      </c>
      <c r="R279" s="40">
        <v>9</v>
      </c>
      <c r="S279" s="40">
        <v>9</v>
      </c>
      <c r="T279" s="40">
        <v>9</v>
      </c>
      <c r="U279" s="40">
        <v>9</v>
      </c>
      <c r="V279" s="40">
        <v>9</v>
      </c>
      <c r="W279" s="41" t="str">
        <f t="shared" si="61"/>
        <v>N</v>
      </c>
      <c r="X279" s="56">
        <f t="shared" si="62"/>
        <v>0</v>
      </c>
      <c r="Y279" s="56" t="str">
        <f t="shared" si="52"/>
        <v>0-4.9%</v>
      </c>
      <c r="Z279" s="8" t="s">
        <v>145</v>
      </c>
      <c r="AB279" s="38">
        <v>3740</v>
      </c>
      <c r="AC279" s="38">
        <v>3680</v>
      </c>
      <c r="AD279" s="38"/>
      <c r="AE279" s="38"/>
      <c r="AF279" s="38"/>
      <c r="AG279" s="38"/>
      <c r="AH279" s="38"/>
    </row>
    <row r="280" spans="1:34" ht="24" customHeight="1" x14ac:dyDescent="0.25">
      <c r="A280" s="10">
        <v>89</v>
      </c>
      <c r="B280" s="9">
        <v>0.4284722222222222</v>
      </c>
      <c r="C280" s="5" t="s">
        <v>20</v>
      </c>
      <c r="D280" s="5">
        <v>7</v>
      </c>
      <c r="E280" s="15"/>
      <c r="F280" s="15" t="s">
        <v>23</v>
      </c>
      <c r="G280" s="19">
        <f t="shared" si="53"/>
        <v>4.08</v>
      </c>
      <c r="H280" s="19">
        <f t="shared" si="54"/>
        <v>5.28</v>
      </c>
      <c r="I280" s="19">
        <f t="shared" si="55"/>
        <v>0</v>
      </c>
      <c r="J280" s="19">
        <f t="shared" si="56"/>
        <v>0</v>
      </c>
      <c r="K280" s="19">
        <f t="shared" si="57"/>
        <v>0</v>
      </c>
      <c r="L280" s="19">
        <f t="shared" si="58"/>
        <v>0</v>
      </c>
      <c r="M280" s="19">
        <f t="shared" si="59"/>
        <v>0</v>
      </c>
      <c r="N280" s="39">
        <f t="shared" si="60"/>
        <v>9.36</v>
      </c>
      <c r="O280" s="39">
        <f t="shared" si="51"/>
        <v>1.8541104639933244</v>
      </c>
      <c r="P280" s="40">
        <v>8</v>
      </c>
      <c r="Q280" s="40">
        <v>10</v>
      </c>
      <c r="R280" s="40">
        <v>9</v>
      </c>
      <c r="S280" s="40">
        <v>9</v>
      </c>
      <c r="T280" s="40">
        <v>9</v>
      </c>
      <c r="U280" s="40">
        <v>9</v>
      </c>
      <c r="V280" s="40">
        <v>9</v>
      </c>
      <c r="W280" s="41" t="str">
        <f t="shared" si="61"/>
        <v>N</v>
      </c>
      <c r="X280" s="56">
        <f t="shared" si="62"/>
        <v>0</v>
      </c>
      <c r="Y280" s="56" t="str">
        <f t="shared" si="52"/>
        <v>0-4.9%</v>
      </c>
      <c r="Z280" s="8" t="s">
        <v>115</v>
      </c>
      <c r="AB280" s="38">
        <v>4080</v>
      </c>
      <c r="AC280" s="38">
        <v>5280</v>
      </c>
      <c r="AD280" s="38"/>
      <c r="AE280" s="38"/>
      <c r="AF280" s="38"/>
      <c r="AG280" s="38"/>
      <c r="AH280" s="38"/>
    </row>
    <row r="281" spans="1:34" ht="24" customHeight="1" x14ac:dyDescent="0.25">
      <c r="A281" s="10">
        <v>90</v>
      </c>
      <c r="B281" s="9">
        <v>0.4291666666666667</v>
      </c>
      <c r="C281" s="5" t="s">
        <v>20</v>
      </c>
      <c r="D281" s="5">
        <v>7</v>
      </c>
      <c r="E281" s="15"/>
      <c r="F281" s="15" t="s">
        <v>23</v>
      </c>
      <c r="G281" s="19">
        <f t="shared" si="53"/>
        <v>2.7</v>
      </c>
      <c r="H281" s="19">
        <f t="shared" si="54"/>
        <v>3.82</v>
      </c>
      <c r="I281" s="19">
        <f t="shared" si="55"/>
        <v>0</v>
      </c>
      <c r="J281" s="19">
        <f t="shared" si="56"/>
        <v>0</v>
      </c>
      <c r="K281" s="19">
        <f t="shared" si="57"/>
        <v>0</v>
      </c>
      <c r="L281" s="19">
        <f t="shared" si="58"/>
        <v>0</v>
      </c>
      <c r="M281" s="19">
        <f t="shared" si="59"/>
        <v>0</v>
      </c>
      <c r="N281" s="39">
        <f t="shared" si="60"/>
        <v>6.52</v>
      </c>
      <c r="O281" s="39">
        <f t="shared" si="51"/>
        <v>0.36434135269160423</v>
      </c>
      <c r="P281" s="40">
        <v>8</v>
      </c>
      <c r="Q281" s="40">
        <v>10</v>
      </c>
      <c r="R281" s="40">
        <v>9</v>
      </c>
      <c r="S281" s="40">
        <v>9</v>
      </c>
      <c r="T281" s="40">
        <v>9</v>
      </c>
      <c r="U281" s="40">
        <v>9</v>
      </c>
      <c r="V281" s="40">
        <v>9</v>
      </c>
      <c r="W281" s="41" t="str">
        <f t="shared" si="61"/>
        <v>N</v>
      </c>
      <c r="X281" s="56">
        <f t="shared" si="62"/>
        <v>0</v>
      </c>
      <c r="Y281" s="56" t="str">
        <f t="shared" si="52"/>
        <v>0-4.9%</v>
      </c>
      <c r="Z281" s="8" t="s">
        <v>118</v>
      </c>
      <c r="AB281" s="38">
        <v>2700</v>
      </c>
      <c r="AC281" s="38">
        <v>3820</v>
      </c>
      <c r="AD281" s="38"/>
      <c r="AE281" s="38"/>
      <c r="AF281" s="38"/>
      <c r="AG281" s="38"/>
      <c r="AH281" s="38"/>
    </row>
    <row r="282" spans="1:34" ht="24" customHeight="1" x14ac:dyDescent="0.25">
      <c r="A282" s="10">
        <v>91</v>
      </c>
      <c r="B282" s="9">
        <v>0.43055555555555558</v>
      </c>
      <c r="C282" s="5" t="s">
        <v>20</v>
      </c>
      <c r="D282" s="5">
        <v>7</v>
      </c>
      <c r="E282" s="15"/>
      <c r="F282" s="15" t="s">
        <v>23</v>
      </c>
      <c r="G282" s="19">
        <f t="shared" si="53"/>
        <v>3.06</v>
      </c>
      <c r="H282" s="19">
        <f t="shared" si="54"/>
        <v>5.16</v>
      </c>
      <c r="I282" s="19">
        <f t="shared" si="55"/>
        <v>0</v>
      </c>
      <c r="J282" s="19">
        <f t="shared" si="56"/>
        <v>0</v>
      </c>
      <c r="K282" s="19">
        <f t="shared" si="57"/>
        <v>0</v>
      </c>
      <c r="L282" s="19">
        <f t="shared" si="58"/>
        <v>0</v>
      </c>
      <c r="M282" s="19">
        <f t="shared" si="59"/>
        <v>0</v>
      </c>
      <c r="N282" s="39">
        <f t="shared" si="60"/>
        <v>8.2200000000000006</v>
      </c>
      <c r="O282" s="39">
        <f t="shared" si="51"/>
        <v>1.0335166190974621</v>
      </c>
      <c r="P282" s="40">
        <v>8</v>
      </c>
      <c r="Q282" s="40">
        <v>10</v>
      </c>
      <c r="R282" s="40">
        <v>9</v>
      </c>
      <c r="S282" s="40">
        <v>9</v>
      </c>
      <c r="T282" s="40">
        <v>9</v>
      </c>
      <c r="U282" s="40">
        <v>9</v>
      </c>
      <c r="V282" s="40">
        <v>9</v>
      </c>
      <c r="W282" s="41" t="str">
        <f t="shared" si="61"/>
        <v>N</v>
      </c>
      <c r="X282" s="56">
        <f t="shared" si="62"/>
        <v>0</v>
      </c>
      <c r="Y282" s="56" t="str">
        <f t="shared" si="52"/>
        <v>0-4.9%</v>
      </c>
      <c r="Z282" s="8" t="s">
        <v>35</v>
      </c>
      <c r="AB282" s="38">
        <v>3060</v>
      </c>
      <c r="AC282" s="38">
        <v>5160</v>
      </c>
      <c r="AD282" s="38"/>
      <c r="AE282" s="38"/>
      <c r="AF282" s="38"/>
      <c r="AG282" s="38"/>
      <c r="AH282" s="38"/>
    </row>
    <row r="283" spans="1:34" ht="24" customHeight="1" x14ac:dyDescent="0.25">
      <c r="A283" s="10">
        <v>96</v>
      </c>
      <c r="B283" s="9">
        <v>0.4368055555555555</v>
      </c>
      <c r="C283" s="5" t="s">
        <v>20</v>
      </c>
      <c r="D283" s="5">
        <v>7</v>
      </c>
      <c r="E283" s="15"/>
      <c r="F283" s="15" t="s">
        <v>23</v>
      </c>
      <c r="G283" s="19">
        <f t="shared" si="53"/>
        <v>2.98</v>
      </c>
      <c r="H283" s="19">
        <f t="shared" si="54"/>
        <v>3.4</v>
      </c>
      <c r="I283" s="19">
        <f t="shared" si="55"/>
        <v>0</v>
      </c>
      <c r="J283" s="19">
        <f t="shared" si="56"/>
        <v>0</v>
      </c>
      <c r="K283" s="19">
        <f t="shared" si="57"/>
        <v>0</v>
      </c>
      <c r="L283" s="19">
        <f t="shared" si="58"/>
        <v>0</v>
      </c>
      <c r="M283" s="19">
        <f t="shared" si="59"/>
        <v>0</v>
      </c>
      <c r="N283" s="39">
        <f t="shared" si="60"/>
        <v>6.38</v>
      </c>
      <c r="O283" s="39">
        <f t="shared" si="51"/>
        <v>0.33043598749174113</v>
      </c>
      <c r="P283" s="40">
        <v>8</v>
      </c>
      <c r="Q283" s="40">
        <v>10</v>
      </c>
      <c r="R283" s="40">
        <v>9</v>
      </c>
      <c r="S283" s="40">
        <v>9</v>
      </c>
      <c r="T283" s="40">
        <v>9</v>
      </c>
      <c r="U283" s="40">
        <v>9</v>
      </c>
      <c r="V283" s="40">
        <v>9</v>
      </c>
      <c r="W283" s="41" t="str">
        <f t="shared" si="61"/>
        <v>N</v>
      </c>
      <c r="X283" s="56">
        <f t="shared" si="62"/>
        <v>0</v>
      </c>
      <c r="Y283" s="56" t="str">
        <f t="shared" si="52"/>
        <v>0-4.9%</v>
      </c>
      <c r="Z283" s="8" t="s">
        <v>118</v>
      </c>
      <c r="AB283" s="38">
        <v>2980</v>
      </c>
      <c r="AC283" s="38">
        <v>3400</v>
      </c>
      <c r="AD283" s="38"/>
      <c r="AE283" s="38"/>
      <c r="AF283" s="38"/>
      <c r="AG283" s="38"/>
      <c r="AH283" s="38"/>
    </row>
    <row r="284" spans="1:34" ht="24" customHeight="1" x14ac:dyDescent="0.25">
      <c r="A284" s="10">
        <v>97</v>
      </c>
      <c r="B284" s="9">
        <v>0.43888888888888888</v>
      </c>
      <c r="C284" s="5" t="s">
        <v>20</v>
      </c>
      <c r="D284" s="5">
        <v>7</v>
      </c>
      <c r="E284" s="15"/>
      <c r="F284" s="15" t="s">
        <v>23</v>
      </c>
      <c r="G284" s="19">
        <f t="shared" si="53"/>
        <v>2.76</v>
      </c>
      <c r="H284" s="19">
        <f t="shared" si="54"/>
        <v>3.4</v>
      </c>
      <c r="I284" s="19">
        <f t="shared" si="55"/>
        <v>0</v>
      </c>
      <c r="J284" s="19">
        <f t="shared" si="56"/>
        <v>0</v>
      </c>
      <c r="K284" s="19">
        <f t="shared" si="57"/>
        <v>0</v>
      </c>
      <c r="L284" s="19">
        <f t="shared" si="58"/>
        <v>0</v>
      </c>
      <c r="M284" s="19">
        <f t="shared" si="59"/>
        <v>0</v>
      </c>
      <c r="N284" s="39">
        <f t="shared" si="60"/>
        <v>6.16</v>
      </c>
      <c r="O284" s="39">
        <f t="shared" si="51"/>
        <v>0.28216782486146497</v>
      </c>
      <c r="P284" s="40">
        <v>8</v>
      </c>
      <c r="Q284" s="40">
        <v>10</v>
      </c>
      <c r="R284" s="40">
        <v>9</v>
      </c>
      <c r="S284" s="40">
        <v>9</v>
      </c>
      <c r="T284" s="40">
        <v>9</v>
      </c>
      <c r="U284" s="40">
        <v>9</v>
      </c>
      <c r="V284" s="40">
        <v>9</v>
      </c>
      <c r="W284" s="41" t="str">
        <f t="shared" si="61"/>
        <v>N</v>
      </c>
      <c r="X284" s="56">
        <f t="shared" si="62"/>
        <v>0</v>
      </c>
      <c r="Y284" s="56" t="str">
        <f t="shared" si="52"/>
        <v>0-4.9%</v>
      </c>
      <c r="Z284" s="8" t="s">
        <v>118</v>
      </c>
      <c r="AB284" s="38">
        <v>2760</v>
      </c>
      <c r="AC284" s="38">
        <v>3400</v>
      </c>
      <c r="AD284" s="38"/>
      <c r="AE284" s="38"/>
      <c r="AF284" s="38"/>
      <c r="AG284" s="38"/>
      <c r="AH284" s="38"/>
    </row>
    <row r="285" spans="1:34" ht="24" customHeight="1" x14ac:dyDescent="0.25">
      <c r="A285" s="10">
        <v>98</v>
      </c>
      <c r="B285" s="9">
        <v>0.44305555555555554</v>
      </c>
      <c r="C285" s="5" t="s">
        <v>20</v>
      </c>
      <c r="D285" s="5">
        <v>7</v>
      </c>
      <c r="E285" s="15"/>
      <c r="F285" s="15" t="s">
        <v>23</v>
      </c>
      <c r="G285" s="19">
        <f t="shared" si="53"/>
        <v>4.42</v>
      </c>
      <c r="H285" s="19">
        <f t="shared" si="54"/>
        <v>11.48</v>
      </c>
      <c r="I285" s="19">
        <f t="shared" si="55"/>
        <v>0</v>
      </c>
      <c r="J285" s="19">
        <f t="shared" si="56"/>
        <v>0</v>
      </c>
      <c r="K285" s="19">
        <f t="shared" si="57"/>
        <v>0</v>
      </c>
      <c r="L285" s="19">
        <f t="shared" si="58"/>
        <v>0</v>
      </c>
      <c r="M285" s="19">
        <f t="shared" si="59"/>
        <v>0</v>
      </c>
      <c r="N285" s="39">
        <f t="shared" si="60"/>
        <v>15.9</v>
      </c>
      <c r="O285" s="39">
        <f t="shared" si="51"/>
        <v>20.122472616113573</v>
      </c>
      <c r="P285" s="40">
        <v>8</v>
      </c>
      <c r="Q285" s="40">
        <v>10</v>
      </c>
      <c r="R285" s="40">
        <v>9</v>
      </c>
      <c r="S285" s="40">
        <v>9</v>
      </c>
      <c r="T285" s="40">
        <v>9</v>
      </c>
      <c r="U285" s="40">
        <v>9</v>
      </c>
      <c r="V285" s="40">
        <v>9</v>
      </c>
      <c r="W285" s="41" t="str">
        <f t="shared" si="61"/>
        <v>Y</v>
      </c>
      <c r="X285" s="56">
        <f t="shared" si="62"/>
        <v>0.14800000000000005</v>
      </c>
      <c r="Y285" s="56" t="str">
        <f t="shared" si="52"/>
        <v>5-25%</v>
      </c>
      <c r="Z285" s="8" t="s">
        <v>107</v>
      </c>
      <c r="AB285" s="38">
        <v>4420</v>
      </c>
      <c r="AC285" s="38">
        <v>11480</v>
      </c>
      <c r="AD285" s="38"/>
      <c r="AE285" s="38"/>
      <c r="AF285" s="38"/>
      <c r="AG285" s="38"/>
      <c r="AH285" s="38"/>
    </row>
    <row r="286" spans="1:34" ht="24" customHeight="1" x14ac:dyDescent="0.25">
      <c r="A286" s="10">
        <v>99</v>
      </c>
      <c r="B286" s="9">
        <v>0.4458333333333333</v>
      </c>
      <c r="C286" s="5" t="s">
        <v>20</v>
      </c>
      <c r="D286" s="5">
        <v>7</v>
      </c>
      <c r="E286" s="15"/>
      <c r="F286" s="15" t="s">
        <v>23</v>
      </c>
      <c r="G286" s="19">
        <f t="shared" si="53"/>
        <v>4.16</v>
      </c>
      <c r="H286" s="19">
        <f t="shared" si="54"/>
        <v>7.3</v>
      </c>
      <c r="I286" s="19">
        <f t="shared" si="55"/>
        <v>0</v>
      </c>
      <c r="J286" s="19">
        <f t="shared" si="56"/>
        <v>0</v>
      </c>
      <c r="K286" s="19">
        <f t="shared" si="57"/>
        <v>0</v>
      </c>
      <c r="L286" s="19">
        <f t="shared" si="58"/>
        <v>0</v>
      </c>
      <c r="M286" s="19">
        <f t="shared" si="59"/>
        <v>0</v>
      </c>
      <c r="N286" s="39">
        <f t="shared" si="60"/>
        <v>11.46</v>
      </c>
      <c r="O286" s="39">
        <f t="shared" si="51"/>
        <v>4.6102562465449513</v>
      </c>
      <c r="P286" s="40">
        <v>8</v>
      </c>
      <c r="Q286" s="40">
        <v>10</v>
      </c>
      <c r="R286" s="40">
        <v>9</v>
      </c>
      <c r="S286" s="40">
        <v>9</v>
      </c>
      <c r="T286" s="40">
        <v>9</v>
      </c>
      <c r="U286" s="40">
        <v>9</v>
      </c>
      <c r="V286" s="40">
        <v>9</v>
      </c>
      <c r="W286" s="41" t="str">
        <f t="shared" si="61"/>
        <v>N</v>
      </c>
      <c r="X286" s="56">
        <f t="shared" si="62"/>
        <v>0</v>
      </c>
      <c r="Y286" s="56" t="str">
        <f t="shared" si="52"/>
        <v>0-4.9%</v>
      </c>
      <c r="Z286" s="8" t="s">
        <v>111</v>
      </c>
      <c r="AB286" s="38">
        <v>4160</v>
      </c>
      <c r="AC286" s="38">
        <v>7300</v>
      </c>
      <c r="AD286" s="38"/>
      <c r="AE286" s="38"/>
      <c r="AF286" s="38"/>
      <c r="AG286" s="38"/>
      <c r="AH286" s="38"/>
    </row>
    <row r="287" spans="1:34" ht="24" customHeight="1" x14ac:dyDescent="0.25">
      <c r="A287" s="10">
        <v>100</v>
      </c>
      <c r="B287" s="9">
        <v>0.44722222222222219</v>
      </c>
      <c r="C287" s="5" t="s">
        <v>20</v>
      </c>
      <c r="D287" s="5">
        <v>7</v>
      </c>
      <c r="E287" s="15"/>
      <c r="F287" s="15" t="s">
        <v>23</v>
      </c>
      <c r="G287" s="19">
        <f t="shared" si="53"/>
        <v>7.64</v>
      </c>
      <c r="H287" s="19">
        <f t="shared" si="54"/>
        <v>15.08</v>
      </c>
      <c r="I287" s="19">
        <f t="shared" si="55"/>
        <v>0</v>
      </c>
      <c r="J287" s="19">
        <f t="shared" si="56"/>
        <v>0</v>
      </c>
      <c r="K287" s="19">
        <f t="shared" si="57"/>
        <v>0</v>
      </c>
      <c r="L287" s="19">
        <f t="shared" si="58"/>
        <v>0</v>
      </c>
      <c r="M287" s="19">
        <f t="shared" si="59"/>
        <v>0</v>
      </c>
      <c r="N287" s="39">
        <f t="shared" si="60"/>
        <v>22.72</v>
      </c>
      <c r="O287" s="39">
        <f t="shared" si="51"/>
        <v>100.28402518521742</v>
      </c>
      <c r="P287" s="40">
        <v>8</v>
      </c>
      <c r="Q287" s="40">
        <v>10</v>
      </c>
      <c r="R287" s="40">
        <v>9</v>
      </c>
      <c r="S287" s="40">
        <v>9</v>
      </c>
      <c r="T287" s="40">
        <v>9</v>
      </c>
      <c r="U287" s="40">
        <v>9</v>
      </c>
      <c r="V287" s="40">
        <v>9</v>
      </c>
      <c r="W287" s="41" t="str">
        <f t="shared" si="61"/>
        <v>Y</v>
      </c>
      <c r="X287" s="56">
        <f t="shared" si="62"/>
        <v>0.50800000000000001</v>
      </c>
      <c r="Y287" s="56" t="str">
        <f t="shared" si="52"/>
        <v>Over 50%</v>
      </c>
      <c r="Z287" s="8" t="s">
        <v>35</v>
      </c>
      <c r="AB287" s="38">
        <v>7640</v>
      </c>
      <c r="AC287" s="38">
        <v>15080</v>
      </c>
      <c r="AD287" s="38"/>
      <c r="AE287" s="38"/>
      <c r="AF287" s="38"/>
      <c r="AG287" s="38"/>
      <c r="AH287" s="38"/>
    </row>
    <row r="288" spans="1:34" ht="24" customHeight="1" x14ac:dyDescent="0.25">
      <c r="A288" s="10">
        <v>102</v>
      </c>
      <c r="B288" s="9">
        <v>0.45</v>
      </c>
      <c r="C288" s="5" t="s">
        <v>20</v>
      </c>
      <c r="D288" s="5">
        <v>7</v>
      </c>
      <c r="E288" s="15"/>
      <c r="F288" s="15" t="s">
        <v>23</v>
      </c>
      <c r="G288" s="19">
        <f t="shared" si="53"/>
        <v>4.0599999999999996</v>
      </c>
      <c r="H288" s="19">
        <f t="shared" si="54"/>
        <v>5.76</v>
      </c>
      <c r="I288" s="19">
        <f t="shared" si="55"/>
        <v>0</v>
      </c>
      <c r="J288" s="19">
        <f t="shared" si="56"/>
        <v>0</v>
      </c>
      <c r="K288" s="19">
        <f t="shared" si="57"/>
        <v>0</v>
      </c>
      <c r="L288" s="19">
        <f t="shared" si="58"/>
        <v>0</v>
      </c>
      <c r="M288" s="19">
        <f t="shared" si="59"/>
        <v>0</v>
      </c>
      <c r="N288" s="39">
        <f t="shared" si="60"/>
        <v>9.82</v>
      </c>
      <c r="O288" s="39">
        <f t="shared" si="51"/>
        <v>2.3008906572450392</v>
      </c>
      <c r="P288" s="40">
        <v>8</v>
      </c>
      <c r="Q288" s="40">
        <v>10</v>
      </c>
      <c r="R288" s="40">
        <v>9</v>
      </c>
      <c r="S288" s="40">
        <v>9</v>
      </c>
      <c r="T288" s="40">
        <v>9</v>
      </c>
      <c r="U288" s="40">
        <v>9</v>
      </c>
      <c r="V288" s="40">
        <v>9</v>
      </c>
      <c r="W288" s="41" t="str">
        <f t="shared" si="61"/>
        <v>N</v>
      </c>
      <c r="X288" s="56">
        <f t="shared" si="62"/>
        <v>0</v>
      </c>
      <c r="Y288" s="56" t="str">
        <f t="shared" si="52"/>
        <v>0-4.9%</v>
      </c>
      <c r="Z288" s="8" t="s">
        <v>118</v>
      </c>
      <c r="AB288" s="38">
        <v>4060</v>
      </c>
      <c r="AC288" s="38">
        <v>5760</v>
      </c>
      <c r="AD288" s="38"/>
      <c r="AE288" s="38"/>
      <c r="AF288" s="38"/>
      <c r="AG288" s="38"/>
      <c r="AH288" s="38"/>
    </row>
    <row r="289" spans="1:34" ht="24" customHeight="1" x14ac:dyDescent="0.25">
      <c r="A289" s="10">
        <v>103</v>
      </c>
      <c r="B289" s="9">
        <v>0.4513888888888889</v>
      </c>
      <c r="C289" s="5" t="s">
        <v>20</v>
      </c>
      <c r="D289" s="5">
        <v>7</v>
      </c>
      <c r="E289" s="15"/>
      <c r="F289" s="15" t="s">
        <v>23</v>
      </c>
      <c r="G289" s="19">
        <f t="shared" si="53"/>
        <v>6.02</v>
      </c>
      <c r="H289" s="19">
        <f t="shared" si="54"/>
        <v>10.56</v>
      </c>
      <c r="I289" s="19">
        <f t="shared" si="55"/>
        <v>0</v>
      </c>
      <c r="J289" s="19">
        <f t="shared" si="56"/>
        <v>0</v>
      </c>
      <c r="K289" s="19">
        <f t="shared" si="57"/>
        <v>0</v>
      </c>
      <c r="L289" s="19">
        <f t="shared" si="58"/>
        <v>0</v>
      </c>
      <c r="M289" s="19">
        <f t="shared" si="59"/>
        <v>0</v>
      </c>
      <c r="N289" s="39">
        <f t="shared" si="60"/>
        <v>16.579999999999998</v>
      </c>
      <c r="O289" s="39">
        <f t="shared" si="51"/>
        <v>24.295433558644621</v>
      </c>
      <c r="P289" s="40">
        <v>8</v>
      </c>
      <c r="Q289" s="40">
        <v>10</v>
      </c>
      <c r="R289" s="40">
        <v>9</v>
      </c>
      <c r="S289" s="40">
        <v>9</v>
      </c>
      <c r="T289" s="40">
        <v>9</v>
      </c>
      <c r="U289" s="40">
        <v>9</v>
      </c>
      <c r="V289" s="40">
        <v>9</v>
      </c>
      <c r="W289" s="41" t="str">
        <f t="shared" si="61"/>
        <v>Y</v>
      </c>
      <c r="X289" s="56">
        <f t="shared" si="62"/>
        <v>5.600000000000005E-2</v>
      </c>
      <c r="Y289" s="56" t="str">
        <f t="shared" si="52"/>
        <v>5-25%</v>
      </c>
      <c r="Z289" s="8" t="s">
        <v>35</v>
      </c>
      <c r="AB289" s="38">
        <v>6020</v>
      </c>
      <c r="AC289" s="38">
        <v>10560</v>
      </c>
      <c r="AD289" s="38"/>
      <c r="AE289" s="38"/>
      <c r="AF289" s="38"/>
      <c r="AG289" s="38"/>
      <c r="AH289" s="38"/>
    </row>
    <row r="290" spans="1:34" ht="24" customHeight="1" x14ac:dyDescent="0.25">
      <c r="A290" s="10">
        <v>104</v>
      </c>
      <c r="B290" s="9">
        <v>0.45208333333333334</v>
      </c>
      <c r="C290" s="5" t="s">
        <v>20</v>
      </c>
      <c r="D290" s="5">
        <v>7</v>
      </c>
      <c r="E290" s="15"/>
      <c r="F290" s="15" t="s">
        <v>23</v>
      </c>
      <c r="G290" s="19">
        <f t="shared" si="53"/>
        <v>6.8</v>
      </c>
      <c r="H290" s="19">
        <f t="shared" si="54"/>
        <v>14.18</v>
      </c>
      <c r="I290" s="19">
        <f t="shared" si="55"/>
        <v>0</v>
      </c>
      <c r="J290" s="19">
        <f t="shared" si="56"/>
        <v>0</v>
      </c>
      <c r="K290" s="19">
        <f t="shared" si="57"/>
        <v>0</v>
      </c>
      <c r="L290" s="19">
        <f t="shared" si="58"/>
        <v>0</v>
      </c>
      <c r="M290" s="19">
        <f t="shared" si="59"/>
        <v>0</v>
      </c>
      <c r="N290" s="39">
        <f t="shared" si="60"/>
        <v>20.98</v>
      </c>
      <c r="O290" s="39">
        <f t="shared" si="51"/>
        <v>70.067877652634934</v>
      </c>
      <c r="P290" s="40">
        <v>8</v>
      </c>
      <c r="Q290" s="40">
        <v>10</v>
      </c>
      <c r="R290" s="40">
        <v>9</v>
      </c>
      <c r="S290" s="40">
        <v>9</v>
      </c>
      <c r="T290" s="40">
        <v>9</v>
      </c>
      <c r="U290" s="40">
        <v>9</v>
      </c>
      <c r="V290" s="40">
        <v>9</v>
      </c>
      <c r="W290" s="41" t="str">
        <f t="shared" si="61"/>
        <v>Y</v>
      </c>
      <c r="X290" s="56">
        <f t="shared" si="62"/>
        <v>0.41799999999999998</v>
      </c>
      <c r="Y290" s="56" t="str">
        <f t="shared" si="52"/>
        <v>25-50%</v>
      </c>
      <c r="Z290" s="8" t="s">
        <v>107</v>
      </c>
      <c r="AB290" s="38">
        <v>6800</v>
      </c>
      <c r="AC290" s="38">
        <v>14180</v>
      </c>
      <c r="AD290" s="38"/>
      <c r="AE290" s="38"/>
      <c r="AF290" s="38"/>
      <c r="AG290" s="38"/>
      <c r="AH290" s="38"/>
    </row>
    <row r="291" spans="1:34" ht="24" customHeight="1" x14ac:dyDescent="0.25">
      <c r="A291" s="10">
        <v>106</v>
      </c>
      <c r="B291" s="9">
        <v>0.45416666666666666</v>
      </c>
      <c r="C291" s="5" t="s">
        <v>20</v>
      </c>
      <c r="D291" s="5">
        <v>7</v>
      </c>
      <c r="E291" s="15"/>
      <c r="F291" s="15" t="s">
        <v>23</v>
      </c>
      <c r="G291" s="19">
        <f t="shared" si="53"/>
        <v>5.84</v>
      </c>
      <c r="H291" s="19">
        <f t="shared" si="54"/>
        <v>16.440000000000001</v>
      </c>
      <c r="I291" s="19">
        <f t="shared" si="55"/>
        <v>0</v>
      </c>
      <c r="J291" s="19">
        <f t="shared" si="56"/>
        <v>0</v>
      </c>
      <c r="K291" s="19">
        <f t="shared" si="57"/>
        <v>0</v>
      </c>
      <c r="L291" s="19">
        <f t="shared" si="58"/>
        <v>0</v>
      </c>
      <c r="M291" s="19">
        <f t="shared" si="59"/>
        <v>0</v>
      </c>
      <c r="N291" s="39">
        <f t="shared" si="60"/>
        <v>22.28</v>
      </c>
      <c r="O291" s="39">
        <f t="shared" si="51"/>
        <v>91.835929264084783</v>
      </c>
      <c r="P291" s="40">
        <v>8</v>
      </c>
      <c r="Q291" s="40">
        <v>10</v>
      </c>
      <c r="R291" s="40">
        <v>9</v>
      </c>
      <c r="S291" s="40">
        <v>9</v>
      </c>
      <c r="T291" s="40">
        <v>9</v>
      </c>
      <c r="U291" s="40">
        <v>9</v>
      </c>
      <c r="V291" s="40">
        <v>9</v>
      </c>
      <c r="W291" s="41" t="str">
        <f t="shared" si="61"/>
        <v>Y</v>
      </c>
      <c r="X291" s="56">
        <f t="shared" si="62"/>
        <v>0.64400000000000013</v>
      </c>
      <c r="Y291" s="56" t="str">
        <f t="shared" si="52"/>
        <v>Over 50%</v>
      </c>
      <c r="Z291" s="8" t="s">
        <v>111</v>
      </c>
      <c r="AB291" s="38">
        <v>5840</v>
      </c>
      <c r="AC291" s="38">
        <v>16440</v>
      </c>
      <c r="AD291" s="38"/>
      <c r="AE291" s="38"/>
      <c r="AF291" s="38"/>
      <c r="AG291" s="38"/>
      <c r="AH291" s="38"/>
    </row>
    <row r="292" spans="1:34" ht="24" customHeight="1" x14ac:dyDescent="0.25">
      <c r="A292" s="10">
        <v>107</v>
      </c>
      <c r="B292" s="9">
        <v>0.46458333333333335</v>
      </c>
      <c r="C292" s="5" t="s">
        <v>20</v>
      </c>
      <c r="D292" s="5">
        <v>7</v>
      </c>
      <c r="E292" s="15"/>
      <c r="F292" s="15" t="s">
        <v>23</v>
      </c>
      <c r="G292" s="19">
        <f t="shared" si="53"/>
        <v>3.3</v>
      </c>
      <c r="H292" s="19">
        <f t="shared" si="54"/>
        <v>3.74</v>
      </c>
      <c r="I292" s="19">
        <f t="shared" si="55"/>
        <v>0</v>
      </c>
      <c r="J292" s="19">
        <f t="shared" si="56"/>
        <v>0</v>
      </c>
      <c r="K292" s="19">
        <f t="shared" si="57"/>
        <v>0</v>
      </c>
      <c r="L292" s="19">
        <f t="shared" si="58"/>
        <v>0</v>
      </c>
      <c r="M292" s="19">
        <f t="shared" si="59"/>
        <v>0</v>
      </c>
      <c r="N292" s="39">
        <f t="shared" si="60"/>
        <v>7.04</v>
      </c>
      <c r="O292" s="39">
        <f t="shared" si="51"/>
        <v>0.51460174167035388</v>
      </c>
      <c r="P292" s="40">
        <v>8</v>
      </c>
      <c r="Q292" s="40">
        <v>10</v>
      </c>
      <c r="R292" s="40">
        <v>9</v>
      </c>
      <c r="S292" s="40">
        <v>9</v>
      </c>
      <c r="T292" s="40">
        <v>9</v>
      </c>
      <c r="U292" s="40">
        <v>9</v>
      </c>
      <c r="V292" s="40">
        <v>9</v>
      </c>
      <c r="W292" s="41" t="str">
        <f t="shared" si="61"/>
        <v>N</v>
      </c>
      <c r="X292" s="56">
        <f t="shared" si="62"/>
        <v>0</v>
      </c>
      <c r="Y292" s="56" t="str">
        <f t="shared" si="52"/>
        <v>0-4.9%</v>
      </c>
      <c r="Z292" s="8" t="s">
        <v>107</v>
      </c>
      <c r="AB292" s="38">
        <v>3300</v>
      </c>
      <c r="AC292" s="38">
        <v>3740</v>
      </c>
      <c r="AD292" s="38"/>
      <c r="AE292" s="38"/>
      <c r="AF292" s="38"/>
      <c r="AG292" s="38"/>
      <c r="AH292" s="38"/>
    </row>
    <row r="293" spans="1:34" ht="24" customHeight="1" x14ac:dyDescent="0.25">
      <c r="A293" s="10">
        <v>109</v>
      </c>
      <c r="B293" s="9">
        <v>0.46597222222222223</v>
      </c>
      <c r="C293" s="5" t="s">
        <v>20</v>
      </c>
      <c r="D293" s="5">
        <v>7</v>
      </c>
      <c r="E293" s="15"/>
      <c r="F293" s="15" t="s">
        <v>23</v>
      </c>
      <c r="G293" s="19">
        <f t="shared" si="53"/>
        <v>3.36</v>
      </c>
      <c r="H293" s="19">
        <f t="shared" si="54"/>
        <v>3.14</v>
      </c>
      <c r="I293" s="19">
        <f t="shared" si="55"/>
        <v>0</v>
      </c>
      <c r="J293" s="19">
        <f t="shared" si="56"/>
        <v>0</v>
      </c>
      <c r="K293" s="19">
        <f t="shared" si="57"/>
        <v>0</v>
      </c>
      <c r="L293" s="19">
        <f t="shared" si="58"/>
        <v>0</v>
      </c>
      <c r="M293" s="19">
        <f t="shared" si="59"/>
        <v>0</v>
      </c>
      <c r="N293" s="39">
        <f t="shared" si="60"/>
        <v>6.5</v>
      </c>
      <c r="O293" s="39">
        <f t="shared" si="51"/>
        <v>0.35933902947528501</v>
      </c>
      <c r="P293" s="40">
        <v>8</v>
      </c>
      <c r="Q293" s="40">
        <v>10</v>
      </c>
      <c r="R293" s="40">
        <v>9</v>
      </c>
      <c r="S293" s="40">
        <v>9</v>
      </c>
      <c r="T293" s="40">
        <v>9</v>
      </c>
      <c r="U293" s="40">
        <v>9</v>
      </c>
      <c r="V293" s="40">
        <v>9</v>
      </c>
      <c r="W293" s="41" t="str">
        <f t="shared" si="61"/>
        <v>N</v>
      </c>
      <c r="X293" s="56">
        <f t="shared" si="62"/>
        <v>0</v>
      </c>
      <c r="Y293" s="56" t="str">
        <f t="shared" si="52"/>
        <v>0-4.9%</v>
      </c>
      <c r="Z293" s="8" t="s">
        <v>118</v>
      </c>
      <c r="AB293" s="38">
        <v>3360</v>
      </c>
      <c r="AC293" s="38">
        <v>3140</v>
      </c>
      <c r="AD293" s="38"/>
      <c r="AE293" s="38"/>
      <c r="AF293" s="38"/>
      <c r="AG293" s="38"/>
      <c r="AH293" s="38"/>
    </row>
    <row r="294" spans="1:34" ht="24" customHeight="1" x14ac:dyDescent="0.25">
      <c r="A294" s="10">
        <v>110</v>
      </c>
      <c r="B294" s="9">
        <v>0.46736111111111112</v>
      </c>
      <c r="C294" s="5" t="s">
        <v>20</v>
      </c>
      <c r="D294" s="5">
        <v>7</v>
      </c>
      <c r="E294" s="15"/>
      <c r="F294" s="15" t="s">
        <v>23</v>
      </c>
      <c r="G294" s="19">
        <f t="shared" si="53"/>
        <v>2.88</v>
      </c>
      <c r="H294" s="19">
        <f t="shared" si="54"/>
        <v>2.68</v>
      </c>
      <c r="I294" s="19">
        <f t="shared" si="55"/>
        <v>0</v>
      </c>
      <c r="J294" s="19">
        <f t="shared" si="56"/>
        <v>0</v>
      </c>
      <c r="K294" s="19">
        <f t="shared" si="57"/>
        <v>0</v>
      </c>
      <c r="L294" s="19">
        <f t="shared" si="58"/>
        <v>0</v>
      </c>
      <c r="M294" s="19">
        <f t="shared" si="59"/>
        <v>0</v>
      </c>
      <c r="N294" s="39">
        <f t="shared" si="60"/>
        <v>5.5600000000000005</v>
      </c>
      <c r="O294" s="39">
        <f t="shared" si="51"/>
        <v>0.17792248995605883</v>
      </c>
      <c r="P294" s="40">
        <v>8</v>
      </c>
      <c r="Q294" s="40">
        <v>10</v>
      </c>
      <c r="R294" s="40">
        <v>9</v>
      </c>
      <c r="S294" s="40">
        <v>9</v>
      </c>
      <c r="T294" s="40">
        <v>9</v>
      </c>
      <c r="U294" s="40">
        <v>9</v>
      </c>
      <c r="V294" s="40">
        <v>9</v>
      </c>
      <c r="W294" s="41" t="str">
        <f t="shared" si="61"/>
        <v>N</v>
      </c>
      <c r="X294" s="56">
        <f t="shared" si="62"/>
        <v>0</v>
      </c>
      <c r="Y294" s="56" t="str">
        <f t="shared" si="52"/>
        <v>0-4.9%</v>
      </c>
      <c r="Z294" s="8" t="s">
        <v>118</v>
      </c>
      <c r="AB294" s="38">
        <v>2880</v>
      </c>
      <c r="AC294" s="38">
        <v>2680</v>
      </c>
      <c r="AD294" s="38"/>
      <c r="AE294" s="38"/>
      <c r="AF294" s="38"/>
      <c r="AG294" s="38"/>
      <c r="AH294" s="38"/>
    </row>
    <row r="295" spans="1:34" ht="24" customHeight="1" x14ac:dyDescent="0.25">
      <c r="A295" s="10">
        <v>111</v>
      </c>
      <c r="B295" s="9">
        <v>0.4680555555555555</v>
      </c>
      <c r="C295" s="5" t="s">
        <v>20</v>
      </c>
      <c r="D295" s="5">
        <v>7</v>
      </c>
      <c r="E295" s="15"/>
      <c r="F295" s="15" t="s">
        <v>23</v>
      </c>
      <c r="G295" s="19">
        <f t="shared" si="53"/>
        <v>3.32</v>
      </c>
      <c r="H295" s="19">
        <f t="shared" si="54"/>
        <v>3.74</v>
      </c>
      <c r="I295" s="19">
        <f t="shared" si="55"/>
        <v>0</v>
      </c>
      <c r="J295" s="19">
        <f t="shared" si="56"/>
        <v>0</v>
      </c>
      <c r="K295" s="19">
        <f t="shared" si="57"/>
        <v>0</v>
      </c>
      <c r="L295" s="19">
        <f t="shared" si="58"/>
        <v>0</v>
      </c>
      <c r="M295" s="19">
        <f t="shared" si="59"/>
        <v>0</v>
      </c>
      <c r="N295" s="39">
        <f t="shared" si="60"/>
        <v>7.0600000000000005</v>
      </c>
      <c r="O295" s="39">
        <f t="shared" si="51"/>
        <v>0.52121324131286151</v>
      </c>
      <c r="P295" s="40">
        <v>8</v>
      </c>
      <c r="Q295" s="40">
        <v>10</v>
      </c>
      <c r="R295" s="40">
        <v>9</v>
      </c>
      <c r="S295" s="40">
        <v>9</v>
      </c>
      <c r="T295" s="40">
        <v>9</v>
      </c>
      <c r="U295" s="40">
        <v>9</v>
      </c>
      <c r="V295" s="40">
        <v>9</v>
      </c>
      <c r="W295" s="41" t="str">
        <f t="shared" si="61"/>
        <v>N</v>
      </c>
      <c r="X295" s="56">
        <f t="shared" si="62"/>
        <v>0</v>
      </c>
      <c r="Y295" s="56" t="str">
        <f t="shared" si="52"/>
        <v>0-4.9%</v>
      </c>
      <c r="Z295" s="8" t="s">
        <v>118</v>
      </c>
      <c r="AB295" s="38">
        <v>3320</v>
      </c>
      <c r="AC295" s="38">
        <v>3740</v>
      </c>
      <c r="AD295" s="38"/>
      <c r="AE295" s="38"/>
      <c r="AF295" s="38"/>
      <c r="AG295" s="38"/>
      <c r="AH295" s="38"/>
    </row>
    <row r="296" spans="1:34" ht="24" customHeight="1" x14ac:dyDescent="0.25">
      <c r="A296" s="10">
        <v>112</v>
      </c>
      <c r="B296" s="9">
        <v>0.47222222222222227</v>
      </c>
      <c r="C296" s="5" t="s">
        <v>20</v>
      </c>
      <c r="D296" s="5">
        <v>7</v>
      </c>
      <c r="E296" s="15"/>
      <c r="F296" s="15" t="s">
        <v>23</v>
      </c>
      <c r="G296" s="19">
        <f t="shared" si="53"/>
        <v>5.36</v>
      </c>
      <c r="H296" s="19">
        <f t="shared" si="54"/>
        <v>15.72</v>
      </c>
      <c r="I296" s="19">
        <f t="shared" si="55"/>
        <v>0</v>
      </c>
      <c r="J296" s="19">
        <f t="shared" si="56"/>
        <v>0</v>
      </c>
      <c r="K296" s="19">
        <f t="shared" si="57"/>
        <v>0</v>
      </c>
      <c r="L296" s="19">
        <f t="shared" si="58"/>
        <v>0</v>
      </c>
      <c r="M296" s="19">
        <f t="shared" si="59"/>
        <v>0</v>
      </c>
      <c r="N296" s="39">
        <f t="shared" si="60"/>
        <v>21.080000000000002</v>
      </c>
      <c r="O296" s="39">
        <f t="shared" si="51"/>
        <v>71.583349363771376</v>
      </c>
      <c r="P296" s="40">
        <v>8</v>
      </c>
      <c r="Q296" s="40">
        <v>10</v>
      </c>
      <c r="R296" s="40">
        <v>9</v>
      </c>
      <c r="S296" s="40">
        <v>9</v>
      </c>
      <c r="T296" s="40">
        <v>9</v>
      </c>
      <c r="U296" s="40">
        <v>9</v>
      </c>
      <c r="V296" s="40">
        <v>9</v>
      </c>
      <c r="W296" s="41" t="str">
        <f t="shared" si="61"/>
        <v>Y</v>
      </c>
      <c r="X296" s="56">
        <f t="shared" si="62"/>
        <v>0.57200000000000006</v>
      </c>
      <c r="Y296" s="56" t="str">
        <f t="shared" si="52"/>
        <v>Over 50%</v>
      </c>
      <c r="Z296" s="8" t="s">
        <v>145</v>
      </c>
      <c r="AB296" s="38">
        <v>5360</v>
      </c>
      <c r="AC296" s="38">
        <v>15720</v>
      </c>
      <c r="AD296" s="38"/>
      <c r="AE296" s="38"/>
      <c r="AF296" s="38"/>
      <c r="AG296" s="38"/>
      <c r="AH296" s="38"/>
    </row>
    <row r="297" spans="1:34" ht="24" customHeight="1" x14ac:dyDescent="0.25">
      <c r="A297" s="10">
        <v>113</v>
      </c>
      <c r="B297" s="9">
        <v>0.47291666666666665</v>
      </c>
      <c r="C297" s="5" t="s">
        <v>20</v>
      </c>
      <c r="D297" s="5">
        <v>7</v>
      </c>
      <c r="E297" s="15"/>
      <c r="F297" s="15" t="s">
        <v>23</v>
      </c>
      <c r="G297" s="19">
        <f t="shared" si="53"/>
        <v>3.66</v>
      </c>
      <c r="H297" s="19">
        <f t="shared" si="54"/>
        <v>7.28</v>
      </c>
      <c r="I297" s="19">
        <f t="shared" si="55"/>
        <v>0</v>
      </c>
      <c r="J297" s="19">
        <f t="shared" si="56"/>
        <v>0</v>
      </c>
      <c r="K297" s="19">
        <f t="shared" si="57"/>
        <v>0</v>
      </c>
      <c r="L297" s="19">
        <f t="shared" si="58"/>
        <v>0</v>
      </c>
      <c r="M297" s="19">
        <f t="shared" si="59"/>
        <v>0</v>
      </c>
      <c r="N297" s="39">
        <f t="shared" si="60"/>
        <v>10.940000000000001</v>
      </c>
      <c r="O297" s="39">
        <f t="shared" si="51"/>
        <v>3.740866713216215</v>
      </c>
      <c r="P297" s="40">
        <v>8</v>
      </c>
      <c r="Q297" s="40">
        <v>10</v>
      </c>
      <c r="R297" s="40">
        <v>9</v>
      </c>
      <c r="S297" s="40">
        <v>9</v>
      </c>
      <c r="T297" s="40">
        <v>9</v>
      </c>
      <c r="U297" s="40">
        <v>9</v>
      </c>
      <c r="V297" s="40">
        <v>9</v>
      </c>
      <c r="W297" s="41" t="str">
        <f t="shared" si="61"/>
        <v>N</v>
      </c>
      <c r="X297" s="56">
        <f t="shared" si="62"/>
        <v>0</v>
      </c>
      <c r="Y297" s="56" t="str">
        <f t="shared" si="52"/>
        <v>0-4.9%</v>
      </c>
      <c r="Z297" s="8" t="s">
        <v>145</v>
      </c>
      <c r="AB297" s="38">
        <v>3660</v>
      </c>
      <c r="AC297" s="38">
        <v>7280</v>
      </c>
      <c r="AD297" s="38"/>
      <c r="AE297" s="38"/>
      <c r="AF297" s="38"/>
      <c r="AG297" s="38"/>
      <c r="AH297" s="38"/>
    </row>
    <row r="298" spans="1:34" ht="24" customHeight="1" x14ac:dyDescent="0.25">
      <c r="A298" s="10">
        <v>114</v>
      </c>
      <c r="B298" s="9">
        <v>0.47361111111111115</v>
      </c>
      <c r="C298" s="5" t="s">
        <v>20</v>
      </c>
      <c r="D298" s="5">
        <v>7</v>
      </c>
      <c r="E298" s="15"/>
      <c r="F298" s="15" t="s">
        <v>23</v>
      </c>
      <c r="G298" s="19">
        <f t="shared" si="53"/>
        <v>2.8</v>
      </c>
      <c r="H298" s="19">
        <f t="shared" si="54"/>
        <v>2.14</v>
      </c>
      <c r="I298" s="19">
        <f t="shared" si="55"/>
        <v>0</v>
      </c>
      <c r="J298" s="19">
        <f t="shared" si="56"/>
        <v>0</v>
      </c>
      <c r="K298" s="19">
        <f t="shared" si="57"/>
        <v>0</v>
      </c>
      <c r="L298" s="19">
        <f t="shared" si="58"/>
        <v>0</v>
      </c>
      <c r="M298" s="19">
        <f t="shared" si="59"/>
        <v>0</v>
      </c>
      <c r="N298" s="39">
        <f t="shared" si="60"/>
        <v>4.9399999999999995</v>
      </c>
      <c r="O298" s="39">
        <f t="shared" si="51"/>
        <v>0.10451185489995693</v>
      </c>
      <c r="P298" s="40">
        <v>8</v>
      </c>
      <c r="Q298" s="40">
        <v>10</v>
      </c>
      <c r="R298" s="40">
        <v>9</v>
      </c>
      <c r="S298" s="40">
        <v>9</v>
      </c>
      <c r="T298" s="40">
        <v>9</v>
      </c>
      <c r="U298" s="40">
        <v>9</v>
      </c>
      <c r="V298" s="40">
        <v>9</v>
      </c>
      <c r="W298" s="41" t="str">
        <f t="shared" si="61"/>
        <v>N</v>
      </c>
      <c r="X298" s="56">
        <f t="shared" si="62"/>
        <v>0</v>
      </c>
      <c r="Y298" s="56" t="str">
        <f t="shared" si="52"/>
        <v>0-4.9%</v>
      </c>
      <c r="Z298" s="8" t="s">
        <v>118</v>
      </c>
      <c r="AB298" s="38">
        <v>2800</v>
      </c>
      <c r="AC298" s="38">
        <v>2140</v>
      </c>
      <c r="AD298" s="38"/>
      <c r="AE298" s="38"/>
      <c r="AF298" s="38"/>
      <c r="AG298" s="38"/>
      <c r="AH298" s="38"/>
    </row>
    <row r="299" spans="1:34" ht="24" customHeight="1" x14ac:dyDescent="0.25">
      <c r="A299" s="10">
        <v>119</v>
      </c>
      <c r="B299" s="9">
        <v>0.47847222222222219</v>
      </c>
      <c r="C299" s="5" t="s">
        <v>20</v>
      </c>
      <c r="D299" s="5">
        <v>7</v>
      </c>
      <c r="E299" s="15"/>
      <c r="F299" s="15" t="s">
        <v>23</v>
      </c>
      <c r="G299" s="19">
        <f t="shared" si="53"/>
        <v>3.1</v>
      </c>
      <c r="H299" s="19">
        <f t="shared" si="54"/>
        <v>3.84</v>
      </c>
      <c r="I299" s="19">
        <f t="shared" si="55"/>
        <v>0</v>
      </c>
      <c r="J299" s="19">
        <f t="shared" si="56"/>
        <v>0</v>
      </c>
      <c r="K299" s="19">
        <f t="shared" si="57"/>
        <v>0</v>
      </c>
      <c r="L299" s="19">
        <f t="shared" si="58"/>
        <v>0</v>
      </c>
      <c r="M299" s="19">
        <f t="shared" si="59"/>
        <v>0</v>
      </c>
      <c r="N299" s="39">
        <f t="shared" si="60"/>
        <v>6.9399999999999995</v>
      </c>
      <c r="O299" s="39">
        <f t="shared" si="51"/>
        <v>0.48251620413966734</v>
      </c>
      <c r="P299" s="40">
        <v>8</v>
      </c>
      <c r="Q299" s="40">
        <v>10</v>
      </c>
      <c r="R299" s="40">
        <v>9</v>
      </c>
      <c r="S299" s="40">
        <v>9</v>
      </c>
      <c r="T299" s="40">
        <v>9</v>
      </c>
      <c r="U299" s="40">
        <v>9</v>
      </c>
      <c r="V299" s="40">
        <v>9</v>
      </c>
      <c r="W299" s="41" t="str">
        <f t="shared" si="61"/>
        <v>N</v>
      </c>
      <c r="X299" s="56">
        <f t="shared" si="62"/>
        <v>0</v>
      </c>
      <c r="Y299" s="56" t="str">
        <f t="shared" si="52"/>
        <v>0-4.9%</v>
      </c>
      <c r="Z299" s="8" t="s">
        <v>118</v>
      </c>
      <c r="AB299" s="38">
        <v>3100</v>
      </c>
      <c r="AC299" s="38">
        <v>3840</v>
      </c>
      <c r="AD299" s="38"/>
      <c r="AE299" s="38"/>
      <c r="AF299" s="38"/>
      <c r="AG299" s="38"/>
      <c r="AH299" s="38"/>
    </row>
    <row r="300" spans="1:34" ht="24" customHeight="1" x14ac:dyDescent="0.25">
      <c r="A300" s="10">
        <v>120</v>
      </c>
      <c r="B300" s="9">
        <v>0.48125000000000001</v>
      </c>
      <c r="C300" s="5" t="s">
        <v>20</v>
      </c>
      <c r="D300" s="5">
        <v>7</v>
      </c>
      <c r="E300" s="15"/>
      <c r="F300" s="15" t="s">
        <v>23</v>
      </c>
      <c r="G300" s="19">
        <f t="shared" si="53"/>
        <v>3.36</v>
      </c>
      <c r="H300" s="19">
        <f t="shared" si="54"/>
        <v>13.34</v>
      </c>
      <c r="I300" s="19">
        <f t="shared" si="55"/>
        <v>0</v>
      </c>
      <c r="J300" s="19">
        <f t="shared" si="56"/>
        <v>0</v>
      </c>
      <c r="K300" s="19">
        <f t="shared" si="57"/>
        <v>0</v>
      </c>
      <c r="L300" s="19">
        <f t="shared" si="58"/>
        <v>0</v>
      </c>
      <c r="M300" s="19">
        <f t="shared" si="59"/>
        <v>0</v>
      </c>
      <c r="N300" s="39">
        <f t="shared" si="60"/>
        <v>16.7</v>
      </c>
      <c r="O300" s="39">
        <f t="shared" si="51"/>
        <v>25.096803238485506</v>
      </c>
      <c r="P300" s="40">
        <v>8</v>
      </c>
      <c r="Q300" s="40">
        <v>10</v>
      </c>
      <c r="R300" s="40">
        <v>9</v>
      </c>
      <c r="S300" s="40">
        <v>9</v>
      </c>
      <c r="T300" s="40">
        <v>9</v>
      </c>
      <c r="U300" s="40">
        <v>9</v>
      </c>
      <c r="V300" s="40">
        <v>9</v>
      </c>
      <c r="W300" s="41" t="str">
        <f t="shared" si="61"/>
        <v>Y</v>
      </c>
      <c r="X300" s="56">
        <f t="shared" si="62"/>
        <v>0.33399999999999996</v>
      </c>
      <c r="Y300" s="56" t="str">
        <f t="shared" si="52"/>
        <v>25-50%</v>
      </c>
      <c r="Z300" s="8" t="s">
        <v>145</v>
      </c>
      <c r="AB300" s="38">
        <v>3360</v>
      </c>
      <c r="AC300" s="38">
        <v>13340</v>
      </c>
      <c r="AD300" s="38"/>
      <c r="AE300" s="38"/>
      <c r="AF300" s="38"/>
      <c r="AG300" s="38"/>
      <c r="AH300" s="38"/>
    </row>
    <row r="301" spans="1:34" ht="24" customHeight="1" x14ac:dyDescent="0.25">
      <c r="A301" s="10">
        <v>121</v>
      </c>
      <c r="B301" s="9">
        <v>0.48194444444444445</v>
      </c>
      <c r="C301" s="5" t="s">
        <v>20</v>
      </c>
      <c r="D301" s="5">
        <v>7</v>
      </c>
      <c r="E301" s="15"/>
      <c r="F301" s="15" t="s">
        <v>23</v>
      </c>
      <c r="G301" s="19">
        <f t="shared" si="53"/>
        <v>2.62</v>
      </c>
      <c r="H301" s="19">
        <f t="shared" si="54"/>
        <v>4.3600000000000003</v>
      </c>
      <c r="I301" s="19">
        <f t="shared" si="55"/>
        <v>0</v>
      </c>
      <c r="J301" s="19">
        <f t="shared" si="56"/>
        <v>0</v>
      </c>
      <c r="K301" s="19">
        <f t="shared" si="57"/>
        <v>0</v>
      </c>
      <c r="L301" s="19">
        <f t="shared" si="58"/>
        <v>0</v>
      </c>
      <c r="M301" s="19">
        <f t="shared" si="59"/>
        <v>0</v>
      </c>
      <c r="N301" s="39">
        <f t="shared" si="60"/>
        <v>6.98</v>
      </c>
      <c r="O301" s="39">
        <f t="shared" si="51"/>
        <v>0.49515787151510804</v>
      </c>
      <c r="P301" s="40">
        <v>8</v>
      </c>
      <c r="Q301" s="40">
        <v>10</v>
      </c>
      <c r="R301" s="40">
        <v>9</v>
      </c>
      <c r="S301" s="40">
        <v>9</v>
      </c>
      <c r="T301" s="40">
        <v>9</v>
      </c>
      <c r="U301" s="40">
        <v>9</v>
      </c>
      <c r="V301" s="40">
        <v>9</v>
      </c>
      <c r="W301" s="41" t="str">
        <f t="shared" si="61"/>
        <v>N</v>
      </c>
      <c r="X301" s="56">
        <f t="shared" si="62"/>
        <v>0</v>
      </c>
      <c r="Y301" s="56" t="str">
        <f t="shared" si="52"/>
        <v>0-4.9%</v>
      </c>
      <c r="Z301" s="8" t="s">
        <v>116</v>
      </c>
      <c r="AB301" s="38">
        <v>2620</v>
      </c>
      <c r="AC301" s="38">
        <v>4360</v>
      </c>
      <c r="AD301" s="38"/>
      <c r="AE301" s="38"/>
      <c r="AF301" s="38"/>
      <c r="AG301" s="38"/>
      <c r="AH301" s="38"/>
    </row>
    <row r="302" spans="1:34" ht="24" customHeight="1" x14ac:dyDescent="0.25">
      <c r="A302" s="10">
        <v>122</v>
      </c>
      <c r="B302" s="9">
        <v>0.48333333333333334</v>
      </c>
      <c r="C302" s="5" t="s">
        <v>20</v>
      </c>
      <c r="D302" s="5">
        <v>7</v>
      </c>
      <c r="E302" s="15"/>
      <c r="F302" s="15" t="s">
        <v>23</v>
      </c>
      <c r="G302" s="19">
        <f t="shared" si="53"/>
        <v>5.54</v>
      </c>
      <c r="H302" s="19">
        <f t="shared" si="54"/>
        <v>12.36</v>
      </c>
      <c r="I302" s="19">
        <f t="shared" si="55"/>
        <v>0</v>
      </c>
      <c r="J302" s="19">
        <f t="shared" si="56"/>
        <v>0</v>
      </c>
      <c r="K302" s="19">
        <f t="shared" si="57"/>
        <v>0</v>
      </c>
      <c r="L302" s="19">
        <f t="shared" si="58"/>
        <v>0</v>
      </c>
      <c r="M302" s="19">
        <f t="shared" si="59"/>
        <v>0</v>
      </c>
      <c r="N302" s="39">
        <f t="shared" si="60"/>
        <v>17.899999999999999</v>
      </c>
      <c r="O302" s="39">
        <f t="shared" si="51"/>
        <v>34.295167238837919</v>
      </c>
      <c r="P302" s="40">
        <v>8</v>
      </c>
      <c r="Q302" s="40">
        <v>10</v>
      </c>
      <c r="R302" s="40">
        <v>9</v>
      </c>
      <c r="S302" s="40">
        <v>9</v>
      </c>
      <c r="T302" s="40">
        <v>9</v>
      </c>
      <c r="U302" s="40">
        <v>9</v>
      </c>
      <c r="V302" s="40">
        <v>9</v>
      </c>
      <c r="W302" s="41" t="str">
        <f t="shared" si="61"/>
        <v>Y</v>
      </c>
      <c r="X302" s="56">
        <f t="shared" si="62"/>
        <v>0.23599999999999993</v>
      </c>
      <c r="Y302" s="56" t="str">
        <f t="shared" si="52"/>
        <v>5-25%</v>
      </c>
      <c r="Z302" s="8" t="s">
        <v>111</v>
      </c>
      <c r="AB302" s="38">
        <v>5540</v>
      </c>
      <c r="AC302" s="38">
        <v>12360</v>
      </c>
      <c r="AD302" s="38"/>
      <c r="AE302" s="38"/>
      <c r="AF302" s="38"/>
      <c r="AG302" s="38"/>
      <c r="AH302" s="38"/>
    </row>
    <row r="303" spans="1:34" ht="24" customHeight="1" x14ac:dyDescent="0.25">
      <c r="A303" s="10">
        <v>123</v>
      </c>
      <c r="B303" s="9">
        <v>0.48402777777777778</v>
      </c>
      <c r="C303" s="5" t="s">
        <v>20</v>
      </c>
      <c r="D303" s="5">
        <v>7</v>
      </c>
      <c r="E303" s="15"/>
      <c r="F303" s="15" t="s">
        <v>23</v>
      </c>
      <c r="G303" s="19">
        <f t="shared" si="53"/>
        <v>2.64</v>
      </c>
      <c r="H303" s="19">
        <f t="shared" si="54"/>
        <v>4.5199999999999996</v>
      </c>
      <c r="I303" s="19">
        <f t="shared" si="55"/>
        <v>0</v>
      </c>
      <c r="J303" s="19">
        <f t="shared" si="56"/>
        <v>0</v>
      </c>
      <c r="K303" s="19">
        <f t="shared" si="57"/>
        <v>0</v>
      </c>
      <c r="L303" s="19">
        <f t="shared" si="58"/>
        <v>0</v>
      </c>
      <c r="M303" s="19">
        <f t="shared" si="59"/>
        <v>0</v>
      </c>
      <c r="N303" s="39">
        <f t="shared" si="60"/>
        <v>7.16</v>
      </c>
      <c r="O303" s="39">
        <f t="shared" si="51"/>
        <v>0.55526830700091234</v>
      </c>
      <c r="P303" s="40">
        <v>8</v>
      </c>
      <c r="Q303" s="40">
        <v>10</v>
      </c>
      <c r="R303" s="40">
        <v>9</v>
      </c>
      <c r="S303" s="40">
        <v>9</v>
      </c>
      <c r="T303" s="40">
        <v>9</v>
      </c>
      <c r="U303" s="40">
        <v>9</v>
      </c>
      <c r="V303" s="40">
        <v>9</v>
      </c>
      <c r="W303" s="41" t="str">
        <f t="shared" si="61"/>
        <v>N</v>
      </c>
      <c r="X303" s="56">
        <f t="shared" si="62"/>
        <v>0</v>
      </c>
      <c r="Y303" s="56" t="str">
        <f t="shared" si="52"/>
        <v>0-4.9%</v>
      </c>
      <c r="Z303" s="8" t="s">
        <v>50</v>
      </c>
      <c r="AB303" s="38">
        <v>2640</v>
      </c>
      <c r="AC303" s="38">
        <v>4520</v>
      </c>
      <c r="AD303" s="38"/>
      <c r="AE303" s="38"/>
      <c r="AF303" s="38"/>
      <c r="AG303" s="38"/>
      <c r="AH303" s="38"/>
    </row>
    <row r="304" spans="1:34" ht="24" customHeight="1" x14ac:dyDescent="0.25">
      <c r="A304" s="10">
        <v>125</v>
      </c>
      <c r="B304" s="9">
        <v>0.48749999999999999</v>
      </c>
      <c r="C304" s="5" t="s">
        <v>20</v>
      </c>
      <c r="D304" s="5">
        <v>7</v>
      </c>
      <c r="E304" s="15"/>
      <c r="F304" s="15" t="s">
        <v>23</v>
      </c>
      <c r="G304" s="19">
        <f t="shared" si="53"/>
        <v>2.2000000000000002</v>
      </c>
      <c r="H304" s="19">
        <f t="shared" si="54"/>
        <v>1.98</v>
      </c>
      <c r="I304" s="19">
        <f t="shared" si="55"/>
        <v>0</v>
      </c>
      <c r="J304" s="19">
        <f t="shared" si="56"/>
        <v>0</v>
      </c>
      <c r="K304" s="19">
        <f t="shared" si="57"/>
        <v>0</v>
      </c>
      <c r="L304" s="19">
        <f t="shared" si="58"/>
        <v>0</v>
      </c>
      <c r="M304" s="19">
        <f t="shared" si="59"/>
        <v>0</v>
      </c>
      <c r="N304" s="39">
        <f t="shared" si="60"/>
        <v>4.18</v>
      </c>
      <c r="O304" s="39">
        <f t="shared" si="51"/>
        <v>4.928191253377958E-2</v>
      </c>
      <c r="P304" s="40">
        <v>8</v>
      </c>
      <c r="Q304" s="40">
        <v>10</v>
      </c>
      <c r="R304" s="40">
        <v>9</v>
      </c>
      <c r="S304" s="40">
        <v>9</v>
      </c>
      <c r="T304" s="40">
        <v>9</v>
      </c>
      <c r="U304" s="40">
        <v>9</v>
      </c>
      <c r="V304" s="40">
        <v>9</v>
      </c>
      <c r="W304" s="41" t="str">
        <f t="shared" si="61"/>
        <v>N</v>
      </c>
      <c r="X304" s="56">
        <f t="shared" si="62"/>
        <v>0</v>
      </c>
      <c r="Y304" s="56" t="str">
        <f t="shared" si="52"/>
        <v>0-4.9%</v>
      </c>
      <c r="Z304" s="8" t="s">
        <v>118</v>
      </c>
      <c r="AB304" s="38">
        <v>2200</v>
      </c>
      <c r="AC304" s="38">
        <v>1980</v>
      </c>
      <c r="AD304" s="38"/>
      <c r="AE304" s="38"/>
      <c r="AF304" s="38"/>
      <c r="AG304" s="38"/>
      <c r="AH304" s="38"/>
    </row>
    <row r="305" spans="1:34" ht="24" customHeight="1" x14ac:dyDescent="0.25">
      <c r="A305" s="10">
        <v>126</v>
      </c>
      <c r="B305" s="9">
        <v>0.48819444444444443</v>
      </c>
      <c r="C305" s="5" t="s">
        <v>20</v>
      </c>
      <c r="D305" s="5">
        <v>7</v>
      </c>
      <c r="E305" s="15"/>
      <c r="F305" s="15" t="s">
        <v>23</v>
      </c>
      <c r="G305" s="19">
        <f t="shared" si="53"/>
        <v>3.08</v>
      </c>
      <c r="H305" s="19">
        <f t="shared" si="54"/>
        <v>2.88</v>
      </c>
      <c r="I305" s="19">
        <f t="shared" si="55"/>
        <v>0</v>
      </c>
      <c r="J305" s="19">
        <f t="shared" si="56"/>
        <v>0</v>
      </c>
      <c r="K305" s="19">
        <f t="shared" si="57"/>
        <v>0</v>
      </c>
      <c r="L305" s="19">
        <f t="shared" si="58"/>
        <v>0</v>
      </c>
      <c r="M305" s="19">
        <f t="shared" si="59"/>
        <v>0</v>
      </c>
      <c r="N305" s="39">
        <f t="shared" si="60"/>
        <v>5.96</v>
      </c>
      <c r="O305" s="39">
        <f t="shared" si="51"/>
        <v>0.24322177548447985</v>
      </c>
      <c r="P305" s="40">
        <v>8</v>
      </c>
      <c r="Q305" s="40">
        <v>10</v>
      </c>
      <c r="R305" s="40">
        <v>9</v>
      </c>
      <c r="S305" s="40">
        <v>9</v>
      </c>
      <c r="T305" s="40">
        <v>9</v>
      </c>
      <c r="U305" s="40">
        <v>9</v>
      </c>
      <c r="V305" s="40">
        <v>9</v>
      </c>
      <c r="W305" s="41" t="str">
        <f t="shared" si="61"/>
        <v>N</v>
      </c>
      <c r="X305" s="56">
        <f t="shared" si="62"/>
        <v>0</v>
      </c>
      <c r="Y305" s="56" t="str">
        <f t="shared" si="52"/>
        <v>0-4.9%</v>
      </c>
      <c r="Z305" s="8" t="s">
        <v>118</v>
      </c>
      <c r="AB305" s="38">
        <v>3080</v>
      </c>
      <c r="AC305" s="38">
        <v>2880</v>
      </c>
      <c r="AD305" s="38"/>
      <c r="AE305" s="38"/>
      <c r="AF305" s="38"/>
      <c r="AG305" s="38"/>
      <c r="AH305" s="38"/>
    </row>
    <row r="306" spans="1:34" ht="24" customHeight="1" x14ac:dyDescent="0.25">
      <c r="A306" s="10">
        <v>127</v>
      </c>
      <c r="B306" s="9">
        <v>0.48888888888888887</v>
      </c>
      <c r="C306" s="5" t="s">
        <v>20</v>
      </c>
      <c r="D306" s="5">
        <v>7</v>
      </c>
      <c r="E306" s="15"/>
      <c r="F306" s="15" t="s">
        <v>23</v>
      </c>
      <c r="G306" s="19">
        <f t="shared" si="53"/>
        <v>4.72</v>
      </c>
      <c r="H306" s="19">
        <f t="shared" si="54"/>
        <v>5.74</v>
      </c>
      <c r="I306" s="19">
        <f t="shared" si="55"/>
        <v>0</v>
      </c>
      <c r="J306" s="19">
        <f t="shared" si="56"/>
        <v>0</v>
      </c>
      <c r="K306" s="19">
        <f t="shared" si="57"/>
        <v>0</v>
      </c>
      <c r="L306" s="19">
        <f t="shared" si="58"/>
        <v>0</v>
      </c>
      <c r="M306" s="19">
        <f t="shared" si="59"/>
        <v>0</v>
      </c>
      <c r="N306" s="39">
        <f t="shared" si="60"/>
        <v>10.46</v>
      </c>
      <c r="O306" s="39">
        <f t="shared" si="51"/>
        <v>3.0569396571419429</v>
      </c>
      <c r="P306" s="40">
        <v>8</v>
      </c>
      <c r="Q306" s="40">
        <v>10</v>
      </c>
      <c r="R306" s="40">
        <v>9</v>
      </c>
      <c r="S306" s="40">
        <v>9</v>
      </c>
      <c r="T306" s="40">
        <v>9</v>
      </c>
      <c r="U306" s="40">
        <v>9</v>
      </c>
      <c r="V306" s="40">
        <v>9</v>
      </c>
      <c r="W306" s="41" t="str">
        <f t="shared" si="61"/>
        <v>N</v>
      </c>
      <c r="X306" s="56">
        <f t="shared" si="62"/>
        <v>0</v>
      </c>
      <c r="Y306" s="56" t="str">
        <f t="shared" si="52"/>
        <v>0-4.9%</v>
      </c>
      <c r="Z306" s="8" t="s">
        <v>145</v>
      </c>
      <c r="AB306" s="38">
        <v>4720</v>
      </c>
      <c r="AC306" s="38">
        <v>5740</v>
      </c>
      <c r="AD306" s="38"/>
      <c r="AE306" s="38"/>
      <c r="AF306" s="38"/>
      <c r="AG306" s="38"/>
      <c r="AH306" s="38"/>
    </row>
    <row r="307" spans="1:34" ht="24" customHeight="1" x14ac:dyDescent="0.25">
      <c r="A307" s="10">
        <v>128</v>
      </c>
      <c r="B307" s="9">
        <v>0.48958333333333331</v>
      </c>
      <c r="C307" s="5" t="s">
        <v>20</v>
      </c>
      <c r="D307" s="5">
        <v>7</v>
      </c>
      <c r="E307" s="15"/>
      <c r="F307" s="15" t="s">
        <v>23</v>
      </c>
      <c r="G307" s="19">
        <f t="shared" si="53"/>
        <v>10.1</v>
      </c>
      <c r="H307" s="19">
        <f t="shared" si="54"/>
        <v>14.4</v>
      </c>
      <c r="I307" s="19">
        <f t="shared" si="55"/>
        <v>0</v>
      </c>
      <c r="J307" s="19">
        <f t="shared" si="56"/>
        <v>0</v>
      </c>
      <c r="K307" s="19">
        <f t="shared" si="57"/>
        <v>0</v>
      </c>
      <c r="L307" s="19">
        <f t="shared" si="58"/>
        <v>0</v>
      </c>
      <c r="M307" s="19">
        <f t="shared" si="59"/>
        <v>0</v>
      </c>
      <c r="N307" s="39">
        <f t="shared" si="60"/>
        <v>24.5</v>
      </c>
      <c r="O307" s="39">
        <f t="shared" si="51"/>
        <v>140.81264790861687</v>
      </c>
      <c r="P307" s="40">
        <v>8</v>
      </c>
      <c r="Q307" s="40">
        <v>10</v>
      </c>
      <c r="R307" s="40">
        <v>9</v>
      </c>
      <c r="S307" s="40">
        <v>9</v>
      </c>
      <c r="T307" s="40">
        <v>9</v>
      </c>
      <c r="U307" s="40">
        <v>9</v>
      </c>
      <c r="V307" s="40">
        <v>9</v>
      </c>
      <c r="W307" s="41" t="str">
        <f t="shared" si="61"/>
        <v>Y</v>
      </c>
      <c r="X307" s="56">
        <f t="shared" si="62"/>
        <v>0.44000000000000006</v>
      </c>
      <c r="Y307" s="56" t="str">
        <f t="shared" si="52"/>
        <v>25-50%</v>
      </c>
      <c r="Z307" s="8" t="s">
        <v>145</v>
      </c>
      <c r="AB307" s="38">
        <v>10100</v>
      </c>
      <c r="AC307" s="38">
        <v>14400</v>
      </c>
      <c r="AD307" s="38"/>
      <c r="AE307" s="38"/>
      <c r="AF307" s="38"/>
      <c r="AG307" s="38"/>
      <c r="AH307" s="38"/>
    </row>
    <row r="308" spans="1:34" ht="24" customHeight="1" x14ac:dyDescent="0.25">
      <c r="A308" s="10">
        <v>129</v>
      </c>
      <c r="B308" s="9">
        <v>0.4909722222222222</v>
      </c>
      <c r="C308" s="5" t="s">
        <v>20</v>
      </c>
      <c r="D308" s="5">
        <v>7</v>
      </c>
      <c r="E308" s="15"/>
      <c r="F308" s="15" t="s">
        <v>23</v>
      </c>
      <c r="G308" s="19">
        <f t="shared" si="53"/>
        <v>5.22</v>
      </c>
      <c r="H308" s="19">
        <f t="shared" si="54"/>
        <v>9.44</v>
      </c>
      <c r="I308" s="19">
        <f t="shared" si="55"/>
        <v>0</v>
      </c>
      <c r="J308" s="19">
        <f t="shared" si="56"/>
        <v>0</v>
      </c>
      <c r="K308" s="19">
        <f t="shared" si="57"/>
        <v>0</v>
      </c>
      <c r="L308" s="19">
        <f t="shared" si="58"/>
        <v>0</v>
      </c>
      <c r="M308" s="19">
        <f t="shared" si="59"/>
        <v>0</v>
      </c>
      <c r="N308" s="39">
        <f t="shared" si="60"/>
        <v>14.66</v>
      </c>
      <c r="O308" s="39">
        <f t="shared" si="51"/>
        <v>13.963592039717806</v>
      </c>
      <c r="P308" s="40">
        <v>8</v>
      </c>
      <c r="Q308" s="40">
        <v>10</v>
      </c>
      <c r="R308" s="40">
        <v>9</v>
      </c>
      <c r="S308" s="40">
        <v>9</v>
      </c>
      <c r="T308" s="40">
        <v>9</v>
      </c>
      <c r="U308" s="40">
        <v>9</v>
      </c>
      <c r="V308" s="40">
        <v>9</v>
      </c>
      <c r="W308" s="41" t="str">
        <f t="shared" si="61"/>
        <v>N</v>
      </c>
      <c r="X308" s="56">
        <f t="shared" si="62"/>
        <v>0</v>
      </c>
      <c r="Y308" s="56" t="str">
        <f t="shared" si="52"/>
        <v>0-4.9%</v>
      </c>
      <c r="Z308" s="8" t="s">
        <v>145</v>
      </c>
      <c r="AB308" s="38">
        <v>5220</v>
      </c>
      <c r="AC308" s="38">
        <v>9440</v>
      </c>
      <c r="AD308" s="38"/>
      <c r="AE308" s="38"/>
      <c r="AF308" s="38"/>
      <c r="AG308" s="38"/>
      <c r="AH308" s="38"/>
    </row>
    <row r="309" spans="1:34" ht="24" customHeight="1" x14ac:dyDescent="0.25">
      <c r="A309" s="10">
        <v>130</v>
      </c>
      <c r="B309" s="9">
        <v>0.49236111111111108</v>
      </c>
      <c r="C309" s="5" t="s">
        <v>20</v>
      </c>
      <c r="D309" s="5">
        <v>7</v>
      </c>
      <c r="E309" s="15"/>
      <c r="F309" s="15" t="s">
        <v>23</v>
      </c>
      <c r="G309" s="19">
        <f t="shared" si="53"/>
        <v>4.0999999999999996</v>
      </c>
      <c r="H309" s="19">
        <f t="shared" si="54"/>
        <v>5.0199999999999996</v>
      </c>
      <c r="I309" s="19">
        <f t="shared" si="55"/>
        <v>0</v>
      </c>
      <c r="J309" s="19">
        <f t="shared" si="56"/>
        <v>0</v>
      </c>
      <c r="K309" s="19">
        <f t="shared" si="57"/>
        <v>0</v>
      </c>
      <c r="L309" s="19">
        <f t="shared" si="58"/>
        <v>0</v>
      </c>
      <c r="M309" s="19">
        <f t="shared" si="59"/>
        <v>0</v>
      </c>
      <c r="N309" s="39">
        <f t="shared" si="60"/>
        <v>9.1199999999999992</v>
      </c>
      <c r="O309" s="39">
        <f t="shared" si="51"/>
        <v>1.6495711713729164</v>
      </c>
      <c r="P309" s="40">
        <v>8</v>
      </c>
      <c r="Q309" s="40">
        <v>10</v>
      </c>
      <c r="R309" s="40">
        <v>9</v>
      </c>
      <c r="S309" s="40">
        <v>9</v>
      </c>
      <c r="T309" s="40">
        <v>9</v>
      </c>
      <c r="U309" s="40">
        <v>9</v>
      </c>
      <c r="V309" s="40">
        <v>9</v>
      </c>
      <c r="W309" s="41" t="str">
        <f t="shared" si="61"/>
        <v>N</v>
      </c>
      <c r="X309" s="56">
        <f t="shared" si="62"/>
        <v>0</v>
      </c>
      <c r="Y309" s="56" t="str">
        <f t="shared" si="52"/>
        <v>0-4.9%</v>
      </c>
      <c r="Z309" s="8" t="s">
        <v>118</v>
      </c>
      <c r="AB309" s="38">
        <v>4100</v>
      </c>
      <c r="AC309" s="38">
        <v>5020</v>
      </c>
      <c r="AD309" s="38"/>
      <c r="AE309" s="38"/>
      <c r="AF309" s="38"/>
      <c r="AG309" s="38"/>
      <c r="AH309" s="38"/>
    </row>
    <row r="310" spans="1:34" ht="24" customHeight="1" x14ac:dyDescent="0.25">
      <c r="A310" s="10">
        <v>131</v>
      </c>
      <c r="B310" s="9">
        <v>0.49305555555555558</v>
      </c>
      <c r="C310" s="5" t="s">
        <v>20</v>
      </c>
      <c r="D310" s="5">
        <v>7</v>
      </c>
      <c r="E310" s="15"/>
      <c r="F310" s="15" t="s">
        <v>23</v>
      </c>
      <c r="G310" s="19">
        <f t="shared" si="53"/>
        <v>2.66</v>
      </c>
      <c r="H310" s="19">
        <f t="shared" si="54"/>
        <v>4.08</v>
      </c>
      <c r="I310" s="19">
        <f t="shared" si="55"/>
        <v>0</v>
      </c>
      <c r="J310" s="19">
        <f t="shared" si="56"/>
        <v>0</v>
      </c>
      <c r="K310" s="19">
        <f t="shared" si="57"/>
        <v>0</v>
      </c>
      <c r="L310" s="19">
        <f t="shared" si="58"/>
        <v>0</v>
      </c>
      <c r="M310" s="19">
        <f t="shared" si="59"/>
        <v>0</v>
      </c>
      <c r="N310" s="39">
        <f t="shared" si="60"/>
        <v>6.74</v>
      </c>
      <c r="O310" s="39">
        <f t="shared" si="51"/>
        <v>0.42302284333705126</v>
      </c>
      <c r="P310" s="40">
        <v>8</v>
      </c>
      <c r="Q310" s="40">
        <v>10</v>
      </c>
      <c r="R310" s="40">
        <v>9</v>
      </c>
      <c r="S310" s="40">
        <v>9</v>
      </c>
      <c r="T310" s="40">
        <v>9</v>
      </c>
      <c r="U310" s="40">
        <v>9</v>
      </c>
      <c r="V310" s="40">
        <v>9</v>
      </c>
      <c r="W310" s="41" t="str">
        <f t="shared" si="61"/>
        <v>N</v>
      </c>
      <c r="X310" s="56">
        <f t="shared" si="62"/>
        <v>0</v>
      </c>
      <c r="Y310" s="56" t="str">
        <f t="shared" si="52"/>
        <v>0-4.9%</v>
      </c>
      <c r="Z310" s="8" t="s">
        <v>145</v>
      </c>
      <c r="AB310" s="38">
        <v>2660</v>
      </c>
      <c r="AC310" s="38">
        <v>4080</v>
      </c>
      <c r="AD310" s="38"/>
      <c r="AE310" s="38"/>
      <c r="AF310" s="38"/>
      <c r="AG310" s="38"/>
      <c r="AH310" s="38"/>
    </row>
    <row r="311" spans="1:34" ht="24" customHeight="1" x14ac:dyDescent="0.25">
      <c r="A311" s="10">
        <v>133</v>
      </c>
      <c r="B311" s="9">
        <v>0.49583333333333335</v>
      </c>
      <c r="C311" s="5" t="s">
        <v>20</v>
      </c>
      <c r="D311" s="5">
        <v>7</v>
      </c>
      <c r="E311" s="15"/>
      <c r="F311" s="15" t="s">
        <v>23</v>
      </c>
      <c r="G311" s="19">
        <f t="shared" si="53"/>
        <v>7.66</v>
      </c>
      <c r="H311" s="19">
        <f t="shared" si="54"/>
        <v>14.5</v>
      </c>
      <c r="I311" s="19">
        <f t="shared" si="55"/>
        <v>0</v>
      </c>
      <c r="J311" s="19">
        <f t="shared" si="56"/>
        <v>0</v>
      </c>
      <c r="K311" s="19">
        <f t="shared" si="57"/>
        <v>0</v>
      </c>
      <c r="L311" s="19">
        <f t="shared" si="58"/>
        <v>0</v>
      </c>
      <c r="M311" s="19">
        <f t="shared" si="59"/>
        <v>0</v>
      </c>
      <c r="N311" s="39">
        <f t="shared" si="60"/>
        <v>22.16</v>
      </c>
      <c r="O311" s="39">
        <f t="shared" si="51"/>
        <v>89.63098886586593</v>
      </c>
      <c r="P311" s="40">
        <v>8</v>
      </c>
      <c r="Q311" s="40">
        <v>10</v>
      </c>
      <c r="R311" s="40">
        <v>9</v>
      </c>
      <c r="S311" s="40">
        <v>9</v>
      </c>
      <c r="T311" s="40">
        <v>9</v>
      </c>
      <c r="U311" s="40">
        <v>9</v>
      </c>
      <c r="V311" s="40">
        <v>9</v>
      </c>
      <c r="W311" s="41" t="str">
        <f t="shared" si="61"/>
        <v>Y</v>
      </c>
      <c r="X311" s="56">
        <f t="shared" si="62"/>
        <v>0.45</v>
      </c>
      <c r="Y311" s="56" t="str">
        <f t="shared" si="52"/>
        <v>25-50%</v>
      </c>
      <c r="Z311" s="8" t="s">
        <v>35</v>
      </c>
      <c r="AB311" s="38">
        <v>7660</v>
      </c>
      <c r="AC311" s="38">
        <v>14500</v>
      </c>
      <c r="AD311" s="38"/>
      <c r="AE311" s="38"/>
      <c r="AF311" s="38"/>
      <c r="AG311" s="38"/>
      <c r="AH311" s="38"/>
    </row>
    <row r="312" spans="1:34" ht="24" customHeight="1" x14ac:dyDescent="0.25">
      <c r="A312" s="10">
        <v>134</v>
      </c>
      <c r="B312" s="9">
        <v>0.49652777777777773</v>
      </c>
      <c r="C312" s="5" t="s">
        <v>20</v>
      </c>
      <c r="D312" s="5">
        <v>7</v>
      </c>
      <c r="E312" s="15"/>
      <c r="F312" s="15" t="s">
        <v>23</v>
      </c>
      <c r="G312" s="19">
        <f t="shared" si="53"/>
        <v>4.34</v>
      </c>
      <c r="H312" s="19">
        <f t="shared" si="54"/>
        <v>4.82</v>
      </c>
      <c r="I312" s="19">
        <f t="shared" si="55"/>
        <v>0</v>
      </c>
      <c r="J312" s="19">
        <f t="shared" si="56"/>
        <v>0</v>
      </c>
      <c r="K312" s="19">
        <f t="shared" si="57"/>
        <v>0</v>
      </c>
      <c r="L312" s="19">
        <f t="shared" si="58"/>
        <v>0</v>
      </c>
      <c r="M312" s="19">
        <f t="shared" si="59"/>
        <v>0</v>
      </c>
      <c r="N312" s="39">
        <f t="shared" si="60"/>
        <v>9.16</v>
      </c>
      <c r="O312" s="39">
        <f t="shared" si="51"/>
        <v>1.6823793037282959</v>
      </c>
      <c r="P312" s="40">
        <v>8</v>
      </c>
      <c r="Q312" s="40">
        <v>10</v>
      </c>
      <c r="R312" s="40">
        <v>9</v>
      </c>
      <c r="S312" s="40">
        <v>9</v>
      </c>
      <c r="T312" s="40">
        <v>9</v>
      </c>
      <c r="U312" s="40">
        <v>9</v>
      </c>
      <c r="V312" s="40">
        <v>9</v>
      </c>
      <c r="W312" s="41" t="str">
        <f t="shared" si="61"/>
        <v>N</v>
      </c>
      <c r="X312" s="56">
        <f t="shared" si="62"/>
        <v>0</v>
      </c>
      <c r="Y312" s="56" t="str">
        <f t="shared" si="52"/>
        <v>0-4.9%</v>
      </c>
      <c r="Z312" s="8" t="s">
        <v>111</v>
      </c>
      <c r="AB312" s="38">
        <v>4340</v>
      </c>
      <c r="AC312" s="38">
        <v>4820</v>
      </c>
      <c r="AD312" s="38"/>
      <c r="AE312" s="38"/>
      <c r="AF312" s="38"/>
      <c r="AG312" s="38"/>
      <c r="AH312" s="38"/>
    </row>
    <row r="313" spans="1:34" ht="24" customHeight="1" x14ac:dyDescent="0.25">
      <c r="A313" s="10">
        <v>137</v>
      </c>
      <c r="B313" s="9">
        <v>0.5</v>
      </c>
      <c r="C313" s="5" t="s">
        <v>20</v>
      </c>
      <c r="D313" s="5">
        <v>9</v>
      </c>
      <c r="E313" s="15"/>
      <c r="F313" s="15" t="s">
        <v>31</v>
      </c>
      <c r="G313" s="19">
        <f t="shared" si="53"/>
        <v>5.84</v>
      </c>
      <c r="H313" s="19">
        <f t="shared" si="54"/>
        <v>7.34</v>
      </c>
      <c r="I313" s="19">
        <f t="shared" si="55"/>
        <v>0</v>
      </c>
      <c r="J313" s="19">
        <f t="shared" si="56"/>
        <v>0</v>
      </c>
      <c r="K313" s="19">
        <f t="shared" si="57"/>
        <v>0</v>
      </c>
      <c r="L313" s="19">
        <f t="shared" si="58"/>
        <v>0</v>
      </c>
      <c r="M313" s="19">
        <f t="shared" si="59"/>
        <v>0</v>
      </c>
      <c r="N313" s="39">
        <f t="shared" si="60"/>
        <v>13.18</v>
      </c>
      <c r="O313" s="39">
        <f t="shared" si="51"/>
        <v>8.6499506908048769</v>
      </c>
      <c r="P313" s="40">
        <v>8</v>
      </c>
      <c r="Q313" s="40">
        <v>10</v>
      </c>
      <c r="R313" s="40">
        <v>9</v>
      </c>
      <c r="S313" s="40">
        <v>9</v>
      </c>
      <c r="T313" s="40">
        <v>9</v>
      </c>
      <c r="U313" s="40">
        <v>9</v>
      </c>
      <c r="V313" s="40">
        <v>9</v>
      </c>
      <c r="W313" s="41" t="str">
        <f t="shared" si="61"/>
        <v>N</v>
      </c>
      <c r="X313" s="56">
        <f t="shared" si="62"/>
        <v>0</v>
      </c>
      <c r="Y313" s="56" t="str">
        <f t="shared" si="52"/>
        <v>0-4.9%</v>
      </c>
      <c r="Z313" s="8" t="s">
        <v>107</v>
      </c>
      <c r="AB313" s="38">
        <v>5840</v>
      </c>
      <c r="AC313" s="38">
        <v>7340</v>
      </c>
      <c r="AD313" s="38"/>
      <c r="AE313" s="38"/>
      <c r="AF313" s="38"/>
      <c r="AG313" s="38"/>
      <c r="AH313" s="38"/>
    </row>
    <row r="314" spans="1:34" ht="24" customHeight="1" x14ac:dyDescent="0.25">
      <c r="A314" s="10">
        <v>138</v>
      </c>
      <c r="B314" s="9">
        <v>0.50486111111111109</v>
      </c>
      <c r="C314" s="5" t="s">
        <v>20</v>
      </c>
      <c r="D314" s="5">
        <v>7</v>
      </c>
      <c r="E314" s="15"/>
      <c r="F314" s="15" t="s">
        <v>23</v>
      </c>
      <c r="G314" s="19">
        <f t="shared" si="53"/>
        <v>3.13</v>
      </c>
      <c r="H314" s="19">
        <f t="shared" si="54"/>
        <v>3.36</v>
      </c>
      <c r="I314" s="19">
        <f t="shared" si="55"/>
        <v>0</v>
      </c>
      <c r="J314" s="19">
        <f t="shared" si="56"/>
        <v>0</v>
      </c>
      <c r="K314" s="19">
        <f t="shared" si="57"/>
        <v>0</v>
      </c>
      <c r="L314" s="19">
        <f t="shared" si="58"/>
        <v>0</v>
      </c>
      <c r="M314" s="19">
        <f t="shared" si="59"/>
        <v>0</v>
      </c>
      <c r="N314" s="39">
        <f t="shared" si="60"/>
        <v>6.49</v>
      </c>
      <c r="O314" s="39">
        <f t="shared" si="51"/>
        <v>0.35685798689017872</v>
      </c>
      <c r="P314" s="40">
        <v>8</v>
      </c>
      <c r="Q314" s="40">
        <v>10</v>
      </c>
      <c r="R314" s="40">
        <v>9</v>
      </c>
      <c r="S314" s="40">
        <v>9</v>
      </c>
      <c r="T314" s="40">
        <v>9</v>
      </c>
      <c r="U314" s="40">
        <v>9</v>
      </c>
      <c r="V314" s="40">
        <v>9</v>
      </c>
      <c r="W314" s="41" t="str">
        <f t="shared" si="61"/>
        <v>N</v>
      </c>
      <c r="X314" s="56">
        <f t="shared" si="62"/>
        <v>0</v>
      </c>
      <c r="Y314" s="56" t="str">
        <f t="shared" si="52"/>
        <v>0-4.9%</v>
      </c>
      <c r="Z314" s="8" t="s">
        <v>118</v>
      </c>
      <c r="AB314" s="38">
        <v>3130</v>
      </c>
      <c r="AC314" s="38">
        <v>3360</v>
      </c>
      <c r="AD314" s="38"/>
      <c r="AE314" s="38"/>
      <c r="AF314" s="38"/>
      <c r="AG314" s="38"/>
      <c r="AH314" s="38"/>
    </row>
    <row r="315" spans="1:34" ht="24" customHeight="1" x14ac:dyDescent="0.25">
      <c r="A315" s="10">
        <v>139</v>
      </c>
      <c r="B315" s="9">
        <v>0.50555555555555554</v>
      </c>
      <c r="C315" s="5" t="s">
        <v>20</v>
      </c>
      <c r="D315" s="5">
        <v>7</v>
      </c>
      <c r="E315" s="15"/>
      <c r="F315" s="15" t="s">
        <v>23</v>
      </c>
      <c r="G315" s="19">
        <f t="shared" si="53"/>
        <v>4.82</v>
      </c>
      <c r="H315" s="19">
        <f t="shared" si="54"/>
        <v>13.98</v>
      </c>
      <c r="I315" s="19">
        <f t="shared" si="55"/>
        <v>0</v>
      </c>
      <c r="J315" s="19">
        <f t="shared" si="56"/>
        <v>0</v>
      </c>
      <c r="K315" s="19">
        <f t="shared" si="57"/>
        <v>0</v>
      </c>
      <c r="L315" s="19">
        <f t="shared" si="58"/>
        <v>0</v>
      </c>
      <c r="M315" s="19">
        <f t="shared" si="59"/>
        <v>0</v>
      </c>
      <c r="N315" s="39">
        <f t="shared" si="60"/>
        <v>18.8</v>
      </c>
      <c r="O315" s="39">
        <f t="shared" si="51"/>
        <v>42.766588442913125</v>
      </c>
      <c r="P315" s="40">
        <v>8</v>
      </c>
      <c r="Q315" s="40">
        <v>10</v>
      </c>
      <c r="R315" s="40">
        <v>9</v>
      </c>
      <c r="S315" s="40">
        <v>9</v>
      </c>
      <c r="T315" s="40">
        <v>9</v>
      </c>
      <c r="U315" s="40">
        <v>9</v>
      </c>
      <c r="V315" s="40">
        <v>9</v>
      </c>
      <c r="W315" s="41" t="str">
        <f t="shared" si="61"/>
        <v>Y</v>
      </c>
      <c r="X315" s="56">
        <f t="shared" si="62"/>
        <v>0.39800000000000002</v>
      </c>
      <c r="Y315" s="56" t="str">
        <f t="shared" si="52"/>
        <v>25-50%</v>
      </c>
      <c r="Z315" s="8" t="s">
        <v>115</v>
      </c>
      <c r="AB315" s="38">
        <v>4820</v>
      </c>
      <c r="AC315" s="38">
        <v>13980</v>
      </c>
      <c r="AD315" s="38"/>
      <c r="AE315" s="38"/>
      <c r="AF315" s="38"/>
      <c r="AG315" s="38"/>
      <c r="AH315" s="38"/>
    </row>
    <row r="316" spans="1:34" ht="24" customHeight="1" x14ac:dyDescent="0.25">
      <c r="A316" s="10">
        <v>140</v>
      </c>
      <c r="B316" s="9">
        <v>0.50763888888888886</v>
      </c>
      <c r="C316" s="5" t="s">
        <v>20</v>
      </c>
      <c r="D316" s="5">
        <v>7</v>
      </c>
      <c r="E316" s="15"/>
      <c r="F316" s="15" t="s">
        <v>23</v>
      </c>
      <c r="G316" s="19">
        <f t="shared" si="53"/>
        <v>2.68</v>
      </c>
      <c r="H316" s="19">
        <f t="shared" si="54"/>
        <v>3.1</v>
      </c>
      <c r="I316" s="19">
        <f t="shared" si="55"/>
        <v>0</v>
      </c>
      <c r="J316" s="19">
        <f t="shared" si="56"/>
        <v>0</v>
      </c>
      <c r="K316" s="19">
        <f t="shared" si="57"/>
        <v>0</v>
      </c>
      <c r="L316" s="19">
        <f t="shared" si="58"/>
        <v>0</v>
      </c>
      <c r="M316" s="19">
        <f t="shared" si="59"/>
        <v>0</v>
      </c>
      <c r="N316" s="39">
        <f t="shared" si="60"/>
        <v>5.78</v>
      </c>
      <c r="O316" s="39">
        <f t="shared" si="51"/>
        <v>0.21187004483872132</v>
      </c>
      <c r="P316" s="40">
        <v>8</v>
      </c>
      <c r="Q316" s="40">
        <v>10</v>
      </c>
      <c r="R316" s="40">
        <v>9</v>
      </c>
      <c r="S316" s="40">
        <v>9</v>
      </c>
      <c r="T316" s="40">
        <v>9</v>
      </c>
      <c r="U316" s="40">
        <v>9</v>
      </c>
      <c r="V316" s="40">
        <v>9</v>
      </c>
      <c r="W316" s="41" t="str">
        <f t="shared" si="61"/>
        <v>N</v>
      </c>
      <c r="X316" s="56">
        <f t="shared" si="62"/>
        <v>0</v>
      </c>
      <c r="Y316" s="56" t="str">
        <f t="shared" si="52"/>
        <v>0-4.9%</v>
      </c>
      <c r="Z316" s="8" t="s">
        <v>118</v>
      </c>
      <c r="AB316" s="38">
        <v>2680</v>
      </c>
      <c r="AC316" s="38">
        <v>3100</v>
      </c>
      <c r="AD316" s="38"/>
      <c r="AE316" s="38"/>
      <c r="AF316" s="38"/>
      <c r="AG316" s="38"/>
      <c r="AH316" s="38"/>
    </row>
    <row r="317" spans="1:34" ht="24" customHeight="1" x14ac:dyDescent="0.25">
      <c r="A317" s="10">
        <v>141</v>
      </c>
      <c r="B317" s="9">
        <v>0.5083333333333333</v>
      </c>
      <c r="C317" s="5" t="s">
        <v>20</v>
      </c>
      <c r="D317" s="5">
        <v>7</v>
      </c>
      <c r="E317" s="15"/>
      <c r="F317" s="15" t="s">
        <v>23</v>
      </c>
      <c r="G317" s="19">
        <f t="shared" si="53"/>
        <v>5.14</v>
      </c>
      <c r="H317" s="19">
        <f t="shared" si="54"/>
        <v>8.6199999999999992</v>
      </c>
      <c r="I317" s="19">
        <f t="shared" si="55"/>
        <v>0</v>
      </c>
      <c r="J317" s="19">
        <f t="shared" si="56"/>
        <v>0</v>
      </c>
      <c r="K317" s="19">
        <f t="shared" si="57"/>
        <v>0</v>
      </c>
      <c r="L317" s="19">
        <f t="shared" si="58"/>
        <v>0</v>
      </c>
      <c r="M317" s="19">
        <f t="shared" si="59"/>
        <v>0</v>
      </c>
      <c r="N317" s="39">
        <f t="shared" si="60"/>
        <v>13.759999999999998</v>
      </c>
      <c r="O317" s="39">
        <f t="shared" si="51"/>
        <v>10.499708405586322</v>
      </c>
      <c r="P317" s="40">
        <v>8</v>
      </c>
      <c r="Q317" s="40">
        <v>10</v>
      </c>
      <c r="R317" s="40">
        <v>9</v>
      </c>
      <c r="S317" s="40">
        <v>9</v>
      </c>
      <c r="T317" s="40">
        <v>9</v>
      </c>
      <c r="U317" s="40">
        <v>9</v>
      </c>
      <c r="V317" s="40">
        <v>9</v>
      </c>
      <c r="W317" s="41" t="str">
        <f t="shared" si="61"/>
        <v>N</v>
      </c>
      <c r="X317" s="56">
        <f t="shared" si="62"/>
        <v>0</v>
      </c>
      <c r="Y317" s="56" t="str">
        <f t="shared" si="52"/>
        <v>0-4.9%</v>
      </c>
      <c r="Z317" s="8" t="s">
        <v>145</v>
      </c>
      <c r="AB317" s="38">
        <v>5140</v>
      </c>
      <c r="AC317" s="38">
        <v>8620</v>
      </c>
      <c r="AD317" s="38"/>
      <c r="AE317" s="38"/>
      <c r="AF317" s="38"/>
      <c r="AG317" s="38"/>
      <c r="AH317" s="38"/>
    </row>
    <row r="318" spans="1:34" ht="24" customHeight="1" x14ac:dyDescent="0.25">
      <c r="A318" s="10">
        <v>142</v>
      </c>
      <c r="B318" s="9">
        <v>0.50902777777777775</v>
      </c>
      <c r="C318" s="5" t="s">
        <v>20</v>
      </c>
      <c r="D318" s="5">
        <v>7</v>
      </c>
      <c r="E318" s="15"/>
      <c r="F318" s="15" t="s">
        <v>23</v>
      </c>
      <c r="G318" s="19">
        <f t="shared" si="53"/>
        <v>9.2799999999999994</v>
      </c>
      <c r="H318" s="19">
        <f t="shared" si="54"/>
        <v>17.38</v>
      </c>
      <c r="I318" s="19">
        <f t="shared" si="55"/>
        <v>0</v>
      </c>
      <c r="J318" s="19">
        <f t="shared" si="56"/>
        <v>0</v>
      </c>
      <c r="K318" s="19">
        <f t="shared" si="57"/>
        <v>0</v>
      </c>
      <c r="L318" s="19">
        <f t="shared" si="58"/>
        <v>0</v>
      </c>
      <c r="M318" s="19">
        <f t="shared" si="59"/>
        <v>0</v>
      </c>
      <c r="N318" s="39">
        <f t="shared" si="60"/>
        <v>26.659999999999997</v>
      </c>
      <c r="O318" s="39">
        <f t="shared" si="51"/>
        <v>205.95149007492958</v>
      </c>
      <c r="P318" s="40">
        <v>8</v>
      </c>
      <c r="Q318" s="40">
        <v>10</v>
      </c>
      <c r="R318" s="40">
        <v>9</v>
      </c>
      <c r="S318" s="40">
        <v>9</v>
      </c>
      <c r="T318" s="40">
        <v>9</v>
      </c>
      <c r="U318" s="40">
        <v>9</v>
      </c>
      <c r="V318" s="40">
        <v>9</v>
      </c>
      <c r="W318" s="41" t="str">
        <f t="shared" si="61"/>
        <v>Y</v>
      </c>
      <c r="X318" s="56">
        <f t="shared" si="62"/>
        <v>0.73799999999999988</v>
      </c>
      <c r="Y318" s="56" t="str">
        <f t="shared" si="52"/>
        <v>Over 50%</v>
      </c>
      <c r="Z318" s="8" t="s">
        <v>35</v>
      </c>
      <c r="AB318" s="38">
        <v>9280</v>
      </c>
      <c r="AC318" s="38">
        <v>17380</v>
      </c>
      <c r="AD318" s="38"/>
      <c r="AE318" s="38"/>
      <c r="AF318" s="38"/>
      <c r="AG318" s="38"/>
      <c r="AH318" s="38"/>
    </row>
    <row r="319" spans="1:34" ht="24" customHeight="1" x14ac:dyDescent="0.25">
      <c r="A319" s="10">
        <v>143</v>
      </c>
      <c r="B319" s="9">
        <v>0.51388888888888895</v>
      </c>
      <c r="C319" s="5" t="s">
        <v>20</v>
      </c>
      <c r="D319" s="5">
        <v>7</v>
      </c>
      <c r="E319" s="15"/>
      <c r="F319" s="15" t="s">
        <v>23</v>
      </c>
      <c r="G319" s="19">
        <f t="shared" si="53"/>
        <v>3.92</v>
      </c>
      <c r="H319" s="19">
        <f t="shared" si="54"/>
        <v>10.039999999999999</v>
      </c>
      <c r="I319" s="19">
        <f t="shared" si="55"/>
        <v>0</v>
      </c>
      <c r="J319" s="19">
        <f t="shared" si="56"/>
        <v>0</v>
      </c>
      <c r="K319" s="19">
        <f t="shared" si="57"/>
        <v>0</v>
      </c>
      <c r="L319" s="19">
        <f t="shared" si="58"/>
        <v>0</v>
      </c>
      <c r="M319" s="19">
        <f t="shared" si="59"/>
        <v>0</v>
      </c>
      <c r="N319" s="39">
        <f t="shared" si="60"/>
        <v>13.959999999999999</v>
      </c>
      <c r="O319" s="39">
        <f t="shared" si="51"/>
        <v>11.204143638599358</v>
      </c>
      <c r="P319" s="40">
        <v>8</v>
      </c>
      <c r="Q319" s="40">
        <v>10</v>
      </c>
      <c r="R319" s="40">
        <v>9</v>
      </c>
      <c r="S319" s="40">
        <v>9</v>
      </c>
      <c r="T319" s="40">
        <v>9</v>
      </c>
      <c r="U319" s="40">
        <v>9</v>
      </c>
      <c r="V319" s="40">
        <v>9</v>
      </c>
      <c r="W319" s="41" t="str">
        <f t="shared" si="61"/>
        <v>Y</v>
      </c>
      <c r="X319" s="56">
        <f t="shared" si="62"/>
        <v>3.9999999999999151E-3</v>
      </c>
      <c r="Y319" s="56" t="str">
        <f t="shared" si="52"/>
        <v>0-4.9%</v>
      </c>
      <c r="Z319" s="8" t="s">
        <v>145</v>
      </c>
      <c r="AB319" s="38">
        <v>3920</v>
      </c>
      <c r="AC319" s="38">
        <v>10040</v>
      </c>
      <c r="AD319" s="38"/>
      <c r="AE319" s="38"/>
      <c r="AF319" s="38"/>
      <c r="AG319" s="38"/>
      <c r="AH319" s="38"/>
    </row>
    <row r="320" spans="1:34" ht="24" customHeight="1" x14ac:dyDescent="0.25">
      <c r="A320" s="10">
        <v>144</v>
      </c>
      <c r="B320" s="9">
        <v>0.51458333333333328</v>
      </c>
      <c r="C320" s="5" t="s">
        <v>20</v>
      </c>
      <c r="D320" s="5">
        <v>7</v>
      </c>
      <c r="E320" s="15"/>
      <c r="F320" s="15" t="s">
        <v>23</v>
      </c>
      <c r="G320" s="19">
        <f t="shared" si="53"/>
        <v>4.66</v>
      </c>
      <c r="H320" s="19">
        <f t="shared" si="54"/>
        <v>7.94</v>
      </c>
      <c r="I320" s="19">
        <f t="shared" si="55"/>
        <v>0</v>
      </c>
      <c r="J320" s="19">
        <f t="shared" si="56"/>
        <v>0</v>
      </c>
      <c r="K320" s="19">
        <f t="shared" si="57"/>
        <v>0</v>
      </c>
      <c r="L320" s="19">
        <f t="shared" si="58"/>
        <v>0</v>
      </c>
      <c r="M320" s="19">
        <f t="shared" si="59"/>
        <v>0</v>
      </c>
      <c r="N320" s="39">
        <f t="shared" si="60"/>
        <v>12.600000000000001</v>
      </c>
      <c r="O320" s="39">
        <f t="shared" si="51"/>
        <v>7.0641797041921039</v>
      </c>
      <c r="P320" s="40">
        <v>8</v>
      </c>
      <c r="Q320" s="40">
        <v>10</v>
      </c>
      <c r="R320" s="40">
        <v>9</v>
      </c>
      <c r="S320" s="40">
        <v>9</v>
      </c>
      <c r="T320" s="40">
        <v>9</v>
      </c>
      <c r="U320" s="40">
        <v>9</v>
      </c>
      <c r="V320" s="40">
        <v>9</v>
      </c>
      <c r="W320" s="41" t="str">
        <f t="shared" si="61"/>
        <v>N</v>
      </c>
      <c r="X320" s="56">
        <f t="shared" si="62"/>
        <v>0</v>
      </c>
      <c r="Y320" s="56" t="str">
        <f t="shared" si="52"/>
        <v>0-4.9%</v>
      </c>
      <c r="Z320" s="8" t="s">
        <v>145</v>
      </c>
      <c r="AB320" s="38">
        <v>4660</v>
      </c>
      <c r="AC320" s="38">
        <v>7940</v>
      </c>
      <c r="AD320" s="38"/>
      <c r="AE320" s="38"/>
      <c r="AF320" s="38"/>
      <c r="AG320" s="38"/>
      <c r="AH320" s="38"/>
    </row>
    <row r="321" spans="1:34" ht="24" customHeight="1" x14ac:dyDescent="0.25">
      <c r="A321" s="10">
        <v>147</v>
      </c>
      <c r="B321" s="9">
        <v>0.5180555555555556</v>
      </c>
      <c r="C321" s="5" t="s">
        <v>20</v>
      </c>
      <c r="D321" s="5">
        <v>7</v>
      </c>
      <c r="E321" s="15"/>
      <c r="F321" s="15" t="s">
        <v>23</v>
      </c>
      <c r="G321" s="19">
        <f t="shared" si="53"/>
        <v>2.94</v>
      </c>
      <c r="H321" s="19">
        <f t="shared" si="54"/>
        <v>3.16</v>
      </c>
      <c r="I321" s="19">
        <f t="shared" si="55"/>
        <v>0</v>
      </c>
      <c r="J321" s="19">
        <f t="shared" si="56"/>
        <v>0</v>
      </c>
      <c r="K321" s="19">
        <f t="shared" si="57"/>
        <v>0</v>
      </c>
      <c r="L321" s="19">
        <f t="shared" si="58"/>
        <v>0</v>
      </c>
      <c r="M321" s="19">
        <f t="shared" si="59"/>
        <v>0</v>
      </c>
      <c r="N321" s="39">
        <f t="shared" si="60"/>
        <v>6.1</v>
      </c>
      <c r="O321" s="39">
        <f t="shared" si="51"/>
        <v>0.27000918822890069</v>
      </c>
      <c r="P321" s="40">
        <v>8</v>
      </c>
      <c r="Q321" s="40">
        <v>10</v>
      </c>
      <c r="R321" s="40">
        <v>9</v>
      </c>
      <c r="S321" s="40">
        <v>9</v>
      </c>
      <c r="T321" s="40">
        <v>9</v>
      </c>
      <c r="U321" s="40">
        <v>9</v>
      </c>
      <c r="V321" s="40">
        <v>9</v>
      </c>
      <c r="W321" s="41" t="str">
        <f t="shared" si="61"/>
        <v>N</v>
      </c>
      <c r="X321" s="56">
        <f t="shared" si="62"/>
        <v>0</v>
      </c>
      <c r="Y321" s="56" t="str">
        <f t="shared" si="52"/>
        <v>0-4.9%</v>
      </c>
      <c r="Z321" s="8" t="s">
        <v>111</v>
      </c>
      <c r="AB321" s="38">
        <v>2940</v>
      </c>
      <c r="AC321" s="38">
        <v>3160</v>
      </c>
      <c r="AD321" s="38"/>
      <c r="AE321" s="38"/>
      <c r="AF321" s="38"/>
      <c r="AG321" s="38"/>
      <c r="AH321" s="38"/>
    </row>
    <row r="322" spans="1:34" ht="24" customHeight="1" x14ac:dyDescent="0.25">
      <c r="A322" s="10">
        <v>148</v>
      </c>
      <c r="B322" s="9">
        <v>0.51874999999999993</v>
      </c>
      <c r="C322" s="5" t="s">
        <v>20</v>
      </c>
      <c r="D322" s="5">
        <v>7</v>
      </c>
      <c r="E322" s="15"/>
      <c r="F322" s="15" t="s">
        <v>23</v>
      </c>
      <c r="G322" s="19">
        <f t="shared" si="53"/>
        <v>5.18</v>
      </c>
      <c r="H322" s="19">
        <f t="shared" si="54"/>
        <v>9.68</v>
      </c>
      <c r="I322" s="19">
        <f t="shared" si="55"/>
        <v>0</v>
      </c>
      <c r="J322" s="19">
        <f t="shared" si="56"/>
        <v>0</v>
      </c>
      <c r="K322" s="19">
        <f t="shared" si="57"/>
        <v>0</v>
      </c>
      <c r="L322" s="19">
        <f t="shared" si="58"/>
        <v>0</v>
      </c>
      <c r="M322" s="19">
        <f t="shared" si="59"/>
        <v>0</v>
      </c>
      <c r="N322" s="39">
        <f t="shared" si="60"/>
        <v>14.86</v>
      </c>
      <c r="O322" s="39">
        <f t="shared" si="51"/>
        <v>14.841538671254121</v>
      </c>
      <c r="P322" s="40">
        <v>8</v>
      </c>
      <c r="Q322" s="40">
        <v>10</v>
      </c>
      <c r="R322" s="40">
        <v>9</v>
      </c>
      <c r="S322" s="40">
        <v>9</v>
      </c>
      <c r="T322" s="40">
        <v>9</v>
      </c>
      <c r="U322" s="40">
        <v>9</v>
      </c>
      <c r="V322" s="40">
        <v>9</v>
      </c>
      <c r="W322" s="41" t="str">
        <f t="shared" si="61"/>
        <v>N</v>
      </c>
      <c r="X322" s="56">
        <f t="shared" si="62"/>
        <v>0</v>
      </c>
      <c r="Y322" s="56" t="str">
        <f t="shared" si="52"/>
        <v>0-4.9%</v>
      </c>
      <c r="Z322" s="8" t="s">
        <v>145</v>
      </c>
      <c r="AB322" s="38">
        <v>5180</v>
      </c>
      <c r="AC322" s="38">
        <v>9680</v>
      </c>
      <c r="AD322" s="38"/>
      <c r="AE322" s="38"/>
      <c r="AF322" s="38"/>
      <c r="AG322" s="38"/>
      <c r="AH322" s="38"/>
    </row>
    <row r="323" spans="1:34" ht="24" customHeight="1" x14ac:dyDescent="0.25">
      <c r="A323" s="10">
        <v>149</v>
      </c>
      <c r="B323" s="9">
        <v>0.51944444444444449</v>
      </c>
      <c r="C323" s="5" t="s">
        <v>20</v>
      </c>
      <c r="D323" s="5">
        <v>7</v>
      </c>
      <c r="E323" s="15"/>
      <c r="F323" s="15" t="s">
        <v>23</v>
      </c>
      <c r="G323" s="19">
        <f t="shared" si="53"/>
        <v>3.36</v>
      </c>
      <c r="H323" s="19">
        <f t="shared" si="54"/>
        <v>3.66</v>
      </c>
      <c r="I323" s="19">
        <f t="shared" si="55"/>
        <v>0</v>
      </c>
      <c r="J323" s="19">
        <f t="shared" si="56"/>
        <v>0</v>
      </c>
      <c r="K323" s="19">
        <f t="shared" si="57"/>
        <v>0</v>
      </c>
      <c r="L323" s="19">
        <f t="shared" si="58"/>
        <v>0</v>
      </c>
      <c r="M323" s="19">
        <f t="shared" si="59"/>
        <v>0</v>
      </c>
      <c r="N323" s="39">
        <f t="shared" si="60"/>
        <v>7.02</v>
      </c>
      <c r="O323" s="39">
        <f t="shared" si="51"/>
        <v>0.50805565555665033</v>
      </c>
      <c r="P323" s="40">
        <v>8</v>
      </c>
      <c r="Q323" s="40">
        <v>10</v>
      </c>
      <c r="R323" s="40">
        <v>9</v>
      </c>
      <c r="S323" s="40">
        <v>9</v>
      </c>
      <c r="T323" s="40">
        <v>9</v>
      </c>
      <c r="U323" s="40">
        <v>9</v>
      </c>
      <c r="V323" s="40">
        <v>9</v>
      </c>
      <c r="W323" s="41" t="str">
        <f t="shared" si="61"/>
        <v>N</v>
      </c>
      <c r="X323" s="56">
        <f t="shared" si="62"/>
        <v>0</v>
      </c>
      <c r="Y323" s="56" t="str">
        <f t="shared" si="52"/>
        <v>0-4.9%</v>
      </c>
      <c r="Z323" s="8" t="s">
        <v>113</v>
      </c>
      <c r="AB323" s="38">
        <v>3360</v>
      </c>
      <c r="AC323" s="38">
        <v>3660</v>
      </c>
      <c r="AD323" s="38"/>
      <c r="AE323" s="38"/>
      <c r="AF323" s="38"/>
      <c r="AG323" s="38"/>
      <c r="AH323" s="38"/>
    </row>
    <row r="324" spans="1:34" ht="24" customHeight="1" x14ac:dyDescent="0.25">
      <c r="A324" s="10">
        <v>151</v>
      </c>
      <c r="B324" s="9">
        <v>0.52152777777777781</v>
      </c>
      <c r="C324" s="5" t="s">
        <v>20</v>
      </c>
      <c r="D324" s="5">
        <v>7</v>
      </c>
      <c r="E324" s="15"/>
      <c r="F324" s="22" t="s">
        <v>23</v>
      </c>
      <c r="G324" s="19">
        <f t="shared" si="53"/>
        <v>8.24</v>
      </c>
      <c r="H324" s="19">
        <f t="shared" si="54"/>
        <v>16.38</v>
      </c>
      <c r="I324" s="19">
        <f t="shared" si="55"/>
        <v>0</v>
      </c>
      <c r="J324" s="19">
        <f t="shared" si="56"/>
        <v>0</v>
      </c>
      <c r="K324" s="19">
        <f t="shared" si="57"/>
        <v>0</v>
      </c>
      <c r="L324" s="19">
        <f t="shared" si="58"/>
        <v>0</v>
      </c>
      <c r="M324" s="19">
        <f t="shared" si="59"/>
        <v>0</v>
      </c>
      <c r="N324" s="39">
        <f t="shared" si="60"/>
        <v>24.619999999999997</v>
      </c>
      <c r="O324" s="39">
        <f t="shared" si="51"/>
        <v>143.94298490489118</v>
      </c>
      <c r="P324" s="40">
        <v>8</v>
      </c>
      <c r="Q324" s="40">
        <v>10</v>
      </c>
      <c r="R324" s="40">
        <v>9</v>
      </c>
      <c r="S324" s="40">
        <v>9</v>
      </c>
      <c r="T324" s="40">
        <v>9</v>
      </c>
      <c r="U324" s="40">
        <v>9</v>
      </c>
      <c r="V324" s="40">
        <v>9</v>
      </c>
      <c r="W324" s="41" t="str">
        <f t="shared" si="61"/>
        <v>Y</v>
      </c>
      <c r="X324" s="56">
        <f t="shared" si="62"/>
        <v>0.6379999999999999</v>
      </c>
      <c r="Y324" s="56" t="str">
        <f t="shared" si="52"/>
        <v>Over 50%</v>
      </c>
      <c r="Z324" s="8" t="s">
        <v>35</v>
      </c>
      <c r="AB324" s="38">
        <v>8240</v>
      </c>
      <c r="AC324" s="38">
        <v>16380</v>
      </c>
      <c r="AD324" s="38"/>
      <c r="AE324" s="38"/>
      <c r="AF324" s="38"/>
      <c r="AG324" s="38"/>
      <c r="AH324" s="38"/>
    </row>
    <row r="325" spans="1:34" ht="24" customHeight="1" x14ac:dyDescent="0.25">
      <c r="A325" s="10">
        <v>152</v>
      </c>
      <c r="B325" s="9">
        <v>0.52222222222222225</v>
      </c>
      <c r="C325" s="5" t="s">
        <v>20</v>
      </c>
      <c r="D325" s="5">
        <v>7</v>
      </c>
      <c r="E325" s="15"/>
      <c r="F325" s="15" t="s">
        <v>23</v>
      </c>
      <c r="G325" s="19">
        <f t="shared" si="53"/>
        <v>2.9</v>
      </c>
      <c r="H325" s="19">
        <f t="shared" si="54"/>
        <v>3.34</v>
      </c>
      <c r="I325" s="19">
        <f t="shared" si="55"/>
        <v>0</v>
      </c>
      <c r="J325" s="19">
        <f t="shared" si="56"/>
        <v>0</v>
      </c>
      <c r="K325" s="19">
        <f t="shared" si="57"/>
        <v>0</v>
      </c>
      <c r="L325" s="19">
        <f t="shared" si="58"/>
        <v>0</v>
      </c>
      <c r="M325" s="19">
        <f t="shared" si="59"/>
        <v>0</v>
      </c>
      <c r="N325" s="39">
        <f t="shared" si="60"/>
        <v>6.24</v>
      </c>
      <c r="O325" s="39">
        <f t="shared" si="51"/>
        <v>0.2990370082988385</v>
      </c>
      <c r="P325" s="40">
        <v>8</v>
      </c>
      <c r="Q325" s="40">
        <v>10</v>
      </c>
      <c r="R325" s="40">
        <v>9</v>
      </c>
      <c r="S325" s="40">
        <v>9</v>
      </c>
      <c r="T325" s="40">
        <v>9</v>
      </c>
      <c r="U325" s="40">
        <v>9</v>
      </c>
      <c r="V325" s="40">
        <v>9</v>
      </c>
      <c r="W325" s="41" t="str">
        <f t="shared" si="61"/>
        <v>N</v>
      </c>
      <c r="X325" s="56">
        <f t="shared" si="62"/>
        <v>0</v>
      </c>
      <c r="Y325" s="56" t="str">
        <f t="shared" si="52"/>
        <v>0-4.9%</v>
      </c>
      <c r="Z325" s="8" t="s">
        <v>118</v>
      </c>
      <c r="AB325" s="38">
        <v>2900</v>
      </c>
      <c r="AC325" s="38">
        <v>3340</v>
      </c>
      <c r="AD325" s="38"/>
      <c r="AE325" s="38"/>
      <c r="AF325" s="38"/>
      <c r="AG325" s="38"/>
      <c r="AH325" s="38"/>
    </row>
    <row r="326" spans="1:34" ht="24" customHeight="1" x14ac:dyDescent="0.25">
      <c r="A326" s="10">
        <v>153</v>
      </c>
      <c r="B326" s="9">
        <v>0.5229166666666667</v>
      </c>
      <c r="C326" s="5" t="s">
        <v>20</v>
      </c>
      <c r="D326" s="5">
        <v>7</v>
      </c>
      <c r="E326" s="15"/>
      <c r="F326" s="15" t="s">
        <v>23</v>
      </c>
      <c r="G326" s="19">
        <f t="shared" si="53"/>
        <v>3.08</v>
      </c>
      <c r="H326" s="19">
        <f t="shared" si="54"/>
        <v>2.92</v>
      </c>
      <c r="I326" s="19">
        <f t="shared" si="55"/>
        <v>0</v>
      </c>
      <c r="J326" s="19">
        <f t="shared" si="56"/>
        <v>0</v>
      </c>
      <c r="K326" s="19">
        <f t="shared" si="57"/>
        <v>0</v>
      </c>
      <c r="L326" s="19">
        <f t="shared" si="58"/>
        <v>0</v>
      </c>
      <c r="M326" s="19">
        <f t="shared" si="59"/>
        <v>0</v>
      </c>
      <c r="N326" s="39">
        <f t="shared" si="60"/>
        <v>6</v>
      </c>
      <c r="O326" s="39">
        <f t="shared" si="51"/>
        <v>0.25065415741734298</v>
      </c>
      <c r="P326" s="40">
        <v>8</v>
      </c>
      <c r="Q326" s="40">
        <v>10</v>
      </c>
      <c r="R326" s="40">
        <v>9</v>
      </c>
      <c r="S326" s="40">
        <v>9</v>
      </c>
      <c r="T326" s="40">
        <v>9</v>
      </c>
      <c r="U326" s="40">
        <v>9</v>
      </c>
      <c r="V326" s="40">
        <v>9</v>
      </c>
      <c r="W326" s="41" t="str">
        <f t="shared" si="61"/>
        <v>N</v>
      </c>
      <c r="X326" s="56">
        <f t="shared" si="62"/>
        <v>0</v>
      </c>
      <c r="Y326" s="56" t="str">
        <f t="shared" si="52"/>
        <v>0-4.9%</v>
      </c>
      <c r="Z326" s="8" t="s">
        <v>118</v>
      </c>
      <c r="AB326" s="38">
        <v>3080</v>
      </c>
      <c r="AC326" s="38">
        <v>2920</v>
      </c>
      <c r="AD326" s="38"/>
      <c r="AE326" s="38"/>
      <c r="AF326" s="38"/>
      <c r="AG326" s="38"/>
      <c r="AH326" s="38"/>
    </row>
    <row r="327" spans="1:34" ht="24" customHeight="1" x14ac:dyDescent="0.25">
      <c r="A327" s="10">
        <v>32</v>
      </c>
      <c r="B327" s="9">
        <v>0.45555555555555555</v>
      </c>
      <c r="C327" s="5" t="s">
        <v>20</v>
      </c>
      <c r="D327" s="5">
        <v>9</v>
      </c>
      <c r="E327" s="15"/>
      <c r="F327" s="15" t="s">
        <v>29</v>
      </c>
      <c r="G327" s="19">
        <f t="shared" si="53"/>
        <v>9.84</v>
      </c>
      <c r="H327" s="19">
        <f t="shared" si="54"/>
        <v>16.54</v>
      </c>
      <c r="I327" s="19">
        <f t="shared" si="55"/>
        <v>4.9400000000000004</v>
      </c>
      <c r="J327" s="19">
        <f t="shared" si="56"/>
        <v>0</v>
      </c>
      <c r="K327" s="19">
        <f t="shared" si="57"/>
        <v>0</v>
      </c>
      <c r="L327" s="19">
        <f t="shared" si="58"/>
        <v>0</v>
      </c>
      <c r="M327" s="19">
        <f t="shared" si="59"/>
        <v>0</v>
      </c>
      <c r="N327" s="39">
        <f t="shared" si="60"/>
        <v>31.32</v>
      </c>
      <c r="O327" s="39">
        <f t="shared" ref="O327:O390" si="63">(N327/8.16)^4.5</f>
        <v>425.1989426104883</v>
      </c>
      <c r="P327" s="40">
        <v>8</v>
      </c>
      <c r="Q327" s="40">
        <v>10</v>
      </c>
      <c r="R327" s="40">
        <v>9</v>
      </c>
      <c r="S327" s="40">
        <v>9</v>
      </c>
      <c r="T327" s="40">
        <v>9</v>
      </c>
      <c r="U327" s="40">
        <v>9</v>
      </c>
      <c r="V327" s="40">
        <v>9</v>
      </c>
      <c r="W327" s="41" t="str">
        <f t="shared" si="61"/>
        <v>Y</v>
      </c>
      <c r="X327" s="56">
        <f t="shared" si="62"/>
        <v>0.65399999999999991</v>
      </c>
      <c r="Y327" s="56" t="str">
        <f t="shared" ref="Y327:Y390" si="64">IF(X327&lt;5%,"0-4.9%",IF(X327&lt;25%,"5-25%",IF(X327&lt;50%,"25-50%","Over 50%")))</f>
        <v>Over 50%</v>
      </c>
      <c r="Z327" s="8" t="s">
        <v>107</v>
      </c>
      <c r="AB327" s="38">
        <v>9840</v>
      </c>
      <c r="AC327" s="38">
        <v>16540</v>
      </c>
      <c r="AD327" s="38">
        <v>4940</v>
      </c>
      <c r="AE327" s="38"/>
      <c r="AF327" s="38"/>
      <c r="AG327" s="38"/>
      <c r="AH327" s="38"/>
    </row>
    <row r="328" spans="1:34" ht="24" customHeight="1" x14ac:dyDescent="0.25">
      <c r="A328" s="10">
        <v>34</v>
      </c>
      <c r="B328" s="9">
        <v>0.46111111111111108</v>
      </c>
      <c r="C328" s="5" t="s">
        <v>20</v>
      </c>
      <c r="D328" s="5">
        <v>9</v>
      </c>
      <c r="E328" s="15"/>
      <c r="F328" s="15" t="s">
        <v>30</v>
      </c>
      <c r="G328" s="19">
        <f t="shared" ref="G328:G391" si="65">AB328/1000</f>
        <v>6.3</v>
      </c>
      <c r="H328" s="19">
        <f t="shared" ref="H328:H391" si="66">AC328/1000</f>
        <v>5.24</v>
      </c>
      <c r="I328" s="19">
        <f t="shared" ref="I328:I391" si="67">AD328/1000</f>
        <v>5.42</v>
      </c>
      <c r="J328" s="19">
        <f t="shared" ref="J328:J391" si="68">AE328/1000</f>
        <v>0</v>
      </c>
      <c r="K328" s="19">
        <f t="shared" ref="K328:K391" si="69">AF328/1000</f>
        <v>0</v>
      </c>
      <c r="L328" s="19">
        <f t="shared" ref="L328:L391" si="70">AG328/1000</f>
        <v>0</v>
      </c>
      <c r="M328" s="19">
        <f t="shared" ref="M328:M391" si="71">AH328/1000</f>
        <v>0</v>
      </c>
      <c r="N328" s="39">
        <f t="shared" ref="N328:N391" si="72">SUM(G328:M328)</f>
        <v>16.96</v>
      </c>
      <c r="O328" s="39">
        <f t="shared" si="63"/>
        <v>26.90361263380067</v>
      </c>
      <c r="P328" s="40">
        <v>8</v>
      </c>
      <c r="Q328" s="40">
        <v>10</v>
      </c>
      <c r="R328" s="40">
        <v>9</v>
      </c>
      <c r="S328" s="40">
        <v>9</v>
      </c>
      <c r="T328" s="40">
        <v>9</v>
      </c>
      <c r="U328" s="40">
        <v>9</v>
      </c>
      <c r="V328" s="40">
        <v>9</v>
      </c>
      <c r="W328" s="41" t="str">
        <f t="shared" ref="W328:W391" si="73">IF(G328&gt;P328,"Y",IF(H328&gt;Q328,"Y",IF(I328&gt;R328,"Y",IF(J328&gt;S328,"Y",IF(K328&gt;T328,"Y",IF(L328&gt;U328,"Y",IF(M328&gt;V328,"Y","N")))))))</f>
        <v>N</v>
      </c>
      <c r="X328" s="56">
        <f t="shared" ref="X328:X391" si="74">IF(W328="Y",MAX((G328-P328),(H328-Q328),(I328-R328),(J328-S328),(K328-T328),(L328-U328),(M328-V328))/10,0)</f>
        <v>0</v>
      </c>
      <c r="Y328" s="56" t="str">
        <f t="shared" si="64"/>
        <v>0-4.9%</v>
      </c>
      <c r="Z328" s="8" t="s">
        <v>118</v>
      </c>
      <c r="AB328" s="38">
        <v>6300</v>
      </c>
      <c r="AC328" s="38">
        <v>5240</v>
      </c>
      <c r="AD328" s="38">
        <v>5420</v>
      </c>
      <c r="AE328" s="38"/>
      <c r="AF328" s="38"/>
      <c r="AG328" s="38"/>
      <c r="AH328" s="38"/>
    </row>
    <row r="329" spans="1:34" ht="24" customHeight="1" x14ac:dyDescent="0.25">
      <c r="A329" s="10">
        <v>39</v>
      </c>
      <c r="B329" s="9">
        <v>0.47152777777777777</v>
      </c>
      <c r="C329" s="5" t="s">
        <v>20</v>
      </c>
      <c r="D329" s="5">
        <v>9</v>
      </c>
      <c r="E329" s="15"/>
      <c r="F329" s="15" t="s">
        <v>29</v>
      </c>
      <c r="G329" s="19">
        <f t="shared" si="65"/>
        <v>10.26</v>
      </c>
      <c r="H329" s="19">
        <f t="shared" si="66"/>
        <v>13.16</v>
      </c>
      <c r="I329" s="19">
        <f t="shared" si="67"/>
        <v>7.8</v>
      </c>
      <c r="J329" s="19">
        <f t="shared" si="68"/>
        <v>0</v>
      </c>
      <c r="K329" s="19">
        <f t="shared" si="69"/>
        <v>0</v>
      </c>
      <c r="L329" s="19">
        <f t="shared" si="70"/>
        <v>0</v>
      </c>
      <c r="M329" s="19">
        <f t="shared" si="71"/>
        <v>0</v>
      </c>
      <c r="N329" s="39">
        <f t="shared" si="72"/>
        <v>31.220000000000002</v>
      </c>
      <c r="O329" s="39">
        <f t="shared" si="63"/>
        <v>419.12380663308994</v>
      </c>
      <c r="P329" s="40">
        <v>8</v>
      </c>
      <c r="Q329" s="40">
        <v>10</v>
      </c>
      <c r="R329" s="40">
        <v>9</v>
      </c>
      <c r="S329" s="40">
        <v>9</v>
      </c>
      <c r="T329" s="40">
        <v>9</v>
      </c>
      <c r="U329" s="40">
        <v>9</v>
      </c>
      <c r="V329" s="40">
        <v>9</v>
      </c>
      <c r="W329" s="41" t="str">
        <f t="shared" si="73"/>
        <v>Y</v>
      </c>
      <c r="X329" s="56">
        <f t="shared" si="74"/>
        <v>0.316</v>
      </c>
      <c r="Y329" s="56" t="str">
        <f t="shared" si="64"/>
        <v>25-50%</v>
      </c>
      <c r="Z329" s="8" t="s">
        <v>145</v>
      </c>
      <c r="AB329" s="38">
        <v>10260</v>
      </c>
      <c r="AC329" s="38">
        <v>13160</v>
      </c>
      <c r="AD329" s="38">
        <v>7800</v>
      </c>
      <c r="AE329" s="38"/>
      <c r="AF329" s="38"/>
      <c r="AG329" s="38"/>
      <c r="AH329" s="38"/>
    </row>
    <row r="330" spans="1:34" ht="24" customHeight="1" x14ac:dyDescent="0.25">
      <c r="A330" s="10">
        <v>45</v>
      </c>
      <c r="B330" s="9">
        <v>0.47986111111111113</v>
      </c>
      <c r="C330" s="5" t="s">
        <v>20</v>
      </c>
      <c r="D330" s="5">
        <v>9</v>
      </c>
      <c r="E330" s="15"/>
      <c r="F330" s="15" t="s">
        <v>30</v>
      </c>
      <c r="G330" s="19">
        <f t="shared" si="65"/>
        <v>6.82</v>
      </c>
      <c r="H330" s="19">
        <f t="shared" si="66"/>
        <v>4.8</v>
      </c>
      <c r="I330" s="19">
        <f t="shared" si="67"/>
        <v>6.32</v>
      </c>
      <c r="J330" s="19">
        <f t="shared" si="68"/>
        <v>0</v>
      </c>
      <c r="K330" s="19">
        <f t="shared" si="69"/>
        <v>0</v>
      </c>
      <c r="L330" s="19">
        <f t="shared" si="70"/>
        <v>0</v>
      </c>
      <c r="M330" s="19">
        <f t="shared" si="71"/>
        <v>0</v>
      </c>
      <c r="N330" s="39">
        <f t="shared" si="72"/>
        <v>17.940000000000001</v>
      </c>
      <c r="O330" s="39">
        <f t="shared" si="63"/>
        <v>34.641386000163415</v>
      </c>
      <c r="P330" s="40">
        <v>8</v>
      </c>
      <c r="Q330" s="40">
        <v>10</v>
      </c>
      <c r="R330" s="40">
        <v>9</v>
      </c>
      <c r="S330" s="40">
        <v>9</v>
      </c>
      <c r="T330" s="40">
        <v>9</v>
      </c>
      <c r="U330" s="40">
        <v>9</v>
      </c>
      <c r="V330" s="40">
        <v>9</v>
      </c>
      <c r="W330" s="41" t="str">
        <f t="shared" si="73"/>
        <v>N</v>
      </c>
      <c r="X330" s="56">
        <f t="shared" si="74"/>
        <v>0</v>
      </c>
      <c r="Y330" s="56" t="str">
        <f t="shared" si="64"/>
        <v>0-4.9%</v>
      </c>
      <c r="Z330" s="8" t="s">
        <v>118</v>
      </c>
      <c r="AB330" s="38">
        <v>6820</v>
      </c>
      <c r="AC330" s="38">
        <v>4800</v>
      </c>
      <c r="AD330" s="38">
        <v>6320</v>
      </c>
      <c r="AE330" s="38"/>
      <c r="AF330" s="38"/>
      <c r="AG330" s="38"/>
      <c r="AH330" s="38"/>
    </row>
    <row r="331" spans="1:34" ht="24" customHeight="1" x14ac:dyDescent="0.25">
      <c r="A331" s="10">
        <v>62</v>
      </c>
      <c r="B331" s="9">
        <v>0.50972222222222219</v>
      </c>
      <c r="C331" s="5" t="s">
        <v>20</v>
      </c>
      <c r="D331" s="5">
        <v>9</v>
      </c>
      <c r="E331" s="15"/>
      <c r="F331" s="15" t="s">
        <v>30</v>
      </c>
      <c r="G331" s="19">
        <f t="shared" si="65"/>
        <v>6.28</v>
      </c>
      <c r="H331" s="19">
        <f t="shared" si="66"/>
        <v>4.62</v>
      </c>
      <c r="I331" s="19">
        <f t="shared" si="67"/>
        <v>4.74</v>
      </c>
      <c r="J331" s="19">
        <f t="shared" si="68"/>
        <v>0</v>
      </c>
      <c r="K331" s="19">
        <f t="shared" si="69"/>
        <v>0</v>
      </c>
      <c r="L331" s="19">
        <f t="shared" si="70"/>
        <v>0</v>
      </c>
      <c r="M331" s="19">
        <f t="shared" si="71"/>
        <v>0</v>
      </c>
      <c r="N331" s="39">
        <f t="shared" si="72"/>
        <v>15.64</v>
      </c>
      <c r="O331" s="39">
        <f t="shared" si="63"/>
        <v>18.683561024489276</v>
      </c>
      <c r="P331" s="40">
        <v>8</v>
      </c>
      <c r="Q331" s="40">
        <v>10</v>
      </c>
      <c r="R331" s="40">
        <v>9</v>
      </c>
      <c r="S331" s="40">
        <v>9</v>
      </c>
      <c r="T331" s="40">
        <v>9</v>
      </c>
      <c r="U331" s="40">
        <v>9</v>
      </c>
      <c r="V331" s="40">
        <v>9</v>
      </c>
      <c r="W331" s="41" t="str">
        <f t="shared" si="73"/>
        <v>N</v>
      </c>
      <c r="X331" s="56">
        <f t="shared" si="74"/>
        <v>0</v>
      </c>
      <c r="Y331" s="56" t="str">
        <f t="shared" si="64"/>
        <v>0-4.9%</v>
      </c>
      <c r="Z331" s="8" t="s">
        <v>118</v>
      </c>
      <c r="AB331" s="38">
        <v>6280</v>
      </c>
      <c r="AC331" s="38">
        <v>4620</v>
      </c>
      <c r="AD331" s="38">
        <v>4740</v>
      </c>
      <c r="AE331" s="38"/>
      <c r="AF331" s="38"/>
      <c r="AG331" s="38"/>
      <c r="AH331" s="38"/>
    </row>
    <row r="332" spans="1:34" ht="24" customHeight="1" x14ac:dyDescent="0.25">
      <c r="A332" s="10">
        <v>69</v>
      </c>
      <c r="B332" s="9">
        <v>0.51736111111111105</v>
      </c>
      <c r="C332" s="5" t="s">
        <v>20</v>
      </c>
      <c r="D332" s="5">
        <v>9</v>
      </c>
      <c r="E332" s="15"/>
      <c r="F332" s="15" t="s">
        <v>30</v>
      </c>
      <c r="G332" s="19">
        <f t="shared" si="65"/>
        <v>9.8800000000000008</v>
      </c>
      <c r="H332" s="19">
        <f t="shared" si="66"/>
        <v>10.220000000000001</v>
      </c>
      <c r="I332" s="19">
        <f t="shared" si="67"/>
        <v>12.8</v>
      </c>
      <c r="J332" s="19">
        <f t="shared" si="68"/>
        <v>0</v>
      </c>
      <c r="K332" s="19">
        <f t="shared" si="69"/>
        <v>0</v>
      </c>
      <c r="L332" s="19">
        <f t="shared" si="70"/>
        <v>0</v>
      </c>
      <c r="M332" s="19">
        <f t="shared" si="71"/>
        <v>0</v>
      </c>
      <c r="N332" s="39">
        <f t="shared" si="72"/>
        <v>32.900000000000006</v>
      </c>
      <c r="O332" s="39">
        <f t="shared" si="63"/>
        <v>530.61048363217901</v>
      </c>
      <c r="P332" s="40">
        <v>8</v>
      </c>
      <c r="Q332" s="40">
        <v>10</v>
      </c>
      <c r="R332" s="40">
        <v>9</v>
      </c>
      <c r="S332" s="40">
        <v>9</v>
      </c>
      <c r="T332" s="40">
        <v>9</v>
      </c>
      <c r="U332" s="40">
        <v>9</v>
      </c>
      <c r="V332" s="40">
        <v>9</v>
      </c>
      <c r="W332" s="41" t="str">
        <f t="shared" si="73"/>
        <v>Y</v>
      </c>
      <c r="X332" s="56">
        <f t="shared" si="74"/>
        <v>0.38000000000000006</v>
      </c>
      <c r="Y332" s="56" t="str">
        <f t="shared" si="64"/>
        <v>25-50%</v>
      </c>
      <c r="Z332" s="8" t="s">
        <v>111</v>
      </c>
      <c r="AB332" s="38">
        <v>9880</v>
      </c>
      <c r="AC332" s="38">
        <v>10220</v>
      </c>
      <c r="AD332" s="38">
        <v>12800</v>
      </c>
      <c r="AE332" s="38"/>
      <c r="AF332" s="38"/>
      <c r="AG332" s="38"/>
      <c r="AH332" s="38"/>
    </row>
    <row r="333" spans="1:34" ht="24" customHeight="1" x14ac:dyDescent="0.25">
      <c r="A333" s="10">
        <v>119</v>
      </c>
      <c r="B333" s="9">
        <v>0.10347222222222223</v>
      </c>
      <c r="C333" s="5" t="s">
        <v>20</v>
      </c>
      <c r="D333" s="5">
        <v>9</v>
      </c>
      <c r="E333" s="15"/>
      <c r="F333" s="15" t="s">
        <v>30</v>
      </c>
      <c r="G333" s="19">
        <f t="shared" si="65"/>
        <v>0.9</v>
      </c>
      <c r="H333" s="19">
        <f t="shared" si="66"/>
        <v>5.24</v>
      </c>
      <c r="I333" s="19">
        <f t="shared" si="67"/>
        <v>6.2</v>
      </c>
      <c r="J333" s="19">
        <f t="shared" si="68"/>
        <v>0</v>
      </c>
      <c r="K333" s="19">
        <f t="shared" si="69"/>
        <v>0</v>
      </c>
      <c r="L333" s="19">
        <f t="shared" si="70"/>
        <v>0</v>
      </c>
      <c r="M333" s="19">
        <f t="shared" si="71"/>
        <v>0</v>
      </c>
      <c r="N333" s="39">
        <f t="shared" si="72"/>
        <v>12.34</v>
      </c>
      <c r="O333" s="39">
        <f t="shared" si="63"/>
        <v>6.4315034101036588</v>
      </c>
      <c r="P333" s="40">
        <v>8</v>
      </c>
      <c r="Q333" s="40">
        <v>10</v>
      </c>
      <c r="R333" s="40">
        <v>9</v>
      </c>
      <c r="S333" s="40">
        <v>9</v>
      </c>
      <c r="T333" s="40">
        <v>9</v>
      </c>
      <c r="U333" s="40">
        <v>9</v>
      </c>
      <c r="V333" s="40">
        <v>9</v>
      </c>
      <c r="W333" s="41" t="str">
        <f t="shared" si="73"/>
        <v>N</v>
      </c>
      <c r="X333" s="56">
        <f t="shared" si="74"/>
        <v>0</v>
      </c>
      <c r="Y333" s="56" t="str">
        <f t="shared" si="64"/>
        <v>0-4.9%</v>
      </c>
      <c r="Z333" s="8" t="s">
        <v>118</v>
      </c>
      <c r="AB333" s="38">
        <v>900</v>
      </c>
      <c r="AC333" s="38">
        <v>5240</v>
      </c>
      <c r="AD333" s="38">
        <v>6200</v>
      </c>
      <c r="AE333" s="38"/>
      <c r="AF333" s="38"/>
      <c r="AG333" s="38"/>
      <c r="AH333" s="38"/>
    </row>
    <row r="334" spans="1:34" ht="24" customHeight="1" x14ac:dyDescent="0.25">
      <c r="A334" s="10">
        <v>123</v>
      </c>
      <c r="B334" s="9">
        <v>0.11319444444444444</v>
      </c>
      <c r="C334" s="5" t="s">
        <v>20</v>
      </c>
      <c r="D334" s="5">
        <v>9</v>
      </c>
      <c r="E334" s="15"/>
      <c r="F334" s="15" t="s">
        <v>30</v>
      </c>
      <c r="G334" s="19">
        <f t="shared" si="65"/>
        <v>10.26</v>
      </c>
      <c r="H334" s="19">
        <f t="shared" si="66"/>
        <v>13.26</v>
      </c>
      <c r="I334" s="19">
        <f t="shared" si="67"/>
        <v>12.44</v>
      </c>
      <c r="J334" s="19">
        <f t="shared" si="68"/>
        <v>0</v>
      </c>
      <c r="K334" s="19">
        <f t="shared" si="69"/>
        <v>0</v>
      </c>
      <c r="L334" s="19">
        <f t="shared" si="70"/>
        <v>0</v>
      </c>
      <c r="M334" s="19">
        <f t="shared" si="71"/>
        <v>0</v>
      </c>
      <c r="N334" s="39">
        <f t="shared" si="72"/>
        <v>35.96</v>
      </c>
      <c r="O334" s="39">
        <f t="shared" si="63"/>
        <v>791.74049700209707</v>
      </c>
      <c r="P334" s="40">
        <v>8</v>
      </c>
      <c r="Q334" s="40">
        <v>10</v>
      </c>
      <c r="R334" s="40">
        <v>9</v>
      </c>
      <c r="S334" s="40">
        <v>9</v>
      </c>
      <c r="T334" s="40">
        <v>9</v>
      </c>
      <c r="U334" s="40">
        <v>9</v>
      </c>
      <c r="V334" s="40">
        <v>9</v>
      </c>
      <c r="W334" s="41" t="str">
        <f t="shared" si="73"/>
        <v>Y</v>
      </c>
      <c r="X334" s="56">
        <f t="shared" si="74"/>
        <v>0.34399999999999997</v>
      </c>
      <c r="Y334" s="56" t="str">
        <f t="shared" si="64"/>
        <v>25-50%</v>
      </c>
      <c r="Z334" s="8" t="s">
        <v>111</v>
      </c>
      <c r="AB334" s="38">
        <v>10260</v>
      </c>
      <c r="AC334" s="38">
        <v>13260</v>
      </c>
      <c r="AD334" s="38">
        <v>12440</v>
      </c>
      <c r="AE334" s="38"/>
      <c r="AF334" s="38"/>
      <c r="AG334" s="38"/>
      <c r="AH334" s="38"/>
    </row>
    <row r="335" spans="1:34" ht="24" customHeight="1" x14ac:dyDescent="0.25">
      <c r="A335" s="10">
        <v>127</v>
      </c>
      <c r="B335" s="9">
        <v>0.11875000000000001</v>
      </c>
      <c r="C335" s="5" t="s">
        <v>20</v>
      </c>
      <c r="D335" s="5">
        <v>9</v>
      </c>
      <c r="E335" s="15"/>
      <c r="F335" s="15" t="s">
        <v>30</v>
      </c>
      <c r="G335" s="19">
        <f t="shared" si="65"/>
        <v>8.16</v>
      </c>
      <c r="H335" s="19">
        <f t="shared" si="66"/>
        <v>17.22</v>
      </c>
      <c r="I335" s="19">
        <f t="shared" si="67"/>
        <v>9.66</v>
      </c>
      <c r="J335" s="19">
        <f t="shared" si="68"/>
        <v>0</v>
      </c>
      <c r="K335" s="19">
        <f t="shared" si="69"/>
        <v>0</v>
      </c>
      <c r="L335" s="19">
        <f t="shared" si="70"/>
        <v>0</v>
      </c>
      <c r="M335" s="19">
        <f t="shared" si="71"/>
        <v>0</v>
      </c>
      <c r="N335" s="39">
        <f t="shared" si="72"/>
        <v>35.04</v>
      </c>
      <c r="O335" s="39">
        <f t="shared" si="63"/>
        <v>704.58391487559493</v>
      </c>
      <c r="P335" s="40">
        <v>8</v>
      </c>
      <c r="Q335" s="40">
        <v>10</v>
      </c>
      <c r="R335" s="40">
        <v>9</v>
      </c>
      <c r="S335" s="40">
        <v>9</v>
      </c>
      <c r="T335" s="40">
        <v>9</v>
      </c>
      <c r="U335" s="40">
        <v>9</v>
      </c>
      <c r="V335" s="40">
        <v>9</v>
      </c>
      <c r="W335" s="41" t="str">
        <f t="shared" si="73"/>
        <v>Y</v>
      </c>
      <c r="X335" s="56">
        <f t="shared" si="74"/>
        <v>0.72199999999999986</v>
      </c>
      <c r="Y335" s="56" t="str">
        <f t="shared" si="64"/>
        <v>Over 50%</v>
      </c>
      <c r="Z335" s="8" t="s">
        <v>145</v>
      </c>
      <c r="AB335" s="38">
        <v>8160</v>
      </c>
      <c r="AC335" s="38">
        <v>17220</v>
      </c>
      <c r="AD335" s="38">
        <v>9660</v>
      </c>
      <c r="AE335" s="38"/>
      <c r="AF335" s="38"/>
      <c r="AG335" s="38"/>
      <c r="AH335" s="38"/>
    </row>
    <row r="336" spans="1:34" ht="24" customHeight="1" x14ac:dyDescent="0.25">
      <c r="A336" s="10">
        <v>130</v>
      </c>
      <c r="B336" s="9">
        <v>0.12013888888888889</v>
      </c>
      <c r="C336" s="5" t="s">
        <v>20</v>
      </c>
      <c r="D336" s="5">
        <v>9</v>
      </c>
      <c r="E336" s="15"/>
      <c r="F336" s="15" t="s">
        <v>30</v>
      </c>
      <c r="G336" s="19">
        <f t="shared" si="65"/>
        <v>6.62</v>
      </c>
      <c r="H336" s="19">
        <f t="shared" si="66"/>
        <v>5.6</v>
      </c>
      <c r="I336" s="19">
        <f t="shared" si="67"/>
        <v>4.62</v>
      </c>
      <c r="J336" s="19">
        <f t="shared" si="68"/>
        <v>0</v>
      </c>
      <c r="K336" s="19">
        <f t="shared" si="69"/>
        <v>0</v>
      </c>
      <c r="L336" s="19">
        <f t="shared" si="70"/>
        <v>0</v>
      </c>
      <c r="M336" s="19">
        <f t="shared" si="71"/>
        <v>0</v>
      </c>
      <c r="N336" s="39">
        <f t="shared" si="72"/>
        <v>16.84</v>
      </c>
      <c r="O336" s="39">
        <f t="shared" si="63"/>
        <v>26.057555884027202</v>
      </c>
      <c r="P336" s="40">
        <v>8</v>
      </c>
      <c r="Q336" s="40">
        <v>10</v>
      </c>
      <c r="R336" s="40">
        <v>9</v>
      </c>
      <c r="S336" s="40">
        <v>9</v>
      </c>
      <c r="T336" s="40">
        <v>9</v>
      </c>
      <c r="U336" s="40">
        <v>9</v>
      </c>
      <c r="V336" s="40">
        <v>9</v>
      </c>
      <c r="W336" s="41" t="str">
        <f t="shared" si="73"/>
        <v>N</v>
      </c>
      <c r="X336" s="56">
        <f t="shared" si="74"/>
        <v>0</v>
      </c>
      <c r="Y336" s="56" t="str">
        <f t="shared" si="64"/>
        <v>0-4.9%</v>
      </c>
      <c r="Z336" s="8" t="s">
        <v>118</v>
      </c>
      <c r="AB336" s="38">
        <v>6620</v>
      </c>
      <c r="AC336" s="38">
        <v>5600</v>
      </c>
      <c r="AD336" s="38">
        <v>4620</v>
      </c>
      <c r="AE336" s="38"/>
      <c r="AF336" s="38"/>
      <c r="AG336" s="38"/>
      <c r="AH336" s="38"/>
    </row>
    <row r="337" spans="1:34" ht="24" customHeight="1" x14ac:dyDescent="0.25">
      <c r="A337" s="10">
        <v>134</v>
      </c>
      <c r="B337" s="9">
        <v>0.13194444444444445</v>
      </c>
      <c r="C337" s="5" t="s">
        <v>20</v>
      </c>
      <c r="D337" s="5">
        <v>9</v>
      </c>
      <c r="E337" s="15"/>
      <c r="F337" s="15" t="s">
        <v>30</v>
      </c>
      <c r="G337" s="19">
        <f t="shared" si="65"/>
        <v>5.54</v>
      </c>
      <c r="H337" s="19">
        <f t="shared" si="66"/>
        <v>5.4</v>
      </c>
      <c r="I337" s="19">
        <f t="shared" si="67"/>
        <v>6.92</v>
      </c>
      <c r="J337" s="19">
        <f t="shared" si="68"/>
        <v>0</v>
      </c>
      <c r="K337" s="19">
        <f t="shared" si="69"/>
        <v>0</v>
      </c>
      <c r="L337" s="19">
        <f t="shared" si="70"/>
        <v>0</v>
      </c>
      <c r="M337" s="19">
        <f t="shared" si="71"/>
        <v>0</v>
      </c>
      <c r="N337" s="39">
        <f t="shared" si="72"/>
        <v>17.86</v>
      </c>
      <c r="O337" s="39">
        <f t="shared" si="63"/>
        <v>33.95164577024071</v>
      </c>
      <c r="P337" s="40">
        <v>8</v>
      </c>
      <c r="Q337" s="40">
        <v>10</v>
      </c>
      <c r="R337" s="40">
        <v>9</v>
      </c>
      <c r="S337" s="40">
        <v>9</v>
      </c>
      <c r="T337" s="40">
        <v>9</v>
      </c>
      <c r="U337" s="40">
        <v>9</v>
      </c>
      <c r="V337" s="40">
        <v>9</v>
      </c>
      <c r="W337" s="41" t="str">
        <f t="shared" si="73"/>
        <v>N</v>
      </c>
      <c r="X337" s="56">
        <f t="shared" si="74"/>
        <v>0</v>
      </c>
      <c r="Y337" s="56" t="str">
        <f t="shared" si="64"/>
        <v>0-4.9%</v>
      </c>
      <c r="Z337" s="8" t="s">
        <v>118</v>
      </c>
      <c r="AB337" s="38">
        <v>5540</v>
      </c>
      <c r="AC337" s="38">
        <v>5400</v>
      </c>
      <c r="AD337" s="38">
        <v>6920</v>
      </c>
      <c r="AE337" s="38"/>
      <c r="AF337" s="38"/>
      <c r="AG337" s="38"/>
      <c r="AH337" s="38"/>
    </row>
    <row r="338" spans="1:34" ht="24" customHeight="1" x14ac:dyDescent="0.25">
      <c r="A338" s="10">
        <v>148</v>
      </c>
      <c r="B338" s="9">
        <v>0.15555555555555556</v>
      </c>
      <c r="C338" s="5" t="s">
        <v>20</v>
      </c>
      <c r="D338" s="5">
        <v>9</v>
      </c>
      <c r="E338" s="15"/>
      <c r="F338" s="15" t="s">
        <v>30</v>
      </c>
      <c r="G338" s="19">
        <f t="shared" si="65"/>
        <v>5.76</v>
      </c>
      <c r="H338" s="19">
        <f t="shared" si="66"/>
        <v>4.88</v>
      </c>
      <c r="I338" s="19">
        <f t="shared" si="67"/>
        <v>4.92</v>
      </c>
      <c r="J338" s="19">
        <f t="shared" si="68"/>
        <v>0</v>
      </c>
      <c r="K338" s="19">
        <f t="shared" si="69"/>
        <v>0</v>
      </c>
      <c r="L338" s="19">
        <f t="shared" si="70"/>
        <v>0</v>
      </c>
      <c r="M338" s="19">
        <f t="shared" si="71"/>
        <v>0</v>
      </c>
      <c r="N338" s="39">
        <f t="shared" si="72"/>
        <v>15.56</v>
      </c>
      <c r="O338" s="39">
        <f t="shared" si="63"/>
        <v>18.257337864478263</v>
      </c>
      <c r="P338" s="40">
        <v>8</v>
      </c>
      <c r="Q338" s="40">
        <v>10</v>
      </c>
      <c r="R338" s="40">
        <v>9</v>
      </c>
      <c r="S338" s="40">
        <v>9</v>
      </c>
      <c r="T338" s="40">
        <v>9</v>
      </c>
      <c r="U338" s="40">
        <v>9</v>
      </c>
      <c r="V338" s="40">
        <v>9</v>
      </c>
      <c r="W338" s="41" t="str">
        <f t="shared" si="73"/>
        <v>N</v>
      </c>
      <c r="X338" s="56">
        <f t="shared" si="74"/>
        <v>0</v>
      </c>
      <c r="Y338" s="56" t="str">
        <f t="shared" si="64"/>
        <v>0-4.9%</v>
      </c>
      <c r="Z338" s="8" t="s">
        <v>118</v>
      </c>
      <c r="AB338" s="38">
        <v>5760</v>
      </c>
      <c r="AC338" s="38">
        <v>4880</v>
      </c>
      <c r="AD338" s="38">
        <v>4920</v>
      </c>
      <c r="AE338" s="38"/>
      <c r="AF338" s="38"/>
      <c r="AG338" s="38"/>
      <c r="AH338" s="38"/>
    </row>
    <row r="339" spans="1:34" ht="24" customHeight="1" x14ac:dyDescent="0.25">
      <c r="A339" s="10">
        <v>151</v>
      </c>
      <c r="B339" s="9">
        <v>0.15902777777777777</v>
      </c>
      <c r="C339" s="5" t="s">
        <v>20</v>
      </c>
      <c r="D339" s="5">
        <v>9</v>
      </c>
      <c r="E339" s="15"/>
      <c r="F339" s="15" t="s">
        <v>30</v>
      </c>
      <c r="G339" s="19">
        <f t="shared" si="65"/>
        <v>6.98</v>
      </c>
      <c r="H339" s="19">
        <f t="shared" si="66"/>
        <v>19.579999999999998</v>
      </c>
      <c r="I339" s="19">
        <f t="shared" si="67"/>
        <v>4.3600000000000003</v>
      </c>
      <c r="J339" s="19">
        <f t="shared" si="68"/>
        <v>0</v>
      </c>
      <c r="K339" s="19">
        <f t="shared" si="69"/>
        <v>0</v>
      </c>
      <c r="L339" s="19">
        <f t="shared" si="70"/>
        <v>0</v>
      </c>
      <c r="M339" s="19">
        <f t="shared" si="71"/>
        <v>0</v>
      </c>
      <c r="N339" s="39">
        <f t="shared" si="72"/>
        <v>30.919999999999998</v>
      </c>
      <c r="O339" s="39">
        <f t="shared" si="63"/>
        <v>401.30259604681186</v>
      </c>
      <c r="P339" s="40">
        <v>8</v>
      </c>
      <c r="Q339" s="40">
        <v>10</v>
      </c>
      <c r="R339" s="40">
        <v>9</v>
      </c>
      <c r="S339" s="40">
        <v>9</v>
      </c>
      <c r="T339" s="40">
        <v>9</v>
      </c>
      <c r="U339" s="40">
        <v>9</v>
      </c>
      <c r="V339" s="40">
        <v>9</v>
      </c>
      <c r="W339" s="41" t="str">
        <f t="shared" si="73"/>
        <v>Y</v>
      </c>
      <c r="X339" s="56">
        <f t="shared" si="74"/>
        <v>0.95799999999999985</v>
      </c>
      <c r="Y339" s="56" t="str">
        <f t="shared" si="64"/>
        <v>Over 50%</v>
      </c>
      <c r="Z339" s="8" t="s">
        <v>145</v>
      </c>
      <c r="AB339" s="38">
        <v>6980</v>
      </c>
      <c r="AC339" s="38">
        <v>19580</v>
      </c>
      <c r="AD339" s="38">
        <v>4360</v>
      </c>
      <c r="AE339" s="38"/>
      <c r="AF339" s="38"/>
      <c r="AG339" s="38"/>
      <c r="AH339" s="38"/>
    </row>
    <row r="340" spans="1:34" ht="24" customHeight="1" x14ac:dyDescent="0.25">
      <c r="A340" s="10">
        <v>1</v>
      </c>
      <c r="B340" s="9">
        <v>0.16458333333333333</v>
      </c>
      <c r="C340" s="5" t="s">
        <v>20</v>
      </c>
      <c r="D340" s="5">
        <v>9</v>
      </c>
      <c r="E340" s="15"/>
      <c r="F340" s="15" t="s">
        <v>30</v>
      </c>
      <c r="G340" s="19">
        <f t="shared" si="65"/>
        <v>8.76</v>
      </c>
      <c r="H340" s="19">
        <f t="shared" si="66"/>
        <v>15.08</v>
      </c>
      <c r="I340" s="19">
        <f t="shared" si="67"/>
        <v>14.54</v>
      </c>
      <c r="J340" s="19">
        <f t="shared" si="68"/>
        <v>0</v>
      </c>
      <c r="K340" s="19">
        <f t="shared" si="69"/>
        <v>0</v>
      </c>
      <c r="L340" s="19">
        <f t="shared" si="70"/>
        <v>0</v>
      </c>
      <c r="M340" s="19">
        <f t="shared" si="71"/>
        <v>0</v>
      </c>
      <c r="N340" s="39">
        <f t="shared" si="72"/>
        <v>38.379999999999995</v>
      </c>
      <c r="O340" s="39">
        <f t="shared" si="63"/>
        <v>1061.3696197937973</v>
      </c>
      <c r="P340" s="40">
        <v>8</v>
      </c>
      <c r="Q340" s="40">
        <v>10</v>
      </c>
      <c r="R340" s="40">
        <v>9</v>
      </c>
      <c r="S340" s="40">
        <v>9</v>
      </c>
      <c r="T340" s="40">
        <v>9</v>
      </c>
      <c r="U340" s="40">
        <v>9</v>
      </c>
      <c r="V340" s="40">
        <v>9</v>
      </c>
      <c r="W340" s="41" t="str">
        <f t="shared" si="73"/>
        <v>Y</v>
      </c>
      <c r="X340" s="56">
        <f t="shared" si="74"/>
        <v>0.55399999999999994</v>
      </c>
      <c r="Y340" s="56" t="str">
        <f t="shared" si="64"/>
        <v>Over 50%</v>
      </c>
      <c r="Z340" s="8" t="s">
        <v>145</v>
      </c>
      <c r="AB340" s="38">
        <v>8760</v>
      </c>
      <c r="AC340" s="38">
        <v>15080</v>
      </c>
      <c r="AD340" s="38">
        <v>14540</v>
      </c>
      <c r="AE340" s="38"/>
      <c r="AF340" s="38"/>
      <c r="AG340" s="38"/>
      <c r="AH340" s="38"/>
    </row>
    <row r="341" spans="1:34" ht="24" customHeight="1" x14ac:dyDescent="0.25">
      <c r="A341" s="10">
        <v>2</v>
      </c>
      <c r="B341" s="9">
        <v>0.15138888888888888</v>
      </c>
      <c r="C341" s="5" t="s">
        <v>20</v>
      </c>
      <c r="D341" s="5">
        <v>9</v>
      </c>
      <c r="E341" s="15"/>
      <c r="F341" s="15" t="s">
        <v>30</v>
      </c>
      <c r="G341" s="19">
        <f t="shared" si="65"/>
        <v>6.96</v>
      </c>
      <c r="H341" s="19">
        <f t="shared" si="66"/>
        <v>5.52</v>
      </c>
      <c r="I341" s="19">
        <f t="shared" si="67"/>
        <v>6.14</v>
      </c>
      <c r="J341" s="19">
        <f t="shared" si="68"/>
        <v>0</v>
      </c>
      <c r="K341" s="19">
        <f t="shared" si="69"/>
        <v>0</v>
      </c>
      <c r="L341" s="19">
        <f t="shared" si="70"/>
        <v>0</v>
      </c>
      <c r="M341" s="19">
        <f t="shared" si="71"/>
        <v>0</v>
      </c>
      <c r="N341" s="39">
        <f t="shared" si="72"/>
        <v>18.62</v>
      </c>
      <c r="O341" s="39">
        <f t="shared" si="63"/>
        <v>40.954613385007477</v>
      </c>
      <c r="P341" s="40">
        <v>8</v>
      </c>
      <c r="Q341" s="40">
        <v>10</v>
      </c>
      <c r="R341" s="40">
        <v>9</v>
      </c>
      <c r="S341" s="40">
        <v>9</v>
      </c>
      <c r="T341" s="40">
        <v>9</v>
      </c>
      <c r="U341" s="40">
        <v>9</v>
      </c>
      <c r="V341" s="40">
        <v>9</v>
      </c>
      <c r="W341" s="41" t="str">
        <f t="shared" si="73"/>
        <v>N</v>
      </c>
      <c r="X341" s="56">
        <f t="shared" si="74"/>
        <v>0</v>
      </c>
      <c r="Y341" s="56" t="str">
        <f t="shared" si="64"/>
        <v>0-4.9%</v>
      </c>
      <c r="Z341" s="8" t="s">
        <v>118</v>
      </c>
      <c r="AB341" s="38">
        <v>6960</v>
      </c>
      <c r="AC341" s="38">
        <v>5520</v>
      </c>
      <c r="AD341" s="38">
        <v>6140</v>
      </c>
      <c r="AE341" s="38"/>
      <c r="AF341" s="38"/>
      <c r="AG341" s="38"/>
      <c r="AH341" s="38"/>
    </row>
    <row r="342" spans="1:34" ht="24" customHeight="1" x14ac:dyDescent="0.25">
      <c r="A342" s="10">
        <v>3</v>
      </c>
      <c r="B342" s="9">
        <v>0.16527777777777777</v>
      </c>
      <c r="C342" s="5" t="s">
        <v>20</v>
      </c>
      <c r="D342" s="5">
        <v>9</v>
      </c>
      <c r="E342" s="15"/>
      <c r="F342" s="15" t="s">
        <v>30</v>
      </c>
      <c r="G342" s="19">
        <f t="shared" si="65"/>
        <v>7.1</v>
      </c>
      <c r="H342" s="19">
        <f t="shared" si="66"/>
        <v>5.68</v>
      </c>
      <c r="I342" s="19">
        <f t="shared" si="67"/>
        <v>5.64</v>
      </c>
      <c r="J342" s="19">
        <f t="shared" si="68"/>
        <v>0</v>
      </c>
      <c r="K342" s="19">
        <f t="shared" si="69"/>
        <v>0</v>
      </c>
      <c r="L342" s="19">
        <f t="shared" si="70"/>
        <v>0</v>
      </c>
      <c r="M342" s="19">
        <f t="shared" si="71"/>
        <v>0</v>
      </c>
      <c r="N342" s="39">
        <f t="shared" si="72"/>
        <v>18.419999999999998</v>
      </c>
      <c r="O342" s="39">
        <f t="shared" si="63"/>
        <v>39.011944884680545</v>
      </c>
      <c r="P342" s="40">
        <v>8</v>
      </c>
      <c r="Q342" s="40">
        <v>10</v>
      </c>
      <c r="R342" s="40">
        <v>9</v>
      </c>
      <c r="S342" s="40">
        <v>9</v>
      </c>
      <c r="T342" s="40">
        <v>9</v>
      </c>
      <c r="U342" s="40">
        <v>9</v>
      </c>
      <c r="V342" s="40">
        <v>9</v>
      </c>
      <c r="W342" s="41" t="str">
        <f t="shared" si="73"/>
        <v>N</v>
      </c>
      <c r="X342" s="56">
        <f t="shared" si="74"/>
        <v>0</v>
      </c>
      <c r="Y342" s="56" t="str">
        <f t="shared" si="64"/>
        <v>0-4.9%</v>
      </c>
      <c r="Z342" s="8" t="s">
        <v>118</v>
      </c>
      <c r="AB342" s="38">
        <v>7100</v>
      </c>
      <c r="AC342" s="38">
        <v>5680</v>
      </c>
      <c r="AD342" s="38">
        <v>5640</v>
      </c>
      <c r="AE342" s="38"/>
      <c r="AF342" s="38"/>
      <c r="AG342" s="38"/>
      <c r="AH342" s="38"/>
    </row>
    <row r="343" spans="1:34" ht="24" customHeight="1" x14ac:dyDescent="0.25">
      <c r="A343" s="10">
        <v>14</v>
      </c>
      <c r="B343" s="9">
        <v>0.18263888888888891</v>
      </c>
      <c r="C343" s="5" t="s">
        <v>20</v>
      </c>
      <c r="D343" s="5">
        <v>9</v>
      </c>
      <c r="E343" s="15"/>
      <c r="F343" s="15" t="s">
        <v>30</v>
      </c>
      <c r="G343" s="19">
        <f t="shared" si="65"/>
        <v>6.02</v>
      </c>
      <c r="H343" s="19">
        <f t="shared" si="66"/>
        <v>4.78</v>
      </c>
      <c r="I343" s="19">
        <f t="shared" si="67"/>
        <v>4.72</v>
      </c>
      <c r="J343" s="19">
        <f t="shared" si="68"/>
        <v>0</v>
      </c>
      <c r="K343" s="19">
        <f t="shared" si="69"/>
        <v>0</v>
      </c>
      <c r="L343" s="19">
        <f t="shared" si="70"/>
        <v>0</v>
      </c>
      <c r="M343" s="19">
        <f t="shared" si="71"/>
        <v>0</v>
      </c>
      <c r="N343" s="39">
        <f t="shared" si="72"/>
        <v>15.52</v>
      </c>
      <c r="O343" s="39">
        <f t="shared" si="63"/>
        <v>18.047082836400076</v>
      </c>
      <c r="P343" s="40">
        <v>8</v>
      </c>
      <c r="Q343" s="40">
        <v>10</v>
      </c>
      <c r="R343" s="40">
        <v>9</v>
      </c>
      <c r="S343" s="40">
        <v>9</v>
      </c>
      <c r="T343" s="40">
        <v>9</v>
      </c>
      <c r="U343" s="40">
        <v>9</v>
      </c>
      <c r="V343" s="40">
        <v>9</v>
      </c>
      <c r="W343" s="41" t="str">
        <f t="shared" si="73"/>
        <v>N</v>
      </c>
      <c r="X343" s="56">
        <f t="shared" si="74"/>
        <v>0</v>
      </c>
      <c r="Y343" s="56" t="str">
        <f t="shared" si="64"/>
        <v>0-4.9%</v>
      </c>
      <c r="Z343" s="8" t="s">
        <v>118</v>
      </c>
      <c r="AB343" s="38">
        <v>6020</v>
      </c>
      <c r="AC343" s="38">
        <v>4780</v>
      </c>
      <c r="AD343" s="38">
        <v>4720</v>
      </c>
      <c r="AE343" s="38"/>
      <c r="AF343" s="38"/>
      <c r="AG343" s="38"/>
      <c r="AH343" s="38"/>
    </row>
    <row r="344" spans="1:34" ht="24" customHeight="1" x14ac:dyDescent="0.25">
      <c r="A344" s="10">
        <v>30</v>
      </c>
      <c r="B344" s="9">
        <v>0.22638888888888889</v>
      </c>
      <c r="C344" s="5" t="s">
        <v>20</v>
      </c>
      <c r="D344" s="5">
        <v>9</v>
      </c>
      <c r="E344" s="15"/>
      <c r="F344" s="15" t="s">
        <v>30</v>
      </c>
      <c r="G344" s="19">
        <f t="shared" si="65"/>
        <v>4.34</v>
      </c>
      <c r="H344" s="19">
        <f t="shared" si="66"/>
        <v>5</v>
      </c>
      <c r="I344" s="19">
        <f t="shared" si="67"/>
        <v>4.54</v>
      </c>
      <c r="J344" s="19">
        <f t="shared" si="68"/>
        <v>0</v>
      </c>
      <c r="K344" s="19">
        <f t="shared" si="69"/>
        <v>0</v>
      </c>
      <c r="L344" s="19">
        <f t="shared" si="70"/>
        <v>0</v>
      </c>
      <c r="M344" s="19">
        <f t="shared" si="71"/>
        <v>0</v>
      </c>
      <c r="N344" s="39">
        <f t="shared" si="72"/>
        <v>13.879999999999999</v>
      </c>
      <c r="O344" s="39">
        <f t="shared" si="63"/>
        <v>10.918095359345642</v>
      </c>
      <c r="P344" s="40">
        <v>8</v>
      </c>
      <c r="Q344" s="40">
        <v>10</v>
      </c>
      <c r="R344" s="40">
        <v>9</v>
      </c>
      <c r="S344" s="40">
        <v>9</v>
      </c>
      <c r="T344" s="40">
        <v>9</v>
      </c>
      <c r="U344" s="40">
        <v>9</v>
      </c>
      <c r="V344" s="40">
        <v>9</v>
      </c>
      <c r="W344" s="41" t="str">
        <f t="shared" si="73"/>
        <v>N</v>
      </c>
      <c r="X344" s="56">
        <f t="shared" si="74"/>
        <v>0</v>
      </c>
      <c r="Y344" s="56" t="str">
        <f t="shared" si="64"/>
        <v>0-4.9%</v>
      </c>
      <c r="Z344" s="8" t="s">
        <v>118</v>
      </c>
      <c r="AB344" s="38">
        <v>4340</v>
      </c>
      <c r="AC344" s="38">
        <v>5000</v>
      </c>
      <c r="AD344" s="38">
        <v>4540</v>
      </c>
      <c r="AE344" s="38"/>
      <c r="AF344" s="38"/>
      <c r="AG344" s="38"/>
      <c r="AH344" s="38"/>
    </row>
    <row r="345" spans="1:34" ht="24" customHeight="1" x14ac:dyDescent="0.25">
      <c r="A345" s="10">
        <v>52</v>
      </c>
      <c r="B345" s="9"/>
      <c r="C345" s="5" t="s">
        <v>20</v>
      </c>
      <c r="D345" s="5">
        <v>9</v>
      </c>
      <c r="E345" s="15"/>
      <c r="F345" s="15" t="s">
        <v>30</v>
      </c>
      <c r="G345" s="19">
        <f t="shared" si="65"/>
        <v>4.04</v>
      </c>
      <c r="H345" s="19">
        <f t="shared" si="66"/>
        <v>5.44</v>
      </c>
      <c r="I345" s="19">
        <f t="shared" si="67"/>
        <v>5.66</v>
      </c>
      <c r="J345" s="19">
        <f t="shared" si="68"/>
        <v>0</v>
      </c>
      <c r="K345" s="19">
        <f t="shared" si="69"/>
        <v>0</v>
      </c>
      <c r="L345" s="19">
        <f t="shared" si="70"/>
        <v>0</v>
      </c>
      <c r="M345" s="19">
        <f t="shared" si="71"/>
        <v>0</v>
      </c>
      <c r="N345" s="39">
        <f t="shared" si="72"/>
        <v>15.14</v>
      </c>
      <c r="O345" s="39">
        <f t="shared" si="63"/>
        <v>16.142125661885064</v>
      </c>
      <c r="P345" s="40">
        <v>8</v>
      </c>
      <c r="Q345" s="40">
        <v>10</v>
      </c>
      <c r="R345" s="40">
        <v>9</v>
      </c>
      <c r="S345" s="40">
        <v>9</v>
      </c>
      <c r="T345" s="40">
        <v>9</v>
      </c>
      <c r="U345" s="40">
        <v>9</v>
      </c>
      <c r="V345" s="40">
        <v>9</v>
      </c>
      <c r="W345" s="41" t="str">
        <f t="shared" si="73"/>
        <v>N</v>
      </c>
      <c r="X345" s="56">
        <f t="shared" si="74"/>
        <v>0</v>
      </c>
      <c r="Y345" s="56" t="str">
        <f t="shared" si="64"/>
        <v>0-4.9%</v>
      </c>
      <c r="Z345" s="8" t="s">
        <v>118</v>
      </c>
      <c r="AB345" s="38">
        <v>4040</v>
      </c>
      <c r="AC345" s="38">
        <v>5440</v>
      </c>
      <c r="AD345" s="38">
        <v>5660</v>
      </c>
      <c r="AE345" s="38"/>
      <c r="AF345" s="38"/>
      <c r="AG345" s="38"/>
      <c r="AH345" s="38"/>
    </row>
    <row r="346" spans="1:34" ht="24" customHeight="1" x14ac:dyDescent="0.25">
      <c r="A346" s="10">
        <v>79</v>
      </c>
      <c r="B346" s="9">
        <v>0.46458333333333335</v>
      </c>
      <c r="C346" s="5" t="s">
        <v>20</v>
      </c>
      <c r="D346" s="5">
        <v>9</v>
      </c>
      <c r="E346" s="15"/>
      <c r="F346" s="15" t="s">
        <v>30</v>
      </c>
      <c r="G346" s="19">
        <f t="shared" si="65"/>
        <v>7.22</v>
      </c>
      <c r="H346" s="19">
        <f t="shared" si="66"/>
        <v>15.42</v>
      </c>
      <c r="I346" s="19">
        <f t="shared" si="67"/>
        <v>15.72</v>
      </c>
      <c r="J346" s="19">
        <f t="shared" si="68"/>
        <v>0</v>
      </c>
      <c r="K346" s="19">
        <f t="shared" si="69"/>
        <v>0</v>
      </c>
      <c r="L346" s="19">
        <f t="shared" si="70"/>
        <v>0</v>
      </c>
      <c r="M346" s="19">
        <f t="shared" si="71"/>
        <v>0</v>
      </c>
      <c r="N346" s="39">
        <f t="shared" si="72"/>
        <v>38.36</v>
      </c>
      <c r="O346" s="39">
        <f t="shared" si="63"/>
        <v>1058.8830071633797</v>
      </c>
      <c r="P346" s="40">
        <v>8</v>
      </c>
      <c r="Q346" s="40">
        <v>10</v>
      </c>
      <c r="R346" s="40">
        <v>9</v>
      </c>
      <c r="S346" s="40">
        <v>9</v>
      </c>
      <c r="T346" s="40">
        <v>9</v>
      </c>
      <c r="U346" s="40">
        <v>9</v>
      </c>
      <c r="V346" s="40">
        <v>9</v>
      </c>
      <c r="W346" s="41" t="str">
        <f t="shared" si="73"/>
        <v>Y</v>
      </c>
      <c r="X346" s="56">
        <f t="shared" si="74"/>
        <v>0.67200000000000004</v>
      </c>
      <c r="Y346" s="56" t="str">
        <f t="shared" si="64"/>
        <v>Over 50%</v>
      </c>
      <c r="Z346" s="8" t="s">
        <v>145</v>
      </c>
      <c r="AB346" s="38">
        <v>7220</v>
      </c>
      <c r="AC346" s="38">
        <v>15420</v>
      </c>
      <c r="AD346" s="38">
        <v>15720</v>
      </c>
      <c r="AE346" s="38"/>
      <c r="AF346" s="38"/>
      <c r="AG346" s="38"/>
      <c r="AH346" s="38"/>
    </row>
    <row r="347" spans="1:34" ht="24" customHeight="1" x14ac:dyDescent="0.25">
      <c r="A347" s="10">
        <v>82</v>
      </c>
      <c r="B347" s="9">
        <v>0.4680555555555555</v>
      </c>
      <c r="C347" s="5" t="s">
        <v>20</v>
      </c>
      <c r="D347" s="5">
        <v>9</v>
      </c>
      <c r="E347" s="15"/>
      <c r="F347" s="15" t="s">
        <v>30</v>
      </c>
      <c r="G347" s="19">
        <f t="shared" si="65"/>
        <v>6.38</v>
      </c>
      <c r="H347" s="19">
        <f t="shared" si="66"/>
        <v>4.5199999999999996</v>
      </c>
      <c r="I347" s="19">
        <f t="shared" si="67"/>
        <v>5.16</v>
      </c>
      <c r="J347" s="19">
        <f t="shared" si="68"/>
        <v>0</v>
      </c>
      <c r="K347" s="19">
        <f t="shared" si="69"/>
        <v>0</v>
      </c>
      <c r="L347" s="19">
        <f t="shared" si="70"/>
        <v>0</v>
      </c>
      <c r="M347" s="19">
        <f t="shared" si="71"/>
        <v>0</v>
      </c>
      <c r="N347" s="39">
        <f t="shared" si="72"/>
        <v>16.059999999999999</v>
      </c>
      <c r="O347" s="39">
        <f t="shared" si="63"/>
        <v>21.049860392933113</v>
      </c>
      <c r="P347" s="40">
        <v>8</v>
      </c>
      <c r="Q347" s="40">
        <v>10</v>
      </c>
      <c r="R347" s="40">
        <v>9</v>
      </c>
      <c r="S347" s="40">
        <v>9</v>
      </c>
      <c r="T347" s="40">
        <v>9</v>
      </c>
      <c r="U347" s="40">
        <v>9</v>
      </c>
      <c r="V347" s="40">
        <v>9</v>
      </c>
      <c r="W347" s="41" t="str">
        <f t="shared" si="73"/>
        <v>N</v>
      </c>
      <c r="X347" s="56">
        <f t="shared" si="74"/>
        <v>0</v>
      </c>
      <c r="Y347" s="56" t="str">
        <f t="shared" si="64"/>
        <v>0-4.9%</v>
      </c>
      <c r="Z347" s="8" t="s">
        <v>39</v>
      </c>
      <c r="AB347" s="38">
        <v>6380</v>
      </c>
      <c r="AC347" s="38">
        <v>4520</v>
      </c>
      <c r="AD347" s="38">
        <v>5160</v>
      </c>
      <c r="AE347" s="38"/>
      <c r="AF347" s="38"/>
      <c r="AG347" s="38"/>
      <c r="AH347" s="38"/>
    </row>
    <row r="348" spans="1:34" ht="24" customHeight="1" x14ac:dyDescent="0.25">
      <c r="A348" s="10">
        <v>86</v>
      </c>
      <c r="B348" s="9">
        <v>0.47500000000000003</v>
      </c>
      <c r="C348" s="5" t="s">
        <v>20</v>
      </c>
      <c r="D348" s="5">
        <v>9</v>
      </c>
      <c r="E348" s="15"/>
      <c r="F348" s="15" t="s">
        <v>30</v>
      </c>
      <c r="G348" s="19">
        <f t="shared" si="65"/>
        <v>6.5</v>
      </c>
      <c r="H348" s="19">
        <f t="shared" si="66"/>
        <v>5.7</v>
      </c>
      <c r="I348" s="19">
        <f t="shared" si="67"/>
        <v>6.08</v>
      </c>
      <c r="J348" s="19">
        <f t="shared" si="68"/>
        <v>0</v>
      </c>
      <c r="K348" s="19">
        <f t="shared" si="69"/>
        <v>0</v>
      </c>
      <c r="L348" s="19">
        <f t="shared" si="70"/>
        <v>0</v>
      </c>
      <c r="M348" s="19">
        <f t="shared" si="71"/>
        <v>0</v>
      </c>
      <c r="N348" s="39">
        <f t="shared" si="72"/>
        <v>18.28</v>
      </c>
      <c r="O348" s="39">
        <f t="shared" si="63"/>
        <v>37.695295042229695</v>
      </c>
      <c r="P348" s="40">
        <v>8</v>
      </c>
      <c r="Q348" s="40">
        <v>10</v>
      </c>
      <c r="R348" s="40">
        <v>9</v>
      </c>
      <c r="S348" s="40">
        <v>9</v>
      </c>
      <c r="T348" s="40">
        <v>9</v>
      </c>
      <c r="U348" s="40">
        <v>9</v>
      </c>
      <c r="V348" s="40">
        <v>9</v>
      </c>
      <c r="W348" s="41" t="str">
        <f t="shared" si="73"/>
        <v>N</v>
      </c>
      <c r="X348" s="56">
        <f t="shared" si="74"/>
        <v>0</v>
      </c>
      <c r="Y348" s="56" t="str">
        <f t="shared" si="64"/>
        <v>0-4.9%</v>
      </c>
      <c r="Z348" s="8" t="s">
        <v>118</v>
      </c>
      <c r="AB348" s="38">
        <v>6500</v>
      </c>
      <c r="AC348" s="38">
        <v>5700</v>
      </c>
      <c r="AD348" s="38">
        <v>6080</v>
      </c>
      <c r="AE348" s="38"/>
      <c r="AF348" s="38"/>
      <c r="AG348" s="38"/>
      <c r="AH348" s="38"/>
    </row>
    <row r="349" spans="1:34" ht="24" customHeight="1" x14ac:dyDescent="0.25">
      <c r="A349" s="10">
        <v>87</v>
      </c>
      <c r="B349" s="9">
        <v>0.47569444444444442</v>
      </c>
      <c r="C349" s="5" t="s">
        <v>20</v>
      </c>
      <c r="D349" s="5">
        <v>9</v>
      </c>
      <c r="E349" s="15"/>
      <c r="F349" s="15" t="s">
        <v>30</v>
      </c>
      <c r="G349" s="19">
        <f t="shared" si="65"/>
        <v>5.98</v>
      </c>
      <c r="H349" s="19">
        <f t="shared" si="66"/>
        <v>4.7</v>
      </c>
      <c r="I349" s="19">
        <f t="shared" si="67"/>
        <v>5.34</v>
      </c>
      <c r="J349" s="19">
        <f t="shared" si="68"/>
        <v>0</v>
      </c>
      <c r="K349" s="19">
        <f t="shared" si="69"/>
        <v>0</v>
      </c>
      <c r="L349" s="19">
        <f t="shared" si="70"/>
        <v>0</v>
      </c>
      <c r="M349" s="19">
        <f t="shared" si="71"/>
        <v>0</v>
      </c>
      <c r="N349" s="39">
        <f t="shared" si="72"/>
        <v>16.02</v>
      </c>
      <c r="O349" s="39">
        <f t="shared" si="63"/>
        <v>20.814960375395405</v>
      </c>
      <c r="P349" s="40">
        <v>8</v>
      </c>
      <c r="Q349" s="40">
        <v>10</v>
      </c>
      <c r="R349" s="40">
        <v>9</v>
      </c>
      <c r="S349" s="40">
        <v>9</v>
      </c>
      <c r="T349" s="40">
        <v>9</v>
      </c>
      <c r="U349" s="40">
        <v>9</v>
      </c>
      <c r="V349" s="40">
        <v>9</v>
      </c>
      <c r="W349" s="41" t="str">
        <f t="shared" si="73"/>
        <v>N</v>
      </c>
      <c r="X349" s="56">
        <f t="shared" si="74"/>
        <v>0</v>
      </c>
      <c r="Y349" s="56" t="str">
        <f t="shared" si="64"/>
        <v>0-4.9%</v>
      </c>
      <c r="Z349" s="8" t="s">
        <v>145</v>
      </c>
      <c r="AB349" s="38">
        <v>5980</v>
      </c>
      <c r="AC349" s="38">
        <v>4700</v>
      </c>
      <c r="AD349" s="38">
        <v>5340</v>
      </c>
      <c r="AE349" s="38"/>
      <c r="AF349" s="38"/>
      <c r="AG349" s="38"/>
      <c r="AH349" s="38"/>
    </row>
    <row r="350" spans="1:34" ht="24" customHeight="1" x14ac:dyDescent="0.25">
      <c r="A350" s="10">
        <v>89</v>
      </c>
      <c r="B350" s="9">
        <v>0.47916666666666669</v>
      </c>
      <c r="C350" s="5" t="s">
        <v>20</v>
      </c>
      <c r="D350" s="5">
        <v>9</v>
      </c>
      <c r="E350" s="15"/>
      <c r="F350" s="15" t="s">
        <v>30</v>
      </c>
      <c r="G350" s="19">
        <f t="shared" si="65"/>
        <v>5.94</v>
      </c>
      <c r="H350" s="19">
        <f t="shared" si="66"/>
        <v>4.88</v>
      </c>
      <c r="I350" s="19">
        <f t="shared" si="67"/>
        <v>5.16</v>
      </c>
      <c r="J350" s="19">
        <f t="shared" si="68"/>
        <v>0</v>
      </c>
      <c r="K350" s="19">
        <f t="shared" si="69"/>
        <v>0</v>
      </c>
      <c r="L350" s="19">
        <f t="shared" si="70"/>
        <v>0</v>
      </c>
      <c r="M350" s="19">
        <f t="shared" si="71"/>
        <v>0</v>
      </c>
      <c r="N350" s="39">
        <f t="shared" si="72"/>
        <v>15.98</v>
      </c>
      <c r="O350" s="39">
        <f t="shared" si="63"/>
        <v>20.582104221658522</v>
      </c>
      <c r="P350" s="40">
        <v>8</v>
      </c>
      <c r="Q350" s="40">
        <v>10</v>
      </c>
      <c r="R350" s="40">
        <v>9</v>
      </c>
      <c r="S350" s="40">
        <v>9</v>
      </c>
      <c r="T350" s="40">
        <v>9</v>
      </c>
      <c r="U350" s="40">
        <v>9</v>
      </c>
      <c r="V350" s="40">
        <v>9</v>
      </c>
      <c r="W350" s="41" t="str">
        <f t="shared" si="73"/>
        <v>N</v>
      </c>
      <c r="X350" s="56">
        <f t="shared" si="74"/>
        <v>0</v>
      </c>
      <c r="Y350" s="56" t="str">
        <f t="shared" si="64"/>
        <v>0-4.9%</v>
      </c>
      <c r="Z350" s="8" t="s">
        <v>118</v>
      </c>
      <c r="AB350" s="38">
        <v>5940</v>
      </c>
      <c r="AC350" s="38">
        <v>4880</v>
      </c>
      <c r="AD350" s="38">
        <v>5160</v>
      </c>
      <c r="AE350" s="38"/>
      <c r="AF350" s="38"/>
      <c r="AG350" s="38"/>
      <c r="AH350" s="38"/>
    </row>
    <row r="351" spans="1:34" ht="24" customHeight="1" x14ac:dyDescent="0.25">
      <c r="A351" s="10">
        <v>99</v>
      </c>
      <c r="B351" s="9">
        <v>0.49236111111111108</v>
      </c>
      <c r="C351" s="5" t="s">
        <v>20</v>
      </c>
      <c r="D351" s="5">
        <v>9</v>
      </c>
      <c r="E351" s="15"/>
      <c r="F351" s="15" t="s">
        <v>30</v>
      </c>
      <c r="G351" s="19">
        <f t="shared" si="65"/>
        <v>4.38</v>
      </c>
      <c r="H351" s="19">
        <f t="shared" si="66"/>
        <v>3.58</v>
      </c>
      <c r="I351" s="19">
        <f t="shared" si="67"/>
        <v>3.38</v>
      </c>
      <c r="J351" s="19">
        <f t="shared" si="68"/>
        <v>0</v>
      </c>
      <c r="K351" s="19">
        <f t="shared" si="69"/>
        <v>0</v>
      </c>
      <c r="L351" s="19">
        <f t="shared" si="70"/>
        <v>0</v>
      </c>
      <c r="M351" s="19">
        <f t="shared" si="71"/>
        <v>0</v>
      </c>
      <c r="N351" s="39">
        <f t="shared" si="72"/>
        <v>11.34</v>
      </c>
      <c r="O351" s="39">
        <f t="shared" si="63"/>
        <v>4.3969652275951487</v>
      </c>
      <c r="P351" s="40">
        <v>8</v>
      </c>
      <c r="Q351" s="40">
        <v>10</v>
      </c>
      <c r="R351" s="40">
        <v>9</v>
      </c>
      <c r="S351" s="40">
        <v>9</v>
      </c>
      <c r="T351" s="40">
        <v>9</v>
      </c>
      <c r="U351" s="40">
        <v>9</v>
      </c>
      <c r="V351" s="40">
        <v>9</v>
      </c>
      <c r="W351" s="41" t="str">
        <f t="shared" si="73"/>
        <v>N</v>
      </c>
      <c r="X351" s="56">
        <f t="shared" si="74"/>
        <v>0</v>
      </c>
      <c r="Y351" s="56" t="str">
        <f t="shared" si="64"/>
        <v>0-4.9%</v>
      </c>
      <c r="Z351" s="8" t="s">
        <v>118</v>
      </c>
      <c r="AB351" s="38">
        <v>4380</v>
      </c>
      <c r="AC351" s="38">
        <v>3580</v>
      </c>
      <c r="AD351" s="38">
        <v>3380</v>
      </c>
      <c r="AE351" s="38"/>
      <c r="AF351" s="38"/>
      <c r="AG351" s="38"/>
      <c r="AH351" s="38"/>
    </row>
    <row r="352" spans="1:34" ht="24" customHeight="1" x14ac:dyDescent="0.25">
      <c r="A352" s="10">
        <v>107</v>
      </c>
      <c r="B352" s="9">
        <v>0.50694444444444442</v>
      </c>
      <c r="C352" s="5" t="s">
        <v>20</v>
      </c>
      <c r="D352" s="5">
        <v>9</v>
      </c>
      <c r="E352" s="15"/>
      <c r="F352" s="15" t="s">
        <v>30</v>
      </c>
      <c r="G352" s="19">
        <f t="shared" si="65"/>
        <v>7.98</v>
      </c>
      <c r="H352" s="19">
        <f t="shared" si="66"/>
        <v>15.68</v>
      </c>
      <c r="I352" s="19">
        <f t="shared" si="67"/>
        <v>16.059999999999999</v>
      </c>
      <c r="J352" s="19">
        <f t="shared" si="68"/>
        <v>0</v>
      </c>
      <c r="K352" s="19">
        <f t="shared" si="69"/>
        <v>0</v>
      </c>
      <c r="L352" s="19">
        <f t="shared" si="70"/>
        <v>0</v>
      </c>
      <c r="M352" s="19">
        <f t="shared" si="71"/>
        <v>0</v>
      </c>
      <c r="N352" s="39">
        <f t="shared" si="72"/>
        <v>39.72</v>
      </c>
      <c r="O352" s="39">
        <f t="shared" si="63"/>
        <v>1238.6136586133734</v>
      </c>
      <c r="P352" s="40">
        <v>8</v>
      </c>
      <c r="Q352" s="40">
        <v>10</v>
      </c>
      <c r="R352" s="40">
        <v>9</v>
      </c>
      <c r="S352" s="40">
        <v>9</v>
      </c>
      <c r="T352" s="40">
        <v>9</v>
      </c>
      <c r="U352" s="40">
        <v>9</v>
      </c>
      <c r="V352" s="40">
        <v>9</v>
      </c>
      <c r="W352" s="41" t="str">
        <f t="shared" si="73"/>
        <v>Y</v>
      </c>
      <c r="X352" s="56">
        <f t="shared" si="74"/>
        <v>0.70599999999999985</v>
      </c>
      <c r="Y352" s="56" t="str">
        <f t="shared" si="64"/>
        <v>Over 50%</v>
      </c>
      <c r="Z352" s="8" t="s">
        <v>145</v>
      </c>
      <c r="AB352" s="38">
        <v>7980</v>
      </c>
      <c r="AC352" s="38">
        <v>15680</v>
      </c>
      <c r="AD352" s="38">
        <v>16060</v>
      </c>
      <c r="AE352" s="38"/>
      <c r="AF352" s="38"/>
      <c r="AG352" s="38"/>
      <c r="AH352" s="38"/>
    </row>
    <row r="353" spans="1:34" ht="24" customHeight="1" x14ac:dyDescent="0.25">
      <c r="A353" s="10">
        <v>116</v>
      </c>
      <c r="B353" s="9">
        <v>5.486111111111111E-2</v>
      </c>
      <c r="C353" s="5" t="s">
        <v>20</v>
      </c>
      <c r="D353" s="5">
        <v>9</v>
      </c>
      <c r="E353" s="15"/>
      <c r="F353" s="15" t="s">
        <v>30</v>
      </c>
      <c r="G353" s="19">
        <f t="shared" si="65"/>
        <v>7.96</v>
      </c>
      <c r="H353" s="19">
        <f t="shared" si="66"/>
        <v>5.72</v>
      </c>
      <c r="I353" s="19">
        <f t="shared" si="67"/>
        <v>5.38</v>
      </c>
      <c r="J353" s="19">
        <f t="shared" si="68"/>
        <v>0</v>
      </c>
      <c r="K353" s="19">
        <f t="shared" si="69"/>
        <v>0</v>
      </c>
      <c r="L353" s="19">
        <f t="shared" si="70"/>
        <v>0</v>
      </c>
      <c r="M353" s="19">
        <f t="shared" si="71"/>
        <v>0</v>
      </c>
      <c r="N353" s="39">
        <f t="shared" si="72"/>
        <v>19.059999999999999</v>
      </c>
      <c r="O353" s="39">
        <f t="shared" si="63"/>
        <v>45.493287228134484</v>
      </c>
      <c r="P353" s="40">
        <v>8</v>
      </c>
      <c r="Q353" s="40">
        <v>10</v>
      </c>
      <c r="R353" s="40">
        <v>9</v>
      </c>
      <c r="S353" s="40">
        <v>9</v>
      </c>
      <c r="T353" s="40">
        <v>9</v>
      </c>
      <c r="U353" s="40">
        <v>9</v>
      </c>
      <c r="V353" s="40">
        <v>9</v>
      </c>
      <c r="W353" s="41" t="str">
        <f t="shared" si="73"/>
        <v>N</v>
      </c>
      <c r="X353" s="56">
        <f t="shared" si="74"/>
        <v>0</v>
      </c>
      <c r="Y353" s="56" t="str">
        <f t="shared" si="64"/>
        <v>0-4.9%</v>
      </c>
      <c r="Z353" s="8" t="s">
        <v>118</v>
      </c>
      <c r="AB353" s="38">
        <v>7960</v>
      </c>
      <c r="AC353" s="38">
        <v>5720</v>
      </c>
      <c r="AD353" s="38">
        <v>5380</v>
      </c>
      <c r="AE353" s="38"/>
      <c r="AF353" s="38"/>
      <c r="AG353" s="38"/>
      <c r="AH353" s="38"/>
    </row>
    <row r="354" spans="1:34" ht="24" customHeight="1" x14ac:dyDescent="0.25">
      <c r="A354" s="10">
        <v>120</v>
      </c>
      <c r="B354" s="9">
        <v>5.9027777777777783E-2</v>
      </c>
      <c r="C354" s="5" t="s">
        <v>20</v>
      </c>
      <c r="D354" s="5">
        <v>9</v>
      </c>
      <c r="E354" s="15"/>
      <c r="F354" s="15" t="s">
        <v>30</v>
      </c>
      <c r="G354" s="19">
        <f t="shared" si="65"/>
        <v>7.5</v>
      </c>
      <c r="H354" s="19">
        <f t="shared" si="66"/>
        <v>5.84</v>
      </c>
      <c r="I354" s="19">
        <f t="shared" si="67"/>
        <v>5.54</v>
      </c>
      <c r="J354" s="19">
        <f t="shared" si="68"/>
        <v>0</v>
      </c>
      <c r="K354" s="19">
        <f t="shared" si="69"/>
        <v>0</v>
      </c>
      <c r="L354" s="19">
        <f t="shared" si="70"/>
        <v>0</v>
      </c>
      <c r="M354" s="19">
        <f t="shared" si="71"/>
        <v>0</v>
      </c>
      <c r="N354" s="39">
        <f t="shared" si="72"/>
        <v>18.88</v>
      </c>
      <c r="O354" s="39">
        <f t="shared" si="63"/>
        <v>43.5916432251435</v>
      </c>
      <c r="P354" s="40">
        <v>8</v>
      </c>
      <c r="Q354" s="40">
        <v>10</v>
      </c>
      <c r="R354" s="40">
        <v>9</v>
      </c>
      <c r="S354" s="40">
        <v>9</v>
      </c>
      <c r="T354" s="40">
        <v>9</v>
      </c>
      <c r="U354" s="40">
        <v>9</v>
      </c>
      <c r="V354" s="40">
        <v>9</v>
      </c>
      <c r="W354" s="41" t="str">
        <f t="shared" si="73"/>
        <v>N</v>
      </c>
      <c r="X354" s="56">
        <f t="shared" si="74"/>
        <v>0</v>
      </c>
      <c r="Y354" s="56" t="str">
        <f t="shared" si="64"/>
        <v>0-4.9%</v>
      </c>
      <c r="Z354" s="8" t="s">
        <v>111</v>
      </c>
      <c r="AB354" s="38">
        <v>7500</v>
      </c>
      <c r="AC354" s="38">
        <v>5840</v>
      </c>
      <c r="AD354" s="38">
        <v>5540</v>
      </c>
      <c r="AE354" s="38"/>
      <c r="AF354" s="38"/>
      <c r="AG354" s="38"/>
      <c r="AH354" s="38"/>
    </row>
    <row r="355" spans="1:34" ht="24" customHeight="1" x14ac:dyDescent="0.25">
      <c r="A355" s="10">
        <v>135</v>
      </c>
      <c r="B355" s="9">
        <v>7.6388888888888895E-2</v>
      </c>
      <c r="C355" s="5" t="s">
        <v>20</v>
      </c>
      <c r="D355" s="5">
        <v>9</v>
      </c>
      <c r="E355" s="15"/>
      <c r="F355" s="15" t="s">
        <v>30</v>
      </c>
      <c r="G355" s="19">
        <f t="shared" si="65"/>
        <v>6.48</v>
      </c>
      <c r="H355" s="19">
        <f t="shared" si="66"/>
        <v>6.08</v>
      </c>
      <c r="I355" s="19">
        <f t="shared" si="67"/>
        <v>6.3</v>
      </c>
      <c r="J355" s="19">
        <f t="shared" si="68"/>
        <v>0</v>
      </c>
      <c r="K355" s="19">
        <f t="shared" si="69"/>
        <v>0</v>
      </c>
      <c r="L355" s="19">
        <f t="shared" si="70"/>
        <v>0</v>
      </c>
      <c r="M355" s="19">
        <f t="shared" si="71"/>
        <v>0</v>
      </c>
      <c r="N355" s="39">
        <f t="shared" si="72"/>
        <v>18.86</v>
      </c>
      <c r="O355" s="39">
        <f t="shared" si="63"/>
        <v>43.384228959363575</v>
      </c>
      <c r="P355" s="40">
        <v>8</v>
      </c>
      <c r="Q355" s="40">
        <v>10</v>
      </c>
      <c r="R355" s="40">
        <v>9</v>
      </c>
      <c r="S355" s="40">
        <v>9</v>
      </c>
      <c r="T355" s="40">
        <v>9</v>
      </c>
      <c r="U355" s="40">
        <v>9</v>
      </c>
      <c r="V355" s="40">
        <v>9</v>
      </c>
      <c r="W355" s="41" t="str">
        <f t="shared" si="73"/>
        <v>N</v>
      </c>
      <c r="X355" s="56">
        <f t="shared" si="74"/>
        <v>0</v>
      </c>
      <c r="Y355" s="56" t="str">
        <f t="shared" si="64"/>
        <v>0-4.9%</v>
      </c>
      <c r="Z355" s="8" t="s">
        <v>35</v>
      </c>
      <c r="AB355" s="38">
        <v>6480</v>
      </c>
      <c r="AC355" s="38">
        <v>6080</v>
      </c>
      <c r="AD355" s="38">
        <v>6300</v>
      </c>
      <c r="AE355" s="38"/>
      <c r="AF355" s="38"/>
      <c r="AG355" s="38"/>
      <c r="AH355" s="38"/>
    </row>
    <row r="356" spans="1:34" ht="24" customHeight="1" x14ac:dyDescent="0.25">
      <c r="A356" s="10">
        <v>140</v>
      </c>
      <c r="B356" s="9">
        <v>8.3333333333333329E-2</v>
      </c>
      <c r="C356" s="5" t="s">
        <v>20</v>
      </c>
      <c r="D356" s="5">
        <v>9</v>
      </c>
      <c r="E356" s="15"/>
      <c r="F356" s="15" t="s">
        <v>30</v>
      </c>
      <c r="G356" s="19">
        <f t="shared" si="65"/>
        <v>6.7</v>
      </c>
      <c r="H356" s="19">
        <f t="shared" si="66"/>
        <v>6.42</v>
      </c>
      <c r="I356" s="19">
        <f t="shared" si="67"/>
        <v>6.36</v>
      </c>
      <c r="J356" s="19">
        <f t="shared" si="68"/>
        <v>0</v>
      </c>
      <c r="K356" s="19">
        <f t="shared" si="69"/>
        <v>0</v>
      </c>
      <c r="L356" s="19">
        <f t="shared" si="70"/>
        <v>0</v>
      </c>
      <c r="M356" s="19">
        <f t="shared" si="71"/>
        <v>0</v>
      </c>
      <c r="N356" s="39">
        <f t="shared" si="72"/>
        <v>19.48</v>
      </c>
      <c r="O356" s="39">
        <f t="shared" si="63"/>
        <v>50.181607824792117</v>
      </c>
      <c r="P356" s="40">
        <v>8</v>
      </c>
      <c r="Q356" s="40">
        <v>10</v>
      </c>
      <c r="R356" s="40">
        <v>9</v>
      </c>
      <c r="S356" s="40">
        <v>9</v>
      </c>
      <c r="T356" s="40">
        <v>9</v>
      </c>
      <c r="U356" s="40">
        <v>9</v>
      </c>
      <c r="V356" s="40">
        <v>9</v>
      </c>
      <c r="W356" s="41" t="str">
        <f t="shared" si="73"/>
        <v>N</v>
      </c>
      <c r="X356" s="56">
        <f t="shared" si="74"/>
        <v>0</v>
      </c>
      <c r="Y356" s="56" t="str">
        <f t="shared" si="64"/>
        <v>0-4.9%</v>
      </c>
      <c r="Z356" s="8" t="s">
        <v>118</v>
      </c>
      <c r="AB356" s="38">
        <v>6700</v>
      </c>
      <c r="AC356" s="38">
        <v>6420</v>
      </c>
      <c r="AD356" s="38">
        <v>6360</v>
      </c>
      <c r="AE356" s="38"/>
      <c r="AF356" s="38"/>
      <c r="AG356" s="38"/>
      <c r="AH356" s="38"/>
    </row>
    <row r="357" spans="1:34" ht="24" customHeight="1" x14ac:dyDescent="0.25">
      <c r="A357" s="10">
        <v>141</v>
      </c>
      <c r="B357" s="9">
        <v>8.4722222222222213E-2</v>
      </c>
      <c r="C357" s="5" t="s">
        <v>20</v>
      </c>
      <c r="D357" s="5">
        <v>9</v>
      </c>
      <c r="E357" s="15"/>
      <c r="F357" s="15" t="s">
        <v>30</v>
      </c>
      <c r="G357" s="19">
        <f t="shared" si="65"/>
        <v>9.8800000000000008</v>
      </c>
      <c r="H357" s="19">
        <f t="shared" si="66"/>
        <v>12.96</v>
      </c>
      <c r="I357" s="19">
        <f t="shared" si="67"/>
        <v>12.86</v>
      </c>
      <c r="J357" s="19">
        <f t="shared" si="68"/>
        <v>0</v>
      </c>
      <c r="K357" s="19">
        <f t="shared" si="69"/>
        <v>0</v>
      </c>
      <c r="L357" s="19">
        <f t="shared" si="70"/>
        <v>0</v>
      </c>
      <c r="M357" s="19">
        <f t="shared" si="71"/>
        <v>0</v>
      </c>
      <c r="N357" s="39">
        <f t="shared" si="72"/>
        <v>35.700000000000003</v>
      </c>
      <c r="O357" s="39">
        <f t="shared" si="63"/>
        <v>766.30429218609413</v>
      </c>
      <c r="P357" s="40">
        <v>8</v>
      </c>
      <c r="Q357" s="40">
        <v>10</v>
      </c>
      <c r="R357" s="40">
        <v>9</v>
      </c>
      <c r="S357" s="40">
        <v>9</v>
      </c>
      <c r="T357" s="40">
        <v>9</v>
      </c>
      <c r="U357" s="40">
        <v>9</v>
      </c>
      <c r="V357" s="40">
        <v>9</v>
      </c>
      <c r="W357" s="41" t="str">
        <f t="shared" si="73"/>
        <v>Y</v>
      </c>
      <c r="X357" s="56">
        <f t="shared" si="74"/>
        <v>0.38599999999999995</v>
      </c>
      <c r="Y357" s="56" t="str">
        <f t="shared" si="64"/>
        <v>25-50%</v>
      </c>
      <c r="Z357" s="8" t="s">
        <v>145</v>
      </c>
      <c r="AB357" s="38">
        <v>9880</v>
      </c>
      <c r="AC357" s="38">
        <v>12960</v>
      </c>
      <c r="AD357" s="38">
        <v>12860</v>
      </c>
      <c r="AE357" s="38"/>
      <c r="AF357" s="38"/>
      <c r="AG357" s="38"/>
      <c r="AH357" s="38"/>
    </row>
    <row r="358" spans="1:34" ht="24" customHeight="1" x14ac:dyDescent="0.25">
      <c r="A358" s="10">
        <v>150</v>
      </c>
      <c r="B358" s="9">
        <v>9.0972222222222218E-2</v>
      </c>
      <c r="C358" s="5" t="s">
        <v>20</v>
      </c>
      <c r="D358" s="5">
        <v>9</v>
      </c>
      <c r="E358" s="15"/>
      <c r="F358" s="15" t="s">
        <v>30</v>
      </c>
      <c r="G358" s="19">
        <f t="shared" si="65"/>
        <v>8.14</v>
      </c>
      <c r="H358" s="19">
        <f t="shared" si="66"/>
        <v>12.74</v>
      </c>
      <c r="I358" s="19">
        <f t="shared" si="67"/>
        <v>12.34</v>
      </c>
      <c r="J358" s="19">
        <f t="shared" si="68"/>
        <v>0</v>
      </c>
      <c r="K358" s="19">
        <f t="shared" si="69"/>
        <v>0</v>
      </c>
      <c r="L358" s="19">
        <f t="shared" si="70"/>
        <v>0</v>
      </c>
      <c r="M358" s="19">
        <f t="shared" si="71"/>
        <v>0</v>
      </c>
      <c r="N358" s="39">
        <f t="shared" si="72"/>
        <v>33.22</v>
      </c>
      <c r="O358" s="39">
        <f t="shared" si="63"/>
        <v>554.23329512608245</v>
      </c>
      <c r="P358" s="40">
        <v>8</v>
      </c>
      <c r="Q358" s="40">
        <v>10</v>
      </c>
      <c r="R358" s="40">
        <v>9</v>
      </c>
      <c r="S358" s="40">
        <v>9</v>
      </c>
      <c r="T358" s="40">
        <v>9</v>
      </c>
      <c r="U358" s="40">
        <v>9</v>
      </c>
      <c r="V358" s="40">
        <v>9</v>
      </c>
      <c r="W358" s="41" t="str">
        <f t="shared" si="73"/>
        <v>Y</v>
      </c>
      <c r="X358" s="56">
        <f t="shared" si="74"/>
        <v>0.33399999999999996</v>
      </c>
      <c r="Y358" s="56" t="str">
        <f t="shared" si="64"/>
        <v>25-50%</v>
      </c>
      <c r="Z358" s="8" t="s">
        <v>145</v>
      </c>
      <c r="AB358" s="38">
        <v>8140</v>
      </c>
      <c r="AC358" s="38">
        <v>12740</v>
      </c>
      <c r="AD358" s="38">
        <v>12340</v>
      </c>
      <c r="AE358" s="38"/>
      <c r="AF358" s="38"/>
      <c r="AG358" s="38"/>
      <c r="AH358" s="38"/>
    </row>
    <row r="359" spans="1:34" ht="24" customHeight="1" x14ac:dyDescent="0.25">
      <c r="A359" s="10">
        <v>22</v>
      </c>
      <c r="B359" s="9">
        <v>0.12291666666666667</v>
      </c>
      <c r="C359" s="5" t="s">
        <v>20</v>
      </c>
      <c r="D359" s="5">
        <v>9</v>
      </c>
      <c r="E359" s="15"/>
      <c r="F359" s="15" t="s">
        <v>29</v>
      </c>
      <c r="G359" s="19">
        <f t="shared" si="65"/>
        <v>9.1999999999999993</v>
      </c>
      <c r="H359" s="19">
        <f t="shared" si="66"/>
        <v>23.92</v>
      </c>
      <c r="I359" s="19">
        <f t="shared" si="67"/>
        <v>2.48</v>
      </c>
      <c r="J359" s="19">
        <f t="shared" si="68"/>
        <v>0</v>
      </c>
      <c r="K359" s="19">
        <f t="shared" si="69"/>
        <v>0</v>
      </c>
      <c r="L359" s="19">
        <f t="shared" si="70"/>
        <v>0</v>
      </c>
      <c r="M359" s="19">
        <f t="shared" si="71"/>
        <v>0</v>
      </c>
      <c r="N359" s="39">
        <f t="shared" si="72"/>
        <v>35.6</v>
      </c>
      <c r="O359" s="39">
        <f t="shared" si="63"/>
        <v>756.69223347414436</v>
      </c>
      <c r="P359" s="40">
        <v>8</v>
      </c>
      <c r="Q359" s="40">
        <v>10</v>
      </c>
      <c r="R359" s="40">
        <v>9</v>
      </c>
      <c r="S359" s="40">
        <v>9</v>
      </c>
      <c r="T359" s="40">
        <v>9</v>
      </c>
      <c r="U359" s="40">
        <v>9</v>
      </c>
      <c r="V359" s="40">
        <v>9</v>
      </c>
      <c r="W359" s="41" t="str">
        <f t="shared" si="73"/>
        <v>Y</v>
      </c>
      <c r="X359" s="56">
        <f t="shared" si="74"/>
        <v>1.3920000000000001</v>
      </c>
      <c r="Y359" s="56" t="str">
        <f t="shared" si="64"/>
        <v>Over 50%</v>
      </c>
      <c r="Z359" s="8" t="s">
        <v>145</v>
      </c>
      <c r="AB359" s="38">
        <v>9200</v>
      </c>
      <c r="AC359" s="38">
        <v>23920</v>
      </c>
      <c r="AD359" s="38">
        <v>2480</v>
      </c>
      <c r="AE359" s="38"/>
      <c r="AF359" s="38"/>
      <c r="AG359" s="38"/>
      <c r="AH359" s="38"/>
    </row>
    <row r="360" spans="1:34" ht="24" customHeight="1" x14ac:dyDescent="0.25">
      <c r="A360" s="10">
        <v>25</v>
      </c>
      <c r="B360" s="9">
        <v>0.12569444444444444</v>
      </c>
      <c r="C360" s="5" t="s">
        <v>20</v>
      </c>
      <c r="D360" s="5">
        <v>9</v>
      </c>
      <c r="E360" s="15"/>
      <c r="F360" s="15" t="s">
        <v>30</v>
      </c>
      <c r="G360" s="19">
        <f t="shared" si="65"/>
        <v>6.6</v>
      </c>
      <c r="H360" s="19">
        <f t="shared" si="66"/>
        <v>14.06</v>
      </c>
      <c r="I360" s="19">
        <f t="shared" si="67"/>
        <v>11.94</v>
      </c>
      <c r="J360" s="19">
        <f t="shared" si="68"/>
        <v>0</v>
      </c>
      <c r="K360" s="19">
        <f t="shared" si="69"/>
        <v>0</v>
      </c>
      <c r="L360" s="19">
        <f t="shared" si="70"/>
        <v>0</v>
      </c>
      <c r="M360" s="19">
        <f t="shared" si="71"/>
        <v>0</v>
      </c>
      <c r="N360" s="39">
        <f t="shared" si="72"/>
        <v>32.6</v>
      </c>
      <c r="O360" s="39">
        <f t="shared" si="63"/>
        <v>509.18251977040819</v>
      </c>
      <c r="P360" s="40">
        <v>8</v>
      </c>
      <c r="Q360" s="40">
        <v>10</v>
      </c>
      <c r="R360" s="40">
        <v>9</v>
      </c>
      <c r="S360" s="40">
        <v>9</v>
      </c>
      <c r="T360" s="40">
        <v>9</v>
      </c>
      <c r="U360" s="40">
        <v>9</v>
      </c>
      <c r="V360" s="40">
        <v>9</v>
      </c>
      <c r="W360" s="41" t="str">
        <f t="shared" si="73"/>
        <v>Y</v>
      </c>
      <c r="X360" s="56">
        <f t="shared" si="74"/>
        <v>0.40600000000000003</v>
      </c>
      <c r="Y360" s="56" t="str">
        <f t="shared" si="64"/>
        <v>25-50%</v>
      </c>
      <c r="Z360" s="8" t="s">
        <v>111</v>
      </c>
      <c r="AB360" s="38">
        <v>6600</v>
      </c>
      <c r="AC360" s="38">
        <v>14060</v>
      </c>
      <c r="AD360" s="38">
        <v>11940</v>
      </c>
      <c r="AE360" s="38"/>
      <c r="AF360" s="38"/>
      <c r="AG360" s="38"/>
      <c r="AH360" s="38"/>
    </row>
    <row r="361" spans="1:34" ht="24" customHeight="1" x14ac:dyDescent="0.25">
      <c r="A361" s="10">
        <v>30</v>
      </c>
      <c r="B361" s="9">
        <v>0.12916666666666668</v>
      </c>
      <c r="C361" s="5" t="s">
        <v>20</v>
      </c>
      <c r="D361" s="5">
        <v>9</v>
      </c>
      <c r="E361" s="15"/>
      <c r="F361" s="15" t="s">
        <v>34</v>
      </c>
      <c r="G361" s="19">
        <f t="shared" si="65"/>
        <v>12.34</v>
      </c>
      <c r="H361" s="19">
        <f t="shared" si="66"/>
        <v>28.38</v>
      </c>
      <c r="I361" s="19">
        <f t="shared" si="67"/>
        <v>9.74</v>
      </c>
      <c r="J361" s="19">
        <f t="shared" si="68"/>
        <v>0</v>
      </c>
      <c r="K361" s="19">
        <f t="shared" si="69"/>
        <v>0</v>
      </c>
      <c r="L361" s="19">
        <f t="shared" si="70"/>
        <v>0</v>
      </c>
      <c r="M361" s="19">
        <f t="shared" si="71"/>
        <v>0</v>
      </c>
      <c r="N361" s="39">
        <f t="shared" si="72"/>
        <v>50.46</v>
      </c>
      <c r="O361" s="39">
        <f t="shared" si="63"/>
        <v>3636.2764511118417</v>
      </c>
      <c r="P361" s="40">
        <v>8</v>
      </c>
      <c r="Q361" s="40">
        <v>10</v>
      </c>
      <c r="R361" s="40">
        <v>9</v>
      </c>
      <c r="S361" s="40">
        <v>9</v>
      </c>
      <c r="T361" s="40">
        <v>9</v>
      </c>
      <c r="U361" s="40">
        <v>9</v>
      </c>
      <c r="V361" s="40">
        <v>9</v>
      </c>
      <c r="W361" s="41" t="str">
        <f t="shared" si="73"/>
        <v>Y</v>
      </c>
      <c r="X361" s="56">
        <f t="shared" si="74"/>
        <v>1.8379999999999999</v>
      </c>
      <c r="Y361" s="56" t="str">
        <f t="shared" si="64"/>
        <v>Over 50%</v>
      </c>
      <c r="Z361" s="8" t="s">
        <v>107</v>
      </c>
      <c r="AB361" s="38">
        <v>12340</v>
      </c>
      <c r="AC361" s="38">
        <v>28380</v>
      </c>
      <c r="AD361" s="38">
        <v>9740</v>
      </c>
      <c r="AE361" s="38"/>
      <c r="AF361" s="38"/>
      <c r="AG361" s="38"/>
      <c r="AH361" s="38"/>
    </row>
    <row r="362" spans="1:34" ht="24" customHeight="1" x14ac:dyDescent="0.25">
      <c r="A362" s="10">
        <v>37</v>
      </c>
      <c r="B362" s="9">
        <v>0.13680555555555554</v>
      </c>
      <c r="C362" s="5" t="s">
        <v>20</v>
      </c>
      <c r="D362" s="5">
        <v>9</v>
      </c>
      <c r="E362" s="15"/>
      <c r="F362" s="15" t="s">
        <v>30</v>
      </c>
      <c r="G362" s="19">
        <f t="shared" si="65"/>
        <v>10.68</v>
      </c>
      <c r="H362" s="19">
        <f t="shared" si="66"/>
        <v>16.559999999999999</v>
      </c>
      <c r="I362" s="19">
        <f t="shared" si="67"/>
        <v>10.38</v>
      </c>
      <c r="J362" s="19">
        <f t="shared" si="68"/>
        <v>0</v>
      </c>
      <c r="K362" s="19">
        <f t="shared" si="69"/>
        <v>0</v>
      </c>
      <c r="L362" s="19">
        <f t="shared" si="70"/>
        <v>0</v>
      </c>
      <c r="M362" s="19">
        <f t="shared" si="71"/>
        <v>0</v>
      </c>
      <c r="N362" s="39">
        <f t="shared" si="72"/>
        <v>37.619999999999997</v>
      </c>
      <c r="O362" s="39">
        <f t="shared" si="63"/>
        <v>970.01588440238311</v>
      </c>
      <c r="P362" s="40">
        <v>8</v>
      </c>
      <c r="Q362" s="40">
        <v>10</v>
      </c>
      <c r="R362" s="40">
        <v>9</v>
      </c>
      <c r="S362" s="40">
        <v>9</v>
      </c>
      <c r="T362" s="40">
        <v>9</v>
      </c>
      <c r="U362" s="40">
        <v>9</v>
      </c>
      <c r="V362" s="40">
        <v>9</v>
      </c>
      <c r="W362" s="41" t="str">
        <f t="shared" si="73"/>
        <v>Y</v>
      </c>
      <c r="X362" s="56">
        <f t="shared" si="74"/>
        <v>0.65599999999999992</v>
      </c>
      <c r="Y362" s="56" t="str">
        <f t="shared" si="64"/>
        <v>Over 50%</v>
      </c>
      <c r="Z362" s="8" t="s">
        <v>111</v>
      </c>
      <c r="AB362" s="38">
        <v>10680</v>
      </c>
      <c r="AC362" s="38">
        <v>16560</v>
      </c>
      <c r="AD362" s="38">
        <v>10380</v>
      </c>
      <c r="AE362" s="38"/>
      <c r="AF362" s="38"/>
      <c r="AG362" s="38"/>
      <c r="AH362" s="38"/>
    </row>
    <row r="363" spans="1:34" ht="24" customHeight="1" x14ac:dyDescent="0.25">
      <c r="A363" s="10">
        <v>56</v>
      </c>
      <c r="B363" s="9">
        <v>0.3756944444444445</v>
      </c>
      <c r="C363" s="5" t="s">
        <v>20</v>
      </c>
      <c r="D363" s="5">
        <v>9</v>
      </c>
      <c r="E363" s="15"/>
      <c r="F363" s="15" t="s">
        <v>30</v>
      </c>
      <c r="G363" s="19">
        <f t="shared" si="65"/>
        <v>6.74</v>
      </c>
      <c r="H363" s="19">
        <f t="shared" si="66"/>
        <v>12.4</v>
      </c>
      <c r="I363" s="19">
        <f t="shared" si="67"/>
        <v>11.66</v>
      </c>
      <c r="J363" s="19">
        <f t="shared" si="68"/>
        <v>0</v>
      </c>
      <c r="K363" s="19">
        <f t="shared" si="69"/>
        <v>0</v>
      </c>
      <c r="L363" s="19">
        <f t="shared" si="70"/>
        <v>0</v>
      </c>
      <c r="M363" s="19">
        <f t="shared" si="71"/>
        <v>0</v>
      </c>
      <c r="N363" s="39">
        <f t="shared" si="72"/>
        <v>30.8</v>
      </c>
      <c r="O363" s="39">
        <f t="shared" si="63"/>
        <v>394.3415234084319</v>
      </c>
      <c r="P363" s="40">
        <v>8</v>
      </c>
      <c r="Q363" s="40">
        <v>10</v>
      </c>
      <c r="R363" s="40">
        <v>9</v>
      </c>
      <c r="S363" s="40">
        <v>9</v>
      </c>
      <c r="T363" s="40">
        <v>9</v>
      </c>
      <c r="U363" s="40">
        <v>9</v>
      </c>
      <c r="V363" s="40">
        <v>9</v>
      </c>
      <c r="W363" s="41" t="str">
        <f t="shared" si="73"/>
        <v>Y</v>
      </c>
      <c r="X363" s="56">
        <f t="shared" si="74"/>
        <v>0.26600000000000001</v>
      </c>
      <c r="Y363" s="56" t="str">
        <f t="shared" si="64"/>
        <v>25-50%</v>
      </c>
      <c r="Z363" s="8" t="s">
        <v>111</v>
      </c>
      <c r="AB363" s="38">
        <v>6740</v>
      </c>
      <c r="AC363" s="38">
        <v>12400</v>
      </c>
      <c r="AD363" s="38">
        <v>11660</v>
      </c>
      <c r="AE363" s="38"/>
      <c r="AF363" s="38"/>
      <c r="AG363" s="38"/>
      <c r="AH363" s="38"/>
    </row>
    <row r="364" spans="1:34" ht="24" customHeight="1" x14ac:dyDescent="0.25">
      <c r="A364" s="10">
        <v>59</v>
      </c>
      <c r="B364" s="9">
        <v>0.37986111111111115</v>
      </c>
      <c r="C364" s="5" t="s">
        <v>20</v>
      </c>
      <c r="D364" s="5">
        <v>9</v>
      </c>
      <c r="E364" s="15"/>
      <c r="F364" s="15" t="s">
        <v>30</v>
      </c>
      <c r="G364" s="19">
        <f t="shared" si="65"/>
        <v>6.62</v>
      </c>
      <c r="H364" s="19">
        <f t="shared" si="66"/>
        <v>5.44</v>
      </c>
      <c r="I364" s="19">
        <f t="shared" si="67"/>
        <v>5.22</v>
      </c>
      <c r="J364" s="19">
        <f t="shared" si="68"/>
        <v>0</v>
      </c>
      <c r="K364" s="19">
        <f t="shared" si="69"/>
        <v>0</v>
      </c>
      <c r="L364" s="19">
        <f t="shared" si="70"/>
        <v>0</v>
      </c>
      <c r="M364" s="19">
        <f t="shared" si="71"/>
        <v>0</v>
      </c>
      <c r="N364" s="39">
        <f t="shared" si="72"/>
        <v>17.28</v>
      </c>
      <c r="O364" s="39">
        <f t="shared" si="63"/>
        <v>29.264499925601381</v>
      </c>
      <c r="P364" s="40">
        <v>8</v>
      </c>
      <c r="Q364" s="40">
        <v>10</v>
      </c>
      <c r="R364" s="40">
        <v>9</v>
      </c>
      <c r="S364" s="40">
        <v>9</v>
      </c>
      <c r="T364" s="40">
        <v>9</v>
      </c>
      <c r="U364" s="40">
        <v>9</v>
      </c>
      <c r="V364" s="40">
        <v>9</v>
      </c>
      <c r="W364" s="41" t="str">
        <f t="shared" si="73"/>
        <v>N</v>
      </c>
      <c r="X364" s="56">
        <f t="shared" si="74"/>
        <v>0</v>
      </c>
      <c r="Y364" s="56" t="str">
        <f t="shared" si="64"/>
        <v>0-4.9%</v>
      </c>
      <c r="Z364" s="8" t="s">
        <v>118</v>
      </c>
      <c r="AB364" s="38">
        <v>6620</v>
      </c>
      <c r="AC364" s="38">
        <v>5440</v>
      </c>
      <c r="AD364" s="38">
        <v>5220</v>
      </c>
      <c r="AE364" s="38"/>
      <c r="AF364" s="38"/>
      <c r="AG364" s="38"/>
      <c r="AH364" s="38"/>
    </row>
    <row r="365" spans="1:34" ht="24" customHeight="1" x14ac:dyDescent="0.25">
      <c r="A365" s="10">
        <v>62</v>
      </c>
      <c r="B365" s="9">
        <v>0.38472222222222219</v>
      </c>
      <c r="C365" s="5" t="s">
        <v>20</v>
      </c>
      <c r="D365" s="5">
        <v>9</v>
      </c>
      <c r="E365" s="15"/>
      <c r="F365" s="15" t="s">
        <v>30</v>
      </c>
      <c r="G365" s="19">
        <f t="shared" si="65"/>
        <v>8.76</v>
      </c>
      <c r="H365" s="19">
        <f t="shared" si="66"/>
        <v>11.8</v>
      </c>
      <c r="I365" s="19">
        <f t="shared" si="67"/>
        <v>11.68</v>
      </c>
      <c r="J365" s="19">
        <f t="shared" si="68"/>
        <v>0</v>
      </c>
      <c r="K365" s="19">
        <f t="shared" si="69"/>
        <v>0</v>
      </c>
      <c r="L365" s="19">
        <f t="shared" si="70"/>
        <v>0</v>
      </c>
      <c r="M365" s="19">
        <f t="shared" si="71"/>
        <v>0</v>
      </c>
      <c r="N365" s="39">
        <f t="shared" si="72"/>
        <v>32.24</v>
      </c>
      <c r="O365" s="39">
        <f t="shared" si="63"/>
        <v>484.36408660842261</v>
      </c>
      <c r="P365" s="40">
        <v>8</v>
      </c>
      <c r="Q365" s="40">
        <v>10</v>
      </c>
      <c r="R365" s="40">
        <v>9</v>
      </c>
      <c r="S365" s="40">
        <v>9</v>
      </c>
      <c r="T365" s="40">
        <v>9</v>
      </c>
      <c r="U365" s="40">
        <v>9</v>
      </c>
      <c r="V365" s="40">
        <v>9</v>
      </c>
      <c r="W365" s="41" t="str">
        <f t="shared" si="73"/>
        <v>Y</v>
      </c>
      <c r="X365" s="56">
        <f t="shared" si="74"/>
        <v>0.26799999999999996</v>
      </c>
      <c r="Y365" s="56" t="str">
        <f t="shared" si="64"/>
        <v>25-50%</v>
      </c>
      <c r="Z365" s="8" t="s">
        <v>111</v>
      </c>
      <c r="AB365" s="38">
        <v>8760</v>
      </c>
      <c r="AC365" s="38">
        <v>11800</v>
      </c>
      <c r="AD365" s="38">
        <v>11680</v>
      </c>
      <c r="AE365" s="38"/>
      <c r="AF365" s="38"/>
      <c r="AG365" s="38"/>
      <c r="AH365" s="38"/>
    </row>
    <row r="366" spans="1:34" ht="24" customHeight="1" x14ac:dyDescent="0.25">
      <c r="A366" s="10">
        <v>92</v>
      </c>
      <c r="B366" s="9">
        <v>0.43124999999999997</v>
      </c>
      <c r="C366" s="5" t="s">
        <v>20</v>
      </c>
      <c r="D366" s="5">
        <v>9</v>
      </c>
      <c r="E366" s="15"/>
      <c r="F366" s="15" t="s">
        <v>30</v>
      </c>
      <c r="G366" s="19">
        <f t="shared" si="65"/>
        <v>4.16</v>
      </c>
      <c r="H366" s="19">
        <f t="shared" si="66"/>
        <v>4.7</v>
      </c>
      <c r="I366" s="19">
        <f t="shared" si="67"/>
        <v>4.4000000000000004</v>
      </c>
      <c r="J366" s="19">
        <f t="shared" si="68"/>
        <v>0</v>
      </c>
      <c r="K366" s="19">
        <f t="shared" si="69"/>
        <v>0</v>
      </c>
      <c r="L366" s="19">
        <f t="shared" si="70"/>
        <v>0</v>
      </c>
      <c r="M366" s="19">
        <f t="shared" si="71"/>
        <v>0</v>
      </c>
      <c r="N366" s="39">
        <f t="shared" si="72"/>
        <v>13.26</v>
      </c>
      <c r="O366" s="39">
        <f t="shared" si="63"/>
        <v>8.8887387895339067</v>
      </c>
      <c r="P366" s="40">
        <v>8</v>
      </c>
      <c r="Q366" s="40">
        <v>10</v>
      </c>
      <c r="R366" s="40">
        <v>9</v>
      </c>
      <c r="S366" s="40">
        <v>9</v>
      </c>
      <c r="T366" s="40">
        <v>9</v>
      </c>
      <c r="U366" s="40">
        <v>9</v>
      </c>
      <c r="V366" s="40">
        <v>9</v>
      </c>
      <c r="W366" s="41" t="str">
        <f t="shared" si="73"/>
        <v>N</v>
      </c>
      <c r="X366" s="56">
        <f t="shared" si="74"/>
        <v>0</v>
      </c>
      <c r="Y366" s="56" t="str">
        <f t="shared" si="64"/>
        <v>0-4.9%</v>
      </c>
      <c r="Z366" s="8" t="s">
        <v>118</v>
      </c>
      <c r="AB366" s="38">
        <v>4160</v>
      </c>
      <c r="AC366" s="38">
        <v>4700</v>
      </c>
      <c r="AD366" s="38">
        <v>4400</v>
      </c>
      <c r="AE366" s="38"/>
      <c r="AF366" s="38"/>
      <c r="AG366" s="38"/>
      <c r="AH366" s="38"/>
    </row>
    <row r="367" spans="1:34" ht="24" customHeight="1" x14ac:dyDescent="0.25">
      <c r="A367" s="10">
        <v>105</v>
      </c>
      <c r="B367" s="9">
        <v>0.45277777777777778</v>
      </c>
      <c r="C367" s="5" t="s">
        <v>20</v>
      </c>
      <c r="D367" s="5">
        <v>9</v>
      </c>
      <c r="E367" s="15"/>
      <c r="F367" s="15" t="s">
        <v>30</v>
      </c>
      <c r="G367" s="19">
        <f t="shared" si="65"/>
        <v>7.54</v>
      </c>
      <c r="H367" s="19">
        <f t="shared" si="66"/>
        <v>5.68</v>
      </c>
      <c r="I367" s="19">
        <f t="shared" si="67"/>
        <v>5.66</v>
      </c>
      <c r="J367" s="19">
        <f t="shared" si="68"/>
        <v>0</v>
      </c>
      <c r="K367" s="19">
        <f t="shared" si="69"/>
        <v>0</v>
      </c>
      <c r="L367" s="19">
        <f t="shared" si="70"/>
        <v>0</v>
      </c>
      <c r="M367" s="19">
        <f t="shared" si="71"/>
        <v>0</v>
      </c>
      <c r="N367" s="39">
        <f t="shared" si="72"/>
        <v>18.88</v>
      </c>
      <c r="O367" s="39">
        <f t="shared" si="63"/>
        <v>43.5916432251435</v>
      </c>
      <c r="P367" s="40">
        <v>8</v>
      </c>
      <c r="Q367" s="40">
        <v>10</v>
      </c>
      <c r="R367" s="40">
        <v>9</v>
      </c>
      <c r="S367" s="40">
        <v>9</v>
      </c>
      <c r="T367" s="40">
        <v>9</v>
      </c>
      <c r="U367" s="40">
        <v>9</v>
      </c>
      <c r="V367" s="40">
        <v>9</v>
      </c>
      <c r="W367" s="41" t="str">
        <f t="shared" si="73"/>
        <v>N</v>
      </c>
      <c r="X367" s="56">
        <f t="shared" si="74"/>
        <v>0</v>
      </c>
      <c r="Y367" s="56" t="str">
        <f t="shared" si="64"/>
        <v>0-4.9%</v>
      </c>
      <c r="Z367" s="8" t="s">
        <v>118</v>
      </c>
      <c r="AB367" s="38">
        <v>7540</v>
      </c>
      <c r="AC367" s="38">
        <v>5680</v>
      </c>
      <c r="AD367" s="38">
        <v>5660</v>
      </c>
      <c r="AE367" s="38"/>
      <c r="AF367" s="38"/>
      <c r="AG367" s="38"/>
      <c r="AH367" s="38"/>
    </row>
    <row r="368" spans="1:34" ht="24" customHeight="1" x14ac:dyDescent="0.25">
      <c r="A368" s="10">
        <v>108</v>
      </c>
      <c r="B368" s="9">
        <v>0.46527777777777773</v>
      </c>
      <c r="C368" s="5" t="s">
        <v>20</v>
      </c>
      <c r="D368" s="5">
        <v>9</v>
      </c>
      <c r="E368" s="15"/>
      <c r="F368" s="15" t="s">
        <v>30</v>
      </c>
      <c r="G368" s="19">
        <f t="shared" si="65"/>
        <v>5.56</v>
      </c>
      <c r="H368" s="19">
        <f t="shared" si="66"/>
        <v>4.22</v>
      </c>
      <c r="I368" s="19">
        <f t="shared" si="67"/>
        <v>4.3600000000000003</v>
      </c>
      <c r="J368" s="19">
        <f t="shared" si="68"/>
        <v>0</v>
      </c>
      <c r="K368" s="19">
        <f t="shared" si="69"/>
        <v>0</v>
      </c>
      <c r="L368" s="19">
        <f t="shared" si="70"/>
        <v>0</v>
      </c>
      <c r="M368" s="19">
        <f t="shared" si="71"/>
        <v>0</v>
      </c>
      <c r="N368" s="39">
        <f t="shared" si="72"/>
        <v>14.14</v>
      </c>
      <c r="O368" s="39">
        <f t="shared" si="63"/>
        <v>11.869068278298135</v>
      </c>
      <c r="P368" s="40">
        <v>8</v>
      </c>
      <c r="Q368" s="40">
        <v>10</v>
      </c>
      <c r="R368" s="40">
        <v>9</v>
      </c>
      <c r="S368" s="40">
        <v>9</v>
      </c>
      <c r="T368" s="40">
        <v>9</v>
      </c>
      <c r="U368" s="40">
        <v>9</v>
      </c>
      <c r="V368" s="40">
        <v>9</v>
      </c>
      <c r="W368" s="41" t="str">
        <f t="shared" si="73"/>
        <v>N</v>
      </c>
      <c r="X368" s="56">
        <f t="shared" si="74"/>
        <v>0</v>
      </c>
      <c r="Y368" s="56" t="str">
        <f t="shared" si="64"/>
        <v>0-4.9%</v>
      </c>
      <c r="Z368" s="8" t="s">
        <v>118</v>
      </c>
      <c r="AB368" s="38">
        <v>5560</v>
      </c>
      <c r="AC368" s="38">
        <v>4220</v>
      </c>
      <c r="AD368" s="38">
        <v>4360</v>
      </c>
      <c r="AE368" s="38"/>
      <c r="AF368" s="38"/>
      <c r="AG368" s="38"/>
      <c r="AH368" s="38"/>
    </row>
    <row r="369" spans="1:34" ht="24" customHeight="1" x14ac:dyDescent="0.25">
      <c r="A369" s="10">
        <v>115</v>
      </c>
      <c r="B369" s="9"/>
      <c r="C369" s="5" t="s">
        <v>20</v>
      </c>
      <c r="D369" s="5">
        <v>9</v>
      </c>
      <c r="E369" s="15"/>
      <c r="F369" s="15" t="s">
        <v>30</v>
      </c>
      <c r="G369" s="19">
        <f t="shared" si="65"/>
        <v>6.8</v>
      </c>
      <c r="H369" s="19">
        <f t="shared" si="66"/>
        <v>10.76</v>
      </c>
      <c r="I369" s="19">
        <f t="shared" si="67"/>
        <v>12.14</v>
      </c>
      <c r="J369" s="19">
        <f t="shared" si="68"/>
        <v>0</v>
      </c>
      <c r="K369" s="19">
        <f t="shared" si="69"/>
        <v>0</v>
      </c>
      <c r="L369" s="19">
        <f t="shared" si="70"/>
        <v>0</v>
      </c>
      <c r="M369" s="19">
        <f t="shared" si="71"/>
        <v>0</v>
      </c>
      <c r="N369" s="39">
        <f t="shared" si="72"/>
        <v>29.7</v>
      </c>
      <c r="O369" s="39">
        <f t="shared" si="63"/>
        <v>334.80991261438515</v>
      </c>
      <c r="P369" s="40">
        <v>8</v>
      </c>
      <c r="Q369" s="40">
        <v>10</v>
      </c>
      <c r="R369" s="40">
        <v>9</v>
      </c>
      <c r="S369" s="40">
        <v>9</v>
      </c>
      <c r="T369" s="40">
        <v>9</v>
      </c>
      <c r="U369" s="40">
        <v>9</v>
      </c>
      <c r="V369" s="40">
        <v>9</v>
      </c>
      <c r="W369" s="41" t="str">
        <f t="shared" si="73"/>
        <v>Y</v>
      </c>
      <c r="X369" s="56">
        <f t="shared" si="74"/>
        <v>0.31400000000000006</v>
      </c>
      <c r="Y369" s="56" t="str">
        <f t="shared" si="64"/>
        <v>25-50%</v>
      </c>
      <c r="Z369" s="8" t="s">
        <v>111</v>
      </c>
      <c r="AB369" s="38">
        <v>6800</v>
      </c>
      <c r="AC369" s="38">
        <v>10760</v>
      </c>
      <c r="AD369" s="38">
        <v>12140</v>
      </c>
      <c r="AE369" s="38"/>
      <c r="AF369" s="38"/>
      <c r="AG369" s="38"/>
      <c r="AH369" s="38"/>
    </row>
    <row r="370" spans="1:34" ht="24" customHeight="1" x14ac:dyDescent="0.25">
      <c r="A370" s="10">
        <v>154</v>
      </c>
      <c r="B370" s="9"/>
      <c r="C370" s="5" t="s">
        <v>20</v>
      </c>
      <c r="D370" s="5">
        <v>9</v>
      </c>
      <c r="E370" s="15"/>
      <c r="F370" s="15" t="s">
        <v>30</v>
      </c>
      <c r="G370" s="19">
        <f t="shared" si="65"/>
        <v>6.68</v>
      </c>
      <c r="H370" s="19">
        <f t="shared" si="66"/>
        <v>4.24</v>
      </c>
      <c r="I370" s="19">
        <f t="shared" si="67"/>
        <v>3.9</v>
      </c>
      <c r="J370" s="19">
        <f t="shared" si="68"/>
        <v>0</v>
      </c>
      <c r="K370" s="19">
        <f t="shared" si="69"/>
        <v>0</v>
      </c>
      <c r="L370" s="19">
        <f t="shared" si="70"/>
        <v>0</v>
      </c>
      <c r="M370" s="19">
        <f t="shared" si="71"/>
        <v>0</v>
      </c>
      <c r="N370" s="39">
        <f t="shared" si="72"/>
        <v>14.82</v>
      </c>
      <c r="O370" s="39">
        <f t="shared" si="63"/>
        <v>14.662607257079339</v>
      </c>
      <c r="P370" s="40">
        <v>8</v>
      </c>
      <c r="Q370" s="40">
        <v>10</v>
      </c>
      <c r="R370" s="40">
        <v>9</v>
      </c>
      <c r="S370" s="40">
        <v>9</v>
      </c>
      <c r="T370" s="40">
        <v>9</v>
      </c>
      <c r="U370" s="40">
        <v>9</v>
      </c>
      <c r="V370" s="40">
        <v>9</v>
      </c>
      <c r="W370" s="41" t="str">
        <f t="shared" si="73"/>
        <v>N</v>
      </c>
      <c r="X370" s="56">
        <f t="shared" si="74"/>
        <v>0</v>
      </c>
      <c r="Y370" s="56" t="str">
        <f t="shared" si="64"/>
        <v>0-4.9%</v>
      </c>
      <c r="Z370" s="8" t="s">
        <v>118</v>
      </c>
      <c r="AB370" s="38">
        <v>6680</v>
      </c>
      <c r="AC370" s="38">
        <v>4240</v>
      </c>
      <c r="AD370" s="38">
        <v>3900</v>
      </c>
      <c r="AE370" s="38"/>
      <c r="AF370" s="38"/>
      <c r="AG370" s="38"/>
      <c r="AH370" s="38"/>
    </row>
    <row r="371" spans="1:34" ht="24" customHeight="1" x14ac:dyDescent="0.25">
      <c r="A371" s="10">
        <v>2</v>
      </c>
      <c r="B371" s="9">
        <v>0.34375</v>
      </c>
      <c r="C371" s="5" t="s">
        <v>20</v>
      </c>
      <c r="D371" s="5">
        <f t="shared" ref="D371:D390" si="75">IF(COUNT(G371:M371)&gt;3,10,IF(COUNT(G371:M371)&gt;2,9,7))</f>
        <v>10</v>
      </c>
      <c r="E371" s="15"/>
      <c r="F371" s="15" t="s">
        <v>24</v>
      </c>
      <c r="G371" s="19">
        <f t="shared" si="65"/>
        <v>7.4</v>
      </c>
      <c r="H371" s="19">
        <f t="shared" si="66"/>
        <v>12.26</v>
      </c>
      <c r="I371" s="19">
        <f t="shared" si="67"/>
        <v>11.88</v>
      </c>
      <c r="J371" s="19">
        <f t="shared" si="68"/>
        <v>10.4</v>
      </c>
      <c r="K371" s="19">
        <f t="shared" si="69"/>
        <v>10.52</v>
      </c>
      <c r="L371" s="19">
        <f t="shared" si="70"/>
        <v>11.52</v>
      </c>
      <c r="M371" s="19">
        <f t="shared" si="71"/>
        <v>10.9</v>
      </c>
      <c r="N371" s="39">
        <f t="shared" si="72"/>
        <v>74.88</v>
      </c>
      <c r="O371" s="39">
        <f t="shared" si="63"/>
        <v>21480.310082086744</v>
      </c>
      <c r="P371" s="40">
        <v>8</v>
      </c>
      <c r="Q371" s="40">
        <v>10</v>
      </c>
      <c r="R371" s="40">
        <v>9</v>
      </c>
      <c r="S371" s="40">
        <v>9</v>
      </c>
      <c r="T371" s="40">
        <v>9</v>
      </c>
      <c r="U371" s="40">
        <v>9</v>
      </c>
      <c r="V371" s="40">
        <v>9</v>
      </c>
      <c r="W371" s="41" t="str">
        <f t="shared" si="73"/>
        <v>Y</v>
      </c>
      <c r="X371" s="56">
        <f t="shared" si="74"/>
        <v>0.28800000000000009</v>
      </c>
      <c r="Y371" s="56" t="str">
        <f t="shared" si="64"/>
        <v>25-50%</v>
      </c>
      <c r="Z371" s="8" t="s">
        <v>145</v>
      </c>
      <c r="AB371" s="38">
        <v>7400</v>
      </c>
      <c r="AC371" s="38">
        <v>12260</v>
      </c>
      <c r="AD371" s="38">
        <v>11880</v>
      </c>
      <c r="AE371" s="38">
        <v>10400</v>
      </c>
      <c r="AF371" s="38">
        <v>10520</v>
      </c>
      <c r="AG371" s="38">
        <v>11520</v>
      </c>
      <c r="AH371" s="38">
        <v>10900</v>
      </c>
    </row>
    <row r="372" spans="1:34" ht="24" customHeight="1" x14ac:dyDescent="0.25">
      <c r="A372" s="10">
        <v>10</v>
      </c>
      <c r="B372" s="9">
        <v>0.35902777777777778</v>
      </c>
      <c r="C372" s="5" t="s">
        <v>20</v>
      </c>
      <c r="D372" s="5">
        <f t="shared" si="75"/>
        <v>10</v>
      </c>
      <c r="E372" s="15"/>
      <c r="F372" s="15" t="s">
        <v>25</v>
      </c>
      <c r="G372" s="19">
        <f t="shared" si="65"/>
        <v>8.58</v>
      </c>
      <c r="H372" s="19">
        <f t="shared" si="66"/>
        <v>11.5</v>
      </c>
      <c r="I372" s="19">
        <f t="shared" si="67"/>
        <v>12</v>
      </c>
      <c r="J372" s="19">
        <f t="shared" si="68"/>
        <v>12.32</v>
      </c>
      <c r="K372" s="19">
        <f t="shared" si="69"/>
        <v>10.06</v>
      </c>
      <c r="L372" s="19">
        <f t="shared" si="70"/>
        <v>9.84</v>
      </c>
      <c r="M372" s="19">
        <f t="shared" si="71"/>
        <v>0</v>
      </c>
      <c r="N372" s="39">
        <f t="shared" si="72"/>
        <v>64.3</v>
      </c>
      <c r="O372" s="39">
        <f t="shared" si="63"/>
        <v>10822.900449517485</v>
      </c>
      <c r="P372" s="40">
        <v>8</v>
      </c>
      <c r="Q372" s="40">
        <v>10</v>
      </c>
      <c r="R372" s="40">
        <v>9</v>
      </c>
      <c r="S372" s="40">
        <v>9</v>
      </c>
      <c r="T372" s="40">
        <v>9</v>
      </c>
      <c r="U372" s="40">
        <v>9</v>
      </c>
      <c r="V372" s="40">
        <v>9</v>
      </c>
      <c r="W372" s="41" t="str">
        <f t="shared" si="73"/>
        <v>Y</v>
      </c>
      <c r="X372" s="56">
        <f t="shared" si="74"/>
        <v>0.33200000000000002</v>
      </c>
      <c r="Y372" s="56" t="str">
        <f t="shared" si="64"/>
        <v>25-50%</v>
      </c>
      <c r="Z372" s="8" t="s">
        <v>145</v>
      </c>
      <c r="AB372" s="38">
        <v>8580</v>
      </c>
      <c r="AC372" s="38">
        <v>11500</v>
      </c>
      <c r="AD372" s="38">
        <v>12000</v>
      </c>
      <c r="AE372" s="38">
        <v>12320</v>
      </c>
      <c r="AF372" s="38">
        <v>10060</v>
      </c>
      <c r="AG372" s="38">
        <v>9840</v>
      </c>
      <c r="AH372" s="38"/>
    </row>
    <row r="373" spans="1:34" ht="24" customHeight="1" x14ac:dyDescent="0.25">
      <c r="A373" s="10">
        <v>15</v>
      </c>
      <c r="B373" s="9">
        <v>0.37986111111111115</v>
      </c>
      <c r="C373" s="5" t="s">
        <v>20</v>
      </c>
      <c r="D373" s="5">
        <f t="shared" si="75"/>
        <v>10</v>
      </c>
      <c r="E373" s="15"/>
      <c r="F373" s="15" t="s">
        <v>26</v>
      </c>
      <c r="G373" s="19">
        <f t="shared" si="65"/>
        <v>7.02</v>
      </c>
      <c r="H373" s="19">
        <f t="shared" si="66"/>
        <v>11.08</v>
      </c>
      <c r="I373" s="19">
        <f t="shared" si="67"/>
        <v>10.06</v>
      </c>
      <c r="J373" s="19">
        <f t="shared" si="68"/>
        <v>14.8</v>
      </c>
      <c r="K373" s="19">
        <f t="shared" si="69"/>
        <v>11.74</v>
      </c>
      <c r="L373" s="19">
        <f t="shared" si="70"/>
        <v>11</v>
      </c>
      <c r="M373" s="19">
        <f t="shared" si="71"/>
        <v>0</v>
      </c>
      <c r="N373" s="39">
        <f t="shared" si="72"/>
        <v>65.700000000000017</v>
      </c>
      <c r="O373" s="39">
        <f t="shared" si="63"/>
        <v>11924.452518633179</v>
      </c>
      <c r="P373" s="40">
        <v>8</v>
      </c>
      <c r="Q373" s="40">
        <v>10</v>
      </c>
      <c r="R373" s="40">
        <v>9</v>
      </c>
      <c r="S373" s="40">
        <v>9</v>
      </c>
      <c r="T373" s="40">
        <v>9</v>
      </c>
      <c r="U373" s="40">
        <v>9</v>
      </c>
      <c r="V373" s="40">
        <v>9</v>
      </c>
      <c r="W373" s="41" t="str">
        <f t="shared" si="73"/>
        <v>Y</v>
      </c>
      <c r="X373" s="56">
        <f t="shared" si="74"/>
        <v>0.58000000000000007</v>
      </c>
      <c r="Y373" s="56" t="str">
        <f t="shared" si="64"/>
        <v>Over 50%</v>
      </c>
      <c r="Z373" s="8" t="s">
        <v>111</v>
      </c>
      <c r="AB373" s="38">
        <v>7020</v>
      </c>
      <c r="AC373" s="38">
        <v>11080</v>
      </c>
      <c r="AD373" s="38">
        <v>10060</v>
      </c>
      <c r="AE373" s="38">
        <v>14800</v>
      </c>
      <c r="AF373" s="38">
        <v>11740</v>
      </c>
      <c r="AG373" s="38">
        <v>11000</v>
      </c>
      <c r="AH373" s="38"/>
    </row>
    <row r="374" spans="1:34" ht="24" customHeight="1" x14ac:dyDescent="0.25">
      <c r="A374" s="10">
        <v>21</v>
      </c>
      <c r="B374" s="9">
        <v>0.42083333333333334</v>
      </c>
      <c r="C374" s="5" t="s">
        <v>20</v>
      </c>
      <c r="D374" s="5">
        <f t="shared" si="75"/>
        <v>10</v>
      </c>
      <c r="E374" s="15"/>
      <c r="F374" s="15" t="s">
        <v>27</v>
      </c>
      <c r="G374" s="19">
        <f t="shared" si="65"/>
        <v>6.9</v>
      </c>
      <c r="H374" s="19">
        <f t="shared" si="66"/>
        <v>2.52</v>
      </c>
      <c r="I374" s="19">
        <f t="shared" si="67"/>
        <v>5.12</v>
      </c>
      <c r="J374" s="19">
        <f t="shared" si="68"/>
        <v>3.62</v>
      </c>
      <c r="K374" s="19">
        <f t="shared" si="69"/>
        <v>4.12</v>
      </c>
      <c r="L374" s="19">
        <f t="shared" si="70"/>
        <v>3.58</v>
      </c>
      <c r="M374" s="19">
        <f t="shared" si="71"/>
        <v>0</v>
      </c>
      <c r="N374" s="39">
        <f t="shared" si="72"/>
        <v>25.86</v>
      </c>
      <c r="O374" s="39">
        <f t="shared" si="63"/>
        <v>179.56538791166957</v>
      </c>
      <c r="P374" s="40">
        <v>8</v>
      </c>
      <c r="Q374" s="40">
        <v>10</v>
      </c>
      <c r="R374" s="40">
        <v>9</v>
      </c>
      <c r="S374" s="40">
        <v>9</v>
      </c>
      <c r="T374" s="40">
        <v>9</v>
      </c>
      <c r="U374" s="40">
        <v>9</v>
      </c>
      <c r="V374" s="40">
        <v>9</v>
      </c>
      <c r="W374" s="41" t="str">
        <f t="shared" si="73"/>
        <v>N</v>
      </c>
      <c r="X374" s="56">
        <f t="shared" si="74"/>
        <v>0</v>
      </c>
      <c r="Y374" s="56" t="str">
        <f t="shared" si="64"/>
        <v>0-4.9%</v>
      </c>
      <c r="Z374" s="8" t="s">
        <v>118</v>
      </c>
      <c r="AB374" s="38">
        <v>6900</v>
      </c>
      <c r="AC374" s="38">
        <v>2520</v>
      </c>
      <c r="AD374" s="38">
        <v>5120</v>
      </c>
      <c r="AE374" s="38">
        <v>3620</v>
      </c>
      <c r="AF374" s="38">
        <v>4120</v>
      </c>
      <c r="AG374" s="38">
        <v>3580</v>
      </c>
      <c r="AH374" s="38"/>
    </row>
    <row r="375" spans="1:34" ht="24" customHeight="1" x14ac:dyDescent="0.25">
      <c r="A375" s="10">
        <v>27</v>
      </c>
      <c r="B375" s="9">
        <v>0.44722222222222219</v>
      </c>
      <c r="C375" s="5" t="s">
        <v>20</v>
      </c>
      <c r="D375" s="5">
        <f t="shared" si="75"/>
        <v>10</v>
      </c>
      <c r="E375" s="15"/>
      <c r="F375" s="15" t="s">
        <v>28</v>
      </c>
      <c r="G375" s="19">
        <f t="shared" si="65"/>
        <v>8.2200000000000006</v>
      </c>
      <c r="H375" s="19">
        <f t="shared" si="66"/>
        <v>10.220000000000001</v>
      </c>
      <c r="I375" s="19">
        <f t="shared" si="67"/>
        <v>15.56</v>
      </c>
      <c r="J375" s="19">
        <f t="shared" si="68"/>
        <v>12.6</v>
      </c>
      <c r="K375" s="19">
        <f t="shared" si="69"/>
        <v>11.12</v>
      </c>
      <c r="L375" s="19">
        <f t="shared" si="70"/>
        <v>10.96</v>
      </c>
      <c r="M375" s="19">
        <f t="shared" si="71"/>
        <v>0</v>
      </c>
      <c r="N375" s="39">
        <f t="shared" si="72"/>
        <v>68.680000000000007</v>
      </c>
      <c r="O375" s="39">
        <f t="shared" si="63"/>
        <v>14558.967441254676</v>
      </c>
      <c r="P375" s="40">
        <v>8</v>
      </c>
      <c r="Q375" s="40">
        <v>10</v>
      </c>
      <c r="R375" s="40">
        <v>9</v>
      </c>
      <c r="S375" s="40">
        <v>9</v>
      </c>
      <c r="T375" s="40">
        <v>9</v>
      </c>
      <c r="U375" s="40">
        <v>9</v>
      </c>
      <c r="V375" s="40">
        <v>9</v>
      </c>
      <c r="W375" s="41" t="str">
        <f t="shared" si="73"/>
        <v>Y</v>
      </c>
      <c r="X375" s="56">
        <f t="shared" si="74"/>
        <v>0.65600000000000003</v>
      </c>
      <c r="Y375" s="56" t="str">
        <f t="shared" si="64"/>
        <v>Over 50%</v>
      </c>
      <c r="Z375" s="8" t="s">
        <v>145</v>
      </c>
      <c r="AB375" s="38">
        <v>8220</v>
      </c>
      <c r="AC375" s="38">
        <v>10220</v>
      </c>
      <c r="AD375" s="38">
        <v>15560</v>
      </c>
      <c r="AE375" s="38">
        <v>12600</v>
      </c>
      <c r="AF375" s="38">
        <v>11120</v>
      </c>
      <c r="AG375" s="38">
        <v>10960</v>
      </c>
      <c r="AH375" s="38"/>
    </row>
    <row r="376" spans="1:34" ht="24" customHeight="1" x14ac:dyDescent="0.25">
      <c r="A376" s="10">
        <v>28</v>
      </c>
      <c r="B376" s="9">
        <v>0.44791666666666669</v>
      </c>
      <c r="C376" s="5" t="s">
        <v>20</v>
      </c>
      <c r="D376" s="5">
        <f t="shared" si="75"/>
        <v>10</v>
      </c>
      <c r="E376" s="15"/>
      <c r="F376" s="15" t="s">
        <v>26</v>
      </c>
      <c r="G376" s="19">
        <f t="shared" si="65"/>
        <v>6.26</v>
      </c>
      <c r="H376" s="19">
        <f t="shared" si="66"/>
        <v>4.18</v>
      </c>
      <c r="I376" s="19">
        <f t="shared" si="67"/>
        <v>3.94</v>
      </c>
      <c r="J376" s="19">
        <f t="shared" si="68"/>
        <v>3.04</v>
      </c>
      <c r="K376" s="19">
        <f t="shared" si="69"/>
        <v>2.74</v>
      </c>
      <c r="L376" s="19">
        <f t="shared" si="70"/>
        <v>4.46</v>
      </c>
      <c r="M376" s="19">
        <f t="shared" si="71"/>
        <v>0</v>
      </c>
      <c r="N376" s="39">
        <f t="shared" si="72"/>
        <v>24.619999999999997</v>
      </c>
      <c r="O376" s="39">
        <f t="shared" si="63"/>
        <v>143.94298490489118</v>
      </c>
      <c r="P376" s="40">
        <v>8</v>
      </c>
      <c r="Q376" s="40">
        <v>10</v>
      </c>
      <c r="R376" s="40">
        <v>9</v>
      </c>
      <c r="S376" s="40">
        <v>9</v>
      </c>
      <c r="T376" s="40">
        <v>9</v>
      </c>
      <c r="U376" s="40">
        <v>9</v>
      </c>
      <c r="V376" s="40">
        <v>9</v>
      </c>
      <c r="W376" s="41" t="str">
        <f t="shared" si="73"/>
        <v>N</v>
      </c>
      <c r="X376" s="56">
        <f t="shared" si="74"/>
        <v>0</v>
      </c>
      <c r="Y376" s="56" t="str">
        <f t="shared" si="64"/>
        <v>0-4.9%</v>
      </c>
      <c r="Z376" s="8" t="s">
        <v>118</v>
      </c>
      <c r="AB376" s="38">
        <v>6260</v>
      </c>
      <c r="AC376" s="38">
        <v>4180</v>
      </c>
      <c r="AD376" s="38">
        <v>3940</v>
      </c>
      <c r="AE376" s="38">
        <v>3040</v>
      </c>
      <c r="AF376" s="38">
        <v>2740</v>
      </c>
      <c r="AG376" s="38">
        <v>4460</v>
      </c>
      <c r="AH376" s="38"/>
    </row>
    <row r="377" spans="1:34" ht="24" customHeight="1" x14ac:dyDescent="0.25">
      <c r="A377" s="10">
        <v>30</v>
      </c>
      <c r="B377" s="9">
        <v>0.4513888888888889</v>
      </c>
      <c r="C377" s="5" t="s">
        <v>20</v>
      </c>
      <c r="D377" s="5">
        <f t="shared" si="75"/>
        <v>10</v>
      </c>
      <c r="E377" s="15"/>
      <c r="F377" s="15" t="s">
        <v>24</v>
      </c>
      <c r="G377" s="19">
        <f t="shared" si="65"/>
        <v>11.54</v>
      </c>
      <c r="H377" s="19">
        <f t="shared" si="66"/>
        <v>11.74</v>
      </c>
      <c r="I377" s="19">
        <f t="shared" si="67"/>
        <v>12.6</v>
      </c>
      <c r="J377" s="19">
        <f t="shared" si="68"/>
        <v>13.04</v>
      </c>
      <c r="K377" s="19">
        <f t="shared" si="69"/>
        <v>12.06</v>
      </c>
      <c r="L377" s="19">
        <f t="shared" si="70"/>
        <v>13.46</v>
      </c>
      <c r="M377" s="19">
        <f t="shared" si="71"/>
        <v>13.76</v>
      </c>
      <c r="N377" s="39">
        <f t="shared" si="72"/>
        <v>88.2</v>
      </c>
      <c r="O377" s="39">
        <f t="shared" si="63"/>
        <v>44874.840576223105</v>
      </c>
      <c r="P377" s="40">
        <v>8</v>
      </c>
      <c r="Q377" s="40">
        <v>10</v>
      </c>
      <c r="R377" s="40">
        <v>9</v>
      </c>
      <c r="S377" s="40">
        <v>9</v>
      </c>
      <c r="T377" s="40">
        <v>9</v>
      </c>
      <c r="U377" s="40">
        <v>9</v>
      </c>
      <c r="V377" s="40">
        <v>9</v>
      </c>
      <c r="W377" s="41" t="str">
        <f t="shared" si="73"/>
        <v>Y</v>
      </c>
      <c r="X377" s="56">
        <f t="shared" si="74"/>
        <v>0.47599999999999998</v>
      </c>
      <c r="Y377" s="56" t="str">
        <f t="shared" si="64"/>
        <v>25-50%</v>
      </c>
      <c r="Z377" s="8" t="s">
        <v>145</v>
      </c>
      <c r="AB377" s="38">
        <v>11540</v>
      </c>
      <c r="AC377" s="38">
        <v>11740</v>
      </c>
      <c r="AD377" s="38">
        <v>12600</v>
      </c>
      <c r="AE377" s="38">
        <v>13040</v>
      </c>
      <c r="AF377" s="38">
        <v>12060</v>
      </c>
      <c r="AG377" s="38">
        <v>13460</v>
      </c>
      <c r="AH377" s="38">
        <v>13760</v>
      </c>
    </row>
    <row r="378" spans="1:34" ht="24" customHeight="1" x14ac:dyDescent="0.25">
      <c r="A378" s="10">
        <v>41</v>
      </c>
      <c r="B378" s="9">
        <v>0.47500000000000003</v>
      </c>
      <c r="C378" s="5" t="s">
        <v>20</v>
      </c>
      <c r="D378" s="5">
        <f t="shared" si="75"/>
        <v>10</v>
      </c>
      <c r="E378" s="15"/>
      <c r="F378" s="15" t="s">
        <v>31</v>
      </c>
      <c r="G378" s="19">
        <f t="shared" si="65"/>
        <v>4.04</v>
      </c>
      <c r="H378" s="19">
        <f t="shared" si="66"/>
        <v>3.98</v>
      </c>
      <c r="I378" s="19">
        <f t="shared" si="67"/>
        <v>3.68</v>
      </c>
      <c r="J378" s="19">
        <f t="shared" si="68"/>
        <v>4.6399999999999997</v>
      </c>
      <c r="K378" s="19">
        <f t="shared" si="69"/>
        <v>0</v>
      </c>
      <c r="L378" s="19">
        <f t="shared" si="70"/>
        <v>0</v>
      </c>
      <c r="M378" s="19">
        <f t="shared" si="71"/>
        <v>0</v>
      </c>
      <c r="N378" s="39">
        <f t="shared" si="72"/>
        <v>16.34</v>
      </c>
      <c r="O378" s="39">
        <f t="shared" si="63"/>
        <v>22.752468432791847</v>
      </c>
      <c r="P378" s="40">
        <v>8</v>
      </c>
      <c r="Q378" s="40">
        <v>10</v>
      </c>
      <c r="R378" s="40">
        <v>9</v>
      </c>
      <c r="S378" s="40">
        <v>9</v>
      </c>
      <c r="T378" s="40">
        <v>9</v>
      </c>
      <c r="U378" s="40">
        <v>9</v>
      </c>
      <c r="V378" s="40">
        <v>9</v>
      </c>
      <c r="W378" s="41" t="str">
        <f t="shared" si="73"/>
        <v>N</v>
      </c>
      <c r="X378" s="56">
        <f t="shared" si="74"/>
        <v>0</v>
      </c>
      <c r="Y378" s="56" t="str">
        <f t="shared" si="64"/>
        <v>0-4.9%</v>
      </c>
      <c r="Z378" s="8" t="s">
        <v>118</v>
      </c>
      <c r="AB378" s="38">
        <v>4040</v>
      </c>
      <c r="AC378" s="38">
        <v>3980</v>
      </c>
      <c r="AD378" s="38">
        <v>3680</v>
      </c>
      <c r="AE378" s="38">
        <v>4640</v>
      </c>
      <c r="AF378" s="38"/>
      <c r="AG378" s="38"/>
      <c r="AH378" s="38"/>
    </row>
    <row r="379" spans="1:34" ht="24" customHeight="1" x14ac:dyDescent="0.25">
      <c r="A379" s="10">
        <v>56</v>
      </c>
      <c r="B379" s="9"/>
      <c r="C379" s="5" t="s">
        <v>20</v>
      </c>
      <c r="D379" s="5">
        <f t="shared" si="75"/>
        <v>10</v>
      </c>
      <c r="E379" s="15"/>
      <c r="F379" s="15" t="s">
        <v>26</v>
      </c>
      <c r="G379" s="19">
        <f t="shared" si="65"/>
        <v>7.7</v>
      </c>
      <c r="H379" s="19">
        <f t="shared" si="66"/>
        <v>13.58</v>
      </c>
      <c r="I379" s="19">
        <f t="shared" si="67"/>
        <v>10.82</v>
      </c>
      <c r="J379" s="19">
        <f t="shared" si="68"/>
        <v>14.26</v>
      </c>
      <c r="K379" s="19">
        <f t="shared" si="69"/>
        <v>11.62</v>
      </c>
      <c r="L379" s="19">
        <f t="shared" si="70"/>
        <v>14.14</v>
      </c>
      <c r="M379" s="19">
        <f t="shared" si="71"/>
        <v>0</v>
      </c>
      <c r="N379" s="39">
        <f t="shared" si="72"/>
        <v>72.12</v>
      </c>
      <c r="O379" s="39">
        <f t="shared" si="63"/>
        <v>18140.323048101931</v>
      </c>
      <c r="P379" s="40">
        <v>8</v>
      </c>
      <c r="Q379" s="40">
        <v>10</v>
      </c>
      <c r="R379" s="40">
        <v>9</v>
      </c>
      <c r="S379" s="40">
        <v>9</v>
      </c>
      <c r="T379" s="40">
        <v>9</v>
      </c>
      <c r="U379" s="40">
        <v>9</v>
      </c>
      <c r="V379" s="40">
        <v>9</v>
      </c>
      <c r="W379" s="41" t="str">
        <f t="shared" si="73"/>
        <v>Y</v>
      </c>
      <c r="X379" s="56">
        <f t="shared" si="74"/>
        <v>0.52600000000000002</v>
      </c>
      <c r="Y379" s="56" t="str">
        <f t="shared" si="64"/>
        <v>Over 50%</v>
      </c>
      <c r="Z379" s="8" t="s">
        <v>145</v>
      </c>
      <c r="AB379" s="38">
        <v>7700</v>
      </c>
      <c r="AC379" s="38">
        <v>13580</v>
      </c>
      <c r="AD379" s="38">
        <v>10820</v>
      </c>
      <c r="AE379" s="38">
        <v>14260</v>
      </c>
      <c r="AF379" s="38">
        <v>11620</v>
      </c>
      <c r="AG379" s="38">
        <v>14140</v>
      </c>
      <c r="AH379" s="38"/>
    </row>
    <row r="380" spans="1:34" ht="24" customHeight="1" x14ac:dyDescent="0.25">
      <c r="A380" s="10">
        <v>65</v>
      </c>
      <c r="B380" s="9">
        <v>0.5131944444444444</v>
      </c>
      <c r="C380" s="5" t="s">
        <v>20</v>
      </c>
      <c r="D380" s="5">
        <f t="shared" si="75"/>
        <v>10</v>
      </c>
      <c r="E380" s="15"/>
      <c r="F380" s="15" t="s">
        <v>26</v>
      </c>
      <c r="G380" s="19">
        <f t="shared" si="65"/>
        <v>6.42</v>
      </c>
      <c r="H380" s="19">
        <f t="shared" si="66"/>
        <v>12.48</v>
      </c>
      <c r="I380" s="19">
        <f t="shared" si="67"/>
        <v>11.46</v>
      </c>
      <c r="J380" s="19">
        <f t="shared" si="68"/>
        <v>14.8</v>
      </c>
      <c r="K380" s="19">
        <f t="shared" si="69"/>
        <v>13.12</v>
      </c>
      <c r="L380" s="19">
        <f t="shared" si="70"/>
        <v>11.9</v>
      </c>
      <c r="M380" s="19">
        <f t="shared" si="71"/>
        <v>0</v>
      </c>
      <c r="N380" s="39">
        <f t="shared" si="72"/>
        <v>70.179999999999993</v>
      </c>
      <c r="O380" s="39">
        <f t="shared" si="63"/>
        <v>16045.5431607112</v>
      </c>
      <c r="P380" s="40">
        <v>8</v>
      </c>
      <c r="Q380" s="40">
        <v>10</v>
      </c>
      <c r="R380" s="40">
        <v>9</v>
      </c>
      <c r="S380" s="40">
        <v>9</v>
      </c>
      <c r="T380" s="40">
        <v>9</v>
      </c>
      <c r="U380" s="40">
        <v>9</v>
      </c>
      <c r="V380" s="40">
        <v>9</v>
      </c>
      <c r="W380" s="41" t="str">
        <f t="shared" si="73"/>
        <v>Y</v>
      </c>
      <c r="X380" s="56">
        <f t="shared" si="74"/>
        <v>0.58000000000000007</v>
      </c>
      <c r="Y380" s="56" t="str">
        <f t="shared" si="64"/>
        <v>Over 50%</v>
      </c>
      <c r="Z380" s="8" t="s">
        <v>145</v>
      </c>
      <c r="AB380" s="38">
        <v>6420</v>
      </c>
      <c r="AC380" s="38">
        <v>12480</v>
      </c>
      <c r="AD380" s="38">
        <v>11460</v>
      </c>
      <c r="AE380" s="38">
        <v>14800</v>
      </c>
      <c r="AF380" s="38">
        <v>13120</v>
      </c>
      <c r="AG380" s="38">
        <v>11900</v>
      </c>
      <c r="AH380" s="38"/>
    </row>
    <row r="381" spans="1:34" ht="24" customHeight="1" x14ac:dyDescent="0.25">
      <c r="A381" s="10">
        <v>76</v>
      </c>
      <c r="B381" s="9">
        <v>0.53333333333333333</v>
      </c>
      <c r="C381" s="5" t="s">
        <v>20</v>
      </c>
      <c r="D381" s="5">
        <f t="shared" si="75"/>
        <v>10</v>
      </c>
      <c r="E381" s="15"/>
      <c r="F381" s="15" t="s">
        <v>24</v>
      </c>
      <c r="G381" s="19">
        <f t="shared" si="65"/>
        <v>8.16</v>
      </c>
      <c r="H381" s="19">
        <f t="shared" si="66"/>
        <v>12.28</v>
      </c>
      <c r="I381" s="19">
        <f t="shared" si="67"/>
        <v>11.84</v>
      </c>
      <c r="J381" s="19">
        <f t="shared" si="68"/>
        <v>11.5</v>
      </c>
      <c r="K381" s="19">
        <f t="shared" si="69"/>
        <v>14.3</v>
      </c>
      <c r="L381" s="19">
        <f t="shared" si="70"/>
        <v>11.94</v>
      </c>
      <c r="M381" s="19">
        <f t="shared" si="71"/>
        <v>0</v>
      </c>
      <c r="N381" s="39">
        <f t="shared" si="72"/>
        <v>70.02</v>
      </c>
      <c r="O381" s="39">
        <f t="shared" si="63"/>
        <v>15881.582118664832</v>
      </c>
      <c r="P381" s="40">
        <v>8</v>
      </c>
      <c r="Q381" s="40">
        <v>10</v>
      </c>
      <c r="R381" s="40">
        <v>9</v>
      </c>
      <c r="S381" s="40">
        <v>9</v>
      </c>
      <c r="T381" s="40">
        <v>9</v>
      </c>
      <c r="U381" s="40">
        <v>9</v>
      </c>
      <c r="V381" s="40">
        <v>9</v>
      </c>
      <c r="W381" s="41" t="str">
        <f t="shared" si="73"/>
        <v>Y</v>
      </c>
      <c r="X381" s="56">
        <f t="shared" si="74"/>
        <v>0.53</v>
      </c>
      <c r="Y381" s="56" t="str">
        <f t="shared" si="64"/>
        <v>Over 50%</v>
      </c>
      <c r="Z381" s="8" t="s">
        <v>145</v>
      </c>
      <c r="AB381" s="38">
        <v>8160</v>
      </c>
      <c r="AC381" s="38">
        <v>12280</v>
      </c>
      <c r="AD381" s="38">
        <v>11840</v>
      </c>
      <c r="AE381" s="38">
        <v>11500</v>
      </c>
      <c r="AF381" s="38">
        <v>14300</v>
      </c>
      <c r="AG381" s="38">
        <v>11940</v>
      </c>
      <c r="AH381" s="38"/>
    </row>
    <row r="382" spans="1:34" ht="24" customHeight="1" x14ac:dyDescent="0.25">
      <c r="A382" s="10">
        <v>83</v>
      </c>
      <c r="B382" s="9">
        <v>0.53888888888888886</v>
      </c>
      <c r="C382" s="5" t="s">
        <v>20</v>
      </c>
      <c r="D382" s="5">
        <f t="shared" si="75"/>
        <v>10</v>
      </c>
      <c r="E382" s="15"/>
      <c r="F382" s="15" t="s">
        <v>27</v>
      </c>
      <c r="G382" s="19">
        <f t="shared" si="65"/>
        <v>6.06</v>
      </c>
      <c r="H382" s="19">
        <f t="shared" si="66"/>
        <v>7.38</v>
      </c>
      <c r="I382" s="19">
        <f t="shared" si="67"/>
        <v>15.16</v>
      </c>
      <c r="J382" s="19">
        <f t="shared" si="68"/>
        <v>14.8</v>
      </c>
      <c r="K382" s="19">
        <f t="shared" si="69"/>
        <v>12.44</v>
      </c>
      <c r="L382" s="19">
        <f t="shared" si="70"/>
        <v>14.62</v>
      </c>
      <c r="M382" s="19">
        <f t="shared" si="71"/>
        <v>0</v>
      </c>
      <c r="N382" s="39">
        <f t="shared" si="72"/>
        <v>70.460000000000008</v>
      </c>
      <c r="O382" s="39">
        <f t="shared" si="63"/>
        <v>16335.64024133671</v>
      </c>
      <c r="P382" s="40">
        <v>8</v>
      </c>
      <c r="Q382" s="40">
        <v>10</v>
      </c>
      <c r="R382" s="40">
        <v>9</v>
      </c>
      <c r="S382" s="40">
        <v>9</v>
      </c>
      <c r="T382" s="40">
        <v>9</v>
      </c>
      <c r="U382" s="40">
        <v>9</v>
      </c>
      <c r="V382" s="40">
        <v>9</v>
      </c>
      <c r="W382" s="41" t="str">
        <f t="shared" si="73"/>
        <v>Y</v>
      </c>
      <c r="X382" s="56">
        <f t="shared" si="74"/>
        <v>0.61599999999999999</v>
      </c>
      <c r="Y382" s="56" t="str">
        <f t="shared" si="64"/>
        <v>Over 50%</v>
      </c>
      <c r="Z382" s="8" t="s">
        <v>111</v>
      </c>
      <c r="AB382" s="38">
        <v>6060</v>
      </c>
      <c r="AC382" s="38">
        <v>7380</v>
      </c>
      <c r="AD382" s="38">
        <v>15160</v>
      </c>
      <c r="AE382" s="38">
        <v>14800</v>
      </c>
      <c r="AF382" s="38">
        <v>12440</v>
      </c>
      <c r="AG382" s="38">
        <v>14620</v>
      </c>
      <c r="AH382" s="38"/>
    </row>
    <row r="383" spans="1:34" ht="24" customHeight="1" x14ac:dyDescent="0.25">
      <c r="A383" s="10">
        <v>85</v>
      </c>
      <c r="B383" s="9">
        <v>4.4444444444444446E-2</v>
      </c>
      <c r="C383" s="5" t="s">
        <v>20</v>
      </c>
      <c r="D383" s="5">
        <f t="shared" si="75"/>
        <v>10</v>
      </c>
      <c r="E383" s="15"/>
      <c r="F383" s="15" t="s">
        <v>25</v>
      </c>
      <c r="G383" s="19">
        <f t="shared" si="65"/>
        <v>10.199999999999999</v>
      </c>
      <c r="H383" s="19">
        <f t="shared" si="66"/>
        <v>12.36</v>
      </c>
      <c r="I383" s="19">
        <f t="shared" si="67"/>
        <v>10.54</v>
      </c>
      <c r="J383" s="19">
        <f t="shared" si="68"/>
        <v>12.4</v>
      </c>
      <c r="K383" s="19">
        <f t="shared" si="69"/>
        <v>11.28</v>
      </c>
      <c r="L383" s="19">
        <f t="shared" si="70"/>
        <v>11.94</v>
      </c>
      <c r="M383" s="19">
        <f t="shared" si="71"/>
        <v>0</v>
      </c>
      <c r="N383" s="39">
        <f t="shared" si="72"/>
        <v>68.72</v>
      </c>
      <c r="O383" s="39">
        <f t="shared" si="63"/>
        <v>14597.163224849046</v>
      </c>
      <c r="P383" s="40">
        <v>8</v>
      </c>
      <c r="Q383" s="40">
        <v>10</v>
      </c>
      <c r="R383" s="40">
        <v>9</v>
      </c>
      <c r="S383" s="40">
        <v>9</v>
      </c>
      <c r="T383" s="40">
        <v>9</v>
      </c>
      <c r="U383" s="40">
        <v>9</v>
      </c>
      <c r="V383" s="40">
        <v>9</v>
      </c>
      <c r="W383" s="41" t="str">
        <f t="shared" si="73"/>
        <v>Y</v>
      </c>
      <c r="X383" s="56">
        <f t="shared" si="74"/>
        <v>0.34</v>
      </c>
      <c r="Y383" s="56" t="str">
        <f t="shared" si="64"/>
        <v>25-50%</v>
      </c>
      <c r="Z383" s="8" t="s">
        <v>145</v>
      </c>
      <c r="AB383" s="38">
        <v>10200</v>
      </c>
      <c r="AC383" s="38">
        <v>12360</v>
      </c>
      <c r="AD383" s="38">
        <v>10540</v>
      </c>
      <c r="AE383" s="38">
        <v>12400</v>
      </c>
      <c r="AF383" s="38">
        <v>11280</v>
      </c>
      <c r="AG383" s="38">
        <v>11940</v>
      </c>
      <c r="AH383" s="38"/>
    </row>
    <row r="384" spans="1:34" ht="24" customHeight="1" x14ac:dyDescent="0.25">
      <c r="A384" s="10">
        <v>86</v>
      </c>
      <c r="B384" s="9">
        <v>4.7222222222222221E-2</v>
      </c>
      <c r="C384" s="5" t="s">
        <v>20</v>
      </c>
      <c r="D384" s="5">
        <f t="shared" si="75"/>
        <v>10</v>
      </c>
      <c r="E384" s="15"/>
      <c r="F384" s="15" t="s">
        <v>32</v>
      </c>
      <c r="G384" s="19">
        <f t="shared" si="65"/>
        <v>6.48</v>
      </c>
      <c r="H384" s="19">
        <f t="shared" si="66"/>
        <v>10.24</v>
      </c>
      <c r="I384" s="19">
        <f t="shared" si="67"/>
        <v>15.02</v>
      </c>
      <c r="J384" s="19">
        <f t="shared" si="68"/>
        <v>12.78</v>
      </c>
      <c r="K384" s="19">
        <f t="shared" si="69"/>
        <v>12.84</v>
      </c>
      <c r="L384" s="19">
        <f t="shared" si="70"/>
        <v>13.88</v>
      </c>
      <c r="M384" s="19">
        <f t="shared" si="71"/>
        <v>0</v>
      </c>
      <c r="N384" s="39">
        <f t="shared" si="72"/>
        <v>71.239999999999995</v>
      </c>
      <c r="O384" s="39">
        <f t="shared" si="63"/>
        <v>17165.319213825314</v>
      </c>
      <c r="P384" s="40">
        <v>8</v>
      </c>
      <c r="Q384" s="40">
        <v>10</v>
      </c>
      <c r="R384" s="40">
        <v>9</v>
      </c>
      <c r="S384" s="40">
        <v>9</v>
      </c>
      <c r="T384" s="40">
        <v>9</v>
      </c>
      <c r="U384" s="40">
        <v>9</v>
      </c>
      <c r="V384" s="40">
        <v>9</v>
      </c>
      <c r="W384" s="41" t="str">
        <f t="shared" si="73"/>
        <v>Y</v>
      </c>
      <c r="X384" s="56">
        <f t="shared" si="74"/>
        <v>0.60199999999999998</v>
      </c>
      <c r="Y384" s="56" t="str">
        <f t="shared" si="64"/>
        <v>Over 50%</v>
      </c>
      <c r="Z384" s="8" t="s">
        <v>111</v>
      </c>
      <c r="AB384" s="38">
        <v>6480</v>
      </c>
      <c r="AC384" s="38">
        <v>10240</v>
      </c>
      <c r="AD384" s="38">
        <v>15020</v>
      </c>
      <c r="AE384" s="38">
        <v>12780</v>
      </c>
      <c r="AF384" s="38">
        <v>12840</v>
      </c>
      <c r="AG384" s="38">
        <v>13880</v>
      </c>
      <c r="AH384" s="38"/>
    </row>
    <row r="385" spans="1:34" ht="24" customHeight="1" x14ac:dyDescent="0.25">
      <c r="A385" s="10">
        <v>90</v>
      </c>
      <c r="B385" s="9">
        <v>5.6250000000000001E-2</v>
      </c>
      <c r="C385" s="5" t="s">
        <v>20</v>
      </c>
      <c r="D385" s="5">
        <f t="shared" si="75"/>
        <v>10</v>
      </c>
      <c r="E385" s="15"/>
      <c r="F385" s="15" t="s">
        <v>33</v>
      </c>
      <c r="G385" s="19">
        <f t="shared" si="65"/>
        <v>3.96</v>
      </c>
      <c r="H385" s="19">
        <f t="shared" si="66"/>
        <v>5.2</v>
      </c>
      <c r="I385" s="19">
        <f t="shared" si="67"/>
        <v>4.5599999999999996</v>
      </c>
      <c r="J385" s="19">
        <f t="shared" si="68"/>
        <v>4.62</v>
      </c>
      <c r="K385" s="19">
        <f t="shared" si="69"/>
        <v>3.36</v>
      </c>
      <c r="L385" s="19">
        <f t="shared" si="70"/>
        <v>0</v>
      </c>
      <c r="M385" s="19">
        <f t="shared" si="71"/>
        <v>0</v>
      </c>
      <c r="N385" s="39">
        <f t="shared" si="72"/>
        <v>21.7</v>
      </c>
      <c r="O385" s="39">
        <f t="shared" si="63"/>
        <v>81.557346599528074</v>
      </c>
      <c r="P385" s="40">
        <v>8</v>
      </c>
      <c r="Q385" s="40">
        <v>10</v>
      </c>
      <c r="R385" s="40">
        <v>9</v>
      </c>
      <c r="S385" s="40">
        <v>9</v>
      </c>
      <c r="T385" s="40">
        <v>9</v>
      </c>
      <c r="U385" s="40">
        <v>9</v>
      </c>
      <c r="V385" s="40">
        <v>9</v>
      </c>
      <c r="W385" s="41" t="str">
        <f t="shared" si="73"/>
        <v>N</v>
      </c>
      <c r="X385" s="56">
        <f t="shared" si="74"/>
        <v>0</v>
      </c>
      <c r="Y385" s="56" t="str">
        <f t="shared" si="64"/>
        <v>0-4.9%</v>
      </c>
      <c r="Z385" s="8" t="s">
        <v>118</v>
      </c>
      <c r="AB385" s="38">
        <v>3960</v>
      </c>
      <c r="AC385" s="38">
        <v>5200</v>
      </c>
      <c r="AD385" s="38">
        <v>4560</v>
      </c>
      <c r="AE385" s="38">
        <v>4620</v>
      </c>
      <c r="AF385" s="38">
        <v>3360</v>
      </c>
      <c r="AG385" s="38"/>
      <c r="AH385" s="38"/>
    </row>
    <row r="386" spans="1:34" ht="24" customHeight="1" x14ac:dyDescent="0.25">
      <c r="A386" s="10">
        <v>98</v>
      </c>
      <c r="B386" s="9">
        <v>7.1527777777777787E-2</v>
      </c>
      <c r="C386" s="5" t="s">
        <v>20</v>
      </c>
      <c r="D386" s="5">
        <f t="shared" si="75"/>
        <v>10</v>
      </c>
      <c r="E386" s="15"/>
      <c r="F386" s="15" t="s">
        <v>26</v>
      </c>
      <c r="G386" s="19">
        <f t="shared" si="65"/>
        <v>8.3800000000000008</v>
      </c>
      <c r="H386" s="19">
        <f t="shared" si="66"/>
        <v>12.98</v>
      </c>
      <c r="I386" s="19">
        <f t="shared" si="67"/>
        <v>11.5</v>
      </c>
      <c r="J386" s="19">
        <f t="shared" si="68"/>
        <v>11.52</v>
      </c>
      <c r="K386" s="19">
        <f t="shared" si="69"/>
        <v>9.98</v>
      </c>
      <c r="L386" s="19">
        <f t="shared" si="70"/>
        <v>11.52</v>
      </c>
      <c r="M386" s="19">
        <f t="shared" si="71"/>
        <v>0</v>
      </c>
      <c r="N386" s="39">
        <f t="shared" si="72"/>
        <v>65.88</v>
      </c>
      <c r="O386" s="39">
        <f t="shared" si="63"/>
        <v>12072.172788409025</v>
      </c>
      <c r="P386" s="40">
        <v>8</v>
      </c>
      <c r="Q386" s="40">
        <v>10</v>
      </c>
      <c r="R386" s="40">
        <v>9</v>
      </c>
      <c r="S386" s="40">
        <v>9</v>
      </c>
      <c r="T386" s="40">
        <v>9</v>
      </c>
      <c r="U386" s="40">
        <v>9</v>
      </c>
      <c r="V386" s="40">
        <v>9</v>
      </c>
      <c r="W386" s="41" t="str">
        <f t="shared" si="73"/>
        <v>Y</v>
      </c>
      <c r="X386" s="56">
        <f t="shared" si="74"/>
        <v>0.29800000000000004</v>
      </c>
      <c r="Y386" s="56" t="str">
        <f t="shared" si="64"/>
        <v>25-50%</v>
      </c>
      <c r="Z386" s="8" t="s">
        <v>145</v>
      </c>
      <c r="AB386" s="38">
        <v>8380</v>
      </c>
      <c r="AC386" s="38">
        <v>12980</v>
      </c>
      <c r="AD386" s="38">
        <v>11500</v>
      </c>
      <c r="AE386" s="38">
        <v>11520</v>
      </c>
      <c r="AF386" s="38">
        <v>9980</v>
      </c>
      <c r="AG386" s="38">
        <v>11520</v>
      </c>
      <c r="AH386" s="38"/>
    </row>
    <row r="387" spans="1:34" ht="24" customHeight="1" x14ac:dyDescent="0.25">
      <c r="A387" s="10">
        <v>99</v>
      </c>
      <c r="B387" s="9">
        <v>7.4305555555555555E-2</v>
      </c>
      <c r="C387" s="5" t="s">
        <v>20</v>
      </c>
      <c r="D387" s="5">
        <f t="shared" si="75"/>
        <v>10</v>
      </c>
      <c r="E387" s="15"/>
      <c r="F387" s="15" t="s">
        <v>26</v>
      </c>
      <c r="G387" s="19">
        <f t="shared" si="65"/>
        <v>7.68</v>
      </c>
      <c r="H387" s="19">
        <f t="shared" si="66"/>
        <v>13.94</v>
      </c>
      <c r="I387" s="19">
        <f t="shared" si="67"/>
        <v>13.76</v>
      </c>
      <c r="J387" s="19">
        <f t="shared" si="68"/>
        <v>13.52</v>
      </c>
      <c r="K387" s="19">
        <f t="shared" si="69"/>
        <v>12.58</v>
      </c>
      <c r="L387" s="19">
        <f t="shared" si="70"/>
        <v>15.64</v>
      </c>
      <c r="M387" s="19">
        <f t="shared" si="71"/>
        <v>0</v>
      </c>
      <c r="N387" s="39">
        <f t="shared" si="72"/>
        <v>77.11999999999999</v>
      </c>
      <c r="O387" s="39">
        <f t="shared" si="63"/>
        <v>24527.081807990086</v>
      </c>
      <c r="P387" s="40">
        <v>8</v>
      </c>
      <c r="Q387" s="40">
        <v>10</v>
      </c>
      <c r="R387" s="40">
        <v>9</v>
      </c>
      <c r="S387" s="40">
        <v>9</v>
      </c>
      <c r="T387" s="40">
        <v>9</v>
      </c>
      <c r="U387" s="40">
        <v>9</v>
      </c>
      <c r="V387" s="40">
        <v>9</v>
      </c>
      <c r="W387" s="41" t="str">
        <f t="shared" si="73"/>
        <v>Y</v>
      </c>
      <c r="X387" s="56">
        <f t="shared" si="74"/>
        <v>0.66400000000000003</v>
      </c>
      <c r="Y387" s="56" t="str">
        <f t="shared" si="64"/>
        <v>Over 50%</v>
      </c>
      <c r="Z387" s="8" t="s">
        <v>111</v>
      </c>
      <c r="AB387" s="38">
        <v>7680</v>
      </c>
      <c r="AC387" s="38">
        <v>13940</v>
      </c>
      <c r="AD387" s="38">
        <v>13760</v>
      </c>
      <c r="AE387" s="38">
        <v>13520</v>
      </c>
      <c r="AF387" s="38">
        <v>12580</v>
      </c>
      <c r="AG387" s="38">
        <v>15640</v>
      </c>
      <c r="AH387" s="38"/>
    </row>
    <row r="388" spans="1:34" ht="24" customHeight="1" x14ac:dyDescent="0.25">
      <c r="A388" s="10">
        <v>100</v>
      </c>
      <c r="B388" s="9">
        <v>7.5694444444444439E-2</v>
      </c>
      <c r="C388" s="5" t="s">
        <v>20</v>
      </c>
      <c r="D388" s="5">
        <f t="shared" si="75"/>
        <v>10</v>
      </c>
      <c r="E388" s="15"/>
      <c r="F388" s="15" t="s">
        <v>26</v>
      </c>
      <c r="G388" s="19">
        <f t="shared" si="65"/>
        <v>7.54</v>
      </c>
      <c r="H388" s="19">
        <f t="shared" si="66"/>
        <v>14.34</v>
      </c>
      <c r="I388" s="19">
        <f t="shared" si="67"/>
        <v>13.82</v>
      </c>
      <c r="J388" s="19">
        <f t="shared" si="68"/>
        <v>14.2</v>
      </c>
      <c r="K388" s="19">
        <f t="shared" si="69"/>
        <v>11.84</v>
      </c>
      <c r="L388" s="19">
        <f t="shared" si="70"/>
        <v>15.8</v>
      </c>
      <c r="M388" s="19">
        <f t="shared" si="71"/>
        <v>0</v>
      </c>
      <c r="N388" s="39">
        <f t="shared" si="72"/>
        <v>77.540000000000006</v>
      </c>
      <c r="O388" s="39">
        <f t="shared" si="63"/>
        <v>25133.928230602931</v>
      </c>
      <c r="P388" s="40">
        <v>8</v>
      </c>
      <c r="Q388" s="40">
        <v>10</v>
      </c>
      <c r="R388" s="40">
        <v>9</v>
      </c>
      <c r="S388" s="40">
        <v>9</v>
      </c>
      <c r="T388" s="40">
        <v>9</v>
      </c>
      <c r="U388" s="40">
        <v>9</v>
      </c>
      <c r="V388" s="40">
        <v>9</v>
      </c>
      <c r="W388" s="41" t="str">
        <f t="shared" si="73"/>
        <v>Y</v>
      </c>
      <c r="X388" s="56">
        <f t="shared" si="74"/>
        <v>0.68</v>
      </c>
      <c r="Y388" s="56" t="str">
        <f t="shared" si="64"/>
        <v>Over 50%</v>
      </c>
      <c r="Z388" s="8" t="s">
        <v>111</v>
      </c>
      <c r="AB388" s="38">
        <v>7540</v>
      </c>
      <c r="AC388" s="38">
        <v>14340</v>
      </c>
      <c r="AD388" s="38">
        <v>13820</v>
      </c>
      <c r="AE388" s="38">
        <v>14200</v>
      </c>
      <c r="AF388" s="38">
        <v>11840</v>
      </c>
      <c r="AG388" s="38">
        <v>15800</v>
      </c>
      <c r="AH388" s="38"/>
    </row>
    <row r="389" spans="1:34" ht="24" customHeight="1" x14ac:dyDescent="0.25">
      <c r="A389" s="10">
        <v>101</v>
      </c>
      <c r="B389" s="9">
        <v>7.6388888888888895E-2</v>
      </c>
      <c r="C389" s="5" t="s">
        <v>20</v>
      </c>
      <c r="D389" s="5">
        <f t="shared" si="75"/>
        <v>10</v>
      </c>
      <c r="E389" s="15"/>
      <c r="F389" s="15" t="s">
        <v>26</v>
      </c>
      <c r="G389" s="19">
        <f t="shared" si="65"/>
        <v>7.5</v>
      </c>
      <c r="H389" s="19">
        <f t="shared" si="66"/>
        <v>11.2</v>
      </c>
      <c r="I389" s="19">
        <f t="shared" si="67"/>
        <v>10.48</v>
      </c>
      <c r="J389" s="19">
        <f t="shared" si="68"/>
        <v>1.48</v>
      </c>
      <c r="K389" s="19">
        <f t="shared" si="69"/>
        <v>12.52</v>
      </c>
      <c r="L389" s="19">
        <f t="shared" si="70"/>
        <v>14.03</v>
      </c>
      <c r="M389" s="19">
        <f t="shared" si="71"/>
        <v>0</v>
      </c>
      <c r="N389" s="39">
        <f t="shared" si="72"/>
        <v>57.21</v>
      </c>
      <c r="O389" s="39">
        <f t="shared" si="63"/>
        <v>6397.6142529232284</v>
      </c>
      <c r="P389" s="40">
        <v>8</v>
      </c>
      <c r="Q389" s="40">
        <v>10</v>
      </c>
      <c r="R389" s="40">
        <v>9</v>
      </c>
      <c r="S389" s="40">
        <v>9</v>
      </c>
      <c r="T389" s="40">
        <v>9</v>
      </c>
      <c r="U389" s="40">
        <v>9</v>
      </c>
      <c r="V389" s="40">
        <v>9</v>
      </c>
      <c r="W389" s="41" t="str">
        <f t="shared" si="73"/>
        <v>Y</v>
      </c>
      <c r="X389" s="56">
        <f t="shared" si="74"/>
        <v>0.50299999999999989</v>
      </c>
      <c r="Y389" s="56" t="str">
        <f t="shared" si="64"/>
        <v>Over 50%</v>
      </c>
      <c r="Z389" s="8" t="s">
        <v>145</v>
      </c>
      <c r="AB389" s="38">
        <v>7500</v>
      </c>
      <c r="AC389" s="38">
        <v>11200</v>
      </c>
      <c r="AD389" s="38">
        <v>10480</v>
      </c>
      <c r="AE389" s="38">
        <v>1480</v>
      </c>
      <c r="AF389" s="38">
        <v>12520</v>
      </c>
      <c r="AG389" s="38">
        <v>14030</v>
      </c>
      <c r="AH389" s="38"/>
    </row>
    <row r="390" spans="1:34" ht="24" customHeight="1" x14ac:dyDescent="0.25">
      <c r="A390" s="10">
        <v>105</v>
      </c>
      <c r="B390" s="9">
        <v>8.2638888888888887E-2</v>
      </c>
      <c r="C390" s="5" t="s">
        <v>20</v>
      </c>
      <c r="D390" s="5">
        <f t="shared" si="75"/>
        <v>10</v>
      </c>
      <c r="E390" s="15"/>
      <c r="F390" s="15" t="s">
        <v>26</v>
      </c>
      <c r="G390" s="19">
        <f t="shared" si="65"/>
        <v>8.7200000000000006</v>
      </c>
      <c r="H390" s="19">
        <f t="shared" si="66"/>
        <v>13.7</v>
      </c>
      <c r="I390" s="19">
        <f t="shared" si="67"/>
        <v>14.74</v>
      </c>
      <c r="J390" s="19">
        <f t="shared" si="68"/>
        <v>16.079999999999998</v>
      </c>
      <c r="K390" s="19">
        <f t="shared" si="69"/>
        <v>13.9</v>
      </c>
      <c r="L390" s="19">
        <f t="shared" si="70"/>
        <v>10.96</v>
      </c>
      <c r="M390" s="19">
        <f t="shared" si="71"/>
        <v>0</v>
      </c>
      <c r="N390" s="39">
        <f t="shared" si="72"/>
        <v>78.099999999999994</v>
      </c>
      <c r="O390" s="39">
        <f t="shared" si="63"/>
        <v>25961.150691995404</v>
      </c>
      <c r="P390" s="40">
        <v>8</v>
      </c>
      <c r="Q390" s="40">
        <v>10</v>
      </c>
      <c r="R390" s="40">
        <v>9</v>
      </c>
      <c r="S390" s="40">
        <v>9</v>
      </c>
      <c r="T390" s="40">
        <v>9</v>
      </c>
      <c r="U390" s="40">
        <v>9</v>
      </c>
      <c r="V390" s="40">
        <v>9</v>
      </c>
      <c r="W390" s="41" t="str">
        <f t="shared" si="73"/>
        <v>Y</v>
      </c>
      <c r="X390" s="56">
        <f t="shared" si="74"/>
        <v>0.70799999999999985</v>
      </c>
      <c r="Y390" s="56" t="str">
        <f t="shared" si="64"/>
        <v>Over 50%</v>
      </c>
      <c r="Z390" s="8" t="s">
        <v>118</v>
      </c>
      <c r="AB390" s="38">
        <v>8720</v>
      </c>
      <c r="AC390" s="38">
        <v>13700</v>
      </c>
      <c r="AD390" s="38">
        <v>14740</v>
      </c>
      <c r="AE390" s="38">
        <v>16080</v>
      </c>
      <c r="AF390" s="38">
        <v>13900</v>
      </c>
      <c r="AG390" s="38">
        <v>10960</v>
      </c>
      <c r="AH390" s="38"/>
    </row>
    <row r="391" spans="1:34" ht="24" customHeight="1" x14ac:dyDescent="0.25">
      <c r="A391" s="10">
        <v>107</v>
      </c>
      <c r="B391" s="9">
        <v>8.5416666666666655E-2</v>
      </c>
      <c r="C391" s="5" t="s">
        <v>20</v>
      </c>
      <c r="D391" s="5">
        <f t="shared" ref="D391:D454" si="76">IF(COUNT(G391:M391)&gt;3,10,IF(COUNT(G391:M391)&gt;2,9,7))</f>
        <v>10</v>
      </c>
      <c r="E391" s="15"/>
      <c r="F391" s="15" t="s">
        <v>26</v>
      </c>
      <c r="G391" s="19">
        <f t="shared" si="65"/>
        <v>8.32</v>
      </c>
      <c r="H391" s="19">
        <f t="shared" si="66"/>
        <v>12.44</v>
      </c>
      <c r="I391" s="19">
        <f t="shared" si="67"/>
        <v>12.24</v>
      </c>
      <c r="J391" s="19">
        <f t="shared" si="68"/>
        <v>16.32</v>
      </c>
      <c r="K391" s="19">
        <f t="shared" si="69"/>
        <v>11.73</v>
      </c>
      <c r="L391" s="19">
        <f t="shared" si="70"/>
        <v>11.5</v>
      </c>
      <c r="M391" s="19">
        <f t="shared" si="71"/>
        <v>0</v>
      </c>
      <c r="N391" s="39">
        <f t="shared" si="72"/>
        <v>72.55</v>
      </c>
      <c r="O391" s="39">
        <f t="shared" ref="O391:O454" si="77">(N391/8.16)^4.5</f>
        <v>18632.136666773451</v>
      </c>
      <c r="P391" s="40">
        <v>8</v>
      </c>
      <c r="Q391" s="40">
        <v>10</v>
      </c>
      <c r="R391" s="40">
        <v>9</v>
      </c>
      <c r="S391" s="40">
        <v>9</v>
      </c>
      <c r="T391" s="40">
        <v>9</v>
      </c>
      <c r="U391" s="40">
        <v>9</v>
      </c>
      <c r="V391" s="40">
        <v>9</v>
      </c>
      <c r="W391" s="41" t="str">
        <f t="shared" si="73"/>
        <v>Y</v>
      </c>
      <c r="X391" s="56">
        <f t="shared" si="74"/>
        <v>0.73199999999999998</v>
      </c>
      <c r="Y391" s="56" t="str">
        <f t="shared" ref="Y391:Y454" si="78">IF(X391&lt;5%,"0-4.9%",IF(X391&lt;25%,"5-25%",IF(X391&lt;50%,"25-50%","Over 50%")))</f>
        <v>Over 50%</v>
      </c>
      <c r="Z391" s="8" t="s">
        <v>118</v>
      </c>
      <c r="AB391" s="38">
        <v>8320</v>
      </c>
      <c r="AC391" s="38">
        <v>12440</v>
      </c>
      <c r="AD391" s="38">
        <v>12240</v>
      </c>
      <c r="AE391" s="38">
        <v>16320</v>
      </c>
      <c r="AF391" s="38">
        <v>11730</v>
      </c>
      <c r="AG391" s="38">
        <v>11500</v>
      </c>
      <c r="AH391" s="38"/>
    </row>
    <row r="392" spans="1:34" ht="24" customHeight="1" x14ac:dyDescent="0.25">
      <c r="A392" s="10">
        <v>111</v>
      </c>
      <c r="B392" s="9">
        <v>8.9583333333333334E-2</v>
      </c>
      <c r="C392" s="5" t="s">
        <v>20</v>
      </c>
      <c r="D392" s="5">
        <f t="shared" si="76"/>
        <v>10</v>
      </c>
      <c r="E392" s="15"/>
      <c r="F392" s="15" t="s">
        <v>26</v>
      </c>
      <c r="G392" s="19">
        <f t="shared" ref="G392:G455" si="79">AB392/1000</f>
        <v>7.94</v>
      </c>
      <c r="H392" s="19">
        <f t="shared" ref="H392:H455" si="80">AC392/1000</f>
        <v>11.14</v>
      </c>
      <c r="I392" s="19">
        <f t="shared" ref="I392:I455" si="81">AD392/1000</f>
        <v>11.14</v>
      </c>
      <c r="J392" s="19">
        <f t="shared" ref="J392:J455" si="82">AE392/1000</f>
        <v>12.96</v>
      </c>
      <c r="K392" s="19">
        <f t="shared" ref="K392:K455" si="83">AF392/1000</f>
        <v>12.46</v>
      </c>
      <c r="L392" s="19">
        <f t="shared" ref="L392:L455" si="84">AG392/1000</f>
        <v>12.32</v>
      </c>
      <c r="M392" s="19">
        <f t="shared" ref="M392:M455" si="85">AH392/1000</f>
        <v>0</v>
      </c>
      <c r="N392" s="39">
        <f t="shared" ref="N392:N455" si="86">SUM(G392:M392)</f>
        <v>67.960000000000008</v>
      </c>
      <c r="O392" s="39">
        <f t="shared" si="77"/>
        <v>13884.634488903836</v>
      </c>
      <c r="P392" s="40">
        <v>8</v>
      </c>
      <c r="Q392" s="40">
        <v>10</v>
      </c>
      <c r="R392" s="40">
        <v>9</v>
      </c>
      <c r="S392" s="40">
        <v>9</v>
      </c>
      <c r="T392" s="40">
        <v>9</v>
      </c>
      <c r="U392" s="40">
        <v>9</v>
      </c>
      <c r="V392" s="40">
        <v>9</v>
      </c>
      <c r="W392" s="41" t="str">
        <f t="shared" ref="W392:W455" si="87">IF(G392&gt;P392,"Y",IF(H392&gt;Q392,"Y",IF(I392&gt;R392,"Y",IF(J392&gt;S392,"Y",IF(K392&gt;T392,"Y",IF(L392&gt;U392,"Y",IF(M392&gt;V392,"Y","N")))))))</f>
        <v>Y</v>
      </c>
      <c r="X392" s="56">
        <f t="shared" ref="X392:X455" si="88">IF(W392="Y",MAX((G392-P392),(H392-Q392),(I392-R392),(J392-S392),(K392-T392),(L392-U392),(M392-V392))/10,0)</f>
        <v>0.39600000000000007</v>
      </c>
      <c r="Y392" s="56" t="str">
        <f t="shared" si="78"/>
        <v>25-50%</v>
      </c>
      <c r="Z392" s="8" t="s">
        <v>145</v>
      </c>
      <c r="AB392" s="38">
        <v>7940</v>
      </c>
      <c r="AC392" s="38">
        <v>11140</v>
      </c>
      <c r="AD392" s="38">
        <v>11140</v>
      </c>
      <c r="AE392" s="38">
        <v>12960</v>
      </c>
      <c r="AF392" s="38">
        <v>12460</v>
      </c>
      <c r="AG392" s="38">
        <v>12320</v>
      </c>
      <c r="AH392" s="38"/>
    </row>
    <row r="393" spans="1:34" ht="24" customHeight="1" x14ac:dyDescent="0.25">
      <c r="A393" s="10">
        <v>112</v>
      </c>
      <c r="B393" s="9">
        <v>9.3055555555555558E-2</v>
      </c>
      <c r="C393" s="5" t="s">
        <v>20</v>
      </c>
      <c r="D393" s="5">
        <f t="shared" si="76"/>
        <v>10</v>
      </c>
      <c r="E393" s="15"/>
      <c r="F393" s="15" t="s">
        <v>27</v>
      </c>
      <c r="G393" s="19">
        <f t="shared" si="79"/>
        <v>7.66</v>
      </c>
      <c r="H393" s="19">
        <f t="shared" si="80"/>
        <v>8.06</v>
      </c>
      <c r="I393" s="19">
        <f t="shared" si="81"/>
        <v>14.4</v>
      </c>
      <c r="J393" s="19">
        <f t="shared" si="82"/>
        <v>16.12</v>
      </c>
      <c r="K393" s="19">
        <f t="shared" si="83"/>
        <v>15.26</v>
      </c>
      <c r="L393" s="19">
        <f t="shared" si="84"/>
        <v>15.58</v>
      </c>
      <c r="M393" s="19">
        <f t="shared" si="85"/>
        <v>0</v>
      </c>
      <c r="N393" s="39">
        <f t="shared" si="86"/>
        <v>77.08</v>
      </c>
      <c r="O393" s="39">
        <f t="shared" si="77"/>
        <v>24469.886927546842</v>
      </c>
      <c r="P393" s="40">
        <v>8</v>
      </c>
      <c r="Q393" s="40">
        <v>10</v>
      </c>
      <c r="R393" s="40">
        <v>9</v>
      </c>
      <c r="S393" s="40">
        <v>9</v>
      </c>
      <c r="T393" s="40">
        <v>9</v>
      </c>
      <c r="U393" s="40">
        <v>9</v>
      </c>
      <c r="V393" s="40">
        <v>9</v>
      </c>
      <c r="W393" s="41" t="str">
        <f t="shared" si="87"/>
        <v>Y</v>
      </c>
      <c r="X393" s="56">
        <f t="shared" si="88"/>
        <v>0.71200000000000008</v>
      </c>
      <c r="Y393" s="56" t="str">
        <f t="shared" si="78"/>
        <v>Over 50%</v>
      </c>
      <c r="Z393" s="8" t="s">
        <v>145</v>
      </c>
      <c r="AB393" s="38">
        <v>7660</v>
      </c>
      <c r="AC393" s="38">
        <v>8060</v>
      </c>
      <c r="AD393" s="38">
        <v>14400</v>
      </c>
      <c r="AE393" s="38">
        <v>16120</v>
      </c>
      <c r="AF393" s="38">
        <v>15260</v>
      </c>
      <c r="AG393" s="38">
        <v>15580</v>
      </c>
      <c r="AH393" s="38"/>
    </row>
    <row r="394" spans="1:34" ht="24" customHeight="1" x14ac:dyDescent="0.25">
      <c r="A394" s="10">
        <v>115</v>
      </c>
      <c r="B394" s="9">
        <v>9.7222222222222224E-2</v>
      </c>
      <c r="C394" s="5" t="s">
        <v>20</v>
      </c>
      <c r="D394" s="5">
        <f t="shared" si="76"/>
        <v>10</v>
      </c>
      <c r="E394" s="15"/>
      <c r="F394" s="15" t="s">
        <v>26</v>
      </c>
      <c r="G394" s="19">
        <f t="shared" si="79"/>
        <v>6.4</v>
      </c>
      <c r="H394" s="19">
        <f t="shared" si="80"/>
        <v>13.88</v>
      </c>
      <c r="I394" s="19">
        <f t="shared" si="81"/>
        <v>12.8</v>
      </c>
      <c r="J394" s="19">
        <f t="shared" si="82"/>
        <v>13.86</v>
      </c>
      <c r="K394" s="19">
        <f t="shared" si="83"/>
        <v>18.82</v>
      </c>
      <c r="L394" s="19">
        <f t="shared" si="84"/>
        <v>14.36</v>
      </c>
      <c r="M394" s="19">
        <f t="shared" si="85"/>
        <v>0</v>
      </c>
      <c r="N394" s="39">
        <f t="shared" si="86"/>
        <v>80.11999999999999</v>
      </c>
      <c r="O394" s="39">
        <f t="shared" si="77"/>
        <v>29122.490911546993</v>
      </c>
      <c r="P394" s="40">
        <v>8</v>
      </c>
      <c r="Q394" s="40">
        <v>10</v>
      </c>
      <c r="R394" s="40">
        <v>9</v>
      </c>
      <c r="S394" s="40">
        <v>9</v>
      </c>
      <c r="T394" s="40">
        <v>9</v>
      </c>
      <c r="U394" s="40">
        <v>9</v>
      </c>
      <c r="V394" s="40">
        <v>9</v>
      </c>
      <c r="W394" s="41" t="str">
        <f t="shared" si="87"/>
        <v>Y</v>
      </c>
      <c r="X394" s="56">
        <f t="shared" si="88"/>
        <v>0.98199999999999998</v>
      </c>
      <c r="Y394" s="56" t="str">
        <f t="shared" si="78"/>
        <v>Over 50%</v>
      </c>
      <c r="Z394" s="8" t="s">
        <v>111</v>
      </c>
      <c r="AB394" s="38">
        <v>6400</v>
      </c>
      <c r="AC394" s="38">
        <v>13880</v>
      </c>
      <c r="AD394" s="38">
        <v>12800</v>
      </c>
      <c r="AE394" s="38">
        <v>13860</v>
      </c>
      <c r="AF394" s="38">
        <v>18820</v>
      </c>
      <c r="AG394" s="38">
        <v>14360</v>
      </c>
      <c r="AH394" s="38"/>
    </row>
    <row r="395" spans="1:34" ht="24" customHeight="1" x14ac:dyDescent="0.25">
      <c r="A395" s="10">
        <v>117</v>
      </c>
      <c r="B395" s="9">
        <v>0.10069444444444443</v>
      </c>
      <c r="C395" s="5" t="s">
        <v>20</v>
      </c>
      <c r="D395" s="5">
        <f t="shared" si="76"/>
        <v>10</v>
      </c>
      <c r="E395" s="15"/>
      <c r="F395" s="15" t="s">
        <v>25</v>
      </c>
      <c r="G395" s="19">
        <f t="shared" si="79"/>
        <v>8.7200000000000006</v>
      </c>
      <c r="H395" s="19">
        <f t="shared" si="80"/>
        <v>14.34</v>
      </c>
      <c r="I395" s="19">
        <f t="shared" si="81"/>
        <v>14.42</v>
      </c>
      <c r="J395" s="19">
        <f t="shared" si="82"/>
        <v>13.06</v>
      </c>
      <c r="K395" s="19">
        <f t="shared" si="83"/>
        <v>8.6</v>
      </c>
      <c r="L395" s="19">
        <f t="shared" si="84"/>
        <v>13.76</v>
      </c>
      <c r="M395" s="19">
        <f t="shared" si="85"/>
        <v>0</v>
      </c>
      <c r="N395" s="39">
        <f t="shared" si="86"/>
        <v>72.900000000000006</v>
      </c>
      <c r="O395" s="39">
        <f t="shared" si="77"/>
        <v>19040.053442086399</v>
      </c>
      <c r="P395" s="40">
        <v>8</v>
      </c>
      <c r="Q395" s="40">
        <v>10</v>
      </c>
      <c r="R395" s="40">
        <v>9</v>
      </c>
      <c r="S395" s="40">
        <v>9</v>
      </c>
      <c r="T395" s="40">
        <v>9</v>
      </c>
      <c r="U395" s="40">
        <v>9</v>
      </c>
      <c r="V395" s="40">
        <v>9</v>
      </c>
      <c r="W395" s="41" t="str">
        <f t="shared" si="87"/>
        <v>Y</v>
      </c>
      <c r="X395" s="56">
        <f t="shared" si="88"/>
        <v>0.54200000000000004</v>
      </c>
      <c r="Y395" s="56" t="str">
        <f t="shared" si="78"/>
        <v>Over 50%</v>
      </c>
      <c r="Z395" s="8" t="s">
        <v>118</v>
      </c>
      <c r="AB395" s="38">
        <v>8720</v>
      </c>
      <c r="AC395" s="38">
        <v>14340</v>
      </c>
      <c r="AD395" s="38">
        <v>14420</v>
      </c>
      <c r="AE395" s="38">
        <v>13060</v>
      </c>
      <c r="AF395" s="38">
        <v>8600</v>
      </c>
      <c r="AG395" s="38">
        <v>13760</v>
      </c>
      <c r="AH395" s="38"/>
    </row>
    <row r="396" spans="1:34" ht="24" customHeight="1" x14ac:dyDescent="0.25">
      <c r="A396" s="10">
        <v>118</v>
      </c>
      <c r="B396" s="9">
        <v>0.10277777777777779</v>
      </c>
      <c r="C396" s="5" t="s">
        <v>20</v>
      </c>
      <c r="D396" s="5">
        <f t="shared" si="76"/>
        <v>10</v>
      </c>
      <c r="E396" s="15"/>
      <c r="F396" s="15" t="s">
        <v>24</v>
      </c>
      <c r="G396" s="19">
        <f t="shared" si="79"/>
        <v>8.6199999999999992</v>
      </c>
      <c r="H396" s="19">
        <f t="shared" si="80"/>
        <v>12.36</v>
      </c>
      <c r="I396" s="19">
        <f t="shared" si="81"/>
        <v>13.78</v>
      </c>
      <c r="J396" s="19">
        <f t="shared" si="82"/>
        <v>14.76</v>
      </c>
      <c r="K396" s="19">
        <f t="shared" si="83"/>
        <v>13.22</v>
      </c>
      <c r="L396" s="19">
        <f t="shared" si="84"/>
        <v>11.14</v>
      </c>
      <c r="M396" s="19">
        <f t="shared" si="85"/>
        <v>11.14</v>
      </c>
      <c r="N396" s="39">
        <f t="shared" si="86"/>
        <v>85.02</v>
      </c>
      <c r="O396" s="39">
        <f t="shared" si="77"/>
        <v>38039.888776395084</v>
      </c>
      <c r="P396" s="40">
        <v>8</v>
      </c>
      <c r="Q396" s="40">
        <v>10</v>
      </c>
      <c r="R396" s="40">
        <v>9</v>
      </c>
      <c r="S396" s="40">
        <v>9</v>
      </c>
      <c r="T396" s="40">
        <v>9</v>
      </c>
      <c r="U396" s="40">
        <v>9</v>
      </c>
      <c r="V396" s="40">
        <v>9</v>
      </c>
      <c r="W396" s="41" t="str">
        <f t="shared" si="87"/>
        <v>Y</v>
      </c>
      <c r="X396" s="56">
        <f t="shared" si="88"/>
        <v>0.57599999999999996</v>
      </c>
      <c r="Y396" s="56" t="str">
        <f t="shared" si="78"/>
        <v>Over 50%</v>
      </c>
      <c r="Z396" s="8" t="s">
        <v>118</v>
      </c>
      <c r="AB396" s="38">
        <v>8620</v>
      </c>
      <c r="AC396" s="38">
        <v>12360</v>
      </c>
      <c r="AD396" s="38">
        <v>13780</v>
      </c>
      <c r="AE396" s="38">
        <v>14760</v>
      </c>
      <c r="AF396" s="38">
        <v>13220</v>
      </c>
      <c r="AG396" s="38">
        <v>11140</v>
      </c>
      <c r="AH396" s="38">
        <v>11140</v>
      </c>
    </row>
    <row r="397" spans="1:34" ht="24" customHeight="1" x14ac:dyDescent="0.25">
      <c r="A397" s="10">
        <v>121</v>
      </c>
      <c r="B397" s="9">
        <v>0.11041666666666666</v>
      </c>
      <c r="C397" s="5" t="s">
        <v>20</v>
      </c>
      <c r="D397" s="5">
        <f t="shared" si="76"/>
        <v>10</v>
      </c>
      <c r="E397" s="15"/>
      <c r="F397" s="15" t="s">
        <v>31</v>
      </c>
      <c r="G397" s="19">
        <f t="shared" si="79"/>
        <v>9.6199999999999992</v>
      </c>
      <c r="H397" s="19">
        <f t="shared" si="80"/>
        <v>9.84</v>
      </c>
      <c r="I397" s="19">
        <f t="shared" si="81"/>
        <v>12.52</v>
      </c>
      <c r="J397" s="19">
        <f t="shared" si="82"/>
        <v>11.72</v>
      </c>
      <c r="K397" s="19">
        <f t="shared" si="83"/>
        <v>0</v>
      </c>
      <c r="L397" s="19">
        <f t="shared" si="84"/>
        <v>0</v>
      </c>
      <c r="M397" s="19">
        <f t="shared" si="85"/>
        <v>0</v>
      </c>
      <c r="N397" s="39">
        <f t="shared" si="86"/>
        <v>43.7</v>
      </c>
      <c r="O397" s="39">
        <f t="shared" si="77"/>
        <v>1903.5344979043762</v>
      </c>
      <c r="P397" s="40">
        <v>8</v>
      </c>
      <c r="Q397" s="40">
        <v>10</v>
      </c>
      <c r="R397" s="40">
        <v>9</v>
      </c>
      <c r="S397" s="40">
        <v>9</v>
      </c>
      <c r="T397" s="40">
        <v>9</v>
      </c>
      <c r="U397" s="40">
        <v>9</v>
      </c>
      <c r="V397" s="40">
        <v>9</v>
      </c>
      <c r="W397" s="41" t="str">
        <f t="shared" si="87"/>
        <v>Y</v>
      </c>
      <c r="X397" s="56">
        <f t="shared" si="88"/>
        <v>0.35199999999999998</v>
      </c>
      <c r="Y397" s="56" t="str">
        <f t="shared" si="78"/>
        <v>25-50%</v>
      </c>
      <c r="Z397" s="8" t="s">
        <v>113</v>
      </c>
      <c r="AB397" s="38">
        <v>9620</v>
      </c>
      <c r="AC397" s="38">
        <v>9840</v>
      </c>
      <c r="AD397" s="38">
        <v>12520</v>
      </c>
      <c r="AE397" s="38">
        <v>11720</v>
      </c>
      <c r="AF397" s="38"/>
      <c r="AG397" s="38"/>
      <c r="AH397" s="38"/>
    </row>
    <row r="398" spans="1:34" ht="24" customHeight="1" x14ac:dyDescent="0.25">
      <c r="A398" s="10">
        <v>125</v>
      </c>
      <c r="B398" s="9">
        <v>0.11527777777777777</v>
      </c>
      <c r="C398" s="5" t="s">
        <v>22</v>
      </c>
      <c r="D398" s="5">
        <f t="shared" si="76"/>
        <v>10</v>
      </c>
      <c r="E398" s="15"/>
      <c r="F398" s="15" t="s">
        <v>26</v>
      </c>
      <c r="G398" s="19">
        <f t="shared" si="79"/>
        <v>8.24</v>
      </c>
      <c r="H398" s="19">
        <f t="shared" si="80"/>
        <v>11.32</v>
      </c>
      <c r="I398" s="19">
        <f t="shared" si="81"/>
        <v>12.4</v>
      </c>
      <c r="J398" s="19">
        <f t="shared" si="82"/>
        <v>15.14</v>
      </c>
      <c r="K398" s="19">
        <f t="shared" si="83"/>
        <v>15.24</v>
      </c>
      <c r="L398" s="19">
        <f t="shared" si="84"/>
        <v>17.54</v>
      </c>
      <c r="M398" s="19">
        <f t="shared" si="85"/>
        <v>0</v>
      </c>
      <c r="N398" s="39">
        <f t="shared" si="86"/>
        <v>79.88</v>
      </c>
      <c r="O398" s="39">
        <f t="shared" si="77"/>
        <v>28731.978878468159</v>
      </c>
      <c r="P398" s="40">
        <v>8</v>
      </c>
      <c r="Q398" s="40">
        <v>10</v>
      </c>
      <c r="R398" s="40">
        <v>9</v>
      </c>
      <c r="S398" s="40">
        <v>9</v>
      </c>
      <c r="T398" s="40">
        <v>9</v>
      </c>
      <c r="U398" s="40">
        <v>9</v>
      </c>
      <c r="V398" s="40">
        <v>9</v>
      </c>
      <c r="W398" s="41" t="str">
        <f t="shared" si="87"/>
        <v>Y</v>
      </c>
      <c r="X398" s="56">
        <f t="shared" si="88"/>
        <v>0.85399999999999987</v>
      </c>
      <c r="Y398" s="56" t="str">
        <f t="shared" si="78"/>
        <v>Over 50%</v>
      </c>
      <c r="Z398" s="8" t="s">
        <v>145</v>
      </c>
      <c r="AB398" s="38">
        <v>8240</v>
      </c>
      <c r="AC398" s="38">
        <v>11320</v>
      </c>
      <c r="AD398" s="38">
        <v>12400</v>
      </c>
      <c r="AE398" s="38">
        <v>15140</v>
      </c>
      <c r="AF398" s="38">
        <v>15240</v>
      </c>
      <c r="AG398" s="38">
        <v>17540</v>
      </c>
      <c r="AH398" s="38"/>
    </row>
    <row r="399" spans="1:34" ht="24" customHeight="1" x14ac:dyDescent="0.25">
      <c r="A399" s="10">
        <v>126</v>
      </c>
      <c r="B399" s="9">
        <v>0.11805555555555557</v>
      </c>
      <c r="C399" s="5" t="s">
        <v>21</v>
      </c>
      <c r="D399" s="5">
        <f t="shared" si="76"/>
        <v>10</v>
      </c>
      <c r="E399" s="15"/>
      <c r="F399" s="15" t="s">
        <v>26</v>
      </c>
      <c r="G399" s="19">
        <f t="shared" si="79"/>
        <v>7.16</v>
      </c>
      <c r="H399" s="19">
        <f t="shared" si="80"/>
        <v>8.1199999999999992</v>
      </c>
      <c r="I399" s="19">
        <f t="shared" si="81"/>
        <v>7.54</v>
      </c>
      <c r="J399" s="19">
        <f t="shared" si="82"/>
        <v>8.82</v>
      </c>
      <c r="K399" s="19">
        <f t="shared" si="83"/>
        <v>8.1</v>
      </c>
      <c r="L399" s="19">
        <f t="shared" si="84"/>
        <v>8.2200000000000006</v>
      </c>
      <c r="M399" s="19">
        <f t="shared" si="85"/>
        <v>0</v>
      </c>
      <c r="N399" s="39">
        <f t="shared" si="86"/>
        <v>47.96</v>
      </c>
      <c r="O399" s="39">
        <f t="shared" si="77"/>
        <v>2893.0142346038224</v>
      </c>
      <c r="P399" s="40">
        <v>8</v>
      </c>
      <c r="Q399" s="40">
        <v>10</v>
      </c>
      <c r="R399" s="40">
        <v>9</v>
      </c>
      <c r="S399" s="40">
        <v>9</v>
      </c>
      <c r="T399" s="40">
        <v>9</v>
      </c>
      <c r="U399" s="40">
        <v>9</v>
      </c>
      <c r="V399" s="40">
        <v>9</v>
      </c>
      <c r="W399" s="41" t="str">
        <f t="shared" si="87"/>
        <v>N</v>
      </c>
      <c r="X399" s="56">
        <f t="shared" si="88"/>
        <v>0</v>
      </c>
      <c r="Y399" s="56" t="str">
        <f t="shared" si="78"/>
        <v>0-4.9%</v>
      </c>
      <c r="Z399" s="8" t="s">
        <v>118</v>
      </c>
      <c r="AB399" s="38">
        <v>7160</v>
      </c>
      <c r="AC399" s="38">
        <v>8120</v>
      </c>
      <c r="AD399" s="38">
        <v>7540</v>
      </c>
      <c r="AE399" s="38">
        <v>8820</v>
      </c>
      <c r="AF399" s="38">
        <v>8100</v>
      </c>
      <c r="AG399" s="38">
        <v>8220</v>
      </c>
      <c r="AH399" s="38"/>
    </row>
    <row r="400" spans="1:34" ht="24" customHeight="1" x14ac:dyDescent="0.25">
      <c r="A400" s="10">
        <v>131</v>
      </c>
      <c r="B400" s="9">
        <v>0.12361111111111112</v>
      </c>
      <c r="C400" s="5" t="s">
        <v>20</v>
      </c>
      <c r="D400" s="5">
        <f t="shared" si="76"/>
        <v>10</v>
      </c>
      <c r="E400" s="15"/>
      <c r="F400" s="15" t="s">
        <v>26</v>
      </c>
      <c r="G400" s="19">
        <f t="shared" si="79"/>
        <v>8.0399999999999991</v>
      </c>
      <c r="H400" s="19">
        <f t="shared" si="80"/>
        <v>11.58</v>
      </c>
      <c r="I400" s="19">
        <f t="shared" si="81"/>
        <v>11.5</v>
      </c>
      <c r="J400" s="19">
        <f t="shared" si="82"/>
        <v>13.92</v>
      </c>
      <c r="K400" s="19">
        <f t="shared" si="83"/>
        <v>10.6</v>
      </c>
      <c r="L400" s="19">
        <f t="shared" si="84"/>
        <v>16.34</v>
      </c>
      <c r="M400" s="19">
        <f t="shared" si="85"/>
        <v>0</v>
      </c>
      <c r="N400" s="39">
        <f t="shared" si="86"/>
        <v>71.98</v>
      </c>
      <c r="O400" s="39">
        <f t="shared" si="77"/>
        <v>17982.396777067035</v>
      </c>
      <c r="P400" s="40">
        <v>8</v>
      </c>
      <c r="Q400" s="40">
        <v>10</v>
      </c>
      <c r="R400" s="40">
        <v>9</v>
      </c>
      <c r="S400" s="40">
        <v>9</v>
      </c>
      <c r="T400" s="40">
        <v>9</v>
      </c>
      <c r="U400" s="40">
        <v>9</v>
      </c>
      <c r="V400" s="40">
        <v>9</v>
      </c>
      <c r="W400" s="41" t="str">
        <f t="shared" si="87"/>
        <v>Y</v>
      </c>
      <c r="X400" s="56">
        <f t="shared" si="88"/>
        <v>0.73399999999999999</v>
      </c>
      <c r="Y400" s="56" t="str">
        <f t="shared" si="78"/>
        <v>Over 50%</v>
      </c>
      <c r="Z400" s="8" t="s">
        <v>145</v>
      </c>
      <c r="AB400" s="38">
        <v>8040</v>
      </c>
      <c r="AC400" s="38">
        <v>11580</v>
      </c>
      <c r="AD400" s="38">
        <v>11500</v>
      </c>
      <c r="AE400" s="38">
        <v>13920</v>
      </c>
      <c r="AF400" s="38">
        <v>10600</v>
      </c>
      <c r="AG400" s="38">
        <v>16340</v>
      </c>
      <c r="AH400" s="38"/>
    </row>
    <row r="401" spans="1:34" ht="24" customHeight="1" x14ac:dyDescent="0.25">
      <c r="A401" s="10">
        <v>132</v>
      </c>
      <c r="B401" s="9">
        <v>0.12430555555555556</v>
      </c>
      <c r="C401" s="5" t="s">
        <v>20</v>
      </c>
      <c r="D401" s="5">
        <f t="shared" si="76"/>
        <v>10</v>
      </c>
      <c r="E401" s="15"/>
      <c r="F401" s="15" t="s">
        <v>34</v>
      </c>
      <c r="G401" s="19">
        <f t="shared" si="79"/>
        <v>9.74</v>
      </c>
      <c r="H401" s="19">
        <f t="shared" si="80"/>
        <v>19.440000000000001</v>
      </c>
      <c r="I401" s="19">
        <f t="shared" si="81"/>
        <v>19.059999999999999</v>
      </c>
      <c r="J401" s="19">
        <f t="shared" si="82"/>
        <v>6.68</v>
      </c>
      <c r="K401" s="19">
        <f t="shared" si="83"/>
        <v>0</v>
      </c>
      <c r="L401" s="19">
        <f t="shared" si="84"/>
        <v>0</v>
      </c>
      <c r="M401" s="19">
        <f t="shared" si="85"/>
        <v>0</v>
      </c>
      <c r="N401" s="39">
        <f t="shared" si="86"/>
        <v>54.919999999999995</v>
      </c>
      <c r="O401" s="39">
        <f t="shared" si="77"/>
        <v>5323.308851996846</v>
      </c>
      <c r="P401" s="40">
        <v>8</v>
      </c>
      <c r="Q401" s="40">
        <v>10</v>
      </c>
      <c r="R401" s="40">
        <v>9</v>
      </c>
      <c r="S401" s="40">
        <v>9</v>
      </c>
      <c r="T401" s="40">
        <v>9</v>
      </c>
      <c r="U401" s="40">
        <v>9</v>
      </c>
      <c r="V401" s="40">
        <v>9</v>
      </c>
      <c r="W401" s="41" t="str">
        <f t="shared" si="87"/>
        <v>Y</v>
      </c>
      <c r="X401" s="56">
        <f t="shared" si="88"/>
        <v>1.0059999999999998</v>
      </c>
      <c r="Y401" s="56" t="str">
        <f t="shared" si="78"/>
        <v>Over 50%</v>
      </c>
      <c r="Z401" s="8" t="s">
        <v>113</v>
      </c>
      <c r="AB401" s="38">
        <v>9740</v>
      </c>
      <c r="AC401" s="38">
        <v>19440</v>
      </c>
      <c r="AD401" s="38">
        <v>19060</v>
      </c>
      <c r="AE401" s="38">
        <v>6680</v>
      </c>
      <c r="AF401" s="38"/>
      <c r="AG401" s="38"/>
      <c r="AH401" s="38"/>
    </row>
    <row r="402" spans="1:34" ht="24" customHeight="1" x14ac:dyDescent="0.25">
      <c r="A402" s="10">
        <v>138</v>
      </c>
      <c r="B402" s="9">
        <v>0.13749999999999998</v>
      </c>
      <c r="C402" s="5" t="s">
        <v>20</v>
      </c>
      <c r="D402" s="5">
        <f t="shared" si="76"/>
        <v>10</v>
      </c>
      <c r="E402" s="15"/>
      <c r="F402" s="15" t="s">
        <v>31</v>
      </c>
      <c r="G402" s="19">
        <f t="shared" si="79"/>
        <v>3.74</v>
      </c>
      <c r="H402" s="19">
        <f t="shared" si="80"/>
        <v>5.3</v>
      </c>
      <c r="I402" s="19">
        <f t="shared" si="81"/>
        <v>3.82</v>
      </c>
      <c r="J402" s="19">
        <f t="shared" si="82"/>
        <v>4.24</v>
      </c>
      <c r="K402" s="19">
        <f t="shared" si="83"/>
        <v>0</v>
      </c>
      <c r="L402" s="19">
        <f t="shared" si="84"/>
        <v>0</v>
      </c>
      <c r="M402" s="19">
        <f t="shared" si="85"/>
        <v>0</v>
      </c>
      <c r="N402" s="39">
        <f t="shared" si="86"/>
        <v>17.100000000000001</v>
      </c>
      <c r="O402" s="39">
        <f t="shared" si="77"/>
        <v>27.91751655672628</v>
      </c>
      <c r="P402" s="40">
        <v>8</v>
      </c>
      <c r="Q402" s="40">
        <v>10</v>
      </c>
      <c r="R402" s="40">
        <v>9</v>
      </c>
      <c r="S402" s="40">
        <v>9</v>
      </c>
      <c r="T402" s="40">
        <v>9</v>
      </c>
      <c r="U402" s="40">
        <v>9</v>
      </c>
      <c r="V402" s="40">
        <v>9</v>
      </c>
      <c r="W402" s="41" t="str">
        <f t="shared" si="87"/>
        <v>N</v>
      </c>
      <c r="X402" s="56">
        <f t="shared" si="88"/>
        <v>0</v>
      </c>
      <c r="Y402" s="56" t="str">
        <f t="shared" si="78"/>
        <v>0-4.9%</v>
      </c>
      <c r="Z402" s="8" t="s">
        <v>118</v>
      </c>
      <c r="AB402" s="38">
        <v>3740</v>
      </c>
      <c r="AC402" s="38">
        <v>5300</v>
      </c>
      <c r="AD402" s="38">
        <v>3820</v>
      </c>
      <c r="AE402" s="38">
        <v>4240</v>
      </c>
      <c r="AF402" s="38"/>
      <c r="AG402" s="38"/>
      <c r="AH402" s="38"/>
    </row>
    <row r="403" spans="1:34" ht="24" customHeight="1" x14ac:dyDescent="0.25">
      <c r="A403" s="10">
        <v>144</v>
      </c>
      <c r="B403" s="9">
        <v>0.14583333333333334</v>
      </c>
      <c r="C403" s="5" t="s">
        <v>20</v>
      </c>
      <c r="D403" s="5">
        <f t="shared" si="76"/>
        <v>10</v>
      </c>
      <c r="E403" s="15"/>
      <c r="F403" s="15" t="s">
        <v>27</v>
      </c>
      <c r="G403" s="19">
        <f t="shared" si="79"/>
        <v>7.08</v>
      </c>
      <c r="H403" s="19">
        <f t="shared" si="80"/>
        <v>8.76</v>
      </c>
      <c r="I403" s="19">
        <f t="shared" si="81"/>
        <v>16</v>
      </c>
      <c r="J403" s="19">
        <f t="shared" si="82"/>
        <v>17.14</v>
      </c>
      <c r="K403" s="19">
        <f t="shared" si="83"/>
        <v>13.36</v>
      </c>
      <c r="L403" s="19">
        <f t="shared" si="84"/>
        <v>15.56</v>
      </c>
      <c r="M403" s="19">
        <f t="shared" si="85"/>
        <v>0</v>
      </c>
      <c r="N403" s="39">
        <f t="shared" si="86"/>
        <v>77.900000000000006</v>
      </c>
      <c r="O403" s="39">
        <f t="shared" si="77"/>
        <v>25663.320346383814</v>
      </c>
      <c r="P403" s="40">
        <v>8</v>
      </c>
      <c r="Q403" s="40">
        <v>10</v>
      </c>
      <c r="R403" s="40">
        <v>9</v>
      </c>
      <c r="S403" s="40">
        <v>9</v>
      </c>
      <c r="T403" s="40">
        <v>9</v>
      </c>
      <c r="U403" s="40">
        <v>9</v>
      </c>
      <c r="V403" s="40">
        <v>9</v>
      </c>
      <c r="W403" s="41" t="str">
        <f t="shared" si="87"/>
        <v>Y</v>
      </c>
      <c r="X403" s="56">
        <f t="shared" si="88"/>
        <v>0.81400000000000006</v>
      </c>
      <c r="Y403" s="56" t="str">
        <f t="shared" si="78"/>
        <v>Over 50%</v>
      </c>
      <c r="Z403" s="8" t="s">
        <v>118</v>
      </c>
      <c r="AB403" s="38">
        <v>7080</v>
      </c>
      <c r="AC403" s="38">
        <v>8760</v>
      </c>
      <c r="AD403" s="38">
        <v>16000</v>
      </c>
      <c r="AE403" s="38">
        <v>17140</v>
      </c>
      <c r="AF403" s="38">
        <v>13360</v>
      </c>
      <c r="AG403" s="38">
        <v>15560</v>
      </c>
      <c r="AH403" s="38"/>
    </row>
    <row r="404" spans="1:34" ht="24" customHeight="1" x14ac:dyDescent="0.25">
      <c r="A404" s="10">
        <v>145</v>
      </c>
      <c r="B404" s="9">
        <v>0.14583333333333334</v>
      </c>
      <c r="C404" s="5" t="s">
        <v>20</v>
      </c>
      <c r="D404" s="5">
        <f t="shared" si="76"/>
        <v>10</v>
      </c>
      <c r="E404" s="15"/>
      <c r="F404" s="15" t="s">
        <v>31</v>
      </c>
      <c r="G404" s="19">
        <f t="shared" si="79"/>
        <v>8.18</v>
      </c>
      <c r="H404" s="19">
        <f t="shared" si="80"/>
        <v>14.02</v>
      </c>
      <c r="I404" s="19">
        <f t="shared" si="81"/>
        <v>9.4600000000000009</v>
      </c>
      <c r="J404" s="19">
        <f t="shared" si="82"/>
        <v>8.07</v>
      </c>
      <c r="K404" s="19">
        <f t="shared" si="83"/>
        <v>0</v>
      </c>
      <c r="L404" s="19">
        <f t="shared" si="84"/>
        <v>0</v>
      </c>
      <c r="M404" s="19">
        <f t="shared" si="85"/>
        <v>0</v>
      </c>
      <c r="N404" s="39">
        <f t="shared" si="86"/>
        <v>39.730000000000004</v>
      </c>
      <c r="O404" s="39">
        <f t="shared" si="77"/>
        <v>1240.0175402069367</v>
      </c>
      <c r="P404" s="40">
        <v>8</v>
      </c>
      <c r="Q404" s="40">
        <v>10</v>
      </c>
      <c r="R404" s="40">
        <v>9</v>
      </c>
      <c r="S404" s="40">
        <v>9</v>
      </c>
      <c r="T404" s="40">
        <v>9</v>
      </c>
      <c r="U404" s="40">
        <v>9</v>
      </c>
      <c r="V404" s="40">
        <v>9</v>
      </c>
      <c r="W404" s="41" t="str">
        <f t="shared" si="87"/>
        <v>Y</v>
      </c>
      <c r="X404" s="56">
        <f t="shared" si="88"/>
        <v>0.40199999999999997</v>
      </c>
      <c r="Y404" s="56" t="str">
        <f t="shared" si="78"/>
        <v>25-50%</v>
      </c>
      <c r="Z404" s="8" t="s">
        <v>111</v>
      </c>
      <c r="AB404" s="38">
        <v>8180</v>
      </c>
      <c r="AC404" s="38">
        <v>14020</v>
      </c>
      <c r="AD404" s="38">
        <v>9460</v>
      </c>
      <c r="AE404" s="38">
        <v>8070</v>
      </c>
      <c r="AF404" s="38"/>
      <c r="AG404" s="38"/>
      <c r="AH404" s="38"/>
    </row>
    <row r="405" spans="1:34" ht="24" customHeight="1" x14ac:dyDescent="0.25">
      <c r="A405" s="10">
        <v>7</v>
      </c>
      <c r="B405" s="9">
        <v>0.17430555555555557</v>
      </c>
      <c r="C405" s="5" t="s">
        <v>20</v>
      </c>
      <c r="D405" s="5">
        <f t="shared" si="76"/>
        <v>10</v>
      </c>
      <c r="E405" s="15"/>
      <c r="F405" s="15" t="s">
        <v>31</v>
      </c>
      <c r="G405" s="19">
        <f t="shared" si="79"/>
        <v>6.54</v>
      </c>
      <c r="H405" s="19">
        <f t="shared" si="80"/>
        <v>7.08</v>
      </c>
      <c r="I405" s="19">
        <f t="shared" si="81"/>
        <v>4.16</v>
      </c>
      <c r="J405" s="19">
        <f t="shared" si="82"/>
        <v>4.16</v>
      </c>
      <c r="K405" s="19">
        <f t="shared" si="83"/>
        <v>0</v>
      </c>
      <c r="L405" s="19">
        <f t="shared" si="84"/>
        <v>0</v>
      </c>
      <c r="M405" s="19">
        <f t="shared" si="85"/>
        <v>0</v>
      </c>
      <c r="N405" s="39">
        <f t="shared" si="86"/>
        <v>21.94</v>
      </c>
      <c r="O405" s="39">
        <f t="shared" si="77"/>
        <v>85.695711749228778</v>
      </c>
      <c r="P405" s="40">
        <v>8</v>
      </c>
      <c r="Q405" s="40">
        <v>10</v>
      </c>
      <c r="R405" s="40">
        <v>9</v>
      </c>
      <c r="S405" s="40">
        <v>9</v>
      </c>
      <c r="T405" s="40">
        <v>9</v>
      </c>
      <c r="U405" s="40">
        <v>9</v>
      </c>
      <c r="V405" s="40">
        <v>9</v>
      </c>
      <c r="W405" s="41" t="str">
        <f t="shared" si="87"/>
        <v>N</v>
      </c>
      <c r="X405" s="56">
        <f t="shared" si="88"/>
        <v>0</v>
      </c>
      <c r="Y405" s="56" t="str">
        <f t="shared" si="78"/>
        <v>0-4.9%</v>
      </c>
      <c r="Z405" s="8" t="s">
        <v>118</v>
      </c>
      <c r="AB405" s="38">
        <v>6540</v>
      </c>
      <c r="AC405" s="38">
        <v>7080</v>
      </c>
      <c r="AD405" s="38">
        <v>4160</v>
      </c>
      <c r="AE405" s="38">
        <v>4160</v>
      </c>
      <c r="AF405" s="38"/>
      <c r="AG405" s="38"/>
      <c r="AH405" s="38"/>
    </row>
    <row r="406" spans="1:34" ht="24" customHeight="1" x14ac:dyDescent="0.25">
      <c r="A406" s="10">
        <v>11</v>
      </c>
      <c r="B406" s="9">
        <v>0.17708333333333334</v>
      </c>
      <c r="C406" s="5" t="s">
        <v>20</v>
      </c>
      <c r="D406" s="5">
        <f t="shared" si="76"/>
        <v>10</v>
      </c>
      <c r="E406" s="15"/>
      <c r="F406" s="15" t="s">
        <v>26</v>
      </c>
      <c r="G406" s="19">
        <f t="shared" si="79"/>
        <v>6.54</v>
      </c>
      <c r="H406" s="19">
        <f t="shared" si="80"/>
        <v>11.64</v>
      </c>
      <c r="I406" s="19">
        <f t="shared" si="81"/>
        <v>9.82</v>
      </c>
      <c r="J406" s="19">
        <f t="shared" si="82"/>
        <v>17</v>
      </c>
      <c r="K406" s="19">
        <f t="shared" si="83"/>
        <v>1.38</v>
      </c>
      <c r="L406" s="19">
        <f t="shared" si="84"/>
        <v>16.18</v>
      </c>
      <c r="M406" s="19">
        <f t="shared" si="85"/>
        <v>0</v>
      </c>
      <c r="N406" s="39">
        <f t="shared" si="86"/>
        <v>62.56</v>
      </c>
      <c r="O406" s="39">
        <f t="shared" si="77"/>
        <v>9565.9832445385055</v>
      </c>
      <c r="P406" s="40">
        <v>8</v>
      </c>
      <c r="Q406" s="40">
        <v>10</v>
      </c>
      <c r="R406" s="40">
        <v>9</v>
      </c>
      <c r="S406" s="40">
        <v>9</v>
      </c>
      <c r="T406" s="40">
        <v>9</v>
      </c>
      <c r="U406" s="40">
        <v>9</v>
      </c>
      <c r="V406" s="40">
        <v>9</v>
      </c>
      <c r="W406" s="41" t="str">
        <f t="shared" si="87"/>
        <v>Y</v>
      </c>
      <c r="X406" s="56">
        <f t="shared" si="88"/>
        <v>0.8</v>
      </c>
      <c r="Y406" s="56" t="str">
        <f t="shared" si="78"/>
        <v>Over 50%</v>
      </c>
      <c r="Z406" s="8" t="s">
        <v>145</v>
      </c>
      <c r="AB406" s="38">
        <v>6540</v>
      </c>
      <c r="AC406" s="38">
        <v>11640</v>
      </c>
      <c r="AD406" s="38">
        <v>9820</v>
      </c>
      <c r="AE406" s="38">
        <v>17000</v>
      </c>
      <c r="AF406" s="38">
        <v>1380</v>
      </c>
      <c r="AG406" s="38">
        <v>16180</v>
      </c>
      <c r="AH406" s="38"/>
    </row>
    <row r="407" spans="1:34" ht="24" customHeight="1" x14ac:dyDescent="0.25">
      <c r="A407" s="10">
        <v>13</v>
      </c>
      <c r="B407" s="9">
        <v>0.18263888888888891</v>
      </c>
      <c r="C407" s="5" t="s">
        <v>20</v>
      </c>
      <c r="D407" s="5">
        <f t="shared" si="76"/>
        <v>10</v>
      </c>
      <c r="E407" s="15"/>
      <c r="F407" s="15" t="s">
        <v>44</v>
      </c>
      <c r="G407" s="19">
        <f t="shared" si="79"/>
        <v>7.34</v>
      </c>
      <c r="H407" s="19">
        <f t="shared" si="80"/>
        <v>2.9</v>
      </c>
      <c r="I407" s="19">
        <f t="shared" si="81"/>
        <v>5.36</v>
      </c>
      <c r="J407" s="19">
        <f t="shared" si="82"/>
        <v>3.34</v>
      </c>
      <c r="K407" s="19">
        <f t="shared" si="83"/>
        <v>0</v>
      </c>
      <c r="L407" s="19">
        <f t="shared" si="84"/>
        <v>0</v>
      </c>
      <c r="M407" s="19">
        <f t="shared" si="85"/>
        <v>0</v>
      </c>
      <c r="N407" s="39">
        <f t="shared" si="86"/>
        <v>18.940000000000001</v>
      </c>
      <c r="O407" s="39">
        <f t="shared" si="77"/>
        <v>44.218516845803244</v>
      </c>
      <c r="P407" s="40">
        <v>8</v>
      </c>
      <c r="Q407" s="40">
        <v>10</v>
      </c>
      <c r="R407" s="40">
        <v>9</v>
      </c>
      <c r="S407" s="40">
        <v>9</v>
      </c>
      <c r="T407" s="40">
        <v>9</v>
      </c>
      <c r="U407" s="40">
        <v>9</v>
      </c>
      <c r="V407" s="40">
        <v>9</v>
      </c>
      <c r="W407" s="41" t="str">
        <f t="shared" si="87"/>
        <v>N</v>
      </c>
      <c r="X407" s="56">
        <f t="shared" si="88"/>
        <v>0</v>
      </c>
      <c r="Y407" s="56" t="str">
        <f t="shared" si="78"/>
        <v>0-4.9%</v>
      </c>
      <c r="Z407" s="8" t="s">
        <v>107</v>
      </c>
      <c r="AB407" s="38">
        <v>7340</v>
      </c>
      <c r="AC407" s="38">
        <v>2900</v>
      </c>
      <c r="AD407" s="38">
        <v>5360</v>
      </c>
      <c r="AE407" s="38">
        <v>3340</v>
      </c>
      <c r="AF407" s="38"/>
      <c r="AG407" s="38"/>
      <c r="AH407" s="38"/>
    </row>
    <row r="408" spans="1:34" ht="24" customHeight="1" x14ac:dyDescent="0.25">
      <c r="A408" s="10">
        <v>16</v>
      </c>
      <c r="B408" s="9">
        <v>0.19097222222222221</v>
      </c>
      <c r="C408" s="5" t="s">
        <v>20</v>
      </c>
      <c r="D408" s="5">
        <f t="shared" si="76"/>
        <v>10</v>
      </c>
      <c r="E408" s="15"/>
      <c r="F408" s="15" t="s">
        <v>26</v>
      </c>
      <c r="G408" s="19">
        <f t="shared" si="79"/>
        <v>6.22</v>
      </c>
      <c r="H408" s="19">
        <f t="shared" si="80"/>
        <v>13.96</v>
      </c>
      <c r="I408" s="19">
        <f t="shared" si="81"/>
        <v>13.08</v>
      </c>
      <c r="J408" s="19">
        <f t="shared" si="82"/>
        <v>11.12</v>
      </c>
      <c r="K408" s="19">
        <f t="shared" si="83"/>
        <v>11.62</v>
      </c>
      <c r="L408" s="19">
        <f t="shared" si="84"/>
        <v>11.12</v>
      </c>
      <c r="M408" s="19">
        <f t="shared" si="85"/>
        <v>0</v>
      </c>
      <c r="N408" s="39">
        <f t="shared" si="86"/>
        <v>67.11999999999999</v>
      </c>
      <c r="O408" s="39">
        <f t="shared" si="77"/>
        <v>13128.891244922899</v>
      </c>
      <c r="P408" s="40">
        <v>8</v>
      </c>
      <c r="Q408" s="40">
        <v>10</v>
      </c>
      <c r="R408" s="40">
        <v>9</v>
      </c>
      <c r="S408" s="40">
        <v>9</v>
      </c>
      <c r="T408" s="40">
        <v>9</v>
      </c>
      <c r="U408" s="40">
        <v>9</v>
      </c>
      <c r="V408" s="40">
        <v>9</v>
      </c>
      <c r="W408" s="41" t="str">
        <f t="shared" si="87"/>
        <v>Y</v>
      </c>
      <c r="X408" s="56">
        <f t="shared" si="88"/>
        <v>0.40800000000000003</v>
      </c>
      <c r="Y408" s="56" t="str">
        <f t="shared" si="78"/>
        <v>25-50%</v>
      </c>
      <c r="Z408" s="8" t="s">
        <v>145</v>
      </c>
      <c r="AB408" s="38">
        <v>6220</v>
      </c>
      <c r="AC408" s="38">
        <v>13960</v>
      </c>
      <c r="AD408" s="38">
        <v>13080</v>
      </c>
      <c r="AE408" s="38">
        <v>11120</v>
      </c>
      <c r="AF408" s="38">
        <v>11620</v>
      </c>
      <c r="AG408" s="38">
        <v>11120</v>
      </c>
      <c r="AH408" s="38"/>
    </row>
    <row r="409" spans="1:34" ht="24" customHeight="1" x14ac:dyDescent="0.25">
      <c r="A409" s="10">
        <v>26</v>
      </c>
      <c r="B409" s="9">
        <v>0.21944444444444444</v>
      </c>
      <c r="C409" s="5" t="s">
        <v>20</v>
      </c>
      <c r="D409" s="5">
        <f t="shared" si="76"/>
        <v>10</v>
      </c>
      <c r="E409" s="15"/>
      <c r="F409" s="15" t="s">
        <v>26</v>
      </c>
      <c r="G409" s="19">
        <f t="shared" si="79"/>
        <v>6.08</v>
      </c>
      <c r="H409" s="19">
        <f t="shared" si="80"/>
        <v>5</v>
      </c>
      <c r="I409" s="19">
        <f t="shared" si="81"/>
        <v>4.22</v>
      </c>
      <c r="J409" s="19">
        <f t="shared" si="82"/>
        <v>5.62</v>
      </c>
      <c r="K409" s="19">
        <f t="shared" si="83"/>
        <v>4.88</v>
      </c>
      <c r="L409" s="19">
        <f t="shared" si="84"/>
        <v>4.26</v>
      </c>
      <c r="M409" s="19">
        <f t="shared" si="85"/>
        <v>0</v>
      </c>
      <c r="N409" s="39">
        <f t="shared" si="86"/>
        <v>30.060000000000002</v>
      </c>
      <c r="O409" s="39">
        <f t="shared" si="77"/>
        <v>353.4635856252948</v>
      </c>
      <c r="P409" s="40">
        <v>8</v>
      </c>
      <c r="Q409" s="40">
        <v>10</v>
      </c>
      <c r="R409" s="40">
        <v>9</v>
      </c>
      <c r="S409" s="40">
        <v>9</v>
      </c>
      <c r="T409" s="40">
        <v>9</v>
      </c>
      <c r="U409" s="40">
        <v>9</v>
      </c>
      <c r="V409" s="40">
        <v>9</v>
      </c>
      <c r="W409" s="41" t="str">
        <f t="shared" si="87"/>
        <v>N</v>
      </c>
      <c r="X409" s="56">
        <f t="shared" si="88"/>
        <v>0</v>
      </c>
      <c r="Y409" s="56" t="str">
        <f t="shared" si="78"/>
        <v>0-4.9%</v>
      </c>
      <c r="Z409" s="8" t="s">
        <v>107</v>
      </c>
      <c r="AB409" s="38">
        <v>6080</v>
      </c>
      <c r="AC409" s="38">
        <v>5000</v>
      </c>
      <c r="AD409" s="38">
        <v>4220</v>
      </c>
      <c r="AE409" s="38">
        <v>5620</v>
      </c>
      <c r="AF409" s="38">
        <v>4880</v>
      </c>
      <c r="AG409" s="38">
        <v>4260</v>
      </c>
      <c r="AH409" s="38"/>
    </row>
    <row r="410" spans="1:34" ht="24" customHeight="1" x14ac:dyDescent="0.25">
      <c r="A410" s="10">
        <v>43</v>
      </c>
      <c r="B410" s="9"/>
      <c r="C410" s="5" t="s">
        <v>20</v>
      </c>
      <c r="D410" s="5">
        <f t="shared" si="76"/>
        <v>10</v>
      </c>
      <c r="E410" s="15"/>
      <c r="F410" s="15" t="s">
        <v>26</v>
      </c>
      <c r="G410" s="19">
        <f t="shared" si="79"/>
        <v>6.34</v>
      </c>
      <c r="H410" s="19">
        <f t="shared" si="80"/>
        <v>7.38</v>
      </c>
      <c r="I410" s="19">
        <f t="shared" si="81"/>
        <v>7.74</v>
      </c>
      <c r="J410" s="19">
        <f t="shared" si="82"/>
        <v>12.62</v>
      </c>
      <c r="K410" s="19">
        <f t="shared" si="83"/>
        <v>11.2</v>
      </c>
      <c r="L410" s="19">
        <f t="shared" si="84"/>
        <v>13.22</v>
      </c>
      <c r="M410" s="19">
        <f t="shared" si="85"/>
        <v>0</v>
      </c>
      <c r="N410" s="39">
        <f t="shared" si="86"/>
        <v>58.5</v>
      </c>
      <c r="O410" s="39">
        <f t="shared" si="77"/>
        <v>7072.870117162036</v>
      </c>
      <c r="P410" s="40">
        <v>8</v>
      </c>
      <c r="Q410" s="40">
        <v>10</v>
      </c>
      <c r="R410" s="40">
        <v>9</v>
      </c>
      <c r="S410" s="40">
        <v>9</v>
      </c>
      <c r="T410" s="40">
        <v>9</v>
      </c>
      <c r="U410" s="40">
        <v>9</v>
      </c>
      <c r="V410" s="40">
        <v>9</v>
      </c>
      <c r="W410" s="41" t="str">
        <f t="shared" si="87"/>
        <v>Y</v>
      </c>
      <c r="X410" s="56">
        <f t="shared" si="88"/>
        <v>0.42200000000000004</v>
      </c>
      <c r="Y410" s="56" t="str">
        <f t="shared" si="78"/>
        <v>25-50%</v>
      </c>
      <c r="Z410" s="8" t="s">
        <v>113</v>
      </c>
      <c r="AB410" s="38">
        <v>6340</v>
      </c>
      <c r="AC410" s="38">
        <v>7380</v>
      </c>
      <c r="AD410" s="38">
        <v>7740</v>
      </c>
      <c r="AE410" s="38">
        <v>12620</v>
      </c>
      <c r="AF410" s="38">
        <v>11200</v>
      </c>
      <c r="AG410" s="38">
        <v>13220</v>
      </c>
      <c r="AH410" s="38"/>
    </row>
    <row r="411" spans="1:34" ht="24" customHeight="1" x14ac:dyDescent="0.25">
      <c r="A411" s="10">
        <v>50</v>
      </c>
      <c r="B411" s="9"/>
      <c r="C411" s="5" t="s">
        <v>20</v>
      </c>
      <c r="D411" s="5">
        <f t="shared" si="76"/>
        <v>10</v>
      </c>
      <c r="E411" s="15"/>
      <c r="F411" s="15" t="s">
        <v>27</v>
      </c>
      <c r="G411" s="19">
        <f t="shared" si="79"/>
        <v>8.36</v>
      </c>
      <c r="H411" s="19">
        <f t="shared" si="80"/>
        <v>6.28</v>
      </c>
      <c r="I411" s="19">
        <f t="shared" si="81"/>
        <v>14.24</v>
      </c>
      <c r="J411" s="19">
        <f t="shared" si="82"/>
        <v>13.76</v>
      </c>
      <c r="K411" s="19">
        <f t="shared" si="83"/>
        <v>9.66</v>
      </c>
      <c r="L411" s="19">
        <f t="shared" si="84"/>
        <v>10.119999999999999</v>
      </c>
      <c r="M411" s="19">
        <f t="shared" si="85"/>
        <v>0</v>
      </c>
      <c r="N411" s="39">
        <f t="shared" si="86"/>
        <v>62.419999999999995</v>
      </c>
      <c r="O411" s="39">
        <f t="shared" si="77"/>
        <v>9470.0271715491126</v>
      </c>
      <c r="P411" s="40">
        <v>8</v>
      </c>
      <c r="Q411" s="40">
        <v>10</v>
      </c>
      <c r="R411" s="40">
        <v>9</v>
      </c>
      <c r="S411" s="40">
        <v>9</v>
      </c>
      <c r="T411" s="40">
        <v>9</v>
      </c>
      <c r="U411" s="40">
        <v>9</v>
      </c>
      <c r="V411" s="40">
        <v>9</v>
      </c>
      <c r="W411" s="41" t="str">
        <f t="shared" si="87"/>
        <v>Y</v>
      </c>
      <c r="X411" s="56">
        <f t="shared" si="88"/>
        <v>0.52400000000000002</v>
      </c>
      <c r="Y411" s="56" t="str">
        <f t="shared" si="78"/>
        <v>Over 50%</v>
      </c>
      <c r="Z411" s="8" t="s">
        <v>111</v>
      </c>
      <c r="AB411" s="38">
        <v>8360</v>
      </c>
      <c r="AC411" s="38">
        <v>6280</v>
      </c>
      <c r="AD411" s="38">
        <v>14240</v>
      </c>
      <c r="AE411" s="38">
        <v>13760</v>
      </c>
      <c r="AF411" s="38">
        <v>9660</v>
      </c>
      <c r="AG411" s="38">
        <v>10120</v>
      </c>
      <c r="AH411" s="38"/>
    </row>
    <row r="412" spans="1:34" ht="24" customHeight="1" x14ac:dyDescent="0.25">
      <c r="A412" s="10">
        <v>55</v>
      </c>
      <c r="B412" s="9">
        <v>0.4236111111111111</v>
      </c>
      <c r="C412" s="5" t="s">
        <v>20</v>
      </c>
      <c r="D412" s="5">
        <f t="shared" si="76"/>
        <v>10</v>
      </c>
      <c r="E412" s="15"/>
      <c r="F412" s="15" t="s">
        <v>27</v>
      </c>
      <c r="G412" s="19">
        <f t="shared" si="79"/>
        <v>8.5399999999999991</v>
      </c>
      <c r="H412" s="19">
        <f t="shared" si="80"/>
        <v>2</v>
      </c>
      <c r="I412" s="19">
        <f t="shared" si="81"/>
        <v>18.96</v>
      </c>
      <c r="J412" s="19">
        <f t="shared" si="82"/>
        <v>18.3</v>
      </c>
      <c r="K412" s="19">
        <f t="shared" si="83"/>
        <v>12.68</v>
      </c>
      <c r="L412" s="19">
        <f t="shared" si="84"/>
        <v>11.2</v>
      </c>
      <c r="M412" s="19">
        <f t="shared" si="85"/>
        <v>0</v>
      </c>
      <c r="N412" s="39">
        <f t="shared" si="86"/>
        <v>71.679999999999993</v>
      </c>
      <c r="O412" s="39">
        <f t="shared" si="77"/>
        <v>17647.584520050728</v>
      </c>
      <c r="P412" s="40">
        <v>8</v>
      </c>
      <c r="Q412" s="40">
        <v>10</v>
      </c>
      <c r="R412" s="40">
        <v>9</v>
      </c>
      <c r="S412" s="40">
        <v>9</v>
      </c>
      <c r="T412" s="40">
        <v>9</v>
      </c>
      <c r="U412" s="40">
        <v>9</v>
      </c>
      <c r="V412" s="40">
        <v>9</v>
      </c>
      <c r="W412" s="41" t="str">
        <f t="shared" si="87"/>
        <v>Y</v>
      </c>
      <c r="X412" s="56">
        <f t="shared" si="88"/>
        <v>0.99600000000000011</v>
      </c>
      <c r="Y412" s="56" t="str">
        <f t="shared" si="78"/>
        <v>Over 50%</v>
      </c>
      <c r="Z412" s="8" t="s">
        <v>113</v>
      </c>
      <c r="AB412" s="38">
        <v>8540</v>
      </c>
      <c r="AC412" s="38">
        <v>2000</v>
      </c>
      <c r="AD412" s="38">
        <v>18960</v>
      </c>
      <c r="AE412" s="38">
        <v>18300</v>
      </c>
      <c r="AF412" s="38">
        <v>12680</v>
      </c>
      <c r="AG412" s="38">
        <v>11200</v>
      </c>
      <c r="AH412" s="38"/>
    </row>
    <row r="413" spans="1:34" ht="24" customHeight="1" x14ac:dyDescent="0.25">
      <c r="A413" s="10">
        <v>78</v>
      </c>
      <c r="B413" s="9">
        <v>0.46388888888888885</v>
      </c>
      <c r="C413" s="5" t="s">
        <v>20</v>
      </c>
      <c r="D413" s="5">
        <f t="shared" si="76"/>
        <v>10</v>
      </c>
      <c r="E413" s="15"/>
      <c r="F413" s="15" t="s">
        <v>31</v>
      </c>
      <c r="G413" s="19">
        <f t="shared" si="79"/>
        <v>7.78</v>
      </c>
      <c r="H413" s="19">
        <f t="shared" si="80"/>
        <v>6.68</v>
      </c>
      <c r="I413" s="19">
        <f t="shared" si="81"/>
        <v>10.58</v>
      </c>
      <c r="J413" s="19">
        <f t="shared" si="82"/>
        <v>9.92</v>
      </c>
      <c r="K413" s="19">
        <f t="shared" si="83"/>
        <v>0</v>
      </c>
      <c r="L413" s="19">
        <f t="shared" si="84"/>
        <v>0</v>
      </c>
      <c r="M413" s="19">
        <f t="shared" si="85"/>
        <v>0</v>
      </c>
      <c r="N413" s="39">
        <f t="shared" si="86"/>
        <v>34.96</v>
      </c>
      <c r="O413" s="39">
        <f t="shared" si="77"/>
        <v>697.37390650656607</v>
      </c>
      <c r="P413" s="40">
        <v>8</v>
      </c>
      <c r="Q413" s="40">
        <v>10</v>
      </c>
      <c r="R413" s="40">
        <v>9</v>
      </c>
      <c r="S413" s="40">
        <v>9</v>
      </c>
      <c r="T413" s="40">
        <v>9</v>
      </c>
      <c r="U413" s="40">
        <v>9</v>
      </c>
      <c r="V413" s="40">
        <v>9</v>
      </c>
      <c r="W413" s="41" t="str">
        <f t="shared" si="87"/>
        <v>Y</v>
      </c>
      <c r="X413" s="56">
        <f t="shared" si="88"/>
        <v>0.158</v>
      </c>
      <c r="Y413" s="56" t="str">
        <f t="shared" si="78"/>
        <v>5-25%</v>
      </c>
      <c r="Z413" s="8" t="s">
        <v>118</v>
      </c>
      <c r="AB413" s="38">
        <v>7780</v>
      </c>
      <c r="AC413" s="38">
        <v>6680</v>
      </c>
      <c r="AD413" s="38">
        <v>10580</v>
      </c>
      <c r="AE413" s="38">
        <v>9920</v>
      </c>
      <c r="AF413" s="38"/>
      <c r="AG413" s="38"/>
      <c r="AH413" s="38"/>
    </row>
    <row r="414" spans="1:34" ht="24" customHeight="1" x14ac:dyDescent="0.25">
      <c r="A414" s="10">
        <v>80</v>
      </c>
      <c r="B414" s="9">
        <v>0.46666666666666662</v>
      </c>
      <c r="C414" s="5" t="s">
        <v>20</v>
      </c>
      <c r="D414" s="5">
        <f t="shared" si="76"/>
        <v>10</v>
      </c>
      <c r="E414" s="15"/>
      <c r="F414" s="15" t="s">
        <v>26</v>
      </c>
      <c r="G414" s="19">
        <f t="shared" si="79"/>
        <v>7.52</v>
      </c>
      <c r="H414" s="19">
        <f t="shared" si="80"/>
        <v>12.96</v>
      </c>
      <c r="I414" s="19">
        <f t="shared" si="81"/>
        <v>12.22</v>
      </c>
      <c r="J414" s="19">
        <f t="shared" si="82"/>
        <v>14</v>
      </c>
      <c r="K414" s="19">
        <f t="shared" si="83"/>
        <v>12.56</v>
      </c>
      <c r="L414" s="19">
        <f t="shared" si="84"/>
        <v>13.56</v>
      </c>
      <c r="M414" s="19">
        <f t="shared" si="85"/>
        <v>0</v>
      </c>
      <c r="N414" s="39">
        <f t="shared" si="86"/>
        <v>72.820000000000007</v>
      </c>
      <c r="O414" s="39">
        <f t="shared" si="77"/>
        <v>18946.2088909423</v>
      </c>
      <c r="P414" s="40">
        <v>8</v>
      </c>
      <c r="Q414" s="40">
        <v>10</v>
      </c>
      <c r="R414" s="40">
        <v>9</v>
      </c>
      <c r="S414" s="40">
        <v>9</v>
      </c>
      <c r="T414" s="40">
        <v>9</v>
      </c>
      <c r="U414" s="40">
        <v>9</v>
      </c>
      <c r="V414" s="40">
        <v>9</v>
      </c>
      <c r="W414" s="41" t="str">
        <f t="shared" si="87"/>
        <v>Y</v>
      </c>
      <c r="X414" s="56">
        <f t="shared" si="88"/>
        <v>0.5</v>
      </c>
      <c r="Y414" s="56" t="str">
        <f t="shared" si="78"/>
        <v>Over 50%</v>
      </c>
      <c r="Z414" s="8" t="s">
        <v>145</v>
      </c>
      <c r="AB414" s="38">
        <v>7520</v>
      </c>
      <c r="AC414" s="38">
        <v>12960</v>
      </c>
      <c r="AD414" s="38">
        <v>12220</v>
      </c>
      <c r="AE414" s="38">
        <v>14000</v>
      </c>
      <c r="AF414" s="38">
        <v>12560</v>
      </c>
      <c r="AG414" s="38">
        <v>13560</v>
      </c>
      <c r="AH414" s="38"/>
    </row>
    <row r="415" spans="1:34" ht="24" customHeight="1" x14ac:dyDescent="0.25">
      <c r="A415" s="10">
        <v>83</v>
      </c>
      <c r="B415" s="9">
        <v>0.4694444444444445</v>
      </c>
      <c r="C415" s="5" t="s">
        <v>21</v>
      </c>
      <c r="D415" s="5">
        <f t="shared" si="76"/>
        <v>10</v>
      </c>
      <c r="E415" s="15"/>
      <c r="F415" s="15" t="s">
        <v>26</v>
      </c>
      <c r="G415" s="19">
        <f t="shared" si="79"/>
        <v>7.24</v>
      </c>
      <c r="H415" s="19">
        <f t="shared" si="80"/>
        <v>11.64</v>
      </c>
      <c r="I415" s="19">
        <f t="shared" si="81"/>
        <v>11.7</v>
      </c>
      <c r="J415" s="19">
        <f t="shared" si="82"/>
        <v>15.08</v>
      </c>
      <c r="K415" s="19">
        <f t="shared" si="83"/>
        <v>12.54</v>
      </c>
      <c r="L415" s="19">
        <f t="shared" si="84"/>
        <v>13.12</v>
      </c>
      <c r="M415" s="19">
        <f t="shared" si="85"/>
        <v>0</v>
      </c>
      <c r="N415" s="39">
        <f t="shared" si="86"/>
        <v>71.320000000000007</v>
      </c>
      <c r="O415" s="39">
        <f t="shared" si="77"/>
        <v>17252.232046436755</v>
      </c>
      <c r="P415" s="40">
        <v>8</v>
      </c>
      <c r="Q415" s="40">
        <v>10</v>
      </c>
      <c r="R415" s="40">
        <v>9</v>
      </c>
      <c r="S415" s="40">
        <v>9</v>
      </c>
      <c r="T415" s="40">
        <v>9</v>
      </c>
      <c r="U415" s="40">
        <v>9</v>
      </c>
      <c r="V415" s="40">
        <v>9</v>
      </c>
      <c r="W415" s="41" t="str">
        <f t="shared" si="87"/>
        <v>Y</v>
      </c>
      <c r="X415" s="56">
        <f t="shared" si="88"/>
        <v>0.60799999999999998</v>
      </c>
      <c r="Y415" s="56" t="str">
        <f t="shared" si="78"/>
        <v>Over 50%</v>
      </c>
      <c r="Z415" s="8" t="s">
        <v>145</v>
      </c>
      <c r="AB415" s="38">
        <v>7240</v>
      </c>
      <c r="AC415" s="38">
        <v>11640</v>
      </c>
      <c r="AD415" s="38">
        <v>11700</v>
      </c>
      <c r="AE415" s="38">
        <v>15080</v>
      </c>
      <c r="AF415" s="38">
        <v>12540</v>
      </c>
      <c r="AG415" s="38">
        <v>13120</v>
      </c>
      <c r="AH415" s="38"/>
    </row>
    <row r="416" spans="1:34" ht="24" customHeight="1" x14ac:dyDescent="0.25">
      <c r="A416" s="10">
        <v>84</v>
      </c>
      <c r="B416" s="9">
        <v>0.47291666666666665</v>
      </c>
      <c r="C416" s="5" t="s">
        <v>20</v>
      </c>
      <c r="D416" s="5">
        <f t="shared" si="76"/>
        <v>10</v>
      </c>
      <c r="E416" s="15"/>
      <c r="F416" s="15" t="s">
        <v>26</v>
      </c>
      <c r="G416" s="19">
        <f t="shared" si="79"/>
        <v>6.62</v>
      </c>
      <c r="H416" s="19">
        <f t="shared" si="80"/>
        <v>6.06</v>
      </c>
      <c r="I416" s="19">
        <f t="shared" si="81"/>
        <v>8.3000000000000007</v>
      </c>
      <c r="J416" s="19">
        <f t="shared" si="82"/>
        <v>9.6</v>
      </c>
      <c r="K416" s="19">
        <f t="shared" si="83"/>
        <v>7.44</v>
      </c>
      <c r="L416" s="19">
        <f t="shared" si="84"/>
        <v>7.98</v>
      </c>
      <c r="M416" s="19">
        <f t="shared" si="85"/>
        <v>0</v>
      </c>
      <c r="N416" s="39">
        <f t="shared" si="86"/>
        <v>46</v>
      </c>
      <c r="O416" s="39">
        <f t="shared" si="77"/>
        <v>2397.7534700282204</v>
      </c>
      <c r="P416" s="40">
        <v>8</v>
      </c>
      <c r="Q416" s="40">
        <v>10</v>
      </c>
      <c r="R416" s="40">
        <v>9</v>
      </c>
      <c r="S416" s="40">
        <v>9</v>
      </c>
      <c r="T416" s="40">
        <v>9</v>
      </c>
      <c r="U416" s="40">
        <v>9</v>
      </c>
      <c r="V416" s="40">
        <v>9</v>
      </c>
      <c r="W416" s="41" t="str">
        <f t="shared" si="87"/>
        <v>Y</v>
      </c>
      <c r="X416" s="56">
        <f t="shared" si="88"/>
        <v>5.9999999999999963E-2</v>
      </c>
      <c r="Y416" s="56" t="str">
        <f t="shared" si="78"/>
        <v>5-25%</v>
      </c>
      <c r="Z416" s="8" t="s">
        <v>115</v>
      </c>
      <c r="AB416" s="38">
        <v>6620</v>
      </c>
      <c r="AC416" s="38">
        <v>6060</v>
      </c>
      <c r="AD416" s="38">
        <v>8300</v>
      </c>
      <c r="AE416" s="38">
        <v>9600</v>
      </c>
      <c r="AF416" s="38">
        <v>7440</v>
      </c>
      <c r="AG416" s="38">
        <v>7980</v>
      </c>
      <c r="AH416" s="38"/>
    </row>
    <row r="417" spans="1:34" ht="24" customHeight="1" x14ac:dyDescent="0.25">
      <c r="A417" s="10">
        <v>85</v>
      </c>
      <c r="B417" s="9">
        <v>0.47430555555555554</v>
      </c>
      <c r="C417" s="5" t="s">
        <v>20</v>
      </c>
      <c r="D417" s="5">
        <f t="shared" si="76"/>
        <v>10</v>
      </c>
      <c r="E417" s="15"/>
      <c r="F417" s="15" t="s">
        <v>26</v>
      </c>
      <c r="G417" s="19">
        <f t="shared" si="79"/>
        <v>7.68</v>
      </c>
      <c r="H417" s="19">
        <f t="shared" si="80"/>
        <v>16.52</v>
      </c>
      <c r="I417" s="19">
        <f t="shared" si="81"/>
        <v>11.74</v>
      </c>
      <c r="J417" s="19">
        <f t="shared" si="82"/>
        <v>15.02</v>
      </c>
      <c r="K417" s="19">
        <f t="shared" si="83"/>
        <v>12</v>
      </c>
      <c r="L417" s="19">
        <f t="shared" si="84"/>
        <v>13.1</v>
      </c>
      <c r="M417" s="19">
        <f t="shared" si="85"/>
        <v>0</v>
      </c>
      <c r="N417" s="39">
        <f t="shared" si="86"/>
        <v>76.059999999999988</v>
      </c>
      <c r="O417" s="39">
        <f t="shared" si="77"/>
        <v>23046.115305982556</v>
      </c>
      <c r="P417" s="40">
        <v>8</v>
      </c>
      <c r="Q417" s="40">
        <v>10</v>
      </c>
      <c r="R417" s="40">
        <v>9</v>
      </c>
      <c r="S417" s="40">
        <v>9</v>
      </c>
      <c r="T417" s="40">
        <v>9</v>
      </c>
      <c r="U417" s="40">
        <v>9</v>
      </c>
      <c r="V417" s="40">
        <v>9</v>
      </c>
      <c r="W417" s="41" t="str">
        <f t="shared" si="87"/>
        <v>Y</v>
      </c>
      <c r="X417" s="56">
        <f t="shared" si="88"/>
        <v>0.65199999999999991</v>
      </c>
      <c r="Y417" s="56" t="str">
        <f t="shared" si="78"/>
        <v>Over 50%</v>
      </c>
      <c r="Z417" s="8" t="s">
        <v>111</v>
      </c>
      <c r="AB417" s="38">
        <v>7680</v>
      </c>
      <c r="AC417" s="38">
        <v>16520</v>
      </c>
      <c r="AD417" s="38">
        <v>11740</v>
      </c>
      <c r="AE417" s="38">
        <v>15020</v>
      </c>
      <c r="AF417" s="38">
        <v>12000</v>
      </c>
      <c r="AG417" s="38">
        <v>13100</v>
      </c>
      <c r="AH417" s="38"/>
    </row>
    <row r="418" spans="1:34" ht="24" customHeight="1" x14ac:dyDescent="0.25">
      <c r="A418" s="10">
        <v>91</v>
      </c>
      <c r="B418" s="9">
        <v>0.48125000000000001</v>
      </c>
      <c r="C418" s="5" t="s">
        <v>20</v>
      </c>
      <c r="D418" s="5">
        <f t="shared" si="76"/>
        <v>10</v>
      </c>
      <c r="E418" s="15"/>
      <c r="F418" s="15" t="s">
        <v>30</v>
      </c>
      <c r="G418" s="19">
        <f t="shared" si="79"/>
        <v>7.96</v>
      </c>
      <c r="H418" s="19">
        <f t="shared" si="80"/>
        <v>12.82</v>
      </c>
      <c r="I418" s="19">
        <f t="shared" si="81"/>
        <v>11.92</v>
      </c>
      <c r="J418" s="19">
        <f t="shared" si="82"/>
        <v>14.66</v>
      </c>
      <c r="K418" s="19">
        <f t="shared" si="83"/>
        <v>13.16</v>
      </c>
      <c r="L418" s="19">
        <f t="shared" si="84"/>
        <v>12.28</v>
      </c>
      <c r="M418" s="19">
        <f t="shared" si="85"/>
        <v>0</v>
      </c>
      <c r="N418" s="39">
        <f t="shared" si="86"/>
        <v>72.8</v>
      </c>
      <c r="O418" s="39">
        <f t="shared" si="77"/>
        <v>18922.804065001426</v>
      </c>
      <c r="P418" s="40">
        <v>8</v>
      </c>
      <c r="Q418" s="40">
        <v>10</v>
      </c>
      <c r="R418" s="40">
        <v>9</v>
      </c>
      <c r="S418" s="40">
        <v>9</v>
      </c>
      <c r="T418" s="40">
        <v>9</v>
      </c>
      <c r="U418" s="40">
        <v>9</v>
      </c>
      <c r="V418" s="40">
        <v>9</v>
      </c>
      <c r="W418" s="41" t="str">
        <f t="shared" si="87"/>
        <v>Y</v>
      </c>
      <c r="X418" s="56">
        <f t="shared" si="88"/>
        <v>0.56600000000000006</v>
      </c>
      <c r="Y418" s="56" t="str">
        <f t="shared" si="78"/>
        <v>Over 50%</v>
      </c>
      <c r="Z418" s="8" t="s">
        <v>115</v>
      </c>
      <c r="AB418" s="38">
        <v>7960</v>
      </c>
      <c r="AC418" s="38">
        <v>12820</v>
      </c>
      <c r="AD418" s="38">
        <v>11920</v>
      </c>
      <c r="AE418" s="38">
        <v>14660</v>
      </c>
      <c r="AF418" s="38">
        <v>13160</v>
      </c>
      <c r="AG418" s="38">
        <v>12280</v>
      </c>
      <c r="AH418" s="38"/>
    </row>
    <row r="419" spans="1:34" ht="24" customHeight="1" x14ac:dyDescent="0.25">
      <c r="A419" s="10">
        <v>92</v>
      </c>
      <c r="B419" s="9">
        <v>0.4826388888888889</v>
      </c>
      <c r="C419" s="5" t="s">
        <v>21</v>
      </c>
      <c r="D419" s="5">
        <f t="shared" si="76"/>
        <v>10</v>
      </c>
      <c r="E419" s="15"/>
      <c r="F419" s="15" t="s">
        <v>26</v>
      </c>
      <c r="G419" s="19">
        <f t="shared" si="79"/>
        <v>7.74</v>
      </c>
      <c r="H419" s="19">
        <f t="shared" si="80"/>
        <v>11.92</v>
      </c>
      <c r="I419" s="19">
        <f t="shared" si="81"/>
        <v>10.7</v>
      </c>
      <c r="J419" s="19">
        <f t="shared" si="82"/>
        <v>12.7</v>
      </c>
      <c r="K419" s="19">
        <f t="shared" si="83"/>
        <v>10.92</v>
      </c>
      <c r="L419" s="19">
        <f t="shared" si="84"/>
        <v>12.52</v>
      </c>
      <c r="M419" s="19">
        <f t="shared" si="85"/>
        <v>0</v>
      </c>
      <c r="N419" s="39">
        <f t="shared" si="86"/>
        <v>66.5</v>
      </c>
      <c r="O419" s="39">
        <f t="shared" si="77"/>
        <v>12591.912277242058</v>
      </c>
      <c r="P419" s="40">
        <v>8</v>
      </c>
      <c r="Q419" s="40">
        <v>10</v>
      </c>
      <c r="R419" s="40">
        <v>9</v>
      </c>
      <c r="S419" s="40">
        <v>9</v>
      </c>
      <c r="T419" s="40">
        <v>9</v>
      </c>
      <c r="U419" s="40">
        <v>9</v>
      </c>
      <c r="V419" s="40">
        <v>9</v>
      </c>
      <c r="W419" s="41" t="str">
        <f t="shared" si="87"/>
        <v>Y</v>
      </c>
      <c r="X419" s="56">
        <f t="shared" si="88"/>
        <v>0.36999999999999994</v>
      </c>
      <c r="Y419" s="56" t="str">
        <f t="shared" si="78"/>
        <v>25-50%</v>
      </c>
      <c r="Z419" s="8" t="s">
        <v>115</v>
      </c>
      <c r="AB419" s="38">
        <v>7740</v>
      </c>
      <c r="AC419" s="38">
        <v>11920</v>
      </c>
      <c r="AD419" s="38">
        <v>10700</v>
      </c>
      <c r="AE419" s="38">
        <v>12700</v>
      </c>
      <c r="AF419" s="38">
        <v>10920</v>
      </c>
      <c r="AG419" s="38">
        <v>12520</v>
      </c>
      <c r="AH419" s="38"/>
    </row>
    <row r="420" spans="1:34" ht="24" customHeight="1" x14ac:dyDescent="0.25">
      <c r="A420" s="10">
        <v>94</v>
      </c>
      <c r="B420" s="9">
        <v>0.48541666666666666</v>
      </c>
      <c r="C420" s="5" t="s">
        <v>20</v>
      </c>
      <c r="D420" s="5">
        <f t="shared" si="76"/>
        <v>10</v>
      </c>
      <c r="E420" s="15"/>
      <c r="F420" s="15" t="s">
        <v>26</v>
      </c>
      <c r="G420" s="19">
        <f t="shared" si="79"/>
        <v>7.36</v>
      </c>
      <c r="H420" s="19">
        <f t="shared" si="80"/>
        <v>21.84</v>
      </c>
      <c r="I420" s="19">
        <f t="shared" si="81"/>
        <v>8.64</v>
      </c>
      <c r="J420" s="19">
        <f t="shared" si="82"/>
        <v>17.02</v>
      </c>
      <c r="K420" s="19">
        <f t="shared" si="83"/>
        <v>13.26</v>
      </c>
      <c r="L420" s="19">
        <f t="shared" si="84"/>
        <v>13.16</v>
      </c>
      <c r="M420" s="19">
        <f t="shared" si="85"/>
        <v>0</v>
      </c>
      <c r="N420" s="39">
        <f t="shared" si="86"/>
        <v>81.28</v>
      </c>
      <c r="O420" s="39">
        <f t="shared" si="77"/>
        <v>31068.544853743446</v>
      </c>
      <c r="P420" s="40">
        <v>8</v>
      </c>
      <c r="Q420" s="40">
        <v>10</v>
      </c>
      <c r="R420" s="40">
        <v>9</v>
      </c>
      <c r="S420" s="40">
        <v>9</v>
      </c>
      <c r="T420" s="40">
        <v>9</v>
      </c>
      <c r="U420" s="40">
        <v>9</v>
      </c>
      <c r="V420" s="40">
        <v>9</v>
      </c>
      <c r="W420" s="41" t="str">
        <f t="shared" si="87"/>
        <v>Y</v>
      </c>
      <c r="X420" s="56">
        <f t="shared" si="88"/>
        <v>1.1839999999999999</v>
      </c>
      <c r="Y420" s="56" t="str">
        <f t="shared" si="78"/>
        <v>Over 50%</v>
      </c>
      <c r="Z420" s="8" t="s">
        <v>111</v>
      </c>
      <c r="AB420" s="38">
        <v>7360</v>
      </c>
      <c r="AC420" s="38">
        <v>21840</v>
      </c>
      <c r="AD420" s="38">
        <v>8640</v>
      </c>
      <c r="AE420" s="38">
        <v>17020</v>
      </c>
      <c r="AF420" s="38">
        <v>13260</v>
      </c>
      <c r="AG420" s="38">
        <v>13160</v>
      </c>
      <c r="AH420" s="38"/>
    </row>
    <row r="421" spans="1:34" ht="24" customHeight="1" x14ac:dyDescent="0.25">
      <c r="A421" s="10">
        <v>98</v>
      </c>
      <c r="B421" s="9">
        <v>0.4916666666666667</v>
      </c>
      <c r="C421" s="5" t="s">
        <v>20</v>
      </c>
      <c r="D421" s="5">
        <f t="shared" si="76"/>
        <v>10</v>
      </c>
      <c r="E421" s="15"/>
      <c r="F421" s="15" t="s">
        <v>24</v>
      </c>
      <c r="G421" s="19">
        <f t="shared" si="79"/>
        <v>8.7799999999999994</v>
      </c>
      <c r="H421" s="19">
        <f t="shared" si="80"/>
        <v>12.2</v>
      </c>
      <c r="I421" s="19">
        <f t="shared" si="81"/>
        <v>10.74</v>
      </c>
      <c r="J421" s="19">
        <f t="shared" si="82"/>
        <v>11.52</v>
      </c>
      <c r="K421" s="19">
        <f t="shared" si="83"/>
        <v>9.86</v>
      </c>
      <c r="L421" s="19">
        <f t="shared" si="84"/>
        <v>12.98</v>
      </c>
      <c r="M421" s="19">
        <f t="shared" si="85"/>
        <v>11.3</v>
      </c>
      <c r="N421" s="39">
        <f t="shared" si="86"/>
        <v>77.38</v>
      </c>
      <c r="O421" s="39">
        <f t="shared" si="77"/>
        <v>24901.387687798288</v>
      </c>
      <c r="P421" s="40">
        <v>8</v>
      </c>
      <c r="Q421" s="40">
        <v>10</v>
      </c>
      <c r="R421" s="40">
        <v>9</v>
      </c>
      <c r="S421" s="40">
        <v>9</v>
      </c>
      <c r="T421" s="40">
        <v>9</v>
      </c>
      <c r="U421" s="40">
        <v>9</v>
      </c>
      <c r="V421" s="40">
        <v>9</v>
      </c>
      <c r="W421" s="41" t="str">
        <f t="shared" si="87"/>
        <v>Y</v>
      </c>
      <c r="X421" s="56">
        <f t="shared" si="88"/>
        <v>0.39800000000000002</v>
      </c>
      <c r="Y421" s="56" t="str">
        <f t="shared" si="78"/>
        <v>25-50%</v>
      </c>
      <c r="Z421" s="8" t="s">
        <v>145</v>
      </c>
      <c r="AB421" s="38">
        <v>8780</v>
      </c>
      <c r="AC421" s="38">
        <v>12200</v>
      </c>
      <c r="AD421" s="38">
        <v>10740</v>
      </c>
      <c r="AE421" s="38">
        <v>11520</v>
      </c>
      <c r="AF421" s="38">
        <v>9860</v>
      </c>
      <c r="AG421" s="38">
        <v>12980</v>
      </c>
      <c r="AH421" s="38">
        <v>11300</v>
      </c>
    </row>
    <row r="422" spans="1:34" ht="24" customHeight="1" x14ac:dyDescent="0.25">
      <c r="A422" s="10">
        <v>104</v>
      </c>
      <c r="B422" s="9">
        <v>0.50069444444444444</v>
      </c>
      <c r="C422" s="5" t="s">
        <v>20</v>
      </c>
      <c r="D422" s="5">
        <f t="shared" si="76"/>
        <v>10</v>
      </c>
      <c r="E422" s="15"/>
      <c r="F422" s="15" t="s">
        <v>27</v>
      </c>
      <c r="G422" s="19">
        <f t="shared" si="79"/>
        <v>5.04</v>
      </c>
      <c r="H422" s="19">
        <f t="shared" si="80"/>
        <v>10.43</v>
      </c>
      <c r="I422" s="19">
        <f t="shared" si="81"/>
        <v>12.76</v>
      </c>
      <c r="J422" s="19">
        <f t="shared" si="82"/>
        <v>11.98</v>
      </c>
      <c r="K422" s="19">
        <f t="shared" si="83"/>
        <v>11.46</v>
      </c>
      <c r="L422" s="19">
        <f t="shared" si="84"/>
        <v>12.92</v>
      </c>
      <c r="M422" s="19">
        <f t="shared" si="85"/>
        <v>0</v>
      </c>
      <c r="N422" s="39">
        <f t="shared" si="86"/>
        <v>64.589999999999989</v>
      </c>
      <c r="O422" s="39">
        <f t="shared" si="77"/>
        <v>11044.296720456883</v>
      </c>
      <c r="P422" s="40">
        <v>8</v>
      </c>
      <c r="Q422" s="40">
        <v>10</v>
      </c>
      <c r="R422" s="40">
        <v>9</v>
      </c>
      <c r="S422" s="40">
        <v>9</v>
      </c>
      <c r="T422" s="40">
        <v>9</v>
      </c>
      <c r="U422" s="40">
        <v>9</v>
      </c>
      <c r="V422" s="40">
        <v>9</v>
      </c>
      <c r="W422" s="41" t="str">
        <f t="shared" si="87"/>
        <v>Y</v>
      </c>
      <c r="X422" s="56">
        <f t="shared" si="88"/>
        <v>0.39200000000000002</v>
      </c>
      <c r="Y422" s="56" t="str">
        <f t="shared" si="78"/>
        <v>25-50%</v>
      </c>
      <c r="Z422" s="8" t="s">
        <v>118</v>
      </c>
      <c r="AB422" s="38">
        <v>5040</v>
      </c>
      <c r="AC422" s="38">
        <v>10430</v>
      </c>
      <c r="AD422" s="38">
        <v>12760</v>
      </c>
      <c r="AE422" s="38">
        <v>11980</v>
      </c>
      <c r="AF422" s="38">
        <v>11460</v>
      </c>
      <c r="AG422" s="38">
        <v>12920</v>
      </c>
      <c r="AH422" s="38"/>
    </row>
    <row r="423" spans="1:34" ht="24" customHeight="1" x14ac:dyDescent="0.25">
      <c r="A423" s="10">
        <v>109</v>
      </c>
      <c r="B423" s="9">
        <v>0.51041666666666663</v>
      </c>
      <c r="C423" s="5" t="s">
        <v>20</v>
      </c>
      <c r="D423" s="5">
        <f t="shared" si="76"/>
        <v>10</v>
      </c>
      <c r="E423" s="15"/>
      <c r="F423" s="15" t="s">
        <v>26</v>
      </c>
      <c r="G423" s="19">
        <f t="shared" si="79"/>
        <v>8.02</v>
      </c>
      <c r="H423" s="19">
        <f t="shared" si="80"/>
        <v>10.86</v>
      </c>
      <c r="I423" s="19">
        <f t="shared" si="81"/>
        <v>10</v>
      </c>
      <c r="J423" s="19">
        <f t="shared" si="82"/>
        <v>12.32</v>
      </c>
      <c r="K423" s="19">
        <f t="shared" si="83"/>
        <v>9.68</v>
      </c>
      <c r="L423" s="19">
        <f t="shared" si="84"/>
        <v>12.46</v>
      </c>
      <c r="M423" s="19">
        <f t="shared" si="85"/>
        <v>0</v>
      </c>
      <c r="N423" s="39">
        <f t="shared" si="86"/>
        <v>63.34</v>
      </c>
      <c r="O423" s="39">
        <f t="shared" si="77"/>
        <v>10114.526376247235</v>
      </c>
      <c r="P423" s="40">
        <v>8</v>
      </c>
      <c r="Q423" s="40">
        <v>10</v>
      </c>
      <c r="R423" s="40">
        <v>9</v>
      </c>
      <c r="S423" s="40">
        <v>9</v>
      </c>
      <c r="T423" s="40">
        <v>9</v>
      </c>
      <c r="U423" s="40">
        <v>9</v>
      </c>
      <c r="V423" s="40">
        <v>9</v>
      </c>
      <c r="W423" s="41" t="str">
        <f t="shared" si="87"/>
        <v>Y</v>
      </c>
      <c r="X423" s="56">
        <f t="shared" si="88"/>
        <v>0.34600000000000009</v>
      </c>
      <c r="Y423" s="56" t="str">
        <f t="shared" si="78"/>
        <v>25-50%</v>
      </c>
      <c r="Z423" s="8" t="s">
        <v>145</v>
      </c>
      <c r="AB423" s="38">
        <v>8020</v>
      </c>
      <c r="AC423" s="38">
        <v>10860</v>
      </c>
      <c r="AD423" s="38">
        <v>10000</v>
      </c>
      <c r="AE423" s="38">
        <v>12320</v>
      </c>
      <c r="AF423" s="38">
        <v>9680</v>
      </c>
      <c r="AG423" s="38">
        <v>12460</v>
      </c>
      <c r="AH423" s="38"/>
    </row>
    <row r="424" spans="1:34" ht="24" customHeight="1" x14ac:dyDescent="0.25">
      <c r="A424" s="10">
        <v>113</v>
      </c>
      <c r="B424" s="9">
        <v>4.7916666666666663E-2</v>
      </c>
      <c r="C424" s="5" t="s">
        <v>20</v>
      </c>
      <c r="D424" s="5">
        <f t="shared" si="76"/>
        <v>10</v>
      </c>
      <c r="E424" s="15"/>
      <c r="F424" s="15" t="s">
        <v>26</v>
      </c>
      <c r="G424" s="19">
        <f t="shared" si="79"/>
        <v>8.4600000000000009</v>
      </c>
      <c r="H424" s="19">
        <f t="shared" si="80"/>
        <v>14.3</v>
      </c>
      <c r="I424" s="19">
        <f t="shared" si="81"/>
        <v>14.18</v>
      </c>
      <c r="J424" s="19">
        <f t="shared" si="82"/>
        <v>13.14</v>
      </c>
      <c r="K424" s="19">
        <f t="shared" si="83"/>
        <v>13.3</v>
      </c>
      <c r="L424" s="19">
        <f t="shared" si="84"/>
        <v>19.36</v>
      </c>
      <c r="M424" s="19">
        <f t="shared" si="85"/>
        <v>0</v>
      </c>
      <c r="N424" s="39">
        <f t="shared" si="86"/>
        <v>82.74</v>
      </c>
      <c r="O424" s="39">
        <f t="shared" si="77"/>
        <v>33659.999882621727</v>
      </c>
      <c r="P424" s="40">
        <v>8</v>
      </c>
      <c r="Q424" s="40">
        <v>10</v>
      </c>
      <c r="R424" s="40">
        <v>9</v>
      </c>
      <c r="S424" s="40">
        <v>9</v>
      </c>
      <c r="T424" s="40">
        <v>9</v>
      </c>
      <c r="U424" s="40">
        <v>9</v>
      </c>
      <c r="V424" s="40">
        <v>9</v>
      </c>
      <c r="W424" s="41" t="str">
        <f t="shared" si="87"/>
        <v>Y</v>
      </c>
      <c r="X424" s="56">
        <f t="shared" si="88"/>
        <v>1.036</v>
      </c>
      <c r="Y424" s="56" t="str">
        <f t="shared" si="78"/>
        <v>Over 50%</v>
      </c>
      <c r="Z424" s="8" t="s">
        <v>111</v>
      </c>
      <c r="AB424" s="38">
        <v>8460</v>
      </c>
      <c r="AC424" s="38">
        <v>14300</v>
      </c>
      <c r="AD424" s="38">
        <v>14180</v>
      </c>
      <c r="AE424" s="38">
        <v>13140</v>
      </c>
      <c r="AF424" s="38">
        <v>13300</v>
      </c>
      <c r="AG424" s="38">
        <v>19360</v>
      </c>
      <c r="AH424" s="38"/>
    </row>
    <row r="425" spans="1:34" ht="24" customHeight="1" x14ac:dyDescent="0.25">
      <c r="A425" s="10">
        <v>115</v>
      </c>
      <c r="B425" s="9">
        <v>5.4166666666666669E-2</v>
      </c>
      <c r="C425" s="5" t="s">
        <v>20</v>
      </c>
      <c r="D425" s="5">
        <f t="shared" si="76"/>
        <v>10</v>
      </c>
      <c r="E425" s="15"/>
      <c r="F425" s="15" t="s">
        <v>34</v>
      </c>
      <c r="G425" s="19">
        <f t="shared" si="79"/>
        <v>7.02</v>
      </c>
      <c r="H425" s="19">
        <f t="shared" si="80"/>
        <v>25.48</v>
      </c>
      <c r="I425" s="19">
        <f t="shared" si="81"/>
        <v>16</v>
      </c>
      <c r="J425" s="19">
        <f t="shared" si="82"/>
        <v>4</v>
      </c>
      <c r="K425" s="19">
        <f t="shared" si="83"/>
        <v>0</v>
      </c>
      <c r="L425" s="19">
        <f t="shared" si="84"/>
        <v>0</v>
      </c>
      <c r="M425" s="19">
        <f t="shared" si="85"/>
        <v>0</v>
      </c>
      <c r="N425" s="39">
        <f t="shared" si="86"/>
        <v>52.5</v>
      </c>
      <c r="O425" s="39">
        <f t="shared" si="77"/>
        <v>4346.2144455384705</v>
      </c>
      <c r="P425" s="40">
        <v>8</v>
      </c>
      <c r="Q425" s="40">
        <v>10</v>
      </c>
      <c r="R425" s="40">
        <v>9</v>
      </c>
      <c r="S425" s="40">
        <v>9</v>
      </c>
      <c r="T425" s="40">
        <v>9</v>
      </c>
      <c r="U425" s="40">
        <v>9</v>
      </c>
      <c r="V425" s="40">
        <v>9</v>
      </c>
      <c r="W425" s="41" t="str">
        <f t="shared" si="87"/>
        <v>Y</v>
      </c>
      <c r="X425" s="56">
        <f t="shared" si="88"/>
        <v>1.548</v>
      </c>
      <c r="Y425" s="56" t="str">
        <f t="shared" si="78"/>
        <v>Over 50%</v>
      </c>
      <c r="Z425" s="8" t="s">
        <v>35</v>
      </c>
      <c r="AB425" s="38">
        <v>7020</v>
      </c>
      <c r="AC425" s="38">
        <v>25480</v>
      </c>
      <c r="AD425" s="38">
        <v>16000</v>
      </c>
      <c r="AE425" s="38">
        <v>4000</v>
      </c>
      <c r="AF425" s="38"/>
      <c r="AG425" s="38"/>
      <c r="AH425" s="38"/>
    </row>
    <row r="426" spans="1:34" ht="24" customHeight="1" x14ac:dyDescent="0.25">
      <c r="A426" s="10">
        <v>118</v>
      </c>
      <c r="B426" s="9">
        <v>5.6944444444444443E-2</v>
      </c>
      <c r="C426" s="5" t="s">
        <v>20</v>
      </c>
      <c r="D426" s="5">
        <f t="shared" si="76"/>
        <v>10</v>
      </c>
      <c r="E426" s="15"/>
      <c r="F426" s="15" t="s">
        <v>26</v>
      </c>
      <c r="G426" s="19">
        <f t="shared" si="79"/>
        <v>8.44</v>
      </c>
      <c r="H426" s="19">
        <f t="shared" si="80"/>
        <v>16.18</v>
      </c>
      <c r="I426" s="19">
        <f t="shared" si="81"/>
        <v>15.12</v>
      </c>
      <c r="J426" s="19">
        <f t="shared" si="82"/>
        <v>20.12</v>
      </c>
      <c r="K426" s="19">
        <f t="shared" si="83"/>
        <v>14.58</v>
      </c>
      <c r="L426" s="19">
        <f t="shared" si="84"/>
        <v>15</v>
      </c>
      <c r="M426" s="19">
        <f t="shared" si="85"/>
        <v>0</v>
      </c>
      <c r="N426" s="39">
        <f t="shared" si="86"/>
        <v>89.44</v>
      </c>
      <c r="O426" s="39">
        <f t="shared" si="77"/>
        <v>47784.532676367526</v>
      </c>
      <c r="P426" s="40">
        <v>8</v>
      </c>
      <c r="Q426" s="40">
        <v>10</v>
      </c>
      <c r="R426" s="40">
        <v>9</v>
      </c>
      <c r="S426" s="40">
        <v>9</v>
      </c>
      <c r="T426" s="40">
        <v>9</v>
      </c>
      <c r="U426" s="40">
        <v>9</v>
      </c>
      <c r="V426" s="40">
        <v>9</v>
      </c>
      <c r="W426" s="41" t="str">
        <f t="shared" si="87"/>
        <v>Y</v>
      </c>
      <c r="X426" s="56">
        <f t="shared" si="88"/>
        <v>1.1120000000000001</v>
      </c>
      <c r="Y426" s="56" t="str">
        <f t="shared" si="78"/>
        <v>Over 50%</v>
      </c>
      <c r="Z426" s="8" t="s">
        <v>111</v>
      </c>
      <c r="AB426" s="38">
        <v>8440</v>
      </c>
      <c r="AC426" s="38">
        <v>16180</v>
      </c>
      <c r="AD426" s="38">
        <v>15120</v>
      </c>
      <c r="AE426" s="38">
        <v>20120</v>
      </c>
      <c r="AF426" s="38">
        <v>14580</v>
      </c>
      <c r="AG426" s="38">
        <v>15000</v>
      </c>
      <c r="AH426" s="38"/>
    </row>
    <row r="427" spans="1:34" ht="24" customHeight="1" x14ac:dyDescent="0.25">
      <c r="A427" s="10">
        <v>127</v>
      </c>
      <c r="B427" s="9">
        <v>6.9444444444444434E-2</v>
      </c>
      <c r="C427" s="5" t="s">
        <v>20</v>
      </c>
      <c r="D427" s="5">
        <f t="shared" si="76"/>
        <v>10</v>
      </c>
      <c r="E427" s="15"/>
      <c r="F427" s="15" t="s">
        <v>26</v>
      </c>
      <c r="G427" s="19">
        <f t="shared" si="79"/>
        <v>7.74</v>
      </c>
      <c r="H427" s="19">
        <f t="shared" si="80"/>
        <v>13.4</v>
      </c>
      <c r="I427" s="19">
        <f t="shared" si="81"/>
        <v>13.28</v>
      </c>
      <c r="J427" s="19">
        <f t="shared" si="82"/>
        <v>22.24</v>
      </c>
      <c r="K427" s="19">
        <f t="shared" si="83"/>
        <v>15.58</v>
      </c>
      <c r="L427" s="19">
        <f t="shared" si="84"/>
        <v>14.08</v>
      </c>
      <c r="M427" s="19">
        <f t="shared" si="85"/>
        <v>0</v>
      </c>
      <c r="N427" s="39">
        <f t="shared" si="86"/>
        <v>86.32</v>
      </c>
      <c r="O427" s="39">
        <f t="shared" si="77"/>
        <v>40728.247965045928</v>
      </c>
      <c r="P427" s="40">
        <v>8</v>
      </c>
      <c r="Q427" s="40">
        <v>10</v>
      </c>
      <c r="R427" s="40">
        <v>9</v>
      </c>
      <c r="S427" s="40">
        <v>9</v>
      </c>
      <c r="T427" s="40">
        <v>9</v>
      </c>
      <c r="U427" s="40">
        <v>9</v>
      </c>
      <c r="V427" s="40">
        <v>9</v>
      </c>
      <c r="W427" s="41" t="str">
        <f t="shared" si="87"/>
        <v>Y</v>
      </c>
      <c r="X427" s="56">
        <f t="shared" si="88"/>
        <v>1.3239999999999998</v>
      </c>
      <c r="Y427" s="56" t="str">
        <f t="shared" si="78"/>
        <v>Over 50%</v>
      </c>
      <c r="Z427" s="8" t="s">
        <v>145</v>
      </c>
      <c r="AB427" s="38">
        <v>7740</v>
      </c>
      <c r="AC427" s="38">
        <v>13400</v>
      </c>
      <c r="AD427" s="38">
        <v>13280</v>
      </c>
      <c r="AE427" s="38">
        <v>22240</v>
      </c>
      <c r="AF427" s="38">
        <v>15580</v>
      </c>
      <c r="AG427" s="38">
        <v>14080</v>
      </c>
      <c r="AH427" s="38"/>
    </row>
    <row r="428" spans="1:34" ht="24" customHeight="1" x14ac:dyDescent="0.25">
      <c r="A428" s="10">
        <v>129</v>
      </c>
      <c r="B428" s="9">
        <v>7.2222222222222229E-2</v>
      </c>
      <c r="C428" s="5" t="s">
        <v>20</v>
      </c>
      <c r="D428" s="5">
        <f t="shared" si="76"/>
        <v>10</v>
      </c>
      <c r="E428" s="15"/>
      <c r="F428" s="15" t="s">
        <v>32</v>
      </c>
      <c r="G428" s="19">
        <f t="shared" si="79"/>
        <v>8.84</v>
      </c>
      <c r="H428" s="19">
        <f t="shared" si="80"/>
        <v>14.22</v>
      </c>
      <c r="I428" s="19">
        <f t="shared" si="81"/>
        <v>14.52</v>
      </c>
      <c r="J428" s="19">
        <f t="shared" si="82"/>
        <v>13.86</v>
      </c>
      <c r="K428" s="19">
        <f t="shared" si="83"/>
        <v>13.72</v>
      </c>
      <c r="L428" s="19">
        <f t="shared" si="84"/>
        <v>15.78</v>
      </c>
      <c r="M428" s="19">
        <f t="shared" si="85"/>
        <v>0</v>
      </c>
      <c r="N428" s="39">
        <f t="shared" si="86"/>
        <v>80.94</v>
      </c>
      <c r="O428" s="39">
        <f t="shared" si="77"/>
        <v>30487.982456263828</v>
      </c>
      <c r="P428" s="40">
        <v>8</v>
      </c>
      <c r="Q428" s="40">
        <v>10</v>
      </c>
      <c r="R428" s="40">
        <v>9</v>
      </c>
      <c r="S428" s="40">
        <v>9</v>
      </c>
      <c r="T428" s="40">
        <v>9</v>
      </c>
      <c r="U428" s="40">
        <v>9</v>
      </c>
      <c r="V428" s="40">
        <v>9</v>
      </c>
      <c r="W428" s="41" t="str">
        <f t="shared" si="87"/>
        <v>Y</v>
      </c>
      <c r="X428" s="56">
        <f t="shared" si="88"/>
        <v>0.67799999999999994</v>
      </c>
      <c r="Y428" s="56" t="str">
        <f t="shared" si="78"/>
        <v>Over 50%</v>
      </c>
      <c r="Z428" s="8" t="s">
        <v>145</v>
      </c>
      <c r="AB428" s="38">
        <v>8840</v>
      </c>
      <c r="AC428" s="38">
        <v>14220</v>
      </c>
      <c r="AD428" s="38">
        <v>14520</v>
      </c>
      <c r="AE428" s="38">
        <v>13860</v>
      </c>
      <c r="AF428" s="38">
        <v>13720</v>
      </c>
      <c r="AG428" s="38">
        <v>15780</v>
      </c>
      <c r="AH428" s="38"/>
    </row>
    <row r="429" spans="1:34" ht="24" customHeight="1" x14ac:dyDescent="0.25">
      <c r="A429" s="10">
        <v>137</v>
      </c>
      <c r="B429" s="9">
        <v>7.9861111111111105E-2</v>
      </c>
      <c r="C429" s="5" t="s">
        <v>20</v>
      </c>
      <c r="D429" s="5">
        <f t="shared" si="76"/>
        <v>10</v>
      </c>
      <c r="E429" s="15"/>
      <c r="F429" s="15" t="s">
        <v>27</v>
      </c>
      <c r="G429" s="19">
        <f t="shared" si="79"/>
        <v>7.68</v>
      </c>
      <c r="H429" s="19">
        <f t="shared" si="80"/>
        <v>8.8000000000000007</v>
      </c>
      <c r="I429" s="19">
        <f t="shared" si="81"/>
        <v>14.52</v>
      </c>
      <c r="J429" s="19">
        <f t="shared" si="82"/>
        <v>17.66</v>
      </c>
      <c r="K429" s="19">
        <f t="shared" si="83"/>
        <v>15.04</v>
      </c>
      <c r="L429" s="19">
        <f t="shared" si="84"/>
        <v>14.04</v>
      </c>
      <c r="M429" s="19">
        <f t="shared" si="85"/>
        <v>0</v>
      </c>
      <c r="N429" s="39">
        <f t="shared" si="86"/>
        <v>77.739999999999995</v>
      </c>
      <c r="O429" s="39">
        <f t="shared" si="77"/>
        <v>25426.975169522822</v>
      </c>
      <c r="P429" s="40">
        <v>8</v>
      </c>
      <c r="Q429" s="40">
        <v>10</v>
      </c>
      <c r="R429" s="40">
        <v>9</v>
      </c>
      <c r="S429" s="40">
        <v>9</v>
      </c>
      <c r="T429" s="40">
        <v>9</v>
      </c>
      <c r="U429" s="40">
        <v>9</v>
      </c>
      <c r="V429" s="40">
        <v>9</v>
      </c>
      <c r="W429" s="41" t="str">
        <f t="shared" si="87"/>
        <v>Y</v>
      </c>
      <c r="X429" s="56">
        <f t="shared" si="88"/>
        <v>0.86599999999999999</v>
      </c>
      <c r="Y429" s="56" t="str">
        <f t="shared" si="78"/>
        <v>Over 50%</v>
      </c>
      <c r="Z429" s="8" t="s">
        <v>111</v>
      </c>
      <c r="AB429" s="38">
        <v>7680</v>
      </c>
      <c r="AC429" s="38">
        <v>8800</v>
      </c>
      <c r="AD429" s="38">
        <v>14520</v>
      </c>
      <c r="AE429" s="38">
        <v>17660</v>
      </c>
      <c r="AF429" s="38">
        <v>15040</v>
      </c>
      <c r="AG429" s="38">
        <v>14040</v>
      </c>
      <c r="AH429" s="38"/>
    </row>
    <row r="430" spans="1:34" ht="24" customHeight="1" x14ac:dyDescent="0.25">
      <c r="A430" s="10">
        <v>138</v>
      </c>
      <c r="B430" s="9"/>
      <c r="C430" s="5" t="s">
        <v>20</v>
      </c>
      <c r="D430" s="5">
        <f t="shared" si="76"/>
        <v>10</v>
      </c>
      <c r="E430" s="15"/>
      <c r="F430" s="15" t="s">
        <v>26</v>
      </c>
      <c r="G430" s="19">
        <f t="shared" si="79"/>
        <v>9.36</v>
      </c>
      <c r="H430" s="19">
        <f t="shared" si="80"/>
        <v>15.2</v>
      </c>
      <c r="I430" s="19">
        <f t="shared" si="81"/>
        <v>13.64</v>
      </c>
      <c r="J430" s="19">
        <f t="shared" si="82"/>
        <v>13.78</v>
      </c>
      <c r="K430" s="19">
        <f t="shared" si="83"/>
        <v>13.64</v>
      </c>
      <c r="L430" s="19">
        <f t="shared" si="84"/>
        <v>16.68</v>
      </c>
      <c r="M430" s="19">
        <f t="shared" si="85"/>
        <v>0</v>
      </c>
      <c r="N430" s="39">
        <f t="shared" si="86"/>
        <v>82.300000000000011</v>
      </c>
      <c r="O430" s="39">
        <f t="shared" si="77"/>
        <v>32861.966157736184</v>
      </c>
      <c r="P430" s="40">
        <v>8</v>
      </c>
      <c r="Q430" s="40">
        <v>10</v>
      </c>
      <c r="R430" s="40">
        <v>9</v>
      </c>
      <c r="S430" s="40">
        <v>9</v>
      </c>
      <c r="T430" s="40">
        <v>9</v>
      </c>
      <c r="U430" s="40">
        <v>9</v>
      </c>
      <c r="V430" s="40">
        <v>9</v>
      </c>
      <c r="W430" s="41" t="str">
        <f t="shared" si="87"/>
        <v>Y</v>
      </c>
      <c r="X430" s="56">
        <f t="shared" si="88"/>
        <v>0.76800000000000002</v>
      </c>
      <c r="Y430" s="56" t="str">
        <f t="shared" si="78"/>
        <v>Over 50%</v>
      </c>
      <c r="Z430" s="8" t="s">
        <v>111</v>
      </c>
      <c r="AB430" s="38">
        <v>9360</v>
      </c>
      <c r="AC430" s="38">
        <v>15200</v>
      </c>
      <c r="AD430" s="38">
        <v>13640</v>
      </c>
      <c r="AE430" s="38">
        <v>13780</v>
      </c>
      <c r="AF430" s="38">
        <v>13640</v>
      </c>
      <c r="AG430" s="38">
        <v>16680</v>
      </c>
      <c r="AH430" s="38"/>
    </row>
    <row r="431" spans="1:34" ht="24" customHeight="1" x14ac:dyDescent="0.25">
      <c r="A431" s="10">
        <v>147</v>
      </c>
      <c r="B431" s="9">
        <v>8.8888888888888892E-2</v>
      </c>
      <c r="C431" s="5" t="s">
        <v>20</v>
      </c>
      <c r="D431" s="5">
        <f t="shared" si="76"/>
        <v>10</v>
      </c>
      <c r="E431" s="15"/>
      <c r="F431" s="15" t="s">
        <v>27</v>
      </c>
      <c r="G431" s="19">
        <f t="shared" si="79"/>
        <v>9.7799999999999994</v>
      </c>
      <c r="H431" s="19">
        <f t="shared" si="80"/>
        <v>9.26</v>
      </c>
      <c r="I431" s="19">
        <f t="shared" si="81"/>
        <v>18.2</v>
      </c>
      <c r="J431" s="19">
        <f t="shared" si="82"/>
        <v>21.1</v>
      </c>
      <c r="K431" s="19">
        <f t="shared" si="83"/>
        <v>14.58</v>
      </c>
      <c r="L431" s="19">
        <f t="shared" si="84"/>
        <v>12.42</v>
      </c>
      <c r="M431" s="19">
        <f t="shared" si="85"/>
        <v>0</v>
      </c>
      <c r="N431" s="39">
        <f t="shared" si="86"/>
        <v>85.34</v>
      </c>
      <c r="O431" s="39">
        <f t="shared" si="77"/>
        <v>38688.434705172396</v>
      </c>
      <c r="P431" s="40">
        <v>8</v>
      </c>
      <c r="Q431" s="40">
        <v>10</v>
      </c>
      <c r="R431" s="40">
        <v>9</v>
      </c>
      <c r="S431" s="40">
        <v>9</v>
      </c>
      <c r="T431" s="40">
        <v>9</v>
      </c>
      <c r="U431" s="40">
        <v>9</v>
      </c>
      <c r="V431" s="40">
        <v>9</v>
      </c>
      <c r="W431" s="41" t="str">
        <f t="shared" si="87"/>
        <v>Y</v>
      </c>
      <c r="X431" s="56">
        <f t="shared" si="88"/>
        <v>1.2100000000000002</v>
      </c>
      <c r="Y431" s="56" t="str">
        <f t="shared" si="78"/>
        <v>Over 50%</v>
      </c>
      <c r="Z431" s="8" t="s">
        <v>145</v>
      </c>
      <c r="AB431" s="38">
        <v>9780</v>
      </c>
      <c r="AC431" s="38">
        <v>9260</v>
      </c>
      <c r="AD431" s="38">
        <v>18200</v>
      </c>
      <c r="AE431" s="38">
        <v>21100</v>
      </c>
      <c r="AF431" s="38">
        <v>14580</v>
      </c>
      <c r="AG431" s="38">
        <v>12420</v>
      </c>
      <c r="AH431" s="38"/>
    </row>
    <row r="432" spans="1:34" ht="24" customHeight="1" x14ac:dyDescent="0.25">
      <c r="A432" s="10">
        <v>148</v>
      </c>
      <c r="B432" s="9">
        <v>8.9583333333333334E-2</v>
      </c>
      <c r="C432" s="5" t="s">
        <v>21</v>
      </c>
      <c r="D432" s="5">
        <f t="shared" si="76"/>
        <v>10</v>
      </c>
      <c r="E432" s="15"/>
      <c r="F432" s="15" t="s">
        <v>27</v>
      </c>
      <c r="G432" s="19">
        <f t="shared" si="79"/>
        <v>7.8</v>
      </c>
      <c r="H432" s="19">
        <f t="shared" si="80"/>
        <v>5.0199999999999996</v>
      </c>
      <c r="I432" s="19">
        <f t="shared" si="81"/>
        <v>12.3</v>
      </c>
      <c r="J432" s="19">
        <f t="shared" si="82"/>
        <v>5.86</v>
      </c>
      <c r="K432" s="19">
        <f t="shared" si="83"/>
        <v>4.1399999999999997</v>
      </c>
      <c r="L432" s="19">
        <f t="shared" si="84"/>
        <v>5</v>
      </c>
      <c r="M432" s="19">
        <f t="shared" si="85"/>
        <v>0</v>
      </c>
      <c r="N432" s="39">
        <f t="shared" si="86"/>
        <v>40.119999999999997</v>
      </c>
      <c r="O432" s="39">
        <f t="shared" si="77"/>
        <v>1295.741728554342</v>
      </c>
      <c r="P432" s="40">
        <v>8</v>
      </c>
      <c r="Q432" s="40">
        <v>10</v>
      </c>
      <c r="R432" s="40">
        <v>9</v>
      </c>
      <c r="S432" s="40">
        <v>9</v>
      </c>
      <c r="T432" s="40">
        <v>9</v>
      </c>
      <c r="U432" s="40">
        <v>9</v>
      </c>
      <c r="V432" s="40">
        <v>9</v>
      </c>
      <c r="W432" s="41" t="str">
        <f t="shared" si="87"/>
        <v>Y</v>
      </c>
      <c r="X432" s="56">
        <f t="shared" si="88"/>
        <v>0.33000000000000007</v>
      </c>
      <c r="Y432" s="56" t="str">
        <f t="shared" si="78"/>
        <v>25-50%</v>
      </c>
      <c r="Z432" s="8" t="s">
        <v>115</v>
      </c>
      <c r="AB432" s="38">
        <v>7800</v>
      </c>
      <c r="AC432" s="38">
        <v>5020</v>
      </c>
      <c r="AD432" s="38">
        <v>12300</v>
      </c>
      <c r="AE432" s="38">
        <v>5860</v>
      </c>
      <c r="AF432" s="38">
        <v>4140</v>
      </c>
      <c r="AG432" s="38">
        <v>5000</v>
      </c>
      <c r="AH432" s="38"/>
    </row>
    <row r="433" spans="1:34" ht="24" customHeight="1" x14ac:dyDescent="0.25">
      <c r="A433" s="10">
        <v>149</v>
      </c>
      <c r="B433" s="9">
        <v>9.0277777777777776E-2</v>
      </c>
      <c r="C433" s="5" t="s">
        <v>20</v>
      </c>
      <c r="D433" s="5">
        <f t="shared" si="76"/>
        <v>10</v>
      </c>
      <c r="E433" s="15"/>
      <c r="F433" s="15" t="s">
        <v>27</v>
      </c>
      <c r="G433" s="19">
        <f t="shared" si="79"/>
        <v>6.26</v>
      </c>
      <c r="H433" s="19">
        <f t="shared" si="80"/>
        <v>8.08</v>
      </c>
      <c r="I433" s="19">
        <f t="shared" si="81"/>
        <v>13.02</v>
      </c>
      <c r="J433" s="19">
        <f t="shared" si="82"/>
        <v>14.36</v>
      </c>
      <c r="K433" s="19">
        <f t="shared" si="83"/>
        <v>13.4</v>
      </c>
      <c r="L433" s="19">
        <f t="shared" si="84"/>
        <v>15.24</v>
      </c>
      <c r="M433" s="19">
        <f t="shared" si="85"/>
        <v>0</v>
      </c>
      <c r="N433" s="39">
        <f t="shared" si="86"/>
        <v>70.36</v>
      </c>
      <c r="O433" s="39">
        <f t="shared" si="77"/>
        <v>16231.569817354024</v>
      </c>
      <c r="P433" s="40">
        <v>8</v>
      </c>
      <c r="Q433" s="40">
        <v>10</v>
      </c>
      <c r="R433" s="40">
        <v>9</v>
      </c>
      <c r="S433" s="40">
        <v>9</v>
      </c>
      <c r="T433" s="40">
        <v>9</v>
      </c>
      <c r="U433" s="40">
        <v>9</v>
      </c>
      <c r="V433" s="40">
        <v>9</v>
      </c>
      <c r="W433" s="41" t="str">
        <f t="shared" si="87"/>
        <v>Y</v>
      </c>
      <c r="X433" s="56">
        <f t="shared" si="88"/>
        <v>0.624</v>
      </c>
      <c r="Y433" s="56" t="str">
        <f t="shared" si="78"/>
        <v>Over 50%</v>
      </c>
      <c r="Z433" s="8" t="s">
        <v>115</v>
      </c>
      <c r="AB433" s="38">
        <v>6260</v>
      </c>
      <c r="AC433" s="38">
        <v>8080</v>
      </c>
      <c r="AD433" s="38">
        <v>13020</v>
      </c>
      <c r="AE433" s="38">
        <v>14360</v>
      </c>
      <c r="AF433" s="38">
        <v>13400</v>
      </c>
      <c r="AG433" s="38">
        <v>15240</v>
      </c>
      <c r="AH433" s="38"/>
    </row>
    <row r="434" spans="1:34" ht="24" customHeight="1" x14ac:dyDescent="0.25">
      <c r="A434" s="10">
        <v>152</v>
      </c>
      <c r="B434" s="9">
        <v>9.2361111111111116E-2</v>
      </c>
      <c r="C434" s="5" t="s">
        <v>20</v>
      </c>
      <c r="D434" s="5">
        <f t="shared" si="76"/>
        <v>10</v>
      </c>
      <c r="E434" s="15"/>
      <c r="F434" s="15" t="s">
        <v>28</v>
      </c>
      <c r="G434" s="19">
        <f t="shared" si="79"/>
        <v>9.6199999999999992</v>
      </c>
      <c r="H434" s="19">
        <f t="shared" si="80"/>
        <v>12.82</v>
      </c>
      <c r="I434" s="19">
        <f t="shared" si="81"/>
        <v>12.58</v>
      </c>
      <c r="J434" s="19">
        <f t="shared" si="82"/>
        <v>11.34</v>
      </c>
      <c r="K434" s="19">
        <f t="shared" si="83"/>
        <v>10.96</v>
      </c>
      <c r="L434" s="19">
        <f t="shared" si="84"/>
        <v>10.76</v>
      </c>
      <c r="M434" s="19">
        <f t="shared" si="85"/>
        <v>0</v>
      </c>
      <c r="N434" s="39">
        <f t="shared" si="86"/>
        <v>68.08</v>
      </c>
      <c r="O434" s="39">
        <f t="shared" si="77"/>
        <v>13995.301131575156</v>
      </c>
      <c r="P434" s="40">
        <v>8</v>
      </c>
      <c r="Q434" s="40">
        <v>10</v>
      </c>
      <c r="R434" s="40">
        <v>9</v>
      </c>
      <c r="S434" s="40">
        <v>9</v>
      </c>
      <c r="T434" s="40">
        <v>9</v>
      </c>
      <c r="U434" s="40">
        <v>9</v>
      </c>
      <c r="V434" s="40">
        <v>9</v>
      </c>
      <c r="W434" s="41" t="str">
        <f t="shared" si="87"/>
        <v>Y</v>
      </c>
      <c r="X434" s="56">
        <f t="shared" si="88"/>
        <v>0.35799999999999998</v>
      </c>
      <c r="Y434" s="56" t="str">
        <f t="shared" si="78"/>
        <v>25-50%</v>
      </c>
      <c r="Z434" s="8" t="s">
        <v>115</v>
      </c>
      <c r="AB434" s="38">
        <v>9620</v>
      </c>
      <c r="AC434" s="38">
        <v>12820</v>
      </c>
      <c r="AD434" s="38">
        <v>12580</v>
      </c>
      <c r="AE434" s="38">
        <v>11340</v>
      </c>
      <c r="AF434" s="38">
        <v>10960</v>
      </c>
      <c r="AG434" s="38">
        <v>10760</v>
      </c>
      <c r="AH434" s="38"/>
    </row>
    <row r="435" spans="1:34" ht="24" customHeight="1" x14ac:dyDescent="0.25">
      <c r="A435" s="10">
        <v>153</v>
      </c>
      <c r="B435" s="9">
        <v>9.3055555555555558E-2</v>
      </c>
      <c r="C435" s="5" t="s">
        <v>21</v>
      </c>
      <c r="D435" s="5">
        <f t="shared" si="76"/>
        <v>10</v>
      </c>
      <c r="E435" s="15"/>
      <c r="F435" s="15" t="s">
        <v>27</v>
      </c>
      <c r="G435" s="19">
        <f t="shared" si="79"/>
        <v>28.64</v>
      </c>
      <c r="H435" s="19">
        <f t="shared" si="80"/>
        <v>10.46</v>
      </c>
      <c r="I435" s="19">
        <f t="shared" si="81"/>
        <v>20.04</v>
      </c>
      <c r="J435" s="19">
        <f t="shared" si="82"/>
        <v>10.56</v>
      </c>
      <c r="K435" s="19">
        <f t="shared" si="83"/>
        <v>12.36</v>
      </c>
      <c r="L435" s="19">
        <f t="shared" si="84"/>
        <v>12.9</v>
      </c>
      <c r="M435" s="19">
        <f t="shared" si="85"/>
        <v>0</v>
      </c>
      <c r="N435" s="39">
        <f t="shared" si="86"/>
        <v>94.960000000000008</v>
      </c>
      <c r="O435" s="39">
        <f t="shared" si="77"/>
        <v>62564.42569754977</v>
      </c>
      <c r="P435" s="40">
        <v>8</v>
      </c>
      <c r="Q435" s="40">
        <v>10</v>
      </c>
      <c r="R435" s="40">
        <v>9</v>
      </c>
      <c r="S435" s="40">
        <v>9</v>
      </c>
      <c r="T435" s="40">
        <v>9</v>
      </c>
      <c r="U435" s="40">
        <v>9</v>
      </c>
      <c r="V435" s="40">
        <v>9</v>
      </c>
      <c r="W435" s="41" t="str">
        <f t="shared" si="87"/>
        <v>Y</v>
      </c>
      <c r="X435" s="56">
        <f t="shared" si="88"/>
        <v>2.0640000000000001</v>
      </c>
      <c r="Y435" s="56" t="str">
        <f t="shared" si="78"/>
        <v>Over 50%</v>
      </c>
      <c r="Z435" s="8" t="s">
        <v>145</v>
      </c>
      <c r="AB435" s="38">
        <v>28640</v>
      </c>
      <c r="AC435" s="38">
        <v>10460</v>
      </c>
      <c r="AD435" s="38">
        <v>20040</v>
      </c>
      <c r="AE435" s="38">
        <v>10560</v>
      </c>
      <c r="AF435" s="38">
        <v>12360</v>
      </c>
      <c r="AG435" s="38">
        <v>12900</v>
      </c>
      <c r="AH435" s="38"/>
    </row>
    <row r="436" spans="1:34" ht="24" customHeight="1" x14ac:dyDescent="0.25">
      <c r="A436" s="10">
        <v>154</v>
      </c>
      <c r="B436" s="9">
        <v>9.5833333333333326E-2</v>
      </c>
      <c r="C436" s="5" t="s">
        <v>20</v>
      </c>
      <c r="D436" s="5">
        <f t="shared" si="76"/>
        <v>10</v>
      </c>
      <c r="E436" s="15"/>
      <c r="F436" s="15" t="s">
        <v>24</v>
      </c>
      <c r="G436" s="19">
        <f t="shared" si="79"/>
        <v>10.48</v>
      </c>
      <c r="H436" s="19">
        <f t="shared" si="80"/>
        <v>13.44</v>
      </c>
      <c r="I436" s="19">
        <f t="shared" si="81"/>
        <v>12.96</v>
      </c>
      <c r="J436" s="19">
        <f t="shared" si="82"/>
        <v>11.66</v>
      </c>
      <c r="K436" s="19">
        <f t="shared" si="83"/>
        <v>11.48</v>
      </c>
      <c r="L436" s="19">
        <f t="shared" si="84"/>
        <v>13.92</v>
      </c>
      <c r="M436" s="19">
        <f t="shared" si="85"/>
        <v>11.56</v>
      </c>
      <c r="N436" s="39">
        <f t="shared" si="86"/>
        <v>85.500000000000014</v>
      </c>
      <c r="O436" s="39">
        <f t="shared" si="77"/>
        <v>39015.915489884901</v>
      </c>
      <c r="P436" s="40">
        <v>8</v>
      </c>
      <c r="Q436" s="40">
        <v>10</v>
      </c>
      <c r="R436" s="40">
        <v>9</v>
      </c>
      <c r="S436" s="40">
        <v>9</v>
      </c>
      <c r="T436" s="40">
        <v>9</v>
      </c>
      <c r="U436" s="40">
        <v>9</v>
      </c>
      <c r="V436" s="40">
        <v>9</v>
      </c>
      <c r="W436" s="41" t="str">
        <f t="shared" si="87"/>
        <v>Y</v>
      </c>
      <c r="X436" s="56">
        <f t="shared" si="88"/>
        <v>0.49199999999999999</v>
      </c>
      <c r="Y436" s="56" t="str">
        <f t="shared" si="78"/>
        <v>25-50%</v>
      </c>
      <c r="Z436" s="8" t="s">
        <v>145</v>
      </c>
      <c r="AB436" s="38">
        <v>10480</v>
      </c>
      <c r="AC436" s="38">
        <v>13440</v>
      </c>
      <c r="AD436" s="38">
        <v>12960</v>
      </c>
      <c r="AE436" s="38">
        <v>11660</v>
      </c>
      <c r="AF436" s="38">
        <v>11480</v>
      </c>
      <c r="AG436" s="38">
        <v>13920</v>
      </c>
      <c r="AH436" s="38">
        <v>11560</v>
      </c>
    </row>
    <row r="437" spans="1:34" ht="24" customHeight="1" x14ac:dyDescent="0.25">
      <c r="A437" s="10">
        <v>1</v>
      </c>
      <c r="B437" s="9">
        <v>9.6527777777777768E-2</v>
      </c>
      <c r="C437" s="5" t="s">
        <v>21</v>
      </c>
      <c r="D437" s="5">
        <f t="shared" si="76"/>
        <v>10</v>
      </c>
      <c r="E437" s="15"/>
      <c r="F437" s="15" t="s">
        <v>26</v>
      </c>
      <c r="G437" s="19">
        <f t="shared" si="79"/>
        <v>7.64</v>
      </c>
      <c r="H437" s="19">
        <f t="shared" si="80"/>
        <v>4.3600000000000003</v>
      </c>
      <c r="I437" s="19">
        <f t="shared" si="81"/>
        <v>6.58</v>
      </c>
      <c r="J437" s="19">
        <f t="shared" si="82"/>
        <v>7.04</v>
      </c>
      <c r="K437" s="19">
        <f t="shared" si="83"/>
        <v>6.06</v>
      </c>
      <c r="L437" s="19">
        <f t="shared" si="84"/>
        <v>6.34</v>
      </c>
      <c r="M437" s="19">
        <f t="shared" si="85"/>
        <v>0</v>
      </c>
      <c r="N437" s="39">
        <f t="shared" si="86"/>
        <v>38.019999999999996</v>
      </c>
      <c r="O437" s="39">
        <f t="shared" si="77"/>
        <v>1017.2994085210975</v>
      </c>
      <c r="P437" s="40">
        <v>8</v>
      </c>
      <c r="Q437" s="40">
        <v>10</v>
      </c>
      <c r="R437" s="40">
        <v>9</v>
      </c>
      <c r="S437" s="40">
        <v>9</v>
      </c>
      <c r="T437" s="40">
        <v>9</v>
      </c>
      <c r="U437" s="40">
        <v>9</v>
      </c>
      <c r="V437" s="40">
        <v>9</v>
      </c>
      <c r="W437" s="41" t="str">
        <f t="shared" si="87"/>
        <v>N</v>
      </c>
      <c r="X437" s="56">
        <f t="shared" si="88"/>
        <v>0</v>
      </c>
      <c r="Y437" s="56" t="str">
        <f t="shared" si="78"/>
        <v>0-4.9%</v>
      </c>
      <c r="Z437" s="8" t="s">
        <v>111</v>
      </c>
      <c r="AB437" s="38">
        <v>7640</v>
      </c>
      <c r="AC437" s="38">
        <v>4360</v>
      </c>
      <c r="AD437" s="38">
        <v>6580</v>
      </c>
      <c r="AE437" s="38">
        <v>7040</v>
      </c>
      <c r="AF437" s="38">
        <v>6060</v>
      </c>
      <c r="AG437" s="38">
        <v>6340</v>
      </c>
      <c r="AH437" s="38"/>
    </row>
    <row r="438" spans="1:34" ht="24" customHeight="1" x14ac:dyDescent="0.25">
      <c r="A438" s="10">
        <v>8</v>
      </c>
      <c r="B438" s="9">
        <v>0.10694444444444444</v>
      </c>
      <c r="C438" s="5" t="s">
        <v>20</v>
      </c>
      <c r="D438" s="5">
        <f t="shared" si="76"/>
        <v>10</v>
      </c>
      <c r="E438" s="15"/>
      <c r="F438" s="15" t="s">
        <v>26</v>
      </c>
      <c r="G438" s="19">
        <f t="shared" si="79"/>
        <v>10.16</v>
      </c>
      <c r="H438" s="19">
        <f t="shared" si="80"/>
        <v>15.28</v>
      </c>
      <c r="I438" s="19">
        <f t="shared" si="81"/>
        <v>21.72</v>
      </c>
      <c r="J438" s="19">
        <f t="shared" si="82"/>
        <v>19</v>
      </c>
      <c r="K438" s="19">
        <f t="shared" si="83"/>
        <v>14.16</v>
      </c>
      <c r="L438" s="19">
        <f t="shared" si="84"/>
        <v>14.1</v>
      </c>
      <c r="M438" s="19">
        <f t="shared" si="85"/>
        <v>0</v>
      </c>
      <c r="N438" s="39">
        <f t="shared" si="86"/>
        <v>94.419999999999987</v>
      </c>
      <c r="O438" s="39">
        <f t="shared" si="77"/>
        <v>60979.276604485123</v>
      </c>
      <c r="P438" s="40">
        <v>8</v>
      </c>
      <c r="Q438" s="40">
        <v>10</v>
      </c>
      <c r="R438" s="40">
        <v>9</v>
      </c>
      <c r="S438" s="40">
        <v>9</v>
      </c>
      <c r="T438" s="40">
        <v>9</v>
      </c>
      <c r="U438" s="40">
        <v>9</v>
      </c>
      <c r="V438" s="40">
        <v>9</v>
      </c>
      <c r="W438" s="41" t="str">
        <f t="shared" si="87"/>
        <v>Y</v>
      </c>
      <c r="X438" s="56">
        <f t="shared" si="88"/>
        <v>1.2719999999999998</v>
      </c>
      <c r="Y438" s="56" t="str">
        <f t="shared" si="78"/>
        <v>Over 50%</v>
      </c>
      <c r="Z438" s="8" t="s">
        <v>115</v>
      </c>
      <c r="AB438" s="38">
        <v>10160</v>
      </c>
      <c r="AC438" s="38">
        <v>15280</v>
      </c>
      <c r="AD438" s="38">
        <v>21720</v>
      </c>
      <c r="AE438" s="38">
        <v>19000</v>
      </c>
      <c r="AF438" s="38">
        <v>14160</v>
      </c>
      <c r="AG438" s="38">
        <v>14100</v>
      </c>
      <c r="AH438" s="38"/>
    </row>
    <row r="439" spans="1:34" ht="24" customHeight="1" x14ac:dyDescent="0.25">
      <c r="A439" s="10">
        <v>16</v>
      </c>
      <c r="B439" s="9">
        <v>0.11666666666666665</v>
      </c>
      <c r="C439" s="5" t="s">
        <v>20</v>
      </c>
      <c r="D439" s="5">
        <f t="shared" si="76"/>
        <v>10</v>
      </c>
      <c r="E439" s="15"/>
      <c r="F439" s="15" t="s">
        <v>25</v>
      </c>
      <c r="G439" s="19">
        <f t="shared" si="79"/>
        <v>10.76</v>
      </c>
      <c r="H439" s="19">
        <f t="shared" si="80"/>
        <v>15.78</v>
      </c>
      <c r="I439" s="19">
        <f t="shared" si="81"/>
        <v>15.18</v>
      </c>
      <c r="J439" s="19">
        <f t="shared" si="82"/>
        <v>14.12</v>
      </c>
      <c r="K439" s="19">
        <f t="shared" si="83"/>
        <v>13.08</v>
      </c>
      <c r="L439" s="19">
        <f t="shared" si="84"/>
        <v>9.7200000000000006</v>
      </c>
      <c r="M439" s="19">
        <f t="shared" si="85"/>
        <v>0</v>
      </c>
      <c r="N439" s="39">
        <f t="shared" si="86"/>
        <v>78.64</v>
      </c>
      <c r="O439" s="39">
        <f t="shared" si="77"/>
        <v>26778.734986540847</v>
      </c>
      <c r="P439" s="40">
        <v>8</v>
      </c>
      <c r="Q439" s="40">
        <v>10</v>
      </c>
      <c r="R439" s="40">
        <v>9</v>
      </c>
      <c r="S439" s="40">
        <v>9</v>
      </c>
      <c r="T439" s="40">
        <v>9</v>
      </c>
      <c r="U439" s="40">
        <v>9</v>
      </c>
      <c r="V439" s="40">
        <v>9</v>
      </c>
      <c r="W439" s="41" t="str">
        <f t="shared" si="87"/>
        <v>Y</v>
      </c>
      <c r="X439" s="56">
        <f t="shared" si="88"/>
        <v>0.61799999999999999</v>
      </c>
      <c r="Y439" s="56" t="str">
        <f t="shared" si="78"/>
        <v>Over 50%</v>
      </c>
      <c r="Z439" s="8" t="s">
        <v>145</v>
      </c>
      <c r="AB439" s="38">
        <v>10760</v>
      </c>
      <c r="AC439" s="38">
        <v>15780</v>
      </c>
      <c r="AD439" s="38">
        <v>15180</v>
      </c>
      <c r="AE439" s="38">
        <v>14120</v>
      </c>
      <c r="AF439" s="38">
        <v>13080</v>
      </c>
      <c r="AG439" s="38">
        <v>9720</v>
      </c>
      <c r="AH439" s="38"/>
    </row>
    <row r="440" spans="1:34" ht="24" customHeight="1" x14ac:dyDescent="0.25">
      <c r="A440" s="10">
        <v>17</v>
      </c>
      <c r="B440" s="9">
        <v>0.11666666666666665</v>
      </c>
      <c r="C440" s="5" t="s">
        <v>20</v>
      </c>
      <c r="D440" s="5">
        <f t="shared" si="76"/>
        <v>10</v>
      </c>
      <c r="E440" s="15"/>
      <c r="F440" s="15" t="s">
        <v>26</v>
      </c>
      <c r="G440" s="19">
        <f t="shared" si="79"/>
        <v>8.7799999999999994</v>
      </c>
      <c r="H440" s="19">
        <f t="shared" si="80"/>
        <v>12.4</v>
      </c>
      <c r="I440" s="19">
        <f t="shared" si="81"/>
        <v>12.3</v>
      </c>
      <c r="J440" s="19">
        <f t="shared" si="82"/>
        <v>18.16</v>
      </c>
      <c r="K440" s="19">
        <f t="shared" si="83"/>
        <v>13.38</v>
      </c>
      <c r="L440" s="19">
        <f t="shared" si="84"/>
        <v>12.4</v>
      </c>
      <c r="M440" s="19">
        <f t="shared" si="85"/>
        <v>0</v>
      </c>
      <c r="N440" s="39">
        <f t="shared" si="86"/>
        <v>77.42</v>
      </c>
      <c r="O440" s="39">
        <f t="shared" si="77"/>
        <v>24959.365282691593</v>
      </c>
      <c r="P440" s="40">
        <v>8</v>
      </c>
      <c r="Q440" s="40">
        <v>10</v>
      </c>
      <c r="R440" s="40">
        <v>9</v>
      </c>
      <c r="S440" s="40">
        <v>9</v>
      </c>
      <c r="T440" s="40">
        <v>9</v>
      </c>
      <c r="U440" s="40">
        <v>9</v>
      </c>
      <c r="V440" s="40">
        <v>9</v>
      </c>
      <c r="W440" s="41" t="str">
        <f t="shared" si="87"/>
        <v>Y</v>
      </c>
      <c r="X440" s="56">
        <f t="shared" si="88"/>
        <v>0.91600000000000004</v>
      </c>
      <c r="Y440" s="56" t="str">
        <f t="shared" si="78"/>
        <v>Over 50%</v>
      </c>
      <c r="Z440" s="8" t="s">
        <v>145</v>
      </c>
      <c r="AB440" s="38">
        <v>8780</v>
      </c>
      <c r="AC440" s="38">
        <v>12400</v>
      </c>
      <c r="AD440" s="38">
        <v>12300</v>
      </c>
      <c r="AE440" s="38">
        <v>18160</v>
      </c>
      <c r="AF440" s="38">
        <v>13380</v>
      </c>
      <c r="AG440" s="38">
        <v>12400</v>
      </c>
      <c r="AH440" s="38"/>
    </row>
    <row r="441" spans="1:34" ht="24" customHeight="1" x14ac:dyDescent="0.25">
      <c r="A441" s="10">
        <v>23</v>
      </c>
      <c r="B441" s="9">
        <v>0.12430555555555556</v>
      </c>
      <c r="C441" s="5" t="s">
        <v>20</v>
      </c>
      <c r="D441" s="5">
        <f t="shared" si="76"/>
        <v>10</v>
      </c>
      <c r="E441" s="15"/>
      <c r="F441" s="15" t="s">
        <v>46</v>
      </c>
      <c r="G441" s="19">
        <f t="shared" si="79"/>
        <v>8.5</v>
      </c>
      <c r="H441" s="19">
        <f t="shared" si="80"/>
        <v>9.6199999999999992</v>
      </c>
      <c r="I441" s="19">
        <f t="shared" si="81"/>
        <v>14.46</v>
      </c>
      <c r="J441" s="19">
        <f t="shared" si="82"/>
        <v>12.5</v>
      </c>
      <c r="K441" s="19">
        <f t="shared" si="83"/>
        <v>14.46</v>
      </c>
      <c r="L441" s="19">
        <f t="shared" si="84"/>
        <v>0</v>
      </c>
      <c r="M441" s="19">
        <f t="shared" si="85"/>
        <v>0</v>
      </c>
      <c r="N441" s="39">
        <f t="shared" si="86"/>
        <v>59.54</v>
      </c>
      <c r="O441" s="39">
        <f t="shared" si="77"/>
        <v>7656.5658499884757</v>
      </c>
      <c r="P441" s="40">
        <v>8</v>
      </c>
      <c r="Q441" s="40">
        <v>10</v>
      </c>
      <c r="R441" s="40">
        <v>9</v>
      </c>
      <c r="S441" s="40">
        <v>9</v>
      </c>
      <c r="T441" s="40">
        <v>9</v>
      </c>
      <c r="U441" s="40">
        <v>9</v>
      </c>
      <c r="V441" s="40">
        <v>9</v>
      </c>
      <c r="W441" s="41" t="str">
        <f t="shared" si="87"/>
        <v>Y</v>
      </c>
      <c r="X441" s="56">
        <f t="shared" si="88"/>
        <v>0.54600000000000004</v>
      </c>
      <c r="Y441" s="56" t="str">
        <f t="shared" si="78"/>
        <v>Over 50%</v>
      </c>
      <c r="Z441" s="8" t="s">
        <v>115</v>
      </c>
      <c r="AB441" s="38">
        <v>8500</v>
      </c>
      <c r="AC441" s="38">
        <v>9620</v>
      </c>
      <c r="AD441" s="38">
        <v>14460</v>
      </c>
      <c r="AE441" s="38">
        <v>12500</v>
      </c>
      <c r="AF441" s="38">
        <v>14460</v>
      </c>
      <c r="AG441" s="38"/>
      <c r="AH441" s="38"/>
    </row>
    <row r="442" spans="1:34" ht="24" customHeight="1" x14ac:dyDescent="0.25">
      <c r="A442" s="10">
        <v>24</v>
      </c>
      <c r="B442" s="9">
        <v>0.125</v>
      </c>
      <c r="C442" s="5" t="s">
        <v>20</v>
      </c>
      <c r="D442" s="5">
        <f t="shared" si="76"/>
        <v>10</v>
      </c>
      <c r="E442" s="15"/>
      <c r="F442" s="15" t="s">
        <v>31</v>
      </c>
      <c r="G442" s="19">
        <f t="shared" si="79"/>
        <v>9.7200000000000006</v>
      </c>
      <c r="H442" s="19">
        <f t="shared" si="80"/>
        <v>10.52</v>
      </c>
      <c r="I442" s="19">
        <f t="shared" si="81"/>
        <v>15.8</v>
      </c>
      <c r="J442" s="19">
        <f t="shared" si="82"/>
        <v>15.32</v>
      </c>
      <c r="K442" s="19">
        <f t="shared" si="83"/>
        <v>0</v>
      </c>
      <c r="L442" s="19">
        <f t="shared" si="84"/>
        <v>0</v>
      </c>
      <c r="M442" s="19">
        <f t="shared" si="85"/>
        <v>0</v>
      </c>
      <c r="N442" s="39">
        <f t="shared" si="86"/>
        <v>51.360000000000007</v>
      </c>
      <c r="O442" s="39">
        <f t="shared" si="77"/>
        <v>3937.375670249085</v>
      </c>
      <c r="P442" s="40">
        <v>8</v>
      </c>
      <c r="Q442" s="40">
        <v>10</v>
      </c>
      <c r="R442" s="40">
        <v>9</v>
      </c>
      <c r="S442" s="40">
        <v>9</v>
      </c>
      <c r="T442" s="40">
        <v>9</v>
      </c>
      <c r="U442" s="40">
        <v>9</v>
      </c>
      <c r="V442" s="40">
        <v>9</v>
      </c>
      <c r="W442" s="41" t="str">
        <f t="shared" si="87"/>
        <v>Y</v>
      </c>
      <c r="X442" s="56">
        <f t="shared" si="88"/>
        <v>0.68</v>
      </c>
      <c r="Y442" s="56" t="str">
        <f t="shared" si="78"/>
        <v>Over 50%</v>
      </c>
      <c r="Z442" s="8" t="s">
        <v>145</v>
      </c>
      <c r="AB442" s="38">
        <v>9720</v>
      </c>
      <c r="AC442" s="38">
        <v>10520</v>
      </c>
      <c r="AD442" s="38">
        <v>15800</v>
      </c>
      <c r="AE442" s="38">
        <v>15320</v>
      </c>
      <c r="AF442" s="38"/>
      <c r="AG442" s="38"/>
      <c r="AH442" s="38"/>
    </row>
    <row r="443" spans="1:34" ht="24" customHeight="1" x14ac:dyDescent="0.25">
      <c r="A443" s="10">
        <v>35</v>
      </c>
      <c r="B443" s="9">
        <v>0.13541666666666666</v>
      </c>
      <c r="C443" s="5" t="s">
        <v>20</v>
      </c>
      <c r="D443" s="5">
        <f t="shared" si="76"/>
        <v>10</v>
      </c>
      <c r="E443" s="15"/>
      <c r="F443" s="15" t="s">
        <v>27</v>
      </c>
      <c r="G443" s="19">
        <f t="shared" si="79"/>
        <v>8.5399999999999991</v>
      </c>
      <c r="H443" s="19">
        <f t="shared" si="80"/>
        <v>10.46</v>
      </c>
      <c r="I443" s="19">
        <f t="shared" si="81"/>
        <v>15.42</v>
      </c>
      <c r="J443" s="19">
        <f t="shared" si="82"/>
        <v>16.72</v>
      </c>
      <c r="K443" s="19">
        <f t="shared" si="83"/>
        <v>14.5</v>
      </c>
      <c r="L443" s="19">
        <f t="shared" si="84"/>
        <v>15.98</v>
      </c>
      <c r="M443" s="19">
        <f t="shared" si="85"/>
        <v>0</v>
      </c>
      <c r="N443" s="39">
        <f t="shared" si="86"/>
        <v>81.62</v>
      </c>
      <c r="O443" s="39">
        <f t="shared" si="77"/>
        <v>31657.669627121166</v>
      </c>
      <c r="P443" s="40">
        <v>8</v>
      </c>
      <c r="Q443" s="40">
        <v>10</v>
      </c>
      <c r="R443" s="40">
        <v>9</v>
      </c>
      <c r="S443" s="40">
        <v>9</v>
      </c>
      <c r="T443" s="40">
        <v>9</v>
      </c>
      <c r="U443" s="40">
        <v>9</v>
      </c>
      <c r="V443" s="40">
        <v>9</v>
      </c>
      <c r="W443" s="41" t="str">
        <f t="shared" si="87"/>
        <v>Y</v>
      </c>
      <c r="X443" s="56">
        <f t="shared" si="88"/>
        <v>0.77199999999999991</v>
      </c>
      <c r="Y443" s="56" t="str">
        <f t="shared" si="78"/>
        <v>Over 50%</v>
      </c>
      <c r="Z443" s="8" t="s">
        <v>145</v>
      </c>
      <c r="AB443" s="38">
        <v>8540</v>
      </c>
      <c r="AC443" s="38">
        <v>10460</v>
      </c>
      <c r="AD443" s="38">
        <v>15420</v>
      </c>
      <c r="AE443" s="38">
        <v>16720</v>
      </c>
      <c r="AF443" s="38">
        <v>14500</v>
      </c>
      <c r="AG443" s="38">
        <v>15980</v>
      </c>
      <c r="AH443" s="38"/>
    </row>
    <row r="444" spans="1:34" ht="24" customHeight="1" x14ac:dyDescent="0.25">
      <c r="A444" s="10">
        <v>36</v>
      </c>
      <c r="B444" s="9">
        <v>0.1361111111111111</v>
      </c>
      <c r="C444" s="5" t="s">
        <v>20</v>
      </c>
      <c r="D444" s="5">
        <f t="shared" si="76"/>
        <v>10</v>
      </c>
      <c r="E444" s="15"/>
      <c r="F444" s="15" t="s">
        <v>27</v>
      </c>
      <c r="G444" s="19">
        <f t="shared" si="79"/>
        <v>8.9600000000000009</v>
      </c>
      <c r="H444" s="19">
        <f t="shared" si="80"/>
        <v>8.74</v>
      </c>
      <c r="I444" s="19">
        <f t="shared" si="81"/>
        <v>14.8</v>
      </c>
      <c r="J444" s="19">
        <f t="shared" si="82"/>
        <v>20.54</v>
      </c>
      <c r="K444" s="19">
        <f t="shared" si="83"/>
        <v>14.02</v>
      </c>
      <c r="L444" s="19">
        <f t="shared" si="84"/>
        <v>12.38</v>
      </c>
      <c r="M444" s="19">
        <f t="shared" si="85"/>
        <v>0</v>
      </c>
      <c r="N444" s="39">
        <f t="shared" si="86"/>
        <v>79.44</v>
      </c>
      <c r="O444" s="39">
        <f t="shared" si="77"/>
        <v>28026.627752825425</v>
      </c>
      <c r="P444" s="40">
        <v>8</v>
      </c>
      <c r="Q444" s="40">
        <v>10</v>
      </c>
      <c r="R444" s="40">
        <v>9</v>
      </c>
      <c r="S444" s="40">
        <v>9</v>
      </c>
      <c r="T444" s="40">
        <v>9</v>
      </c>
      <c r="U444" s="40">
        <v>9</v>
      </c>
      <c r="V444" s="40">
        <v>9</v>
      </c>
      <c r="W444" s="41" t="str">
        <f t="shared" si="87"/>
        <v>Y</v>
      </c>
      <c r="X444" s="56">
        <f t="shared" si="88"/>
        <v>1.1539999999999999</v>
      </c>
      <c r="Y444" s="56" t="str">
        <f t="shared" si="78"/>
        <v>Over 50%</v>
      </c>
      <c r="Z444" s="8" t="s">
        <v>145</v>
      </c>
      <c r="AB444" s="38">
        <v>8960</v>
      </c>
      <c r="AC444" s="38">
        <v>8740</v>
      </c>
      <c r="AD444" s="38">
        <v>14800</v>
      </c>
      <c r="AE444" s="38">
        <v>20540</v>
      </c>
      <c r="AF444" s="38">
        <v>14020</v>
      </c>
      <c r="AG444" s="38">
        <v>12380</v>
      </c>
      <c r="AH444" s="38"/>
    </row>
    <row r="445" spans="1:34" ht="24" customHeight="1" x14ac:dyDescent="0.25">
      <c r="A445" s="10">
        <v>39</v>
      </c>
      <c r="B445" s="9">
        <v>0.14027777777777778</v>
      </c>
      <c r="C445" s="5" t="s">
        <v>20</v>
      </c>
      <c r="D445" s="5">
        <f t="shared" si="76"/>
        <v>10</v>
      </c>
      <c r="E445" s="15"/>
      <c r="F445" s="15" t="s">
        <v>47</v>
      </c>
      <c r="G445" s="19">
        <f t="shared" si="79"/>
        <v>8.56</v>
      </c>
      <c r="H445" s="19">
        <f t="shared" si="80"/>
        <v>9.1</v>
      </c>
      <c r="I445" s="19">
        <f t="shared" si="81"/>
        <v>5.62</v>
      </c>
      <c r="J445" s="19">
        <f t="shared" si="82"/>
        <v>4.96</v>
      </c>
      <c r="K445" s="19">
        <f t="shared" si="83"/>
        <v>6.84</v>
      </c>
      <c r="L445" s="19">
        <f t="shared" si="84"/>
        <v>4.4800000000000004</v>
      </c>
      <c r="M445" s="19">
        <f t="shared" si="85"/>
        <v>4.62</v>
      </c>
      <c r="N445" s="39">
        <f t="shared" si="86"/>
        <v>44.18</v>
      </c>
      <c r="O445" s="39">
        <f t="shared" si="77"/>
        <v>1999.4474184101</v>
      </c>
      <c r="P445" s="40">
        <v>8</v>
      </c>
      <c r="Q445" s="40">
        <v>10</v>
      </c>
      <c r="R445" s="40">
        <v>9</v>
      </c>
      <c r="S445" s="40">
        <v>9</v>
      </c>
      <c r="T445" s="40">
        <v>9</v>
      </c>
      <c r="U445" s="40">
        <v>9</v>
      </c>
      <c r="V445" s="40">
        <v>9</v>
      </c>
      <c r="W445" s="41" t="str">
        <f t="shared" si="87"/>
        <v>Y</v>
      </c>
      <c r="X445" s="56">
        <f t="shared" si="88"/>
        <v>5.600000000000005E-2</v>
      </c>
      <c r="Y445" s="56" t="str">
        <f t="shared" si="78"/>
        <v>5-25%</v>
      </c>
      <c r="Z445" s="8" t="s">
        <v>113</v>
      </c>
      <c r="AB445" s="38">
        <v>8560</v>
      </c>
      <c r="AC445" s="38">
        <v>9100</v>
      </c>
      <c r="AD445" s="38">
        <v>5620</v>
      </c>
      <c r="AE445" s="38">
        <v>4960</v>
      </c>
      <c r="AF445" s="38">
        <v>6840</v>
      </c>
      <c r="AG445" s="38">
        <v>4480</v>
      </c>
      <c r="AH445" s="38">
        <v>4620</v>
      </c>
    </row>
    <row r="446" spans="1:34" ht="24" customHeight="1" x14ac:dyDescent="0.25">
      <c r="A446" s="10">
        <v>40</v>
      </c>
      <c r="B446" s="9">
        <v>0.14097222222222222</v>
      </c>
      <c r="C446" s="5" t="s">
        <v>20</v>
      </c>
      <c r="D446" s="5">
        <f t="shared" si="76"/>
        <v>10</v>
      </c>
      <c r="E446" s="15"/>
      <c r="F446" s="15" t="s">
        <v>26</v>
      </c>
      <c r="G446" s="19">
        <f t="shared" si="79"/>
        <v>8.24</v>
      </c>
      <c r="H446" s="19">
        <f t="shared" si="80"/>
        <v>17.399999999999999</v>
      </c>
      <c r="I446" s="19">
        <f t="shared" si="81"/>
        <v>13.32</v>
      </c>
      <c r="J446" s="19">
        <f t="shared" si="82"/>
        <v>16.559999999999999</v>
      </c>
      <c r="K446" s="19">
        <f t="shared" si="83"/>
        <v>14.52</v>
      </c>
      <c r="L446" s="19">
        <f t="shared" si="84"/>
        <v>16.579999999999998</v>
      </c>
      <c r="M446" s="19">
        <f t="shared" si="85"/>
        <v>0</v>
      </c>
      <c r="N446" s="39">
        <f t="shared" si="86"/>
        <v>86.61999999999999</v>
      </c>
      <c r="O446" s="39">
        <f t="shared" si="77"/>
        <v>41369.101916346124</v>
      </c>
      <c r="P446" s="40">
        <v>8</v>
      </c>
      <c r="Q446" s="40">
        <v>10</v>
      </c>
      <c r="R446" s="40">
        <v>9</v>
      </c>
      <c r="S446" s="40">
        <v>9</v>
      </c>
      <c r="T446" s="40">
        <v>9</v>
      </c>
      <c r="U446" s="40">
        <v>9</v>
      </c>
      <c r="V446" s="40">
        <v>9</v>
      </c>
      <c r="W446" s="41" t="str">
        <f t="shared" si="87"/>
        <v>Y</v>
      </c>
      <c r="X446" s="56">
        <f t="shared" si="88"/>
        <v>0.75799999999999979</v>
      </c>
      <c r="Y446" s="56" t="str">
        <f t="shared" si="78"/>
        <v>Over 50%</v>
      </c>
      <c r="Z446" s="8" t="s">
        <v>145</v>
      </c>
      <c r="AB446" s="38">
        <v>8240</v>
      </c>
      <c r="AC446" s="38">
        <v>17400</v>
      </c>
      <c r="AD446" s="38">
        <v>13320</v>
      </c>
      <c r="AE446" s="38">
        <v>16560</v>
      </c>
      <c r="AF446" s="38">
        <v>14520</v>
      </c>
      <c r="AG446" s="38">
        <v>16580</v>
      </c>
      <c r="AH446" s="38"/>
    </row>
    <row r="447" spans="1:34" ht="24" customHeight="1" x14ac:dyDescent="0.25">
      <c r="A447" s="10">
        <v>41</v>
      </c>
      <c r="B447" s="9">
        <v>0.14166666666666666</v>
      </c>
      <c r="C447" s="5" t="s">
        <v>20</v>
      </c>
      <c r="D447" s="5">
        <f t="shared" si="76"/>
        <v>10</v>
      </c>
      <c r="E447" s="15"/>
      <c r="F447" s="15" t="s">
        <v>26</v>
      </c>
      <c r="G447" s="19">
        <f t="shared" si="79"/>
        <v>8.92</v>
      </c>
      <c r="H447" s="19">
        <f t="shared" si="80"/>
        <v>14.2</v>
      </c>
      <c r="I447" s="19">
        <f t="shared" si="81"/>
        <v>14.04</v>
      </c>
      <c r="J447" s="19">
        <f t="shared" si="82"/>
        <v>16.239999999999998</v>
      </c>
      <c r="K447" s="19">
        <f t="shared" si="83"/>
        <v>16.52</v>
      </c>
      <c r="L447" s="19">
        <f t="shared" si="84"/>
        <v>16.12</v>
      </c>
      <c r="M447" s="19">
        <f t="shared" si="85"/>
        <v>0</v>
      </c>
      <c r="N447" s="39">
        <f t="shared" si="86"/>
        <v>86.039999999999992</v>
      </c>
      <c r="O447" s="39">
        <f t="shared" si="77"/>
        <v>40137.109504484855</v>
      </c>
      <c r="P447" s="40">
        <v>8</v>
      </c>
      <c r="Q447" s="40">
        <v>10</v>
      </c>
      <c r="R447" s="40">
        <v>9</v>
      </c>
      <c r="S447" s="40">
        <v>9</v>
      </c>
      <c r="T447" s="40">
        <v>9</v>
      </c>
      <c r="U447" s="40">
        <v>9</v>
      </c>
      <c r="V447" s="40">
        <v>9</v>
      </c>
      <c r="W447" s="41" t="str">
        <f t="shared" si="87"/>
        <v>Y</v>
      </c>
      <c r="X447" s="56">
        <f t="shared" si="88"/>
        <v>0.752</v>
      </c>
      <c r="Y447" s="56" t="str">
        <f t="shared" si="78"/>
        <v>Over 50%</v>
      </c>
      <c r="Z447" s="8" t="s">
        <v>145</v>
      </c>
      <c r="AB447" s="38">
        <v>8920</v>
      </c>
      <c r="AC447" s="38">
        <v>14200</v>
      </c>
      <c r="AD447" s="38">
        <v>14040</v>
      </c>
      <c r="AE447" s="38">
        <v>16240</v>
      </c>
      <c r="AF447" s="38">
        <v>16520</v>
      </c>
      <c r="AG447" s="38">
        <v>16120</v>
      </c>
      <c r="AH447" s="38"/>
    </row>
    <row r="448" spans="1:34" ht="24" customHeight="1" x14ac:dyDescent="0.25">
      <c r="A448" s="10">
        <v>52</v>
      </c>
      <c r="B448" s="9">
        <v>0.3666666666666667</v>
      </c>
      <c r="C448" s="5" t="s">
        <v>20</v>
      </c>
      <c r="D448" s="5">
        <f t="shared" si="76"/>
        <v>10</v>
      </c>
      <c r="E448" s="15"/>
      <c r="F448" s="15" t="s">
        <v>26</v>
      </c>
      <c r="G448" s="19">
        <f t="shared" si="79"/>
        <v>8.2200000000000006</v>
      </c>
      <c r="H448" s="19">
        <f t="shared" si="80"/>
        <v>13.38</v>
      </c>
      <c r="I448" s="19">
        <f t="shared" si="81"/>
        <v>13.22</v>
      </c>
      <c r="J448" s="19">
        <f t="shared" si="82"/>
        <v>14.02</v>
      </c>
      <c r="K448" s="19">
        <f t="shared" si="83"/>
        <v>11.06</v>
      </c>
      <c r="L448" s="19">
        <f t="shared" si="84"/>
        <v>15.14</v>
      </c>
      <c r="M448" s="19">
        <f t="shared" si="85"/>
        <v>0</v>
      </c>
      <c r="N448" s="39">
        <f t="shared" si="86"/>
        <v>75.040000000000006</v>
      </c>
      <c r="O448" s="39">
        <f t="shared" si="77"/>
        <v>21687.625225278618</v>
      </c>
      <c r="P448" s="40">
        <v>8</v>
      </c>
      <c r="Q448" s="40">
        <v>10</v>
      </c>
      <c r="R448" s="40">
        <v>9</v>
      </c>
      <c r="S448" s="40">
        <v>9</v>
      </c>
      <c r="T448" s="40">
        <v>9</v>
      </c>
      <c r="U448" s="40">
        <v>9</v>
      </c>
      <c r="V448" s="40">
        <v>9</v>
      </c>
      <c r="W448" s="41" t="str">
        <f t="shared" si="87"/>
        <v>Y</v>
      </c>
      <c r="X448" s="56">
        <f t="shared" si="88"/>
        <v>0.6140000000000001</v>
      </c>
      <c r="Y448" s="56" t="str">
        <f t="shared" si="78"/>
        <v>Over 50%</v>
      </c>
      <c r="Z448" s="8" t="s">
        <v>111</v>
      </c>
      <c r="AB448" s="38">
        <v>8220</v>
      </c>
      <c r="AC448" s="38">
        <v>13380</v>
      </c>
      <c r="AD448" s="38">
        <v>13220</v>
      </c>
      <c r="AE448" s="38">
        <v>14020</v>
      </c>
      <c r="AF448" s="38">
        <v>11060</v>
      </c>
      <c r="AG448" s="38">
        <v>15140</v>
      </c>
      <c r="AH448" s="38"/>
    </row>
    <row r="449" spans="1:34" ht="24" customHeight="1" x14ac:dyDescent="0.25">
      <c r="A449" s="10">
        <v>55</v>
      </c>
      <c r="B449" s="9">
        <v>0.375</v>
      </c>
      <c r="C449" s="5" t="s">
        <v>20</v>
      </c>
      <c r="D449" s="5">
        <f t="shared" si="76"/>
        <v>10</v>
      </c>
      <c r="E449" s="15"/>
      <c r="F449" s="15" t="s">
        <v>27</v>
      </c>
      <c r="G449" s="19">
        <f t="shared" si="79"/>
        <v>8.18</v>
      </c>
      <c r="H449" s="19">
        <f t="shared" si="80"/>
        <v>8.7799999999999994</v>
      </c>
      <c r="I449" s="19">
        <f t="shared" si="81"/>
        <v>14.4</v>
      </c>
      <c r="J449" s="19">
        <f t="shared" si="82"/>
        <v>9.42</v>
      </c>
      <c r="K449" s="19">
        <f t="shared" si="83"/>
        <v>7.32</v>
      </c>
      <c r="L449" s="19">
        <f t="shared" si="84"/>
        <v>6.5</v>
      </c>
      <c r="M449" s="19">
        <f t="shared" si="85"/>
        <v>0</v>
      </c>
      <c r="N449" s="39">
        <f t="shared" si="86"/>
        <v>54.6</v>
      </c>
      <c r="O449" s="39">
        <f t="shared" si="77"/>
        <v>5185.1482481299299</v>
      </c>
      <c r="P449" s="40">
        <v>8</v>
      </c>
      <c r="Q449" s="40">
        <v>10</v>
      </c>
      <c r="R449" s="40">
        <v>9</v>
      </c>
      <c r="S449" s="40">
        <v>9</v>
      </c>
      <c r="T449" s="40">
        <v>9</v>
      </c>
      <c r="U449" s="40">
        <v>9</v>
      </c>
      <c r="V449" s="40">
        <v>9</v>
      </c>
      <c r="W449" s="41" t="str">
        <f t="shared" si="87"/>
        <v>Y</v>
      </c>
      <c r="X449" s="56">
        <f t="shared" si="88"/>
        <v>0.54</v>
      </c>
      <c r="Y449" s="56" t="str">
        <f t="shared" si="78"/>
        <v>Over 50%</v>
      </c>
      <c r="Z449" s="8" t="s">
        <v>35</v>
      </c>
      <c r="AB449" s="38">
        <v>8180</v>
      </c>
      <c r="AC449" s="38">
        <v>8780</v>
      </c>
      <c r="AD449" s="38">
        <v>14400</v>
      </c>
      <c r="AE449" s="38">
        <v>9420</v>
      </c>
      <c r="AF449" s="38">
        <v>7320</v>
      </c>
      <c r="AG449" s="38">
        <v>6500</v>
      </c>
      <c r="AH449" s="38"/>
    </row>
    <row r="450" spans="1:34" ht="24" customHeight="1" x14ac:dyDescent="0.25">
      <c r="A450" s="10">
        <v>60</v>
      </c>
      <c r="B450" s="9">
        <v>0.38194444444444442</v>
      </c>
      <c r="C450" s="5" t="s">
        <v>20</v>
      </c>
      <c r="D450" s="5">
        <f t="shared" si="76"/>
        <v>10</v>
      </c>
      <c r="E450" s="15"/>
      <c r="F450" s="15" t="s">
        <v>26</v>
      </c>
      <c r="G450" s="19">
        <f t="shared" si="79"/>
        <v>5.64</v>
      </c>
      <c r="H450" s="19">
        <f t="shared" si="80"/>
        <v>4.84</v>
      </c>
      <c r="I450" s="19">
        <f t="shared" si="81"/>
        <v>4.88</v>
      </c>
      <c r="J450" s="19">
        <f t="shared" si="82"/>
        <v>3.44</v>
      </c>
      <c r="K450" s="19">
        <f t="shared" si="83"/>
        <v>3.02</v>
      </c>
      <c r="L450" s="19">
        <f t="shared" si="84"/>
        <v>2.84</v>
      </c>
      <c r="M450" s="19">
        <f t="shared" si="85"/>
        <v>0</v>
      </c>
      <c r="N450" s="39">
        <f t="shared" si="86"/>
        <v>24.66</v>
      </c>
      <c r="O450" s="39">
        <f t="shared" si="77"/>
        <v>144.99836687423272</v>
      </c>
      <c r="P450" s="40">
        <v>8</v>
      </c>
      <c r="Q450" s="40">
        <v>10</v>
      </c>
      <c r="R450" s="40">
        <v>9</v>
      </c>
      <c r="S450" s="40">
        <v>9</v>
      </c>
      <c r="T450" s="40">
        <v>9</v>
      </c>
      <c r="U450" s="40">
        <v>9</v>
      </c>
      <c r="V450" s="40">
        <v>9</v>
      </c>
      <c r="W450" s="41" t="str">
        <f t="shared" si="87"/>
        <v>N</v>
      </c>
      <c r="X450" s="56">
        <f t="shared" si="88"/>
        <v>0</v>
      </c>
      <c r="Y450" s="56" t="str">
        <f t="shared" si="78"/>
        <v>0-4.9%</v>
      </c>
      <c r="Z450" s="8" t="s">
        <v>118</v>
      </c>
      <c r="AB450" s="38">
        <v>5640</v>
      </c>
      <c r="AC450" s="38">
        <v>4840</v>
      </c>
      <c r="AD450" s="38">
        <v>4880</v>
      </c>
      <c r="AE450" s="38">
        <v>3440</v>
      </c>
      <c r="AF450" s="38">
        <v>3020</v>
      </c>
      <c r="AG450" s="38">
        <v>2840</v>
      </c>
      <c r="AH450" s="38"/>
    </row>
    <row r="451" spans="1:34" ht="24" customHeight="1" x14ac:dyDescent="0.25">
      <c r="A451" s="10">
        <v>74</v>
      </c>
      <c r="B451" s="9">
        <v>0.41388888888888892</v>
      </c>
      <c r="C451" s="5" t="s">
        <v>20</v>
      </c>
      <c r="D451" s="5">
        <f t="shared" si="76"/>
        <v>10</v>
      </c>
      <c r="E451" s="15"/>
      <c r="F451" s="15" t="s">
        <v>27</v>
      </c>
      <c r="G451" s="19">
        <f t="shared" si="79"/>
        <v>9.24</v>
      </c>
      <c r="H451" s="19">
        <f t="shared" si="80"/>
        <v>5.92</v>
      </c>
      <c r="I451" s="19">
        <f t="shared" si="81"/>
        <v>13.84</v>
      </c>
      <c r="J451" s="19">
        <f t="shared" si="82"/>
        <v>21.3</v>
      </c>
      <c r="K451" s="19">
        <f t="shared" si="83"/>
        <v>14.6</v>
      </c>
      <c r="L451" s="19">
        <f t="shared" si="84"/>
        <v>14.3</v>
      </c>
      <c r="M451" s="19">
        <f t="shared" si="85"/>
        <v>0</v>
      </c>
      <c r="N451" s="39">
        <f t="shared" si="86"/>
        <v>79.199999999999989</v>
      </c>
      <c r="O451" s="39">
        <f t="shared" si="77"/>
        <v>27647.610516958477</v>
      </c>
      <c r="P451" s="40">
        <v>8</v>
      </c>
      <c r="Q451" s="40">
        <v>10</v>
      </c>
      <c r="R451" s="40">
        <v>9</v>
      </c>
      <c r="S451" s="40">
        <v>9</v>
      </c>
      <c r="T451" s="40">
        <v>9</v>
      </c>
      <c r="U451" s="40">
        <v>9</v>
      </c>
      <c r="V451" s="40">
        <v>9</v>
      </c>
      <c r="W451" s="41" t="str">
        <f t="shared" si="87"/>
        <v>Y</v>
      </c>
      <c r="X451" s="56">
        <f t="shared" si="88"/>
        <v>1.23</v>
      </c>
      <c r="Y451" s="56" t="str">
        <f t="shared" si="78"/>
        <v>Over 50%</v>
      </c>
      <c r="Z451" s="8" t="s">
        <v>145</v>
      </c>
      <c r="AB451" s="38">
        <v>9240</v>
      </c>
      <c r="AC451" s="38">
        <v>5920</v>
      </c>
      <c r="AD451" s="38">
        <v>13840</v>
      </c>
      <c r="AE451" s="38">
        <v>21300</v>
      </c>
      <c r="AF451" s="38">
        <v>14600</v>
      </c>
      <c r="AG451" s="38">
        <v>14300</v>
      </c>
      <c r="AH451" s="38"/>
    </row>
    <row r="452" spans="1:34" ht="24" customHeight="1" x14ac:dyDescent="0.25">
      <c r="A452" s="10">
        <v>82</v>
      </c>
      <c r="B452" s="9">
        <v>0.42083333333333334</v>
      </c>
      <c r="C452" s="5" t="s">
        <v>20</v>
      </c>
      <c r="D452" s="5">
        <f t="shared" si="76"/>
        <v>10</v>
      </c>
      <c r="E452" s="15"/>
      <c r="F452" s="15" t="s">
        <v>31</v>
      </c>
      <c r="G452" s="19">
        <f t="shared" si="79"/>
        <v>4</v>
      </c>
      <c r="H452" s="19">
        <f t="shared" si="80"/>
        <v>3.94</v>
      </c>
      <c r="I452" s="19">
        <f t="shared" si="81"/>
        <v>3.34</v>
      </c>
      <c r="J452" s="19">
        <f t="shared" si="82"/>
        <v>4.3</v>
      </c>
      <c r="K452" s="19">
        <f t="shared" si="83"/>
        <v>0</v>
      </c>
      <c r="L452" s="19">
        <f t="shared" si="84"/>
        <v>0</v>
      </c>
      <c r="M452" s="19">
        <f t="shared" si="85"/>
        <v>0</v>
      </c>
      <c r="N452" s="39">
        <f t="shared" si="86"/>
        <v>15.579999999999998</v>
      </c>
      <c r="O452" s="39">
        <f t="shared" si="77"/>
        <v>18.363177223317656</v>
      </c>
      <c r="P452" s="40">
        <v>8</v>
      </c>
      <c r="Q452" s="40">
        <v>10</v>
      </c>
      <c r="R452" s="40">
        <v>9</v>
      </c>
      <c r="S452" s="40">
        <v>9</v>
      </c>
      <c r="T452" s="40">
        <v>9</v>
      </c>
      <c r="U452" s="40">
        <v>9</v>
      </c>
      <c r="V452" s="40">
        <v>9</v>
      </c>
      <c r="W452" s="41" t="str">
        <f t="shared" si="87"/>
        <v>N</v>
      </c>
      <c r="X452" s="56">
        <f t="shared" si="88"/>
        <v>0</v>
      </c>
      <c r="Y452" s="56" t="str">
        <f t="shared" si="78"/>
        <v>0-4.9%</v>
      </c>
      <c r="Z452" s="8" t="s">
        <v>118</v>
      </c>
      <c r="AB452" s="38">
        <v>4000</v>
      </c>
      <c r="AC452" s="38">
        <v>3940</v>
      </c>
      <c r="AD452" s="38">
        <v>3340</v>
      </c>
      <c r="AE452" s="38">
        <v>4300</v>
      </c>
      <c r="AF452" s="38"/>
      <c r="AG452" s="38"/>
      <c r="AH452" s="38"/>
    </row>
    <row r="453" spans="1:34" ht="24" customHeight="1" x14ac:dyDescent="0.25">
      <c r="A453" s="10">
        <v>93</v>
      </c>
      <c r="B453" s="9">
        <v>0.43402777777777773</v>
      </c>
      <c r="C453" s="5" t="s">
        <v>20</v>
      </c>
      <c r="D453" s="5">
        <f t="shared" si="76"/>
        <v>10</v>
      </c>
      <c r="E453" s="15"/>
      <c r="F453" s="15" t="s">
        <v>26</v>
      </c>
      <c r="G453" s="19">
        <f t="shared" si="79"/>
        <v>5.86</v>
      </c>
      <c r="H453" s="19">
        <f t="shared" si="80"/>
        <v>12.7</v>
      </c>
      <c r="I453" s="19">
        <f t="shared" si="81"/>
        <v>13.9</v>
      </c>
      <c r="J453" s="19">
        <f t="shared" si="82"/>
        <v>16.72</v>
      </c>
      <c r="K453" s="19">
        <f t="shared" si="83"/>
        <v>9.92</v>
      </c>
      <c r="L453" s="19">
        <f t="shared" si="84"/>
        <v>10.06</v>
      </c>
      <c r="M453" s="19">
        <f t="shared" si="85"/>
        <v>0</v>
      </c>
      <c r="N453" s="39">
        <f t="shared" si="86"/>
        <v>69.16</v>
      </c>
      <c r="O453" s="39">
        <f t="shared" si="77"/>
        <v>15022.482830310075</v>
      </c>
      <c r="P453" s="40">
        <v>8</v>
      </c>
      <c r="Q453" s="40">
        <v>10</v>
      </c>
      <c r="R453" s="40">
        <v>9</v>
      </c>
      <c r="S453" s="40">
        <v>9</v>
      </c>
      <c r="T453" s="40">
        <v>9</v>
      </c>
      <c r="U453" s="40">
        <v>9</v>
      </c>
      <c r="V453" s="40">
        <v>9</v>
      </c>
      <c r="W453" s="41" t="str">
        <f t="shared" si="87"/>
        <v>Y</v>
      </c>
      <c r="X453" s="56">
        <f t="shared" si="88"/>
        <v>0.77199999999999991</v>
      </c>
      <c r="Y453" s="56" t="str">
        <f t="shared" si="78"/>
        <v>Over 50%</v>
      </c>
      <c r="Z453" s="8" t="s">
        <v>145</v>
      </c>
      <c r="AB453" s="38">
        <v>5860</v>
      </c>
      <c r="AC453" s="38">
        <v>12700</v>
      </c>
      <c r="AD453" s="38">
        <v>13900</v>
      </c>
      <c r="AE453" s="38">
        <v>16720</v>
      </c>
      <c r="AF453" s="38">
        <v>9920</v>
      </c>
      <c r="AG453" s="38">
        <v>10060</v>
      </c>
      <c r="AH453" s="38"/>
    </row>
    <row r="454" spans="1:34" ht="24" customHeight="1" x14ac:dyDescent="0.25">
      <c r="A454" s="10">
        <v>94</v>
      </c>
      <c r="B454" s="9">
        <v>0.43472222222222223</v>
      </c>
      <c r="C454" s="5" t="s">
        <v>20</v>
      </c>
      <c r="D454" s="5">
        <f t="shared" si="76"/>
        <v>10</v>
      </c>
      <c r="E454" s="15"/>
      <c r="F454" s="15" t="s">
        <v>26</v>
      </c>
      <c r="G454" s="19">
        <f t="shared" si="79"/>
        <v>8.4</v>
      </c>
      <c r="H454" s="19">
        <f t="shared" si="80"/>
        <v>11.3</v>
      </c>
      <c r="I454" s="19">
        <f t="shared" si="81"/>
        <v>14.96</v>
      </c>
      <c r="J454" s="19">
        <f t="shared" si="82"/>
        <v>14.52</v>
      </c>
      <c r="K454" s="19">
        <f t="shared" si="83"/>
        <v>8.4600000000000009</v>
      </c>
      <c r="L454" s="19">
        <f t="shared" si="84"/>
        <v>8.74</v>
      </c>
      <c r="M454" s="19">
        <f t="shared" si="85"/>
        <v>0</v>
      </c>
      <c r="N454" s="39">
        <f t="shared" si="86"/>
        <v>66.38000000000001</v>
      </c>
      <c r="O454" s="39">
        <f t="shared" si="77"/>
        <v>12489.984572380721</v>
      </c>
      <c r="P454" s="40">
        <v>8</v>
      </c>
      <c r="Q454" s="40">
        <v>10</v>
      </c>
      <c r="R454" s="40">
        <v>9</v>
      </c>
      <c r="S454" s="40">
        <v>9</v>
      </c>
      <c r="T454" s="40">
        <v>9</v>
      </c>
      <c r="U454" s="40">
        <v>9</v>
      </c>
      <c r="V454" s="40">
        <v>9</v>
      </c>
      <c r="W454" s="41" t="str">
        <f t="shared" si="87"/>
        <v>Y</v>
      </c>
      <c r="X454" s="56">
        <f t="shared" si="88"/>
        <v>0.59600000000000009</v>
      </c>
      <c r="Y454" s="56" t="str">
        <f t="shared" si="78"/>
        <v>Over 50%</v>
      </c>
      <c r="Z454" s="8" t="s">
        <v>145</v>
      </c>
      <c r="AB454" s="38">
        <v>8400</v>
      </c>
      <c r="AC454" s="38">
        <v>11300</v>
      </c>
      <c r="AD454" s="38">
        <v>14960</v>
      </c>
      <c r="AE454" s="38">
        <v>14520</v>
      </c>
      <c r="AF454" s="38">
        <v>8460</v>
      </c>
      <c r="AG454" s="38">
        <v>8740</v>
      </c>
      <c r="AH454" s="38"/>
    </row>
    <row r="455" spans="1:34" ht="24" customHeight="1" x14ac:dyDescent="0.25">
      <c r="A455" s="10">
        <v>95</v>
      </c>
      <c r="B455" s="9">
        <v>0.43541666666666662</v>
      </c>
      <c r="C455" s="5" t="s">
        <v>20</v>
      </c>
      <c r="D455" s="5">
        <f t="shared" ref="D455:D466" si="89">IF(COUNT(G455:M455)&gt;3,10,IF(COUNT(G455:M455)&gt;2,9,7))</f>
        <v>10</v>
      </c>
      <c r="E455" s="15"/>
      <c r="F455" s="15" t="s">
        <v>27</v>
      </c>
      <c r="G455" s="19">
        <f t="shared" si="79"/>
        <v>11.26</v>
      </c>
      <c r="H455" s="19">
        <f t="shared" si="80"/>
        <v>5.04</v>
      </c>
      <c r="I455" s="19">
        <f t="shared" si="81"/>
        <v>22.62</v>
      </c>
      <c r="J455" s="19">
        <f t="shared" si="82"/>
        <v>19.36</v>
      </c>
      <c r="K455" s="19">
        <f t="shared" si="83"/>
        <v>12.84</v>
      </c>
      <c r="L455" s="19">
        <f t="shared" si="84"/>
        <v>11.3</v>
      </c>
      <c r="M455" s="19">
        <f t="shared" si="85"/>
        <v>0</v>
      </c>
      <c r="N455" s="39">
        <f t="shared" si="86"/>
        <v>82.42</v>
      </c>
      <c r="O455" s="39">
        <f t="shared" ref="O455:O466" si="90">(N455/8.16)^4.5</f>
        <v>33078.136228325784</v>
      </c>
      <c r="P455" s="40">
        <v>8</v>
      </c>
      <c r="Q455" s="40">
        <v>10</v>
      </c>
      <c r="R455" s="40">
        <v>9</v>
      </c>
      <c r="S455" s="40">
        <v>9</v>
      </c>
      <c r="T455" s="40">
        <v>9</v>
      </c>
      <c r="U455" s="40">
        <v>9</v>
      </c>
      <c r="V455" s="40">
        <v>9</v>
      </c>
      <c r="W455" s="41" t="str">
        <f t="shared" si="87"/>
        <v>Y</v>
      </c>
      <c r="X455" s="56">
        <f t="shared" si="88"/>
        <v>1.3620000000000001</v>
      </c>
      <c r="Y455" s="56" t="str">
        <f t="shared" ref="Y455:Y466" si="91">IF(X455&lt;5%,"0-4.9%",IF(X455&lt;25%,"5-25%",IF(X455&lt;50%,"25-50%","Over 50%")))</f>
        <v>Over 50%</v>
      </c>
      <c r="Z455" s="8" t="s">
        <v>145</v>
      </c>
      <c r="AB455" s="38">
        <v>11260</v>
      </c>
      <c r="AC455" s="38">
        <v>5040</v>
      </c>
      <c r="AD455" s="38">
        <v>22620</v>
      </c>
      <c r="AE455" s="38">
        <v>19360</v>
      </c>
      <c r="AF455" s="38">
        <v>12840</v>
      </c>
      <c r="AG455" s="38">
        <v>11300</v>
      </c>
      <c r="AH455" s="38"/>
    </row>
    <row r="456" spans="1:34" ht="24" customHeight="1" x14ac:dyDescent="0.25">
      <c r="A456" s="10">
        <v>101</v>
      </c>
      <c r="B456" s="9">
        <v>0.44930555555555557</v>
      </c>
      <c r="C456" s="5" t="s">
        <v>20</v>
      </c>
      <c r="D456" s="5">
        <f t="shared" si="89"/>
        <v>10</v>
      </c>
      <c r="E456" s="15"/>
      <c r="F456" s="15" t="s">
        <v>26</v>
      </c>
      <c r="G456" s="19">
        <f t="shared" ref="G456:G466" si="92">AB456/1000</f>
        <v>7.52</v>
      </c>
      <c r="H456" s="19">
        <f t="shared" ref="H456:H466" si="93">AC456/1000</f>
        <v>13.04</v>
      </c>
      <c r="I456" s="19">
        <f t="shared" ref="I456:I466" si="94">AD456/1000</f>
        <v>14.34</v>
      </c>
      <c r="J456" s="19">
        <f t="shared" ref="J456:J466" si="95">AE456/1000</f>
        <v>14.92</v>
      </c>
      <c r="K456" s="19">
        <f t="shared" ref="K456:K466" si="96">AF456/1000</f>
        <v>12.8</v>
      </c>
      <c r="L456" s="19">
        <f t="shared" ref="L456:L466" si="97">AG456/1000</f>
        <v>14.06</v>
      </c>
      <c r="M456" s="19">
        <f t="shared" ref="M456:M466" si="98">AH456/1000</f>
        <v>0</v>
      </c>
      <c r="N456" s="39">
        <f t="shared" ref="N456:N466" si="99">SUM(G456:M456)</f>
        <v>76.680000000000007</v>
      </c>
      <c r="O456" s="39">
        <f t="shared" si="90"/>
        <v>23903.624315111909</v>
      </c>
      <c r="P456" s="40">
        <v>8</v>
      </c>
      <c r="Q456" s="40">
        <v>10</v>
      </c>
      <c r="R456" s="40">
        <v>9</v>
      </c>
      <c r="S456" s="40">
        <v>9</v>
      </c>
      <c r="T456" s="40">
        <v>9</v>
      </c>
      <c r="U456" s="40">
        <v>9</v>
      </c>
      <c r="V456" s="40">
        <v>9</v>
      </c>
      <c r="W456" s="41" t="str">
        <f t="shared" ref="W456:W466" si="100">IF(G456&gt;P456,"Y",IF(H456&gt;Q456,"Y",IF(I456&gt;R456,"Y",IF(J456&gt;S456,"Y",IF(K456&gt;T456,"Y",IF(L456&gt;U456,"Y",IF(M456&gt;V456,"Y","N")))))))</f>
        <v>Y</v>
      </c>
      <c r="X456" s="56">
        <f t="shared" ref="X456:X466" si="101">IF(W456="Y",MAX((G456-P456),(H456-Q456),(I456-R456),(J456-S456),(K456-T456),(L456-U456),(M456-V456))/10,0)</f>
        <v>0.59199999999999997</v>
      </c>
      <c r="Y456" s="56" t="str">
        <f t="shared" si="91"/>
        <v>Over 50%</v>
      </c>
      <c r="Z456" s="8" t="s">
        <v>35</v>
      </c>
      <c r="AB456" s="38">
        <v>7520</v>
      </c>
      <c r="AC456" s="38">
        <v>13040</v>
      </c>
      <c r="AD456" s="38">
        <v>14340</v>
      </c>
      <c r="AE456" s="38">
        <v>14920</v>
      </c>
      <c r="AF456" s="38">
        <v>12800</v>
      </c>
      <c r="AG456" s="38">
        <v>14060</v>
      </c>
      <c r="AH456" s="38"/>
    </row>
    <row r="457" spans="1:34" ht="24" customHeight="1" x14ac:dyDescent="0.25">
      <c r="A457" s="10">
        <v>116</v>
      </c>
      <c r="B457" s="9">
        <v>0.47569444444444442</v>
      </c>
      <c r="C457" s="5" t="s">
        <v>20</v>
      </c>
      <c r="D457" s="5">
        <f t="shared" si="89"/>
        <v>10</v>
      </c>
      <c r="E457" s="15"/>
      <c r="F457" s="15" t="s">
        <v>31</v>
      </c>
      <c r="G457" s="19">
        <f t="shared" si="92"/>
        <v>4.04</v>
      </c>
      <c r="H457" s="19">
        <f t="shared" si="93"/>
        <v>6.72</v>
      </c>
      <c r="I457" s="19">
        <f t="shared" si="94"/>
        <v>5.88</v>
      </c>
      <c r="J457" s="19">
        <f t="shared" si="95"/>
        <v>3.6</v>
      </c>
      <c r="K457" s="19">
        <f t="shared" si="96"/>
        <v>0</v>
      </c>
      <c r="L457" s="19">
        <f t="shared" si="97"/>
        <v>0</v>
      </c>
      <c r="M457" s="19">
        <f t="shared" si="98"/>
        <v>0</v>
      </c>
      <c r="N457" s="39">
        <f t="shared" si="99"/>
        <v>20.240000000000002</v>
      </c>
      <c r="O457" s="39">
        <f t="shared" si="90"/>
        <v>59.613081574653862</v>
      </c>
      <c r="P457" s="40">
        <v>8</v>
      </c>
      <c r="Q457" s="40">
        <v>10</v>
      </c>
      <c r="R457" s="40">
        <v>9</v>
      </c>
      <c r="S457" s="40">
        <v>9</v>
      </c>
      <c r="T457" s="40">
        <v>9</v>
      </c>
      <c r="U457" s="40">
        <v>9</v>
      </c>
      <c r="V457" s="40">
        <v>9</v>
      </c>
      <c r="W457" s="41" t="str">
        <f t="shared" si="100"/>
        <v>N</v>
      </c>
      <c r="X457" s="56">
        <f t="shared" si="101"/>
        <v>0</v>
      </c>
      <c r="Y457" s="56" t="str">
        <f t="shared" si="91"/>
        <v>0-4.9%</v>
      </c>
      <c r="Z457" s="8" t="s">
        <v>118</v>
      </c>
      <c r="AB457" s="38">
        <v>4040</v>
      </c>
      <c r="AC457" s="38">
        <v>6720</v>
      </c>
      <c r="AD457" s="38">
        <v>5880</v>
      </c>
      <c r="AE457" s="38">
        <v>3600</v>
      </c>
      <c r="AF457" s="38"/>
      <c r="AG457" s="38"/>
      <c r="AH457" s="38"/>
    </row>
    <row r="458" spans="1:34" ht="24" customHeight="1" x14ac:dyDescent="0.25">
      <c r="A458" s="10">
        <v>117</v>
      </c>
      <c r="B458" s="9">
        <v>0.4770833333333333</v>
      </c>
      <c r="C458" s="5" t="s">
        <v>20</v>
      </c>
      <c r="D458" s="5">
        <f t="shared" si="89"/>
        <v>10</v>
      </c>
      <c r="E458" s="15"/>
      <c r="F458" s="15" t="s">
        <v>26</v>
      </c>
      <c r="G458" s="19">
        <f t="shared" si="92"/>
        <v>5.28</v>
      </c>
      <c r="H458" s="19">
        <f t="shared" si="93"/>
        <v>14.36</v>
      </c>
      <c r="I458" s="19">
        <f t="shared" si="94"/>
        <v>13.38</v>
      </c>
      <c r="J458" s="19">
        <f t="shared" si="95"/>
        <v>12.62</v>
      </c>
      <c r="K458" s="19">
        <f t="shared" si="96"/>
        <v>13.06</v>
      </c>
      <c r="L458" s="19">
        <f t="shared" si="97"/>
        <v>13.04</v>
      </c>
      <c r="M458" s="19">
        <f t="shared" si="98"/>
        <v>0</v>
      </c>
      <c r="N458" s="39">
        <f t="shared" si="99"/>
        <v>71.740000000000009</v>
      </c>
      <c r="O458" s="39">
        <f t="shared" si="90"/>
        <v>17714.155843267617</v>
      </c>
      <c r="P458" s="40">
        <v>8</v>
      </c>
      <c r="Q458" s="40">
        <v>10</v>
      </c>
      <c r="R458" s="40">
        <v>9</v>
      </c>
      <c r="S458" s="40">
        <v>9</v>
      </c>
      <c r="T458" s="40">
        <v>9</v>
      </c>
      <c r="U458" s="40">
        <v>9</v>
      </c>
      <c r="V458" s="40">
        <v>9</v>
      </c>
      <c r="W458" s="41" t="str">
        <f t="shared" si="100"/>
        <v>Y</v>
      </c>
      <c r="X458" s="56">
        <f t="shared" si="101"/>
        <v>0.43800000000000006</v>
      </c>
      <c r="Y458" s="56" t="str">
        <f t="shared" si="91"/>
        <v>25-50%</v>
      </c>
      <c r="Z458" s="8" t="s">
        <v>111</v>
      </c>
      <c r="AB458" s="38">
        <v>5280</v>
      </c>
      <c r="AC458" s="38">
        <v>14360</v>
      </c>
      <c r="AD458" s="38">
        <v>13380</v>
      </c>
      <c r="AE458" s="38">
        <v>12620</v>
      </c>
      <c r="AF458" s="38">
        <v>13060</v>
      </c>
      <c r="AG458" s="38">
        <v>13040</v>
      </c>
      <c r="AH458" s="38"/>
    </row>
    <row r="459" spans="1:34" ht="24" customHeight="1" x14ac:dyDescent="0.25">
      <c r="A459" s="10">
        <v>118</v>
      </c>
      <c r="B459" s="9">
        <v>0.4777777777777778</v>
      </c>
      <c r="C459" s="5" t="s">
        <v>20</v>
      </c>
      <c r="D459" s="5">
        <f t="shared" si="89"/>
        <v>10</v>
      </c>
      <c r="E459" s="15"/>
      <c r="F459" s="15" t="s">
        <v>27</v>
      </c>
      <c r="G459" s="19">
        <f t="shared" si="92"/>
        <v>6.2</v>
      </c>
      <c r="H459" s="19">
        <f t="shared" si="93"/>
        <v>7.5</v>
      </c>
      <c r="I459" s="19">
        <f t="shared" si="94"/>
        <v>15.78</v>
      </c>
      <c r="J459" s="19">
        <f t="shared" si="95"/>
        <v>14.24</v>
      </c>
      <c r="K459" s="19">
        <f t="shared" si="96"/>
        <v>11.72</v>
      </c>
      <c r="L459" s="19">
        <f t="shared" si="97"/>
        <v>13.26</v>
      </c>
      <c r="M459" s="19">
        <f t="shared" si="98"/>
        <v>0</v>
      </c>
      <c r="N459" s="39">
        <f t="shared" si="99"/>
        <v>68.7</v>
      </c>
      <c r="O459" s="39">
        <f t="shared" si="90"/>
        <v>14578.055603413603</v>
      </c>
      <c r="P459" s="40">
        <v>8</v>
      </c>
      <c r="Q459" s="40">
        <v>10</v>
      </c>
      <c r="R459" s="40">
        <v>9</v>
      </c>
      <c r="S459" s="40">
        <v>9</v>
      </c>
      <c r="T459" s="40">
        <v>9</v>
      </c>
      <c r="U459" s="40">
        <v>9</v>
      </c>
      <c r="V459" s="40">
        <v>9</v>
      </c>
      <c r="W459" s="41" t="str">
        <f t="shared" si="100"/>
        <v>Y</v>
      </c>
      <c r="X459" s="56">
        <f t="shared" si="101"/>
        <v>0.67799999999999994</v>
      </c>
      <c r="Y459" s="56" t="str">
        <f t="shared" si="91"/>
        <v>Over 50%</v>
      </c>
      <c r="Z459" s="8" t="s">
        <v>111</v>
      </c>
      <c r="AB459" s="38">
        <v>6200</v>
      </c>
      <c r="AC459" s="38">
        <v>7500</v>
      </c>
      <c r="AD459" s="38">
        <v>15780</v>
      </c>
      <c r="AE459" s="38">
        <v>14240</v>
      </c>
      <c r="AF459" s="38">
        <v>11720</v>
      </c>
      <c r="AG459" s="38">
        <v>13260</v>
      </c>
      <c r="AH459" s="38"/>
    </row>
    <row r="460" spans="1:34" ht="24" customHeight="1" x14ac:dyDescent="0.25">
      <c r="A460" s="10">
        <v>124</v>
      </c>
      <c r="B460" s="9">
        <v>0.48541666666666666</v>
      </c>
      <c r="C460" s="5" t="s">
        <v>20</v>
      </c>
      <c r="D460" s="5">
        <f t="shared" si="89"/>
        <v>10</v>
      </c>
      <c r="E460" s="15"/>
      <c r="F460" s="15" t="s">
        <v>26</v>
      </c>
      <c r="G460" s="19">
        <f t="shared" si="92"/>
        <v>6.68</v>
      </c>
      <c r="H460" s="19">
        <f t="shared" si="93"/>
        <v>7.16</v>
      </c>
      <c r="I460" s="19">
        <f t="shared" si="94"/>
        <v>6.94</v>
      </c>
      <c r="J460" s="19">
        <f t="shared" si="95"/>
        <v>6.82</v>
      </c>
      <c r="K460" s="19">
        <f t="shared" si="96"/>
        <v>6.68</v>
      </c>
      <c r="L460" s="19">
        <f t="shared" si="97"/>
        <v>11.18</v>
      </c>
      <c r="M460" s="19">
        <f t="shared" si="98"/>
        <v>0</v>
      </c>
      <c r="N460" s="39">
        <f t="shared" si="99"/>
        <v>45.46</v>
      </c>
      <c r="O460" s="39">
        <f t="shared" si="90"/>
        <v>2273.6663109085903</v>
      </c>
      <c r="P460" s="40">
        <v>8</v>
      </c>
      <c r="Q460" s="40">
        <v>10</v>
      </c>
      <c r="R460" s="40">
        <v>9</v>
      </c>
      <c r="S460" s="40">
        <v>9</v>
      </c>
      <c r="T460" s="40">
        <v>9</v>
      </c>
      <c r="U460" s="40">
        <v>9</v>
      </c>
      <c r="V460" s="40">
        <v>9</v>
      </c>
      <c r="W460" s="41" t="str">
        <f t="shared" si="100"/>
        <v>Y</v>
      </c>
      <c r="X460" s="56">
        <f t="shared" si="101"/>
        <v>0.21799999999999997</v>
      </c>
      <c r="Y460" s="56" t="str">
        <f t="shared" si="91"/>
        <v>5-25%</v>
      </c>
      <c r="Z460" s="8" t="s">
        <v>145</v>
      </c>
      <c r="AB460" s="38">
        <v>6680</v>
      </c>
      <c r="AC460" s="38">
        <v>7160</v>
      </c>
      <c r="AD460" s="38">
        <v>6940</v>
      </c>
      <c r="AE460" s="38">
        <v>6820</v>
      </c>
      <c r="AF460" s="38">
        <v>6680</v>
      </c>
      <c r="AG460" s="38">
        <v>11180</v>
      </c>
      <c r="AH460" s="38"/>
    </row>
    <row r="461" spans="1:34" ht="24" customHeight="1" x14ac:dyDescent="0.25">
      <c r="A461" s="10">
        <v>132</v>
      </c>
      <c r="B461" s="9">
        <v>0.49513888888888885</v>
      </c>
      <c r="C461" s="5" t="s">
        <v>20</v>
      </c>
      <c r="D461" s="5">
        <f t="shared" si="89"/>
        <v>10</v>
      </c>
      <c r="E461" s="15"/>
      <c r="F461" s="15" t="s">
        <v>31</v>
      </c>
      <c r="G461" s="19">
        <f t="shared" si="92"/>
        <v>5.24</v>
      </c>
      <c r="H461" s="19">
        <f t="shared" si="93"/>
        <v>4.04</v>
      </c>
      <c r="I461" s="19">
        <f t="shared" si="94"/>
        <v>3.56</v>
      </c>
      <c r="J461" s="19">
        <f t="shared" si="95"/>
        <v>2.56</v>
      </c>
      <c r="K461" s="19">
        <f t="shared" si="96"/>
        <v>0</v>
      </c>
      <c r="L461" s="19">
        <f t="shared" si="97"/>
        <v>0</v>
      </c>
      <c r="M461" s="19">
        <f t="shared" si="98"/>
        <v>0</v>
      </c>
      <c r="N461" s="39">
        <f t="shared" si="99"/>
        <v>15.400000000000002</v>
      </c>
      <c r="O461" s="39">
        <f t="shared" si="90"/>
        <v>17.427597831595993</v>
      </c>
      <c r="P461" s="40">
        <v>8</v>
      </c>
      <c r="Q461" s="40">
        <v>10</v>
      </c>
      <c r="R461" s="40">
        <v>9</v>
      </c>
      <c r="S461" s="40">
        <v>9</v>
      </c>
      <c r="T461" s="40">
        <v>9</v>
      </c>
      <c r="U461" s="40">
        <v>9</v>
      </c>
      <c r="V461" s="40">
        <v>9</v>
      </c>
      <c r="W461" s="41" t="str">
        <f t="shared" si="100"/>
        <v>N</v>
      </c>
      <c r="X461" s="56">
        <f t="shared" si="101"/>
        <v>0</v>
      </c>
      <c r="Y461" s="56" t="str">
        <f t="shared" si="91"/>
        <v>0-4.9%</v>
      </c>
      <c r="Z461" s="8" t="s">
        <v>118</v>
      </c>
      <c r="AB461" s="38">
        <v>5240</v>
      </c>
      <c r="AC461" s="38">
        <v>4040</v>
      </c>
      <c r="AD461" s="38">
        <v>3560</v>
      </c>
      <c r="AE461" s="38">
        <v>2560</v>
      </c>
      <c r="AF461" s="38"/>
      <c r="AG461" s="38"/>
      <c r="AH461" s="38"/>
    </row>
    <row r="462" spans="1:34" ht="24" customHeight="1" x14ac:dyDescent="0.25">
      <c r="A462" s="10">
        <v>135</v>
      </c>
      <c r="B462" s="9"/>
      <c r="C462" s="5" t="s">
        <v>20</v>
      </c>
      <c r="D462" s="5">
        <f t="shared" si="89"/>
        <v>10</v>
      </c>
      <c r="E462" s="15"/>
      <c r="F462" s="15" t="s">
        <v>26</v>
      </c>
      <c r="G462" s="19">
        <f t="shared" si="92"/>
        <v>6.66</v>
      </c>
      <c r="H462" s="19">
        <f t="shared" si="93"/>
        <v>12.32</v>
      </c>
      <c r="I462" s="19">
        <f t="shared" si="94"/>
        <v>11.3</v>
      </c>
      <c r="J462" s="19">
        <f t="shared" si="95"/>
        <v>17.2</v>
      </c>
      <c r="K462" s="19">
        <f t="shared" si="96"/>
        <v>13.72</v>
      </c>
      <c r="L462" s="19">
        <f t="shared" si="97"/>
        <v>14.86</v>
      </c>
      <c r="M462" s="19">
        <f t="shared" si="98"/>
        <v>0</v>
      </c>
      <c r="N462" s="39">
        <f t="shared" si="99"/>
        <v>76.06</v>
      </c>
      <c r="O462" s="39">
        <f t="shared" si="90"/>
        <v>23046.115305982639</v>
      </c>
      <c r="P462" s="40">
        <v>8</v>
      </c>
      <c r="Q462" s="40">
        <v>10</v>
      </c>
      <c r="R462" s="40">
        <v>9</v>
      </c>
      <c r="S462" s="40">
        <v>9</v>
      </c>
      <c r="T462" s="40">
        <v>9</v>
      </c>
      <c r="U462" s="40">
        <v>9</v>
      </c>
      <c r="V462" s="40">
        <v>9</v>
      </c>
      <c r="W462" s="41" t="str">
        <f t="shared" si="100"/>
        <v>Y</v>
      </c>
      <c r="X462" s="56">
        <f t="shared" si="101"/>
        <v>0.82</v>
      </c>
      <c r="Y462" s="56" t="str">
        <f t="shared" si="91"/>
        <v>Over 50%</v>
      </c>
      <c r="Z462" s="8" t="s">
        <v>145</v>
      </c>
      <c r="AB462" s="38">
        <v>6660</v>
      </c>
      <c r="AC462" s="38">
        <v>12320</v>
      </c>
      <c r="AD462" s="38">
        <v>11300</v>
      </c>
      <c r="AE462" s="38">
        <v>17200</v>
      </c>
      <c r="AF462" s="38">
        <v>13720</v>
      </c>
      <c r="AG462" s="38">
        <v>14860</v>
      </c>
      <c r="AH462" s="38"/>
    </row>
    <row r="463" spans="1:34" ht="24" customHeight="1" x14ac:dyDescent="0.25">
      <c r="A463" s="10">
        <v>136</v>
      </c>
      <c r="B463" s="9">
        <v>0.49861111111111112</v>
      </c>
      <c r="C463" s="5" t="s">
        <v>20</v>
      </c>
      <c r="D463" s="5">
        <f t="shared" si="89"/>
        <v>10</v>
      </c>
      <c r="E463" s="15"/>
      <c r="F463" s="15" t="s">
        <v>48</v>
      </c>
      <c r="G463" s="19">
        <f t="shared" si="92"/>
        <v>8.1</v>
      </c>
      <c r="H463" s="19">
        <f t="shared" si="93"/>
        <v>15.82</v>
      </c>
      <c r="I463" s="19">
        <f t="shared" si="94"/>
        <v>11</v>
      </c>
      <c r="J463" s="19">
        <f t="shared" si="95"/>
        <v>14.42</v>
      </c>
      <c r="K463" s="19">
        <f t="shared" si="96"/>
        <v>11.12</v>
      </c>
      <c r="L463" s="19">
        <f t="shared" si="97"/>
        <v>11.98</v>
      </c>
      <c r="M463" s="19">
        <f t="shared" si="98"/>
        <v>0</v>
      </c>
      <c r="N463" s="39">
        <f t="shared" si="99"/>
        <v>72.44</v>
      </c>
      <c r="O463" s="39">
        <f t="shared" si="90"/>
        <v>18505.348699590533</v>
      </c>
      <c r="P463" s="40">
        <v>8</v>
      </c>
      <c r="Q463" s="40">
        <v>10</v>
      </c>
      <c r="R463" s="40">
        <v>9</v>
      </c>
      <c r="S463" s="40">
        <v>9</v>
      </c>
      <c r="T463" s="40">
        <v>9</v>
      </c>
      <c r="U463" s="40">
        <v>9</v>
      </c>
      <c r="V463" s="40">
        <v>9</v>
      </c>
      <c r="W463" s="41" t="str">
        <f t="shared" si="100"/>
        <v>Y</v>
      </c>
      <c r="X463" s="56">
        <f t="shared" si="101"/>
        <v>0.58200000000000007</v>
      </c>
      <c r="Y463" s="56" t="str">
        <f t="shared" si="91"/>
        <v>Over 50%</v>
      </c>
      <c r="Z463" s="8" t="s">
        <v>111</v>
      </c>
      <c r="AB463" s="38">
        <v>8100</v>
      </c>
      <c r="AC463" s="38">
        <v>15820</v>
      </c>
      <c r="AD463" s="38">
        <v>11000</v>
      </c>
      <c r="AE463" s="38">
        <v>14420</v>
      </c>
      <c r="AF463" s="38">
        <v>11120</v>
      </c>
      <c r="AG463" s="38">
        <v>11980</v>
      </c>
      <c r="AH463" s="38"/>
    </row>
    <row r="464" spans="1:34" ht="24" customHeight="1" x14ac:dyDescent="0.25">
      <c r="A464" s="10">
        <v>145</v>
      </c>
      <c r="B464" s="9">
        <v>0.51597222222222217</v>
      </c>
      <c r="C464" s="5" t="s">
        <v>20</v>
      </c>
      <c r="D464" s="5">
        <f t="shared" si="89"/>
        <v>10</v>
      </c>
      <c r="E464" s="15"/>
      <c r="F464" s="15" t="s">
        <v>49</v>
      </c>
      <c r="G464" s="19">
        <f t="shared" si="92"/>
        <v>8.82</v>
      </c>
      <c r="H464" s="19">
        <f t="shared" si="93"/>
        <v>10.48</v>
      </c>
      <c r="I464" s="19">
        <f t="shared" si="94"/>
        <v>10.14</v>
      </c>
      <c r="J464" s="19">
        <f t="shared" si="95"/>
        <v>11.9</v>
      </c>
      <c r="K464" s="19">
        <f t="shared" si="96"/>
        <v>11.18</v>
      </c>
      <c r="L464" s="19">
        <f t="shared" si="97"/>
        <v>10.119999999999999</v>
      </c>
      <c r="M464" s="19">
        <f t="shared" si="98"/>
        <v>0</v>
      </c>
      <c r="N464" s="39">
        <f t="shared" si="99"/>
        <v>62.64</v>
      </c>
      <c r="O464" s="39">
        <f t="shared" si="90"/>
        <v>9621.1537815432257</v>
      </c>
      <c r="P464" s="40">
        <v>8</v>
      </c>
      <c r="Q464" s="40">
        <v>10</v>
      </c>
      <c r="R464" s="40">
        <v>9</v>
      </c>
      <c r="S464" s="40">
        <v>9</v>
      </c>
      <c r="T464" s="40">
        <v>9</v>
      </c>
      <c r="U464" s="40">
        <v>9</v>
      </c>
      <c r="V464" s="40">
        <v>9</v>
      </c>
      <c r="W464" s="41" t="str">
        <f t="shared" si="100"/>
        <v>Y</v>
      </c>
      <c r="X464" s="56">
        <f t="shared" si="101"/>
        <v>0.29000000000000004</v>
      </c>
      <c r="Y464" s="56" t="str">
        <f t="shared" si="91"/>
        <v>25-50%</v>
      </c>
      <c r="Z464" s="8" t="s">
        <v>145</v>
      </c>
      <c r="AB464" s="38">
        <v>8820</v>
      </c>
      <c r="AC464" s="38">
        <v>10480</v>
      </c>
      <c r="AD464" s="38">
        <v>10140</v>
      </c>
      <c r="AE464" s="38">
        <v>11900</v>
      </c>
      <c r="AF464" s="38">
        <v>11180</v>
      </c>
      <c r="AG464" s="38">
        <v>10120</v>
      </c>
      <c r="AH464" s="38"/>
    </row>
    <row r="465" spans="1:34" ht="24" customHeight="1" x14ac:dyDescent="0.25">
      <c r="A465" s="10">
        <v>146</v>
      </c>
      <c r="B465" s="9">
        <v>0.51736111111111105</v>
      </c>
      <c r="C465" s="5" t="s">
        <v>21</v>
      </c>
      <c r="D465" s="5">
        <f t="shared" si="89"/>
        <v>10</v>
      </c>
      <c r="E465" s="15"/>
      <c r="F465" s="15" t="s">
        <v>26</v>
      </c>
      <c r="G465" s="19">
        <f t="shared" si="92"/>
        <v>7.08</v>
      </c>
      <c r="H465" s="19">
        <f t="shared" si="93"/>
        <v>14.3</v>
      </c>
      <c r="I465" s="19">
        <f t="shared" si="94"/>
        <v>13.22</v>
      </c>
      <c r="J465" s="19">
        <f t="shared" si="95"/>
        <v>19.260000000000002</v>
      </c>
      <c r="K465" s="19">
        <f t="shared" si="96"/>
        <v>14.32</v>
      </c>
      <c r="L465" s="19">
        <f t="shared" si="97"/>
        <v>12.84</v>
      </c>
      <c r="M465" s="19">
        <f t="shared" si="98"/>
        <v>0</v>
      </c>
      <c r="N465" s="39">
        <f t="shared" si="99"/>
        <v>81.02000000000001</v>
      </c>
      <c r="O465" s="39">
        <f t="shared" si="90"/>
        <v>30623.819788723846</v>
      </c>
      <c r="P465" s="40">
        <v>8</v>
      </c>
      <c r="Q465" s="40">
        <v>10</v>
      </c>
      <c r="R465" s="40">
        <v>9</v>
      </c>
      <c r="S465" s="40">
        <v>9</v>
      </c>
      <c r="T465" s="40">
        <v>9</v>
      </c>
      <c r="U465" s="40">
        <v>9</v>
      </c>
      <c r="V465" s="40">
        <v>9</v>
      </c>
      <c r="W465" s="41" t="str">
        <f t="shared" si="100"/>
        <v>Y</v>
      </c>
      <c r="X465" s="56">
        <f t="shared" si="101"/>
        <v>1.0260000000000002</v>
      </c>
      <c r="Y465" s="56" t="str">
        <f t="shared" si="91"/>
        <v>Over 50%</v>
      </c>
      <c r="Z465" s="8" t="s">
        <v>113</v>
      </c>
      <c r="AB465" s="38">
        <v>7080</v>
      </c>
      <c r="AC465" s="38">
        <v>14300</v>
      </c>
      <c r="AD465" s="38">
        <v>13220</v>
      </c>
      <c r="AE465" s="38">
        <v>19260</v>
      </c>
      <c r="AF465" s="38">
        <v>14320</v>
      </c>
      <c r="AG465" s="38">
        <v>12840</v>
      </c>
      <c r="AH465" s="38"/>
    </row>
    <row r="466" spans="1:34" ht="24" customHeight="1" x14ac:dyDescent="0.25">
      <c r="A466" s="10">
        <v>150</v>
      </c>
      <c r="B466" s="9">
        <v>0.52083333333333337</v>
      </c>
      <c r="C466" s="5" t="s">
        <v>21</v>
      </c>
      <c r="D466" s="5">
        <f t="shared" si="89"/>
        <v>10</v>
      </c>
      <c r="E466" s="15"/>
      <c r="F466" s="15" t="s">
        <v>26</v>
      </c>
      <c r="G466" s="19">
        <f t="shared" si="92"/>
        <v>5.16</v>
      </c>
      <c r="H466" s="19">
        <f t="shared" si="93"/>
        <v>11.16</v>
      </c>
      <c r="I466" s="19">
        <f t="shared" si="94"/>
        <v>1.86</v>
      </c>
      <c r="J466" s="19">
        <f t="shared" si="95"/>
        <v>7.72</v>
      </c>
      <c r="K466" s="19">
        <f t="shared" si="96"/>
        <v>5.52</v>
      </c>
      <c r="L466" s="19">
        <f t="shared" si="97"/>
        <v>5.28</v>
      </c>
      <c r="M466" s="19">
        <f t="shared" si="98"/>
        <v>0</v>
      </c>
      <c r="N466" s="39">
        <f t="shared" si="99"/>
        <v>36.699999999999996</v>
      </c>
      <c r="O466" s="39">
        <f t="shared" si="90"/>
        <v>867.74391070583169</v>
      </c>
      <c r="P466" s="40">
        <v>8</v>
      </c>
      <c r="Q466" s="40">
        <v>10</v>
      </c>
      <c r="R466" s="40">
        <v>9</v>
      </c>
      <c r="S466" s="40">
        <v>9</v>
      </c>
      <c r="T466" s="40">
        <v>9</v>
      </c>
      <c r="U466" s="40">
        <v>9</v>
      </c>
      <c r="V466" s="40">
        <v>9</v>
      </c>
      <c r="W466" s="41" t="str">
        <f t="shared" si="100"/>
        <v>Y</v>
      </c>
      <c r="X466" s="56">
        <f t="shared" si="101"/>
        <v>0.11600000000000002</v>
      </c>
      <c r="Y466" s="56" t="str">
        <f t="shared" si="91"/>
        <v>5-25%</v>
      </c>
      <c r="Z466" s="8" t="s">
        <v>118</v>
      </c>
      <c r="AB466" s="38">
        <v>5160</v>
      </c>
      <c r="AC466" s="38">
        <v>11160</v>
      </c>
      <c r="AD466" s="38">
        <v>1860</v>
      </c>
      <c r="AE466" s="38">
        <v>7720</v>
      </c>
      <c r="AF466" s="38">
        <v>5520</v>
      </c>
      <c r="AG466" s="38">
        <v>5280</v>
      </c>
      <c r="AH466" s="38"/>
    </row>
  </sheetData>
  <sortState xmlns:xlrd2="http://schemas.microsoft.com/office/spreadsheetml/2017/richdata2" ref="A7:AA466">
    <sortCondition ref="D7:D466"/>
  </sortState>
  <mergeCells count="18">
    <mergeCell ref="X5:X6"/>
    <mergeCell ref="Y5:Y6"/>
    <mergeCell ref="AC5:AH5"/>
    <mergeCell ref="P5:V5"/>
    <mergeCell ref="A1:Z1"/>
    <mergeCell ref="A2:O2"/>
    <mergeCell ref="A4:B4"/>
    <mergeCell ref="A5:A6"/>
    <mergeCell ref="B5:B6"/>
    <mergeCell ref="C5:C6"/>
    <mergeCell ref="D5:D6"/>
    <mergeCell ref="E5:E6"/>
    <mergeCell ref="F5:F6"/>
    <mergeCell ref="H5:M5"/>
    <mergeCell ref="N5:N6"/>
    <mergeCell ref="O5:O6"/>
    <mergeCell ref="Z5:Z6"/>
    <mergeCell ref="W5:W6"/>
  </mergeCells>
  <phoneticPr fontId="15" type="noConversion"/>
  <printOptions horizontalCentered="1"/>
  <pageMargins left="0.7" right="0.7" top="0.75" bottom="0.75" header="0.3" footer="0.3"/>
  <pageSetup paperSize="9" scale="10" orientation="landscape" horizont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H154"/>
  <sheetViews>
    <sheetView view="pageBreakPreview" zoomScale="70" zoomScaleNormal="100" zoomScaleSheetLayoutView="70" workbookViewId="0">
      <pane xSplit="1" ySplit="6" topLeftCell="L145" activePane="bottomRight" state="frozen"/>
      <selection pane="topRight" activeCell="B1" sqref="B1"/>
      <selection pane="bottomLeft" activeCell="A6" sqref="A6"/>
      <selection pane="bottomRight" activeCell="Z146" activeCellId="10" sqref="Z8 Z20 Z37 Z47 Z52 Z71:Z72 Z85 Z111 Z124 Z133 Z146"/>
    </sheetView>
  </sheetViews>
  <sheetFormatPr defaultRowHeight="15" x14ac:dyDescent="0.25"/>
  <cols>
    <col min="1" max="1" width="6.140625" customWidth="1"/>
    <col min="2" max="2" width="9.28515625" bestFit="1" customWidth="1"/>
    <col min="3" max="3" width="15.5703125" customWidth="1"/>
    <col min="4" max="4" width="15.7109375" customWidth="1"/>
    <col min="5" max="5" width="9.140625" style="16" customWidth="1"/>
    <col min="6" max="6" width="15.140625" style="16" customWidth="1"/>
    <col min="7" max="10" width="11" bestFit="1" customWidth="1"/>
    <col min="11" max="11" width="9.85546875" bestFit="1" customWidth="1"/>
    <col min="12" max="12" width="11" bestFit="1" customWidth="1"/>
    <col min="13" max="13" width="9.85546875" bestFit="1" customWidth="1"/>
    <col min="14" max="14" width="13.140625" customWidth="1"/>
    <col min="15" max="25" width="13.28515625" customWidth="1"/>
    <col min="26" max="26" width="24.7109375" customWidth="1"/>
  </cols>
  <sheetData>
    <row r="1" spans="1:34" ht="18.75" x14ac:dyDescent="0.3">
      <c r="A1" s="68" t="s">
        <v>52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spans="1:34" x14ac:dyDescent="0.25">
      <c r="A2" s="71" t="s">
        <v>0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53"/>
      <c r="Q2" s="53"/>
      <c r="R2" s="53"/>
      <c r="S2" s="53"/>
      <c r="T2" s="53"/>
      <c r="U2" s="53"/>
      <c r="V2" s="53"/>
      <c r="W2" s="34"/>
      <c r="X2" s="34"/>
      <c r="Y2" s="34"/>
    </row>
    <row r="3" spans="1:34" x14ac:dyDescent="0.25">
      <c r="A3" s="2" t="s">
        <v>1</v>
      </c>
      <c r="B3" s="2"/>
      <c r="C3" s="2"/>
      <c r="D3" s="2" t="s">
        <v>2</v>
      </c>
      <c r="E3" s="14" t="s">
        <v>57</v>
      </c>
      <c r="F3" s="14"/>
      <c r="G3" s="2"/>
      <c r="H3" s="3"/>
      <c r="I3" s="2"/>
      <c r="J3" s="2"/>
      <c r="K3" s="2"/>
      <c r="L3" s="2"/>
      <c r="M3" s="3"/>
      <c r="N3" s="4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34" ht="18.75" thickBot="1" x14ac:dyDescent="0.3">
      <c r="A4" s="80">
        <v>43697</v>
      </c>
      <c r="B4" s="80"/>
      <c r="C4" s="2"/>
      <c r="D4" s="6"/>
      <c r="E4" s="18"/>
      <c r="F4" s="14"/>
      <c r="G4" s="2"/>
      <c r="H4" s="30" t="s">
        <v>98</v>
      </c>
      <c r="I4" s="2"/>
      <c r="J4" s="2"/>
      <c r="K4" s="2"/>
      <c r="L4" s="2"/>
      <c r="M4" s="4"/>
      <c r="N4" s="4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34" s="1" customFormat="1" ht="14.45" customHeight="1" x14ac:dyDescent="0.25">
      <c r="A5" s="73" t="s">
        <v>3</v>
      </c>
      <c r="B5" s="75" t="s">
        <v>4</v>
      </c>
      <c r="C5" s="72" t="s">
        <v>5</v>
      </c>
      <c r="D5" s="72" t="s">
        <v>16</v>
      </c>
      <c r="E5" s="78" t="s">
        <v>6</v>
      </c>
      <c r="F5" s="78" t="s">
        <v>7</v>
      </c>
      <c r="G5" s="7" t="s">
        <v>17</v>
      </c>
      <c r="H5" s="72" t="s">
        <v>53</v>
      </c>
      <c r="I5" s="72"/>
      <c r="J5" s="72"/>
      <c r="K5" s="72"/>
      <c r="L5" s="72"/>
      <c r="M5" s="72"/>
      <c r="N5" s="72" t="s">
        <v>15</v>
      </c>
      <c r="O5" s="72" t="s">
        <v>18</v>
      </c>
      <c r="P5" s="81" t="s">
        <v>134</v>
      </c>
      <c r="Q5" s="82"/>
      <c r="R5" s="82"/>
      <c r="S5" s="82"/>
      <c r="T5" s="82"/>
      <c r="U5" s="82"/>
      <c r="V5" s="83"/>
      <c r="W5" s="84" t="s">
        <v>99</v>
      </c>
      <c r="X5" s="84" t="s">
        <v>100</v>
      </c>
      <c r="Y5" s="84" t="s">
        <v>135</v>
      </c>
      <c r="Z5" s="69" t="s">
        <v>19</v>
      </c>
      <c r="AB5" s="7" t="s">
        <v>17</v>
      </c>
      <c r="AC5" s="72" t="s">
        <v>53</v>
      </c>
      <c r="AD5" s="72"/>
      <c r="AE5" s="72"/>
      <c r="AF5" s="72"/>
      <c r="AG5" s="72"/>
      <c r="AH5" s="72"/>
    </row>
    <row r="6" spans="1:34" ht="13.9" customHeight="1" thickBot="1" x14ac:dyDescent="0.3">
      <c r="A6" s="74"/>
      <c r="B6" s="76"/>
      <c r="C6" s="77"/>
      <c r="D6" s="77"/>
      <c r="E6" s="79"/>
      <c r="F6" s="79"/>
      <c r="G6" s="20" t="s">
        <v>8</v>
      </c>
      <c r="H6" s="20" t="s">
        <v>9</v>
      </c>
      <c r="I6" s="20" t="s">
        <v>10</v>
      </c>
      <c r="J6" s="20" t="s">
        <v>11</v>
      </c>
      <c r="K6" s="20" t="s">
        <v>12</v>
      </c>
      <c r="L6" s="20" t="s">
        <v>13</v>
      </c>
      <c r="M6" s="20" t="s">
        <v>14</v>
      </c>
      <c r="N6" s="77"/>
      <c r="O6" s="77"/>
      <c r="P6" s="55" t="s">
        <v>8</v>
      </c>
      <c r="Q6" s="54" t="s">
        <v>9</v>
      </c>
      <c r="R6" s="55" t="s">
        <v>10</v>
      </c>
      <c r="S6" s="54" t="s">
        <v>11</v>
      </c>
      <c r="T6" s="55" t="s">
        <v>12</v>
      </c>
      <c r="U6" s="54" t="s">
        <v>13</v>
      </c>
      <c r="V6" s="55" t="s">
        <v>14</v>
      </c>
      <c r="W6" s="85"/>
      <c r="X6" s="85"/>
      <c r="Y6" s="85"/>
      <c r="Z6" s="70"/>
      <c r="AB6" s="20" t="s">
        <v>8</v>
      </c>
      <c r="AC6" s="20" t="s">
        <v>9</v>
      </c>
      <c r="AD6" s="20" t="s">
        <v>10</v>
      </c>
      <c r="AE6" s="20" t="s">
        <v>11</v>
      </c>
      <c r="AF6" s="20" t="s">
        <v>12</v>
      </c>
      <c r="AG6" s="20" t="s">
        <v>13</v>
      </c>
      <c r="AH6" s="20" t="s">
        <v>14</v>
      </c>
    </row>
    <row r="7" spans="1:34" ht="24" customHeight="1" x14ac:dyDescent="0.25">
      <c r="A7" s="5">
        <v>2</v>
      </c>
      <c r="B7" s="9">
        <v>0.36736111111111108</v>
      </c>
      <c r="C7" s="5" t="s">
        <v>20</v>
      </c>
      <c r="D7" s="5">
        <v>7</v>
      </c>
      <c r="E7" s="15"/>
      <c r="F7" s="15" t="s">
        <v>23</v>
      </c>
      <c r="G7" s="19">
        <f>AB7/1000</f>
        <v>4.08</v>
      </c>
      <c r="H7" s="19">
        <f t="shared" ref="H7:M7" si="0">AC7/1000</f>
        <v>9.6</v>
      </c>
      <c r="I7" s="19">
        <f t="shared" si="0"/>
        <v>0</v>
      </c>
      <c r="J7" s="19">
        <f t="shared" si="0"/>
        <v>0</v>
      </c>
      <c r="K7" s="19">
        <f t="shared" si="0"/>
        <v>0</v>
      </c>
      <c r="L7" s="19">
        <f t="shared" si="0"/>
        <v>0</v>
      </c>
      <c r="M7" s="19">
        <f t="shared" si="0"/>
        <v>0</v>
      </c>
      <c r="N7" s="39">
        <f>SUM(G7:M7)</f>
        <v>13.68</v>
      </c>
      <c r="O7" s="39">
        <f t="shared" ref="O7:O38" si="1">(N7/8.16)^4.5</f>
        <v>10.227788150180388</v>
      </c>
      <c r="P7" s="40">
        <v>8</v>
      </c>
      <c r="Q7" s="40">
        <v>10</v>
      </c>
      <c r="R7" s="40">
        <v>9</v>
      </c>
      <c r="S7" s="40">
        <v>9</v>
      </c>
      <c r="T7" s="40">
        <v>9</v>
      </c>
      <c r="U7" s="40">
        <v>9</v>
      </c>
      <c r="V7" s="40">
        <v>9</v>
      </c>
      <c r="W7" s="41" t="str">
        <f t="shared" ref="W7" si="2">IF(G7&gt;P7,"Y",IF(H7&gt;Q7,"Y",IF(I7&gt;R7,"Y",IF(J7&gt;S7,"Y",IF(K7&gt;T7,"Y",IF(L7&gt;U7,"Y",IF(M7&gt;V7,"Y","N")))))))</f>
        <v>N</v>
      </c>
      <c r="X7" s="56">
        <f t="shared" ref="X7" si="3">IF(W7="Y",MAX((G7-P7),(H7-Q7),(I7-R7),(J7-S7),(K7-T7),(L7-U7),(M7-V7))/10,0)</f>
        <v>0</v>
      </c>
      <c r="Y7" s="56" t="str">
        <f t="shared" ref="Y7:Y70" si="4">IF(X7&lt;5%,"0-4.9%",IF(X7&lt;25%,"5-25%",IF(X7&lt;50%,"25-50%","Over 50%")))</f>
        <v>0-4.9%</v>
      </c>
      <c r="Z7" s="8" t="s">
        <v>118</v>
      </c>
      <c r="AB7" s="38">
        <v>4080</v>
      </c>
      <c r="AC7" s="38">
        <v>9600</v>
      </c>
      <c r="AD7" s="38"/>
      <c r="AE7" s="38"/>
      <c r="AF7" s="38"/>
      <c r="AG7" s="38"/>
      <c r="AH7" s="38"/>
    </row>
    <row r="8" spans="1:34" ht="24" customHeight="1" x14ac:dyDescent="0.25">
      <c r="A8" s="5">
        <v>3</v>
      </c>
      <c r="B8" s="9">
        <v>0.3888888888888889</v>
      </c>
      <c r="C8" s="5" t="s">
        <v>20</v>
      </c>
      <c r="D8" s="5">
        <v>7</v>
      </c>
      <c r="E8" s="15"/>
      <c r="F8" s="15" t="s">
        <v>23</v>
      </c>
      <c r="G8" s="19">
        <f t="shared" ref="G8:G71" si="5">AB8/1000</f>
        <v>8.48</v>
      </c>
      <c r="H8" s="19">
        <f t="shared" ref="H8:H71" si="6">AC8/1000</f>
        <v>16.600000000000001</v>
      </c>
      <c r="I8" s="19">
        <f t="shared" ref="I8:I71" si="7">AD8/1000</f>
        <v>0</v>
      </c>
      <c r="J8" s="19">
        <f t="shared" ref="J8:J71" si="8">AE8/1000</f>
        <v>0</v>
      </c>
      <c r="K8" s="19">
        <f t="shared" ref="K8:K71" si="9">AF8/1000</f>
        <v>0</v>
      </c>
      <c r="L8" s="19">
        <f t="shared" ref="L8:L71" si="10">AG8/1000</f>
        <v>0</v>
      </c>
      <c r="M8" s="19">
        <f t="shared" ref="M8:M71" si="11">AH8/1000</f>
        <v>0</v>
      </c>
      <c r="N8" s="39">
        <f t="shared" ref="N8:N71" si="12">SUM(G8:M8)</f>
        <v>25.080000000000002</v>
      </c>
      <c r="O8" s="39">
        <f t="shared" si="1"/>
        <v>156.44733887607529</v>
      </c>
      <c r="P8" s="40">
        <v>8</v>
      </c>
      <c r="Q8" s="40">
        <v>10</v>
      </c>
      <c r="R8" s="40">
        <v>9</v>
      </c>
      <c r="S8" s="40">
        <v>9</v>
      </c>
      <c r="T8" s="40">
        <v>9</v>
      </c>
      <c r="U8" s="40">
        <v>9</v>
      </c>
      <c r="V8" s="40">
        <v>9</v>
      </c>
      <c r="W8" s="41" t="str">
        <f t="shared" ref="W8:W71" si="13">IF(G8&gt;P8,"Y",IF(H8&gt;Q8,"Y",IF(I8&gt;R8,"Y",IF(J8&gt;S8,"Y",IF(K8&gt;T8,"Y",IF(L8&gt;U8,"Y",IF(M8&gt;V8,"Y","N")))))))</f>
        <v>Y</v>
      </c>
      <c r="X8" s="56">
        <f t="shared" ref="X8:X71" si="14">IF(W8="Y",MAX((G8-P8),(H8-Q8),(I8-R8),(J8-S8),(K8-T8),(L8-U8),(M8-V8))/10,0)</f>
        <v>0.66000000000000014</v>
      </c>
      <c r="Y8" s="56" t="str">
        <f t="shared" si="4"/>
        <v>Over 50%</v>
      </c>
      <c r="Z8" s="8" t="s">
        <v>145</v>
      </c>
      <c r="AB8" s="38">
        <v>8480</v>
      </c>
      <c r="AC8" s="38">
        <v>16600</v>
      </c>
      <c r="AD8" s="38"/>
      <c r="AE8" s="38"/>
      <c r="AF8" s="38"/>
      <c r="AG8" s="38"/>
      <c r="AH8" s="38"/>
    </row>
    <row r="9" spans="1:34" ht="24" customHeight="1" x14ac:dyDescent="0.25">
      <c r="A9" s="5">
        <v>4</v>
      </c>
      <c r="B9" s="9">
        <v>0.39513888888888887</v>
      </c>
      <c r="C9" s="5" t="s">
        <v>20</v>
      </c>
      <c r="D9" s="5">
        <v>7</v>
      </c>
      <c r="E9" s="15"/>
      <c r="F9" s="15" t="s">
        <v>23</v>
      </c>
      <c r="G9" s="19">
        <f t="shared" si="5"/>
        <v>3.66</v>
      </c>
      <c r="H9" s="19">
        <f t="shared" si="6"/>
        <v>4.82</v>
      </c>
      <c r="I9" s="19">
        <f t="shared" si="7"/>
        <v>0</v>
      </c>
      <c r="J9" s="19">
        <f t="shared" si="8"/>
        <v>0</v>
      </c>
      <c r="K9" s="19">
        <f t="shared" si="9"/>
        <v>0</v>
      </c>
      <c r="L9" s="19">
        <f t="shared" si="10"/>
        <v>0</v>
      </c>
      <c r="M9" s="19">
        <f t="shared" si="11"/>
        <v>0</v>
      </c>
      <c r="N9" s="39">
        <f t="shared" si="12"/>
        <v>8.48</v>
      </c>
      <c r="O9" s="39">
        <f t="shared" si="1"/>
        <v>1.1889829332360329</v>
      </c>
      <c r="P9" s="40">
        <v>8</v>
      </c>
      <c r="Q9" s="40">
        <v>10</v>
      </c>
      <c r="R9" s="40">
        <v>9</v>
      </c>
      <c r="S9" s="40">
        <v>9</v>
      </c>
      <c r="T9" s="40">
        <v>9</v>
      </c>
      <c r="U9" s="40">
        <v>9</v>
      </c>
      <c r="V9" s="40">
        <v>9</v>
      </c>
      <c r="W9" s="41" t="str">
        <f t="shared" si="13"/>
        <v>N</v>
      </c>
      <c r="X9" s="56">
        <f t="shared" si="14"/>
        <v>0</v>
      </c>
      <c r="Y9" s="56" t="str">
        <f t="shared" si="4"/>
        <v>0-4.9%</v>
      </c>
      <c r="Z9" s="8" t="s">
        <v>118</v>
      </c>
      <c r="AB9" s="38">
        <v>3660</v>
      </c>
      <c r="AC9" s="38">
        <v>4820</v>
      </c>
      <c r="AD9" s="38"/>
      <c r="AE9" s="38"/>
      <c r="AF9" s="38"/>
      <c r="AG9" s="38"/>
      <c r="AH9" s="38"/>
    </row>
    <row r="10" spans="1:34" ht="24" customHeight="1" x14ac:dyDescent="0.25">
      <c r="A10" s="5">
        <v>5</v>
      </c>
      <c r="B10" s="9">
        <v>0.40138888888888885</v>
      </c>
      <c r="C10" s="5" t="s">
        <v>20</v>
      </c>
      <c r="D10" s="5">
        <v>7</v>
      </c>
      <c r="E10" s="15"/>
      <c r="F10" s="15" t="s">
        <v>23</v>
      </c>
      <c r="G10" s="19">
        <f t="shared" si="5"/>
        <v>10.23</v>
      </c>
      <c r="H10" s="19">
        <f t="shared" si="6"/>
        <v>17.559999999999999</v>
      </c>
      <c r="I10" s="19">
        <f t="shared" si="7"/>
        <v>0</v>
      </c>
      <c r="J10" s="19">
        <f t="shared" si="8"/>
        <v>0</v>
      </c>
      <c r="K10" s="19">
        <f t="shared" si="9"/>
        <v>0</v>
      </c>
      <c r="L10" s="19">
        <f t="shared" si="10"/>
        <v>0</v>
      </c>
      <c r="M10" s="19">
        <f t="shared" si="11"/>
        <v>0</v>
      </c>
      <c r="N10" s="39">
        <f t="shared" si="12"/>
        <v>27.79</v>
      </c>
      <c r="O10" s="39">
        <f t="shared" si="1"/>
        <v>248.25199434362594</v>
      </c>
      <c r="P10" s="40">
        <v>8</v>
      </c>
      <c r="Q10" s="40">
        <v>10</v>
      </c>
      <c r="R10" s="40">
        <v>9</v>
      </c>
      <c r="S10" s="40">
        <v>9</v>
      </c>
      <c r="T10" s="40">
        <v>9</v>
      </c>
      <c r="U10" s="40">
        <v>9</v>
      </c>
      <c r="V10" s="40">
        <v>9</v>
      </c>
      <c r="W10" s="41" t="str">
        <f t="shared" si="13"/>
        <v>Y</v>
      </c>
      <c r="X10" s="56">
        <f t="shared" si="14"/>
        <v>0.75599999999999989</v>
      </c>
      <c r="Y10" s="56" t="str">
        <f t="shared" si="4"/>
        <v>Over 50%</v>
      </c>
      <c r="Z10" s="8" t="s">
        <v>111</v>
      </c>
      <c r="AB10" s="38">
        <v>10230</v>
      </c>
      <c r="AC10" s="38">
        <v>17560</v>
      </c>
      <c r="AD10" s="38"/>
      <c r="AE10" s="38"/>
      <c r="AF10" s="38"/>
      <c r="AG10" s="38"/>
      <c r="AH10" s="38"/>
    </row>
    <row r="11" spans="1:34" ht="24" customHeight="1" x14ac:dyDescent="0.25">
      <c r="A11" s="5">
        <v>6</v>
      </c>
      <c r="B11" s="9">
        <v>0.40902777777777777</v>
      </c>
      <c r="C11" s="5" t="s">
        <v>20</v>
      </c>
      <c r="D11" s="5">
        <v>7</v>
      </c>
      <c r="E11" s="15"/>
      <c r="F11" s="15" t="s">
        <v>23</v>
      </c>
      <c r="G11" s="19">
        <f t="shared" si="5"/>
        <v>3.98</v>
      </c>
      <c r="H11" s="19">
        <f t="shared" si="6"/>
        <v>8.66</v>
      </c>
      <c r="I11" s="19">
        <f t="shared" si="7"/>
        <v>0</v>
      </c>
      <c r="J11" s="19">
        <f t="shared" si="8"/>
        <v>0</v>
      </c>
      <c r="K11" s="19">
        <f t="shared" si="9"/>
        <v>0</v>
      </c>
      <c r="L11" s="19">
        <f t="shared" si="10"/>
        <v>0</v>
      </c>
      <c r="M11" s="19">
        <f t="shared" si="11"/>
        <v>0</v>
      </c>
      <c r="N11" s="39">
        <f t="shared" si="12"/>
        <v>12.64</v>
      </c>
      <c r="O11" s="39">
        <f t="shared" si="1"/>
        <v>7.1656586912571765</v>
      </c>
      <c r="P11" s="40">
        <v>8</v>
      </c>
      <c r="Q11" s="40">
        <v>10</v>
      </c>
      <c r="R11" s="40">
        <v>9</v>
      </c>
      <c r="S11" s="40">
        <v>9</v>
      </c>
      <c r="T11" s="40">
        <v>9</v>
      </c>
      <c r="U11" s="40">
        <v>9</v>
      </c>
      <c r="V11" s="40">
        <v>9</v>
      </c>
      <c r="W11" s="41" t="str">
        <f t="shared" si="13"/>
        <v>N</v>
      </c>
      <c r="X11" s="56">
        <f t="shared" si="14"/>
        <v>0</v>
      </c>
      <c r="Y11" s="56" t="str">
        <f t="shared" si="4"/>
        <v>0-4.9%</v>
      </c>
      <c r="Z11" s="8" t="s">
        <v>111</v>
      </c>
      <c r="AB11" s="38">
        <v>3980</v>
      </c>
      <c r="AC11" s="38">
        <v>8660</v>
      </c>
      <c r="AD11" s="38"/>
      <c r="AE11" s="38"/>
      <c r="AF11" s="38"/>
      <c r="AG11" s="38"/>
      <c r="AH11" s="38"/>
    </row>
    <row r="12" spans="1:34" ht="24" customHeight="1" x14ac:dyDescent="0.25">
      <c r="A12" s="5">
        <v>7</v>
      </c>
      <c r="B12" s="9">
        <v>0.42083333333333334</v>
      </c>
      <c r="C12" s="5" t="s">
        <v>20</v>
      </c>
      <c r="D12" s="5">
        <v>7</v>
      </c>
      <c r="E12" s="15"/>
      <c r="F12" s="15" t="s">
        <v>23</v>
      </c>
      <c r="G12" s="19">
        <f t="shared" si="5"/>
        <v>5.0599999999999996</v>
      </c>
      <c r="H12" s="19">
        <f t="shared" si="6"/>
        <v>14.26</v>
      </c>
      <c r="I12" s="19">
        <f t="shared" si="7"/>
        <v>0</v>
      </c>
      <c r="J12" s="19">
        <f t="shared" si="8"/>
        <v>0</v>
      </c>
      <c r="K12" s="19">
        <f t="shared" si="9"/>
        <v>0</v>
      </c>
      <c r="L12" s="19">
        <f t="shared" si="10"/>
        <v>0</v>
      </c>
      <c r="M12" s="19">
        <f t="shared" si="11"/>
        <v>0</v>
      </c>
      <c r="N12" s="39">
        <f t="shared" si="12"/>
        <v>19.32</v>
      </c>
      <c r="O12" s="39">
        <f t="shared" si="1"/>
        <v>48.353324043229883</v>
      </c>
      <c r="P12" s="40">
        <v>8</v>
      </c>
      <c r="Q12" s="40">
        <v>10</v>
      </c>
      <c r="R12" s="40">
        <v>9</v>
      </c>
      <c r="S12" s="40">
        <v>9</v>
      </c>
      <c r="T12" s="40">
        <v>9</v>
      </c>
      <c r="U12" s="40">
        <v>9</v>
      </c>
      <c r="V12" s="40">
        <v>9</v>
      </c>
      <c r="W12" s="41" t="str">
        <f t="shared" si="13"/>
        <v>Y</v>
      </c>
      <c r="X12" s="56">
        <f t="shared" si="14"/>
        <v>0.42599999999999999</v>
      </c>
      <c r="Y12" s="56" t="str">
        <f t="shared" si="4"/>
        <v>25-50%</v>
      </c>
      <c r="Z12" s="8" t="s">
        <v>111</v>
      </c>
      <c r="AB12" s="38">
        <v>5060</v>
      </c>
      <c r="AC12" s="38">
        <v>14260</v>
      </c>
      <c r="AD12" s="38"/>
      <c r="AE12" s="38"/>
      <c r="AF12" s="38"/>
      <c r="AG12" s="38"/>
      <c r="AH12" s="38"/>
    </row>
    <row r="13" spans="1:34" ht="24" customHeight="1" x14ac:dyDescent="0.25">
      <c r="A13" s="5">
        <v>8</v>
      </c>
      <c r="B13" s="9">
        <v>0.4236111111111111</v>
      </c>
      <c r="C13" s="5" t="s">
        <v>20</v>
      </c>
      <c r="D13" s="5">
        <v>7</v>
      </c>
      <c r="E13" s="15"/>
      <c r="F13" s="15" t="s">
        <v>23</v>
      </c>
      <c r="G13" s="19">
        <f t="shared" si="5"/>
        <v>2.04</v>
      </c>
      <c r="H13" s="19">
        <f t="shared" si="6"/>
        <v>5.74</v>
      </c>
      <c r="I13" s="19">
        <f t="shared" si="7"/>
        <v>0</v>
      </c>
      <c r="J13" s="19">
        <f t="shared" si="8"/>
        <v>0</v>
      </c>
      <c r="K13" s="19">
        <f t="shared" si="9"/>
        <v>0</v>
      </c>
      <c r="L13" s="19">
        <f t="shared" si="10"/>
        <v>0</v>
      </c>
      <c r="M13" s="19">
        <f t="shared" si="11"/>
        <v>0</v>
      </c>
      <c r="N13" s="39">
        <f t="shared" si="12"/>
        <v>7.78</v>
      </c>
      <c r="O13" s="39">
        <f t="shared" si="1"/>
        <v>0.80686796314915654</v>
      </c>
      <c r="P13" s="40">
        <v>8</v>
      </c>
      <c r="Q13" s="40">
        <v>10</v>
      </c>
      <c r="R13" s="40">
        <v>9</v>
      </c>
      <c r="S13" s="40">
        <v>9</v>
      </c>
      <c r="T13" s="40">
        <v>9</v>
      </c>
      <c r="U13" s="40">
        <v>9</v>
      </c>
      <c r="V13" s="40">
        <v>9</v>
      </c>
      <c r="W13" s="41" t="str">
        <f t="shared" si="13"/>
        <v>N</v>
      </c>
      <c r="X13" s="56">
        <f t="shared" si="14"/>
        <v>0</v>
      </c>
      <c r="Y13" s="56" t="str">
        <f t="shared" si="4"/>
        <v>0-4.9%</v>
      </c>
      <c r="Z13" s="8" t="s">
        <v>118</v>
      </c>
      <c r="AB13" s="38">
        <v>2040</v>
      </c>
      <c r="AC13" s="38">
        <v>5740</v>
      </c>
      <c r="AD13" s="38"/>
      <c r="AE13" s="38"/>
      <c r="AF13" s="38"/>
      <c r="AG13" s="38"/>
      <c r="AH13" s="38"/>
    </row>
    <row r="14" spans="1:34" ht="24" customHeight="1" x14ac:dyDescent="0.25">
      <c r="A14" s="5">
        <v>10</v>
      </c>
      <c r="B14" s="9">
        <v>0.43263888888888885</v>
      </c>
      <c r="C14" s="5" t="s">
        <v>20</v>
      </c>
      <c r="D14" s="5">
        <v>7</v>
      </c>
      <c r="E14" s="15"/>
      <c r="F14" s="15" t="s">
        <v>23</v>
      </c>
      <c r="G14" s="19">
        <f t="shared" si="5"/>
        <v>3.88</v>
      </c>
      <c r="H14" s="19">
        <f t="shared" si="6"/>
        <v>10.86</v>
      </c>
      <c r="I14" s="19">
        <f t="shared" si="7"/>
        <v>0</v>
      </c>
      <c r="J14" s="19">
        <f t="shared" si="8"/>
        <v>0</v>
      </c>
      <c r="K14" s="19">
        <f t="shared" si="9"/>
        <v>0</v>
      </c>
      <c r="L14" s="19">
        <f t="shared" si="10"/>
        <v>0</v>
      </c>
      <c r="M14" s="19">
        <f t="shared" si="11"/>
        <v>0</v>
      </c>
      <c r="N14" s="39">
        <f t="shared" si="12"/>
        <v>14.739999999999998</v>
      </c>
      <c r="O14" s="39">
        <f t="shared" si="1"/>
        <v>14.309780149501952</v>
      </c>
      <c r="P14" s="40">
        <v>8</v>
      </c>
      <c r="Q14" s="40">
        <v>10</v>
      </c>
      <c r="R14" s="40">
        <v>9</v>
      </c>
      <c r="S14" s="40">
        <v>9</v>
      </c>
      <c r="T14" s="40">
        <v>9</v>
      </c>
      <c r="U14" s="40">
        <v>9</v>
      </c>
      <c r="V14" s="40">
        <v>9</v>
      </c>
      <c r="W14" s="41" t="str">
        <f t="shared" si="13"/>
        <v>Y</v>
      </c>
      <c r="X14" s="56">
        <f t="shared" si="14"/>
        <v>8.5999999999999938E-2</v>
      </c>
      <c r="Y14" s="56" t="str">
        <f t="shared" si="4"/>
        <v>5-25%</v>
      </c>
      <c r="Z14" s="8" t="s">
        <v>111</v>
      </c>
      <c r="AB14" s="38">
        <v>3880</v>
      </c>
      <c r="AC14" s="38">
        <v>10860</v>
      </c>
      <c r="AD14" s="38"/>
      <c r="AE14" s="38"/>
      <c r="AF14" s="38"/>
      <c r="AG14" s="38"/>
      <c r="AH14" s="38"/>
    </row>
    <row r="15" spans="1:34" ht="24" customHeight="1" x14ac:dyDescent="0.25">
      <c r="A15" s="5">
        <v>12</v>
      </c>
      <c r="B15" s="9">
        <v>0.44513888888888892</v>
      </c>
      <c r="C15" s="5" t="s">
        <v>20</v>
      </c>
      <c r="D15" s="5">
        <v>7</v>
      </c>
      <c r="E15" s="15"/>
      <c r="F15" s="15" t="s">
        <v>23</v>
      </c>
      <c r="G15" s="19">
        <f t="shared" si="5"/>
        <v>1.96</v>
      </c>
      <c r="H15" s="19">
        <f t="shared" si="6"/>
        <v>2</v>
      </c>
      <c r="I15" s="19">
        <f t="shared" si="7"/>
        <v>0</v>
      </c>
      <c r="J15" s="19">
        <f t="shared" si="8"/>
        <v>0</v>
      </c>
      <c r="K15" s="19">
        <f t="shared" si="9"/>
        <v>0</v>
      </c>
      <c r="L15" s="19">
        <f t="shared" si="10"/>
        <v>0</v>
      </c>
      <c r="M15" s="19">
        <f t="shared" si="11"/>
        <v>0</v>
      </c>
      <c r="N15" s="39">
        <f t="shared" si="12"/>
        <v>3.96</v>
      </c>
      <c r="O15" s="39">
        <f t="shared" si="1"/>
        <v>3.8638710332098279E-2</v>
      </c>
      <c r="P15" s="40">
        <v>8</v>
      </c>
      <c r="Q15" s="40">
        <v>10</v>
      </c>
      <c r="R15" s="40">
        <v>9</v>
      </c>
      <c r="S15" s="40">
        <v>9</v>
      </c>
      <c r="T15" s="40">
        <v>9</v>
      </c>
      <c r="U15" s="40">
        <v>9</v>
      </c>
      <c r="V15" s="40">
        <v>9</v>
      </c>
      <c r="W15" s="41" t="str">
        <f t="shared" si="13"/>
        <v>N</v>
      </c>
      <c r="X15" s="56">
        <f t="shared" si="14"/>
        <v>0</v>
      </c>
      <c r="Y15" s="56" t="str">
        <f t="shared" si="4"/>
        <v>0-4.9%</v>
      </c>
      <c r="Z15" s="8" t="s">
        <v>118</v>
      </c>
      <c r="AB15" s="38">
        <v>1960</v>
      </c>
      <c r="AC15" s="38">
        <v>2000</v>
      </c>
      <c r="AD15" s="38"/>
      <c r="AE15" s="38"/>
      <c r="AF15" s="38"/>
      <c r="AG15" s="38"/>
      <c r="AH15" s="38"/>
    </row>
    <row r="16" spans="1:34" ht="24" customHeight="1" x14ac:dyDescent="0.25">
      <c r="A16" s="5">
        <v>13</v>
      </c>
      <c r="B16" s="9">
        <v>0.45416666666666666</v>
      </c>
      <c r="C16" s="5" t="s">
        <v>20</v>
      </c>
      <c r="D16" s="5">
        <v>7</v>
      </c>
      <c r="E16" s="15"/>
      <c r="F16" s="15" t="s">
        <v>23</v>
      </c>
      <c r="G16" s="19">
        <f t="shared" si="5"/>
        <v>2.82</v>
      </c>
      <c r="H16" s="19">
        <f t="shared" si="6"/>
        <v>3.04</v>
      </c>
      <c r="I16" s="19">
        <f t="shared" si="7"/>
        <v>0</v>
      </c>
      <c r="J16" s="19">
        <f t="shared" si="8"/>
        <v>0</v>
      </c>
      <c r="K16" s="19">
        <f t="shared" si="9"/>
        <v>0</v>
      </c>
      <c r="L16" s="19">
        <f t="shared" si="10"/>
        <v>0</v>
      </c>
      <c r="M16" s="19">
        <f t="shared" si="11"/>
        <v>0</v>
      </c>
      <c r="N16" s="39">
        <f t="shared" si="12"/>
        <v>5.8599999999999994</v>
      </c>
      <c r="O16" s="39">
        <f t="shared" si="1"/>
        <v>0.22538943645606638</v>
      </c>
      <c r="P16" s="40">
        <v>8</v>
      </c>
      <c r="Q16" s="40">
        <v>10</v>
      </c>
      <c r="R16" s="40">
        <v>9</v>
      </c>
      <c r="S16" s="40">
        <v>9</v>
      </c>
      <c r="T16" s="40">
        <v>9</v>
      </c>
      <c r="U16" s="40">
        <v>9</v>
      </c>
      <c r="V16" s="40">
        <v>9</v>
      </c>
      <c r="W16" s="41" t="str">
        <f t="shared" si="13"/>
        <v>N</v>
      </c>
      <c r="X16" s="56">
        <f t="shared" si="14"/>
        <v>0</v>
      </c>
      <c r="Y16" s="56" t="str">
        <f t="shared" si="4"/>
        <v>0-4.9%</v>
      </c>
      <c r="Z16" s="8" t="s">
        <v>118</v>
      </c>
      <c r="AB16" s="38">
        <v>2820</v>
      </c>
      <c r="AC16" s="38">
        <v>3040</v>
      </c>
      <c r="AD16" s="38"/>
      <c r="AE16" s="38"/>
      <c r="AF16" s="38"/>
      <c r="AG16" s="38"/>
      <c r="AH16" s="38"/>
    </row>
    <row r="17" spans="1:34" ht="24" customHeight="1" x14ac:dyDescent="0.25">
      <c r="A17" s="5">
        <v>14</v>
      </c>
      <c r="B17" s="9">
        <v>0.45833333333333331</v>
      </c>
      <c r="C17" s="5" t="s">
        <v>20</v>
      </c>
      <c r="D17" s="5">
        <v>7</v>
      </c>
      <c r="E17" s="15"/>
      <c r="F17" s="15" t="s">
        <v>23</v>
      </c>
      <c r="G17" s="19">
        <f t="shared" si="5"/>
        <v>3.8</v>
      </c>
      <c r="H17" s="19">
        <f t="shared" si="6"/>
        <v>4.84</v>
      </c>
      <c r="I17" s="19">
        <f t="shared" si="7"/>
        <v>0</v>
      </c>
      <c r="J17" s="19">
        <f t="shared" si="8"/>
        <v>0</v>
      </c>
      <c r="K17" s="19">
        <f t="shared" si="9"/>
        <v>0</v>
      </c>
      <c r="L17" s="19">
        <f t="shared" si="10"/>
        <v>0</v>
      </c>
      <c r="M17" s="19">
        <f t="shared" si="11"/>
        <v>0</v>
      </c>
      <c r="N17" s="39">
        <f t="shared" si="12"/>
        <v>8.64</v>
      </c>
      <c r="O17" s="39">
        <f t="shared" si="1"/>
        <v>1.293320396589122</v>
      </c>
      <c r="P17" s="40">
        <v>8</v>
      </c>
      <c r="Q17" s="40">
        <v>10</v>
      </c>
      <c r="R17" s="40">
        <v>9</v>
      </c>
      <c r="S17" s="40">
        <v>9</v>
      </c>
      <c r="T17" s="40">
        <v>9</v>
      </c>
      <c r="U17" s="40">
        <v>9</v>
      </c>
      <c r="V17" s="40">
        <v>9</v>
      </c>
      <c r="W17" s="41" t="str">
        <f t="shared" si="13"/>
        <v>N</v>
      </c>
      <c r="X17" s="56">
        <f t="shared" si="14"/>
        <v>0</v>
      </c>
      <c r="Y17" s="56" t="str">
        <f t="shared" si="4"/>
        <v>0-4.9%</v>
      </c>
      <c r="Z17" s="8" t="s">
        <v>107</v>
      </c>
      <c r="AB17" s="38">
        <v>3800</v>
      </c>
      <c r="AC17" s="38">
        <v>4840</v>
      </c>
      <c r="AD17" s="38"/>
      <c r="AE17" s="38"/>
      <c r="AF17" s="38"/>
      <c r="AG17" s="38"/>
      <c r="AH17" s="38"/>
    </row>
    <row r="18" spans="1:34" ht="24" customHeight="1" x14ac:dyDescent="0.25">
      <c r="A18" s="5">
        <v>19</v>
      </c>
      <c r="B18" s="9">
        <v>0.5</v>
      </c>
      <c r="C18" s="5" t="s">
        <v>20</v>
      </c>
      <c r="D18" s="5">
        <v>7</v>
      </c>
      <c r="E18" s="15"/>
      <c r="F18" s="15" t="s">
        <v>23</v>
      </c>
      <c r="G18" s="19">
        <f t="shared" si="5"/>
        <v>3.34</v>
      </c>
      <c r="H18" s="19">
        <f t="shared" si="6"/>
        <v>3.24</v>
      </c>
      <c r="I18" s="19">
        <f t="shared" si="7"/>
        <v>0</v>
      </c>
      <c r="J18" s="19">
        <f t="shared" si="8"/>
        <v>0</v>
      </c>
      <c r="K18" s="19">
        <f t="shared" si="9"/>
        <v>0</v>
      </c>
      <c r="L18" s="19">
        <f t="shared" si="10"/>
        <v>0</v>
      </c>
      <c r="M18" s="19">
        <f t="shared" si="11"/>
        <v>0</v>
      </c>
      <c r="N18" s="39">
        <f t="shared" si="12"/>
        <v>6.58</v>
      </c>
      <c r="O18" s="39">
        <f t="shared" si="1"/>
        <v>0.3796739555121893</v>
      </c>
      <c r="P18" s="40">
        <v>8</v>
      </c>
      <c r="Q18" s="40">
        <v>10</v>
      </c>
      <c r="R18" s="40">
        <v>9</v>
      </c>
      <c r="S18" s="40">
        <v>9</v>
      </c>
      <c r="T18" s="40">
        <v>9</v>
      </c>
      <c r="U18" s="40">
        <v>9</v>
      </c>
      <c r="V18" s="40">
        <v>9</v>
      </c>
      <c r="W18" s="41" t="str">
        <f t="shared" si="13"/>
        <v>N</v>
      </c>
      <c r="X18" s="56">
        <f t="shared" si="14"/>
        <v>0</v>
      </c>
      <c r="Y18" s="56" t="str">
        <f t="shared" si="4"/>
        <v>0-4.9%</v>
      </c>
      <c r="Z18" s="8" t="s">
        <v>35</v>
      </c>
      <c r="AB18" s="38">
        <v>3340</v>
      </c>
      <c r="AC18" s="38">
        <v>3240</v>
      </c>
      <c r="AD18" s="38"/>
      <c r="AE18" s="38"/>
      <c r="AF18" s="38"/>
      <c r="AG18" s="38"/>
      <c r="AH18" s="38"/>
    </row>
    <row r="19" spans="1:34" ht="24" customHeight="1" x14ac:dyDescent="0.25">
      <c r="A19" s="5">
        <v>21</v>
      </c>
      <c r="B19" s="9">
        <v>0.5229166666666667</v>
      </c>
      <c r="C19" s="5" t="s">
        <v>20</v>
      </c>
      <c r="D19" s="5">
        <v>7</v>
      </c>
      <c r="E19" s="15"/>
      <c r="F19" s="15" t="s">
        <v>23</v>
      </c>
      <c r="G19" s="19">
        <f t="shared" si="5"/>
        <v>4.18</v>
      </c>
      <c r="H19" s="19">
        <f t="shared" si="6"/>
        <v>10.52</v>
      </c>
      <c r="I19" s="19">
        <f t="shared" si="7"/>
        <v>0</v>
      </c>
      <c r="J19" s="19">
        <f t="shared" si="8"/>
        <v>0</v>
      </c>
      <c r="K19" s="19">
        <f t="shared" si="9"/>
        <v>0</v>
      </c>
      <c r="L19" s="19">
        <f t="shared" si="10"/>
        <v>0</v>
      </c>
      <c r="M19" s="19">
        <f t="shared" si="11"/>
        <v>0</v>
      </c>
      <c r="N19" s="39">
        <f t="shared" si="12"/>
        <v>14.7</v>
      </c>
      <c r="O19" s="39">
        <f t="shared" si="1"/>
        <v>14.135861844198651</v>
      </c>
      <c r="P19" s="40">
        <v>8</v>
      </c>
      <c r="Q19" s="40">
        <v>10</v>
      </c>
      <c r="R19" s="40">
        <v>9</v>
      </c>
      <c r="S19" s="40">
        <v>9</v>
      </c>
      <c r="T19" s="40">
        <v>9</v>
      </c>
      <c r="U19" s="40">
        <v>9</v>
      </c>
      <c r="V19" s="40">
        <v>9</v>
      </c>
      <c r="W19" s="41" t="str">
        <f t="shared" si="13"/>
        <v>Y</v>
      </c>
      <c r="X19" s="56">
        <f t="shared" si="14"/>
        <v>5.1999999999999956E-2</v>
      </c>
      <c r="Y19" s="56" t="str">
        <f t="shared" si="4"/>
        <v>5-25%</v>
      </c>
      <c r="Z19" s="8" t="s">
        <v>111</v>
      </c>
      <c r="AB19" s="38">
        <v>4180</v>
      </c>
      <c r="AC19" s="38">
        <v>10520</v>
      </c>
      <c r="AD19" s="38"/>
      <c r="AE19" s="38"/>
      <c r="AF19" s="38"/>
      <c r="AG19" s="38"/>
      <c r="AH19" s="38"/>
    </row>
    <row r="20" spans="1:34" ht="24" customHeight="1" x14ac:dyDescent="0.25">
      <c r="A20" s="5">
        <v>22</v>
      </c>
      <c r="B20" s="9">
        <v>0.52430555555555558</v>
      </c>
      <c r="C20" s="5" t="s">
        <v>20</v>
      </c>
      <c r="D20" s="5">
        <v>7</v>
      </c>
      <c r="E20" s="15"/>
      <c r="F20" s="15" t="s">
        <v>23</v>
      </c>
      <c r="G20" s="19">
        <f t="shared" si="5"/>
        <v>7.72</v>
      </c>
      <c r="H20" s="19">
        <f t="shared" si="6"/>
        <v>10.16</v>
      </c>
      <c r="I20" s="19">
        <f t="shared" si="7"/>
        <v>0</v>
      </c>
      <c r="J20" s="19">
        <f t="shared" si="8"/>
        <v>0</v>
      </c>
      <c r="K20" s="19">
        <f t="shared" si="9"/>
        <v>0</v>
      </c>
      <c r="L20" s="19">
        <f t="shared" si="10"/>
        <v>0</v>
      </c>
      <c r="M20" s="19">
        <f t="shared" si="11"/>
        <v>0</v>
      </c>
      <c r="N20" s="39">
        <f t="shared" si="12"/>
        <v>17.88</v>
      </c>
      <c r="O20" s="39">
        <f t="shared" si="1"/>
        <v>34.123070284344585</v>
      </c>
      <c r="P20" s="40">
        <v>8</v>
      </c>
      <c r="Q20" s="40">
        <v>10</v>
      </c>
      <c r="R20" s="40">
        <v>9</v>
      </c>
      <c r="S20" s="40">
        <v>9</v>
      </c>
      <c r="T20" s="40">
        <v>9</v>
      </c>
      <c r="U20" s="40">
        <v>9</v>
      </c>
      <c r="V20" s="40">
        <v>9</v>
      </c>
      <c r="W20" s="41" t="str">
        <f t="shared" si="13"/>
        <v>Y</v>
      </c>
      <c r="X20" s="56">
        <f t="shared" si="14"/>
        <v>1.6000000000000014E-2</v>
      </c>
      <c r="Y20" s="56" t="str">
        <f t="shared" si="4"/>
        <v>0-4.9%</v>
      </c>
      <c r="Z20" s="8" t="s">
        <v>145</v>
      </c>
      <c r="AB20" s="38">
        <v>7720</v>
      </c>
      <c r="AC20" s="38">
        <v>10160</v>
      </c>
      <c r="AD20" s="38"/>
      <c r="AE20" s="38"/>
      <c r="AF20" s="38"/>
      <c r="AG20" s="38"/>
      <c r="AH20" s="38"/>
    </row>
    <row r="21" spans="1:34" ht="24" customHeight="1" x14ac:dyDescent="0.25">
      <c r="A21" s="5">
        <v>27</v>
      </c>
      <c r="B21" s="9">
        <v>0.12916666666666668</v>
      </c>
      <c r="C21" s="5" t="s">
        <v>20</v>
      </c>
      <c r="D21" s="5">
        <v>7</v>
      </c>
      <c r="E21" s="15"/>
      <c r="F21" s="15" t="s">
        <v>23</v>
      </c>
      <c r="G21" s="19">
        <f t="shared" si="5"/>
        <v>2.82</v>
      </c>
      <c r="H21" s="19">
        <f t="shared" si="6"/>
        <v>2.16</v>
      </c>
      <c r="I21" s="19">
        <f t="shared" si="7"/>
        <v>0</v>
      </c>
      <c r="J21" s="19">
        <f t="shared" si="8"/>
        <v>0</v>
      </c>
      <c r="K21" s="19">
        <f t="shared" si="9"/>
        <v>0</v>
      </c>
      <c r="L21" s="19">
        <f t="shared" si="10"/>
        <v>0</v>
      </c>
      <c r="M21" s="19">
        <f t="shared" si="11"/>
        <v>0</v>
      </c>
      <c r="N21" s="39">
        <f t="shared" si="12"/>
        <v>4.9800000000000004</v>
      </c>
      <c r="O21" s="39">
        <f t="shared" si="1"/>
        <v>0.10837430566027689</v>
      </c>
      <c r="P21" s="40">
        <v>8</v>
      </c>
      <c r="Q21" s="40">
        <v>10</v>
      </c>
      <c r="R21" s="40">
        <v>9</v>
      </c>
      <c r="S21" s="40">
        <v>9</v>
      </c>
      <c r="T21" s="40">
        <v>9</v>
      </c>
      <c r="U21" s="40">
        <v>9</v>
      </c>
      <c r="V21" s="40">
        <v>9</v>
      </c>
      <c r="W21" s="41" t="str">
        <f t="shared" si="13"/>
        <v>N</v>
      </c>
      <c r="X21" s="56">
        <f t="shared" si="14"/>
        <v>0</v>
      </c>
      <c r="Y21" s="56" t="str">
        <f t="shared" si="4"/>
        <v>0-4.9%</v>
      </c>
      <c r="Z21" s="8" t="s">
        <v>111</v>
      </c>
      <c r="AB21" s="38">
        <v>2820</v>
      </c>
      <c r="AC21" s="38">
        <v>2160</v>
      </c>
      <c r="AD21" s="38"/>
      <c r="AE21" s="38"/>
      <c r="AF21" s="38"/>
      <c r="AG21" s="38"/>
      <c r="AH21" s="38"/>
    </row>
    <row r="22" spans="1:34" ht="24" customHeight="1" x14ac:dyDescent="0.25">
      <c r="A22" s="5">
        <v>28</v>
      </c>
      <c r="B22" s="9">
        <v>0.1361111111111111</v>
      </c>
      <c r="C22" s="5" t="s">
        <v>20</v>
      </c>
      <c r="D22" s="5">
        <v>7</v>
      </c>
      <c r="E22" s="15"/>
      <c r="F22" s="15" t="s">
        <v>23</v>
      </c>
      <c r="G22" s="19">
        <f t="shared" si="5"/>
        <v>3.68</v>
      </c>
      <c r="H22" s="19">
        <f t="shared" si="6"/>
        <v>8.02</v>
      </c>
      <c r="I22" s="19">
        <f t="shared" si="7"/>
        <v>0</v>
      </c>
      <c r="J22" s="19">
        <f t="shared" si="8"/>
        <v>0</v>
      </c>
      <c r="K22" s="19">
        <f t="shared" si="9"/>
        <v>0</v>
      </c>
      <c r="L22" s="19">
        <f t="shared" si="10"/>
        <v>0</v>
      </c>
      <c r="M22" s="19">
        <f t="shared" si="11"/>
        <v>0</v>
      </c>
      <c r="N22" s="39">
        <f t="shared" si="12"/>
        <v>11.7</v>
      </c>
      <c r="O22" s="39">
        <f t="shared" si="1"/>
        <v>5.0609338809603859</v>
      </c>
      <c r="P22" s="40">
        <v>8</v>
      </c>
      <c r="Q22" s="40">
        <v>10</v>
      </c>
      <c r="R22" s="40">
        <v>9</v>
      </c>
      <c r="S22" s="40">
        <v>9</v>
      </c>
      <c r="T22" s="40">
        <v>9</v>
      </c>
      <c r="U22" s="40">
        <v>9</v>
      </c>
      <c r="V22" s="40">
        <v>9</v>
      </c>
      <c r="W22" s="41" t="str">
        <f t="shared" si="13"/>
        <v>N</v>
      </c>
      <c r="X22" s="56">
        <f t="shared" si="14"/>
        <v>0</v>
      </c>
      <c r="Y22" s="56" t="str">
        <f t="shared" si="4"/>
        <v>0-4.9%</v>
      </c>
      <c r="Z22" s="8" t="s">
        <v>111</v>
      </c>
      <c r="AB22" s="38">
        <v>3680</v>
      </c>
      <c r="AC22" s="38">
        <v>8020</v>
      </c>
      <c r="AD22" s="38"/>
      <c r="AE22" s="38"/>
      <c r="AF22" s="38"/>
      <c r="AG22" s="38"/>
      <c r="AH22" s="38"/>
    </row>
    <row r="23" spans="1:34" ht="24" customHeight="1" x14ac:dyDescent="0.25">
      <c r="A23" s="5">
        <v>30</v>
      </c>
      <c r="B23" s="9">
        <v>0.1451388888888889</v>
      </c>
      <c r="C23" s="5" t="s">
        <v>20</v>
      </c>
      <c r="D23" s="5">
        <v>7</v>
      </c>
      <c r="E23" s="15"/>
      <c r="F23" s="15" t="s">
        <v>23</v>
      </c>
      <c r="G23" s="19">
        <f t="shared" si="5"/>
        <v>5.48</v>
      </c>
      <c r="H23" s="19">
        <f t="shared" si="6"/>
        <v>16.46</v>
      </c>
      <c r="I23" s="19">
        <f t="shared" si="7"/>
        <v>0</v>
      </c>
      <c r="J23" s="19">
        <f t="shared" si="8"/>
        <v>0</v>
      </c>
      <c r="K23" s="19">
        <f t="shared" si="9"/>
        <v>0</v>
      </c>
      <c r="L23" s="19">
        <f t="shared" si="10"/>
        <v>0</v>
      </c>
      <c r="M23" s="19">
        <f t="shared" si="11"/>
        <v>0</v>
      </c>
      <c r="N23" s="39">
        <f t="shared" si="12"/>
        <v>21.94</v>
      </c>
      <c r="O23" s="39">
        <f t="shared" si="1"/>
        <v>85.695711749228778</v>
      </c>
      <c r="P23" s="40">
        <v>8</v>
      </c>
      <c r="Q23" s="40">
        <v>10</v>
      </c>
      <c r="R23" s="40">
        <v>9</v>
      </c>
      <c r="S23" s="40">
        <v>9</v>
      </c>
      <c r="T23" s="40">
        <v>9</v>
      </c>
      <c r="U23" s="40">
        <v>9</v>
      </c>
      <c r="V23" s="40">
        <v>9</v>
      </c>
      <c r="W23" s="41" t="str">
        <f t="shared" si="13"/>
        <v>Y</v>
      </c>
      <c r="X23" s="56">
        <f t="shared" si="14"/>
        <v>0.64600000000000013</v>
      </c>
      <c r="Y23" s="56" t="str">
        <f t="shared" si="4"/>
        <v>Over 50%</v>
      </c>
      <c r="Z23" s="8" t="s">
        <v>111</v>
      </c>
      <c r="AB23" s="38">
        <v>5480</v>
      </c>
      <c r="AC23" s="38">
        <v>16460</v>
      </c>
      <c r="AD23" s="38"/>
      <c r="AE23" s="38"/>
      <c r="AF23" s="38"/>
      <c r="AG23" s="38"/>
      <c r="AH23" s="38"/>
    </row>
    <row r="24" spans="1:34" ht="24" customHeight="1" x14ac:dyDescent="0.25">
      <c r="A24" s="5">
        <v>32</v>
      </c>
      <c r="B24" s="9">
        <v>0.18055555555555555</v>
      </c>
      <c r="C24" s="5" t="s">
        <v>20</v>
      </c>
      <c r="D24" s="5">
        <v>7</v>
      </c>
      <c r="E24" s="15"/>
      <c r="F24" s="15" t="s">
        <v>23</v>
      </c>
      <c r="G24" s="19">
        <f t="shared" si="5"/>
        <v>8.15</v>
      </c>
      <c r="H24" s="19">
        <f t="shared" si="6"/>
        <v>16.48</v>
      </c>
      <c r="I24" s="19">
        <f t="shared" si="7"/>
        <v>0</v>
      </c>
      <c r="J24" s="19">
        <f t="shared" si="8"/>
        <v>0</v>
      </c>
      <c r="K24" s="19">
        <f t="shared" si="9"/>
        <v>0</v>
      </c>
      <c r="L24" s="19">
        <f t="shared" si="10"/>
        <v>0</v>
      </c>
      <c r="M24" s="19">
        <f t="shared" si="11"/>
        <v>0</v>
      </c>
      <c r="N24" s="39">
        <f t="shared" si="12"/>
        <v>24.630000000000003</v>
      </c>
      <c r="O24" s="39">
        <f t="shared" si="1"/>
        <v>144.20626841695668</v>
      </c>
      <c r="P24" s="40">
        <v>8</v>
      </c>
      <c r="Q24" s="40">
        <v>10</v>
      </c>
      <c r="R24" s="40">
        <v>9</v>
      </c>
      <c r="S24" s="40">
        <v>9</v>
      </c>
      <c r="T24" s="40">
        <v>9</v>
      </c>
      <c r="U24" s="40">
        <v>9</v>
      </c>
      <c r="V24" s="40">
        <v>9</v>
      </c>
      <c r="W24" s="41" t="str">
        <f t="shared" si="13"/>
        <v>Y</v>
      </c>
      <c r="X24" s="56">
        <f t="shared" si="14"/>
        <v>0.64800000000000002</v>
      </c>
      <c r="Y24" s="56" t="str">
        <f t="shared" si="4"/>
        <v>Over 50%</v>
      </c>
      <c r="Z24" s="8" t="s">
        <v>111</v>
      </c>
      <c r="AB24" s="38">
        <v>8150</v>
      </c>
      <c r="AC24" s="38">
        <v>16480</v>
      </c>
      <c r="AD24" s="38"/>
      <c r="AE24" s="38"/>
      <c r="AF24" s="38"/>
      <c r="AG24" s="38"/>
      <c r="AH24" s="38"/>
    </row>
    <row r="25" spans="1:34" ht="24" customHeight="1" x14ac:dyDescent="0.25">
      <c r="A25" s="5">
        <v>33</v>
      </c>
      <c r="B25" s="9">
        <v>0.18263888888888891</v>
      </c>
      <c r="C25" s="5" t="s">
        <v>20</v>
      </c>
      <c r="D25" s="5">
        <v>7</v>
      </c>
      <c r="E25" s="15"/>
      <c r="F25" s="15" t="s">
        <v>23</v>
      </c>
      <c r="G25" s="19">
        <f t="shared" si="5"/>
        <v>8.1300000000000008</v>
      </c>
      <c r="H25" s="19">
        <f t="shared" si="6"/>
        <v>13.24</v>
      </c>
      <c r="I25" s="19">
        <f t="shared" si="7"/>
        <v>0</v>
      </c>
      <c r="J25" s="19">
        <f t="shared" si="8"/>
        <v>0</v>
      </c>
      <c r="K25" s="19">
        <f t="shared" si="9"/>
        <v>0</v>
      </c>
      <c r="L25" s="19">
        <f t="shared" si="10"/>
        <v>0</v>
      </c>
      <c r="M25" s="19">
        <f t="shared" si="11"/>
        <v>0</v>
      </c>
      <c r="N25" s="39">
        <f t="shared" si="12"/>
        <v>21.37</v>
      </c>
      <c r="O25" s="39">
        <f t="shared" si="1"/>
        <v>76.122779128731679</v>
      </c>
      <c r="P25" s="40">
        <v>8</v>
      </c>
      <c r="Q25" s="40">
        <v>10</v>
      </c>
      <c r="R25" s="40">
        <v>9</v>
      </c>
      <c r="S25" s="40">
        <v>9</v>
      </c>
      <c r="T25" s="40">
        <v>9</v>
      </c>
      <c r="U25" s="40">
        <v>9</v>
      </c>
      <c r="V25" s="40">
        <v>9</v>
      </c>
      <c r="W25" s="41" t="str">
        <f t="shared" si="13"/>
        <v>Y</v>
      </c>
      <c r="X25" s="56">
        <f t="shared" si="14"/>
        <v>0.32400000000000001</v>
      </c>
      <c r="Y25" s="56" t="str">
        <f t="shared" si="4"/>
        <v>25-50%</v>
      </c>
      <c r="Z25" s="8" t="s">
        <v>111</v>
      </c>
      <c r="AB25" s="38">
        <v>8130</v>
      </c>
      <c r="AC25" s="38">
        <v>13240</v>
      </c>
      <c r="AD25" s="38"/>
      <c r="AE25" s="38"/>
      <c r="AF25" s="38"/>
      <c r="AG25" s="38"/>
      <c r="AH25" s="38"/>
    </row>
    <row r="26" spans="1:34" ht="24" customHeight="1" x14ac:dyDescent="0.25">
      <c r="A26" s="5">
        <v>34</v>
      </c>
      <c r="B26" s="9">
        <v>0.18402777777777779</v>
      </c>
      <c r="C26" s="5" t="s">
        <v>20</v>
      </c>
      <c r="D26" s="5">
        <v>7</v>
      </c>
      <c r="E26" s="15"/>
      <c r="F26" s="15" t="s">
        <v>23</v>
      </c>
      <c r="G26" s="19">
        <f t="shared" si="5"/>
        <v>3.12</v>
      </c>
      <c r="H26" s="19">
        <f t="shared" si="6"/>
        <v>2.6</v>
      </c>
      <c r="I26" s="19">
        <f t="shared" si="7"/>
        <v>0</v>
      </c>
      <c r="J26" s="19">
        <f t="shared" si="8"/>
        <v>0</v>
      </c>
      <c r="K26" s="19">
        <f t="shared" si="9"/>
        <v>0</v>
      </c>
      <c r="L26" s="19">
        <f t="shared" si="10"/>
        <v>0</v>
      </c>
      <c r="M26" s="19">
        <f t="shared" si="11"/>
        <v>0</v>
      </c>
      <c r="N26" s="39">
        <f t="shared" si="12"/>
        <v>5.7200000000000006</v>
      </c>
      <c r="O26" s="39">
        <f t="shared" si="1"/>
        <v>0.20215124257255904</v>
      </c>
      <c r="P26" s="40">
        <v>8</v>
      </c>
      <c r="Q26" s="40">
        <v>10</v>
      </c>
      <c r="R26" s="40">
        <v>9</v>
      </c>
      <c r="S26" s="40">
        <v>9</v>
      </c>
      <c r="T26" s="40">
        <v>9</v>
      </c>
      <c r="U26" s="40">
        <v>9</v>
      </c>
      <c r="V26" s="40">
        <v>9</v>
      </c>
      <c r="W26" s="41" t="str">
        <f t="shared" si="13"/>
        <v>N</v>
      </c>
      <c r="X26" s="56">
        <f t="shared" si="14"/>
        <v>0</v>
      </c>
      <c r="Y26" s="56" t="str">
        <f t="shared" si="4"/>
        <v>0-4.9%</v>
      </c>
      <c r="Z26" s="8" t="s">
        <v>118</v>
      </c>
      <c r="AB26" s="38">
        <v>3120</v>
      </c>
      <c r="AC26" s="38">
        <v>2600</v>
      </c>
      <c r="AD26" s="38"/>
      <c r="AE26" s="38"/>
      <c r="AF26" s="38"/>
      <c r="AG26" s="38"/>
      <c r="AH26" s="38"/>
    </row>
    <row r="27" spans="1:34" ht="24" customHeight="1" x14ac:dyDescent="0.25">
      <c r="A27" s="5">
        <v>35</v>
      </c>
      <c r="B27" s="9">
        <v>0.19444444444444445</v>
      </c>
      <c r="C27" s="5" t="s">
        <v>20</v>
      </c>
      <c r="D27" s="5">
        <v>7</v>
      </c>
      <c r="E27" s="15"/>
      <c r="F27" s="15" t="s">
        <v>23</v>
      </c>
      <c r="G27" s="19">
        <f t="shared" si="5"/>
        <v>8.4</v>
      </c>
      <c r="H27" s="19">
        <f t="shared" si="6"/>
        <v>10.8</v>
      </c>
      <c r="I27" s="19">
        <f t="shared" si="7"/>
        <v>0</v>
      </c>
      <c r="J27" s="19">
        <f t="shared" si="8"/>
        <v>0</v>
      </c>
      <c r="K27" s="19">
        <f t="shared" si="9"/>
        <v>0</v>
      </c>
      <c r="L27" s="19">
        <f t="shared" si="10"/>
        <v>0</v>
      </c>
      <c r="M27" s="19">
        <f t="shared" si="11"/>
        <v>0</v>
      </c>
      <c r="N27" s="39">
        <f t="shared" si="12"/>
        <v>19.200000000000003</v>
      </c>
      <c r="O27" s="39">
        <f t="shared" si="1"/>
        <v>47.016447874169856</v>
      </c>
      <c r="P27" s="40">
        <v>8</v>
      </c>
      <c r="Q27" s="40">
        <v>10</v>
      </c>
      <c r="R27" s="40">
        <v>9</v>
      </c>
      <c r="S27" s="40">
        <v>9</v>
      </c>
      <c r="T27" s="40">
        <v>9</v>
      </c>
      <c r="U27" s="40">
        <v>9</v>
      </c>
      <c r="V27" s="40">
        <v>9</v>
      </c>
      <c r="W27" s="41" t="str">
        <f t="shared" si="13"/>
        <v>Y</v>
      </c>
      <c r="X27" s="56">
        <f t="shared" si="14"/>
        <v>8.0000000000000071E-2</v>
      </c>
      <c r="Y27" s="56" t="str">
        <f t="shared" si="4"/>
        <v>5-25%</v>
      </c>
      <c r="Z27" s="8" t="s">
        <v>111</v>
      </c>
      <c r="AB27" s="38">
        <v>8400</v>
      </c>
      <c r="AC27" s="38">
        <v>10800</v>
      </c>
      <c r="AD27" s="38"/>
      <c r="AE27" s="38"/>
      <c r="AF27" s="38"/>
      <c r="AG27" s="38"/>
      <c r="AH27" s="38"/>
    </row>
    <row r="28" spans="1:34" ht="24" customHeight="1" x14ac:dyDescent="0.25">
      <c r="A28" s="5">
        <v>37</v>
      </c>
      <c r="B28" s="9">
        <v>0.21875</v>
      </c>
      <c r="C28" s="5" t="s">
        <v>20</v>
      </c>
      <c r="D28" s="5">
        <v>7</v>
      </c>
      <c r="E28" s="15"/>
      <c r="F28" s="15" t="s">
        <v>23</v>
      </c>
      <c r="G28" s="19">
        <f t="shared" si="5"/>
        <v>4.84</v>
      </c>
      <c r="H28" s="19">
        <f t="shared" si="6"/>
        <v>9.84</v>
      </c>
      <c r="I28" s="19">
        <f t="shared" si="7"/>
        <v>0</v>
      </c>
      <c r="J28" s="19">
        <f t="shared" si="8"/>
        <v>0</v>
      </c>
      <c r="K28" s="19">
        <f t="shared" si="9"/>
        <v>0</v>
      </c>
      <c r="L28" s="19">
        <f t="shared" si="10"/>
        <v>0</v>
      </c>
      <c r="M28" s="19">
        <f t="shared" si="11"/>
        <v>0</v>
      </c>
      <c r="N28" s="39">
        <f t="shared" si="12"/>
        <v>14.68</v>
      </c>
      <c r="O28" s="39">
        <f t="shared" si="1"/>
        <v>14.049521579889651</v>
      </c>
      <c r="P28" s="40">
        <v>8</v>
      </c>
      <c r="Q28" s="40">
        <v>10</v>
      </c>
      <c r="R28" s="40">
        <v>9</v>
      </c>
      <c r="S28" s="40">
        <v>9</v>
      </c>
      <c r="T28" s="40">
        <v>9</v>
      </c>
      <c r="U28" s="40">
        <v>9</v>
      </c>
      <c r="V28" s="40">
        <v>9</v>
      </c>
      <c r="W28" s="41" t="str">
        <f t="shared" si="13"/>
        <v>N</v>
      </c>
      <c r="X28" s="56">
        <f t="shared" si="14"/>
        <v>0</v>
      </c>
      <c r="Y28" s="56" t="str">
        <f t="shared" si="4"/>
        <v>0-4.9%</v>
      </c>
      <c r="Z28" s="8" t="s">
        <v>111</v>
      </c>
      <c r="AB28" s="38">
        <v>4840</v>
      </c>
      <c r="AC28" s="38">
        <v>9840</v>
      </c>
      <c r="AD28" s="38"/>
      <c r="AE28" s="38"/>
      <c r="AF28" s="38"/>
      <c r="AG28" s="38"/>
      <c r="AH28" s="38"/>
    </row>
    <row r="29" spans="1:34" ht="24" customHeight="1" x14ac:dyDescent="0.25">
      <c r="A29" s="5">
        <v>38</v>
      </c>
      <c r="B29" s="9">
        <v>0.22152777777777777</v>
      </c>
      <c r="C29" s="5" t="s">
        <v>20</v>
      </c>
      <c r="D29" s="5">
        <v>7</v>
      </c>
      <c r="E29" s="15"/>
      <c r="F29" s="15" t="s">
        <v>23</v>
      </c>
      <c r="G29" s="19">
        <f t="shared" si="5"/>
        <v>3.4</v>
      </c>
      <c r="H29" s="19">
        <f t="shared" si="6"/>
        <v>11.3</v>
      </c>
      <c r="I29" s="19">
        <f t="shared" si="7"/>
        <v>0</v>
      </c>
      <c r="J29" s="19">
        <f t="shared" si="8"/>
        <v>0</v>
      </c>
      <c r="K29" s="19">
        <f t="shared" si="9"/>
        <v>0</v>
      </c>
      <c r="L29" s="19">
        <f t="shared" si="10"/>
        <v>0</v>
      </c>
      <c r="M29" s="19">
        <f t="shared" si="11"/>
        <v>0</v>
      </c>
      <c r="N29" s="39">
        <f t="shared" si="12"/>
        <v>14.700000000000001</v>
      </c>
      <c r="O29" s="39">
        <f t="shared" si="1"/>
        <v>14.135861844198658</v>
      </c>
      <c r="P29" s="40">
        <v>8</v>
      </c>
      <c r="Q29" s="40">
        <v>10</v>
      </c>
      <c r="R29" s="40">
        <v>9</v>
      </c>
      <c r="S29" s="40">
        <v>9</v>
      </c>
      <c r="T29" s="40">
        <v>9</v>
      </c>
      <c r="U29" s="40">
        <v>9</v>
      </c>
      <c r="V29" s="40">
        <v>9</v>
      </c>
      <c r="W29" s="41" t="str">
        <f t="shared" si="13"/>
        <v>Y</v>
      </c>
      <c r="X29" s="56">
        <f t="shared" si="14"/>
        <v>0.13000000000000006</v>
      </c>
      <c r="Y29" s="56" t="str">
        <f t="shared" si="4"/>
        <v>5-25%</v>
      </c>
      <c r="Z29" s="8" t="s">
        <v>111</v>
      </c>
      <c r="AB29" s="38">
        <v>3400</v>
      </c>
      <c r="AC29" s="38">
        <v>11300</v>
      </c>
      <c r="AD29" s="38"/>
      <c r="AE29" s="38"/>
      <c r="AF29" s="38"/>
      <c r="AG29" s="38"/>
      <c r="AH29" s="38"/>
    </row>
    <row r="30" spans="1:34" ht="24" customHeight="1" x14ac:dyDescent="0.25">
      <c r="A30" s="5">
        <v>39</v>
      </c>
      <c r="B30" s="9">
        <v>0.2298611111111111</v>
      </c>
      <c r="C30" s="5" t="s">
        <v>20</v>
      </c>
      <c r="D30" s="5">
        <v>7</v>
      </c>
      <c r="E30" s="15"/>
      <c r="F30" s="15" t="s">
        <v>23</v>
      </c>
      <c r="G30" s="19">
        <f t="shared" si="5"/>
        <v>3.28</v>
      </c>
      <c r="H30" s="19">
        <f t="shared" si="6"/>
        <v>2.79</v>
      </c>
      <c r="I30" s="19">
        <f t="shared" si="7"/>
        <v>0</v>
      </c>
      <c r="J30" s="19">
        <f t="shared" si="8"/>
        <v>0</v>
      </c>
      <c r="K30" s="19">
        <f t="shared" si="9"/>
        <v>0</v>
      </c>
      <c r="L30" s="19">
        <f t="shared" si="10"/>
        <v>0</v>
      </c>
      <c r="M30" s="19">
        <f t="shared" si="11"/>
        <v>0</v>
      </c>
      <c r="N30" s="39">
        <f t="shared" si="12"/>
        <v>6.07</v>
      </c>
      <c r="O30" s="39">
        <f t="shared" si="1"/>
        <v>0.2640847941165706</v>
      </c>
      <c r="P30" s="40">
        <v>8</v>
      </c>
      <c r="Q30" s="40">
        <v>10</v>
      </c>
      <c r="R30" s="40">
        <v>9</v>
      </c>
      <c r="S30" s="40">
        <v>9</v>
      </c>
      <c r="T30" s="40">
        <v>9</v>
      </c>
      <c r="U30" s="40">
        <v>9</v>
      </c>
      <c r="V30" s="40">
        <v>9</v>
      </c>
      <c r="W30" s="41" t="str">
        <f t="shared" si="13"/>
        <v>N</v>
      </c>
      <c r="X30" s="56">
        <f t="shared" si="14"/>
        <v>0</v>
      </c>
      <c r="Y30" s="56" t="str">
        <f t="shared" si="4"/>
        <v>0-4.9%</v>
      </c>
      <c r="Z30" s="8" t="s">
        <v>118</v>
      </c>
      <c r="AB30" s="38">
        <v>3280</v>
      </c>
      <c r="AC30" s="38">
        <v>2790</v>
      </c>
      <c r="AD30" s="38"/>
      <c r="AE30" s="38"/>
      <c r="AF30" s="38"/>
      <c r="AG30" s="38"/>
      <c r="AH30" s="38"/>
    </row>
    <row r="31" spans="1:34" ht="24" customHeight="1" x14ac:dyDescent="0.25">
      <c r="A31" s="5">
        <v>40</v>
      </c>
      <c r="B31" s="9">
        <v>0.23263888888888887</v>
      </c>
      <c r="C31" s="5" t="s">
        <v>20</v>
      </c>
      <c r="D31" s="5">
        <v>7</v>
      </c>
      <c r="E31" s="15"/>
      <c r="F31" s="15" t="s">
        <v>23</v>
      </c>
      <c r="G31" s="19">
        <f t="shared" si="5"/>
        <v>2.34</v>
      </c>
      <c r="H31" s="19">
        <f t="shared" si="6"/>
        <v>2.4</v>
      </c>
      <c r="I31" s="19">
        <f t="shared" si="7"/>
        <v>0</v>
      </c>
      <c r="J31" s="19">
        <f t="shared" si="8"/>
        <v>0</v>
      </c>
      <c r="K31" s="19">
        <f t="shared" si="9"/>
        <v>0</v>
      </c>
      <c r="L31" s="19">
        <f t="shared" si="10"/>
        <v>0</v>
      </c>
      <c r="M31" s="19">
        <f t="shared" si="11"/>
        <v>0</v>
      </c>
      <c r="N31" s="39">
        <f t="shared" si="12"/>
        <v>4.74</v>
      </c>
      <c r="O31" s="39">
        <f t="shared" si="1"/>
        <v>8.677543973547891E-2</v>
      </c>
      <c r="P31" s="40">
        <v>8</v>
      </c>
      <c r="Q31" s="40">
        <v>10</v>
      </c>
      <c r="R31" s="40">
        <v>9</v>
      </c>
      <c r="S31" s="40">
        <v>9</v>
      </c>
      <c r="T31" s="40">
        <v>9</v>
      </c>
      <c r="U31" s="40">
        <v>9</v>
      </c>
      <c r="V31" s="40">
        <v>9</v>
      </c>
      <c r="W31" s="41" t="str">
        <f t="shared" si="13"/>
        <v>N</v>
      </c>
      <c r="X31" s="56">
        <f t="shared" si="14"/>
        <v>0</v>
      </c>
      <c r="Y31" s="56" t="str">
        <f t="shared" si="4"/>
        <v>0-4.9%</v>
      </c>
      <c r="Z31" s="8" t="s">
        <v>118</v>
      </c>
      <c r="AB31" s="38">
        <v>2340</v>
      </c>
      <c r="AC31" s="38">
        <v>2400</v>
      </c>
      <c r="AD31" s="38"/>
      <c r="AE31" s="38"/>
      <c r="AF31" s="38"/>
      <c r="AG31" s="38"/>
      <c r="AH31" s="38"/>
    </row>
    <row r="32" spans="1:34" ht="24" customHeight="1" x14ac:dyDescent="0.25">
      <c r="A32" s="5">
        <v>41</v>
      </c>
      <c r="B32" s="9">
        <v>0.23680555555555557</v>
      </c>
      <c r="C32" s="5" t="s">
        <v>20</v>
      </c>
      <c r="D32" s="5">
        <v>7</v>
      </c>
      <c r="E32" s="15"/>
      <c r="F32" s="15" t="s">
        <v>23</v>
      </c>
      <c r="G32" s="19">
        <f t="shared" si="5"/>
        <v>4.42</v>
      </c>
      <c r="H32" s="19">
        <f t="shared" si="6"/>
        <v>8.4600000000000009</v>
      </c>
      <c r="I32" s="19">
        <f t="shared" si="7"/>
        <v>0</v>
      </c>
      <c r="J32" s="19">
        <f t="shared" si="8"/>
        <v>0</v>
      </c>
      <c r="K32" s="19">
        <f t="shared" si="9"/>
        <v>0</v>
      </c>
      <c r="L32" s="19">
        <f t="shared" si="10"/>
        <v>0</v>
      </c>
      <c r="M32" s="19">
        <f t="shared" si="11"/>
        <v>0</v>
      </c>
      <c r="N32" s="39">
        <f t="shared" si="12"/>
        <v>12.88</v>
      </c>
      <c r="O32" s="39">
        <f t="shared" si="1"/>
        <v>7.7985824706740985</v>
      </c>
      <c r="P32" s="40">
        <v>8</v>
      </c>
      <c r="Q32" s="40">
        <v>10</v>
      </c>
      <c r="R32" s="40">
        <v>9</v>
      </c>
      <c r="S32" s="40">
        <v>9</v>
      </c>
      <c r="T32" s="40">
        <v>9</v>
      </c>
      <c r="U32" s="40">
        <v>9</v>
      </c>
      <c r="V32" s="40">
        <v>9</v>
      </c>
      <c r="W32" s="41" t="str">
        <f t="shared" si="13"/>
        <v>N</v>
      </c>
      <c r="X32" s="56">
        <f t="shared" si="14"/>
        <v>0</v>
      </c>
      <c r="Y32" s="56" t="str">
        <f t="shared" si="4"/>
        <v>0-4.9%</v>
      </c>
      <c r="Z32" s="8" t="s">
        <v>111</v>
      </c>
      <c r="AB32" s="38">
        <v>4420</v>
      </c>
      <c r="AC32" s="38">
        <v>8460</v>
      </c>
      <c r="AD32" s="38"/>
      <c r="AE32" s="38"/>
      <c r="AF32" s="38"/>
      <c r="AG32" s="38"/>
      <c r="AH32" s="38"/>
    </row>
    <row r="33" spans="1:34" ht="24" customHeight="1" x14ac:dyDescent="0.25">
      <c r="A33" s="5">
        <v>42</v>
      </c>
      <c r="B33" s="9">
        <v>0.24236111111111111</v>
      </c>
      <c r="C33" s="5" t="s">
        <v>20</v>
      </c>
      <c r="D33" s="5">
        <v>7</v>
      </c>
      <c r="E33" s="15"/>
      <c r="F33" s="15" t="s">
        <v>23</v>
      </c>
      <c r="G33" s="19">
        <f t="shared" si="5"/>
        <v>6</v>
      </c>
      <c r="H33" s="19">
        <f t="shared" si="6"/>
        <v>12.4</v>
      </c>
      <c r="I33" s="19">
        <f t="shared" si="7"/>
        <v>0</v>
      </c>
      <c r="J33" s="19">
        <f t="shared" si="8"/>
        <v>0</v>
      </c>
      <c r="K33" s="19">
        <f t="shared" si="9"/>
        <v>0</v>
      </c>
      <c r="L33" s="19">
        <f t="shared" si="10"/>
        <v>0</v>
      </c>
      <c r="M33" s="19">
        <f t="shared" si="11"/>
        <v>0</v>
      </c>
      <c r="N33" s="39">
        <f t="shared" si="12"/>
        <v>18.399999999999999</v>
      </c>
      <c r="O33" s="39">
        <f t="shared" si="1"/>
        <v>38.821694632250633</v>
      </c>
      <c r="P33" s="40">
        <v>8</v>
      </c>
      <c r="Q33" s="40">
        <v>10</v>
      </c>
      <c r="R33" s="40">
        <v>9</v>
      </c>
      <c r="S33" s="40">
        <v>9</v>
      </c>
      <c r="T33" s="40">
        <v>9</v>
      </c>
      <c r="U33" s="40">
        <v>9</v>
      </c>
      <c r="V33" s="40">
        <v>9</v>
      </c>
      <c r="W33" s="41" t="str">
        <f t="shared" si="13"/>
        <v>Y</v>
      </c>
      <c r="X33" s="56">
        <f t="shared" si="14"/>
        <v>0.24000000000000005</v>
      </c>
      <c r="Y33" s="56" t="str">
        <f t="shared" si="4"/>
        <v>5-25%</v>
      </c>
      <c r="Z33" s="8" t="s">
        <v>111</v>
      </c>
      <c r="AB33" s="38">
        <v>6000</v>
      </c>
      <c r="AC33" s="38">
        <v>12400</v>
      </c>
      <c r="AD33" s="38"/>
      <c r="AE33" s="38"/>
      <c r="AF33" s="38"/>
      <c r="AG33" s="38"/>
      <c r="AH33" s="38"/>
    </row>
    <row r="34" spans="1:34" ht="24" customHeight="1" x14ac:dyDescent="0.25">
      <c r="A34" s="5">
        <v>44</v>
      </c>
      <c r="B34" s="9">
        <v>0.35694444444444445</v>
      </c>
      <c r="C34" s="5" t="s">
        <v>20</v>
      </c>
      <c r="D34" s="5">
        <v>7</v>
      </c>
      <c r="E34" s="15"/>
      <c r="F34" s="15" t="s">
        <v>23</v>
      </c>
      <c r="G34" s="19">
        <f t="shared" si="5"/>
        <v>4.3</v>
      </c>
      <c r="H34" s="19">
        <f t="shared" si="6"/>
        <v>11.86</v>
      </c>
      <c r="I34" s="19">
        <f t="shared" si="7"/>
        <v>0</v>
      </c>
      <c r="J34" s="19">
        <f t="shared" si="8"/>
        <v>0</v>
      </c>
      <c r="K34" s="19">
        <f t="shared" si="9"/>
        <v>0</v>
      </c>
      <c r="L34" s="19">
        <f t="shared" si="10"/>
        <v>0</v>
      </c>
      <c r="M34" s="19">
        <f t="shared" si="11"/>
        <v>0</v>
      </c>
      <c r="N34" s="39">
        <f t="shared" si="12"/>
        <v>16.16</v>
      </c>
      <c r="O34" s="39">
        <f t="shared" si="1"/>
        <v>21.646136341077568</v>
      </c>
      <c r="P34" s="40">
        <v>8</v>
      </c>
      <c r="Q34" s="40">
        <v>10</v>
      </c>
      <c r="R34" s="40">
        <v>9</v>
      </c>
      <c r="S34" s="40">
        <v>9</v>
      </c>
      <c r="T34" s="40">
        <v>9</v>
      </c>
      <c r="U34" s="40">
        <v>9</v>
      </c>
      <c r="V34" s="40">
        <v>9</v>
      </c>
      <c r="W34" s="41" t="str">
        <f t="shared" si="13"/>
        <v>Y</v>
      </c>
      <c r="X34" s="56">
        <f t="shared" si="14"/>
        <v>0.18599999999999994</v>
      </c>
      <c r="Y34" s="56" t="str">
        <f t="shared" si="4"/>
        <v>5-25%</v>
      </c>
      <c r="Z34" s="8" t="s">
        <v>107</v>
      </c>
      <c r="AB34" s="38">
        <v>4300</v>
      </c>
      <c r="AC34" s="38">
        <v>11860</v>
      </c>
      <c r="AD34" s="38"/>
      <c r="AE34" s="38"/>
      <c r="AF34" s="38"/>
      <c r="AG34" s="38"/>
      <c r="AH34" s="38"/>
    </row>
    <row r="35" spans="1:34" ht="24" customHeight="1" x14ac:dyDescent="0.25">
      <c r="A35" s="5">
        <v>1</v>
      </c>
      <c r="B35" s="9">
        <v>0.38472222222222219</v>
      </c>
      <c r="C35" s="5" t="s">
        <v>20</v>
      </c>
      <c r="D35" s="5">
        <v>7</v>
      </c>
      <c r="E35" s="15"/>
      <c r="F35" s="15" t="s">
        <v>23</v>
      </c>
      <c r="G35" s="19">
        <f t="shared" si="5"/>
        <v>3.1</v>
      </c>
      <c r="H35" s="19">
        <f t="shared" si="6"/>
        <v>6.7</v>
      </c>
      <c r="I35" s="19">
        <f t="shared" si="7"/>
        <v>0</v>
      </c>
      <c r="J35" s="19">
        <f t="shared" si="8"/>
        <v>0</v>
      </c>
      <c r="K35" s="19">
        <f t="shared" si="9"/>
        <v>0</v>
      </c>
      <c r="L35" s="19">
        <f t="shared" si="10"/>
        <v>0</v>
      </c>
      <c r="M35" s="19">
        <f t="shared" si="11"/>
        <v>0</v>
      </c>
      <c r="N35" s="39">
        <f t="shared" si="12"/>
        <v>9.8000000000000007</v>
      </c>
      <c r="O35" s="39">
        <f t="shared" si="1"/>
        <v>2.2798780966429457</v>
      </c>
      <c r="P35" s="40">
        <v>8</v>
      </c>
      <c r="Q35" s="40">
        <v>10</v>
      </c>
      <c r="R35" s="40">
        <v>9</v>
      </c>
      <c r="S35" s="40">
        <v>9</v>
      </c>
      <c r="T35" s="40">
        <v>9</v>
      </c>
      <c r="U35" s="40">
        <v>9</v>
      </c>
      <c r="V35" s="40">
        <v>9</v>
      </c>
      <c r="W35" s="41" t="str">
        <f t="shared" si="13"/>
        <v>N</v>
      </c>
      <c r="X35" s="56">
        <f t="shared" si="14"/>
        <v>0</v>
      </c>
      <c r="Y35" s="56" t="str">
        <f t="shared" si="4"/>
        <v>0-4.9%</v>
      </c>
      <c r="Z35" s="8" t="s">
        <v>35</v>
      </c>
      <c r="AB35" s="38">
        <v>3100</v>
      </c>
      <c r="AC35" s="38">
        <v>6700</v>
      </c>
      <c r="AD35" s="38"/>
      <c r="AE35" s="38"/>
      <c r="AF35" s="38"/>
      <c r="AG35" s="38"/>
      <c r="AH35" s="38"/>
    </row>
    <row r="36" spans="1:34" ht="24" customHeight="1" x14ac:dyDescent="0.25">
      <c r="A36" s="5">
        <v>3</v>
      </c>
      <c r="B36" s="9">
        <v>0.38680555555555557</v>
      </c>
      <c r="C36" s="5" t="s">
        <v>20</v>
      </c>
      <c r="D36" s="5">
        <v>7</v>
      </c>
      <c r="E36" s="15"/>
      <c r="F36" s="15" t="s">
        <v>23</v>
      </c>
      <c r="G36" s="19">
        <f t="shared" si="5"/>
        <v>8.3000000000000007</v>
      </c>
      <c r="H36" s="19">
        <f t="shared" si="6"/>
        <v>15.74</v>
      </c>
      <c r="I36" s="19">
        <f t="shared" si="7"/>
        <v>0</v>
      </c>
      <c r="J36" s="19">
        <f t="shared" si="8"/>
        <v>0</v>
      </c>
      <c r="K36" s="19">
        <f t="shared" si="9"/>
        <v>0</v>
      </c>
      <c r="L36" s="19">
        <f t="shared" si="10"/>
        <v>0</v>
      </c>
      <c r="M36" s="19">
        <f t="shared" si="11"/>
        <v>0</v>
      </c>
      <c r="N36" s="39">
        <f t="shared" si="12"/>
        <v>24.04</v>
      </c>
      <c r="O36" s="39">
        <f t="shared" si="1"/>
        <v>129.30025179022721</v>
      </c>
      <c r="P36" s="40">
        <v>8</v>
      </c>
      <c r="Q36" s="40">
        <v>10</v>
      </c>
      <c r="R36" s="40">
        <v>9</v>
      </c>
      <c r="S36" s="40">
        <v>9</v>
      </c>
      <c r="T36" s="40">
        <v>9</v>
      </c>
      <c r="U36" s="40">
        <v>9</v>
      </c>
      <c r="V36" s="40">
        <v>9</v>
      </c>
      <c r="W36" s="41" t="str">
        <f t="shared" si="13"/>
        <v>Y</v>
      </c>
      <c r="X36" s="56">
        <f t="shared" si="14"/>
        <v>0.57400000000000007</v>
      </c>
      <c r="Y36" s="56" t="str">
        <f t="shared" si="4"/>
        <v>Over 50%</v>
      </c>
      <c r="Z36" s="8" t="s">
        <v>35</v>
      </c>
      <c r="AB36" s="38">
        <v>8300</v>
      </c>
      <c r="AC36" s="38">
        <v>15740</v>
      </c>
      <c r="AD36" s="38"/>
      <c r="AE36" s="38"/>
      <c r="AF36" s="38"/>
      <c r="AG36" s="38"/>
      <c r="AH36" s="38"/>
    </row>
    <row r="37" spans="1:34" ht="24" customHeight="1" x14ac:dyDescent="0.25">
      <c r="A37" s="5">
        <v>4</v>
      </c>
      <c r="B37" s="9">
        <v>0.3923611111111111</v>
      </c>
      <c r="C37" s="5" t="s">
        <v>20</v>
      </c>
      <c r="D37" s="5">
        <v>7</v>
      </c>
      <c r="E37" s="15"/>
      <c r="F37" s="15" t="s">
        <v>23</v>
      </c>
      <c r="G37" s="19">
        <f t="shared" si="5"/>
        <v>7.2</v>
      </c>
      <c r="H37" s="19">
        <f t="shared" si="6"/>
        <v>15.48</v>
      </c>
      <c r="I37" s="19">
        <f t="shared" si="7"/>
        <v>0</v>
      </c>
      <c r="J37" s="19">
        <f t="shared" si="8"/>
        <v>0</v>
      </c>
      <c r="K37" s="19">
        <f t="shared" si="9"/>
        <v>0</v>
      </c>
      <c r="L37" s="19">
        <f t="shared" si="10"/>
        <v>0</v>
      </c>
      <c r="M37" s="19">
        <f t="shared" si="11"/>
        <v>0</v>
      </c>
      <c r="N37" s="39">
        <f t="shared" si="12"/>
        <v>22.68</v>
      </c>
      <c r="O37" s="39">
        <f t="shared" si="1"/>
        <v>99.49196573036734</v>
      </c>
      <c r="P37" s="40">
        <v>8</v>
      </c>
      <c r="Q37" s="40">
        <v>10</v>
      </c>
      <c r="R37" s="40">
        <v>9</v>
      </c>
      <c r="S37" s="40">
        <v>9</v>
      </c>
      <c r="T37" s="40">
        <v>9</v>
      </c>
      <c r="U37" s="40">
        <v>9</v>
      </c>
      <c r="V37" s="40">
        <v>9</v>
      </c>
      <c r="W37" s="41" t="str">
        <f t="shared" si="13"/>
        <v>Y</v>
      </c>
      <c r="X37" s="56">
        <f t="shared" si="14"/>
        <v>0.54800000000000004</v>
      </c>
      <c r="Y37" s="56" t="str">
        <f t="shared" si="4"/>
        <v>Over 50%</v>
      </c>
      <c r="Z37" s="8" t="s">
        <v>145</v>
      </c>
      <c r="AB37" s="38">
        <v>7200</v>
      </c>
      <c r="AC37" s="38">
        <v>15480</v>
      </c>
      <c r="AD37" s="38"/>
      <c r="AE37" s="38"/>
      <c r="AF37" s="38"/>
      <c r="AG37" s="38"/>
      <c r="AH37" s="38"/>
    </row>
    <row r="38" spans="1:34" ht="24" customHeight="1" x14ac:dyDescent="0.25">
      <c r="A38" s="5">
        <v>5</v>
      </c>
      <c r="B38" s="9">
        <v>0.39305555555555555</v>
      </c>
      <c r="C38" s="5" t="s">
        <v>20</v>
      </c>
      <c r="D38" s="5">
        <v>7</v>
      </c>
      <c r="E38" s="15"/>
      <c r="F38" s="15" t="s">
        <v>23</v>
      </c>
      <c r="G38" s="19">
        <f t="shared" si="5"/>
        <v>3.12</v>
      </c>
      <c r="H38" s="19">
        <f t="shared" si="6"/>
        <v>2.7</v>
      </c>
      <c r="I38" s="19">
        <f t="shared" si="7"/>
        <v>0</v>
      </c>
      <c r="J38" s="19">
        <f t="shared" si="8"/>
        <v>0</v>
      </c>
      <c r="K38" s="19">
        <f t="shared" si="9"/>
        <v>0</v>
      </c>
      <c r="L38" s="19">
        <f t="shared" si="10"/>
        <v>0</v>
      </c>
      <c r="M38" s="19">
        <f t="shared" si="11"/>
        <v>0</v>
      </c>
      <c r="N38" s="39">
        <f t="shared" si="12"/>
        <v>5.82</v>
      </c>
      <c r="O38" s="39">
        <f t="shared" si="1"/>
        <v>0.21854844286429131</v>
      </c>
      <c r="P38" s="40">
        <v>8</v>
      </c>
      <c r="Q38" s="40">
        <v>10</v>
      </c>
      <c r="R38" s="40">
        <v>9</v>
      </c>
      <c r="S38" s="40">
        <v>9</v>
      </c>
      <c r="T38" s="40">
        <v>9</v>
      </c>
      <c r="U38" s="40">
        <v>9</v>
      </c>
      <c r="V38" s="40">
        <v>9</v>
      </c>
      <c r="W38" s="41" t="str">
        <f t="shared" si="13"/>
        <v>N</v>
      </c>
      <c r="X38" s="56">
        <f t="shared" si="14"/>
        <v>0</v>
      </c>
      <c r="Y38" s="56" t="str">
        <f t="shared" si="4"/>
        <v>0-4.9%</v>
      </c>
      <c r="Z38" s="8" t="s">
        <v>118</v>
      </c>
      <c r="AB38" s="38">
        <v>3120</v>
      </c>
      <c r="AC38" s="38">
        <v>2700</v>
      </c>
      <c r="AD38" s="38"/>
      <c r="AE38" s="38"/>
      <c r="AF38" s="38"/>
      <c r="AG38" s="38"/>
      <c r="AH38" s="38"/>
    </row>
    <row r="39" spans="1:34" ht="24" customHeight="1" x14ac:dyDescent="0.25">
      <c r="A39" s="5">
        <v>8</v>
      </c>
      <c r="B39" s="9">
        <v>0.3972222222222222</v>
      </c>
      <c r="C39" s="5" t="s">
        <v>20</v>
      </c>
      <c r="D39" s="5">
        <v>7</v>
      </c>
      <c r="E39" s="15"/>
      <c r="F39" s="15" t="s">
        <v>23</v>
      </c>
      <c r="G39" s="19">
        <f t="shared" si="5"/>
        <v>5.42</v>
      </c>
      <c r="H39" s="19">
        <f t="shared" si="6"/>
        <v>16.48</v>
      </c>
      <c r="I39" s="19">
        <f t="shared" si="7"/>
        <v>0</v>
      </c>
      <c r="J39" s="19">
        <f t="shared" si="8"/>
        <v>0</v>
      </c>
      <c r="K39" s="19">
        <f t="shared" si="9"/>
        <v>0</v>
      </c>
      <c r="L39" s="19">
        <f t="shared" si="10"/>
        <v>0</v>
      </c>
      <c r="M39" s="19">
        <f t="shared" si="11"/>
        <v>0</v>
      </c>
      <c r="N39" s="39">
        <f t="shared" si="12"/>
        <v>21.9</v>
      </c>
      <c r="O39" s="39">
        <f t="shared" ref="O39:O70" si="15">(N39/8.16)^4.5</f>
        <v>84.994887303355114</v>
      </c>
      <c r="P39" s="40">
        <v>8</v>
      </c>
      <c r="Q39" s="40">
        <v>10</v>
      </c>
      <c r="R39" s="40">
        <v>9</v>
      </c>
      <c r="S39" s="40">
        <v>9</v>
      </c>
      <c r="T39" s="40">
        <v>9</v>
      </c>
      <c r="U39" s="40">
        <v>9</v>
      </c>
      <c r="V39" s="40">
        <v>9</v>
      </c>
      <c r="W39" s="41" t="str">
        <f t="shared" si="13"/>
        <v>Y</v>
      </c>
      <c r="X39" s="56">
        <f t="shared" si="14"/>
        <v>0.64800000000000002</v>
      </c>
      <c r="Y39" s="56" t="str">
        <f t="shared" si="4"/>
        <v>Over 50%</v>
      </c>
      <c r="Z39" s="8" t="s">
        <v>111</v>
      </c>
      <c r="AB39" s="38">
        <v>5420</v>
      </c>
      <c r="AC39" s="38">
        <v>16480</v>
      </c>
      <c r="AD39" s="38"/>
      <c r="AE39" s="38"/>
      <c r="AF39" s="38"/>
      <c r="AG39" s="38"/>
      <c r="AH39" s="38"/>
    </row>
    <row r="40" spans="1:34" ht="24" customHeight="1" x14ac:dyDescent="0.25">
      <c r="A40" s="5">
        <v>9</v>
      </c>
      <c r="B40" s="9">
        <v>0.40347222222222223</v>
      </c>
      <c r="C40" s="5" t="s">
        <v>20</v>
      </c>
      <c r="D40" s="5">
        <v>7</v>
      </c>
      <c r="E40" s="15"/>
      <c r="F40" s="15" t="s">
        <v>23</v>
      </c>
      <c r="G40" s="19">
        <f t="shared" si="5"/>
        <v>5.48</v>
      </c>
      <c r="H40" s="19">
        <f t="shared" si="6"/>
        <v>17.68</v>
      </c>
      <c r="I40" s="19">
        <f t="shared" si="7"/>
        <v>0</v>
      </c>
      <c r="J40" s="19">
        <f t="shared" si="8"/>
        <v>0</v>
      </c>
      <c r="K40" s="19">
        <f t="shared" si="9"/>
        <v>0</v>
      </c>
      <c r="L40" s="19">
        <f t="shared" si="10"/>
        <v>0</v>
      </c>
      <c r="M40" s="19">
        <f t="shared" si="11"/>
        <v>0</v>
      </c>
      <c r="N40" s="39">
        <f t="shared" si="12"/>
        <v>23.16</v>
      </c>
      <c r="O40" s="39">
        <f t="shared" si="15"/>
        <v>109.32457139004813</v>
      </c>
      <c r="P40" s="40">
        <v>8</v>
      </c>
      <c r="Q40" s="40">
        <v>10</v>
      </c>
      <c r="R40" s="40">
        <v>9</v>
      </c>
      <c r="S40" s="40">
        <v>9</v>
      </c>
      <c r="T40" s="40">
        <v>9</v>
      </c>
      <c r="U40" s="40">
        <v>9</v>
      </c>
      <c r="V40" s="40">
        <v>9</v>
      </c>
      <c r="W40" s="41" t="str">
        <f t="shared" si="13"/>
        <v>Y</v>
      </c>
      <c r="X40" s="56">
        <f t="shared" si="14"/>
        <v>0.76800000000000002</v>
      </c>
      <c r="Y40" s="56" t="str">
        <f t="shared" si="4"/>
        <v>Over 50%</v>
      </c>
      <c r="Z40" s="8" t="s">
        <v>111</v>
      </c>
      <c r="AB40" s="38">
        <v>5480</v>
      </c>
      <c r="AC40" s="38">
        <v>17680</v>
      </c>
      <c r="AD40" s="38"/>
      <c r="AE40" s="38"/>
      <c r="AF40" s="38"/>
      <c r="AG40" s="38"/>
      <c r="AH40" s="38"/>
    </row>
    <row r="41" spans="1:34" ht="24" customHeight="1" x14ac:dyDescent="0.25">
      <c r="A41" s="5">
        <v>11</v>
      </c>
      <c r="B41" s="9">
        <v>0.4069444444444445</v>
      </c>
      <c r="C41" s="5" t="s">
        <v>20</v>
      </c>
      <c r="D41" s="5">
        <v>7</v>
      </c>
      <c r="E41" s="15"/>
      <c r="F41" s="15" t="s">
        <v>23</v>
      </c>
      <c r="G41" s="19">
        <f t="shared" si="5"/>
        <v>8.14</v>
      </c>
      <c r="H41" s="19">
        <f t="shared" si="6"/>
        <v>14.28</v>
      </c>
      <c r="I41" s="19">
        <f t="shared" si="7"/>
        <v>0</v>
      </c>
      <c r="J41" s="19">
        <f t="shared" si="8"/>
        <v>0</v>
      </c>
      <c r="K41" s="19">
        <f t="shared" si="9"/>
        <v>0</v>
      </c>
      <c r="L41" s="19">
        <f t="shared" si="10"/>
        <v>0</v>
      </c>
      <c r="M41" s="19">
        <f t="shared" si="11"/>
        <v>0</v>
      </c>
      <c r="N41" s="39">
        <f t="shared" si="12"/>
        <v>22.42</v>
      </c>
      <c r="O41" s="39">
        <f t="shared" si="15"/>
        <v>94.461431508508383</v>
      </c>
      <c r="P41" s="40">
        <v>8</v>
      </c>
      <c r="Q41" s="40">
        <v>10</v>
      </c>
      <c r="R41" s="40">
        <v>9</v>
      </c>
      <c r="S41" s="40">
        <v>9</v>
      </c>
      <c r="T41" s="40">
        <v>9</v>
      </c>
      <c r="U41" s="40">
        <v>9</v>
      </c>
      <c r="V41" s="40">
        <v>9</v>
      </c>
      <c r="W41" s="41" t="str">
        <f t="shared" si="13"/>
        <v>Y</v>
      </c>
      <c r="X41" s="56">
        <f t="shared" si="14"/>
        <v>0.42799999999999994</v>
      </c>
      <c r="Y41" s="56" t="str">
        <f t="shared" si="4"/>
        <v>25-50%</v>
      </c>
      <c r="Z41" s="8" t="s">
        <v>107</v>
      </c>
      <c r="AB41" s="38">
        <v>8140</v>
      </c>
      <c r="AC41" s="38">
        <v>14280</v>
      </c>
      <c r="AD41" s="38"/>
      <c r="AE41" s="38"/>
      <c r="AF41" s="38"/>
      <c r="AG41" s="38"/>
      <c r="AH41" s="38"/>
    </row>
    <row r="42" spans="1:34" ht="24" customHeight="1" x14ac:dyDescent="0.25">
      <c r="A42" s="5">
        <v>17</v>
      </c>
      <c r="B42" s="9">
        <v>0.46111111111111108</v>
      </c>
      <c r="C42" s="5" t="s">
        <v>20</v>
      </c>
      <c r="D42" s="5">
        <v>7</v>
      </c>
      <c r="E42" s="15"/>
      <c r="F42" s="15" t="s">
        <v>23</v>
      </c>
      <c r="G42" s="19">
        <f t="shared" si="5"/>
        <v>6.48</v>
      </c>
      <c r="H42" s="19">
        <f t="shared" si="6"/>
        <v>9.64</v>
      </c>
      <c r="I42" s="19">
        <f t="shared" si="7"/>
        <v>0</v>
      </c>
      <c r="J42" s="19">
        <f t="shared" si="8"/>
        <v>0</v>
      </c>
      <c r="K42" s="19">
        <f t="shared" si="9"/>
        <v>0</v>
      </c>
      <c r="L42" s="19">
        <f t="shared" si="10"/>
        <v>0</v>
      </c>
      <c r="M42" s="19">
        <f t="shared" si="11"/>
        <v>0</v>
      </c>
      <c r="N42" s="39">
        <f t="shared" si="12"/>
        <v>16.12</v>
      </c>
      <c r="O42" s="39">
        <f t="shared" si="15"/>
        <v>21.406070637752741</v>
      </c>
      <c r="P42" s="40">
        <v>8</v>
      </c>
      <c r="Q42" s="40">
        <v>10</v>
      </c>
      <c r="R42" s="40">
        <v>9</v>
      </c>
      <c r="S42" s="40">
        <v>9</v>
      </c>
      <c r="T42" s="40">
        <v>9</v>
      </c>
      <c r="U42" s="40">
        <v>9</v>
      </c>
      <c r="V42" s="40">
        <v>9</v>
      </c>
      <c r="W42" s="41" t="str">
        <f t="shared" si="13"/>
        <v>N</v>
      </c>
      <c r="X42" s="56">
        <f t="shared" si="14"/>
        <v>0</v>
      </c>
      <c r="Y42" s="56" t="str">
        <f t="shared" si="4"/>
        <v>0-4.9%</v>
      </c>
      <c r="Z42" s="8" t="s">
        <v>111</v>
      </c>
      <c r="AB42" s="38">
        <v>6480</v>
      </c>
      <c r="AC42" s="38">
        <v>9640</v>
      </c>
      <c r="AD42" s="38"/>
      <c r="AE42" s="38"/>
      <c r="AF42" s="38"/>
      <c r="AG42" s="38"/>
      <c r="AH42" s="38"/>
    </row>
    <row r="43" spans="1:34" ht="24" customHeight="1" x14ac:dyDescent="0.25">
      <c r="A43" s="5">
        <v>19</v>
      </c>
      <c r="B43" s="9">
        <v>0.48055555555555557</v>
      </c>
      <c r="C43" s="5" t="s">
        <v>20</v>
      </c>
      <c r="D43" s="5">
        <v>7</v>
      </c>
      <c r="E43" s="15"/>
      <c r="F43" s="15" t="s">
        <v>23</v>
      </c>
      <c r="G43" s="19">
        <f t="shared" si="5"/>
        <v>5.6</v>
      </c>
      <c r="H43" s="19">
        <f t="shared" si="6"/>
        <v>15.62</v>
      </c>
      <c r="I43" s="19">
        <f t="shared" si="7"/>
        <v>0</v>
      </c>
      <c r="J43" s="19">
        <f t="shared" si="8"/>
        <v>0</v>
      </c>
      <c r="K43" s="19">
        <f t="shared" si="9"/>
        <v>0</v>
      </c>
      <c r="L43" s="19">
        <f t="shared" si="10"/>
        <v>0</v>
      </c>
      <c r="M43" s="19">
        <f t="shared" si="11"/>
        <v>0</v>
      </c>
      <c r="N43" s="39">
        <f t="shared" si="12"/>
        <v>21.22</v>
      </c>
      <c r="O43" s="39">
        <f t="shared" si="15"/>
        <v>73.747702260459349</v>
      </c>
      <c r="P43" s="40">
        <v>8</v>
      </c>
      <c r="Q43" s="40">
        <v>10</v>
      </c>
      <c r="R43" s="40">
        <v>9</v>
      </c>
      <c r="S43" s="40">
        <v>9</v>
      </c>
      <c r="T43" s="40">
        <v>9</v>
      </c>
      <c r="U43" s="40">
        <v>9</v>
      </c>
      <c r="V43" s="40">
        <v>9</v>
      </c>
      <c r="W43" s="41" t="str">
        <f t="shared" si="13"/>
        <v>Y</v>
      </c>
      <c r="X43" s="56">
        <f t="shared" si="14"/>
        <v>0.56199999999999994</v>
      </c>
      <c r="Y43" s="56" t="str">
        <f t="shared" si="4"/>
        <v>Over 50%</v>
      </c>
      <c r="Z43" s="8" t="s">
        <v>111</v>
      </c>
      <c r="AB43" s="38">
        <v>5600</v>
      </c>
      <c r="AC43" s="38">
        <v>15620</v>
      </c>
      <c r="AD43" s="38"/>
      <c r="AE43" s="38"/>
      <c r="AF43" s="38"/>
      <c r="AG43" s="38"/>
      <c r="AH43" s="38"/>
    </row>
    <row r="44" spans="1:34" ht="24" customHeight="1" x14ac:dyDescent="0.25">
      <c r="A44" s="5">
        <v>20</v>
      </c>
      <c r="B44" s="9">
        <v>0.53263888888888888</v>
      </c>
      <c r="C44" s="5" t="s">
        <v>20</v>
      </c>
      <c r="D44" s="5">
        <v>7</v>
      </c>
      <c r="E44" s="15"/>
      <c r="F44" s="15" t="s">
        <v>23</v>
      </c>
      <c r="G44" s="19">
        <f t="shared" si="5"/>
        <v>3.78</v>
      </c>
      <c r="H44" s="19">
        <f t="shared" si="6"/>
        <v>8.4</v>
      </c>
      <c r="I44" s="19">
        <f t="shared" si="7"/>
        <v>0</v>
      </c>
      <c r="J44" s="19">
        <f t="shared" si="8"/>
        <v>0</v>
      </c>
      <c r="K44" s="19">
        <f t="shared" si="9"/>
        <v>0</v>
      </c>
      <c r="L44" s="19">
        <f t="shared" si="10"/>
        <v>0</v>
      </c>
      <c r="M44" s="19">
        <f t="shared" si="11"/>
        <v>0</v>
      </c>
      <c r="N44" s="39">
        <f t="shared" si="12"/>
        <v>12.18</v>
      </c>
      <c r="O44" s="39">
        <f t="shared" si="15"/>
        <v>6.0646687234626224</v>
      </c>
      <c r="P44" s="40">
        <v>8</v>
      </c>
      <c r="Q44" s="40">
        <v>10</v>
      </c>
      <c r="R44" s="40">
        <v>9</v>
      </c>
      <c r="S44" s="40">
        <v>9</v>
      </c>
      <c r="T44" s="40">
        <v>9</v>
      </c>
      <c r="U44" s="40">
        <v>9</v>
      </c>
      <c r="V44" s="40">
        <v>9</v>
      </c>
      <c r="W44" s="41" t="str">
        <f t="shared" si="13"/>
        <v>N</v>
      </c>
      <c r="X44" s="56">
        <f t="shared" si="14"/>
        <v>0</v>
      </c>
      <c r="Y44" s="56" t="str">
        <f t="shared" si="4"/>
        <v>0-4.9%</v>
      </c>
      <c r="Z44" s="8" t="s">
        <v>111</v>
      </c>
      <c r="AB44" s="38">
        <v>3780</v>
      </c>
      <c r="AC44" s="38">
        <v>8400</v>
      </c>
      <c r="AD44" s="38"/>
      <c r="AE44" s="38"/>
      <c r="AF44" s="38"/>
      <c r="AG44" s="38"/>
      <c r="AH44" s="38"/>
    </row>
    <row r="45" spans="1:34" ht="24" customHeight="1" x14ac:dyDescent="0.25">
      <c r="A45" s="5">
        <v>21</v>
      </c>
      <c r="B45" s="9">
        <v>0.5395833333333333</v>
      </c>
      <c r="C45" s="5" t="s">
        <v>20</v>
      </c>
      <c r="D45" s="5">
        <v>7</v>
      </c>
      <c r="E45" s="15"/>
      <c r="F45" s="15" t="s">
        <v>23</v>
      </c>
      <c r="G45" s="19">
        <f t="shared" si="5"/>
        <v>3.28</v>
      </c>
      <c r="H45" s="19">
        <f t="shared" si="6"/>
        <v>4.08</v>
      </c>
      <c r="I45" s="19">
        <f t="shared" si="7"/>
        <v>0</v>
      </c>
      <c r="J45" s="19">
        <f t="shared" si="8"/>
        <v>0</v>
      </c>
      <c r="K45" s="19">
        <f t="shared" si="9"/>
        <v>0</v>
      </c>
      <c r="L45" s="19">
        <f t="shared" si="10"/>
        <v>0</v>
      </c>
      <c r="M45" s="19">
        <f t="shared" si="11"/>
        <v>0</v>
      </c>
      <c r="N45" s="39">
        <f t="shared" si="12"/>
        <v>7.3599999999999994</v>
      </c>
      <c r="O45" s="39">
        <f t="shared" si="15"/>
        <v>0.62855668564707767</v>
      </c>
      <c r="P45" s="40">
        <v>8</v>
      </c>
      <c r="Q45" s="40">
        <v>10</v>
      </c>
      <c r="R45" s="40">
        <v>9</v>
      </c>
      <c r="S45" s="40">
        <v>9</v>
      </c>
      <c r="T45" s="40">
        <v>9</v>
      </c>
      <c r="U45" s="40">
        <v>9</v>
      </c>
      <c r="V45" s="40">
        <v>9</v>
      </c>
      <c r="W45" s="41" t="str">
        <f t="shared" si="13"/>
        <v>N</v>
      </c>
      <c r="X45" s="56">
        <f t="shared" si="14"/>
        <v>0</v>
      </c>
      <c r="Y45" s="56" t="str">
        <f t="shared" si="4"/>
        <v>0-4.9%</v>
      </c>
      <c r="Z45" s="8" t="s">
        <v>118</v>
      </c>
      <c r="AB45" s="38">
        <v>3280</v>
      </c>
      <c r="AC45" s="38">
        <v>4080</v>
      </c>
      <c r="AD45" s="38"/>
      <c r="AE45" s="38"/>
      <c r="AF45" s="38"/>
      <c r="AG45" s="38"/>
      <c r="AH45" s="38"/>
    </row>
    <row r="46" spans="1:34" ht="24" customHeight="1" x14ac:dyDescent="0.25">
      <c r="A46" s="5">
        <v>22</v>
      </c>
      <c r="B46" s="9">
        <v>0.54027777777777775</v>
      </c>
      <c r="C46" s="5" t="s">
        <v>20</v>
      </c>
      <c r="D46" s="5">
        <v>7</v>
      </c>
      <c r="E46" s="15"/>
      <c r="F46" s="15" t="s">
        <v>23</v>
      </c>
      <c r="G46" s="19">
        <f t="shared" si="5"/>
        <v>5.4</v>
      </c>
      <c r="H46" s="19">
        <f t="shared" si="6"/>
        <v>16.34</v>
      </c>
      <c r="I46" s="19">
        <f t="shared" si="7"/>
        <v>0</v>
      </c>
      <c r="J46" s="19">
        <f t="shared" si="8"/>
        <v>0</v>
      </c>
      <c r="K46" s="19">
        <f t="shared" si="9"/>
        <v>0</v>
      </c>
      <c r="L46" s="19">
        <f t="shared" si="10"/>
        <v>0</v>
      </c>
      <c r="M46" s="19">
        <f t="shared" si="11"/>
        <v>0</v>
      </c>
      <c r="N46" s="39">
        <f t="shared" si="12"/>
        <v>21.740000000000002</v>
      </c>
      <c r="O46" s="39">
        <f t="shared" si="15"/>
        <v>82.236044805065617</v>
      </c>
      <c r="P46" s="40">
        <v>8</v>
      </c>
      <c r="Q46" s="40">
        <v>10</v>
      </c>
      <c r="R46" s="40">
        <v>9</v>
      </c>
      <c r="S46" s="40">
        <v>9</v>
      </c>
      <c r="T46" s="40">
        <v>9</v>
      </c>
      <c r="U46" s="40">
        <v>9</v>
      </c>
      <c r="V46" s="40">
        <v>9</v>
      </c>
      <c r="W46" s="41" t="str">
        <f t="shared" si="13"/>
        <v>Y</v>
      </c>
      <c r="X46" s="56">
        <f t="shared" si="14"/>
        <v>0.63400000000000001</v>
      </c>
      <c r="Y46" s="56" t="str">
        <f t="shared" si="4"/>
        <v>Over 50%</v>
      </c>
      <c r="Z46" s="8" t="s">
        <v>111</v>
      </c>
      <c r="AB46" s="38">
        <v>5400</v>
      </c>
      <c r="AC46" s="38">
        <v>16340</v>
      </c>
      <c r="AD46" s="38"/>
      <c r="AE46" s="38"/>
      <c r="AF46" s="38"/>
      <c r="AG46" s="38"/>
      <c r="AH46" s="38"/>
    </row>
    <row r="47" spans="1:34" ht="24" customHeight="1" x14ac:dyDescent="0.25">
      <c r="A47" s="5">
        <v>23</v>
      </c>
      <c r="B47" s="9">
        <v>4.3750000000000004E-2</v>
      </c>
      <c r="C47" s="5" t="s">
        <v>20</v>
      </c>
      <c r="D47" s="5">
        <v>7</v>
      </c>
      <c r="E47" s="15"/>
      <c r="F47" s="15" t="s">
        <v>23</v>
      </c>
      <c r="G47" s="19">
        <f t="shared" si="5"/>
        <v>6.14</v>
      </c>
      <c r="H47" s="19">
        <f t="shared" si="6"/>
        <v>5.46</v>
      </c>
      <c r="I47" s="19">
        <f t="shared" si="7"/>
        <v>0</v>
      </c>
      <c r="J47" s="19">
        <f t="shared" si="8"/>
        <v>0</v>
      </c>
      <c r="K47" s="19">
        <f t="shared" si="9"/>
        <v>0</v>
      </c>
      <c r="L47" s="19">
        <f t="shared" si="10"/>
        <v>0</v>
      </c>
      <c r="M47" s="19">
        <f t="shared" si="11"/>
        <v>0</v>
      </c>
      <c r="N47" s="39">
        <f t="shared" si="12"/>
        <v>11.6</v>
      </c>
      <c r="O47" s="39">
        <f t="shared" si="15"/>
        <v>4.8691733585375285</v>
      </c>
      <c r="P47" s="40">
        <v>8</v>
      </c>
      <c r="Q47" s="40">
        <v>10</v>
      </c>
      <c r="R47" s="40">
        <v>9</v>
      </c>
      <c r="S47" s="40">
        <v>9</v>
      </c>
      <c r="T47" s="40">
        <v>9</v>
      </c>
      <c r="U47" s="40">
        <v>9</v>
      </c>
      <c r="V47" s="40">
        <v>9</v>
      </c>
      <c r="W47" s="41" t="str">
        <f t="shared" si="13"/>
        <v>N</v>
      </c>
      <c r="X47" s="56">
        <f t="shared" si="14"/>
        <v>0</v>
      </c>
      <c r="Y47" s="56" t="str">
        <f t="shared" si="4"/>
        <v>0-4.9%</v>
      </c>
      <c r="Z47" s="8" t="s">
        <v>145</v>
      </c>
      <c r="AB47" s="38">
        <v>6140</v>
      </c>
      <c r="AC47" s="38">
        <v>5460</v>
      </c>
      <c r="AD47" s="38"/>
      <c r="AE47" s="38"/>
      <c r="AF47" s="38"/>
      <c r="AG47" s="38"/>
      <c r="AH47" s="38"/>
    </row>
    <row r="48" spans="1:34" ht="24" customHeight="1" x14ac:dyDescent="0.25">
      <c r="A48" s="5">
        <v>24</v>
      </c>
      <c r="B48" s="9">
        <v>6.6666666666666666E-2</v>
      </c>
      <c r="C48" s="5" t="s">
        <v>20</v>
      </c>
      <c r="D48" s="5">
        <v>7</v>
      </c>
      <c r="E48" s="15"/>
      <c r="F48" s="15" t="s">
        <v>23</v>
      </c>
      <c r="G48" s="19">
        <f t="shared" si="5"/>
        <v>5.36</v>
      </c>
      <c r="H48" s="19">
        <f t="shared" si="6"/>
        <v>17.04</v>
      </c>
      <c r="I48" s="19">
        <f t="shared" si="7"/>
        <v>0</v>
      </c>
      <c r="J48" s="19">
        <f t="shared" si="8"/>
        <v>0</v>
      </c>
      <c r="K48" s="19">
        <f t="shared" si="9"/>
        <v>0</v>
      </c>
      <c r="L48" s="19">
        <f t="shared" si="10"/>
        <v>0</v>
      </c>
      <c r="M48" s="19">
        <f t="shared" si="11"/>
        <v>0</v>
      </c>
      <c r="N48" s="39">
        <f t="shared" si="12"/>
        <v>22.4</v>
      </c>
      <c r="O48" s="39">
        <f t="shared" si="15"/>
        <v>94.082829059377772</v>
      </c>
      <c r="P48" s="40">
        <v>8</v>
      </c>
      <c r="Q48" s="40">
        <v>10</v>
      </c>
      <c r="R48" s="40">
        <v>9</v>
      </c>
      <c r="S48" s="40">
        <v>9</v>
      </c>
      <c r="T48" s="40">
        <v>9</v>
      </c>
      <c r="U48" s="40">
        <v>9</v>
      </c>
      <c r="V48" s="40">
        <v>9</v>
      </c>
      <c r="W48" s="41" t="str">
        <f t="shared" si="13"/>
        <v>Y</v>
      </c>
      <c r="X48" s="56">
        <f t="shared" si="14"/>
        <v>0.70399999999999996</v>
      </c>
      <c r="Y48" s="56" t="str">
        <f t="shared" si="4"/>
        <v>Over 50%</v>
      </c>
      <c r="Z48" s="8" t="s">
        <v>111</v>
      </c>
      <c r="AB48" s="38">
        <v>5360</v>
      </c>
      <c r="AC48" s="38">
        <v>17040</v>
      </c>
      <c r="AD48" s="38"/>
      <c r="AE48" s="38"/>
      <c r="AF48" s="38"/>
      <c r="AG48" s="38"/>
      <c r="AH48" s="38"/>
    </row>
    <row r="49" spans="1:34" ht="24" customHeight="1" x14ac:dyDescent="0.25">
      <c r="A49" s="5">
        <v>26</v>
      </c>
      <c r="B49" s="9">
        <v>0.11041666666666666</v>
      </c>
      <c r="C49" s="5" t="s">
        <v>20</v>
      </c>
      <c r="D49" s="5">
        <v>7</v>
      </c>
      <c r="E49" s="15"/>
      <c r="F49" s="15" t="s">
        <v>23</v>
      </c>
      <c r="G49" s="19">
        <f t="shared" si="5"/>
        <v>8.3800000000000008</v>
      </c>
      <c r="H49" s="19">
        <f t="shared" si="6"/>
        <v>15.46</v>
      </c>
      <c r="I49" s="19">
        <f t="shared" si="7"/>
        <v>0</v>
      </c>
      <c r="J49" s="19">
        <f t="shared" si="8"/>
        <v>0</v>
      </c>
      <c r="K49" s="19">
        <f t="shared" si="9"/>
        <v>0</v>
      </c>
      <c r="L49" s="19">
        <f t="shared" si="10"/>
        <v>0</v>
      </c>
      <c r="M49" s="19">
        <f t="shared" si="11"/>
        <v>0</v>
      </c>
      <c r="N49" s="39">
        <f t="shared" si="12"/>
        <v>23.840000000000003</v>
      </c>
      <c r="O49" s="39">
        <f t="shared" si="15"/>
        <v>124.52954904805381</v>
      </c>
      <c r="P49" s="40">
        <v>8</v>
      </c>
      <c r="Q49" s="40">
        <v>10</v>
      </c>
      <c r="R49" s="40">
        <v>9</v>
      </c>
      <c r="S49" s="40">
        <v>9</v>
      </c>
      <c r="T49" s="40">
        <v>9</v>
      </c>
      <c r="U49" s="40">
        <v>9</v>
      </c>
      <c r="V49" s="40">
        <v>9</v>
      </c>
      <c r="W49" s="41" t="str">
        <f t="shared" si="13"/>
        <v>Y</v>
      </c>
      <c r="X49" s="56">
        <f t="shared" si="14"/>
        <v>0.54600000000000004</v>
      </c>
      <c r="Y49" s="56" t="str">
        <f t="shared" si="4"/>
        <v>Over 50%</v>
      </c>
      <c r="Z49" s="8" t="s">
        <v>107</v>
      </c>
      <c r="AB49" s="38">
        <v>8380</v>
      </c>
      <c r="AC49" s="38">
        <v>15460</v>
      </c>
      <c r="AD49" s="38"/>
      <c r="AE49" s="38"/>
      <c r="AF49" s="38"/>
      <c r="AG49" s="38"/>
      <c r="AH49" s="38"/>
    </row>
    <row r="50" spans="1:34" ht="24" customHeight="1" x14ac:dyDescent="0.25">
      <c r="A50" s="5">
        <v>27</v>
      </c>
      <c r="B50" s="9">
        <v>0.11319444444444444</v>
      </c>
      <c r="C50" s="5" t="s">
        <v>20</v>
      </c>
      <c r="D50" s="5">
        <v>7</v>
      </c>
      <c r="E50" s="15"/>
      <c r="F50" s="15" t="s">
        <v>23</v>
      </c>
      <c r="G50" s="19">
        <f t="shared" si="5"/>
        <v>4.8</v>
      </c>
      <c r="H50" s="19">
        <f t="shared" si="6"/>
        <v>9.2200000000000006</v>
      </c>
      <c r="I50" s="19">
        <f t="shared" si="7"/>
        <v>0</v>
      </c>
      <c r="J50" s="19">
        <f t="shared" si="8"/>
        <v>0</v>
      </c>
      <c r="K50" s="19">
        <f t="shared" si="9"/>
        <v>0</v>
      </c>
      <c r="L50" s="19">
        <f t="shared" si="10"/>
        <v>0</v>
      </c>
      <c r="M50" s="19">
        <f t="shared" si="11"/>
        <v>0</v>
      </c>
      <c r="N50" s="39">
        <f t="shared" si="12"/>
        <v>14.02</v>
      </c>
      <c r="O50" s="39">
        <f t="shared" si="15"/>
        <v>11.422478438699608</v>
      </c>
      <c r="P50" s="40">
        <v>8</v>
      </c>
      <c r="Q50" s="40">
        <v>10</v>
      </c>
      <c r="R50" s="40">
        <v>9</v>
      </c>
      <c r="S50" s="40">
        <v>9</v>
      </c>
      <c r="T50" s="40">
        <v>9</v>
      </c>
      <c r="U50" s="40">
        <v>9</v>
      </c>
      <c r="V50" s="40">
        <v>9</v>
      </c>
      <c r="W50" s="41" t="str">
        <f t="shared" si="13"/>
        <v>N</v>
      </c>
      <c r="X50" s="56">
        <f t="shared" si="14"/>
        <v>0</v>
      </c>
      <c r="Y50" s="56" t="str">
        <f t="shared" si="4"/>
        <v>0-4.9%</v>
      </c>
      <c r="Z50" s="8" t="s">
        <v>111</v>
      </c>
      <c r="AB50" s="38">
        <v>4800</v>
      </c>
      <c r="AC50" s="38">
        <v>9220</v>
      </c>
      <c r="AD50" s="38"/>
      <c r="AE50" s="38"/>
      <c r="AF50" s="38"/>
      <c r="AG50" s="38"/>
      <c r="AH50" s="38"/>
    </row>
    <row r="51" spans="1:34" ht="24" customHeight="1" x14ac:dyDescent="0.25">
      <c r="A51" s="5">
        <v>28</v>
      </c>
      <c r="B51" s="9">
        <v>0.12361111111111112</v>
      </c>
      <c r="C51" s="5" t="s">
        <v>21</v>
      </c>
      <c r="D51" s="5">
        <v>7</v>
      </c>
      <c r="E51" s="15"/>
      <c r="F51" s="15" t="s">
        <v>23</v>
      </c>
      <c r="G51" s="19">
        <f t="shared" si="5"/>
        <v>5.4</v>
      </c>
      <c r="H51" s="19">
        <f t="shared" si="6"/>
        <v>14.94</v>
      </c>
      <c r="I51" s="19">
        <f t="shared" si="7"/>
        <v>0</v>
      </c>
      <c r="J51" s="19">
        <f t="shared" si="8"/>
        <v>0</v>
      </c>
      <c r="K51" s="19">
        <f t="shared" si="9"/>
        <v>0</v>
      </c>
      <c r="L51" s="19">
        <f t="shared" si="10"/>
        <v>0</v>
      </c>
      <c r="M51" s="19">
        <f t="shared" si="11"/>
        <v>0</v>
      </c>
      <c r="N51" s="39">
        <f t="shared" si="12"/>
        <v>20.34</v>
      </c>
      <c r="O51" s="39">
        <f t="shared" si="15"/>
        <v>60.949978147753505</v>
      </c>
      <c r="P51" s="40">
        <v>8</v>
      </c>
      <c r="Q51" s="40">
        <v>10</v>
      </c>
      <c r="R51" s="40">
        <v>9</v>
      </c>
      <c r="S51" s="40">
        <v>9</v>
      </c>
      <c r="T51" s="40">
        <v>9</v>
      </c>
      <c r="U51" s="40">
        <v>9</v>
      </c>
      <c r="V51" s="40">
        <v>9</v>
      </c>
      <c r="W51" s="41" t="str">
        <f t="shared" si="13"/>
        <v>Y</v>
      </c>
      <c r="X51" s="56">
        <f t="shared" si="14"/>
        <v>0.49399999999999994</v>
      </c>
      <c r="Y51" s="56" t="str">
        <f t="shared" si="4"/>
        <v>25-50%</v>
      </c>
      <c r="Z51" s="8" t="s">
        <v>107</v>
      </c>
      <c r="AB51" s="38">
        <v>5400</v>
      </c>
      <c r="AC51" s="38">
        <v>14940</v>
      </c>
      <c r="AD51" s="38"/>
      <c r="AE51" s="38"/>
      <c r="AF51" s="38"/>
      <c r="AG51" s="38"/>
      <c r="AH51" s="38"/>
    </row>
    <row r="52" spans="1:34" ht="24" customHeight="1" x14ac:dyDescent="0.25">
      <c r="A52" s="5">
        <v>29</v>
      </c>
      <c r="B52" s="9">
        <v>0.13125000000000001</v>
      </c>
      <c r="C52" s="5" t="s">
        <v>20</v>
      </c>
      <c r="D52" s="5">
        <v>7</v>
      </c>
      <c r="E52" s="15"/>
      <c r="F52" s="15" t="s">
        <v>23</v>
      </c>
      <c r="G52" s="19">
        <f t="shared" si="5"/>
        <v>6</v>
      </c>
      <c r="H52" s="19">
        <f t="shared" si="6"/>
        <v>13.42</v>
      </c>
      <c r="I52" s="19">
        <f t="shared" si="7"/>
        <v>0</v>
      </c>
      <c r="J52" s="19">
        <f t="shared" si="8"/>
        <v>0</v>
      </c>
      <c r="K52" s="19">
        <f t="shared" si="9"/>
        <v>0</v>
      </c>
      <c r="L52" s="19">
        <f t="shared" si="10"/>
        <v>0</v>
      </c>
      <c r="M52" s="19">
        <f t="shared" si="11"/>
        <v>0</v>
      </c>
      <c r="N52" s="39">
        <f t="shared" si="12"/>
        <v>19.420000000000002</v>
      </c>
      <c r="O52" s="39">
        <f t="shared" si="15"/>
        <v>49.489811618081006</v>
      </c>
      <c r="P52" s="40">
        <v>8</v>
      </c>
      <c r="Q52" s="40">
        <v>10</v>
      </c>
      <c r="R52" s="40">
        <v>9</v>
      </c>
      <c r="S52" s="40">
        <v>9</v>
      </c>
      <c r="T52" s="40">
        <v>9</v>
      </c>
      <c r="U52" s="40">
        <v>9</v>
      </c>
      <c r="V52" s="40">
        <v>9</v>
      </c>
      <c r="W52" s="41" t="str">
        <f t="shared" si="13"/>
        <v>Y</v>
      </c>
      <c r="X52" s="56">
        <f t="shared" si="14"/>
        <v>0.34199999999999997</v>
      </c>
      <c r="Y52" s="56" t="str">
        <f t="shared" si="4"/>
        <v>25-50%</v>
      </c>
      <c r="Z52" s="8" t="s">
        <v>145</v>
      </c>
      <c r="AB52" s="38">
        <v>6000</v>
      </c>
      <c r="AC52" s="38">
        <v>13420</v>
      </c>
      <c r="AD52" s="38"/>
      <c r="AE52" s="38"/>
      <c r="AF52" s="38"/>
      <c r="AG52" s="38"/>
      <c r="AH52" s="38"/>
    </row>
    <row r="53" spans="1:34" ht="24" customHeight="1" x14ac:dyDescent="0.25">
      <c r="A53" s="5">
        <v>30</v>
      </c>
      <c r="B53" s="9">
        <v>0.1423611111111111</v>
      </c>
      <c r="C53" s="5" t="s">
        <v>20</v>
      </c>
      <c r="D53" s="5">
        <v>7</v>
      </c>
      <c r="E53" s="15"/>
      <c r="F53" s="15" t="s">
        <v>23</v>
      </c>
      <c r="G53" s="19">
        <f t="shared" si="5"/>
        <v>4.42</v>
      </c>
      <c r="H53" s="19">
        <f t="shared" si="6"/>
        <v>8.26</v>
      </c>
      <c r="I53" s="19">
        <f t="shared" si="7"/>
        <v>0</v>
      </c>
      <c r="J53" s="19">
        <f t="shared" si="8"/>
        <v>0</v>
      </c>
      <c r="K53" s="19">
        <f t="shared" si="9"/>
        <v>0</v>
      </c>
      <c r="L53" s="19">
        <f t="shared" si="10"/>
        <v>0</v>
      </c>
      <c r="M53" s="19">
        <f t="shared" si="11"/>
        <v>0</v>
      </c>
      <c r="N53" s="39">
        <f t="shared" si="12"/>
        <v>12.68</v>
      </c>
      <c r="O53" s="39">
        <f t="shared" si="15"/>
        <v>7.2682679006181603</v>
      </c>
      <c r="P53" s="40">
        <v>8</v>
      </c>
      <c r="Q53" s="40">
        <v>10</v>
      </c>
      <c r="R53" s="40">
        <v>9</v>
      </c>
      <c r="S53" s="40">
        <v>9</v>
      </c>
      <c r="T53" s="40">
        <v>9</v>
      </c>
      <c r="U53" s="40">
        <v>9</v>
      </c>
      <c r="V53" s="40">
        <v>9</v>
      </c>
      <c r="W53" s="41" t="str">
        <f t="shared" si="13"/>
        <v>N</v>
      </c>
      <c r="X53" s="56">
        <f t="shared" si="14"/>
        <v>0</v>
      </c>
      <c r="Y53" s="56" t="str">
        <f t="shared" si="4"/>
        <v>0-4.9%</v>
      </c>
      <c r="Z53" s="8" t="s">
        <v>35</v>
      </c>
      <c r="AB53" s="38">
        <v>4420</v>
      </c>
      <c r="AC53" s="38">
        <v>8260</v>
      </c>
      <c r="AD53" s="38"/>
      <c r="AE53" s="38"/>
      <c r="AF53" s="38"/>
      <c r="AG53" s="38"/>
      <c r="AH53" s="38"/>
    </row>
    <row r="54" spans="1:34" ht="24" customHeight="1" x14ac:dyDescent="0.25">
      <c r="A54" s="5">
        <v>31</v>
      </c>
      <c r="B54" s="9">
        <v>0.17361111111111113</v>
      </c>
      <c r="C54" s="5" t="s">
        <v>20</v>
      </c>
      <c r="D54" s="5">
        <v>7</v>
      </c>
      <c r="E54" s="15"/>
      <c r="F54" s="15" t="s">
        <v>23</v>
      </c>
      <c r="G54" s="19">
        <f t="shared" si="5"/>
        <v>2.34</v>
      </c>
      <c r="H54" s="19">
        <f t="shared" si="6"/>
        <v>2.8</v>
      </c>
      <c r="I54" s="19">
        <f t="shared" si="7"/>
        <v>0</v>
      </c>
      <c r="J54" s="19">
        <f t="shared" si="8"/>
        <v>0</v>
      </c>
      <c r="K54" s="19">
        <f t="shared" si="9"/>
        <v>0</v>
      </c>
      <c r="L54" s="19">
        <f t="shared" si="10"/>
        <v>0</v>
      </c>
      <c r="M54" s="19">
        <f t="shared" si="11"/>
        <v>0</v>
      </c>
      <c r="N54" s="39">
        <f t="shared" si="12"/>
        <v>5.14</v>
      </c>
      <c r="O54" s="39">
        <f t="shared" si="15"/>
        <v>0.12494771579880046</v>
      </c>
      <c r="P54" s="40">
        <v>8</v>
      </c>
      <c r="Q54" s="40">
        <v>10</v>
      </c>
      <c r="R54" s="40">
        <v>9</v>
      </c>
      <c r="S54" s="40">
        <v>9</v>
      </c>
      <c r="T54" s="40">
        <v>9</v>
      </c>
      <c r="U54" s="40">
        <v>9</v>
      </c>
      <c r="V54" s="40">
        <v>9</v>
      </c>
      <c r="W54" s="41" t="str">
        <f t="shared" si="13"/>
        <v>N</v>
      </c>
      <c r="X54" s="56">
        <f t="shared" si="14"/>
        <v>0</v>
      </c>
      <c r="Y54" s="56" t="str">
        <f t="shared" si="4"/>
        <v>0-4.9%</v>
      </c>
      <c r="Z54" s="8" t="s">
        <v>118</v>
      </c>
      <c r="AB54" s="38">
        <v>2340</v>
      </c>
      <c r="AC54" s="38">
        <v>2800</v>
      </c>
      <c r="AD54" s="38"/>
      <c r="AE54" s="38"/>
      <c r="AF54" s="38"/>
      <c r="AG54" s="38"/>
      <c r="AH54" s="38"/>
    </row>
    <row r="55" spans="1:34" ht="24" customHeight="1" x14ac:dyDescent="0.25">
      <c r="A55" s="5">
        <v>32</v>
      </c>
      <c r="B55" s="9">
        <v>0.18958333333333333</v>
      </c>
      <c r="C55" s="5" t="s">
        <v>20</v>
      </c>
      <c r="D55" s="5">
        <v>7</v>
      </c>
      <c r="E55" s="15"/>
      <c r="F55" s="15" t="s">
        <v>23</v>
      </c>
      <c r="G55" s="19">
        <f t="shared" si="5"/>
        <v>5.24</v>
      </c>
      <c r="H55" s="19">
        <f t="shared" si="6"/>
        <v>14.22</v>
      </c>
      <c r="I55" s="19">
        <f t="shared" si="7"/>
        <v>0</v>
      </c>
      <c r="J55" s="19">
        <f t="shared" si="8"/>
        <v>0</v>
      </c>
      <c r="K55" s="19">
        <f t="shared" si="9"/>
        <v>0</v>
      </c>
      <c r="L55" s="19">
        <f t="shared" si="10"/>
        <v>0</v>
      </c>
      <c r="M55" s="19">
        <f t="shared" si="11"/>
        <v>0</v>
      </c>
      <c r="N55" s="39">
        <f t="shared" si="12"/>
        <v>19.46</v>
      </c>
      <c r="O55" s="39">
        <f t="shared" si="15"/>
        <v>49.950178817510526</v>
      </c>
      <c r="P55" s="40">
        <v>8</v>
      </c>
      <c r="Q55" s="40">
        <v>10</v>
      </c>
      <c r="R55" s="40">
        <v>9</v>
      </c>
      <c r="S55" s="40">
        <v>9</v>
      </c>
      <c r="T55" s="40">
        <v>9</v>
      </c>
      <c r="U55" s="40">
        <v>9</v>
      </c>
      <c r="V55" s="40">
        <v>9</v>
      </c>
      <c r="W55" s="41" t="str">
        <f t="shared" si="13"/>
        <v>Y</v>
      </c>
      <c r="X55" s="56">
        <f t="shared" si="14"/>
        <v>0.42200000000000004</v>
      </c>
      <c r="Y55" s="56" t="str">
        <f t="shared" si="4"/>
        <v>25-50%</v>
      </c>
      <c r="Z55" s="8" t="s">
        <v>111</v>
      </c>
      <c r="AB55" s="38">
        <v>5240</v>
      </c>
      <c r="AC55" s="38">
        <v>14220</v>
      </c>
      <c r="AD55" s="38"/>
      <c r="AE55" s="38"/>
      <c r="AF55" s="38"/>
      <c r="AG55" s="38"/>
      <c r="AH55" s="38"/>
    </row>
    <row r="56" spans="1:34" ht="24" customHeight="1" x14ac:dyDescent="0.25">
      <c r="A56" s="5">
        <v>33</v>
      </c>
      <c r="B56" s="9">
        <v>0.22430555555555556</v>
      </c>
      <c r="C56" s="5" t="s">
        <v>20</v>
      </c>
      <c r="D56" s="5">
        <v>7</v>
      </c>
      <c r="E56" s="15"/>
      <c r="F56" s="15" t="s">
        <v>23</v>
      </c>
      <c r="G56" s="19">
        <f t="shared" si="5"/>
        <v>3.1</v>
      </c>
      <c r="H56" s="19">
        <f t="shared" si="6"/>
        <v>2.78</v>
      </c>
      <c r="I56" s="19">
        <f t="shared" si="7"/>
        <v>0</v>
      </c>
      <c r="J56" s="19">
        <f t="shared" si="8"/>
        <v>0</v>
      </c>
      <c r="K56" s="19">
        <f t="shared" si="9"/>
        <v>0</v>
      </c>
      <c r="L56" s="19">
        <f t="shared" si="10"/>
        <v>0</v>
      </c>
      <c r="M56" s="19">
        <f t="shared" si="11"/>
        <v>0</v>
      </c>
      <c r="N56" s="39">
        <f t="shared" si="12"/>
        <v>5.88</v>
      </c>
      <c r="O56" s="39">
        <f t="shared" si="15"/>
        <v>0.22887178299973635</v>
      </c>
      <c r="P56" s="40">
        <v>8</v>
      </c>
      <c r="Q56" s="40">
        <v>10</v>
      </c>
      <c r="R56" s="40">
        <v>9</v>
      </c>
      <c r="S56" s="40">
        <v>9</v>
      </c>
      <c r="T56" s="40">
        <v>9</v>
      </c>
      <c r="U56" s="40">
        <v>9</v>
      </c>
      <c r="V56" s="40">
        <v>9</v>
      </c>
      <c r="W56" s="41" t="str">
        <f t="shared" si="13"/>
        <v>N</v>
      </c>
      <c r="X56" s="56">
        <f t="shared" si="14"/>
        <v>0</v>
      </c>
      <c r="Y56" s="56" t="str">
        <f t="shared" si="4"/>
        <v>0-4.9%</v>
      </c>
      <c r="Z56" s="8" t="s">
        <v>118</v>
      </c>
      <c r="AB56" s="38">
        <v>3100</v>
      </c>
      <c r="AC56" s="38">
        <v>2780</v>
      </c>
      <c r="AD56" s="38"/>
      <c r="AE56" s="38"/>
      <c r="AF56" s="38"/>
      <c r="AG56" s="38"/>
      <c r="AH56" s="38"/>
    </row>
    <row r="57" spans="1:34" ht="24" customHeight="1" x14ac:dyDescent="0.25">
      <c r="A57" s="5">
        <v>34</v>
      </c>
      <c r="B57" s="9">
        <v>0.25</v>
      </c>
      <c r="C57" s="5" t="s">
        <v>20</v>
      </c>
      <c r="D57" s="5">
        <v>7</v>
      </c>
      <c r="E57" s="15"/>
      <c r="F57" s="15" t="s">
        <v>23</v>
      </c>
      <c r="G57" s="19">
        <f t="shared" si="5"/>
        <v>3.3</v>
      </c>
      <c r="H57" s="19">
        <f t="shared" si="6"/>
        <v>13.4</v>
      </c>
      <c r="I57" s="19">
        <f t="shared" si="7"/>
        <v>0</v>
      </c>
      <c r="J57" s="19">
        <f t="shared" si="8"/>
        <v>0</v>
      </c>
      <c r="K57" s="19">
        <f t="shared" si="9"/>
        <v>0</v>
      </c>
      <c r="L57" s="19">
        <f t="shared" si="10"/>
        <v>0</v>
      </c>
      <c r="M57" s="19">
        <f t="shared" si="11"/>
        <v>0</v>
      </c>
      <c r="N57" s="39">
        <f t="shared" si="12"/>
        <v>16.7</v>
      </c>
      <c r="O57" s="39">
        <f t="shared" si="15"/>
        <v>25.096803238485506</v>
      </c>
      <c r="P57" s="40">
        <v>8</v>
      </c>
      <c r="Q57" s="40">
        <v>10</v>
      </c>
      <c r="R57" s="40">
        <v>9</v>
      </c>
      <c r="S57" s="40">
        <v>9</v>
      </c>
      <c r="T57" s="40">
        <v>9</v>
      </c>
      <c r="U57" s="40">
        <v>9</v>
      </c>
      <c r="V57" s="40">
        <v>9</v>
      </c>
      <c r="W57" s="41" t="str">
        <f t="shared" si="13"/>
        <v>Y</v>
      </c>
      <c r="X57" s="56">
        <f t="shared" si="14"/>
        <v>0.34</v>
      </c>
      <c r="Y57" s="56" t="str">
        <f t="shared" si="4"/>
        <v>25-50%</v>
      </c>
      <c r="Z57" s="8" t="s">
        <v>118</v>
      </c>
      <c r="AB57" s="38">
        <v>3300</v>
      </c>
      <c r="AC57" s="38">
        <v>13400</v>
      </c>
      <c r="AD57" s="38"/>
      <c r="AE57" s="38"/>
      <c r="AF57" s="38"/>
      <c r="AG57" s="38"/>
      <c r="AH57" s="38"/>
    </row>
    <row r="58" spans="1:34" ht="24" customHeight="1" x14ac:dyDescent="0.25">
      <c r="A58" s="5">
        <v>35</v>
      </c>
      <c r="B58" s="9">
        <v>0.25069444444444444</v>
      </c>
      <c r="C58" s="5" t="s">
        <v>20</v>
      </c>
      <c r="D58" s="5">
        <v>7</v>
      </c>
      <c r="E58" s="15"/>
      <c r="F58" s="15" t="s">
        <v>23</v>
      </c>
      <c r="G58" s="19">
        <f t="shared" si="5"/>
        <v>5</v>
      </c>
      <c r="H58" s="19">
        <f t="shared" si="6"/>
        <v>11.18</v>
      </c>
      <c r="I58" s="19">
        <f t="shared" si="7"/>
        <v>0</v>
      </c>
      <c r="J58" s="19">
        <f t="shared" si="8"/>
        <v>0</v>
      </c>
      <c r="K58" s="19">
        <f t="shared" si="9"/>
        <v>0</v>
      </c>
      <c r="L58" s="19">
        <f t="shared" si="10"/>
        <v>0</v>
      </c>
      <c r="M58" s="19">
        <f t="shared" si="11"/>
        <v>0</v>
      </c>
      <c r="N58" s="39">
        <f t="shared" si="12"/>
        <v>16.18</v>
      </c>
      <c r="O58" s="39">
        <f t="shared" si="15"/>
        <v>21.766951688453627</v>
      </c>
      <c r="P58" s="40">
        <v>8</v>
      </c>
      <c r="Q58" s="40">
        <v>10</v>
      </c>
      <c r="R58" s="40">
        <v>9</v>
      </c>
      <c r="S58" s="40">
        <v>9</v>
      </c>
      <c r="T58" s="40">
        <v>9</v>
      </c>
      <c r="U58" s="40">
        <v>9</v>
      </c>
      <c r="V58" s="40">
        <v>9</v>
      </c>
      <c r="W58" s="41" t="str">
        <f t="shared" si="13"/>
        <v>Y</v>
      </c>
      <c r="X58" s="56">
        <f t="shared" si="14"/>
        <v>0.11799999999999997</v>
      </c>
      <c r="Y58" s="56" t="str">
        <f t="shared" si="4"/>
        <v>5-25%</v>
      </c>
      <c r="Z58" s="8" t="s">
        <v>111</v>
      </c>
      <c r="AB58" s="38">
        <v>5000</v>
      </c>
      <c r="AC58" s="38">
        <v>11180</v>
      </c>
      <c r="AD58" s="38"/>
      <c r="AE58" s="38"/>
      <c r="AF58" s="38"/>
      <c r="AG58" s="38"/>
      <c r="AH58" s="38"/>
    </row>
    <row r="59" spans="1:34" ht="24" customHeight="1" x14ac:dyDescent="0.25">
      <c r="A59" s="5">
        <v>36</v>
      </c>
      <c r="B59" s="9">
        <v>0.25694444444444448</v>
      </c>
      <c r="C59" s="5" t="s">
        <v>20</v>
      </c>
      <c r="D59" s="5">
        <v>7</v>
      </c>
      <c r="E59" s="15"/>
      <c r="F59" s="15" t="s">
        <v>23</v>
      </c>
      <c r="G59" s="19">
        <f t="shared" si="5"/>
        <v>5.22</v>
      </c>
      <c r="H59" s="19">
        <f t="shared" si="6"/>
        <v>2.72</v>
      </c>
      <c r="I59" s="19">
        <f t="shared" si="7"/>
        <v>0</v>
      </c>
      <c r="J59" s="19">
        <f t="shared" si="8"/>
        <v>0</v>
      </c>
      <c r="K59" s="19">
        <f t="shared" si="9"/>
        <v>0</v>
      </c>
      <c r="L59" s="19">
        <f t="shared" si="10"/>
        <v>0</v>
      </c>
      <c r="M59" s="19">
        <f t="shared" si="11"/>
        <v>0</v>
      </c>
      <c r="N59" s="39">
        <f t="shared" si="12"/>
        <v>7.9399999999999995</v>
      </c>
      <c r="O59" s="39">
        <f t="shared" si="15"/>
        <v>0.88427337030255537</v>
      </c>
      <c r="P59" s="40">
        <v>8</v>
      </c>
      <c r="Q59" s="40">
        <v>10</v>
      </c>
      <c r="R59" s="40">
        <v>9</v>
      </c>
      <c r="S59" s="40">
        <v>9</v>
      </c>
      <c r="T59" s="40">
        <v>9</v>
      </c>
      <c r="U59" s="40">
        <v>9</v>
      </c>
      <c r="V59" s="40">
        <v>9</v>
      </c>
      <c r="W59" s="41" t="str">
        <f t="shared" si="13"/>
        <v>N</v>
      </c>
      <c r="X59" s="56">
        <f t="shared" si="14"/>
        <v>0</v>
      </c>
      <c r="Y59" s="56" t="str">
        <f t="shared" si="4"/>
        <v>0-4.9%</v>
      </c>
      <c r="Z59" s="8" t="s">
        <v>111</v>
      </c>
      <c r="AB59" s="38">
        <v>5220</v>
      </c>
      <c r="AC59" s="38">
        <v>2720</v>
      </c>
      <c r="AD59" s="38"/>
      <c r="AE59" s="38"/>
      <c r="AF59" s="38"/>
      <c r="AG59" s="38"/>
      <c r="AH59" s="38"/>
    </row>
    <row r="60" spans="1:34" ht="24" customHeight="1" x14ac:dyDescent="0.25">
      <c r="A60" s="5">
        <v>37</v>
      </c>
      <c r="B60" s="9">
        <v>0.34861111111111115</v>
      </c>
      <c r="C60" s="5" t="s">
        <v>20</v>
      </c>
      <c r="D60" s="5">
        <v>7</v>
      </c>
      <c r="E60" s="15"/>
      <c r="F60" s="15" t="s">
        <v>23</v>
      </c>
      <c r="G60" s="19">
        <f t="shared" si="5"/>
        <v>3.88</v>
      </c>
      <c r="H60" s="19">
        <f t="shared" si="6"/>
        <v>8.5399999999999991</v>
      </c>
      <c r="I60" s="19">
        <f t="shared" si="7"/>
        <v>0</v>
      </c>
      <c r="J60" s="19">
        <f t="shared" si="8"/>
        <v>0</v>
      </c>
      <c r="K60" s="19">
        <f t="shared" si="9"/>
        <v>0</v>
      </c>
      <c r="L60" s="19">
        <f t="shared" si="10"/>
        <v>0</v>
      </c>
      <c r="M60" s="19">
        <f t="shared" si="11"/>
        <v>0</v>
      </c>
      <c r="N60" s="39">
        <f t="shared" si="12"/>
        <v>12.419999999999998</v>
      </c>
      <c r="O60" s="39">
        <f t="shared" si="15"/>
        <v>6.6212725785362654</v>
      </c>
      <c r="P60" s="40">
        <v>8</v>
      </c>
      <c r="Q60" s="40">
        <v>10</v>
      </c>
      <c r="R60" s="40">
        <v>9</v>
      </c>
      <c r="S60" s="40">
        <v>9</v>
      </c>
      <c r="T60" s="40">
        <v>9</v>
      </c>
      <c r="U60" s="40">
        <v>9</v>
      </c>
      <c r="V60" s="40">
        <v>9</v>
      </c>
      <c r="W60" s="41" t="str">
        <f t="shared" si="13"/>
        <v>N</v>
      </c>
      <c r="X60" s="56">
        <f t="shared" si="14"/>
        <v>0</v>
      </c>
      <c r="Y60" s="56" t="str">
        <f t="shared" si="4"/>
        <v>0-4.9%</v>
      </c>
      <c r="Z60" s="8" t="s">
        <v>39</v>
      </c>
      <c r="AB60" s="38">
        <v>3880</v>
      </c>
      <c r="AC60" s="38">
        <v>8540</v>
      </c>
      <c r="AD60" s="38"/>
      <c r="AE60" s="38"/>
      <c r="AF60" s="38"/>
      <c r="AG60" s="38"/>
      <c r="AH60" s="38"/>
    </row>
    <row r="61" spans="1:34" ht="24" customHeight="1" x14ac:dyDescent="0.25">
      <c r="A61" s="5">
        <v>40</v>
      </c>
      <c r="B61" s="9">
        <v>0.3888888888888889</v>
      </c>
      <c r="C61" s="5" t="s">
        <v>20</v>
      </c>
      <c r="D61" s="5">
        <v>7</v>
      </c>
      <c r="E61" s="15"/>
      <c r="F61" s="15" t="s">
        <v>23</v>
      </c>
      <c r="G61" s="19">
        <f t="shared" si="5"/>
        <v>3.98</v>
      </c>
      <c r="H61" s="19">
        <f t="shared" si="6"/>
        <v>8.6</v>
      </c>
      <c r="I61" s="19">
        <f t="shared" si="7"/>
        <v>0</v>
      </c>
      <c r="J61" s="19">
        <f t="shared" si="8"/>
        <v>0</v>
      </c>
      <c r="K61" s="19">
        <f t="shared" si="9"/>
        <v>0</v>
      </c>
      <c r="L61" s="19">
        <f t="shared" si="10"/>
        <v>0</v>
      </c>
      <c r="M61" s="19">
        <f t="shared" si="11"/>
        <v>0</v>
      </c>
      <c r="N61" s="39">
        <f t="shared" si="12"/>
        <v>12.58</v>
      </c>
      <c r="O61" s="39">
        <f t="shared" si="15"/>
        <v>7.0138612547397852</v>
      </c>
      <c r="P61" s="40">
        <v>8</v>
      </c>
      <c r="Q61" s="40">
        <v>10</v>
      </c>
      <c r="R61" s="40">
        <v>9</v>
      </c>
      <c r="S61" s="40">
        <v>9</v>
      </c>
      <c r="T61" s="40">
        <v>9</v>
      </c>
      <c r="U61" s="40">
        <v>9</v>
      </c>
      <c r="V61" s="40">
        <v>9</v>
      </c>
      <c r="W61" s="41" t="str">
        <f t="shared" si="13"/>
        <v>N</v>
      </c>
      <c r="X61" s="56">
        <f t="shared" si="14"/>
        <v>0</v>
      </c>
      <c r="Y61" s="56" t="str">
        <f t="shared" si="4"/>
        <v>0-4.9%</v>
      </c>
      <c r="Z61" s="8" t="s">
        <v>111</v>
      </c>
      <c r="AB61" s="38">
        <v>3980</v>
      </c>
      <c r="AC61" s="38">
        <v>8600</v>
      </c>
      <c r="AD61" s="38"/>
      <c r="AE61" s="38"/>
      <c r="AF61" s="38"/>
      <c r="AG61" s="38"/>
      <c r="AH61" s="38"/>
    </row>
    <row r="62" spans="1:34" ht="24" customHeight="1" x14ac:dyDescent="0.25">
      <c r="A62" s="5">
        <v>41</v>
      </c>
      <c r="B62" s="9">
        <v>0.39513888888888887</v>
      </c>
      <c r="C62" s="5" t="s">
        <v>20</v>
      </c>
      <c r="D62" s="5">
        <v>7</v>
      </c>
      <c r="E62" s="15"/>
      <c r="F62" s="15" t="s">
        <v>23</v>
      </c>
      <c r="G62" s="19">
        <f t="shared" si="5"/>
        <v>2.4</v>
      </c>
      <c r="H62" s="19">
        <f t="shared" si="6"/>
        <v>4.5999999999999996</v>
      </c>
      <c r="I62" s="19">
        <f t="shared" si="7"/>
        <v>0</v>
      </c>
      <c r="J62" s="19">
        <f t="shared" si="8"/>
        <v>0</v>
      </c>
      <c r="K62" s="19">
        <f t="shared" si="9"/>
        <v>0</v>
      </c>
      <c r="L62" s="19">
        <f t="shared" si="10"/>
        <v>0</v>
      </c>
      <c r="M62" s="19">
        <f t="shared" si="11"/>
        <v>0</v>
      </c>
      <c r="N62" s="39">
        <f t="shared" si="12"/>
        <v>7</v>
      </c>
      <c r="O62" s="39">
        <f t="shared" si="15"/>
        <v>0.50157451937737807</v>
      </c>
      <c r="P62" s="40">
        <v>8</v>
      </c>
      <c r="Q62" s="40">
        <v>10</v>
      </c>
      <c r="R62" s="40">
        <v>9</v>
      </c>
      <c r="S62" s="40">
        <v>9</v>
      </c>
      <c r="T62" s="40">
        <v>9</v>
      </c>
      <c r="U62" s="40">
        <v>9</v>
      </c>
      <c r="V62" s="40">
        <v>9</v>
      </c>
      <c r="W62" s="41" t="str">
        <f t="shared" si="13"/>
        <v>N</v>
      </c>
      <c r="X62" s="56">
        <f t="shared" si="14"/>
        <v>0</v>
      </c>
      <c r="Y62" s="56" t="str">
        <f t="shared" si="4"/>
        <v>0-4.9%</v>
      </c>
      <c r="Z62" s="8" t="s">
        <v>35</v>
      </c>
      <c r="AB62" s="38">
        <v>2400</v>
      </c>
      <c r="AC62" s="38">
        <v>4600</v>
      </c>
      <c r="AD62" s="38"/>
      <c r="AE62" s="38"/>
      <c r="AF62" s="38"/>
      <c r="AG62" s="38"/>
      <c r="AH62" s="38"/>
    </row>
    <row r="63" spans="1:34" ht="24" customHeight="1" x14ac:dyDescent="0.25">
      <c r="A63" s="5">
        <v>42</v>
      </c>
      <c r="B63" s="9">
        <v>0.40138888888888885</v>
      </c>
      <c r="C63" s="5" t="s">
        <v>20</v>
      </c>
      <c r="D63" s="5">
        <v>7</v>
      </c>
      <c r="E63" s="15"/>
      <c r="F63" s="15" t="s">
        <v>23</v>
      </c>
      <c r="G63" s="19">
        <f t="shared" si="5"/>
        <v>4.34</v>
      </c>
      <c r="H63" s="19">
        <f t="shared" si="6"/>
        <v>12.6</v>
      </c>
      <c r="I63" s="19">
        <f t="shared" si="7"/>
        <v>0</v>
      </c>
      <c r="J63" s="19">
        <f t="shared" si="8"/>
        <v>0</v>
      </c>
      <c r="K63" s="19">
        <f t="shared" si="9"/>
        <v>0</v>
      </c>
      <c r="L63" s="19">
        <f t="shared" si="10"/>
        <v>0</v>
      </c>
      <c r="M63" s="19">
        <f t="shared" si="11"/>
        <v>0</v>
      </c>
      <c r="N63" s="39">
        <f t="shared" si="12"/>
        <v>16.939999999999998</v>
      </c>
      <c r="O63" s="39">
        <f t="shared" si="15"/>
        <v>26.761140156981387</v>
      </c>
      <c r="P63" s="40">
        <v>8</v>
      </c>
      <c r="Q63" s="40">
        <v>10</v>
      </c>
      <c r="R63" s="40">
        <v>9</v>
      </c>
      <c r="S63" s="40">
        <v>9</v>
      </c>
      <c r="T63" s="40">
        <v>9</v>
      </c>
      <c r="U63" s="40">
        <v>9</v>
      </c>
      <c r="V63" s="40">
        <v>9</v>
      </c>
      <c r="W63" s="41" t="str">
        <f t="shared" si="13"/>
        <v>Y</v>
      </c>
      <c r="X63" s="56">
        <f t="shared" si="14"/>
        <v>0.25999999999999995</v>
      </c>
      <c r="Y63" s="56" t="str">
        <f t="shared" si="4"/>
        <v>25-50%</v>
      </c>
      <c r="Z63" s="8" t="s">
        <v>111</v>
      </c>
      <c r="AB63" s="38">
        <v>4340</v>
      </c>
      <c r="AC63" s="38">
        <v>12600</v>
      </c>
      <c r="AD63" s="38"/>
      <c r="AE63" s="38"/>
      <c r="AF63" s="38"/>
      <c r="AG63" s="38"/>
      <c r="AH63" s="38"/>
    </row>
    <row r="64" spans="1:34" ht="24" customHeight="1" x14ac:dyDescent="0.25">
      <c r="A64" s="5">
        <v>43</v>
      </c>
      <c r="B64" s="9">
        <v>0.40902777777777777</v>
      </c>
      <c r="C64" s="5" t="s">
        <v>20</v>
      </c>
      <c r="D64" s="5">
        <v>7</v>
      </c>
      <c r="E64" s="15"/>
      <c r="F64" s="15" t="s">
        <v>23</v>
      </c>
      <c r="G64" s="19">
        <f t="shared" si="5"/>
        <v>3.08</v>
      </c>
      <c r="H64" s="19">
        <f t="shared" si="6"/>
        <v>6.84</v>
      </c>
      <c r="I64" s="19">
        <f t="shared" si="7"/>
        <v>0</v>
      </c>
      <c r="J64" s="19">
        <f t="shared" si="8"/>
        <v>0</v>
      </c>
      <c r="K64" s="19">
        <f t="shared" si="9"/>
        <v>0</v>
      </c>
      <c r="L64" s="19">
        <f t="shared" si="10"/>
        <v>0</v>
      </c>
      <c r="M64" s="19">
        <f t="shared" si="11"/>
        <v>0</v>
      </c>
      <c r="N64" s="39">
        <f t="shared" si="12"/>
        <v>9.92</v>
      </c>
      <c r="O64" s="39">
        <f t="shared" si="15"/>
        <v>2.4082236124384062</v>
      </c>
      <c r="P64" s="40">
        <v>8</v>
      </c>
      <c r="Q64" s="40">
        <v>10</v>
      </c>
      <c r="R64" s="40">
        <v>9</v>
      </c>
      <c r="S64" s="40">
        <v>9</v>
      </c>
      <c r="T64" s="40">
        <v>9</v>
      </c>
      <c r="U64" s="40">
        <v>9</v>
      </c>
      <c r="V64" s="40">
        <v>9</v>
      </c>
      <c r="W64" s="41" t="str">
        <f t="shared" si="13"/>
        <v>N</v>
      </c>
      <c r="X64" s="56">
        <f t="shared" si="14"/>
        <v>0</v>
      </c>
      <c r="Y64" s="56" t="str">
        <f t="shared" si="4"/>
        <v>0-4.9%</v>
      </c>
      <c r="Z64" s="8" t="s">
        <v>35</v>
      </c>
      <c r="AB64" s="38">
        <v>3080</v>
      </c>
      <c r="AC64" s="38">
        <v>6840</v>
      </c>
      <c r="AD64" s="38"/>
      <c r="AE64" s="38"/>
      <c r="AF64" s="38"/>
      <c r="AG64" s="38"/>
      <c r="AH64" s="38"/>
    </row>
    <row r="65" spans="1:34" ht="24" customHeight="1" x14ac:dyDescent="0.25">
      <c r="A65" s="5">
        <v>44</v>
      </c>
      <c r="B65" s="9">
        <v>0.42083333333333334</v>
      </c>
      <c r="C65" s="5" t="s">
        <v>20</v>
      </c>
      <c r="D65" s="5">
        <v>7</v>
      </c>
      <c r="E65" s="15"/>
      <c r="F65" s="15" t="s">
        <v>23</v>
      </c>
      <c r="G65" s="19">
        <f t="shared" si="5"/>
        <v>6.98</v>
      </c>
      <c r="H65" s="19">
        <f t="shared" si="6"/>
        <v>8.1999999999999993</v>
      </c>
      <c r="I65" s="19">
        <f t="shared" si="7"/>
        <v>0</v>
      </c>
      <c r="J65" s="19">
        <f t="shared" si="8"/>
        <v>0</v>
      </c>
      <c r="K65" s="19">
        <f t="shared" si="9"/>
        <v>0</v>
      </c>
      <c r="L65" s="19">
        <f t="shared" si="10"/>
        <v>0</v>
      </c>
      <c r="M65" s="19">
        <f t="shared" si="11"/>
        <v>0</v>
      </c>
      <c r="N65" s="39">
        <f t="shared" si="12"/>
        <v>15.18</v>
      </c>
      <c r="O65" s="39">
        <f t="shared" si="15"/>
        <v>16.334929243607281</v>
      </c>
      <c r="P65" s="40">
        <v>8</v>
      </c>
      <c r="Q65" s="40">
        <v>10</v>
      </c>
      <c r="R65" s="40">
        <v>9</v>
      </c>
      <c r="S65" s="40">
        <v>9</v>
      </c>
      <c r="T65" s="40">
        <v>9</v>
      </c>
      <c r="U65" s="40">
        <v>9</v>
      </c>
      <c r="V65" s="40">
        <v>9</v>
      </c>
      <c r="W65" s="41" t="str">
        <f t="shared" si="13"/>
        <v>N</v>
      </c>
      <c r="X65" s="56">
        <f t="shared" si="14"/>
        <v>0</v>
      </c>
      <c r="Y65" s="56" t="str">
        <f t="shared" si="4"/>
        <v>0-4.9%</v>
      </c>
      <c r="Z65" s="8" t="s">
        <v>39</v>
      </c>
      <c r="AB65" s="38">
        <v>6980</v>
      </c>
      <c r="AC65" s="38">
        <v>8200</v>
      </c>
      <c r="AD65" s="38"/>
      <c r="AE65" s="38"/>
      <c r="AF65" s="38"/>
      <c r="AG65" s="38"/>
      <c r="AH65" s="38"/>
    </row>
    <row r="66" spans="1:34" ht="24" customHeight="1" x14ac:dyDescent="0.25">
      <c r="A66" s="5">
        <v>45</v>
      </c>
      <c r="B66" s="9">
        <v>0.4236111111111111</v>
      </c>
      <c r="C66" s="5" t="s">
        <v>20</v>
      </c>
      <c r="D66" s="5">
        <v>7</v>
      </c>
      <c r="E66" s="15"/>
      <c r="F66" s="15" t="s">
        <v>136</v>
      </c>
      <c r="G66" s="19">
        <f t="shared" si="5"/>
        <v>5.46</v>
      </c>
      <c r="H66" s="19">
        <f t="shared" si="6"/>
        <v>14.8</v>
      </c>
      <c r="I66" s="19">
        <f t="shared" si="7"/>
        <v>0</v>
      </c>
      <c r="J66" s="19">
        <f t="shared" si="8"/>
        <v>0</v>
      </c>
      <c r="K66" s="19">
        <f t="shared" si="9"/>
        <v>0</v>
      </c>
      <c r="L66" s="19">
        <f t="shared" si="10"/>
        <v>0</v>
      </c>
      <c r="M66" s="19">
        <f t="shared" si="11"/>
        <v>0</v>
      </c>
      <c r="N66" s="39">
        <f t="shared" si="12"/>
        <v>20.260000000000002</v>
      </c>
      <c r="O66" s="39">
        <f t="shared" si="15"/>
        <v>59.87861826990725</v>
      </c>
      <c r="P66" s="40">
        <v>8</v>
      </c>
      <c r="Q66" s="40">
        <v>10</v>
      </c>
      <c r="R66" s="40">
        <v>9</v>
      </c>
      <c r="S66" s="40">
        <v>9</v>
      </c>
      <c r="T66" s="40">
        <v>9</v>
      </c>
      <c r="U66" s="40">
        <v>9</v>
      </c>
      <c r="V66" s="40">
        <v>9</v>
      </c>
      <c r="W66" s="41" t="str">
        <f t="shared" si="13"/>
        <v>Y</v>
      </c>
      <c r="X66" s="56">
        <f t="shared" si="14"/>
        <v>0.48000000000000009</v>
      </c>
      <c r="Y66" s="56" t="str">
        <f t="shared" si="4"/>
        <v>25-50%</v>
      </c>
      <c r="Z66" s="8" t="s">
        <v>111</v>
      </c>
      <c r="AB66" s="38">
        <v>5460</v>
      </c>
      <c r="AC66" s="38">
        <v>14800</v>
      </c>
      <c r="AD66" s="38"/>
      <c r="AE66" s="38"/>
      <c r="AF66" s="38"/>
      <c r="AG66" s="38"/>
      <c r="AH66" s="38"/>
    </row>
    <row r="67" spans="1:34" ht="24" customHeight="1" x14ac:dyDescent="0.25">
      <c r="A67" s="5">
        <v>46</v>
      </c>
      <c r="B67" s="9">
        <v>0.43124999999999997</v>
      </c>
      <c r="C67" s="5" t="s">
        <v>20</v>
      </c>
      <c r="D67" s="5">
        <v>7</v>
      </c>
      <c r="E67" s="15"/>
      <c r="F67" s="15" t="s">
        <v>23</v>
      </c>
      <c r="G67" s="19">
        <f t="shared" si="5"/>
        <v>5.86</v>
      </c>
      <c r="H67" s="19">
        <f t="shared" si="6"/>
        <v>16.2</v>
      </c>
      <c r="I67" s="19">
        <f t="shared" si="7"/>
        <v>0</v>
      </c>
      <c r="J67" s="19">
        <f t="shared" si="8"/>
        <v>0</v>
      </c>
      <c r="K67" s="19">
        <f t="shared" si="9"/>
        <v>0</v>
      </c>
      <c r="L67" s="19">
        <f t="shared" si="10"/>
        <v>0</v>
      </c>
      <c r="M67" s="19">
        <f t="shared" si="11"/>
        <v>0</v>
      </c>
      <c r="N67" s="39">
        <f t="shared" si="12"/>
        <v>22.06</v>
      </c>
      <c r="O67" s="39">
        <f t="shared" si="15"/>
        <v>87.825184755024623</v>
      </c>
      <c r="P67" s="40">
        <v>8</v>
      </c>
      <c r="Q67" s="40">
        <v>10</v>
      </c>
      <c r="R67" s="40">
        <v>9</v>
      </c>
      <c r="S67" s="40">
        <v>9</v>
      </c>
      <c r="T67" s="40">
        <v>9</v>
      </c>
      <c r="U67" s="40">
        <v>9</v>
      </c>
      <c r="V67" s="40">
        <v>9</v>
      </c>
      <c r="W67" s="41" t="str">
        <f t="shared" si="13"/>
        <v>Y</v>
      </c>
      <c r="X67" s="56">
        <f t="shared" si="14"/>
        <v>0.61999999999999988</v>
      </c>
      <c r="Y67" s="56" t="str">
        <f t="shared" si="4"/>
        <v>Over 50%</v>
      </c>
      <c r="Z67" s="8" t="s">
        <v>111</v>
      </c>
      <c r="AB67" s="38">
        <v>5860</v>
      </c>
      <c r="AC67" s="38">
        <v>16200</v>
      </c>
      <c r="AD67" s="38"/>
      <c r="AE67" s="38"/>
      <c r="AF67" s="38"/>
      <c r="AG67" s="38"/>
      <c r="AH67" s="38"/>
    </row>
    <row r="68" spans="1:34" ht="24" customHeight="1" x14ac:dyDescent="0.25">
      <c r="A68" s="5">
        <v>47</v>
      </c>
      <c r="B68" s="9">
        <v>0.43263888888888885</v>
      </c>
      <c r="C68" s="5" t="s">
        <v>20</v>
      </c>
      <c r="D68" s="5">
        <v>7</v>
      </c>
      <c r="E68" s="15"/>
      <c r="F68" s="15" t="s">
        <v>23</v>
      </c>
      <c r="G68" s="19">
        <f t="shared" si="5"/>
        <v>3.2</v>
      </c>
      <c r="H68" s="19">
        <f t="shared" si="6"/>
        <v>4.5</v>
      </c>
      <c r="I68" s="19">
        <f t="shared" si="7"/>
        <v>0</v>
      </c>
      <c r="J68" s="19">
        <f t="shared" si="8"/>
        <v>0</v>
      </c>
      <c r="K68" s="19">
        <f t="shared" si="9"/>
        <v>0</v>
      </c>
      <c r="L68" s="19">
        <f t="shared" si="10"/>
        <v>0</v>
      </c>
      <c r="M68" s="19">
        <f t="shared" si="11"/>
        <v>0</v>
      </c>
      <c r="N68" s="39">
        <f t="shared" si="12"/>
        <v>7.7</v>
      </c>
      <c r="O68" s="39">
        <f t="shared" si="15"/>
        <v>0.77019828790709344</v>
      </c>
      <c r="P68" s="40">
        <v>8</v>
      </c>
      <c r="Q68" s="40">
        <v>10</v>
      </c>
      <c r="R68" s="40">
        <v>9</v>
      </c>
      <c r="S68" s="40">
        <v>9</v>
      </c>
      <c r="T68" s="40">
        <v>9</v>
      </c>
      <c r="U68" s="40">
        <v>9</v>
      </c>
      <c r="V68" s="40">
        <v>9</v>
      </c>
      <c r="W68" s="41" t="str">
        <f t="shared" si="13"/>
        <v>N</v>
      </c>
      <c r="X68" s="56">
        <f t="shared" si="14"/>
        <v>0</v>
      </c>
      <c r="Y68" s="56" t="str">
        <f t="shared" si="4"/>
        <v>0-4.9%</v>
      </c>
      <c r="Z68" s="8" t="s">
        <v>118</v>
      </c>
      <c r="AB68" s="38">
        <v>3200</v>
      </c>
      <c r="AC68" s="38">
        <v>4500</v>
      </c>
      <c r="AD68" s="38"/>
      <c r="AE68" s="38"/>
      <c r="AF68" s="38"/>
      <c r="AG68" s="38"/>
      <c r="AH68" s="38"/>
    </row>
    <row r="69" spans="1:34" ht="24" customHeight="1" x14ac:dyDescent="0.25">
      <c r="A69" s="5">
        <v>48</v>
      </c>
      <c r="B69" s="9">
        <v>0.43888888888888888</v>
      </c>
      <c r="C69" s="5" t="s">
        <v>20</v>
      </c>
      <c r="D69" s="5">
        <v>7</v>
      </c>
      <c r="E69" s="15"/>
      <c r="F69" s="15" t="s">
        <v>23</v>
      </c>
      <c r="G69" s="19">
        <f t="shared" si="5"/>
        <v>5.18</v>
      </c>
      <c r="H69" s="19">
        <f t="shared" si="6"/>
        <v>14.6</v>
      </c>
      <c r="I69" s="19">
        <f t="shared" si="7"/>
        <v>0</v>
      </c>
      <c r="J69" s="19">
        <f t="shared" si="8"/>
        <v>0</v>
      </c>
      <c r="K69" s="19">
        <f t="shared" si="9"/>
        <v>0</v>
      </c>
      <c r="L69" s="19">
        <f t="shared" si="10"/>
        <v>0</v>
      </c>
      <c r="M69" s="19">
        <f t="shared" si="11"/>
        <v>0</v>
      </c>
      <c r="N69" s="39">
        <f t="shared" si="12"/>
        <v>19.78</v>
      </c>
      <c r="O69" s="39">
        <f t="shared" si="15"/>
        <v>53.75422171635477</v>
      </c>
      <c r="P69" s="40">
        <v>8</v>
      </c>
      <c r="Q69" s="40">
        <v>10</v>
      </c>
      <c r="R69" s="40">
        <v>9</v>
      </c>
      <c r="S69" s="40">
        <v>9</v>
      </c>
      <c r="T69" s="40">
        <v>9</v>
      </c>
      <c r="U69" s="40">
        <v>9</v>
      </c>
      <c r="V69" s="40">
        <v>9</v>
      </c>
      <c r="W69" s="41" t="str">
        <f t="shared" si="13"/>
        <v>Y</v>
      </c>
      <c r="X69" s="56">
        <f t="shared" si="14"/>
        <v>0.45999999999999996</v>
      </c>
      <c r="Y69" s="56" t="str">
        <f t="shared" si="4"/>
        <v>25-50%</v>
      </c>
      <c r="Z69" s="8" t="s">
        <v>111</v>
      </c>
      <c r="AB69" s="38">
        <v>5180</v>
      </c>
      <c r="AC69" s="38">
        <v>14600</v>
      </c>
      <c r="AD69" s="38"/>
      <c r="AE69" s="38"/>
      <c r="AF69" s="38"/>
      <c r="AG69" s="38"/>
      <c r="AH69" s="38"/>
    </row>
    <row r="70" spans="1:34" ht="24" customHeight="1" x14ac:dyDescent="0.25">
      <c r="A70" s="5">
        <v>49</v>
      </c>
      <c r="B70" s="9">
        <v>0.44513888888888892</v>
      </c>
      <c r="C70" s="5" t="s">
        <v>20</v>
      </c>
      <c r="D70" s="5">
        <v>7</v>
      </c>
      <c r="E70" s="15"/>
      <c r="F70" s="15" t="s">
        <v>23</v>
      </c>
      <c r="G70" s="19">
        <f t="shared" si="5"/>
        <v>3.4</v>
      </c>
      <c r="H70" s="19">
        <f t="shared" si="6"/>
        <v>6</v>
      </c>
      <c r="I70" s="19">
        <f t="shared" si="7"/>
        <v>0</v>
      </c>
      <c r="J70" s="19">
        <f t="shared" si="8"/>
        <v>0</v>
      </c>
      <c r="K70" s="19">
        <f t="shared" si="9"/>
        <v>0</v>
      </c>
      <c r="L70" s="19">
        <f t="shared" si="10"/>
        <v>0</v>
      </c>
      <c r="M70" s="19">
        <f t="shared" si="11"/>
        <v>0</v>
      </c>
      <c r="N70" s="39">
        <f t="shared" si="12"/>
        <v>9.4</v>
      </c>
      <c r="O70" s="39">
        <f t="shared" si="15"/>
        <v>1.8900340435123808</v>
      </c>
      <c r="P70" s="40">
        <v>8</v>
      </c>
      <c r="Q70" s="40">
        <v>10</v>
      </c>
      <c r="R70" s="40">
        <v>9</v>
      </c>
      <c r="S70" s="40">
        <v>9</v>
      </c>
      <c r="T70" s="40">
        <v>9</v>
      </c>
      <c r="U70" s="40">
        <v>9</v>
      </c>
      <c r="V70" s="40">
        <v>9</v>
      </c>
      <c r="W70" s="41" t="str">
        <f t="shared" si="13"/>
        <v>N</v>
      </c>
      <c r="X70" s="56">
        <f t="shared" si="14"/>
        <v>0</v>
      </c>
      <c r="Y70" s="56" t="str">
        <f t="shared" si="4"/>
        <v>0-4.9%</v>
      </c>
      <c r="Z70" s="8" t="s">
        <v>35</v>
      </c>
      <c r="AB70" s="38">
        <v>3400</v>
      </c>
      <c r="AC70" s="38">
        <v>6000</v>
      </c>
      <c r="AD70" s="38"/>
      <c r="AE70" s="38"/>
      <c r="AF70" s="38"/>
      <c r="AG70" s="38"/>
      <c r="AH70" s="38"/>
    </row>
    <row r="71" spans="1:34" ht="24" customHeight="1" x14ac:dyDescent="0.25">
      <c r="A71" s="5">
        <v>50</v>
      </c>
      <c r="B71" s="9">
        <v>0.45416666666666666</v>
      </c>
      <c r="C71" s="5" t="s">
        <v>20</v>
      </c>
      <c r="D71" s="5">
        <v>7</v>
      </c>
      <c r="E71" s="15"/>
      <c r="F71" s="15" t="s">
        <v>23</v>
      </c>
      <c r="G71" s="19">
        <f t="shared" si="5"/>
        <v>5.88</v>
      </c>
      <c r="H71" s="19">
        <f t="shared" si="6"/>
        <v>14.4</v>
      </c>
      <c r="I71" s="19">
        <f t="shared" si="7"/>
        <v>0</v>
      </c>
      <c r="J71" s="19">
        <f t="shared" si="8"/>
        <v>0</v>
      </c>
      <c r="K71" s="19">
        <f t="shared" si="9"/>
        <v>0</v>
      </c>
      <c r="L71" s="19">
        <f t="shared" si="10"/>
        <v>0</v>
      </c>
      <c r="M71" s="19">
        <f t="shared" si="11"/>
        <v>0</v>
      </c>
      <c r="N71" s="39">
        <f t="shared" si="12"/>
        <v>20.28</v>
      </c>
      <c r="O71" s="39">
        <f t="shared" ref="O71:O102" si="16">(N71/8.16)^4.5</f>
        <v>60.145074003374603</v>
      </c>
      <c r="P71" s="40">
        <v>8</v>
      </c>
      <c r="Q71" s="40">
        <v>10</v>
      </c>
      <c r="R71" s="40">
        <v>9</v>
      </c>
      <c r="S71" s="40">
        <v>9</v>
      </c>
      <c r="T71" s="40">
        <v>9</v>
      </c>
      <c r="U71" s="40">
        <v>9</v>
      </c>
      <c r="V71" s="40">
        <v>9</v>
      </c>
      <c r="W71" s="41" t="str">
        <f t="shared" si="13"/>
        <v>Y</v>
      </c>
      <c r="X71" s="56">
        <f t="shared" si="14"/>
        <v>0.44000000000000006</v>
      </c>
      <c r="Y71" s="56" t="str">
        <f t="shared" ref="Y71:Y134" si="17">IF(X71&lt;5%,"0-4.9%",IF(X71&lt;25%,"5-25%",IF(X71&lt;50%,"25-50%","Over 50%")))</f>
        <v>25-50%</v>
      </c>
      <c r="Z71" s="8" t="s">
        <v>145</v>
      </c>
      <c r="AB71" s="38">
        <v>5880</v>
      </c>
      <c r="AC71" s="38">
        <v>14400</v>
      </c>
      <c r="AD71" s="38"/>
      <c r="AE71" s="38"/>
      <c r="AF71" s="38"/>
      <c r="AG71" s="38"/>
      <c r="AH71" s="38"/>
    </row>
    <row r="72" spans="1:34" ht="24" customHeight="1" x14ac:dyDescent="0.25">
      <c r="A72" s="5">
        <v>1</v>
      </c>
      <c r="B72" s="9">
        <v>0.45833333333333331</v>
      </c>
      <c r="C72" s="5" t="s">
        <v>20</v>
      </c>
      <c r="D72" s="5">
        <v>7</v>
      </c>
      <c r="E72" s="15"/>
      <c r="F72" s="15" t="s">
        <v>23</v>
      </c>
      <c r="G72" s="19">
        <f t="shared" ref="G72:G135" si="18">AB72/1000</f>
        <v>3.92</v>
      </c>
      <c r="H72" s="19">
        <f t="shared" ref="H72:H135" si="19">AC72/1000</f>
        <v>8</v>
      </c>
      <c r="I72" s="19">
        <f t="shared" ref="I72:I135" si="20">AD72/1000</f>
        <v>0</v>
      </c>
      <c r="J72" s="19">
        <f t="shared" ref="J72:J135" si="21">AE72/1000</f>
        <v>0</v>
      </c>
      <c r="K72" s="19">
        <f t="shared" ref="K72:K135" si="22">AF72/1000</f>
        <v>0</v>
      </c>
      <c r="L72" s="19">
        <f t="shared" ref="L72:L135" si="23">AG72/1000</f>
        <v>0</v>
      </c>
      <c r="M72" s="19">
        <f t="shared" ref="M72:M135" si="24">AH72/1000</f>
        <v>0</v>
      </c>
      <c r="N72" s="39">
        <f t="shared" ref="N72:N135" si="25">SUM(G72:M72)</f>
        <v>11.92</v>
      </c>
      <c r="O72" s="39">
        <f t="shared" si="16"/>
        <v>5.5034805368738464</v>
      </c>
      <c r="P72" s="40">
        <v>8</v>
      </c>
      <c r="Q72" s="40">
        <v>10</v>
      </c>
      <c r="R72" s="40">
        <v>9</v>
      </c>
      <c r="S72" s="40">
        <v>9</v>
      </c>
      <c r="T72" s="40">
        <v>9</v>
      </c>
      <c r="U72" s="40">
        <v>9</v>
      </c>
      <c r="V72" s="40">
        <v>9</v>
      </c>
      <c r="W72" s="41" t="str">
        <f t="shared" ref="W72:W135" si="26">IF(G72&gt;P72,"Y",IF(H72&gt;Q72,"Y",IF(I72&gt;R72,"Y",IF(J72&gt;S72,"Y",IF(K72&gt;T72,"Y",IF(L72&gt;U72,"Y",IF(M72&gt;V72,"Y","N")))))))</f>
        <v>N</v>
      </c>
      <c r="X72" s="56">
        <f t="shared" ref="X72:X135" si="27">IF(W72="Y",MAX((G72-P72),(H72-Q72),(I72-R72),(J72-S72),(K72-T72),(L72-U72),(M72-V72))/10,0)</f>
        <v>0</v>
      </c>
      <c r="Y72" s="56" t="str">
        <f t="shared" si="17"/>
        <v>0-4.9%</v>
      </c>
      <c r="Z72" s="8" t="s">
        <v>145</v>
      </c>
      <c r="AB72" s="38">
        <v>3920</v>
      </c>
      <c r="AC72" s="38">
        <v>8000</v>
      </c>
      <c r="AD72" s="38"/>
      <c r="AE72" s="38"/>
      <c r="AF72" s="38"/>
      <c r="AG72" s="38"/>
      <c r="AH72" s="38"/>
    </row>
    <row r="73" spans="1:34" ht="24" customHeight="1" x14ac:dyDescent="0.25">
      <c r="A73" s="5">
        <v>2</v>
      </c>
      <c r="B73" s="9">
        <v>0.47291666666666665</v>
      </c>
      <c r="C73" s="5" t="s">
        <v>20</v>
      </c>
      <c r="D73" s="5">
        <v>7</v>
      </c>
      <c r="E73" s="15"/>
      <c r="F73" s="15" t="s">
        <v>23</v>
      </c>
      <c r="G73" s="19">
        <f t="shared" si="18"/>
        <v>3.24</v>
      </c>
      <c r="H73" s="19">
        <f t="shared" si="19"/>
        <v>6.84</v>
      </c>
      <c r="I73" s="19">
        <f t="shared" si="20"/>
        <v>0</v>
      </c>
      <c r="J73" s="19">
        <f t="shared" si="21"/>
        <v>0</v>
      </c>
      <c r="K73" s="19">
        <f t="shared" si="22"/>
        <v>0</v>
      </c>
      <c r="L73" s="19">
        <f t="shared" si="23"/>
        <v>0</v>
      </c>
      <c r="M73" s="19">
        <f t="shared" si="24"/>
        <v>0</v>
      </c>
      <c r="N73" s="39">
        <f t="shared" si="25"/>
        <v>10.08</v>
      </c>
      <c r="O73" s="39">
        <f t="shared" si="16"/>
        <v>2.5880143501472399</v>
      </c>
      <c r="P73" s="40">
        <v>8</v>
      </c>
      <c r="Q73" s="40">
        <v>10</v>
      </c>
      <c r="R73" s="40">
        <v>9</v>
      </c>
      <c r="S73" s="40">
        <v>9</v>
      </c>
      <c r="T73" s="40">
        <v>9</v>
      </c>
      <c r="U73" s="40">
        <v>9</v>
      </c>
      <c r="V73" s="40">
        <v>9</v>
      </c>
      <c r="W73" s="41" t="str">
        <f t="shared" si="26"/>
        <v>N</v>
      </c>
      <c r="X73" s="56">
        <f t="shared" si="27"/>
        <v>0</v>
      </c>
      <c r="Y73" s="56" t="str">
        <f t="shared" si="17"/>
        <v>0-4.9%</v>
      </c>
      <c r="Z73" s="8" t="s">
        <v>115</v>
      </c>
      <c r="AB73" s="38">
        <v>3240</v>
      </c>
      <c r="AC73" s="38">
        <v>6840</v>
      </c>
      <c r="AD73" s="38"/>
      <c r="AE73" s="38"/>
      <c r="AF73" s="38"/>
      <c r="AG73" s="38"/>
      <c r="AH73" s="38"/>
    </row>
    <row r="74" spans="1:34" ht="24" customHeight="1" x14ac:dyDescent="0.25">
      <c r="A74" s="5">
        <v>3</v>
      </c>
      <c r="B74" s="9">
        <v>0.47430555555555554</v>
      </c>
      <c r="C74" s="5" t="s">
        <v>20</v>
      </c>
      <c r="D74" s="5">
        <v>7</v>
      </c>
      <c r="E74" s="15"/>
      <c r="F74" s="15" t="s">
        <v>23</v>
      </c>
      <c r="G74" s="19">
        <f t="shared" si="18"/>
        <v>2.42</v>
      </c>
      <c r="H74" s="19">
        <f t="shared" si="19"/>
        <v>4.6399999999999997</v>
      </c>
      <c r="I74" s="19">
        <f t="shared" si="20"/>
        <v>0</v>
      </c>
      <c r="J74" s="19">
        <f t="shared" si="21"/>
        <v>0</v>
      </c>
      <c r="K74" s="19">
        <f t="shared" si="22"/>
        <v>0</v>
      </c>
      <c r="L74" s="19">
        <f t="shared" si="23"/>
        <v>0</v>
      </c>
      <c r="M74" s="19">
        <f t="shared" si="24"/>
        <v>0</v>
      </c>
      <c r="N74" s="39">
        <f t="shared" si="25"/>
        <v>7.06</v>
      </c>
      <c r="O74" s="39">
        <f t="shared" si="16"/>
        <v>0.52121324131286118</v>
      </c>
      <c r="P74" s="40">
        <v>8</v>
      </c>
      <c r="Q74" s="40">
        <v>10</v>
      </c>
      <c r="R74" s="40">
        <v>9</v>
      </c>
      <c r="S74" s="40">
        <v>9</v>
      </c>
      <c r="T74" s="40">
        <v>9</v>
      </c>
      <c r="U74" s="40">
        <v>9</v>
      </c>
      <c r="V74" s="40">
        <v>9</v>
      </c>
      <c r="W74" s="41" t="str">
        <f t="shared" si="26"/>
        <v>N</v>
      </c>
      <c r="X74" s="56">
        <f t="shared" si="27"/>
        <v>0</v>
      </c>
      <c r="Y74" s="56" t="str">
        <f t="shared" si="17"/>
        <v>0-4.9%</v>
      </c>
      <c r="Z74" s="8" t="s">
        <v>118</v>
      </c>
      <c r="AB74" s="38">
        <v>2420</v>
      </c>
      <c r="AC74" s="38">
        <v>4640</v>
      </c>
      <c r="AD74" s="38"/>
      <c r="AE74" s="38"/>
      <c r="AF74" s="38"/>
      <c r="AG74" s="38"/>
      <c r="AH74" s="38"/>
    </row>
    <row r="75" spans="1:34" ht="24" customHeight="1" x14ac:dyDescent="0.25">
      <c r="A75" s="5">
        <v>6</v>
      </c>
      <c r="B75" s="9">
        <v>0.5</v>
      </c>
      <c r="C75" s="5" t="s">
        <v>20</v>
      </c>
      <c r="D75" s="5">
        <v>7</v>
      </c>
      <c r="E75" s="15"/>
      <c r="F75" s="15" t="s">
        <v>23</v>
      </c>
      <c r="G75" s="19">
        <f t="shared" si="18"/>
        <v>6.22</v>
      </c>
      <c r="H75" s="19">
        <f t="shared" si="19"/>
        <v>7.76</v>
      </c>
      <c r="I75" s="19">
        <f t="shared" si="20"/>
        <v>0</v>
      </c>
      <c r="J75" s="19">
        <f t="shared" si="21"/>
        <v>0</v>
      </c>
      <c r="K75" s="19">
        <f t="shared" si="22"/>
        <v>0</v>
      </c>
      <c r="L75" s="19">
        <f t="shared" si="23"/>
        <v>0</v>
      </c>
      <c r="M75" s="19">
        <f t="shared" si="24"/>
        <v>0</v>
      </c>
      <c r="N75" s="39">
        <f t="shared" si="25"/>
        <v>13.98</v>
      </c>
      <c r="O75" s="39">
        <f t="shared" si="16"/>
        <v>11.276557972628668</v>
      </c>
      <c r="P75" s="40">
        <v>8</v>
      </c>
      <c r="Q75" s="40">
        <v>10</v>
      </c>
      <c r="R75" s="40">
        <v>9</v>
      </c>
      <c r="S75" s="40">
        <v>9</v>
      </c>
      <c r="T75" s="40">
        <v>9</v>
      </c>
      <c r="U75" s="40">
        <v>9</v>
      </c>
      <c r="V75" s="40">
        <v>9</v>
      </c>
      <c r="W75" s="41" t="str">
        <f t="shared" si="26"/>
        <v>N</v>
      </c>
      <c r="X75" s="56">
        <f t="shared" si="27"/>
        <v>0</v>
      </c>
      <c r="Y75" s="56" t="str">
        <f t="shared" si="17"/>
        <v>0-4.9%</v>
      </c>
      <c r="Z75" s="8" t="s">
        <v>111</v>
      </c>
      <c r="AB75" s="38">
        <v>6220</v>
      </c>
      <c r="AC75" s="38">
        <v>7760</v>
      </c>
      <c r="AD75" s="38"/>
      <c r="AE75" s="38"/>
      <c r="AF75" s="38"/>
      <c r="AG75" s="38"/>
      <c r="AH75" s="38"/>
    </row>
    <row r="76" spans="1:34" ht="24" customHeight="1" x14ac:dyDescent="0.25">
      <c r="A76" s="5">
        <v>7</v>
      </c>
      <c r="B76" s="9">
        <v>0.51597222222222217</v>
      </c>
      <c r="C76" s="5" t="s">
        <v>20</v>
      </c>
      <c r="D76" s="5">
        <v>7</v>
      </c>
      <c r="E76" s="15"/>
      <c r="F76" s="15" t="s">
        <v>23</v>
      </c>
      <c r="G76" s="19">
        <f t="shared" si="18"/>
        <v>4.5599999999999996</v>
      </c>
      <c r="H76" s="19">
        <f t="shared" si="19"/>
        <v>11.4</v>
      </c>
      <c r="I76" s="19">
        <f t="shared" si="20"/>
        <v>0</v>
      </c>
      <c r="J76" s="19">
        <f t="shared" si="21"/>
        <v>0</v>
      </c>
      <c r="K76" s="19">
        <f t="shared" si="22"/>
        <v>0</v>
      </c>
      <c r="L76" s="19">
        <f t="shared" si="23"/>
        <v>0</v>
      </c>
      <c r="M76" s="19">
        <f t="shared" si="24"/>
        <v>0</v>
      </c>
      <c r="N76" s="39">
        <f t="shared" si="25"/>
        <v>15.96</v>
      </c>
      <c r="O76" s="39">
        <f t="shared" si="16"/>
        <v>20.466438612381957</v>
      </c>
      <c r="P76" s="40">
        <v>8</v>
      </c>
      <c r="Q76" s="40">
        <v>10</v>
      </c>
      <c r="R76" s="40">
        <v>9</v>
      </c>
      <c r="S76" s="40">
        <v>9</v>
      </c>
      <c r="T76" s="40">
        <v>9</v>
      </c>
      <c r="U76" s="40">
        <v>9</v>
      </c>
      <c r="V76" s="40">
        <v>9</v>
      </c>
      <c r="W76" s="41" t="str">
        <f t="shared" si="26"/>
        <v>Y</v>
      </c>
      <c r="X76" s="56">
        <f t="shared" si="27"/>
        <v>0.14000000000000004</v>
      </c>
      <c r="Y76" s="56" t="str">
        <f t="shared" si="17"/>
        <v>5-25%</v>
      </c>
      <c r="Z76" s="8" t="s">
        <v>111</v>
      </c>
      <c r="AB76" s="38">
        <v>4560</v>
      </c>
      <c r="AC76" s="38">
        <v>11400</v>
      </c>
      <c r="AD76" s="38"/>
      <c r="AE76" s="38"/>
      <c r="AF76" s="38"/>
      <c r="AG76" s="38"/>
      <c r="AH76" s="38"/>
    </row>
    <row r="77" spans="1:34" ht="24" customHeight="1" x14ac:dyDescent="0.25">
      <c r="A77" s="5">
        <v>8</v>
      </c>
      <c r="B77" s="9">
        <v>0.5229166666666667</v>
      </c>
      <c r="C77" s="5" t="s">
        <v>20</v>
      </c>
      <c r="D77" s="5">
        <v>7</v>
      </c>
      <c r="E77" s="15"/>
      <c r="F77" s="15" t="s">
        <v>23</v>
      </c>
      <c r="G77" s="19">
        <f t="shared" si="18"/>
        <v>5.24</v>
      </c>
      <c r="H77" s="19">
        <f t="shared" si="19"/>
        <v>6.5</v>
      </c>
      <c r="I77" s="19">
        <f t="shared" si="20"/>
        <v>0</v>
      </c>
      <c r="J77" s="19">
        <f t="shared" si="21"/>
        <v>0</v>
      </c>
      <c r="K77" s="19">
        <f t="shared" si="22"/>
        <v>0</v>
      </c>
      <c r="L77" s="19">
        <f t="shared" si="23"/>
        <v>0</v>
      </c>
      <c r="M77" s="19">
        <f t="shared" si="24"/>
        <v>0</v>
      </c>
      <c r="N77" s="39">
        <f t="shared" si="25"/>
        <v>11.74</v>
      </c>
      <c r="O77" s="39">
        <f t="shared" si="16"/>
        <v>5.1392615632435943</v>
      </c>
      <c r="P77" s="40">
        <v>8</v>
      </c>
      <c r="Q77" s="40">
        <v>10</v>
      </c>
      <c r="R77" s="40">
        <v>9</v>
      </c>
      <c r="S77" s="40">
        <v>9</v>
      </c>
      <c r="T77" s="40">
        <v>9</v>
      </c>
      <c r="U77" s="40">
        <v>9</v>
      </c>
      <c r="V77" s="40">
        <v>9</v>
      </c>
      <c r="W77" s="41" t="str">
        <f t="shared" si="26"/>
        <v>N</v>
      </c>
      <c r="X77" s="56">
        <f t="shared" si="27"/>
        <v>0</v>
      </c>
      <c r="Y77" s="56" t="str">
        <f t="shared" si="17"/>
        <v>0-4.9%</v>
      </c>
      <c r="Z77" s="8" t="s">
        <v>107</v>
      </c>
      <c r="AB77" s="38">
        <v>5240</v>
      </c>
      <c r="AC77" s="38">
        <v>6500</v>
      </c>
      <c r="AD77" s="38"/>
      <c r="AE77" s="38"/>
      <c r="AF77" s="38"/>
      <c r="AG77" s="38"/>
      <c r="AH77" s="38"/>
    </row>
    <row r="78" spans="1:34" ht="24" customHeight="1" x14ac:dyDescent="0.25">
      <c r="A78" s="5">
        <v>9</v>
      </c>
      <c r="B78" s="9">
        <v>0.52430555555555558</v>
      </c>
      <c r="C78" s="5" t="s">
        <v>20</v>
      </c>
      <c r="D78" s="5">
        <v>7</v>
      </c>
      <c r="E78" s="15"/>
      <c r="F78" s="15" t="s">
        <v>23</v>
      </c>
      <c r="G78" s="19">
        <f t="shared" si="18"/>
        <v>4.83</v>
      </c>
      <c r="H78" s="19">
        <f t="shared" si="19"/>
        <v>11.46</v>
      </c>
      <c r="I78" s="19">
        <f t="shared" si="20"/>
        <v>0</v>
      </c>
      <c r="J78" s="19">
        <f t="shared" si="21"/>
        <v>0</v>
      </c>
      <c r="K78" s="19">
        <f t="shared" si="22"/>
        <v>0</v>
      </c>
      <c r="L78" s="19">
        <f t="shared" si="23"/>
        <v>0</v>
      </c>
      <c r="M78" s="19">
        <f t="shared" si="24"/>
        <v>0</v>
      </c>
      <c r="N78" s="39">
        <f t="shared" si="25"/>
        <v>16.29</v>
      </c>
      <c r="O78" s="39">
        <f t="shared" si="16"/>
        <v>22.440842878301559</v>
      </c>
      <c r="P78" s="40">
        <v>8</v>
      </c>
      <c r="Q78" s="40">
        <v>10</v>
      </c>
      <c r="R78" s="40">
        <v>9</v>
      </c>
      <c r="S78" s="40">
        <v>9</v>
      </c>
      <c r="T78" s="40">
        <v>9</v>
      </c>
      <c r="U78" s="40">
        <v>9</v>
      </c>
      <c r="V78" s="40">
        <v>9</v>
      </c>
      <c r="W78" s="41" t="str">
        <f t="shared" si="26"/>
        <v>Y</v>
      </c>
      <c r="X78" s="56">
        <f t="shared" si="27"/>
        <v>0.14600000000000007</v>
      </c>
      <c r="Y78" s="56" t="str">
        <f t="shared" si="17"/>
        <v>5-25%</v>
      </c>
      <c r="Z78" s="8" t="s">
        <v>111</v>
      </c>
      <c r="AB78" s="38">
        <v>4830</v>
      </c>
      <c r="AC78" s="38">
        <v>11460</v>
      </c>
      <c r="AD78" s="38"/>
      <c r="AE78" s="38"/>
      <c r="AF78" s="38"/>
      <c r="AG78" s="38"/>
      <c r="AH78" s="38"/>
    </row>
    <row r="79" spans="1:34" ht="24" customHeight="1" x14ac:dyDescent="0.25">
      <c r="A79" s="5">
        <v>10</v>
      </c>
      <c r="B79" s="9">
        <v>0.52500000000000002</v>
      </c>
      <c r="C79" s="5" t="s">
        <v>20</v>
      </c>
      <c r="D79" s="5">
        <v>7</v>
      </c>
      <c r="E79" s="15"/>
      <c r="F79" s="15" t="s">
        <v>23</v>
      </c>
      <c r="G79" s="19">
        <f t="shared" si="18"/>
        <v>4.5999999999999996</v>
      </c>
      <c r="H79" s="19">
        <f t="shared" si="19"/>
        <v>16.02</v>
      </c>
      <c r="I79" s="19">
        <f t="shared" si="20"/>
        <v>0</v>
      </c>
      <c r="J79" s="19">
        <f t="shared" si="21"/>
        <v>0</v>
      </c>
      <c r="K79" s="19">
        <f t="shared" si="22"/>
        <v>0</v>
      </c>
      <c r="L79" s="19">
        <f t="shared" si="23"/>
        <v>0</v>
      </c>
      <c r="M79" s="19">
        <f t="shared" si="24"/>
        <v>0</v>
      </c>
      <c r="N79" s="39">
        <f t="shared" si="25"/>
        <v>20.619999999999997</v>
      </c>
      <c r="O79" s="39">
        <f t="shared" si="16"/>
        <v>64.817646787890709</v>
      </c>
      <c r="P79" s="40">
        <v>8</v>
      </c>
      <c r="Q79" s="40">
        <v>10</v>
      </c>
      <c r="R79" s="40">
        <v>9</v>
      </c>
      <c r="S79" s="40">
        <v>9</v>
      </c>
      <c r="T79" s="40">
        <v>9</v>
      </c>
      <c r="U79" s="40">
        <v>9</v>
      </c>
      <c r="V79" s="40">
        <v>9</v>
      </c>
      <c r="W79" s="41" t="str">
        <f t="shared" si="26"/>
        <v>Y</v>
      </c>
      <c r="X79" s="56">
        <f t="shared" si="27"/>
        <v>0.60199999999999998</v>
      </c>
      <c r="Y79" s="56" t="str">
        <f t="shared" si="17"/>
        <v>Over 50%</v>
      </c>
      <c r="Z79" s="8" t="s">
        <v>118</v>
      </c>
      <c r="AB79" s="38">
        <v>4600</v>
      </c>
      <c r="AC79" s="38">
        <v>16020</v>
      </c>
      <c r="AD79" s="38"/>
      <c r="AE79" s="38"/>
      <c r="AF79" s="38"/>
      <c r="AG79" s="38"/>
      <c r="AH79" s="38"/>
    </row>
    <row r="80" spans="1:34" ht="24" customHeight="1" x14ac:dyDescent="0.25">
      <c r="A80" s="5">
        <v>11</v>
      </c>
      <c r="B80" s="9">
        <v>0.52500000000000002</v>
      </c>
      <c r="C80" s="5" t="s">
        <v>20</v>
      </c>
      <c r="D80" s="5">
        <v>7</v>
      </c>
      <c r="E80" s="15"/>
      <c r="F80" s="15" t="s">
        <v>23</v>
      </c>
      <c r="G80" s="19">
        <f t="shared" si="18"/>
        <v>6.26</v>
      </c>
      <c r="H80" s="19">
        <f t="shared" si="19"/>
        <v>14.76</v>
      </c>
      <c r="I80" s="19">
        <f t="shared" si="20"/>
        <v>0</v>
      </c>
      <c r="J80" s="19">
        <f t="shared" si="21"/>
        <v>0</v>
      </c>
      <c r="K80" s="19">
        <f t="shared" si="22"/>
        <v>0</v>
      </c>
      <c r="L80" s="19">
        <f t="shared" si="23"/>
        <v>0</v>
      </c>
      <c r="M80" s="19">
        <f t="shared" si="24"/>
        <v>0</v>
      </c>
      <c r="N80" s="39">
        <f t="shared" si="25"/>
        <v>21.02</v>
      </c>
      <c r="O80" s="39">
        <f t="shared" si="16"/>
        <v>70.671040936116029</v>
      </c>
      <c r="P80" s="40">
        <v>8</v>
      </c>
      <c r="Q80" s="40">
        <v>10</v>
      </c>
      <c r="R80" s="40">
        <v>9</v>
      </c>
      <c r="S80" s="40">
        <v>9</v>
      </c>
      <c r="T80" s="40">
        <v>9</v>
      </c>
      <c r="U80" s="40">
        <v>9</v>
      </c>
      <c r="V80" s="40">
        <v>9</v>
      </c>
      <c r="W80" s="41" t="str">
        <f t="shared" si="26"/>
        <v>Y</v>
      </c>
      <c r="X80" s="56">
        <f t="shared" si="27"/>
        <v>0.47599999999999998</v>
      </c>
      <c r="Y80" s="56" t="str">
        <f t="shared" si="17"/>
        <v>25-50%</v>
      </c>
      <c r="Z80" s="8" t="s">
        <v>118</v>
      </c>
      <c r="AB80" s="38">
        <v>6260</v>
      </c>
      <c r="AC80" s="38">
        <v>14760</v>
      </c>
      <c r="AD80" s="38"/>
      <c r="AE80" s="38"/>
      <c r="AF80" s="38"/>
      <c r="AG80" s="38"/>
      <c r="AH80" s="38"/>
    </row>
    <row r="81" spans="1:34" ht="24" customHeight="1" x14ac:dyDescent="0.25">
      <c r="A81" s="5">
        <v>13</v>
      </c>
      <c r="B81" s="9">
        <v>0.1277777777777778</v>
      </c>
      <c r="C81" s="5" t="s">
        <v>20</v>
      </c>
      <c r="D81" s="5">
        <v>7</v>
      </c>
      <c r="E81" s="15"/>
      <c r="F81" s="15" t="s">
        <v>23</v>
      </c>
      <c r="G81" s="19">
        <f t="shared" si="18"/>
        <v>6.2</v>
      </c>
      <c r="H81" s="19">
        <f t="shared" si="19"/>
        <v>17.64</v>
      </c>
      <c r="I81" s="19">
        <f t="shared" si="20"/>
        <v>0</v>
      </c>
      <c r="J81" s="19">
        <f t="shared" si="21"/>
        <v>0</v>
      </c>
      <c r="K81" s="19">
        <f t="shared" si="22"/>
        <v>0</v>
      </c>
      <c r="L81" s="19">
        <f t="shared" si="23"/>
        <v>0</v>
      </c>
      <c r="M81" s="19">
        <f t="shared" si="24"/>
        <v>0</v>
      </c>
      <c r="N81" s="39">
        <f t="shared" si="25"/>
        <v>23.84</v>
      </c>
      <c r="O81" s="39">
        <f t="shared" si="16"/>
        <v>124.5295490480537</v>
      </c>
      <c r="P81" s="40">
        <v>8</v>
      </c>
      <c r="Q81" s="40">
        <v>10</v>
      </c>
      <c r="R81" s="40">
        <v>9</v>
      </c>
      <c r="S81" s="40">
        <v>9</v>
      </c>
      <c r="T81" s="40">
        <v>9</v>
      </c>
      <c r="U81" s="40">
        <v>9</v>
      </c>
      <c r="V81" s="40">
        <v>9</v>
      </c>
      <c r="W81" s="41" t="str">
        <f t="shared" si="26"/>
        <v>Y</v>
      </c>
      <c r="X81" s="56">
        <f t="shared" si="27"/>
        <v>0.76400000000000001</v>
      </c>
      <c r="Y81" s="56" t="str">
        <f t="shared" si="17"/>
        <v>Over 50%</v>
      </c>
      <c r="Z81" s="8" t="s">
        <v>111</v>
      </c>
      <c r="AB81" s="38">
        <v>6200</v>
      </c>
      <c r="AC81" s="38">
        <v>17640</v>
      </c>
      <c r="AD81" s="38"/>
      <c r="AE81" s="38"/>
      <c r="AF81" s="38"/>
      <c r="AG81" s="38"/>
      <c r="AH81" s="38"/>
    </row>
    <row r="82" spans="1:34" ht="24" customHeight="1" x14ac:dyDescent="0.25">
      <c r="A82" s="5">
        <v>14</v>
      </c>
      <c r="B82" s="9">
        <v>0.12916666666666668</v>
      </c>
      <c r="C82" s="5" t="s">
        <v>21</v>
      </c>
      <c r="D82" s="5">
        <v>7</v>
      </c>
      <c r="E82" s="15"/>
      <c r="F82" s="15" t="s">
        <v>23</v>
      </c>
      <c r="G82" s="19">
        <f t="shared" si="18"/>
        <v>6.26</v>
      </c>
      <c r="H82" s="19">
        <f t="shared" si="19"/>
        <v>14.89</v>
      </c>
      <c r="I82" s="19">
        <f t="shared" si="20"/>
        <v>0</v>
      </c>
      <c r="J82" s="19">
        <f t="shared" si="21"/>
        <v>0</v>
      </c>
      <c r="K82" s="19">
        <f t="shared" si="22"/>
        <v>0</v>
      </c>
      <c r="L82" s="19">
        <f t="shared" si="23"/>
        <v>0</v>
      </c>
      <c r="M82" s="19">
        <f t="shared" si="24"/>
        <v>0</v>
      </c>
      <c r="N82" s="39">
        <f t="shared" si="25"/>
        <v>21.15</v>
      </c>
      <c r="O82" s="39">
        <f t="shared" si="16"/>
        <v>72.659257965730816</v>
      </c>
      <c r="P82" s="40">
        <v>8</v>
      </c>
      <c r="Q82" s="40">
        <v>10</v>
      </c>
      <c r="R82" s="40">
        <v>9</v>
      </c>
      <c r="S82" s="40">
        <v>9</v>
      </c>
      <c r="T82" s="40">
        <v>9</v>
      </c>
      <c r="U82" s="40">
        <v>9</v>
      </c>
      <c r="V82" s="40">
        <v>9</v>
      </c>
      <c r="W82" s="41" t="str">
        <f t="shared" si="26"/>
        <v>Y</v>
      </c>
      <c r="X82" s="56">
        <f t="shared" si="27"/>
        <v>0.48900000000000005</v>
      </c>
      <c r="Y82" s="56" t="str">
        <f t="shared" si="17"/>
        <v>25-50%</v>
      </c>
      <c r="Z82" s="8" t="s">
        <v>107</v>
      </c>
      <c r="AB82" s="38">
        <v>6260</v>
      </c>
      <c r="AC82" s="38">
        <v>14890</v>
      </c>
      <c r="AD82" s="38"/>
      <c r="AE82" s="38"/>
      <c r="AF82" s="38"/>
      <c r="AG82" s="38"/>
      <c r="AH82" s="38"/>
    </row>
    <row r="83" spans="1:34" ht="24" customHeight="1" x14ac:dyDescent="0.25">
      <c r="A83" s="5">
        <v>15</v>
      </c>
      <c r="B83" s="9">
        <v>0.1361111111111111</v>
      </c>
      <c r="C83" s="5" t="s">
        <v>20</v>
      </c>
      <c r="D83" s="5">
        <v>7</v>
      </c>
      <c r="E83" s="15"/>
      <c r="F83" s="15" t="s">
        <v>23</v>
      </c>
      <c r="G83" s="19">
        <f t="shared" si="18"/>
        <v>7.4</v>
      </c>
      <c r="H83" s="19">
        <f t="shared" si="19"/>
        <v>12.04</v>
      </c>
      <c r="I83" s="19">
        <f t="shared" si="20"/>
        <v>0</v>
      </c>
      <c r="J83" s="19">
        <f t="shared" si="21"/>
        <v>0</v>
      </c>
      <c r="K83" s="19">
        <f t="shared" si="22"/>
        <v>0</v>
      </c>
      <c r="L83" s="19">
        <f t="shared" si="23"/>
        <v>0</v>
      </c>
      <c r="M83" s="19">
        <f t="shared" si="24"/>
        <v>0</v>
      </c>
      <c r="N83" s="39">
        <f t="shared" si="25"/>
        <v>19.439999999999998</v>
      </c>
      <c r="O83" s="39">
        <f t="shared" si="16"/>
        <v>49.719580793093115</v>
      </c>
      <c r="P83" s="40">
        <v>8</v>
      </c>
      <c r="Q83" s="40">
        <v>10</v>
      </c>
      <c r="R83" s="40">
        <v>9</v>
      </c>
      <c r="S83" s="40">
        <v>9</v>
      </c>
      <c r="T83" s="40">
        <v>9</v>
      </c>
      <c r="U83" s="40">
        <v>9</v>
      </c>
      <c r="V83" s="40">
        <v>9</v>
      </c>
      <c r="W83" s="41" t="str">
        <f t="shared" si="26"/>
        <v>Y</v>
      </c>
      <c r="X83" s="56">
        <f t="shared" si="27"/>
        <v>0.2039999999999999</v>
      </c>
      <c r="Y83" s="56" t="str">
        <f t="shared" si="17"/>
        <v>5-25%</v>
      </c>
      <c r="Z83" s="8" t="s">
        <v>35</v>
      </c>
      <c r="AB83" s="38">
        <v>7400</v>
      </c>
      <c r="AC83" s="38">
        <v>12040</v>
      </c>
      <c r="AD83" s="38"/>
      <c r="AE83" s="38"/>
      <c r="AF83" s="38"/>
      <c r="AG83" s="38"/>
      <c r="AH83" s="38"/>
    </row>
    <row r="84" spans="1:34" ht="24" customHeight="1" x14ac:dyDescent="0.25">
      <c r="A84" s="5">
        <v>16</v>
      </c>
      <c r="B84" s="9">
        <v>0.14027777777777778</v>
      </c>
      <c r="C84" s="5" t="s">
        <v>20</v>
      </c>
      <c r="D84" s="5">
        <v>7</v>
      </c>
      <c r="E84" s="15"/>
      <c r="F84" s="15" t="s">
        <v>23</v>
      </c>
      <c r="G84" s="19">
        <f t="shared" si="18"/>
        <v>4.34</v>
      </c>
      <c r="H84" s="19">
        <f t="shared" si="19"/>
        <v>10.18</v>
      </c>
      <c r="I84" s="19">
        <f t="shared" si="20"/>
        <v>0</v>
      </c>
      <c r="J84" s="19">
        <f t="shared" si="21"/>
        <v>0</v>
      </c>
      <c r="K84" s="19">
        <f t="shared" si="22"/>
        <v>0</v>
      </c>
      <c r="L84" s="19">
        <f t="shared" si="23"/>
        <v>0</v>
      </c>
      <c r="M84" s="19">
        <f t="shared" si="24"/>
        <v>0</v>
      </c>
      <c r="N84" s="39">
        <f t="shared" si="25"/>
        <v>14.52</v>
      </c>
      <c r="O84" s="39">
        <f t="shared" si="16"/>
        <v>13.373468504544869</v>
      </c>
      <c r="P84" s="40">
        <v>8</v>
      </c>
      <c r="Q84" s="40">
        <v>10</v>
      </c>
      <c r="R84" s="40">
        <v>9</v>
      </c>
      <c r="S84" s="40">
        <v>9</v>
      </c>
      <c r="T84" s="40">
        <v>9</v>
      </c>
      <c r="U84" s="40">
        <v>9</v>
      </c>
      <c r="V84" s="40">
        <v>9</v>
      </c>
      <c r="W84" s="41" t="str">
        <f t="shared" si="26"/>
        <v>Y</v>
      </c>
      <c r="X84" s="56">
        <f t="shared" si="27"/>
        <v>1.7999999999999971E-2</v>
      </c>
      <c r="Y84" s="56" t="str">
        <f t="shared" si="17"/>
        <v>0-4.9%</v>
      </c>
      <c r="Z84" s="8" t="s">
        <v>113</v>
      </c>
      <c r="AB84" s="38">
        <v>4340</v>
      </c>
      <c r="AC84" s="38">
        <v>10180</v>
      </c>
      <c r="AD84" s="38"/>
      <c r="AE84" s="38"/>
      <c r="AF84" s="38"/>
      <c r="AG84" s="38"/>
      <c r="AH84" s="38"/>
    </row>
    <row r="85" spans="1:34" ht="24" customHeight="1" x14ac:dyDescent="0.25">
      <c r="A85" s="5">
        <v>18</v>
      </c>
      <c r="B85" s="9">
        <v>0.17430555555555557</v>
      </c>
      <c r="C85" s="5" t="s">
        <v>20</v>
      </c>
      <c r="D85" s="5">
        <v>7</v>
      </c>
      <c r="E85" s="15"/>
      <c r="F85" s="15" t="s">
        <v>23</v>
      </c>
      <c r="G85" s="19">
        <f t="shared" si="18"/>
        <v>4.3</v>
      </c>
      <c r="H85" s="19">
        <f t="shared" si="19"/>
        <v>18.399999999999999</v>
      </c>
      <c r="I85" s="19">
        <f t="shared" si="20"/>
        <v>0</v>
      </c>
      <c r="J85" s="19">
        <f t="shared" si="21"/>
        <v>0</v>
      </c>
      <c r="K85" s="19">
        <f t="shared" si="22"/>
        <v>0</v>
      </c>
      <c r="L85" s="19">
        <f t="shared" si="23"/>
        <v>0</v>
      </c>
      <c r="M85" s="19">
        <f t="shared" si="24"/>
        <v>0</v>
      </c>
      <c r="N85" s="39">
        <f t="shared" si="25"/>
        <v>22.7</v>
      </c>
      <c r="O85" s="39">
        <f t="shared" si="16"/>
        <v>99.887384839813038</v>
      </c>
      <c r="P85" s="40">
        <v>8</v>
      </c>
      <c r="Q85" s="40">
        <v>10</v>
      </c>
      <c r="R85" s="40">
        <v>9</v>
      </c>
      <c r="S85" s="40">
        <v>9</v>
      </c>
      <c r="T85" s="40">
        <v>9</v>
      </c>
      <c r="U85" s="40">
        <v>9</v>
      </c>
      <c r="V85" s="40">
        <v>9</v>
      </c>
      <c r="W85" s="41" t="str">
        <f t="shared" si="26"/>
        <v>Y</v>
      </c>
      <c r="X85" s="56">
        <f t="shared" si="27"/>
        <v>0.83999999999999986</v>
      </c>
      <c r="Y85" s="56" t="str">
        <f t="shared" si="17"/>
        <v>Over 50%</v>
      </c>
      <c r="Z85" s="8" t="s">
        <v>145</v>
      </c>
      <c r="AB85" s="38">
        <v>4300</v>
      </c>
      <c r="AC85" s="38">
        <v>18400</v>
      </c>
      <c r="AD85" s="38"/>
      <c r="AE85" s="38"/>
      <c r="AF85" s="38"/>
      <c r="AG85" s="38"/>
      <c r="AH85" s="38"/>
    </row>
    <row r="86" spans="1:34" ht="24" customHeight="1" x14ac:dyDescent="0.25">
      <c r="A86" s="5">
        <v>20</v>
      </c>
      <c r="B86" s="9">
        <v>0.18263888888888891</v>
      </c>
      <c r="C86" s="5" t="s">
        <v>20</v>
      </c>
      <c r="D86" s="5">
        <v>7</v>
      </c>
      <c r="E86" s="15"/>
      <c r="F86" s="15" t="s">
        <v>23</v>
      </c>
      <c r="G86" s="19">
        <f t="shared" si="18"/>
        <v>3.42</v>
      </c>
      <c r="H86" s="19">
        <f t="shared" si="19"/>
        <v>5.92</v>
      </c>
      <c r="I86" s="19">
        <f t="shared" si="20"/>
        <v>0</v>
      </c>
      <c r="J86" s="19">
        <f t="shared" si="21"/>
        <v>0</v>
      </c>
      <c r="K86" s="19">
        <f t="shared" si="22"/>
        <v>0</v>
      </c>
      <c r="L86" s="19">
        <f t="shared" si="23"/>
        <v>0</v>
      </c>
      <c r="M86" s="19">
        <f t="shared" si="24"/>
        <v>0</v>
      </c>
      <c r="N86" s="39">
        <f t="shared" si="25"/>
        <v>9.34</v>
      </c>
      <c r="O86" s="39">
        <f t="shared" si="16"/>
        <v>1.8363490246278533</v>
      </c>
      <c r="P86" s="40">
        <v>8</v>
      </c>
      <c r="Q86" s="40">
        <v>10</v>
      </c>
      <c r="R86" s="40">
        <v>9</v>
      </c>
      <c r="S86" s="40">
        <v>9</v>
      </c>
      <c r="T86" s="40">
        <v>9</v>
      </c>
      <c r="U86" s="40">
        <v>9</v>
      </c>
      <c r="V86" s="40">
        <v>9</v>
      </c>
      <c r="W86" s="41" t="str">
        <f t="shared" si="26"/>
        <v>N</v>
      </c>
      <c r="X86" s="56">
        <f t="shared" si="27"/>
        <v>0</v>
      </c>
      <c r="Y86" s="56" t="str">
        <f t="shared" si="17"/>
        <v>0-4.9%</v>
      </c>
      <c r="Z86" s="8" t="s">
        <v>118</v>
      </c>
      <c r="AB86" s="38">
        <v>3420</v>
      </c>
      <c r="AC86" s="38">
        <v>5920</v>
      </c>
      <c r="AD86" s="38"/>
      <c r="AE86" s="38"/>
      <c r="AF86" s="38"/>
      <c r="AG86" s="38"/>
      <c r="AH86" s="38"/>
    </row>
    <row r="87" spans="1:34" ht="24" customHeight="1" x14ac:dyDescent="0.25">
      <c r="A87" s="5">
        <v>21</v>
      </c>
      <c r="B87" s="9">
        <v>0.18402777777777779</v>
      </c>
      <c r="C87" s="5" t="s">
        <v>20</v>
      </c>
      <c r="D87" s="5">
        <v>7</v>
      </c>
      <c r="E87" s="15"/>
      <c r="F87" s="15" t="s">
        <v>23</v>
      </c>
      <c r="G87" s="19">
        <f t="shared" si="18"/>
        <v>3.4</v>
      </c>
      <c r="H87" s="19">
        <f t="shared" si="19"/>
        <v>6.84</v>
      </c>
      <c r="I87" s="19">
        <f t="shared" si="20"/>
        <v>0</v>
      </c>
      <c r="J87" s="19">
        <f t="shared" si="21"/>
        <v>0</v>
      </c>
      <c r="K87" s="19">
        <f t="shared" si="22"/>
        <v>0</v>
      </c>
      <c r="L87" s="19">
        <f t="shared" si="23"/>
        <v>0</v>
      </c>
      <c r="M87" s="19">
        <f t="shared" si="24"/>
        <v>0</v>
      </c>
      <c r="N87" s="39">
        <f t="shared" si="25"/>
        <v>10.24</v>
      </c>
      <c r="O87" s="39">
        <f t="shared" si="16"/>
        <v>2.778075794671711</v>
      </c>
      <c r="P87" s="40">
        <v>8</v>
      </c>
      <c r="Q87" s="40">
        <v>10</v>
      </c>
      <c r="R87" s="40">
        <v>9</v>
      </c>
      <c r="S87" s="40">
        <v>9</v>
      </c>
      <c r="T87" s="40">
        <v>9</v>
      </c>
      <c r="U87" s="40">
        <v>9</v>
      </c>
      <c r="V87" s="40">
        <v>9</v>
      </c>
      <c r="W87" s="41" t="str">
        <f t="shared" si="26"/>
        <v>N</v>
      </c>
      <c r="X87" s="56">
        <f t="shared" si="27"/>
        <v>0</v>
      </c>
      <c r="Y87" s="56" t="str">
        <f t="shared" si="17"/>
        <v>0-4.9%</v>
      </c>
      <c r="Z87" s="8" t="s">
        <v>111</v>
      </c>
      <c r="AB87" s="38">
        <v>3400</v>
      </c>
      <c r="AC87" s="38">
        <v>6840</v>
      </c>
      <c r="AD87" s="38"/>
      <c r="AE87" s="38"/>
      <c r="AF87" s="38"/>
      <c r="AG87" s="38"/>
      <c r="AH87" s="38"/>
    </row>
    <row r="88" spans="1:34" ht="24" customHeight="1" x14ac:dyDescent="0.25">
      <c r="A88" s="5">
        <v>22</v>
      </c>
      <c r="B88" s="9">
        <v>0.19444444444444445</v>
      </c>
      <c r="C88" s="5" t="s">
        <v>20</v>
      </c>
      <c r="D88" s="5">
        <v>7</v>
      </c>
      <c r="E88" s="15"/>
      <c r="F88" s="15" t="s">
        <v>23</v>
      </c>
      <c r="G88" s="19">
        <f t="shared" si="18"/>
        <v>6.4</v>
      </c>
      <c r="H88" s="19">
        <f t="shared" si="19"/>
        <v>11.48</v>
      </c>
      <c r="I88" s="19">
        <f t="shared" si="20"/>
        <v>0</v>
      </c>
      <c r="J88" s="19">
        <f t="shared" si="21"/>
        <v>0</v>
      </c>
      <c r="K88" s="19">
        <f t="shared" si="22"/>
        <v>0</v>
      </c>
      <c r="L88" s="19">
        <f t="shared" si="23"/>
        <v>0</v>
      </c>
      <c r="M88" s="19">
        <f t="shared" si="24"/>
        <v>0</v>
      </c>
      <c r="N88" s="39">
        <f t="shared" si="25"/>
        <v>17.880000000000003</v>
      </c>
      <c r="O88" s="39">
        <f t="shared" si="16"/>
        <v>34.123070284344614</v>
      </c>
      <c r="P88" s="40">
        <v>8</v>
      </c>
      <c r="Q88" s="40">
        <v>10</v>
      </c>
      <c r="R88" s="40">
        <v>9</v>
      </c>
      <c r="S88" s="40">
        <v>9</v>
      </c>
      <c r="T88" s="40">
        <v>9</v>
      </c>
      <c r="U88" s="40">
        <v>9</v>
      </c>
      <c r="V88" s="40">
        <v>9</v>
      </c>
      <c r="W88" s="41" t="str">
        <f t="shared" si="26"/>
        <v>Y</v>
      </c>
      <c r="X88" s="56">
        <f t="shared" si="27"/>
        <v>0.14800000000000005</v>
      </c>
      <c r="Y88" s="56" t="str">
        <f t="shared" si="17"/>
        <v>5-25%</v>
      </c>
      <c r="Z88" s="8" t="s">
        <v>111</v>
      </c>
      <c r="AB88" s="38">
        <v>6400</v>
      </c>
      <c r="AC88" s="38">
        <v>11480</v>
      </c>
      <c r="AD88" s="38"/>
      <c r="AE88" s="38"/>
      <c r="AF88" s="38"/>
      <c r="AG88" s="38"/>
      <c r="AH88" s="38"/>
    </row>
    <row r="89" spans="1:34" ht="24" customHeight="1" x14ac:dyDescent="0.25">
      <c r="A89" s="5">
        <v>23</v>
      </c>
      <c r="B89" s="9">
        <v>0.2076388888888889</v>
      </c>
      <c r="C89" s="5" t="s">
        <v>20</v>
      </c>
      <c r="D89" s="5">
        <v>7</v>
      </c>
      <c r="E89" s="15"/>
      <c r="F89" s="15" t="s">
        <v>23</v>
      </c>
      <c r="G89" s="19">
        <f t="shared" si="18"/>
        <v>3.2</v>
      </c>
      <c r="H89" s="19">
        <f t="shared" si="19"/>
        <v>8</v>
      </c>
      <c r="I89" s="19">
        <f t="shared" si="20"/>
        <v>0</v>
      </c>
      <c r="J89" s="19">
        <f t="shared" si="21"/>
        <v>0</v>
      </c>
      <c r="K89" s="19">
        <f t="shared" si="22"/>
        <v>0</v>
      </c>
      <c r="L89" s="19">
        <f t="shared" si="23"/>
        <v>0</v>
      </c>
      <c r="M89" s="19">
        <f t="shared" si="24"/>
        <v>0</v>
      </c>
      <c r="N89" s="39">
        <f t="shared" si="25"/>
        <v>11.2</v>
      </c>
      <c r="O89" s="39">
        <f t="shared" si="16"/>
        <v>4.1579129013188014</v>
      </c>
      <c r="P89" s="40">
        <v>8</v>
      </c>
      <c r="Q89" s="40">
        <v>10</v>
      </c>
      <c r="R89" s="40">
        <v>9</v>
      </c>
      <c r="S89" s="40">
        <v>9</v>
      </c>
      <c r="T89" s="40">
        <v>9</v>
      </c>
      <c r="U89" s="40">
        <v>9</v>
      </c>
      <c r="V89" s="40">
        <v>9</v>
      </c>
      <c r="W89" s="41" t="str">
        <f t="shared" si="26"/>
        <v>N</v>
      </c>
      <c r="X89" s="56">
        <f t="shared" si="27"/>
        <v>0</v>
      </c>
      <c r="Y89" s="56" t="str">
        <f t="shared" si="17"/>
        <v>0-4.9%</v>
      </c>
      <c r="Z89" s="8" t="s">
        <v>111</v>
      </c>
      <c r="AB89" s="38">
        <v>3200</v>
      </c>
      <c r="AC89" s="38">
        <v>8000</v>
      </c>
      <c r="AD89" s="38"/>
      <c r="AE89" s="38"/>
      <c r="AF89" s="38"/>
      <c r="AG89" s="38"/>
      <c r="AH89" s="38"/>
    </row>
    <row r="90" spans="1:34" ht="24" customHeight="1" x14ac:dyDescent="0.25">
      <c r="A90" s="5">
        <v>25</v>
      </c>
      <c r="B90" s="9">
        <v>0.22152777777777777</v>
      </c>
      <c r="C90" s="5" t="s">
        <v>20</v>
      </c>
      <c r="D90" s="5">
        <v>7</v>
      </c>
      <c r="E90" s="15"/>
      <c r="F90" s="15" t="s">
        <v>23</v>
      </c>
      <c r="G90" s="19">
        <f t="shared" si="18"/>
        <v>2.88</v>
      </c>
      <c r="H90" s="19">
        <f t="shared" si="19"/>
        <v>3.22</v>
      </c>
      <c r="I90" s="19">
        <f t="shared" si="20"/>
        <v>0</v>
      </c>
      <c r="J90" s="19">
        <f t="shared" si="21"/>
        <v>0</v>
      </c>
      <c r="K90" s="19">
        <f t="shared" si="22"/>
        <v>0</v>
      </c>
      <c r="L90" s="19">
        <f t="shared" si="23"/>
        <v>0</v>
      </c>
      <c r="M90" s="19">
        <f t="shared" si="24"/>
        <v>0</v>
      </c>
      <c r="N90" s="39">
        <f t="shared" si="25"/>
        <v>6.1</v>
      </c>
      <c r="O90" s="39">
        <f t="shared" si="16"/>
        <v>0.27000918822890069</v>
      </c>
      <c r="P90" s="40">
        <v>8</v>
      </c>
      <c r="Q90" s="40">
        <v>10</v>
      </c>
      <c r="R90" s="40">
        <v>9</v>
      </c>
      <c r="S90" s="40">
        <v>9</v>
      </c>
      <c r="T90" s="40">
        <v>9</v>
      </c>
      <c r="U90" s="40">
        <v>9</v>
      </c>
      <c r="V90" s="40">
        <v>9</v>
      </c>
      <c r="W90" s="41" t="str">
        <f t="shared" si="26"/>
        <v>N</v>
      </c>
      <c r="X90" s="56">
        <f t="shared" si="27"/>
        <v>0</v>
      </c>
      <c r="Y90" s="56" t="str">
        <f t="shared" si="17"/>
        <v>0-4.9%</v>
      </c>
      <c r="Z90" s="8" t="s">
        <v>118</v>
      </c>
      <c r="AB90" s="38">
        <v>2880</v>
      </c>
      <c r="AC90" s="38">
        <v>3220</v>
      </c>
      <c r="AD90" s="38"/>
      <c r="AE90" s="38"/>
      <c r="AF90" s="38"/>
      <c r="AG90" s="38"/>
      <c r="AH90" s="38"/>
    </row>
    <row r="91" spans="1:34" ht="24" customHeight="1" x14ac:dyDescent="0.25">
      <c r="A91" s="5">
        <v>26</v>
      </c>
      <c r="B91" s="9">
        <v>0.2298611111111111</v>
      </c>
      <c r="C91" s="5" t="s">
        <v>20</v>
      </c>
      <c r="D91" s="5">
        <v>7</v>
      </c>
      <c r="E91" s="15"/>
      <c r="F91" s="15" t="s">
        <v>23</v>
      </c>
      <c r="G91" s="19">
        <f t="shared" si="18"/>
        <v>6.58</v>
      </c>
      <c r="H91" s="19">
        <f t="shared" si="19"/>
        <v>18.98</v>
      </c>
      <c r="I91" s="19">
        <f t="shared" si="20"/>
        <v>0</v>
      </c>
      <c r="J91" s="19">
        <f t="shared" si="21"/>
        <v>0</v>
      </c>
      <c r="K91" s="19">
        <f t="shared" si="22"/>
        <v>0</v>
      </c>
      <c r="L91" s="19">
        <f t="shared" si="23"/>
        <v>0</v>
      </c>
      <c r="M91" s="19">
        <f t="shared" si="24"/>
        <v>0</v>
      </c>
      <c r="N91" s="39">
        <f t="shared" si="25"/>
        <v>25.560000000000002</v>
      </c>
      <c r="O91" s="39">
        <f t="shared" si="16"/>
        <v>170.37980164120452</v>
      </c>
      <c r="P91" s="40">
        <v>8</v>
      </c>
      <c r="Q91" s="40">
        <v>10</v>
      </c>
      <c r="R91" s="40">
        <v>9</v>
      </c>
      <c r="S91" s="40">
        <v>9</v>
      </c>
      <c r="T91" s="40">
        <v>9</v>
      </c>
      <c r="U91" s="40">
        <v>9</v>
      </c>
      <c r="V91" s="40">
        <v>9</v>
      </c>
      <c r="W91" s="41" t="str">
        <f t="shared" si="26"/>
        <v>Y</v>
      </c>
      <c r="X91" s="56">
        <f t="shared" si="27"/>
        <v>0.89800000000000002</v>
      </c>
      <c r="Y91" s="56" t="str">
        <f t="shared" si="17"/>
        <v>Over 50%</v>
      </c>
      <c r="Z91" s="8" t="s">
        <v>107</v>
      </c>
      <c r="AB91" s="38">
        <v>6580</v>
      </c>
      <c r="AC91" s="38">
        <v>18980</v>
      </c>
      <c r="AD91" s="38"/>
      <c r="AE91" s="38"/>
      <c r="AF91" s="38"/>
      <c r="AG91" s="38"/>
      <c r="AH91" s="38"/>
    </row>
    <row r="92" spans="1:34" ht="24" customHeight="1" x14ac:dyDescent="0.25">
      <c r="A92" s="5">
        <v>27</v>
      </c>
      <c r="B92" s="9">
        <v>0.23263888888888887</v>
      </c>
      <c r="C92" s="5" t="s">
        <v>20</v>
      </c>
      <c r="D92" s="5">
        <v>7</v>
      </c>
      <c r="E92" s="15"/>
      <c r="F92" s="15" t="s">
        <v>23</v>
      </c>
      <c r="G92" s="19">
        <f t="shared" si="18"/>
        <v>2.5</v>
      </c>
      <c r="H92" s="19">
        <f t="shared" si="19"/>
        <v>2.68</v>
      </c>
      <c r="I92" s="19">
        <f t="shared" si="20"/>
        <v>0</v>
      </c>
      <c r="J92" s="19">
        <f t="shared" si="21"/>
        <v>0</v>
      </c>
      <c r="K92" s="19">
        <f t="shared" si="22"/>
        <v>0</v>
      </c>
      <c r="L92" s="19">
        <f t="shared" si="23"/>
        <v>0</v>
      </c>
      <c r="M92" s="19">
        <f t="shared" si="24"/>
        <v>0</v>
      </c>
      <c r="N92" s="39">
        <f t="shared" si="25"/>
        <v>5.18</v>
      </c>
      <c r="O92" s="39">
        <f t="shared" si="16"/>
        <v>0.12938329421140954</v>
      </c>
      <c r="P92" s="40">
        <v>8</v>
      </c>
      <c r="Q92" s="40">
        <v>10</v>
      </c>
      <c r="R92" s="40">
        <v>9</v>
      </c>
      <c r="S92" s="40">
        <v>9</v>
      </c>
      <c r="T92" s="40">
        <v>9</v>
      </c>
      <c r="U92" s="40">
        <v>9</v>
      </c>
      <c r="V92" s="40">
        <v>9</v>
      </c>
      <c r="W92" s="41" t="str">
        <f t="shared" si="26"/>
        <v>N</v>
      </c>
      <c r="X92" s="56">
        <f t="shared" si="27"/>
        <v>0</v>
      </c>
      <c r="Y92" s="56" t="str">
        <f t="shared" si="17"/>
        <v>0-4.9%</v>
      </c>
      <c r="Z92" s="8" t="s">
        <v>35</v>
      </c>
      <c r="AB92" s="38">
        <v>2500</v>
      </c>
      <c r="AC92" s="38">
        <v>2680</v>
      </c>
      <c r="AD92" s="38"/>
      <c r="AE92" s="38"/>
      <c r="AF92" s="38"/>
      <c r="AG92" s="38"/>
      <c r="AH92" s="38"/>
    </row>
    <row r="93" spans="1:34" ht="24" customHeight="1" x14ac:dyDescent="0.25">
      <c r="A93" s="5">
        <v>28</v>
      </c>
      <c r="B93" s="9">
        <v>0.23680555555555557</v>
      </c>
      <c r="C93" s="5" t="s">
        <v>20</v>
      </c>
      <c r="D93" s="5">
        <v>7</v>
      </c>
      <c r="E93" s="15"/>
      <c r="F93" s="15" t="s">
        <v>23</v>
      </c>
      <c r="G93" s="19">
        <f t="shared" si="18"/>
        <v>3</v>
      </c>
      <c r="H93" s="19">
        <f t="shared" si="19"/>
        <v>3.3</v>
      </c>
      <c r="I93" s="19">
        <f t="shared" si="20"/>
        <v>0</v>
      </c>
      <c r="J93" s="19">
        <f t="shared" si="21"/>
        <v>0</v>
      </c>
      <c r="K93" s="19">
        <f t="shared" si="22"/>
        <v>0</v>
      </c>
      <c r="L93" s="19">
        <f t="shared" si="23"/>
        <v>0</v>
      </c>
      <c r="M93" s="19">
        <f t="shared" si="24"/>
        <v>0</v>
      </c>
      <c r="N93" s="39">
        <f t="shared" si="25"/>
        <v>6.3</v>
      </c>
      <c r="O93" s="39">
        <f t="shared" si="16"/>
        <v>0.31219558577216333</v>
      </c>
      <c r="P93" s="40">
        <v>8</v>
      </c>
      <c r="Q93" s="40">
        <v>10</v>
      </c>
      <c r="R93" s="40">
        <v>9</v>
      </c>
      <c r="S93" s="40">
        <v>9</v>
      </c>
      <c r="T93" s="40">
        <v>9</v>
      </c>
      <c r="U93" s="40">
        <v>9</v>
      </c>
      <c r="V93" s="40">
        <v>9</v>
      </c>
      <c r="W93" s="41" t="str">
        <f t="shared" si="26"/>
        <v>N</v>
      </c>
      <c r="X93" s="56">
        <f t="shared" si="27"/>
        <v>0</v>
      </c>
      <c r="Y93" s="56" t="str">
        <f t="shared" si="17"/>
        <v>0-4.9%</v>
      </c>
      <c r="Z93" s="8" t="s">
        <v>118</v>
      </c>
      <c r="AB93" s="38">
        <v>3000</v>
      </c>
      <c r="AC93" s="38">
        <v>3300</v>
      </c>
      <c r="AD93" s="38"/>
      <c r="AE93" s="38"/>
      <c r="AF93" s="38"/>
      <c r="AG93" s="38"/>
      <c r="AH93" s="38"/>
    </row>
    <row r="94" spans="1:34" ht="24" customHeight="1" x14ac:dyDescent="0.25">
      <c r="A94" s="5">
        <v>29</v>
      </c>
      <c r="B94" s="9">
        <v>0.24236111111111111</v>
      </c>
      <c r="C94" s="5" t="s">
        <v>20</v>
      </c>
      <c r="D94" s="5">
        <v>7</v>
      </c>
      <c r="E94" s="15"/>
      <c r="F94" s="15" t="s">
        <v>23</v>
      </c>
      <c r="G94" s="19">
        <f t="shared" si="18"/>
        <v>2.14</v>
      </c>
      <c r="H94" s="19">
        <f t="shared" si="19"/>
        <v>1.78</v>
      </c>
      <c r="I94" s="19">
        <f t="shared" si="20"/>
        <v>0</v>
      </c>
      <c r="J94" s="19">
        <f t="shared" si="21"/>
        <v>0</v>
      </c>
      <c r="K94" s="19">
        <f t="shared" si="22"/>
        <v>0</v>
      </c>
      <c r="L94" s="19">
        <f t="shared" si="23"/>
        <v>0</v>
      </c>
      <c r="M94" s="19">
        <f t="shared" si="24"/>
        <v>0</v>
      </c>
      <c r="N94" s="39">
        <f t="shared" si="25"/>
        <v>3.92</v>
      </c>
      <c r="O94" s="39">
        <f t="shared" si="16"/>
        <v>3.6913190773356468E-2</v>
      </c>
      <c r="P94" s="40">
        <v>8</v>
      </c>
      <c r="Q94" s="40">
        <v>10</v>
      </c>
      <c r="R94" s="40">
        <v>9</v>
      </c>
      <c r="S94" s="40">
        <v>9</v>
      </c>
      <c r="T94" s="40">
        <v>9</v>
      </c>
      <c r="U94" s="40">
        <v>9</v>
      </c>
      <c r="V94" s="40">
        <v>9</v>
      </c>
      <c r="W94" s="41" t="str">
        <f t="shared" si="26"/>
        <v>N</v>
      </c>
      <c r="X94" s="56">
        <f t="shared" si="27"/>
        <v>0</v>
      </c>
      <c r="Y94" s="56" t="str">
        <f t="shared" si="17"/>
        <v>0-4.9%</v>
      </c>
      <c r="Z94" s="8" t="s">
        <v>118</v>
      </c>
      <c r="AB94" s="38">
        <v>2140</v>
      </c>
      <c r="AC94" s="38">
        <v>1780</v>
      </c>
      <c r="AD94" s="38"/>
      <c r="AE94" s="38"/>
      <c r="AF94" s="38"/>
      <c r="AG94" s="38"/>
      <c r="AH94" s="38"/>
    </row>
    <row r="95" spans="1:34" ht="24" customHeight="1" x14ac:dyDescent="0.25">
      <c r="A95" s="5">
        <v>31</v>
      </c>
      <c r="B95" s="9">
        <v>0.35694444444444445</v>
      </c>
      <c r="C95" s="5" t="s">
        <v>20</v>
      </c>
      <c r="D95" s="5">
        <v>7</v>
      </c>
      <c r="E95" s="15"/>
      <c r="F95" s="15" t="s">
        <v>23</v>
      </c>
      <c r="G95" s="19">
        <f t="shared" si="18"/>
        <v>5.22</v>
      </c>
      <c r="H95" s="19">
        <f t="shared" si="19"/>
        <v>5.0599999999999996</v>
      </c>
      <c r="I95" s="19">
        <f t="shared" si="20"/>
        <v>0</v>
      </c>
      <c r="J95" s="19">
        <f t="shared" si="21"/>
        <v>0</v>
      </c>
      <c r="K95" s="19">
        <f t="shared" si="22"/>
        <v>0</v>
      </c>
      <c r="L95" s="19">
        <f t="shared" si="23"/>
        <v>0</v>
      </c>
      <c r="M95" s="19">
        <f t="shared" si="24"/>
        <v>0</v>
      </c>
      <c r="N95" s="39">
        <f t="shared" si="25"/>
        <v>10.28</v>
      </c>
      <c r="O95" s="39">
        <f t="shared" si="16"/>
        <v>2.8272440683232425</v>
      </c>
      <c r="P95" s="40">
        <v>8</v>
      </c>
      <c r="Q95" s="40">
        <v>10</v>
      </c>
      <c r="R95" s="40">
        <v>9</v>
      </c>
      <c r="S95" s="40">
        <v>9</v>
      </c>
      <c r="T95" s="40">
        <v>9</v>
      </c>
      <c r="U95" s="40">
        <v>9</v>
      </c>
      <c r="V95" s="40">
        <v>9</v>
      </c>
      <c r="W95" s="41" t="str">
        <f t="shared" si="26"/>
        <v>N</v>
      </c>
      <c r="X95" s="56">
        <f t="shared" si="27"/>
        <v>0</v>
      </c>
      <c r="Y95" s="56" t="str">
        <f t="shared" si="17"/>
        <v>0-4.9%</v>
      </c>
      <c r="Z95" s="8" t="s">
        <v>107</v>
      </c>
      <c r="AB95" s="38">
        <v>5220</v>
      </c>
      <c r="AC95" s="38">
        <v>5060</v>
      </c>
      <c r="AD95" s="38"/>
      <c r="AE95" s="38"/>
      <c r="AF95" s="38"/>
      <c r="AG95" s="38"/>
      <c r="AH95" s="38"/>
    </row>
    <row r="96" spans="1:34" ht="24" customHeight="1" x14ac:dyDescent="0.25">
      <c r="A96" s="5">
        <v>36</v>
      </c>
      <c r="B96" s="9">
        <v>0.38472222222222219</v>
      </c>
      <c r="C96" s="5" t="s">
        <v>20</v>
      </c>
      <c r="D96" s="5">
        <v>7</v>
      </c>
      <c r="E96" s="15"/>
      <c r="F96" s="15" t="s">
        <v>23</v>
      </c>
      <c r="G96" s="19">
        <f t="shared" si="18"/>
        <v>4.54</v>
      </c>
      <c r="H96" s="19">
        <f t="shared" si="19"/>
        <v>6.24</v>
      </c>
      <c r="I96" s="19">
        <f t="shared" si="20"/>
        <v>0</v>
      </c>
      <c r="J96" s="19">
        <f t="shared" si="21"/>
        <v>0</v>
      </c>
      <c r="K96" s="19">
        <f t="shared" si="22"/>
        <v>0</v>
      </c>
      <c r="L96" s="19">
        <f t="shared" si="23"/>
        <v>0</v>
      </c>
      <c r="M96" s="19">
        <f t="shared" si="24"/>
        <v>0</v>
      </c>
      <c r="N96" s="39">
        <f t="shared" si="25"/>
        <v>10.780000000000001</v>
      </c>
      <c r="O96" s="39">
        <f t="shared" si="16"/>
        <v>3.5008919688564148</v>
      </c>
      <c r="P96" s="40">
        <v>8</v>
      </c>
      <c r="Q96" s="40">
        <v>10</v>
      </c>
      <c r="R96" s="40">
        <v>9</v>
      </c>
      <c r="S96" s="40">
        <v>9</v>
      </c>
      <c r="T96" s="40">
        <v>9</v>
      </c>
      <c r="U96" s="40">
        <v>9</v>
      </c>
      <c r="V96" s="40">
        <v>9</v>
      </c>
      <c r="W96" s="41" t="str">
        <f t="shared" si="26"/>
        <v>N</v>
      </c>
      <c r="X96" s="56">
        <f t="shared" si="27"/>
        <v>0</v>
      </c>
      <c r="Y96" s="56" t="str">
        <f t="shared" si="17"/>
        <v>0-4.9%</v>
      </c>
      <c r="Z96" s="8" t="s">
        <v>118</v>
      </c>
      <c r="AB96" s="38">
        <v>4540</v>
      </c>
      <c r="AC96" s="38">
        <v>6240</v>
      </c>
      <c r="AD96" s="38"/>
      <c r="AE96" s="38"/>
      <c r="AF96" s="38"/>
      <c r="AG96" s="38"/>
      <c r="AH96" s="38"/>
    </row>
    <row r="97" spans="1:34" ht="24" customHeight="1" x14ac:dyDescent="0.25">
      <c r="A97" s="5">
        <v>37</v>
      </c>
      <c r="B97" s="9">
        <v>0.38611111111111113</v>
      </c>
      <c r="C97" s="5" t="s">
        <v>20</v>
      </c>
      <c r="D97" s="5">
        <v>7</v>
      </c>
      <c r="E97" s="15"/>
      <c r="F97" s="15" t="s">
        <v>23</v>
      </c>
      <c r="G97" s="19">
        <f t="shared" si="18"/>
        <v>8.1</v>
      </c>
      <c r="H97" s="19">
        <f t="shared" si="19"/>
        <v>17.12</v>
      </c>
      <c r="I97" s="19">
        <f t="shared" si="20"/>
        <v>0</v>
      </c>
      <c r="J97" s="19">
        <f t="shared" si="21"/>
        <v>0</v>
      </c>
      <c r="K97" s="19">
        <f t="shared" si="22"/>
        <v>0</v>
      </c>
      <c r="L97" s="19">
        <f t="shared" si="23"/>
        <v>0</v>
      </c>
      <c r="M97" s="19">
        <f t="shared" si="24"/>
        <v>0</v>
      </c>
      <c r="N97" s="39">
        <f t="shared" si="25"/>
        <v>25.22</v>
      </c>
      <c r="O97" s="39">
        <f t="shared" si="16"/>
        <v>160.41580524584109</v>
      </c>
      <c r="P97" s="40">
        <v>8</v>
      </c>
      <c r="Q97" s="40">
        <v>10</v>
      </c>
      <c r="R97" s="40">
        <v>9</v>
      </c>
      <c r="S97" s="40">
        <v>9</v>
      </c>
      <c r="T97" s="40">
        <v>9</v>
      </c>
      <c r="U97" s="40">
        <v>9</v>
      </c>
      <c r="V97" s="40">
        <v>9</v>
      </c>
      <c r="W97" s="41" t="str">
        <f t="shared" si="26"/>
        <v>Y</v>
      </c>
      <c r="X97" s="56">
        <f t="shared" si="27"/>
        <v>0.71200000000000008</v>
      </c>
      <c r="Y97" s="56" t="str">
        <f t="shared" si="17"/>
        <v>Over 50%</v>
      </c>
      <c r="Z97" s="8" t="s">
        <v>107</v>
      </c>
      <c r="AB97" s="38">
        <v>8100</v>
      </c>
      <c r="AC97" s="38">
        <v>17120</v>
      </c>
      <c r="AD97" s="38"/>
      <c r="AE97" s="38"/>
      <c r="AF97" s="38"/>
      <c r="AG97" s="38"/>
      <c r="AH97" s="38"/>
    </row>
    <row r="98" spans="1:34" ht="24" customHeight="1" x14ac:dyDescent="0.25">
      <c r="A98" s="5">
        <v>38</v>
      </c>
      <c r="B98" s="9">
        <v>0.38680555555555557</v>
      </c>
      <c r="C98" s="5" t="s">
        <v>20</v>
      </c>
      <c r="D98" s="5">
        <v>7</v>
      </c>
      <c r="E98" s="15"/>
      <c r="F98" s="15" t="s">
        <v>23</v>
      </c>
      <c r="G98" s="19">
        <f t="shared" si="18"/>
        <v>3.56</v>
      </c>
      <c r="H98" s="19">
        <f t="shared" si="19"/>
        <v>9</v>
      </c>
      <c r="I98" s="19">
        <f t="shared" si="20"/>
        <v>0</v>
      </c>
      <c r="J98" s="19">
        <f t="shared" si="21"/>
        <v>0</v>
      </c>
      <c r="K98" s="19">
        <f t="shared" si="22"/>
        <v>0</v>
      </c>
      <c r="L98" s="19">
        <f t="shared" si="23"/>
        <v>0</v>
      </c>
      <c r="M98" s="19">
        <f t="shared" si="24"/>
        <v>0</v>
      </c>
      <c r="N98" s="39">
        <f t="shared" si="25"/>
        <v>12.56</v>
      </c>
      <c r="O98" s="39">
        <f t="shared" si="16"/>
        <v>6.9638220190242022</v>
      </c>
      <c r="P98" s="40">
        <v>8</v>
      </c>
      <c r="Q98" s="40">
        <v>10</v>
      </c>
      <c r="R98" s="40">
        <v>9</v>
      </c>
      <c r="S98" s="40">
        <v>9</v>
      </c>
      <c r="T98" s="40">
        <v>9</v>
      </c>
      <c r="U98" s="40">
        <v>9</v>
      </c>
      <c r="V98" s="40">
        <v>9</v>
      </c>
      <c r="W98" s="41" t="str">
        <f t="shared" si="26"/>
        <v>N</v>
      </c>
      <c r="X98" s="56">
        <f t="shared" si="27"/>
        <v>0</v>
      </c>
      <c r="Y98" s="56" t="str">
        <f t="shared" si="17"/>
        <v>0-4.9%</v>
      </c>
      <c r="Z98" s="8" t="s">
        <v>115</v>
      </c>
      <c r="AB98" s="38">
        <v>3560</v>
      </c>
      <c r="AC98" s="38">
        <v>9000</v>
      </c>
      <c r="AD98" s="38"/>
      <c r="AE98" s="38"/>
      <c r="AF98" s="38"/>
      <c r="AG98" s="38"/>
      <c r="AH98" s="38"/>
    </row>
    <row r="99" spans="1:34" ht="24" customHeight="1" x14ac:dyDescent="0.25">
      <c r="A99" s="5">
        <v>40</v>
      </c>
      <c r="B99" s="9">
        <v>0.39305555555555555</v>
      </c>
      <c r="C99" s="5" t="s">
        <v>20</v>
      </c>
      <c r="D99" s="5">
        <v>7</v>
      </c>
      <c r="E99" s="15"/>
      <c r="F99" s="15" t="s">
        <v>23</v>
      </c>
      <c r="G99" s="19">
        <f t="shared" si="18"/>
        <v>1.52</v>
      </c>
      <c r="H99" s="19">
        <f t="shared" si="19"/>
        <v>5.46</v>
      </c>
      <c r="I99" s="19">
        <f t="shared" si="20"/>
        <v>0</v>
      </c>
      <c r="J99" s="19">
        <f t="shared" si="21"/>
        <v>0</v>
      </c>
      <c r="K99" s="19">
        <f t="shared" si="22"/>
        <v>0</v>
      </c>
      <c r="L99" s="19">
        <f t="shared" si="23"/>
        <v>0</v>
      </c>
      <c r="M99" s="19">
        <f t="shared" si="24"/>
        <v>0</v>
      </c>
      <c r="N99" s="39">
        <f t="shared" si="25"/>
        <v>6.98</v>
      </c>
      <c r="O99" s="39">
        <f t="shared" si="16"/>
        <v>0.49515787151510804</v>
      </c>
      <c r="P99" s="40">
        <v>8</v>
      </c>
      <c r="Q99" s="40">
        <v>10</v>
      </c>
      <c r="R99" s="40">
        <v>9</v>
      </c>
      <c r="S99" s="40">
        <v>9</v>
      </c>
      <c r="T99" s="40">
        <v>9</v>
      </c>
      <c r="U99" s="40">
        <v>9</v>
      </c>
      <c r="V99" s="40">
        <v>9</v>
      </c>
      <c r="W99" s="41" t="str">
        <f t="shared" si="26"/>
        <v>N</v>
      </c>
      <c r="X99" s="56">
        <f t="shared" si="27"/>
        <v>0</v>
      </c>
      <c r="Y99" s="56" t="str">
        <f t="shared" si="17"/>
        <v>0-4.9%</v>
      </c>
      <c r="Z99" s="8" t="s">
        <v>107</v>
      </c>
      <c r="AB99" s="38">
        <v>1520</v>
      </c>
      <c r="AC99" s="38">
        <v>5460</v>
      </c>
      <c r="AD99" s="38"/>
      <c r="AE99" s="38"/>
      <c r="AF99" s="38"/>
      <c r="AG99" s="38"/>
      <c r="AH99" s="38"/>
    </row>
    <row r="100" spans="1:34" ht="24" customHeight="1" x14ac:dyDescent="0.25">
      <c r="A100" s="5">
        <v>42</v>
      </c>
      <c r="B100" s="9">
        <v>0.39513888888888887</v>
      </c>
      <c r="C100" s="5" t="s">
        <v>20</v>
      </c>
      <c r="D100" s="5">
        <v>7</v>
      </c>
      <c r="E100" s="15"/>
      <c r="F100" s="15" t="s">
        <v>23</v>
      </c>
      <c r="G100" s="19">
        <f t="shared" si="18"/>
        <v>4.4400000000000004</v>
      </c>
      <c r="H100" s="19">
        <f t="shared" si="19"/>
        <v>18.32</v>
      </c>
      <c r="I100" s="19">
        <f t="shared" si="20"/>
        <v>0</v>
      </c>
      <c r="J100" s="19">
        <f t="shared" si="21"/>
        <v>0</v>
      </c>
      <c r="K100" s="19">
        <f t="shared" si="22"/>
        <v>0</v>
      </c>
      <c r="L100" s="19">
        <f t="shared" si="23"/>
        <v>0</v>
      </c>
      <c r="M100" s="19">
        <f t="shared" si="24"/>
        <v>0</v>
      </c>
      <c r="N100" s="39">
        <f t="shared" si="25"/>
        <v>22.76</v>
      </c>
      <c r="O100" s="39">
        <f t="shared" si="16"/>
        <v>101.08098035435579</v>
      </c>
      <c r="P100" s="40">
        <v>8</v>
      </c>
      <c r="Q100" s="40">
        <v>10</v>
      </c>
      <c r="R100" s="40">
        <v>9</v>
      </c>
      <c r="S100" s="40">
        <v>9</v>
      </c>
      <c r="T100" s="40">
        <v>9</v>
      </c>
      <c r="U100" s="40">
        <v>9</v>
      </c>
      <c r="V100" s="40">
        <v>9</v>
      </c>
      <c r="W100" s="41" t="str">
        <f t="shared" si="26"/>
        <v>Y</v>
      </c>
      <c r="X100" s="56">
        <f t="shared" si="27"/>
        <v>0.83200000000000007</v>
      </c>
      <c r="Y100" s="56" t="str">
        <f t="shared" si="17"/>
        <v>Over 50%</v>
      </c>
      <c r="Z100" s="8" t="s">
        <v>111</v>
      </c>
      <c r="AB100" s="38">
        <v>4440</v>
      </c>
      <c r="AC100" s="38">
        <v>18320</v>
      </c>
      <c r="AD100" s="38"/>
      <c r="AE100" s="38"/>
      <c r="AF100" s="38"/>
      <c r="AG100" s="38"/>
      <c r="AH100" s="38"/>
    </row>
    <row r="101" spans="1:34" ht="24" customHeight="1" x14ac:dyDescent="0.25">
      <c r="A101" s="5">
        <v>45</v>
      </c>
      <c r="B101" s="9">
        <v>0.4055555555555555</v>
      </c>
      <c r="C101" s="5" t="s">
        <v>20</v>
      </c>
      <c r="D101" s="5">
        <v>7</v>
      </c>
      <c r="E101" s="15"/>
      <c r="F101" s="15" t="s">
        <v>23</v>
      </c>
      <c r="G101" s="19">
        <f t="shared" si="18"/>
        <v>4.34</v>
      </c>
      <c r="H101" s="19">
        <f t="shared" si="19"/>
        <v>10.1</v>
      </c>
      <c r="I101" s="19">
        <f t="shared" si="20"/>
        <v>0</v>
      </c>
      <c r="J101" s="19">
        <f t="shared" si="21"/>
        <v>0</v>
      </c>
      <c r="K101" s="19">
        <f t="shared" si="22"/>
        <v>0</v>
      </c>
      <c r="L101" s="19">
        <f t="shared" si="23"/>
        <v>0</v>
      </c>
      <c r="M101" s="19">
        <f t="shared" si="24"/>
        <v>0</v>
      </c>
      <c r="N101" s="39">
        <f t="shared" si="25"/>
        <v>14.44</v>
      </c>
      <c r="O101" s="39">
        <f t="shared" si="16"/>
        <v>13.045077247635056</v>
      </c>
      <c r="P101" s="40">
        <v>8</v>
      </c>
      <c r="Q101" s="40">
        <v>10</v>
      </c>
      <c r="R101" s="40">
        <v>9</v>
      </c>
      <c r="S101" s="40">
        <v>9</v>
      </c>
      <c r="T101" s="40">
        <v>9</v>
      </c>
      <c r="U101" s="40">
        <v>9</v>
      </c>
      <c r="V101" s="40">
        <v>9</v>
      </c>
      <c r="W101" s="41" t="str">
        <f t="shared" si="26"/>
        <v>Y</v>
      </c>
      <c r="X101" s="56">
        <f t="shared" si="27"/>
        <v>9.9999999999999638E-3</v>
      </c>
      <c r="Y101" s="56" t="str">
        <f t="shared" si="17"/>
        <v>0-4.9%</v>
      </c>
      <c r="Z101" s="8" t="s">
        <v>111</v>
      </c>
      <c r="AB101" s="38">
        <v>4340</v>
      </c>
      <c r="AC101" s="38">
        <v>10100</v>
      </c>
      <c r="AD101" s="38"/>
      <c r="AE101" s="38"/>
      <c r="AF101" s="38"/>
      <c r="AG101" s="38"/>
      <c r="AH101" s="38"/>
    </row>
    <row r="102" spans="1:34" ht="24" customHeight="1" x14ac:dyDescent="0.25">
      <c r="A102" s="5">
        <v>46</v>
      </c>
      <c r="B102" s="9">
        <v>0.4069444444444445</v>
      </c>
      <c r="C102" s="5" t="s">
        <v>20</v>
      </c>
      <c r="D102" s="5">
        <v>7</v>
      </c>
      <c r="E102" s="15"/>
      <c r="F102" s="15" t="s">
        <v>23</v>
      </c>
      <c r="G102" s="19">
        <f t="shared" si="18"/>
        <v>4.34</v>
      </c>
      <c r="H102" s="19">
        <f t="shared" si="19"/>
        <v>12.02</v>
      </c>
      <c r="I102" s="19">
        <f t="shared" si="20"/>
        <v>0</v>
      </c>
      <c r="J102" s="19">
        <f t="shared" si="21"/>
        <v>0</v>
      </c>
      <c r="K102" s="19">
        <f t="shared" si="22"/>
        <v>0</v>
      </c>
      <c r="L102" s="19">
        <f t="shared" si="23"/>
        <v>0</v>
      </c>
      <c r="M102" s="19">
        <f t="shared" si="24"/>
        <v>0</v>
      </c>
      <c r="N102" s="39">
        <f t="shared" si="25"/>
        <v>16.36</v>
      </c>
      <c r="O102" s="39">
        <f t="shared" si="16"/>
        <v>22.878056732709442</v>
      </c>
      <c r="P102" s="40">
        <v>8</v>
      </c>
      <c r="Q102" s="40">
        <v>10</v>
      </c>
      <c r="R102" s="40">
        <v>9</v>
      </c>
      <c r="S102" s="40">
        <v>9</v>
      </c>
      <c r="T102" s="40">
        <v>9</v>
      </c>
      <c r="U102" s="40">
        <v>9</v>
      </c>
      <c r="V102" s="40">
        <v>9</v>
      </c>
      <c r="W102" s="41" t="str">
        <f t="shared" si="26"/>
        <v>Y</v>
      </c>
      <c r="X102" s="56">
        <f t="shared" si="27"/>
        <v>0.20199999999999996</v>
      </c>
      <c r="Y102" s="56" t="str">
        <f t="shared" si="17"/>
        <v>5-25%</v>
      </c>
      <c r="Z102" s="8" t="s">
        <v>111</v>
      </c>
      <c r="AB102" s="38">
        <v>4340</v>
      </c>
      <c r="AC102" s="38">
        <v>12020</v>
      </c>
      <c r="AD102" s="38"/>
      <c r="AE102" s="38"/>
      <c r="AF102" s="38"/>
      <c r="AG102" s="38"/>
      <c r="AH102" s="38"/>
    </row>
    <row r="103" spans="1:34" ht="24" customHeight="1" x14ac:dyDescent="0.25">
      <c r="A103" s="5">
        <v>49</v>
      </c>
      <c r="B103" s="9">
        <v>0.43333333333333335</v>
      </c>
      <c r="C103" s="5" t="s">
        <v>20</v>
      </c>
      <c r="D103" s="5">
        <v>7</v>
      </c>
      <c r="E103" s="15"/>
      <c r="F103" s="15" t="s">
        <v>23</v>
      </c>
      <c r="G103" s="19">
        <f t="shared" si="18"/>
        <v>6.3</v>
      </c>
      <c r="H103" s="19">
        <f t="shared" si="19"/>
        <v>15.2</v>
      </c>
      <c r="I103" s="19">
        <f t="shared" si="20"/>
        <v>0</v>
      </c>
      <c r="J103" s="19">
        <f t="shared" si="21"/>
        <v>0</v>
      </c>
      <c r="K103" s="19">
        <f t="shared" si="22"/>
        <v>0</v>
      </c>
      <c r="L103" s="19">
        <f t="shared" si="23"/>
        <v>0</v>
      </c>
      <c r="M103" s="19">
        <f t="shared" si="24"/>
        <v>0</v>
      </c>
      <c r="N103" s="39">
        <f t="shared" si="25"/>
        <v>21.5</v>
      </c>
      <c r="O103" s="39">
        <f t="shared" ref="O103:O134" si="28">(N103/8.16)^4.5</f>
        <v>78.228923720019466</v>
      </c>
      <c r="P103" s="40">
        <v>8</v>
      </c>
      <c r="Q103" s="40">
        <v>10</v>
      </c>
      <c r="R103" s="40">
        <v>9</v>
      </c>
      <c r="S103" s="40">
        <v>9</v>
      </c>
      <c r="T103" s="40">
        <v>9</v>
      </c>
      <c r="U103" s="40">
        <v>9</v>
      </c>
      <c r="V103" s="40">
        <v>9</v>
      </c>
      <c r="W103" s="41" t="str">
        <f t="shared" si="26"/>
        <v>Y</v>
      </c>
      <c r="X103" s="56">
        <f t="shared" si="27"/>
        <v>0.51999999999999991</v>
      </c>
      <c r="Y103" s="56" t="str">
        <f t="shared" si="17"/>
        <v>Over 50%</v>
      </c>
      <c r="Z103" s="8" t="s">
        <v>35</v>
      </c>
      <c r="AB103" s="38">
        <v>6300</v>
      </c>
      <c r="AC103" s="38">
        <v>15200</v>
      </c>
      <c r="AD103" s="38"/>
      <c r="AE103" s="38"/>
      <c r="AF103" s="38"/>
      <c r="AG103" s="38"/>
      <c r="AH103" s="38"/>
    </row>
    <row r="104" spans="1:34" ht="24" customHeight="1" x14ac:dyDescent="0.25">
      <c r="A104" s="5">
        <v>50</v>
      </c>
      <c r="B104" s="9">
        <v>0.45624999999999999</v>
      </c>
      <c r="C104" s="5" t="s">
        <v>20</v>
      </c>
      <c r="D104" s="5">
        <v>7</v>
      </c>
      <c r="E104" s="15"/>
      <c r="F104" s="15" t="s">
        <v>23</v>
      </c>
      <c r="G104" s="19">
        <f t="shared" si="18"/>
        <v>6.22</v>
      </c>
      <c r="H104" s="19">
        <f t="shared" si="19"/>
        <v>17.559999999999999</v>
      </c>
      <c r="I104" s="19">
        <f t="shared" si="20"/>
        <v>0</v>
      </c>
      <c r="J104" s="19">
        <f t="shared" si="21"/>
        <v>0</v>
      </c>
      <c r="K104" s="19">
        <f t="shared" si="22"/>
        <v>0</v>
      </c>
      <c r="L104" s="19">
        <f t="shared" si="23"/>
        <v>0</v>
      </c>
      <c r="M104" s="19">
        <f t="shared" si="24"/>
        <v>0</v>
      </c>
      <c r="N104" s="39">
        <f t="shared" si="25"/>
        <v>23.779999999999998</v>
      </c>
      <c r="O104" s="39">
        <f t="shared" si="28"/>
        <v>123.12538794255795</v>
      </c>
      <c r="P104" s="40">
        <v>8</v>
      </c>
      <c r="Q104" s="40">
        <v>10</v>
      </c>
      <c r="R104" s="40">
        <v>9</v>
      </c>
      <c r="S104" s="40">
        <v>9</v>
      </c>
      <c r="T104" s="40">
        <v>9</v>
      </c>
      <c r="U104" s="40">
        <v>9</v>
      </c>
      <c r="V104" s="40">
        <v>9</v>
      </c>
      <c r="W104" s="41" t="str">
        <f t="shared" si="26"/>
        <v>Y</v>
      </c>
      <c r="X104" s="56">
        <f t="shared" si="27"/>
        <v>0.75599999999999989</v>
      </c>
      <c r="Y104" s="56" t="str">
        <f t="shared" si="17"/>
        <v>Over 50%</v>
      </c>
      <c r="Z104" s="8" t="s">
        <v>111</v>
      </c>
      <c r="AB104" s="38">
        <v>6220</v>
      </c>
      <c r="AC104" s="38">
        <v>17560</v>
      </c>
      <c r="AD104" s="38"/>
      <c r="AE104" s="38"/>
      <c r="AF104" s="38"/>
      <c r="AG104" s="38"/>
      <c r="AH104" s="38"/>
    </row>
    <row r="105" spans="1:34" ht="24" customHeight="1" x14ac:dyDescent="0.25">
      <c r="A105" s="5">
        <v>20</v>
      </c>
      <c r="B105" s="9">
        <v>0.51597222222222217</v>
      </c>
      <c r="C105" s="5" t="s">
        <v>20</v>
      </c>
      <c r="D105" s="5">
        <v>9</v>
      </c>
      <c r="E105" s="15"/>
      <c r="F105" s="15" t="s">
        <v>30</v>
      </c>
      <c r="G105" s="19">
        <f t="shared" si="18"/>
        <v>7.12</v>
      </c>
      <c r="H105" s="19">
        <f t="shared" si="19"/>
        <v>9.08</v>
      </c>
      <c r="I105" s="19">
        <f t="shared" si="20"/>
        <v>10.34</v>
      </c>
      <c r="J105" s="19">
        <f t="shared" si="21"/>
        <v>0</v>
      </c>
      <c r="K105" s="19">
        <f t="shared" si="22"/>
        <v>0</v>
      </c>
      <c r="L105" s="19">
        <f t="shared" si="23"/>
        <v>0</v>
      </c>
      <c r="M105" s="19">
        <f t="shared" si="24"/>
        <v>0</v>
      </c>
      <c r="N105" s="39">
        <f t="shared" si="25"/>
        <v>26.54</v>
      </c>
      <c r="O105" s="39">
        <f t="shared" si="28"/>
        <v>201.81266571995889</v>
      </c>
      <c r="P105" s="40">
        <v>8</v>
      </c>
      <c r="Q105" s="40">
        <v>10</v>
      </c>
      <c r="R105" s="40">
        <v>9</v>
      </c>
      <c r="S105" s="40">
        <v>9</v>
      </c>
      <c r="T105" s="40">
        <v>9</v>
      </c>
      <c r="U105" s="40">
        <v>9</v>
      </c>
      <c r="V105" s="40">
        <v>9</v>
      </c>
      <c r="W105" s="41" t="str">
        <f t="shared" si="26"/>
        <v>Y</v>
      </c>
      <c r="X105" s="56">
        <f t="shared" si="27"/>
        <v>0.13399999999999998</v>
      </c>
      <c r="Y105" s="56" t="str">
        <f t="shared" si="17"/>
        <v>5-25%</v>
      </c>
      <c r="Z105" s="8" t="s">
        <v>111</v>
      </c>
      <c r="AB105" s="38">
        <v>7120</v>
      </c>
      <c r="AC105" s="38">
        <v>9080</v>
      </c>
      <c r="AD105" s="38">
        <v>10340</v>
      </c>
      <c r="AE105" s="38"/>
      <c r="AF105" s="38"/>
      <c r="AG105" s="38"/>
      <c r="AH105" s="38"/>
    </row>
    <row r="106" spans="1:34" ht="24" customHeight="1" x14ac:dyDescent="0.25">
      <c r="A106" s="5">
        <v>43</v>
      </c>
      <c r="B106" s="9">
        <v>0.34930555555555554</v>
      </c>
      <c r="C106" s="5" t="s">
        <v>20</v>
      </c>
      <c r="D106" s="5">
        <v>9</v>
      </c>
      <c r="E106" s="15"/>
      <c r="F106" s="15" t="s">
        <v>30</v>
      </c>
      <c r="G106" s="19">
        <f t="shared" si="18"/>
        <v>7.02</v>
      </c>
      <c r="H106" s="19">
        <f t="shared" si="19"/>
        <v>6.66</v>
      </c>
      <c r="I106" s="19">
        <f t="shared" si="20"/>
        <v>6.84</v>
      </c>
      <c r="J106" s="19">
        <f t="shared" si="21"/>
        <v>0</v>
      </c>
      <c r="K106" s="19">
        <f t="shared" si="22"/>
        <v>0</v>
      </c>
      <c r="L106" s="19">
        <f t="shared" si="23"/>
        <v>0</v>
      </c>
      <c r="M106" s="19">
        <f t="shared" si="24"/>
        <v>0</v>
      </c>
      <c r="N106" s="39">
        <f t="shared" si="25"/>
        <v>20.52</v>
      </c>
      <c r="O106" s="39">
        <f t="shared" si="28"/>
        <v>63.415057355728756</v>
      </c>
      <c r="P106" s="40">
        <v>8</v>
      </c>
      <c r="Q106" s="40">
        <v>10</v>
      </c>
      <c r="R106" s="40">
        <v>9</v>
      </c>
      <c r="S106" s="40">
        <v>9</v>
      </c>
      <c r="T106" s="40">
        <v>9</v>
      </c>
      <c r="U106" s="40">
        <v>9</v>
      </c>
      <c r="V106" s="40">
        <v>9</v>
      </c>
      <c r="W106" s="41" t="str">
        <f t="shared" si="26"/>
        <v>N</v>
      </c>
      <c r="X106" s="56">
        <f t="shared" si="27"/>
        <v>0</v>
      </c>
      <c r="Y106" s="56" t="str">
        <f t="shared" si="17"/>
        <v>0-4.9%</v>
      </c>
      <c r="Z106" s="8" t="s">
        <v>118</v>
      </c>
      <c r="AB106" s="38">
        <v>7020</v>
      </c>
      <c r="AC106" s="38">
        <v>6660</v>
      </c>
      <c r="AD106" s="38">
        <v>6840</v>
      </c>
      <c r="AE106" s="38"/>
      <c r="AF106" s="38"/>
      <c r="AG106" s="38"/>
      <c r="AH106" s="38"/>
    </row>
    <row r="107" spans="1:34" ht="24" customHeight="1" x14ac:dyDescent="0.25">
      <c r="A107" s="5">
        <v>47</v>
      </c>
      <c r="B107" s="9">
        <v>0.37291666666666662</v>
      </c>
      <c r="C107" s="5" t="s">
        <v>20</v>
      </c>
      <c r="D107" s="5">
        <v>9</v>
      </c>
      <c r="E107" s="15"/>
      <c r="F107" s="15" t="s">
        <v>30</v>
      </c>
      <c r="G107" s="19">
        <f t="shared" si="18"/>
        <v>6.66</v>
      </c>
      <c r="H107" s="19">
        <f t="shared" si="19"/>
        <v>12.3</v>
      </c>
      <c r="I107" s="19">
        <f t="shared" si="20"/>
        <v>11.84</v>
      </c>
      <c r="J107" s="19">
        <f t="shared" si="21"/>
        <v>0</v>
      </c>
      <c r="K107" s="19">
        <f t="shared" si="22"/>
        <v>0</v>
      </c>
      <c r="L107" s="19">
        <f t="shared" si="23"/>
        <v>0</v>
      </c>
      <c r="M107" s="19">
        <f t="shared" si="24"/>
        <v>0</v>
      </c>
      <c r="N107" s="39">
        <f t="shared" si="25"/>
        <v>30.8</v>
      </c>
      <c r="O107" s="39">
        <f t="shared" si="28"/>
        <v>394.3415234084319</v>
      </c>
      <c r="P107" s="40">
        <v>8</v>
      </c>
      <c r="Q107" s="40">
        <v>10</v>
      </c>
      <c r="R107" s="40">
        <v>9</v>
      </c>
      <c r="S107" s="40">
        <v>9</v>
      </c>
      <c r="T107" s="40">
        <v>9</v>
      </c>
      <c r="U107" s="40">
        <v>9</v>
      </c>
      <c r="V107" s="40">
        <v>9</v>
      </c>
      <c r="W107" s="41" t="str">
        <f t="shared" si="26"/>
        <v>Y</v>
      </c>
      <c r="X107" s="56">
        <f t="shared" si="27"/>
        <v>0.28399999999999997</v>
      </c>
      <c r="Y107" s="56" t="str">
        <f t="shared" si="17"/>
        <v>25-50%</v>
      </c>
      <c r="Z107" s="8" t="s">
        <v>111</v>
      </c>
      <c r="AB107" s="38">
        <v>6660</v>
      </c>
      <c r="AC107" s="38">
        <v>12300</v>
      </c>
      <c r="AD107" s="38">
        <v>11840</v>
      </c>
      <c r="AE107" s="38"/>
      <c r="AF107" s="38"/>
      <c r="AG107" s="38"/>
      <c r="AH107" s="38"/>
    </row>
    <row r="108" spans="1:34" ht="24" customHeight="1" x14ac:dyDescent="0.25">
      <c r="A108" s="5">
        <v>10</v>
      </c>
      <c r="B108" s="9">
        <v>0.4055555555555555</v>
      </c>
      <c r="C108" s="5" t="s">
        <v>20</v>
      </c>
      <c r="D108" s="5">
        <v>9</v>
      </c>
      <c r="E108" s="15"/>
      <c r="F108" s="15" t="s">
        <v>30</v>
      </c>
      <c r="G108" s="19">
        <f t="shared" si="18"/>
        <v>5.9</v>
      </c>
      <c r="H108" s="19">
        <f t="shared" si="19"/>
        <v>5.0999999999999996</v>
      </c>
      <c r="I108" s="19">
        <f t="shared" si="20"/>
        <v>4.68</v>
      </c>
      <c r="J108" s="19">
        <f t="shared" si="21"/>
        <v>0</v>
      </c>
      <c r="K108" s="19">
        <f t="shared" si="22"/>
        <v>0</v>
      </c>
      <c r="L108" s="19">
        <f t="shared" si="23"/>
        <v>0</v>
      </c>
      <c r="M108" s="19">
        <f t="shared" si="24"/>
        <v>0</v>
      </c>
      <c r="N108" s="39">
        <f t="shared" si="25"/>
        <v>15.68</v>
      </c>
      <c r="O108" s="39">
        <f t="shared" si="28"/>
        <v>18.899553675958508</v>
      </c>
      <c r="P108" s="40">
        <v>8</v>
      </c>
      <c r="Q108" s="40">
        <v>10</v>
      </c>
      <c r="R108" s="40">
        <v>9</v>
      </c>
      <c r="S108" s="40">
        <v>9</v>
      </c>
      <c r="T108" s="40">
        <v>9</v>
      </c>
      <c r="U108" s="40">
        <v>9</v>
      </c>
      <c r="V108" s="40">
        <v>9</v>
      </c>
      <c r="W108" s="41" t="str">
        <f t="shared" si="26"/>
        <v>N</v>
      </c>
      <c r="X108" s="56">
        <f t="shared" si="27"/>
        <v>0</v>
      </c>
      <c r="Y108" s="56" t="str">
        <f t="shared" si="17"/>
        <v>0-4.9%</v>
      </c>
      <c r="Z108" s="8" t="s">
        <v>111</v>
      </c>
      <c r="AB108" s="38">
        <v>5900</v>
      </c>
      <c r="AC108" s="38">
        <v>5100</v>
      </c>
      <c r="AD108" s="38">
        <v>4680</v>
      </c>
      <c r="AE108" s="38"/>
      <c r="AF108" s="38"/>
      <c r="AG108" s="38"/>
      <c r="AH108" s="38"/>
    </row>
    <row r="109" spans="1:34" ht="24" customHeight="1" x14ac:dyDescent="0.25">
      <c r="A109" s="5">
        <v>18</v>
      </c>
      <c r="B109" s="9">
        <v>0.47152777777777777</v>
      </c>
      <c r="C109" s="5" t="s">
        <v>20</v>
      </c>
      <c r="D109" s="5">
        <v>9</v>
      </c>
      <c r="E109" s="15"/>
      <c r="F109" s="15" t="s">
        <v>30</v>
      </c>
      <c r="G109" s="19">
        <f t="shared" si="18"/>
        <v>8.8000000000000007</v>
      </c>
      <c r="H109" s="19">
        <f t="shared" si="19"/>
        <v>6.62</v>
      </c>
      <c r="I109" s="19">
        <f t="shared" si="20"/>
        <v>5.58</v>
      </c>
      <c r="J109" s="19">
        <f t="shared" si="21"/>
        <v>0</v>
      </c>
      <c r="K109" s="19">
        <f t="shared" si="22"/>
        <v>0</v>
      </c>
      <c r="L109" s="19">
        <f t="shared" si="23"/>
        <v>0</v>
      </c>
      <c r="M109" s="19">
        <f t="shared" si="24"/>
        <v>0</v>
      </c>
      <c r="N109" s="39">
        <f t="shared" si="25"/>
        <v>21</v>
      </c>
      <c r="O109" s="39">
        <f t="shared" si="28"/>
        <v>70.368956658828267</v>
      </c>
      <c r="P109" s="40">
        <v>8</v>
      </c>
      <c r="Q109" s="40">
        <v>10</v>
      </c>
      <c r="R109" s="40">
        <v>9</v>
      </c>
      <c r="S109" s="40">
        <v>9</v>
      </c>
      <c r="T109" s="40">
        <v>9</v>
      </c>
      <c r="U109" s="40">
        <v>9</v>
      </c>
      <c r="V109" s="40">
        <v>9</v>
      </c>
      <c r="W109" s="41" t="str">
        <f t="shared" si="26"/>
        <v>Y</v>
      </c>
      <c r="X109" s="56">
        <f t="shared" si="27"/>
        <v>8.0000000000000071E-2</v>
      </c>
      <c r="Y109" s="56" t="str">
        <f t="shared" si="17"/>
        <v>5-25%</v>
      </c>
      <c r="Z109" s="8" t="s">
        <v>113</v>
      </c>
      <c r="AB109" s="38">
        <v>8800</v>
      </c>
      <c r="AC109" s="38">
        <v>6620</v>
      </c>
      <c r="AD109" s="38">
        <v>5580</v>
      </c>
      <c r="AE109" s="38"/>
      <c r="AF109" s="38"/>
      <c r="AG109" s="38"/>
      <c r="AH109" s="38"/>
    </row>
    <row r="110" spans="1:34" ht="24" customHeight="1" x14ac:dyDescent="0.25">
      <c r="A110" s="5">
        <v>4</v>
      </c>
      <c r="B110" s="9">
        <v>0.47569444444444442</v>
      </c>
      <c r="C110" s="5" t="s">
        <v>20</v>
      </c>
      <c r="D110" s="5">
        <v>9</v>
      </c>
      <c r="E110" s="15"/>
      <c r="F110" s="15" t="s">
        <v>30</v>
      </c>
      <c r="G110" s="19">
        <f t="shared" si="18"/>
        <v>4.38</v>
      </c>
      <c r="H110" s="19">
        <f t="shared" si="19"/>
        <v>5.9</v>
      </c>
      <c r="I110" s="19">
        <f t="shared" si="20"/>
        <v>6.8</v>
      </c>
      <c r="J110" s="19">
        <f t="shared" si="21"/>
        <v>0</v>
      </c>
      <c r="K110" s="19">
        <f t="shared" si="22"/>
        <v>0</v>
      </c>
      <c r="L110" s="19">
        <f t="shared" si="23"/>
        <v>0</v>
      </c>
      <c r="M110" s="19">
        <f t="shared" si="24"/>
        <v>0</v>
      </c>
      <c r="N110" s="39">
        <f t="shared" si="25"/>
        <v>17.080000000000002</v>
      </c>
      <c r="O110" s="39">
        <f t="shared" si="28"/>
        <v>27.770882708780814</v>
      </c>
      <c r="P110" s="40">
        <v>8</v>
      </c>
      <c r="Q110" s="40">
        <v>10</v>
      </c>
      <c r="R110" s="40">
        <v>9</v>
      </c>
      <c r="S110" s="40">
        <v>9</v>
      </c>
      <c r="T110" s="40">
        <v>9</v>
      </c>
      <c r="U110" s="40">
        <v>9</v>
      </c>
      <c r="V110" s="40">
        <v>9</v>
      </c>
      <c r="W110" s="41" t="str">
        <f t="shared" si="26"/>
        <v>N</v>
      </c>
      <c r="X110" s="56">
        <f t="shared" si="27"/>
        <v>0</v>
      </c>
      <c r="Y110" s="56" t="str">
        <f t="shared" si="17"/>
        <v>0-4.9%</v>
      </c>
      <c r="Z110" s="8" t="s">
        <v>111</v>
      </c>
      <c r="AB110" s="38">
        <v>4380</v>
      </c>
      <c r="AC110" s="38">
        <v>5900</v>
      </c>
      <c r="AD110" s="38">
        <v>6800</v>
      </c>
      <c r="AE110" s="38"/>
      <c r="AF110" s="38"/>
      <c r="AG110" s="38"/>
      <c r="AH110" s="38"/>
    </row>
    <row r="111" spans="1:34" ht="24" customHeight="1" x14ac:dyDescent="0.25">
      <c r="A111" s="5">
        <v>5</v>
      </c>
      <c r="B111" s="9">
        <v>0.48055555555555557</v>
      </c>
      <c r="C111" s="5" t="s">
        <v>20</v>
      </c>
      <c r="D111" s="5">
        <v>9</v>
      </c>
      <c r="E111" s="15"/>
      <c r="F111" s="15" t="s">
        <v>29</v>
      </c>
      <c r="G111" s="19">
        <f t="shared" si="18"/>
        <v>4.55</v>
      </c>
      <c r="H111" s="19">
        <f t="shared" si="19"/>
        <v>4.7</v>
      </c>
      <c r="I111" s="19">
        <f t="shared" si="20"/>
        <v>5.05</v>
      </c>
      <c r="J111" s="19">
        <f t="shared" si="21"/>
        <v>0</v>
      </c>
      <c r="K111" s="19">
        <f t="shared" si="22"/>
        <v>0</v>
      </c>
      <c r="L111" s="19">
        <f t="shared" si="23"/>
        <v>0</v>
      </c>
      <c r="M111" s="19">
        <f t="shared" si="24"/>
        <v>0</v>
      </c>
      <c r="N111" s="39">
        <f t="shared" si="25"/>
        <v>14.3</v>
      </c>
      <c r="O111" s="39">
        <f t="shared" si="28"/>
        <v>12.485514811767233</v>
      </c>
      <c r="P111" s="40">
        <v>8</v>
      </c>
      <c r="Q111" s="40">
        <v>10</v>
      </c>
      <c r="R111" s="40">
        <v>9</v>
      </c>
      <c r="S111" s="40">
        <v>9</v>
      </c>
      <c r="T111" s="40">
        <v>9</v>
      </c>
      <c r="U111" s="40">
        <v>9</v>
      </c>
      <c r="V111" s="40">
        <v>9</v>
      </c>
      <c r="W111" s="41" t="str">
        <f t="shared" si="26"/>
        <v>N</v>
      </c>
      <c r="X111" s="56">
        <f t="shared" si="27"/>
        <v>0</v>
      </c>
      <c r="Y111" s="56" t="str">
        <f t="shared" si="17"/>
        <v>0-4.9%</v>
      </c>
      <c r="Z111" s="8" t="s">
        <v>145</v>
      </c>
      <c r="AB111" s="38">
        <v>4550</v>
      </c>
      <c r="AC111" s="38">
        <v>4700</v>
      </c>
      <c r="AD111" s="38">
        <v>5050</v>
      </c>
      <c r="AE111" s="38"/>
      <c r="AF111" s="38"/>
      <c r="AG111" s="38"/>
      <c r="AH111" s="38"/>
    </row>
    <row r="112" spans="1:34" ht="24" customHeight="1" x14ac:dyDescent="0.25">
      <c r="A112" s="5">
        <v>35</v>
      </c>
      <c r="B112" s="9">
        <v>0.3840277777777778</v>
      </c>
      <c r="C112" s="5" t="s">
        <v>20</v>
      </c>
      <c r="D112" s="5">
        <v>9</v>
      </c>
      <c r="E112" s="15"/>
      <c r="F112" s="15" t="s">
        <v>30</v>
      </c>
      <c r="G112" s="19">
        <f t="shared" si="18"/>
        <v>5.84</v>
      </c>
      <c r="H112" s="19">
        <f t="shared" si="19"/>
        <v>4.78</v>
      </c>
      <c r="I112" s="19">
        <f t="shared" si="20"/>
        <v>4.16</v>
      </c>
      <c r="J112" s="19">
        <f t="shared" si="21"/>
        <v>0</v>
      </c>
      <c r="K112" s="19">
        <f t="shared" si="22"/>
        <v>0</v>
      </c>
      <c r="L112" s="19">
        <f t="shared" si="23"/>
        <v>0</v>
      </c>
      <c r="M112" s="19">
        <f t="shared" si="24"/>
        <v>0</v>
      </c>
      <c r="N112" s="39">
        <f t="shared" si="25"/>
        <v>14.780000000000001</v>
      </c>
      <c r="O112" s="39">
        <f t="shared" si="28"/>
        <v>14.485358192794882</v>
      </c>
      <c r="P112" s="40">
        <v>8</v>
      </c>
      <c r="Q112" s="40">
        <v>10</v>
      </c>
      <c r="R112" s="40">
        <v>9</v>
      </c>
      <c r="S112" s="40">
        <v>9</v>
      </c>
      <c r="T112" s="40">
        <v>9</v>
      </c>
      <c r="U112" s="40">
        <v>9</v>
      </c>
      <c r="V112" s="40">
        <v>9</v>
      </c>
      <c r="W112" s="41" t="str">
        <f t="shared" si="26"/>
        <v>N</v>
      </c>
      <c r="X112" s="56">
        <f t="shared" si="27"/>
        <v>0</v>
      </c>
      <c r="Y112" s="56" t="str">
        <f t="shared" si="17"/>
        <v>0-4.9%</v>
      </c>
      <c r="Z112" s="8" t="s">
        <v>118</v>
      </c>
      <c r="AB112" s="38">
        <v>5840</v>
      </c>
      <c r="AC112" s="38">
        <v>4780</v>
      </c>
      <c r="AD112" s="38">
        <v>4160</v>
      </c>
      <c r="AE112" s="38"/>
      <c r="AF112" s="38"/>
      <c r="AG112" s="38"/>
      <c r="AH112" s="38"/>
    </row>
    <row r="113" spans="1:34" ht="24" customHeight="1" x14ac:dyDescent="0.25">
      <c r="A113" s="5">
        <v>44</v>
      </c>
      <c r="B113" s="9">
        <v>0.40347222222222223</v>
      </c>
      <c r="C113" s="5" t="s">
        <v>20</v>
      </c>
      <c r="D113" s="5">
        <v>9</v>
      </c>
      <c r="E113" s="15"/>
      <c r="F113" s="15" t="s">
        <v>51</v>
      </c>
      <c r="G113" s="19">
        <f t="shared" si="18"/>
        <v>5.96</v>
      </c>
      <c r="H113" s="19">
        <f t="shared" si="19"/>
        <v>1.66</v>
      </c>
      <c r="I113" s="19">
        <f t="shared" si="20"/>
        <v>4.74</v>
      </c>
      <c r="J113" s="19">
        <f t="shared" si="21"/>
        <v>0</v>
      </c>
      <c r="K113" s="19">
        <f t="shared" si="22"/>
        <v>0</v>
      </c>
      <c r="L113" s="19">
        <f t="shared" si="23"/>
        <v>0</v>
      </c>
      <c r="M113" s="19">
        <f t="shared" si="24"/>
        <v>0</v>
      </c>
      <c r="N113" s="39">
        <f t="shared" si="25"/>
        <v>12.36</v>
      </c>
      <c r="O113" s="39">
        <f t="shared" si="28"/>
        <v>6.4785438703099612</v>
      </c>
      <c r="P113" s="40">
        <v>8</v>
      </c>
      <c r="Q113" s="40">
        <v>10</v>
      </c>
      <c r="R113" s="40">
        <v>9</v>
      </c>
      <c r="S113" s="40">
        <v>9</v>
      </c>
      <c r="T113" s="40">
        <v>9</v>
      </c>
      <c r="U113" s="40">
        <v>9</v>
      </c>
      <c r="V113" s="40">
        <v>9</v>
      </c>
      <c r="W113" s="41" t="str">
        <f t="shared" si="26"/>
        <v>N</v>
      </c>
      <c r="X113" s="56">
        <f t="shared" si="27"/>
        <v>0</v>
      </c>
      <c r="Y113" s="56" t="str">
        <f t="shared" si="17"/>
        <v>0-4.9%</v>
      </c>
      <c r="Z113" s="8" t="s">
        <v>118</v>
      </c>
      <c r="AB113" s="38">
        <v>5960</v>
      </c>
      <c r="AC113" s="38">
        <v>1660</v>
      </c>
      <c r="AD113" s="38">
        <v>4740</v>
      </c>
      <c r="AE113" s="38"/>
      <c r="AF113" s="38"/>
      <c r="AG113" s="38"/>
      <c r="AH113" s="38"/>
    </row>
    <row r="114" spans="1:34" ht="24" customHeight="1" x14ac:dyDescent="0.25">
      <c r="A114" s="5">
        <v>1</v>
      </c>
      <c r="B114" s="9">
        <v>0.3611111111111111</v>
      </c>
      <c r="C114" s="5" t="s">
        <v>22</v>
      </c>
      <c r="D114" s="5">
        <f t="shared" ref="D114:D134" si="29">IF(COUNT(G114:M114)&gt;3,10,IF(COUNT(G114:M114)&gt;2,9,7))</f>
        <v>10</v>
      </c>
      <c r="E114" s="15"/>
      <c r="F114" s="15" t="s">
        <v>26</v>
      </c>
      <c r="G114" s="19">
        <f t="shared" si="18"/>
        <v>5.84</v>
      </c>
      <c r="H114" s="19">
        <f t="shared" si="19"/>
        <v>5.28</v>
      </c>
      <c r="I114" s="19">
        <f t="shared" si="20"/>
        <v>4.96</v>
      </c>
      <c r="J114" s="19">
        <f t="shared" si="21"/>
        <v>5.24</v>
      </c>
      <c r="K114" s="19">
        <f t="shared" si="22"/>
        <v>4.16</v>
      </c>
      <c r="L114" s="19">
        <f t="shared" si="23"/>
        <v>6.2</v>
      </c>
      <c r="M114" s="19">
        <f t="shared" si="24"/>
        <v>0</v>
      </c>
      <c r="N114" s="39">
        <f t="shared" si="25"/>
        <v>31.68</v>
      </c>
      <c r="O114" s="39">
        <f t="shared" si="28"/>
        <v>447.63863600544846</v>
      </c>
      <c r="P114" s="40">
        <v>8</v>
      </c>
      <c r="Q114" s="40">
        <v>10</v>
      </c>
      <c r="R114" s="40">
        <v>9</v>
      </c>
      <c r="S114" s="40">
        <v>9</v>
      </c>
      <c r="T114" s="40">
        <v>9</v>
      </c>
      <c r="U114" s="40">
        <v>9</v>
      </c>
      <c r="V114" s="40">
        <v>9</v>
      </c>
      <c r="W114" s="41" t="str">
        <f t="shared" si="26"/>
        <v>N</v>
      </c>
      <c r="X114" s="56">
        <f t="shared" si="27"/>
        <v>0</v>
      </c>
      <c r="Y114" s="56" t="str">
        <f t="shared" si="17"/>
        <v>0-4.9%</v>
      </c>
      <c r="Z114" s="8" t="s">
        <v>118</v>
      </c>
      <c r="AB114" s="38">
        <v>5840</v>
      </c>
      <c r="AC114" s="38">
        <v>5280</v>
      </c>
      <c r="AD114" s="38">
        <v>4960</v>
      </c>
      <c r="AE114" s="38">
        <v>5240</v>
      </c>
      <c r="AF114" s="38">
        <v>4160</v>
      </c>
      <c r="AG114" s="38">
        <v>6200</v>
      </c>
      <c r="AH114" s="38"/>
    </row>
    <row r="115" spans="1:34" ht="24" customHeight="1" x14ac:dyDescent="0.25">
      <c r="A115" s="5">
        <v>9</v>
      </c>
      <c r="B115" s="9">
        <v>0.43124999999999997</v>
      </c>
      <c r="C115" s="5" t="s">
        <v>20</v>
      </c>
      <c r="D115" s="5">
        <f t="shared" si="29"/>
        <v>10</v>
      </c>
      <c r="E115" s="15"/>
      <c r="F115" s="15" t="s">
        <v>24</v>
      </c>
      <c r="G115" s="19">
        <f t="shared" si="18"/>
        <v>9.02</v>
      </c>
      <c r="H115" s="19">
        <f t="shared" si="19"/>
        <v>10.06</v>
      </c>
      <c r="I115" s="19">
        <f t="shared" si="20"/>
        <v>9.84</v>
      </c>
      <c r="J115" s="19">
        <f t="shared" si="21"/>
        <v>10.5</v>
      </c>
      <c r="K115" s="19">
        <f t="shared" si="22"/>
        <v>9.5399999999999991</v>
      </c>
      <c r="L115" s="19">
        <f t="shared" si="23"/>
        <v>10.08</v>
      </c>
      <c r="M115" s="19">
        <f t="shared" si="24"/>
        <v>9.14</v>
      </c>
      <c r="N115" s="39">
        <f t="shared" si="25"/>
        <v>68.180000000000007</v>
      </c>
      <c r="O115" s="39">
        <f t="shared" si="28"/>
        <v>14088.046344324401</v>
      </c>
      <c r="P115" s="40">
        <v>8</v>
      </c>
      <c r="Q115" s="40">
        <v>10</v>
      </c>
      <c r="R115" s="40">
        <v>9</v>
      </c>
      <c r="S115" s="40">
        <v>9</v>
      </c>
      <c r="T115" s="40">
        <v>9</v>
      </c>
      <c r="U115" s="40">
        <v>9</v>
      </c>
      <c r="V115" s="40">
        <v>9</v>
      </c>
      <c r="W115" s="41" t="str">
        <f t="shared" si="26"/>
        <v>Y</v>
      </c>
      <c r="X115" s="56">
        <f t="shared" si="27"/>
        <v>0.15</v>
      </c>
      <c r="Y115" s="56" t="str">
        <f t="shared" si="17"/>
        <v>5-25%</v>
      </c>
      <c r="Z115" s="8" t="s">
        <v>35</v>
      </c>
      <c r="AB115" s="38">
        <v>9020</v>
      </c>
      <c r="AC115" s="38">
        <v>10060</v>
      </c>
      <c r="AD115" s="38">
        <v>9840</v>
      </c>
      <c r="AE115" s="38">
        <v>10500</v>
      </c>
      <c r="AF115" s="38">
        <v>9540</v>
      </c>
      <c r="AG115" s="38">
        <v>10080</v>
      </c>
      <c r="AH115" s="38">
        <v>9140</v>
      </c>
    </row>
    <row r="116" spans="1:34" ht="24" customHeight="1" x14ac:dyDescent="0.25">
      <c r="A116" s="5">
        <v>11</v>
      </c>
      <c r="B116" s="9">
        <v>0.43888888888888888</v>
      </c>
      <c r="C116" s="5" t="s">
        <v>21</v>
      </c>
      <c r="D116" s="5">
        <f t="shared" si="29"/>
        <v>10</v>
      </c>
      <c r="E116" s="15"/>
      <c r="F116" s="15" t="s">
        <v>26</v>
      </c>
      <c r="G116" s="19">
        <f t="shared" si="18"/>
        <v>7.34</v>
      </c>
      <c r="H116" s="19">
        <f t="shared" si="19"/>
        <v>4.72</v>
      </c>
      <c r="I116" s="19">
        <f t="shared" si="20"/>
        <v>4.18</v>
      </c>
      <c r="J116" s="19">
        <f t="shared" si="21"/>
        <v>4.92</v>
      </c>
      <c r="K116" s="19">
        <f t="shared" si="22"/>
        <v>4.5</v>
      </c>
      <c r="L116" s="19">
        <f t="shared" si="23"/>
        <v>5.56</v>
      </c>
      <c r="M116" s="19">
        <f t="shared" si="24"/>
        <v>0</v>
      </c>
      <c r="N116" s="39">
        <f t="shared" si="25"/>
        <v>31.219999999999995</v>
      </c>
      <c r="O116" s="39">
        <f t="shared" si="28"/>
        <v>419.12380663308954</v>
      </c>
      <c r="P116" s="40">
        <v>8</v>
      </c>
      <c r="Q116" s="40">
        <v>10</v>
      </c>
      <c r="R116" s="40">
        <v>9</v>
      </c>
      <c r="S116" s="40">
        <v>9</v>
      </c>
      <c r="T116" s="40">
        <v>9</v>
      </c>
      <c r="U116" s="40">
        <v>9</v>
      </c>
      <c r="V116" s="40">
        <v>9</v>
      </c>
      <c r="W116" s="41" t="str">
        <f t="shared" si="26"/>
        <v>N</v>
      </c>
      <c r="X116" s="56">
        <f t="shared" si="27"/>
        <v>0</v>
      </c>
      <c r="Y116" s="56" t="str">
        <f t="shared" si="17"/>
        <v>0-4.9%</v>
      </c>
      <c r="Z116" s="8" t="s">
        <v>118</v>
      </c>
      <c r="AB116" s="38">
        <v>7340</v>
      </c>
      <c r="AC116" s="38">
        <v>4720</v>
      </c>
      <c r="AD116" s="38">
        <v>4180</v>
      </c>
      <c r="AE116" s="38">
        <v>4920</v>
      </c>
      <c r="AF116" s="38">
        <v>4500</v>
      </c>
      <c r="AG116" s="38">
        <v>5560</v>
      </c>
      <c r="AH116" s="38"/>
    </row>
    <row r="117" spans="1:34" ht="24" customHeight="1" x14ac:dyDescent="0.25">
      <c r="A117" s="5">
        <v>15</v>
      </c>
      <c r="B117" s="9">
        <v>0.47291666666666665</v>
      </c>
      <c r="C117" s="5" t="s">
        <v>20</v>
      </c>
      <c r="D117" s="5">
        <f t="shared" si="29"/>
        <v>10</v>
      </c>
      <c r="E117" s="15"/>
      <c r="F117" s="15" t="s">
        <v>26</v>
      </c>
      <c r="G117" s="19">
        <f t="shared" si="18"/>
        <v>6.9</v>
      </c>
      <c r="H117" s="19">
        <f t="shared" si="19"/>
        <v>5.0199999999999996</v>
      </c>
      <c r="I117" s="19">
        <f t="shared" si="20"/>
        <v>5</v>
      </c>
      <c r="J117" s="19">
        <f t="shared" si="21"/>
        <v>4.16</v>
      </c>
      <c r="K117" s="19">
        <f t="shared" si="22"/>
        <v>3.1</v>
      </c>
      <c r="L117" s="19">
        <f t="shared" si="23"/>
        <v>4.72</v>
      </c>
      <c r="M117" s="19">
        <f t="shared" si="24"/>
        <v>0</v>
      </c>
      <c r="N117" s="39">
        <f t="shared" si="25"/>
        <v>28.900000000000002</v>
      </c>
      <c r="O117" s="39">
        <f t="shared" si="28"/>
        <v>296.09738915956848</v>
      </c>
      <c r="P117" s="40">
        <v>8</v>
      </c>
      <c r="Q117" s="40">
        <v>10</v>
      </c>
      <c r="R117" s="40">
        <v>9</v>
      </c>
      <c r="S117" s="40">
        <v>9</v>
      </c>
      <c r="T117" s="40">
        <v>9</v>
      </c>
      <c r="U117" s="40">
        <v>9</v>
      </c>
      <c r="V117" s="40">
        <v>9</v>
      </c>
      <c r="W117" s="41" t="str">
        <f t="shared" si="26"/>
        <v>N</v>
      </c>
      <c r="X117" s="56">
        <f t="shared" si="27"/>
        <v>0</v>
      </c>
      <c r="Y117" s="56" t="str">
        <f t="shared" si="17"/>
        <v>0-4.9%</v>
      </c>
      <c r="Z117" s="8" t="s">
        <v>118</v>
      </c>
      <c r="AB117" s="38">
        <v>6900</v>
      </c>
      <c r="AC117" s="38">
        <v>5020</v>
      </c>
      <c r="AD117" s="38">
        <v>5000</v>
      </c>
      <c r="AE117" s="38">
        <v>4160</v>
      </c>
      <c r="AF117" s="38">
        <v>3100</v>
      </c>
      <c r="AG117" s="38">
        <v>4720</v>
      </c>
      <c r="AH117" s="38"/>
    </row>
    <row r="118" spans="1:34" ht="24" customHeight="1" x14ac:dyDescent="0.25">
      <c r="A118" s="5">
        <v>16</v>
      </c>
      <c r="B118" s="9">
        <v>0.47430555555555554</v>
      </c>
      <c r="C118" s="5" t="s">
        <v>20</v>
      </c>
      <c r="D118" s="5">
        <f t="shared" si="29"/>
        <v>10</v>
      </c>
      <c r="E118" s="15"/>
      <c r="F118" s="15" t="s">
        <v>26</v>
      </c>
      <c r="G118" s="19">
        <f t="shared" si="18"/>
        <v>6.88</v>
      </c>
      <c r="H118" s="19">
        <f t="shared" si="19"/>
        <v>5.3</v>
      </c>
      <c r="I118" s="19">
        <f t="shared" si="20"/>
        <v>4.42</v>
      </c>
      <c r="J118" s="19">
        <f t="shared" si="21"/>
        <v>4.3</v>
      </c>
      <c r="K118" s="19">
        <f t="shared" si="22"/>
        <v>4.4400000000000004</v>
      </c>
      <c r="L118" s="19">
        <f t="shared" si="23"/>
        <v>5.3</v>
      </c>
      <c r="M118" s="19">
        <f t="shared" si="24"/>
        <v>0</v>
      </c>
      <c r="N118" s="39">
        <f t="shared" si="25"/>
        <v>30.640000000000004</v>
      </c>
      <c r="O118" s="39">
        <f t="shared" si="28"/>
        <v>385.20659144845797</v>
      </c>
      <c r="P118" s="40">
        <v>8</v>
      </c>
      <c r="Q118" s="40">
        <v>10</v>
      </c>
      <c r="R118" s="40">
        <v>9</v>
      </c>
      <c r="S118" s="40">
        <v>9</v>
      </c>
      <c r="T118" s="40">
        <v>9</v>
      </c>
      <c r="U118" s="40">
        <v>9</v>
      </c>
      <c r="V118" s="40">
        <v>9</v>
      </c>
      <c r="W118" s="41" t="str">
        <f t="shared" si="26"/>
        <v>N</v>
      </c>
      <c r="X118" s="56">
        <f t="shared" si="27"/>
        <v>0</v>
      </c>
      <c r="Y118" s="56" t="str">
        <f t="shared" si="17"/>
        <v>0-4.9%</v>
      </c>
      <c r="Z118" s="8" t="s">
        <v>118</v>
      </c>
      <c r="AB118" s="38">
        <v>6880</v>
      </c>
      <c r="AC118" s="38">
        <v>5300</v>
      </c>
      <c r="AD118" s="38">
        <v>4420</v>
      </c>
      <c r="AE118" s="38">
        <v>4300</v>
      </c>
      <c r="AF118" s="38">
        <v>4440</v>
      </c>
      <c r="AG118" s="38">
        <v>5300</v>
      </c>
      <c r="AH118" s="38"/>
    </row>
    <row r="119" spans="1:34" ht="24" customHeight="1" x14ac:dyDescent="0.25">
      <c r="A119" s="5">
        <v>17</v>
      </c>
      <c r="B119" s="9">
        <v>0.47569444444444442</v>
      </c>
      <c r="C119" s="5" t="s">
        <v>20</v>
      </c>
      <c r="D119" s="5">
        <f t="shared" si="29"/>
        <v>10</v>
      </c>
      <c r="E119" s="15"/>
      <c r="F119" s="15" t="s">
        <v>33</v>
      </c>
      <c r="G119" s="19">
        <f t="shared" si="18"/>
        <v>5.8</v>
      </c>
      <c r="H119" s="19">
        <f t="shared" si="19"/>
        <v>5.12</v>
      </c>
      <c r="I119" s="19">
        <f t="shared" si="20"/>
        <v>6.7</v>
      </c>
      <c r="J119" s="19">
        <f t="shared" si="21"/>
        <v>6.3</v>
      </c>
      <c r="K119" s="19">
        <f t="shared" si="22"/>
        <v>2.44</v>
      </c>
      <c r="L119" s="19">
        <f t="shared" si="23"/>
        <v>0</v>
      </c>
      <c r="M119" s="19">
        <f t="shared" si="24"/>
        <v>0</v>
      </c>
      <c r="N119" s="39">
        <f t="shared" si="25"/>
        <v>26.360000000000003</v>
      </c>
      <c r="O119" s="39">
        <f t="shared" si="28"/>
        <v>195.72604129271662</v>
      </c>
      <c r="P119" s="40">
        <v>8</v>
      </c>
      <c r="Q119" s="40">
        <v>10</v>
      </c>
      <c r="R119" s="40">
        <v>9</v>
      </c>
      <c r="S119" s="40">
        <v>9</v>
      </c>
      <c r="T119" s="40">
        <v>9</v>
      </c>
      <c r="U119" s="40">
        <v>9</v>
      </c>
      <c r="V119" s="40">
        <v>9</v>
      </c>
      <c r="W119" s="41" t="str">
        <f t="shared" si="26"/>
        <v>N</v>
      </c>
      <c r="X119" s="56">
        <f t="shared" si="27"/>
        <v>0</v>
      </c>
      <c r="Y119" s="56" t="str">
        <f t="shared" si="17"/>
        <v>0-4.9%</v>
      </c>
      <c r="Z119" s="8" t="s">
        <v>118</v>
      </c>
      <c r="AB119" s="38">
        <v>5800</v>
      </c>
      <c r="AC119" s="38">
        <v>5120</v>
      </c>
      <c r="AD119" s="38">
        <v>6700</v>
      </c>
      <c r="AE119" s="38">
        <v>6300</v>
      </c>
      <c r="AF119" s="38">
        <v>2440</v>
      </c>
      <c r="AG119" s="38"/>
      <c r="AH119" s="38"/>
    </row>
    <row r="120" spans="1:34" ht="24" customHeight="1" x14ac:dyDescent="0.25">
      <c r="A120" s="5">
        <v>18</v>
      </c>
      <c r="B120" s="9">
        <v>0.48055555555555557</v>
      </c>
      <c r="C120" s="5" t="s">
        <v>20</v>
      </c>
      <c r="D120" s="5">
        <f t="shared" si="29"/>
        <v>10</v>
      </c>
      <c r="E120" s="15"/>
      <c r="F120" s="15" t="s">
        <v>31</v>
      </c>
      <c r="G120" s="19">
        <f t="shared" si="18"/>
        <v>7.46</v>
      </c>
      <c r="H120" s="19">
        <f t="shared" si="19"/>
        <v>9.7799999999999994</v>
      </c>
      <c r="I120" s="19">
        <f t="shared" si="20"/>
        <v>14.24</v>
      </c>
      <c r="J120" s="19">
        <f t="shared" si="21"/>
        <v>14.54</v>
      </c>
      <c r="K120" s="19">
        <f t="shared" si="22"/>
        <v>0</v>
      </c>
      <c r="L120" s="19">
        <f t="shared" si="23"/>
        <v>0</v>
      </c>
      <c r="M120" s="19">
        <f t="shared" si="24"/>
        <v>0</v>
      </c>
      <c r="N120" s="39">
        <f t="shared" si="25"/>
        <v>46.019999999999996</v>
      </c>
      <c r="O120" s="39">
        <f t="shared" si="28"/>
        <v>2402.448297545403</v>
      </c>
      <c r="P120" s="40">
        <v>8</v>
      </c>
      <c r="Q120" s="40">
        <v>10</v>
      </c>
      <c r="R120" s="40">
        <v>9</v>
      </c>
      <c r="S120" s="40">
        <v>9</v>
      </c>
      <c r="T120" s="40">
        <v>9</v>
      </c>
      <c r="U120" s="40">
        <v>9</v>
      </c>
      <c r="V120" s="40">
        <v>9</v>
      </c>
      <c r="W120" s="41" t="str">
        <f t="shared" si="26"/>
        <v>Y</v>
      </c>
      <c r="X120" s="56">
        <f t="shared" si="27"/>
        <v>0.55399999999999994</v>
      </c>
      <c r="Y120" s="56" t="str">
        <f t="shared" si="17"/>
        <v>Over 50%</v>
      </c>
      <c r="Z120" s="8" t="s">
        <v>107</v>
      </c>
      <c r="AB120" s="38">
        <v>7460</v>
      </c>
      <c r="AC120" s="38">
        <v>9780</v>
      </c>
      <c r="AD120" s="38">
        <v>14240</v>
      </c>
      <c r="AE120" s="38">
        <v>14540</v>
      </c>
      <c r="AF120" s="38"/>
      <c r="AG120" s="38"/>
      <c r="AH120" s="38"/>
    </row>
    <row r="121" spans="1:34" ht="24" customHeight="1" x14ac:dyDescent="0.25">
      <c r="A121" s="5">
        <v>23</v>
      </c>
      <c r="B121" s="9">
        <v>0.52500000000000002</v>
      </c>
      <c r="C121" s="5" t="s">
        <v>20</v>
      </c>
      <c r="D121" s="5">
        <f t="shared" si="29"/>
        <v>10</v>
      </c>
      <c r="E121" s="15"/>
      <c r="F121" s="15" t="s">
        <v>26</v>
      </c>
      <c r="G121" s="19">
        <f t="shared" si="18"/>
        <v>7.8</v>
      </c>
      <c r="H121" s="19">
        <f t="shared" si="19"/>
        <v>10.8</v>
      </c>
      <c r="I121" s="19">
        <f t="shared" si="20"/>
        <v>7.88</v>
      </c>
      <c r="J121" s="19">
        <f t="shared" si="21"/>
        <v>9.36</v>
      </c>
      <c r="K121" s="19">
        <f t="shared" si="22"/>
        <v>6.34</v>
      </c>
      <c r="L121" s="19">
        <f t="shared" si="23"/>
        <v>9.4</v>
      </c>
      <c r="M121" s="19">
        <f t="shared" si="24"/>
        <v>0</v>
      </c>
      <c r="N121" s="39">
        <f t="shared" si="25"/>
        <v>51.580000000000005</v>
      </c>
      <c r="O121" s="39">
        <f t="shared" si="28"/>
        <v>4013.8423022340503</v>
      </c>
      <c r="P121" s="40">
        <v>8</v>
      </c>
      <c r="Q121" s="40">
        <v>10</v>
      </c>
      <c r="R121" s="40">
        <v>9</v>
      </c>
      <c r="S121" s="40">
        <v>9</v>
      </c>
      <c r="T121" s="40">
        <v>9</v>
      </c>
      <c r="U121" s="40">
        <v>9</v>
      </c>
      <c r="V121" s="40">
        <v>9</v>
      </c>
      <c r="W121" s="41" t="str">
        <f t="shared" si="26"/>
        <v>Y</v>
      </c>
      <c r="X121" s="56">
        <f t="shared" si="27"/>
        <v>8.0000000000000071E-2</v>
      </c>
      <c r="Y121" s="56" t="str">
        <f t="shared" si="17"/>
        <v>5-25%</v>
      </c>
      <c r="Z121" s="8" t="s">
        <v>35</v>
      </c>
      <c r="AB121" s="38">
        <v>7800</v>
      </c>
      <c r="AC121" s="38">
        <v>10800</v>
      </c>
      <c r="AD121" s="38">
        <v>7880</v>
      </c>
      <c r="AE121" s="38">
        <v>9360</v>
      </c>
      <c r="AF121" s="38">
        <v>6340</v>
      </c>
      <c r="AG121" s="38">
        <v>9400</v>
      </c>
      <c r="AH121" s="38"/>
    </row>
    <row r="122" spans="1:34" ht="24" customHeight="1" x14ac:dyDescent="0.25">
      <c r="A122" s="5">
        <v>24</v>
      </c>
      <c r="B122" s="9">
        <v>0.52500000000000002</v>
      </c>
      <c r="C122" s="5" t="s">
        <v>20</v>
      </c>
      <c r="D122" s="5">
        <f t="shared" si="29"/>
        <v>10</v>
      </c>
      <c r="E122" s="15"/>
      <c r="F122" s="15" t="s">
        <v>31</v>
      </c>
      <c r="G122" s="19">
        <f t="shared" si="18"/>
        <v>7.72</v>
      </c>
      <c r="H122" s="19">
        <f t="shared" si="19"/>
        <v>7.2</v>
      </c>
      <c r="I122" s="19">
        <f t="shared" si="20"/>
        <v>20.84</v>
      </c>
      <c r="J122" s="19">
        <f t="shared" si="21"/>
        <v>15.2</v>
      </c>
      <c r="K122" s="19">
        <f t="shared" si="22"/>
        <v>1.4</v>
      </c>
      <c r="L122" s="19">
        <f t="shared" si="23"/>
        <v>0</v>
      </c>
      <c r="M122" s="19">
        <f t="shared" si="24"/>
        <v>0</v>
      </c>
      <c r="N122" s="39">
        <f t="shared" si="25"/>
        <v>52.359999999999992</v>
      </c>
      <c r="O122" s="39">
        <f t="shared" si="28"/>
        <v>4294.3027198794298</v>
      </c>
      <c r="P122" s="40">
        <v>8</v>
      </c>
      <c r="Q122" s="40">
        <v>10</v>
      </c>
      <c r="R122" s="40">
        <v>9</v>
      </c>
      <c r="S122" s="40">
        <v>9</v>
      </c>
      <c r="T122" s="40">
        <v>9</v>
      </c>
      <c r="U122" s="40">
        <v>9</v>
      </c>
      <c r="V122" s="40">
        <v>9</v>
      </c>
      <c r="W122" s="41" t="str">
        <f t="shared" si="26"/>
        <v>Y</v>
      </c>
      <c r="X122" s="56">
        <f t="shared" si="27"/>
        <v>1.1839999999999999</v>
      </c>
      <c r="Y122" s="56" t="str">
        <f t="shared" si="17"/>
        <v>Over 50%</v>
      </c>
      <c r="Z122" s="8" t="s">
        <v>111</v>
      </c>
      <c r="AB122" s="38">
        <v>7720</v>
      </c>
      <c r="AC122" s="38">
        <v>7200</v>
      </c>
      <c r="AD122" s="38">
        <v>20840</v>
      </c>
      <c r="AE122" s="38">
        <v>15200</v>
      </c>
      <c r="AF122" s="38">
        <v>1400</v>
      </c>
      <c r="AG122" s="38"/>
      <c r="AH122" s="38"/>
    </row>
    <row r="123" spans="1:34" ht="24" customHeight="1" x14ac:dyDescent="0.25">
      <c r="A123" s="5">
        <v>25</v>
      </c>
      <c r="B123" s="9">
        <v>0.12708333333333333</v>
      </c>
      <c r="C123" s="5" t="s">
        <v>21</v>
      </c>
      <c r="D123" s="5">
        <f t="shared" si="29"/>
        <v>10</v>
      </c>
      <c r="E123" s="15"/>
      <c r="F123" s="15" t="s">
        <v>26</v>
      </c>
      <c r="G123" s="19">
        <f t="shared" si="18"/>
        <v>9.4600000000000009</v>
      </c>
      <c r="H123" s="19">
        <f t="shared" si="19"/>
        <v>14.02</v>
      </c>
      <c r="I123" s="19">
        <f t="shared" si="20"/>
        <v>13.1</v>
      </c>
      <c r="J123" s="19">
        <f t="shared" si="21"/>
        <v>12</v>
      </c>
      <c r="K123" s="19">
        <f t="shared" si="22"/>
        <v>11.14</v>
      </c>
      <c r="L123" s="19">
        <f t="shared" si="23"/>
        <v>11.48</v>
      </c>
      <c r="M123" s="19">
        <f t="shared" si="24"/>
        <v>0</v>
      </c>
      <c r="N123" s="39">
        <f t="shared" si="25"/>
        <v>71.2</v>
      </c>
      <c r="O123" s="39">
        <f t="shared" si="28"/>
        <v>17121.990705944369</v>
      </c>
      <c r="P123" s="40">
        <v>8</v>
      </c>
      <c r="Q123" s="40">
        <v>10</v>
      </c>
      <c r="R123" s="40">
        <v>9</v>
      </c>
      <c r="S123" s="40">
        <v>9</v>
      </c>
      <c r="T123" s="40">
        <v>9</v>
      </c>
      <c r="U123" s="40">
        <v>9</v>
      </c>
      <c r="V123" s="40">
        <v>9</v>
      </c>
      <c r="W123" s="41" t="str">
        <f t="shared" si="26"/>
        <v>Y</v>
      </c>
      <c r="X123" s="56">
        <f t="shared" si="27"/>
        <v>0.41</v>
      </c>
      <c r="Y123" s="56" t="str">
        <f t="shared" si="17"/>
        <v>25-50%</v>
      </c>
      <c r="Z123" s="8" t="s">
        <v>39</v>
      </c>
      <c r="AB123" s="38">
        <v>9460</v>
      </c>
      <c r="AC123" s="38">
        <v>14020</v>
      </c>
      <c r="AD123" s="38">
        <v>13100</v>
      </c>
      <c r="AE123" s="38">
        <v>12000</v>
      </c>
      <c r="AF123" s="38">
        <v>11140</v>
      </c>
      <c r="AG123" s="38">
        <v>11480</v>
      </c>
      <c r="AH123" s="38"/>
    </row>
    <row r="124" spans="1:34" ht="24" customHeight="1" x14ac:dyDescent="0.25">
      <c r="A124" s="5">
        <v>26</v>
      </c>
      <c r="B124" s="9">
        <v>0.1277777777777778</v>
      </c>
      <c r="C124" s="5" t="s">
        <v>20</v>
      </c>
      <c r="D124" s="5">
        <f t="shared" si="29"/>
        <v>10</v>
      </c>
      <c r="E124" s="15"/>
      <c r="F124" s="15" t="s">
        <v>27</v>
      </c>
      <c r="G124" s="19">
        <f t="shared" si="18"/>
        <v>7.56</v>
      </c>
      <c r="H124" s="19">
        <f t="shared" si="19"/>
        <v>8.4600000000000009</v>
      </c>
      <c r="I124" s="19">
        <f t="shared" si="20"/>
        <v>16.14</v>
      </c>
      <c r="J124" s="19">
        <f t="shared" si="21"/>
        <v>17.52</v>
      </c>
      <c r="K124" s="19">
        <f t="shared" si="22"/>
        <v>16.16</v>
      </c>
      <c r="L124" s="19">
        <f t="shared" si="23"/>
        <v>14.16</v>
      </c>
      <c r="M124" s="19">
        <f t="shared" si="24"/>
        <v>0</v>
      </c>
      <c r="N124" s="39">
        <f t="shared" si="25"/>
        <v>79.999999999999986</v>
      </c>
      <c r="O124" s="39">
        <f t="shared" si="28"/>
        <v>28926.722349285574</v>
      </c>
      <c r="P124" s="40">
        <v>8</v>
      </c>
      <c r="Q124" s="40">
        <v>10</v>
      </c>
      <c r="R124" s="40">
        <v>9</v>
      </c>
      <c r="S124" s="40">
        <v>9</v>
      </c>
      <c r="T124" s="40">
        <v>9</v>
      </c>
      <c r="U124" s="40">
        <v>9</v>
      </c>
      <c r="V124" s="40">
        <v>9</v>
      </c>
      <c r="W124" s="41" t="str">
        <f t="shared" si="26"/>
        <v>Y</v>
      </c>
      <c r="X124" s="56">
        <f t="shared" si="27"/>
        <v>0.85199999999999998</v>
      </c>
      <c r="Y124" s="56" t="str">
        <f t="shared" si="17"/>
        <v>Over 50%</v>
      </c>
      <c r="Z124" s="8" t="s">
        <v>145</v>
      </c>
      <c r="AB124" s="38">
        <v>7560</v>
      </c>
      <c r="AC124" s="38">
        <v>8460</v>
      </c>
      <c r="AD124" s="38">
        <v>16140</v>
      </c>
      <c r="AE124" s="38">
        <v>17520</v>
      </c>
      <c r="AF124" s="38">
        <v>16160</v>
      </c>
      <c r="AG124" s="38">
        <v>14160</v>
      </c>
      <c r="AH124" s="38"/>
    </row>
    <row r="125" spans="1:34" ht="24" customHeight="1" x14ac:dyDescent="0.25">
      <c r="A125" s="5">
        <v>29</v>
      </c>
      <c r="B125" s="9">
        <v>0.14027777777777778</v>
      </c>
      <c r="C125" s="5" t="s">
        <v>20</v>
      </c>
      <c r="D125" s="5">
        <f t="shared" si="29"/>
        <v>10</v>
      </c>
      <c r="E125" s="15"/>
      <c r="F125" s="15" t="s">
        <v>26</v>
      </c>
      <c r="G125" s="19">
        <f t="shared" si="18"/>
        <v>6.84</v>
      </c>
      <c r="H125" s="19">
        <f t="shared" si="19"/>
        <v>4.88</v>
      </c>
      <c r="I125" s="19">
        <f t="shared" si="20"/>
        <v>4.72</v>
      </c>
      <c r="J125" s="19">
        <f t="shared" si="21"/>
        <v>6.68</v>
      </c>
      <c r="K125" s="19">
        <f t="shared" si="22"/>
        <v>4.84</v>
      </c>
      <c r="L125" s="19">
        <f t="shared" si="23"/>
        <v>7.66</v>
      </c>
      <c r="M125" s="19">
        <f t="shared" si="24"/>
        <v>0</v>
      </c>
      <c r="N125" s="39">
        <f t="shared" si="25"/>
        <v>35.619999999999997</v>
      </c>
      <c r="O125" s="39">
        <f t="shared" si="28"/>
        <v>758.60710108297644</v>
      </c>
      <c r="P125" s="40">
        <v>8</v>
      </c>
      <c r="Q125" s="40">
        <v>10</v>
      </c>
      <c r="R125" s="40">
        <v>9</v>
      </c>
      <c r="S125" s="40">
        <v>9</v>
      </c>
      <c r="T125" s="40">
        <v>9</v>
      </c>
      <c r="U125" s="40">
        <v>9</v>
      </c>
      <c r="V125" s="40">
        <v>9</v>
      </c>
      <c r="W125" s="41" t="str">
        <f t="shared" si="26"/>
        <v>N</v>
      </c>
      <c r="X125" s="56">
        <f t="shared" si="27"/>
        <v>0</v>
      </c>
      <c r="Y125" s="56" t="str">
        <f t="shared" si="17"/>
        <v>0-4.9%</v>
      </c>
      <c r="Z125" s="8" t="s">
        <v>118</v>
      </c>
      <c r="AB125" s="38">
        <v>6840</v>
      </c>
      <c r="AC125" s="38">
        <v>4880</v>
      </c>
      <c r="AD125" s="38">
        <v>4720</v>
      </c>
      <c r="AE125" s="38">
        <v>6680</v>
      </c>
      <c r="AF125" s="38">
        <v>4840</v>
      </c>
      <c r="AG125" s="38">
        <v>7660</v>
      </c>
      <c r="AH125" s="38"/>
    </row>
    <row r="126" spans="1:34" ht="24" customHeight="1" x14ac:dyDescent="0.25">
      <c r="A126" s="5">
        <v>31</v>
      </c>
      <c r="B126" s="9">
        <v>0.17430555555555557</v>
      </c>
      <c r="C126" s="5" t="s">
        <v>20</v>
      </c>
      <c r="D126" s="5">
        <f t="shared" si="29"/>
        <v>10</v>
      </c>
      <c r="E126" s="15"/>
      <c r="F126" s="15" t="s">
        <v>27</v>
      </c>
      <c r="G126" s="19">
        <f t="shared" si="18"/>
        <v>6.96</v>
      </c>
      <c r="H126" s="19">
        <f t="shared" si="19"/>
        <v>2.56</v>
      </c>
      <c r="I126" s="19">
        <f t="shared" si="20"/>
        <v>4.66</v>
      </c>
      <c r="J126" s="19">
        <f t="shared" si="21"/>
        <v>3.78</v>
      </c>
      <c r="K126" s="19">
        <f t="shared" si="22"/>
        <v>4.24</v>
      </c>
      <c r="L126" s="19">
        <f t="shared" si="23"/>
        <v>5.0999999999999996</v>
      </c>
      <c r="M126" s="19">
        <f t="shared" si="24"/>
        <v>0</v>
      </c>
      <c r="N126" s="39">
        <f t="shared" si="25"/>
        <v>27.300000000000004</v>
      </c>
      <c r="O126" s="39">
        <f t="shared" si="28"/>
        <v>229.1533429818887</v>
      </c>
      <c r="P126" s="40">
        <v>8</v>
      </c>
      <c r="Q126" s="40">
        <v>10</v>
      </c>
      <c r="R126" s="40">
        <v>9</v>
      </c>
      <c r="S126" s="40">
        <v>9</v>
      </c>
      <c r="T126" s="40">
        <v>9</v>
      </c>
      <c r="U126" s="40">
        <v>9</v>
      </c>
      <c r="V126" s="40">
        <v>9</v>
      </c>
      <c r="W126" s="41" t="str">
        <f t="shared" si="26"/>
        <v>N</v>
      </c>
      <c r="X126" s="56">
        <f t="shared" si="27"/>
        <v>0</v>
      </c>
      <c r="Y126" s="56" t="str">
        <f t="shared" si="17"/>
        <v>0-4.9%</v>
      </c>
      <c r="Z126" s="8" t="s">
        <v>118</v>
      </c>
      <c r="AB126" s="38">
        <v>6960</v>
      </c>
      <c r="AC126" s="38">
        <v>2560</v>
      </c>
      <c r="AD126" s="38">
        <v>4660</v>
      </c>
      <c r="AE126" s="38">
        <v>3780</v>
      </c>
      <c r="AF126" s="38">
        <v>4240</v>
      </c>
      <c r="AG126" s="38">
        <v>5100</v>
      </c>
      <c r="AH126" s="38"/>
    </row>
    <row r="127" spans="1:34" ht="24" customHeight="1" x14ac:dyDescent="0.25">
      <c r="A127" s="5">
        <v>36</v>
      </c>
      <c r="B127" s="9">
        <v>0.2076388888888889</v>
      </c>
      <c r="C127" s="5" t="s">
        <v>21</v>
      </c>
      <c r="D127" s="5">
        <f t="shared" si="29"/>
        <v>10</v>
      </c>
      <c r="E127" s="15"/>
      <c r="F127" s="15" t="s">
        <v>26</v>
      </c>
      <c r="G127" s="19">
        <f t="shared" si="18"/>
        <v>6.85</v>
      </c>
      <c r="H127" s="19">
        <f t="shared" si="19"/>
        <v>4.68</v>
      </c>
      <c r="I127" s="19">
        <f t="shared" si="20"/>
        <v>3.78</v>
      </c>
      <c r="J127" s="19">
        <f t="shared" si="21"/>
        <v>4.25</v>
      </c>
      <c r="K127" s="19">
        <f t="shared" si="22"/>
        <v>4.66</v>
      </c>
      <c r="L127" s="19">
        <f t="shared" si="23"/>
        <v>5.89</v>
      </c>
      <c r="M127" s="19">
        <f t="shared" si="24"/>
        <v>0</v>
      </c>
      <c r="N127" s="39">
        <f t="shared" si="25"/>
        <v>30.11</v>
      </c>
      <c r="O127" s="39">
        <f t="shared" si="28"/>
        <v>356.11698300824531</v>
      </c>
      <c r="P127" s="40">
        <v>8</v>
      </c>
      <c r="Q127" s="40">
        <v>10</v>
      </c>
      <c r="R127" s="40">
        <v>9</v>
      </c>
      <c r="S127" s="40">
        <v>9</v>
      </c>
      <c r="T127" s="40">
        <v>9</v>
      </c>
      <c r="U127" s="40">
        <v>9</v>
      </c>
      <c r="V127" s="40">
        <v>9</v>
      </c>
      <c r="W127" s="41" t="str">
        <f t="shared" si="26"/>
        <v>N</v>
      </c>
      <c r="X127" s="56">
        <f t="shared" si="27"/>
        <v>0</v>
      </c>
      <c r="Y127" s="56" t="str">
        <f t="shared" si="17"/>
        <v>0-4.9%</v>
      </c>
      <c r="Z127" s="8" t="s">
        <v>118</v>
      </c>
      <c r="AB127" s="38">
        <v>6850</v>
      </c>
      <c r="AC127" s="38">
        <v>4680</v>
      </c>
      <c r="AD127" s="38">
        <v>3780</v>
      </c>
      <c r="AE127" s="38">
        <v>4250</v>
      </c>
      <c r="AF127" s="38">
        <v>4660</v>
      </c>
      <c r="AG127" s="38">
        <v>5890</v>
      </c>
      <c r="AH127" s="38"/>
    </row>
    <row r="128" spans="1:34" ht="24" customHeight="1" x14ac:dyDescent="0.25">
      <c r="A128" s="5">
        <v>45</v>
      </c>
      <c r="B128" s="9">
        <v>0.36319444444444443</v>
      </c>
      <c r="C128" s="5" t="s">
        <v>20</v>
      </c>
      <c r="D128" s="5">
        <f t="shared" si="29"/>
        <v>10</v>
      </c>
      <c r="E128" s="15"/>
      <c r="F128" s="15" t="s">
        <v>26</v>
      </c>
      <c r="G128" s="19">
        <f t="shared" si="18"/>
        <v>7.04</v>
      </c>
      <c r="H128" s="19">
        <f t="shared" si="19"/>
        <v>5.32</v>
      </c>
      <c r="I128" s="19">
        <f t="shared" si="20"/>
        <v>5.26</v>
      </c>
      <c r="J128" s="19">
        <f t="shared" si="21"/>
        <v>4.32</v>
      </c>
      <c r="K128" s="19">
        <f t="shared" si="22"/>
        <v>4.08</v>
      </c>
      <c r="L128" s="19">
        <f t="shared" si="23"/>
        <v>4.5199999999999996</v>
      </c>
      <c r="M128" s="19">
        <f t="shared" si="24"/>
        <v>0</v>
      </c>
      <c r="N128" s="39">
        <f t="shared" si="25"/>
        <v>30.539999999999996</v>
      </c>
      <c r="O128" s="39">
        <f t="shared" si="28"/>
        <v>379.58140837967392</v>
      </c>
      <c r="P128" s="40">
        <v>8</v>
      </c>
      <c r="Q128" s="40">
        <v>10</v>
      </c>
      <c r="R128" s="40">
        <v>9</v>
      </c>
      <c r="S128" s="40">
        <v>9</v>
      </c>
      <c r="T128" s="40">
        <v>9</v>
      </c>
      <c r="U128" s="40">
        <v>9</v>
      </c>
      <c r="V128" s="40">
        <v>9</v>
      </c>
      <c r="W128" s="41" t="str">
        <f t="shared" si="26"/>
        <v>N</v>
      </c>
      <c r="X128" s="56">
        <f t="shared" si="27"/>
        <v>0</v>
      </c>
      <c r="Y128" s="56" t="str">
        <f t="shared" si="17"/>
        <v>0-4.9%</v>
      </c>
      <c r="Z128" s="8" t="s">
        <v>118</v>
      </c>
      <c r="AB128" s="38">
        <v>7040</v>
      </c>
      <c r="AC128" s="38">
        <v>5320</v>
      </c>
      <c r="AD128" s="38">
        <v>5260</v>
      </c>
      <c r="AE128" s="38">
        <v>4320</v>
      </c>
      <c r="AF128" s="38">
        <v>4080</v>
      </c>
      <c r="AG128" s="38">
        <v>4520</v>
      </c>
      <c r="AH128" s="38"/>
    </row>
    <row r="129" spans="1:34" ht="24" customHeight="1" x14ac:dyDescent="0.25">
      <c r="A129" s="5">
        <v>46</v>
      </c>
      <c r="B129" s="9">
        <v>0.36527777777777781</v>
      </c>
      <c r="C129" s="5" t="s">
        <v>20</v>
      </c>
      <c r="D129" s="5">
        <f t="shared" si="29"/>
        <v>10</v>
      </c>
      <c r="E129" s="15"/>
      <c r="F129" s="15" t="s">
        <v>27</v>
      </c>
      <c r="G129" s="19">
        <f t="shared" si="18"/>
        <v>9.9</v>
      </c>
      <c r="H129" s="19">
        <f t="shared" si="19"/>
        <v>9.34</v>
      </c>
      <c r="I129" s="19">
        <f t="shared" si="20"/>
        <v>11.04</v>
      </c>
      <c r="J129" s="19">
        <f t="shared" si="21"/>
        <v>11.6</v>
      </c>
      <c r="K129" s="19">
        <f t="shared" si="22"/>
        <v>5.46</v>
      </c>
      <c r="L129" s="19">
        <f t="shared" si="23"/>
        <v>0</v>
      </c>
      <c r="M129" s="19">
        <f t="shared" si="24"/>
        <v>0</v>
      </c>
      <c r="N129" s="39">
        <f t="shared" si="25"/>
        <v>47.34</v>
      </c>
      <c r="O129" s="39">
        <f t="shared" si="28"/>
        <v>2728.4840966236998</v>
      </c>
      <c r="P129" s="40">
        <v>8</v>
      </c>
      <c r="Q129" s="40">
        <v>10</v>
      </c>
      <c r="R129" s="40">
        <v>9</v>
      </c>
      <c r="S129" s="40">
        <v>9</v>
      </c>
      <c r="T129" s="40">
        <v>9</v>
      </c>
      <c r="U129" s="40">
        <v>9</v>
      </c>
      <c r="V129" s="40">
        <v>9</v>
      </c>
      <c r="W129" s="41" t="str">
        <f t="shared" si="26"/>
        <v>Y</v>
      </c>
      <c r="X129" s="56">
        <f t="shared" si="27"/>
        <v>0.25999999999999995</v>
      </c>
      <c r="Y129" s="56" t="str">
        <f t="shared" si="17"/>
        <v>25-50%</v>
      </c>
      <c r="Z129" s="8" t="s">
        <v>35</v>
      </c>
      <c r="AB129" s="38">
        <v>9900</v>
      </c>
      <c r="AC129" s="38">
        <v>9340</v>
      </c>
      <c r="AD129" s="38">
        <v>11040</v>
      </c>
      <c r="AE129" s="38">
        <v>11600</v>
      </c>
      <c r="AF129" s="38">
        <v>5460</v>
      </c>
      <c r="AG129" s="38"/>
      <c r="AH129" s="38"/>
    </row>
    <row r="130" spans="1:34" ht="24" customHeight="1" x14ac:dyDescent="0.25">
      <c r="A130" s="5">
        <v>48</v>
      </c>
      <c r="B130" s="9">
        <v>0.3840277777777778</v>
      </c>
      <c r="C130" s="5" t="s">
        <v>21</v>
      </c>
      <c r="D130" s="5">
        <f t="shared" si="29"/>
        <v>10</v>
      </c>
      <c r="E130" s="15"/>
      <c r="F130" s="15" t="s">
        <v>26</v>
      </c>
      <c r="G130" s="19">
        <f t="shared" si="18"/>
        <v>8.66</v>
      </c>
      <c r="H130" s="19">
        <f t="shared" si="19"/>
        <v>12.66</v>
      </c>
      <c r="I130" s="19">
        <f t="shared" si="20"/>
        <v>12.82</v>
      </c>
      <c r="J130" s="19">
        <f t="shared" si="21"/>
        <v>14.48</v>
      </c>
      <c r="K130" s="19">
        <f t="shared" si="22"/>
        <v>14.26</v>
      </c>
      <c r="L130" s="19">
        <f t="shared" si="23"/>
        <v>13.44</v>
      </c>
      <c r="M130" s="19">
        <f t="shared" si="24"/>
        <v>0</v>
      </c>
      <c r="N130" s="39">
        <f t="shared" si="25"/>
        <v>76.320000000000007</v>
      </c>
      <c r="O130" s="39">
        <f t="shared" si="28"/>
        <v>23402.751074884829</v>
      </c>
      <c r="P130" s="40">
        <v>8</v>
      </c>
      <c r="Q130" s="40">
        <v>10</v>
      </c>
      <c r="R130" s="40">
        <v>9</v>
      </c>
      <c r="S130" s="40">
        <v>9</v>
      </c>
      <c r="T130" s="40">
        <v>9</v>
      </c>
      <c r="U130" s="40">
        <v>9</v>
      </c>
      <c r="V130" s="40">
        <v>9</v>
      </c>
      <c r="W130" s="41" t="str">
        <f t="shared" si="26"/>
        <v>Y</v>
      </c>
      <c r="X130" s="56">
        <f t="shared" si="27"/>
        <v>0.54800000000000004</v>
      </c>
      <c r="Y130" s="56" t="str">
        <f t="shared" si="17"/>
        <v>Over 50%</v>
      </c>
      <c r="Z130" s="8" t="s">
        <v>35</v>
      </c>
      <c r="AB130" s="38">
        <v>8660</v>
      </c>
      <c r="AC130" s="38">
        <v>12660</v>
      </c>
      <c r="AD130" s="38">
        <v>12820</v>
      </c>
      <c r="AE130" s="38">
        <v>14480</v>
      </c>
      <c r="AF130" s="38">
        <v>14260</v>
      </c>
      <c r="AG130" s="38">
        <v>13440</v>
      </c>
      <c r="AH130" s="38"/>
    </row>
    <row r="131" spans="1:34" ht="24" customHeight="1" x14ac:dyDescent="0.25">
      <c r="A131" s="5">
        <v>2</v>
      </c>
      <c r="B131" s="9">
        <v>0.38611111111111113</v>
      </c>
      <c r="C131" s="5" t="s">
        <v>21</v>
      </c>
      <c r="D131" s="5">
        <f t="shared" si="29"/>
        <v>10</v>
      </c>
      <c r="E131" s="15"/>
      <c r="F131" s="15" t="s">
        <v>27</v>
      </c>
      <c r="G131" s="19">
        <f t="shared" si="18"/>
        <v>6.92</v>
      </c>
      <c r="H131" s="19">
        <f t="shared" si="19"/>
        <v>6.84</v>
      </c>
      <c r="I131" s="19">
        <f t="shared" si="20"/>
        <v>10.98</v>
      </c>
      <c r="J131" s="19">
        <f t="shared" si="21"/>
        <v>12.12</v>
      </c>
      <c r="K131" s="19">
        <f t="shared" si="22"/>
        <v>12.22</v>
      </c>
      <c r="L131" s="19">
        <f t="shared" si="23"/>
        <v>11.72</v>
      </c>
      <c r="M131" s="19">
        <f t="shared" si="24"/>
        <v>0</v>
      </c>
      <c r="N131" s="39">
        <f t="shared" si="25"/>
        <v>60.8</v>
      </c>
      <c r="O131" s="39">
        <f t="shared" si="28"/>
        <v>8413.1840989118227</v>
      </c>
      <c r="P131" s="40">
        <v>8</v>
      </c>
      <c r="Q131" s="40">
        <v>10</v>
      </c>
      <c r="R131" s="40">
        <v>9</v>
      </c>
      <c r="S131" s="40">
        <v>9</v>
      </c>
      <c r="T131" s="40">
        <v>9</v>
      </c>
      <c r="U131" s="40">
        <v>9</v>
      </c>
      <c r="V131" s="40">
        <v>9</v>
      </c>
      <c r="W131" s="41" t="str">
        <f t="shared" si="26"/>
        <v>Y</v>
      </c>
      <c r="X131" s="56">
        <f t="shared" si="27"/>
        <v>0.32200000000000006</v>
      </c>
      <c r="Y131" s="56" t="str">
        <f t="shared" si="17"/>
        <v>25-50%</v>
      </c>
      <c r="Z131" s="8" t="s">
        <v>35</v>
      </c>
      <c r="AB131" s="38">
        <v>6920</v>
      </c>
      <c r="AC131" s="38">
        <v>6840</v>
      </c>
      <c r="AD131" s="38">
        <v>10980</v>
      </c>
      <c r="AE131" s="38">
        <v>12120</v>
      </c>
      <c r="AF131" s="38">
        <v>12220</v>
      </c>
      <c r="AG131" s="38">
        <v>11720</v>
      </c>
      <c r="AH131" s="38"/>
    </row>
    <row r="132" spans="1:34" ht="24" customHeight="1" x14ac:dyDescent="0.25">
      <c r="A132" s="5">
        <v>6</v>
      </c>
      <c r="B132" s="9">
        <v>0.39444444444444443</v>
      </c>
      <c r="C132" s="5" t="s">
        <v>20</v>
      </c>
      <c r="D132" s="5">
        <f t="shared" si="29"/>
        <v>10</v>
      </c>
      <c r="E132" s="15"/>
      <c r="F132" s="15" t="s">
        <v>27</v>
      </c>
      <c r="G132" s="19">
        <f t="shared" si="18"/>
        <v>7.6</v>
      </c>
      <c r="H132" s="19">
        <f t="shared" si="19"/>
        <v>10.98</v>
      </c>
      <c r="I132" s="19">
        <f t="shared" si="20"/>
        <v>9.8800000000000008</v>
      </c>
      <c r="J132" s="19">
        <f t="shared" si="21"/>
        <v>11.26</v>
      </c>
      <c r="K132" s="19">
        <f t="shared" si="22"/>
        <v>9.94</v>
      </c>
      <c r="L132" s="19">
        <f t="shared" si="23"/>
        <v>8.94</v>
      </c>
      <c r="M132" s="19">
        <f t="shared" si="24"/>
        <v>8.9</v>
      </c>
      <c r="N132" s="39">
        <f t="shared" si="25"/>
        <v>67.5</v>
      </c>
      <c r="O132" s="39">
        <f t="shared" si="28"/>
        <v>13466.702417751119</v>
      </c>
      <c r="P132" s="40">
        <v>8</v>
      </c>
      <c r="Q132" s="40">
        <v>10</v>
      </c>
      <c r="R132" s="40">
        <v>9</v>
      </c>
      <c r="S132" s="40">
        <v>9</v>
      </c>
      <c r="T132" s="40">
        <v>9</v>
      </c>
      <c r="U132" s="40">
        <v>9</v>
      </c>
      <c r="V132" s="40">
        <v>9</v>
      </c>
      <c r="W132" s="41" t="str">
        <f t="shared" si="26"/>
        <v>Y</v>
      </c>
      <c r="X132" s="56">
        <f t="shared" si="27"/>
        <v>0.22599999999999998</v>
      </c>
      <c r="Y132" s="56" t="str">
        <f t="shared" si="17"/>
        <v>5-25%</v>
      </c>
      <c r="Z132" s="8" t="s">
        <v>35</v>
      </c>
      <c r="AB132" s="38">
        <v>7600</v>
      </c>
      <c r="AC132" s="38">
        <v>10980</v>
      </c>
      <c r="AD132" s="38">
        <v>9880</v>
      </c>
      <c r="AE132" s="38">
        <v>11260</v>
      </c>
      <c r="AF132" s="38">
        <v>9940</v>
      </c>
      <c r="AG132" s="38">
        <v>8940</v>
      </c>
      <c r="AH132" s="38">
        <v>8900</v>
      </c>
    </row>
    <row r="133" spans="1:34" ht="24" customHeight="1" x14ac:dyDescent="0.25">
      <c r="A133" s="5">
        <v>7</v>
      </c>
      <c r="B133" s="9">
        <v>0.39513888888888887</v>
      </c>
      <c r="C133" s="5" t="s">
        <v>20</v>
      </c>
      <c r="D133" s="5">
        <f t="shared" si="29"/>
        <v>10</v>
      </c>
      <c r="E133" s="15"/>
      <c r="F133" s="15" t="s">
        <v>27</v>
      </c>
      <c r="G133" s="19">
        <f t="shared" si="18"/>
        <v>7.76</v>
      </c>
      <c r="H133" s="19">
        <f t="shared" si="19"/>
        <v>10.3</v>
      </c>
      <c r="I133" s="19">
        <f t="shared" si="20"/>
        <v>16.899999999999999</v>
      </c>
      <c r="J133" s="19">
        <f t="shared" si="21"/>
        <v>21.26</v>
      </c>
      <c r="K133" s="19">
        <f t="shared" si="22"/>
        <v>13.34</v>
      </c>
      <c r="L133" s="19">
        <f t="shared" si="23"/>
        <v>12.88</v>
      </c>
      <c r="M133" s="19">
        <f t="shared" si="24"/>
        <v>0</v>
      </c>
      <c r="N133" s="39">
        <f t="shared" si="25"/>
        <v>82.44</v>
      </c>
      <c r="O133" s="39">
        <f t="shared" si="28"/>
        <v>33114.271835284031</v>
      </c>
      <c r="P133" s="40">
        <v>8</v>
      </c>
      <c r="Q133" s="40">
        <v>10</v>
      </c>
      <c r="R133" s="40">
        <v>9</v>
      </c>
      <c r="S133" s="40">
        <v>9</v>
      </c>
      <c r="T133" s="40">
        <v>9</v>
      </c>
      <c r="U133" s="40">
        <v>9</v>
      </c>
      <c r="V133" s="40">
        <v>9</v>
      </c>
      <c r="W133" s="41" t="str">
        <f t="shared" si="26"/>
        <v>Y</v>
      </c>
      <c r="X133" s="56">
        <f t="shared" si="27"/>
        <v>1.2260000000000002</v>
      </c>
      <c r="Y133" s="56" t="str">
        <f t="shared" si="17"/>
        <v>Over 50%</v>
      </c>
      <c r="Z133" s="8" t="s">
        <v>145</v>
      </c>
      <c r="AB133" s="38">
        <v>7760</v>
      </c>
      <c r="AC133" s="38">
        <v>10300</v>
      </c>
      <c r="AD133" s="38">
        <v>16900</v>
      </c>
      <c r="AE133" s="38">
        <v>21260</v>
      </c>
      <c r="AF133" s="38">
        <v>13340</v>
      </c>
      <c r="AG133" s="38">
        <v>12880</v>
      </c>
      <c r="AH133" s="38"/>
    </row>
    <row r="134" spans="1:34" ht="24" customHeight="1" x14ac:dyDescent="0.25">
      <c r="A134" s="5">
        <v>12</v>
      </c>
      <c r="B134" s="9">
        <v>0.41250000000000003</v>
      </c>
      <c r="C134" s="5" t="s">
        <v>20</v>
      </c>
      <c r="D134" s="5">
        <f t="shared" si="29"/>
        <v>10</v>
      </c>
      <c r="E134" s="15"/>
      <c r="F134" s="15" t="s">
        <v>26</v>
      </c>
      <c r="G134" s="19">
        <f t="shared" si="18"/>
        <v>7.16</v>
      </c>
      <c r="H134" s="19">
        <f t="shared" si="19"/>
        <v>4.96</v>
      </c>
      <c r="I134" s="19">
        <f t="shared" si="20"/>
        <v>4.12</v>
      </c>
      <c r="J134" s="19">
        <f t="shared" si="21"/>
        <v>4.5</v>
      </c>
      <c r="K134" s="19">
        <f t="shared" si="22"/>
        <v>3.48</v>
      </c>
      <c r="L134" s="19">
        <f t="shared" si="23"/>
        <v>4.72</v>
      </c>
      <c r="M134" s="19">
        <f t="shared" si="24"/>
        <v>0</v>
      </c>
      <c r="N134" s="39">
        <f t="shared" si="25"/>
        <v>28.94</v>
      </c>
      <c r="O134" s="39">
        <f t="shared" si="28"/>
        <v>297.94606643940301</v>
      </c>
      <c r="P134" s="40">
        <v>8</v>
      </c>
      <c r="Q134" s="40">
        <v>10</v>
      </c>
      <c r="R134" s="40">
        <v>9</v>
      </c>
      <c r="S134" s="40">
        <v>9</v>
      </c>
      <c r="T134" s="40">
        <v>9</v>
      </c>
      <c r="U134" s="40">
        <v>9</v>
      </c>
      <c r="V134" s="40">
        <v>9</v>
      </c>
      <c r="W134" s="41" t="str">
        <f t="shared" si="26"/>
        <v>N</v>
      </c>
      <c r="X134" s="56">
        <f t="shared" si="27"/>
        <v>0</v>
      </c>
      <c r="Y134" s="56" t="str">
        <f t="shared" si="17"/>
        <v>0-4.9%</v>
      </c>
      <c r="Z134" s="8" t="s">
        <v>118</v>
      </c>
      <c r="AB134" s="38">
        <v>7160</v>
      </c>
      <c r="AC134" s="38">
        <v>4960</v>
      </c>
      <c r="AD134" s="38">
        <v>4120</v>
      </c>
      <c r="AE134" s="38">
        <v>4500</v>
      </c>
      <c r="AF134" s="38">
        <v>3480</v>
      </c>
      <c r="AG134" s="38">
        <v>4720</v>
      </c>
      <c r="AH134" s="38"/>
    </row>
    <row r="135" spans="1:34" ht="24" customHeight="1" x14ac:dyDescent="0.25">
      <c r="A135" s="5">
        <v>13</v>
      </c>
      <c r="B135" s="9">
        <v>0.42569444444444443</v>
      </c>
      <c r="C135" s="5" t="s">
        <v>20</v>
      </c>
      <c r="D135" s="5">
        <f t="shared" ref="D135:D154" si="30">IF(COUNT(G135:M135)&gt;3,10,IF(COUNT(G135:M135)&gt;2,9,7))</f>
        <v>10</v>
      </c>
      <c r="E135" s="15"/>
      <c r="F135" s="15" t="s">
        <v>31</v>
      </c>
      <c r="G135" s="19">
        <f t="shared" si="18"/>
        <v>7.34</v>
      </c>
      <c r="H135" s="19">
        <f t="shared" si="19"/>
        <v>7.18</v>
      </c>
      <c r="I135" s="19">
        <f t="shared" si="20"/>
        <v>6.42</v>
      </c>
      <c r="J135" s="19">
        <f t="shared" si="21"/>
        <v>6.58</v>
      </c>
      <c r="K135" s="19">
        <f t="shared" si="22"/>
        <v>0</v>
      </c>
      <c r="L135" s="19">
        <f t="shared" si="23"/>
        <v>0</v>
      </c>
      <c r="M135" s="19">
        <f t="shared" si="24"/>
        <v>0</v>
      </c>
      <c r="N135" s="39">
        <f t="shared" si="25"/>
        <v>27.519999999999996</v>
      </c>
      <c r="O135" s="39">
        <f t="shared" ref="O135:O154" si="31">(N135/8.16)^4.5</f>
        <v>237.58128045028738</v>
      </c>
      <c r="P135" s="40">
        <v>8</v>
      </c>
      <c r="Q135" s="40">
        <v>10</v>
      </c>
      <c r="R135" s="40">
        <v>9</v>
      </c>
      <c r="S135" s="40">
        <v>9</v>
      </c>
      <c r="T135" s="40">
        <v>9</v>
      </c>
      <c r="U135" s="40">
        <v>9</v>
      </c>
      <c r="V135" s="40">
        <v>9</v>
      </c>
      <c r="W135" s="41" t="str">
        <f t="shared" si="26"/>
        <v>N</v>
      </c>
      <c r="X135" s="56">
        <f t="shared" si="27"/>
        <v>0</v>
      </c>
      <c r="Y135" s="56" t="str">
        <f t="shared" ref="Y135:Y154" si="32">IF(X135&lt;5%,"0-4.9%",IF(X135&lt;25%,"5-25%",IF(X135&lt;50%,"25-50%","Over 50%")))</f>
        <v>0-4.9%</v>
      </c>
      <c r="Z135" s="8" t="s">
        <v>118</v>
      </c>
      <c r="AB135" s="38">
        <v>7340</v>
      </c>
      <c r="AC135" s="38">
        <v>7180</v>
      </c>
      <c r="AD135" s="38">
        <v>6420</v>
      </c>
      <c r="AE135" s="38">
        <v>6580</v>
      </c>
      <c r="AF135" s="38"/>
      <c r="AG135" s="38"/>
      <c r="AH135" s="38"/>
    </row>
    <row r="136" spans="1:34" ht="24" customHeight="1" x14ac:dyDescent="0.25">
      <c r="A136" s="5">
        <v>14</v>
      </c>
      <c r="B136" s="9">
        <v>0.43333333333333335</v>
      </c>
      <c r="C136" s="5" t="s">
        <v>20</v>
      </c>
      <c r="D136" s="5">
        <f t="shared" si="30"/>
        <v>10</v>
      </c>
      <c r="E136" s="15"/>
      <c r="F136" s="15" t="s">
        <v>26</v>
      </c>
      <c r="G136" s="19">
        <f t="shared" ref="G136:G154" si="33">AB136/1000</f>
        <v>7.88</v>
      </c>
      <c r="H136" s="19">
        <f t="shared" ref="H136:H154" si="34">AC136/1000</f>
        <v>9.8800000000000008</v>
      </c>
      <c r="I136" s="19">
        <f t="shared" ref="I136:I154" si="35">AD136/1000</f>
        <v>9.26</v>
      </c>
      <c r="J136" s="19">
        <f t="shared" ref="J136:J154" si="36">AE136/1000</f>
        <v>9.16</v>
      </c>
      <c r="K136" s="19">
        <f t="shared" ref="K136:K154" si="37">AF136/1000</f>
        <v>11.82</v>
      </c>
      <c r="L136" s="19">
        <f t="shared" ref="L136:L154" si="38">AG136/1000</f>
        <v>8.6999999999999993</v>
      </c>
      <c r="M136" s="19">
        <f t="shared" ref="M136:M154" si="39">AH136/1000</f>
        <v>0</v>
      </c>
      <c r="N136" s="39">
        <f t="shared" ref="N136:N154" si="40">SUM(G136:M136)</f>
        <v>56.7</v>
      </c>
      <c r="O136" s="39">
        <f t="shared" si="31"/>
        <v>6144.9457147534931</v>
      </c>
      <c r="P136" s="40">
        <v>8</v>
      </c>
      <c r="Q136" s="40">
        <v>10</v>
      </c>
      <c r="R136" s="40">
        <v>9</v>
      </c>
      <c r="S136" s="40">
        <v>9</v>
      </c>
      <c r="T136" s="40">
        <v>9</v>
      </c>
      <c r="U136" s="40">
        <v>9</v>
      </c>
      <c r="V136" s="40">
        <v>9</v>
      </c>
      <c r="W136" s="41" t="str">
        <f t="shared" ref="W136:W154" si="41">IF(G136&gt;P136,"Y",IF(H136&gt;Q136,"Y",IF(I136&gt;R136,"Y",IF(J136&gt;S136,"Y",IF(K136&gt;T136,"Y",IF(L136&gt;U136,"Y",IF(M136&gt;V136,"Y","N")))))))</f>
        <v>Y</v>
      </c>
      <c r="X136" s="56">
        <f t="shared" ref="X136:X154" si="42">IF(W136="Y",MAX((G136-P136),(H136-Q136),(I136-R136),(J136-S136),(K136-T136),(L136-U136),(M136-V136))/10,0)</f>
        <v>0.28200000000000003</v>
      </c>
      <c r="Y136" s="56" t="str">
        <f t="shared" si="32"/>
        <v>25-50%</v>
      </c>
      <c r="Z136" s="8" t="s">
        <v>35</v>
      </c>
      <c r="AB136" s="38">
        <v>7880</v>
      </c>
      <c r="AC136" s="38">
        <v>9880</v>
      </c>
      <c r="AD136" s="38">
        <v>9260</v>
      </c>
      <c r="AE136" s="38">
        <v>9160</v>
      </c>
      <c r="AF136" s="38">
        <v>11820</v>
      </c>
      <c r="AG136" s="38">
        <v>8700</v>
      </c>
      <c r="AH136" s="38"/>
    </row>
    <row r="137" spans="1:34" ht="24" customHeight="1" x14ac:dyDescent="0.25">
      <c r="A137" s="5">
        <v>15</v>
      </c>
      <c r="B137" s="9">
        <v>0.45624999999999999</v>
      </c>
      <c r="C137" s="5" t="s">
        <v>20</v>
      </c>
      <c r="D137" s="5">
        <f t="shared" si="30"/>
        <v>10</v>
      </c>
      <c r="E137" s="15"/>
      <c r="F137" s="15" t="s">
        <v>27</v>
      </c>
      <c r="G137" s="19">
        <f t="shared" si="33"/>
        <v>8.23</v>
      </c>
      <c r="H137" s="19">
        <f t="shared" si="34"/>
        <v>4.5599999999999996</v>
      </c>
      <c r="I137" s="19">
        <f t="shared" si="35"/>
        <v>10.24</v>
      </c>
      <c r="J137" s="19">
        <f t="shared" si="36"/>
        <v>9.5</v>
      </c>
      <c r="K137" s="19">
        <f t="shared" si="37"/>
        <v>6</v>
      </c>
      <c r="L137" s="19">
        <f t="shared" si="38"/>
        <v>4.3600000000000003</v>
      </c>
      <c r="M137" s="19">
        <f t="shared" si="39"/>
        <v>0</v>
      </c>
      <c r="N137" s="39">
        <f t="shared" si="40"/>
        <v>42.89</v>
      </c>
      <c r="O137" s="39">
        <f t="shared" si="31"/>
        <v>1749.8325611330938</v>
      </c>
      <c r="P137" s="40">
        <v>8</v>
      </c>
      <c r="Q137" s="40">
        <v>10</v>
      </c>
      <c r="R137" s="40">
        <v>9</v>
      </c>
      <c r="S137" s="40">
        <v>9</v>
      </c>
      <c r="T137" s="40">
        <v>9</v>
      </c>
      <c r="U137" s="40">
        <v>9</v>
      </c>
      <c r="V137" s="40">
        <v>9</v>
      </c>
      <c r="W137" s="41" t="str">
        <f t="shared" si="41"/>
        <v>Y</v>
      </c>
      <c r="X137" s="56">
        <f t="shared" si="42"/>
        <v>0.12400000000000003</v>
      </c>
      <c r="Y137" s="56" t="str">
        <f t="shared" si="32"/>
        <v>5-25%</v>
      </c>
      <c r="Z137" s="8" t="s">
        <v>35</v>
      </c>
      <c r="AB137" s="38">
        <v>8230</v>
      </c>
      <c r="AC137" s="38">
        <v>4560</v>
      </c>
      <c r="AD137" s="38">
        <v>10240</v>
      </c>
      <c r="AE137" s="38">
        <v>9500</v>
      </c>
      <c r="AF137" s="38">
        <v>6000</v>
      </c>
      <c r="AG137" s="38">
        <v>4360</v>
      </c>
      <c r="AH137" s="38"/>
    </row>
    <row r="138" spans="1:34" ht="24" customHeight="1" x14ac:dyDescent="0.25">
      <c r="A138" s="5">
        <v>16</v>
      </c>
      <c r="B138" s="9">
        <v>0.45833333333333331</v>
      </c>
      <c r="C138" s="5" t="s">
        <v>20</v>
      </c>
      <c r="D138" s="5">
        <f t="shared" si="30"/>
        <v>10</v>
      </c>
      <c r="E138" s="15"/>
      <c r="F138" s="15" t="s">
        <v>26</v>
      </c>
      <c r="G138" s="19">
        <f t="shared" si="33"/>
        <v>8.34</v>
      </c>
      <c r="H138" s="19">
        <f t="shared" si="34"/>
        <v>11.24</v>
      </c>
      <c r="I138" s="19">
        <f t="shared" si="35"/>
        <v>10.56</v>
      </c>
      <c r="J138" s="19">
        <f t="shared" si="36"/>
        <v>15.94</v>
      </c>
      <c r="K138" s="19">
        <f t="shared" si="37"/>
        <v>14.28</v>
      </c>
      <c r="L138" s="19">
        <f t="shared" si="38"/>
        <v>16.920000000000002</v>
      </c>
      <c r="M138" s="19">
        <f t="shared" si="39"/>
        <v>0</v>
      </c>
      <c r="N138" s="39">
        <f t="shared" si="40"/>
        <v>77.28</v>
      </c>
      <c r="O138" s="39">
        <f t="shared" si="31"/>
        <v>24756.9019101337</v>
      </c>
      <c r="P138" s="40">
        <v>8</v>
      </c>
      <c r="Q138" s="40">
        <v>10</v>
      </c>
      <c r="R138" s="40">
        <v>9</v>
      </c>
      <c r="S138" s="40">
        <v>9</v>
      </c>
      <c r="T138" s="40">
        <v>9</v>
      </c>
      <c r="U138" s="40">
        <v>9</v>
      </c>
      <c r="V138" s="40">
        <v>9</v>
      </c>
      <c r="W138" s="41" t="str">
        <f t="shared" si="41"/>
        <v>Y</v>
      </c>
      <c r="X138" s="56">
        <f t="shared" si="42"/>
        <v>0.79200000000000015</v>
      </c>
      <c r="Y138" s="56" t="str">
        <f t="shared" si="32"/>
        <v>Over 50%</v>
      </c>
      <c r="Z138" s="8" t="s">
        <v>115</v>
      </c>
      <c r="AB138" s="38">
        <v>8340</v>
      </c>
      <c r="AC138" s="38">
        <v>11240</v>
      </c>
      <c r="AD138" s="38">
        <v>10560</v>
      </c>
      <c r="AE138" s="38">
        <v>15940</v>
      </c>
      <c r="AF138" s="38">
        <v>14280</v>
      </c>
      <c r="AG138" s="38">
        <v>16920</v>
      </c>
      <c r="AH138" s="38"/>
    </row>
    <row r="139" spans="1:34" ht="24" customHeight="1" x14ac:dyDescent="0.25">
      <c r="A139" s="5">
        <v>25</v>
      </c>
      <c r="B139" s="9">
        <v>7.4305555555555555E-2</v>
      </c>
      <c r="C139" s="5" t="s">
        <v>20</v>
      </c>
      <c r="D139" s="5">
        <f t="shared" si="30"/>
        <v>10</v>
      </c>
      <c r="E139" s="15"/>
      <c r="F139" s="15" t="s">
        <v>26</v>
      </c>
      <c r="G139" s="19">
        <f t="shared" si="33"/>
        <v>7.68</v>
      </c>
      <c r="H139" s="19">
        <f t="shared" si="34"/>
        <v>7.94</v>
      </c>
      <c r="I139" s="19">
        <f t="shared" si="35"/>
        <v>7.12</v>
      </c>
      <c r="J139" s="19">
        <f t="shared" si="36"/>
        <v>9.48</v>
      </c>
      <c r="K139" s="19">
        <f t="shared" si="37"/>
        <v>9.26</v>
      </c>
      <c r="L139" s="19">
        <f t="shared" si="38"/>
        <v>9.82</v>
      </c>
      <c r="M139" s="19">
        <f t="shared" si="39"/>
        <v>0</v>
      </c>
      <c r="N139" s="39">
        <f t="shared" si="40"/>
        <v>51.3</v>
      </c>
      <c r="O139" s="39">
        <f t="shared" si="31"/>
        <v>3916.7191248890163</v>
      </c>
      <c r="P139" s="40">
        <v>8</v>
      </c>
      <c r="Q139" s="40">
        <v>10</v>
      </c>
      <c r="R139" s="40">
        <v>9</v>
      </c>
      <c r="S139" s="40">
        <v>9</v>
      </c>
      <c r="T139" s="40">
        <v>9</v>
      </c>
      <c r="U139" s="40">
        <v>9</v>
      </c>
      <c r="V139" s="40">
        <v>9</v>
      </c>
      <c r="W139" s="41" t="str">
        <f t="shared" si="41"/>
        <v>Y</v>
      </c>
      <c r="X139" s="56">
        <f t="shared" si="42"/>
        <v>8.2000000000000031E-2</v>
      </c>
      <c r="Y139" s="56" t="str">
        <f t="shared" si="32"/>
        <v>5-25%</v>
      </c>
      <c r="Z139" s="8" t="s">
        <v>35</v>
      </c>
      <c r="AB139" s="38">
        <v>7680</v>
      </c>
      <c r="AC139" s="38">
        <v>7940</v>
      </c>
      <c r="AD139" s="38">
        <v>7120</v>
      </c>
      <c r="AE139" s="38">
        <v>9480</v>
      </c>
      <c r="AF139" s="38">
        <v>9260</v>
      </c>
      <c r="AG139" s="38">
        <v>9820</v>
      </c>
      <c r="AH139" s="38"/>
    </row>
    <row r="140" spans="1:34" ht="24" customHeight="1" x14ac:dyDescent="0.25">
      <c r="A140" s="5">
        <v>38</v>
      </c>
      <c r="B140" s="9">
        <v>0.3611111111111111</v>
      </c>
      <c r="C140" s="5" t="s">
        <v>20</v>
      </c>
      <c r="D140" s="5">
        <f t="shared" si="30"/>
        <v>10</v>
      </c>
      <c r="E140" s="15"/>
      <c r="F140" s="15" t="s">
        <v>45</v>
      </c>
      <c r="G140" s="19">
        <f t="shared" si="33"/>
        <v>7.46</v>
      </c>
      <c r="H140" s="19">
        <f t="shared" si="34"/>
        <v>2.72</v>
      </c>
      <c r="I140" s="19">
        <f t="shared" si="35"/>
        <v>5.92</v>
      </c>
      <c r="J140" s="19">
        <f t="shared" si="36"/>
        <v>4.84</v>
      </c>
      <c r="K140" s="19">
        <f t="shared" si="37"/>
        <v>4.3</v>
      </c>
      <c r="L140" s="19">
        <f t="shared" si="38"/>
        <v>5.38</v>
      </c>
      <c r="M140" s="19">
        <f t="shared" si="39"/>
        <v>0</v>
      </c>
      <c r="N140" s="39">
        <f t="shared" si="40"/>
        <v>30.62</v>
      </c>
      <c r="O140" s="39">
        <f t="shared" si="31"/>
        <v>384.07640173194409</v>
      </c>
      <c r="P140" s="40">
        <v>8</v>
      </c>
      <c r="Q140" s="40">
        <v>10</v>
      </c>
      <c r="R140" s="40">
        <v>9</v>
      </c>
      <c r="S140" s="40">
        <v>9</v>
      </c>
      <c r="T140" s="40">
        <v>9</v>
      </c>
      <c r="U140" s="40">
        <v>9</v>
      </c>
      <c r="V140" s="40">
        <v>9</v>
      </c>
      <c r="W140" s="41" t="str">
        <f t="shared" si="41"/>
        <v>N</v>
      </c>
      <c r="X140" s="56">
        <f t="shared" si="42"/>
        <v>0</v>
      </c>
      <c r="Y140" s="56" t="str">
        <f t="shared" si="32"/>
        <v>0-4.9%</v>
      </c>
      <c r="Z140" s="8" t="s">
        <v>118</v>
      </c>
      <c r="AB140" s="38">
        <v>7460</v>
      </c>
      <c r="AC140" s="38">
        <v>2720</v>
      </c>
      <c r="AD140" s="38">
        <v>5920</v>
      </c>
      <c r="AE140" s="38">
        <v>4840</v>
      </c>
      <c r="AF140" s="38">
        <v>4300</v>
      </c>
      <c r="AG140" s="38">
        <v>5380</v>
      </c>
      <c r="AH140" s="38"/>
    </row>
    <row r="141" spans="1:34" ht="24" customHeight="1" x14ac:dyDescent="0.25">
      <c r="A141" s="5">
        <v>39</v>
      </c>
      <c r="B141" s="9">
        <v>0.36736111111111108</v>
      </c>
      <c r="C141" s="5" t="s">
        <v>20</v>
      </c>
      <c r="D141" s="5">
        <f t="shared" si="30"/>
        <v>10</v>
      </c>
      <c r="E141" s="15"/>
      <c r="F141" s="15" t="s">
        <v>26</v>
      </c>
      <c r="G141" s="19">
        <f t="shared" si="33"/>
        <v>8.44</v>
      </c>
      <c r="H141" s="19">
        <f t="shared" si="34"/>
        <v>14.46</v>
      </c>
      <c r="I141" s="19">
        <f t="shared" si="35"/>
        <v>13.4</v>
      </c>
      <c r="J141" s="19">
        <f t="shared" si="36"/>
        <v>14.52</v>
      </c>
      <c r="K141" s="19">
        <f t="shared" si="37"/>
        <v>15.36</v>
      </c>
      <c r="L141" s="19">
        <f t="shared" si="38"/>
        <v>18.02</v>
      </c>
      <c r="M141" s="19">
        <f t="shared" si="39"/>
        <v>0</v>
      </c>
      <c r="N141" s="39">
        <f t="shared" si="40"/>
        <v>84.199999999999989</v>
      </c>
      <c r="O141" s="39">
        <f t="shared" si="31"/>
        <v>36416.541427615251</v>
      </c>
      <c r="P141" s="40">
        <v>8</v>
      </c>
      <c r="Q141" s="40">
        <v>10</v>
      </c>
      <c r="R141" s="40">
        <v>9</v>
      </c>
      <c r="S141" s="40">
        <v>9</v>
      </c>
      <c r="T141" s="40">
        <v>9</v>
      </c>
      <c r="U141" s="40">
        <v>9</v>
      </c>
      <c r="V141" s="40">
        <v>9</v>
      </c>
      <c r="W141" s="41" t="str">
        <f t="shared" si="41"/>
        <v>Y</v>
      </c>
      <c r="X141" s="56">
        <f t="shared" si="42"/>
        <v>0.90199999999999991</v>
      </c>
      <c r="Y141" s="56" t="str">
        <f t="shared" si="32"/>
        <v>Over 50%</v>
      </c>
      <c r="Z141" s="8" t="s">
        <v>35</v>
      </c>
      <c r="AB141" s="38">
        <v>8440</v>
      </c>
      <c r="AC141" s="38">
        <v>14460</v>
      </c>
      <c r="AD141" s="38">
        <v>13400</v>
      </c>
      <c r="AE141" s="38">
        <v>14520</v>
      </c>
      <c r="AF141" s="38">
        <v>15360</v>
      </c>
      <c r="AG141" s="38">
        <v>18020</v>
      </c>
      <c r="AH141" s="38"/>
    </row>
    <row r="142" spans="1:34" ht="24" customHeight="1" x14ac:dyDescent="0.25">
      <c r="A142" s="5">
        <v>12</v>
      </c>
      <c r="B142" s="9">
        <v>0.12708333333333333</v>
      </c>
      <c r="C142" s="5" t="s">
        <v>20</v>
      </c>
      <c r="D142" s="5">
        <f t="shared" si="30"/>
        <v>10</v>
      </c>
      <c r="E142" s="15"/>
      <c r="F142" s="15" t="s">
        <v>26</v>
      </c>
      <c r="G142" s="19">
        <f t="shared" si="33"/>
        <v>6.84</v>
      </c>
      <c r="H142" s="19">
        <f t="shared" si="34"/>
        <v>5.0199999999999996</v>
      </c>
      <c r="I142" s="19">
        <f t="shared" si="35"/>
        <v>4.5999999999999996</v>
      </c>
      <c r="J142" s="19">
        <f t="shared" si="36"/>
        <v>3.6</v>
      </c>
      <c r="K142" s="19">
        <f t="shared" si="37"/>
        <v>4.72</v>
      </c>
      <c r="L142" s="19">
        <f t="shared" si="38"/>
        <v>5.2</v>
      </c>
      <c r="M142" s="19">
        <f t="shared" si="39"/>
        <v>0</v>
      </c>
      <c r="N142" s="39">
        <f t="shared" si="40"/>
        <v>29.98</v>
      </c>
      <c r="O142" s="39">
        <f t="shared" si="31"/>
        <v>349.25016013321908</v>
      </c>
      <c r="P142" s="40">
        <v>8</v>
      </c>
      <c r="Q142" s="40">
        <v>10</v>
      </c>
      <c r="R142" s="40">
        <v>9</v>
      </c>
      <c r="S142" s="40">
        <v>9</v>
      </c>
      <c r="T142" s="40">
        <v>9</v>
      </c>
      <c r="U142" s="40">
        <v>9</v>
      </c>
      <c r="V142" s="40">
        <v>9</v>
      </c>
      <c r="W142" s="41" t="str">
        <f t="shared" si="41"/>
        <v>N</v>
      </c>
      <c r="X142" s="56">
        <f t="shared" si="42"/>
        <v>0</v>
      </c>
      <c r="Y142" s="56" t="str">
        <f t="shared" si="32"/>
        <v>0-4.9%</v>
      </c>
      <c r="Z142" s="8" t="s">
        <v>118</v>
      </c>
      <c r="AB142" s="38">
        <v>6840</v>
      </c>
      <c r="AC142" s="38">
        <v>5020</v>
      </c>
      <c r="AD142" s="38">
        <v>4600</v>
      </c>
      <c r="AE142" s="38">
        <v>3600</v>
      </c>
      <c r="AF142" s="38">
        <v>4720</v>
      </c>
      <c r="AG142" s="38">
        <v>5200</v>
      </c>
      <c r="AH142" s="38"/>
    </row>
    <row r="143" spans="1:34" ht="24" customHeight="1" x14ac:dyDescent="0.25">
      <c r="A143" s="5">
        <v>17</v>
      </c>
      <c r="B143" s="9">
        <v>0.1451388888888889</v>
      </c>
      <c r="C143" s="5" t="s">
        <v>20</v>
      </c>
      <c r="D143" s="5">
        <f t="shared" si="30"/>
        <v>10</v>
      </c>
      <c r="E143" s="15"/>
      <c r="F143" s="15" t="s">
        <v>31</v>
      </c>
      <c r="G143" s="19">
        <f t="shared" si="33"/>
        <v>4.5</v>
      </c>
      <c r="H143" s="19">
        <f t="shared" si="34"/>
        <v>4.7</v>
      </c>
      <c r="I143" s="19">
        <f t="shared" si="35"/>
        <v>5.08</v>
      </c>
      <c r="J143" s="19">
        <f t="shared" si="36"/>
        <v>5.42</v>
      </c>
      <c r="K143" s="19">
        <f t="shared" si="37"/>
        <v>0</v>
      </c>
      <c r="L143" s="19">
        <f t="shared" si="38"/>
        <v>0</v>
      </c>
      <c r="M143" s="19">
        <f t="shared" si="39"/>
        <v>0</v>
      </c>
      <c r="N143" s="39">
        <f t="shared" si="40"/>
        <v>19.7</v>
      </c>
      <c r="O143" s="39">
        <f t="shared" si="31"/>
        <v>52.78278524138954</v>
      </c>
      <c r="P143" s="40">
        <v>8</v>
      </c>
      <c r="Q143" s="40">
        <v>10</v>
      </c>
      <c r="R143" s="40">
        <v>9</v>
      </c>
      <c r="S143" s="40">
        <v>9</v>
      </c>
      <c r="T143" s="40">
        <v>9</v>
      </c>
      <c r="U143" s="40">
        <v>9</v>
      </c>
      <c r="V143" s="40">
        <v>9</v>
      </c>
      <c r="W143" s="41" t="str">
        <f t="shared" si="41"/>
        <v>N</v>
      </c>
      <c r="X143" s="56">
        <f t="shared" si="42"/>
        <v>0</v>
      </c>
      <c r="Y143" s="56" t="str">
        <f t="shared" si="32"/>
        <v>0-4.9%</v>
      </c>
      <c r="Z143" s="8" t="s">
        <v>116</v>
      </c>
      <c r="AB143" s="38">
        <v>4500</v>
      </c>
      <c r="AC143" s="38">
        <v>4700</v>
      </c>
      <c r="AD143" s="38">
        <v>5080</v>
      </c>
      <c r="AE143" s="38">
        <v>5420</v>
      </c>
      <c r="AF143" s="38"/>
      <c r="AG143" s="38"/>
      <c r="AH143" s="38"/>
    </row>
    <row r="144" spans="1:34" ht="24" customHeight="1" x14ac:dyDescent="0.25">
      <c r="A144" s="5">
        <v>19</v>
      </c>
      <c r="B144" s="9">
        <v>0.18055555555555555</v>
      </c>
      <c r="C144" s="5" t="s">
        <v>20</v>
      </c>
      <c r="D144" s="5">
        <f t="shared" si="30"/>
        <v>10</v>
      </c>
      <c r="E144" s="15"/>
      <c r="F144" s="15" t="s">
        <v>26</v>
      </c>
      <c r="G144" s="19">
        <f t="shared" si="33"/>
        <v>7.41</v>
      </c>
      <c r="H144" s="19">
        <f t="shared" si="34"/>
        <v>9.0399999999999991</v>
      </c>
      <c r="I144" s="19">
        <f t="shared" si="35"/>
        <v>16.399999999999999</v>
      </c>
      <c r="J144" s="19">
        <f t="shared" si="36"/>
        <v>14.2</v>
      </c>
      <c r="K144" s="19">
        <f t="shared" si="37"/>
        <v>12.52</v>
      </c>
      <c r="L144" s="19">
        <f t="shared" si="38"/>
        <v>13.46</v>
      </c>
      <c r="M144" s="19">
        <f t="shared" si="39"/>
        <v>0</v>
      </c>
      <c r="N144" s="39">
        <f t="shared" si="40"/>
        <v>73.03</v>
      </c>
      <c r="O144" s="39">
        <f t="shared" si="31"/>
        <v>19193.321518956545</v>
      </c>
      <c r="P144" s="40">
        <v>8</v>
      </c>
      <c r="Q144" s="40">
        <v>10</v>
      </c>
      <c r="R144" s="40">
        <v>9</v>
      </c>
      <c r="S144" s="40">
        <v>9</v>
      </c>
      <c r="T144" s="40">
        <v>9</v>
      </c>
      <c r="U144" s="40">
        <v>9</v>
      </c>
      <c r="V144" s="40">
        <v>9</v>
      </c>
      <c r="W144" s="41" t="str">
        <f t="shared" si="41"/>
        <v>Y</v>
      </c>
      <c r="X144" s="56">
        <f t="shared" si="42"/>
        <v>0.73999999999999988</v>
      </c>
      <c r="Y144" s="56" t="str">
        <f t="shared" si="32"/>
        <v>Over 50%</v>
      </c>
      <c r="Z144" s="8" t="s">
        <v>111</v>
      </c>
      <c r="AB144" s="38">
        <v>7410</v>
      </c>
      <c r="AC144" s="38">
        <v>9040</v>
      </c>
      <c r="AD144" s="38">
        <v>16400</v>
      </c>
      <c r="AE144" s="38">
        <v>14200</v>
      </c>
      <c r="AF144" s="38">
        <v>12520</v>
      </c>
      <c r="AG144" s="38">
        <v>13460</v>
      </c>
      <c r="AH144" s="38"/>
    </row>
    <row r="145" spans="1:34" ht="24" customHeight="1" x14ac:dyDescent="0.25">
      <c r="A145" s="5">
        <v>24</v>
      </c>
      <c r="B145" s="9">
        <v>0.21875</v>
      </c>
      <c r="C145" s="5" t="s">
        <v>20</v>
      </c>
      <c r="D145" s="5">
        <f t="shared" si="30"/>
        <v>10</v>
      </c>
      <c r="E145" s="15"/>
      <c r="F145" s="15" t="s">
        <v>27</v>
      </c>
      <c r="G145" s="19">
        <f t="shared" si="33"/>
        <v>10.28</v>
      </c>
      <c r="H145" s="19">
        <f t="shared" si="34"/>
        <v>3.1</v>
      </c>
      <c r="I145" s="19">
        <f t="shared" si="35"/>
        <v>19.399999999999999</v>
      </c>
      <c r="J145" s="19">
        <f t="shared" si="36"/>
        <v>15.1</v>
      </c>
      <c r="K145" s="19">
        <f t="shared" si="37"/>
        <v>12.34</v>
      </c>
      <c r="L145" s="19">
        <f t="shared" si="38"/>
        <v>12.8</v>
      </c>
      <c r="M145" s="19">
        <f t="shared" si="39"/>
        <v>0</v>
      </c>
      <c r="N145" s="39">
        <f t="shared" si="40"/>
        <v>73.02</v>
      </c>
      <c r="O145" s="39">
        <f t="shared" si="31"/>
        <v>19181.497713318018</v>
      </c>
      <c r="P145" s="40">
        <v>8</v>
      </c>
      <c r="Q145" s="40">
        <v>10</v>
      </c>
      <c r="R145" s="40">
        <v>9</v>
      </c>
      <c r="S145" s="40">
        <v>9</v>
      </c>
      <c r="T145" s="40">
        <v>9</v>
      </c>
      <c r="U145" s="40">
        <v>9</v>
      </c>
      <c r="V145" s="40">
        <v>9</v>
      </c>
      <c r="W145" s="41" t="str">
        <f t="shared" si="41"/>
        <v>Y</v>
      </c>
      <c r="X145" s="56">
        <f t="shared" si="42"/>
        <v>1.0399999999999998</v>
      </c>
      <c r="Y145" s="56" t="str">
        <f t="shared" si="32"/>
        <v>Over 50%</v>
      </c>
      <c r="Z145" s="8" t="s">
        <v>113</v>
      </c>
      <c r="AB145" s="38">
        <v>10280</v>
      </c>
      <c r="AC145" s="38">
        <v>3100</v>
      </c>
      <c r="AD145" s="38">
        <v>19400</v>
      </c>
      <c r="AE145" s="38">
        <v>15100</v>
      </c>
      <c r="AF145" s="38">
        <v>12340</v>
      </c>
      <c r="AG145" s="38">
        <v>12800</v>
      </c>
      <c r="AH145" s="38"/>
    </row>
    <row r="146" spans="1:34" ht="24" customHeight="1" x14ac:dyDescent="0.25">
      <c r="A146" s="5">
        <v>30</v>
      </c>
      <c r="B146" s="9">
        <v>0.34930555555555554</v>
      </c>
      <c r="C146" s="5" t="s">
        <v>20</v>
      </c>
      <c r="D146" s="5">
        <f t="shared" si="30"/>
        <v>10</v>
      </c>
      <c r="E146" s="15"/>
      <c r="F146" s="15" t="s">
        <v>26</v>
      </c>
      <c r="G146" s="19">
        <f t="shared" si="33"/>
        <v>8.18</v>
      </c>
      <c r="H146" s="19">
        <f t="shared" si="34"/>
        <v>14.48</v>
      </c>
      <c r="I146" s="19">
        <f t="shared" si="35"/>
        <v>13.96</v>
      </c>
      <c r="J146" s="19">
        <f t="shared" si="36"/>
        <v>12.14</v>
      </c>
      <c r="K146" s="19">
        <f t="shared" si="37"/>
        <v>8.0399999999999991</v>
      </c>
      <c r="L146" s="19">
        <f t="shared" si="38"/>
        <v>10.7</v>
      </c>
      <c r="M146" s="19">
        <f t="shared" si="39"/>
        <v>0</v>
      </c>
      <c r="N146" s="39">
        <f t="shared" si="40"/>
        <v>67.5</v>
      </c>
      <c r="O146" s="39">
        <f t="shared" si="31"/>
        <v>13466.702417751119</v>
      </c>
      <c r="P146" s="40">
        <v>8</v>
      </c>
      <c r="Q146" s="40">
        <v>10</v>
      </c>
      <c r="R146" s="40">
        <v>9</v>
      </c>
      <c r="S146" s="40">
        <v>9</v>
      </c>
      <c r="T146" s="40">
        <v>9</v>
      </c>
      <c r="U146" s="40">
        <v>9</v>
      </c>
      <c r="V146" s="40">
        <v>9</v>
      </c>
      <c r="W146" s="41" t="str">
        <f t="shared" si="41"/>
        <v>Y</v>
      </c>
      <c r="X146" s="56">
        <f t="shared" si="42"/>
        <v>0.49600000000000011</v>
      </c>
      <c r="Y146" s="56" t="str">
        <f t="shared" si="32"/>
        <v>25-50%</v>
      </c>
      <c r="Z146" s="8" t="s">
        <v>145</v>
      </c>
      <c r="AB146" s="38">
        <v>8180</v>
      </c>
      <c r="AC146" s="38">
        <v>14480</v>
      </c>
      <c r="AD146" s="38">
        <v>13960</v>
      </c>
      <c r="AE146" s="38">
        <v>12140</v>
      </c>
      <c r="AF146" s="38">
        <v>8040</v>
      </c>
      <c r="AG146" s="38">
        <v>10700</v>
      </c>
      <c r="AH146" s="38"/>
    </row>
    <row r="147" spans="1:34" ht="24" customHeight="1" x14ac:dyDescent="0.25">
      <c r="A147" s="5">
        <v>32</v>
      </c>
      <c r="B147" s="9">
        <v>0.36319444444444443</v>
      </c>
      <c r="C147" s="5" t="s">
        <v>20</v>
      </c>
      <c r="D147" s="5">
        <f t="shared" si="30"/>
        <v>10</v>
      </c>
      <c r="E147" s="15"/>
      <c r="F147" s="15" t="s">
        <v>26</v>
      </c>
      <c r="G147" s="19">
        <f t="shared" si="33"/>
        <v>8.34</v>
      </c>
      <c r="H147" s="19">
        <f t="shared" si="34"/>
        <v>14.94</v>
      </c>
      <c r="I147" s="19">
        <f t="shared" si="35"/>
        <v>15.58</v>
      </c>
      <c r="J147" s="19">
        <f t="shared" si="36"/>
        <v>15.48</v>
      </c>
      <c r="K147" s="19">
        <f t="shared" si="37"/>
        <v>12.64</v>
      </c>
      <c r="L147" s="19">
        <f t="shared" si="38"/>
        <v>13.6</v>
      </c>
      <c r="M147" s="19">
        <f t="shared" si="39"/>
        <v>0</v>
      </c>
      <c r="N147" s="39">
        <f t="shared" si="40"/>
        <v>80.58</v>
      </c>
      <c r="O147" s="39">
        <f t="shared" si="31"/>
        <v>29882.502832568262</v>
      </c>
      <c r="P147" s="40">
        <v>8</v>
      </c>
      <c r="Q147" s="40">
        <v>10</v>
      </c>
      <c r="R147" s="40">
        <v>9</v>
      </c>
      <c r="S147" s="40">
        <v>9</v>
      </c>
      <c r="T147" s="40">
        <v>9</v>
      </c>
      <c r="U147" s="40">
        <v>9</v>
      </c>
      <c r="V147" s="40">
        <v>9</v>
      </c>
      <c r="W147" s="41" t="str">
        <f t="shared" si="41"/>
        <v>Y</v>
      </c>
      <c r="X147" s="56">
        <f t="shared" si="42"/>
        <v>0.65800000000000003</v>
      </c>
      <c r="Y147" s="56" t="str">
        <f t="shared" si="32"/>
        <v>Over 50%</v>
      </c>
      <c r="Z147" s="8" t="s">
        <v>35</v>
      </c>
      <c r="AB147" s="38">
        <v>8340</v>
      </c>
      <c r="AC147" s="38">
        <v>14940</v>
      </c>
      <c r="AD147" s="38">
        <v>15580</v>
      </c>
      <c r="AE147" s="38">
        <v>15480</v>
      </c>
      <c r="AF147" s="38">
        <v>12640</v>
      </c>
      <c r="AG147" s="38">
        <v>13600</v>
      </c>
      <c r="AH147" s="38"/>
    </row>
    <row r="148" spans="1:34" ht="24" customHeight="1" x14ac:dyDescent="0.25">
      <c r="A148" s="5">
        <v>33</v>
      </c>
      <c r="B148" s="9">
        <v>0.36527777777777781</v>
      </c>
      <c r="C148" s="5" t="s">
        <v>20</v>
      </c>
      <c r="D148" s="5">
        <f t="shared" si="30"/>
        <v>10</v>
      </c>
      <c r="E148" s="15"/>
      <c r="F148" s="15" t="s">
        <v>26</v>
      </c>
      <c r="G148" s="19">
        <f t="shared" si="33"/>
        <v>9.08</v>
      </c>
      <c r="H148" s="19">
        <f t="shared" si="34"/>
        <v>12.62</v>
      </c>
      <c r="I148" s="19">
        <f t="shared" si="35"/>
        <v>12.36</v>
      </c>
      <c r="J148" s="19">
        <f t="shared" si="36"/>
        <v>14.88</v>
      </c>
      <c r="K148" s="19">
        <f t="shared" si="37"/>
        <v>13.808</v>
      </c>
      <c r="L148" s="19">
        <f t="shared" si="38"/>
        <v>13.9</v>
      </c>
      <c r="M148" s="19">
        <f t="shared" si="39"/>
        <v>0</v>
      </c>
      <c r="N148" s="39">
        <f t="shared" si="40"/>
        <v>76.64800000000001</v>
      </c>
      <c r="O148" s="39">
        <f t="shared" si="31"/>
        <v>23858.767651482867</v>
      </c>
      <c r="P148" s="40">
        <v>8</v>
      </c>
      <c r="Q148" s="40">
        <v>10</v>
      </c>
      <c r="R148" s="40">
        <v>9</v>
      </c>
      <c r="S148" s="40">
        <v>9</v>
      </c>
      <c r="T148" s="40">
        <v>9</v>
      </c>
      <c r="U148" s="40">
        <v>9</v>
      </c>
      <c r="V148" s="40">
        <v>9</v>
      </c>
      <c r="W148" s="41" t="str">
        <f t="shared" si="41"/>
        <v>Y</v>
      </c>
      <c r="X148" s="56">
        <f t="shared" si="42"/>
        <v>0.58800000000000008</v>
      </c>
      <c r="Y148" s="56" t="str">
        <f t="shared" si="32"/>
        <v>Over 50%</v>
      </c>
      <c r="Z148" s="8" t="s">
        <v>107</v>
      </c>
      <c r="AB148" s="38">
        <v>9080</v>
      </c>
      <c r="AC148" s="38">
        <v>12620</v>
      </c>
      <c r="AD148" s="38">
        <v>12360</v>
      </c>
      <c r="AE148" s="38">
        <v>14880</v>
      </c>
      <c r="AF148" s="38">
        <v>13808</v>
      </c>
      <c r="AG148" s="38">
        <v>13900</v>
      </c>
      <c r="AH148" s="38"/>
    </row>
    <row r="149" spans="1:34" ht="24" customHeight="1" x14ac:dyDescent="0.25">
      <c r="A149" s="5">
        <v>34</v>
      </c>
      <c r="B149" s="9">
        <v>0.37291666666666662</v>
      </c>
      <c r="C149" s="5" t="s">
        <v>20</v>
      </c>
      <c r="D149" s="5">
        <f t="shared" si="30"/>
        <v>10</v>
      </c>
      <c r="E149" s="15"/>
      <c r="F149" s="15" t="s">
        <v>26</v>
      </c>
      <c r="G149" s="19">
        <f t="shared" si="33"/>
        <v>8.6199999999999992</v>
      </c>
      <c r="H149" s="19">
        <f t="shared" si="34"/>
        <v>14.14</v>
      </c>
      <c r="I149" s="19">
        <f t="shared" si="35"/>
        <v>13.6</v>
      </c>
      <c r="J149" s="19">
        <f t="shared" si="36"/>
        <v>15.42</v>
      </c>
      <c r="K149" s="19">
        <f t="shared" si="37"/>
        <v>11.68</v>
      </c>
      <c r="L149" s="19">
        <f t="shared" si="38"/>
        <v>11.32</v>
      </c>
      <c r="M149" s="19">
        <f t="shared" si="39"/>
        <v>0</v>
      </c>
      <c r="N149" s="39">
        <f t="shared" si="40"/>
        <v>74.78</v>
      </c>
      <c r="O149" s="39">
        <f t="shared" si="31"/>
        <v>21351.523033545625</v>
      </c>
      <c r="P149" s="40">
        <v>8</v>
      </c>
      <c r="Q149" s="40">
        <v>10</v>
      </c>
      <c r="R149" s="40">
        <v>9</v>
      </c>
      <c r="S149" s="40">
        <v>9</v>
      </c>
      <c r="T149" s="40">
        <v>9</v>
      </c>
      <c r="U149" s="40">
        <v>9</v>
      </c>
      <c r="V149" s="40">
        <v>9</v>
      </c>
      <c r="W149" s="41" t="str">
        <f t="shared" si="41"/>
        <v>Y</v>
      </c>
      <c r="X149" s="56">
        <f t="shared" si="42"/>
        <v>0.64200000000000002</v>
      </c>
      <c r="Y149" s="56" t="str">
        <f t="shared" si="32"/>
        <v>Over 50%</v>
      </c>
      <c r="Z149" s="8" t="s">
        <v>111</v>
      </c>
      <c r="AB149" s="38">
        <v>8620</v>
      </c>
      <c r="AC149" s="38">
        <v>14140</v>
      </c>
      <c r="AD149" s="38">
        <v>13600</v>
      </c>
      <c r="AE149" s="38">
        <v>15420</v>
      </c>
      <c r="AF149" s="38">
        <v>11680</v>
      </c>
      <c r="AG149" s="38">
        <v>11320</v>
      </c>
      <c r="AH149" s="38"/>
    </row>
    <row r="150" spans="1:34" ht="24" customHeight="1" x14ac:dyDescent="0.25">
      <c r="A150" s="5">
        <v>39</v>
      </c>
      <c r="B150" s="9">
        <v>0.3923611111111111</v>
      </c>
      <c r="C150" s="5" t="s">
        <v>20</v>
      </c>
      <c r="D150" s="5">
        <f t="shared" si="30"/>
        <v>10</v>
      </c>
      <c r="E150" s="15"/>
      <c r="F150" s="15" t="s">
        <v>27</v>
      </c>
      <c r="G150" s="19">
        <f t="shared" si="33"/>
        <v>8.1199999999999992</v>
      </c>
      <c r="H150" s="19">
        <f t="shared" si="34"/>
        <v>1.94</v>
      </c>
      <c r="I150" s="19">
        <f t="shared" si="35"/>
        <v>5.58</v>
      </c>
      <c r="J150" s="19">
        <f t="shared" si="36"/>
        <v>4.5599999999999996</v>
      </c>
      <c r="K150" s="19">
        <f t="shared" si="37"/>
        <v>3.44</v>
      </c>
      <c r="L150" s="19">
        <f t="shared" si="38"/>
        <v>3.52</v>
      </c>
      <c r="M150" s="19">
        <f t="shared" si="39"/>
        <v>0</v>
      </c>
      <c r="N150" s="39">
        <f t="shared" si="40"/>
        <v>27.16</v>
      </c>
      <c r="O150" s="39">
        <f t="shared" si="31"/>
        <v>223.91244428474135</v>
      </c>
      <c r="P150" s="40">
        <v>8</v>
      </c>
      <c r="Q150" s="40">
        <v>10</v>
      </c>
      <c r="R150" s="40">
        <v>9</v>
      </c>
      <c r="S150" s="40">
        <v>9</v>
      </c>
      <c r="T150" s="40">
        <v>9</v>
      </c>
      <c r="U150" s="40">
        <v>9</v>
      </c>
      <c r="V150" s="40">
        <v>9</v>
      </c>
      <c r="W150" s="41" t="str">
        <f t="shared" si="41"/>
        <v>Y</v>
      </c>
      <c r="X150" s="56">
        <f t="shared" si="42"/>
        <v>1.1999999999999922E-2</v>
      </c>
      <c r="Y150" s="56" t="str">
        <f t="shared" si="32"/>
        <v>0-4.9%</v>
      </c>
      <c r="Z150" s="8" t="s">
        <v>118</v>
      </c>
      <c r="AB150" s="38">
        <v>8120</v>
      </c>
      <c r="AC150" s="38">
        <v>1940</v>
      </c>
      <c r="AD150" s="38">
        <v>5580</v>
      </c>
      <c r="AE150" s="38">
        <v>4560</v>
      </c>
      <c r="AF150" s="38">
        <v>3440</v>
      </c>
      <c r="AG150" s="38">
        <v>3520</v>
      </c>
      <c r="AH150" s="38"/>
    </row>
    <row r="151" spans="1:34" ht="24" customHeight="1" x14ac:dyDescent="0.25">
      <c r="A151" s="5">
        <v>41</v>
      </c>
      <c r="B151" s="9">
        <v>0.39444444444444443</v>
      </c>
      <c r="C151" s="5" t="s">
        <v>20</v>
      </c>
      <c r="D151" s="5">
        <f t="shared" si="30"/>
        <v>10</v>
      </c>
      <c r="E151" s="15"/>
      <c r="F151" s="15" t="s">
        <v>27</v>
      </c>
      <c r="G151" s="19">
        <f t="shared" si="33"/>
        <v>7.42</v>
      </c>
      <c r="H151" s="19">
        <f t="shared" si="34"/>
        <v>9.02</v>
      </c>
      <c r="I151" s="19">
        <f t="shared" si="35"/>
        <v>14.92</v>
      </c>
      <c r="J151" s="19">
        <f t="shared" si="36"/>
        <v>16.239999999999998</v>
      </c>
      <c r="K151" s="19">
        <f t="shared" si="37"/>
        <v>13.42</v>
      </c>
      <c r="L151" s="19">
        <f t="shared" si="38"/>
        <v>12.52</v>
      </c>
      <c r="M151" s="19">
        <f t="shared" si="39"/>
        <v>0</v>
      </c>
      <c r="N151" s="39">
        <f t="shared" si="40"/>
        <v>73.539999999999992</v>
      </c>
      <c r="O151" s="39">
        <f t="shared" si="31"/>
        <v>19803.894337142643</v>
      </c>
      <c r="P151" s="40">
        <v>8</v>
      </c>
      <c r="Q151" s="40">
        <v>10</v>
      </c>
      <c r="R151" s="40">
        <v>9</v>
      </c>
      <c r="S151" s="40">
        <v>9</v>
      </c>
      <c r="T151" s="40">
        <v>9</v>
      </c>
      <c r="U151" s="40">
        <v>9</v>
      </c>
      <c r="V151" s="40">
        <v>9</v>
      </c>
      <c r="W151" s="41" t="str">
        <f t="shared" si="41"/>
        <v>Y</v>
      </c>
      <c r="X151" s="56">
        <f t="shared" si="42"/>
        <v>0.72399999999999987</v>
      </c>
      <c r="Y151" s="56" t="str">
        <f t="shared" si="32"/>
        <v>Over 50%</v>
      </c>
      <c r="Z151" s="8" t="s">
        <v>111</v>
      </c>
      <c r="AB151" s="38">
        <v>7420</v>
      </c>
      <c r="AC151" s="38">
        <v>9020</v>
      </c>
      <c r="AD151" s="38">
        <v>14920</v>
      </c>
      <c r="AE151" s="38">
        <v>16240</v>
      </c>
      <c r="AF151" s="38">
        <v>13420</v>
      </c>
      <c r="AG151" s="38">
        <v>12520</v>
      </c>
      <c r="AH151" s="38"/>
    </row>
    <row r="152" spans="1:34" ht="24" customHeight="1" x14ac:dyDescent="0.25">
      <c r="A152" s="5">
        <v>43</v>
      </c>
      <c r="B152" s="9">
        <v>0.3972222222222222</v>
      </c>
      <c r="C152" s="5" t="s">
        <v>20</v>
      </c>
      <c r="D152" s="5">
        <f t="shared" si="30"/>
        <v>10</v>
      </c>
      <c r="E152" s="15"/>
      <c r="F152" s="15" t="s">
        <v>26</v>
      </c>
      <c r="G152" s="19">
        <f t="shared" si="33"/>
        <v>6.66</v>
      </c>
      <c r="H152" s="19">
        <f t="shared" si="34"/>
        <v>4.74</v>
      </c>
      <c r="I152" s="19">
        <f t="shared" si="35"/>
        <v>4.3</v>
      </c>
      <c r="J152" s="19">
        <f t="shared" si="36"/>
        <v>6.22</v>
      </c>
      <c r="K152" s="19">
        <f t="shared" si="37"/>
        <v>3.84</v>
      </c>
      <c r="L152" s="19">
        <f t="shared" si="38"/>
        <v>4.9000000000000004</v>
      </c>
      <c r="M152" s="19">
        <f t="shared" si="39"/>
        <v>0</v>
      </c>
      <c r="N152" s="39">
        <f t="shared" si="40"/>
        <v>30.659999999999997</v>
      </c>
      <c r="O152" s="39">
        <f t="shared" si="31"/>
        <v>386.33936614263826</v>
      </c>
      <c r="P152" s="40">
        <v>8</v>
      </c>
      <c r="Q152" s="40">
        <v>10</v>
      </c>
      <c r="R152" s="40">
        <v>9</v>
      </c>
      <c r="S152" s="40">
        <v>9</v>
      </c>
      <c r="T152" s="40">
        <v>9</v>
      </c>
      <c r="U152" s="40">
        <v>9</v>
      </c>
      <c r="V152" s="40">
        <v>9</v>
      </c>
      <c r="W152" s="41" t="str">
        <f t="shared" si="41"/>
        <v>N</v>
      </c>
      <c r="X152" s="56">
        <f t="shared" si="42"/>
        <v>0</v>
      </c>
      <c r="Y152" s="56" t="str">
        <f t="shared" si="32"/>
        <v>0-4.9%</v>
      </c>
      <c r="Z152" s="8" t="s">
        <v>118</v>
      </c>
      <c r="AB152" s="38">
        <v>6660</v>
      </c>
      <c r="AC152" s="38">
        <v>4740</v>
      </c>
      <c r="AD152" s="38">
        <v>4300</v>
      </c>
      <c r="AE152" s="38">
        <v>6220</v>
      </c>
      <c r="AF152" s="38">
        <v>3840</v>
      </c>
      <c r="AG152" s="38">
        <v>4900</v>
      </c>
      <c r="AH152" s="38"/>
    </row>
    <row r="153" spans="1:34" ht="24" customHeight="1" x14ac:dyDescent="0.25">
      <c r="A153" s="5">
        <v>47</v>
      </c>
      <c r="B153" s="9">
        <v>0.41250000000000003</v>
      </c>
      <c r="C153" s="5" t="s">
        <v>20</v>
      </c>
      <c r="D153" s="5">
        <f t="shared" si="30"/>
        <v>10</v>
      </c>
      <c r="E153" s="15"/>
      <c r="F153" s="15" t="s">
        <v>31</v>
      </c>
      <c r="G153" s="19">
        <f t="shared" si="33"/>
        <v>4.54</v>
      </c>
      <c r="H153" s="19">
        <f t="shared" si="34"/>
        <v>4.7</v>
      </c>
      <c r="I153" s="19">
        <f t="shared" si="35"/>
        <v>5.08</v>
      </c>
      <c r="J153" s="19">
        <f t="shared" si="36"/>
        <v>5.38</v>
      </c>
      <c r="K153" s="19">
        <f t="shared" si="37"/>
        <v>2.38</v>
      </c>
      <c r="L153" s="19">
        <f t="shared" si="38"/>
        <v>0</v>
      </c>
      <c r="M153" s="19">
        <f t="shared" si="39"/>
        <v>0</v>
      </c>
      <c r="N153" s="39">
        <f t="shared" si="40"/>
        <v>22.08</v>
      </c>
      <c r="O153" s="39">
        <f t="shared" si="31"/>
        <v>88.184061313204865</v>
      </c>
      <c r="P153" s="40">
        <v>8</v>
      </c>
      <c r="Q153" s="40">
        <v>10</v>
      </c>
      <c r="R153" s="40">
        <v>9</v>
      </c>
      <c r="S153" s="40">
        <v>9</v>
      </c>
      <c r="T153" s="40">
        <v>9</v>
      </c>
      <c r="U153" s="40">
        <v>9</v>
      </c>
      <c r="V153" s="40">
        <v>9</v>
      </c>
      <c r="W153" s="41" t="str">
        <f t="shared" si="41"/>
        <v>N</v>
      </c>
      <c r="X153" s="56">
        <f t="shared" si="42"/>
        <v>0</v>
      </c>
      <c r="Y153" s="56" t="str">
        <f t="shared" si="32"/>
        <v>0-4.9%</v>
      </c>
      <c r="Z153" s="8" t="s">
        <v>118</v>
      </c>
      <c r="AB153" s="38">
        <v>4540</v>
      </c>
      <c r="AC153" s="38">
        <v>4700</v>
      </c>
      <c r="AD153" s="38">
        <v>5080</v>
      </c>
      <c r="AE153" s="38">
        <v>5380</v>
      </c>
      <c r="AF153" s="38">
        <v>2380</v>
      </c>
      <c r="AG153" s="38"/>
      <c r="AH153" s="38"/>
    </row>
    <row r="154" spans="1:34" ht="24" customHeight="1" x14ac:dyDescent="0.25">
      <c r="A154" s="5">
        <v>48</v>
      </c>
      <c r="B154" s="9">
        <v>0.42569444444444443</v>
      </c>
      <c r="C154" s="5" t="s">
        <v>20</v>
      </c>
      <c r="D154" s="5">
        <f t="shared" si="30"/>
        <v>10</v>
      </c>
      <c r="E154" s="15"/>
      <c r="F154" s="15" t="s">
        <v>26</v>
      </c>
      <c r="G154" s="19">
        <f t="shared" si="33"/>
        <v>7.66</v>
      </c>
      <c r="H154" s="19">
        <f t="shared" si="34"/>
        <v>8.2799999999999994</v>
      </c>
      <c r="I154" s="19">
        <f t="shared" si="35"/>
        <v>8.8800000000000008</v>
      </c>
      <c r="J154" s="19">
        <f t="shared" si="36"/>
        <v>9.1999999999999993</v>
      </c>
      <c r="K154" s="19">
        <f t="shared" si="37"/>
        <v>5.66</v>
      </c>
      <c r="L154" s="19">
        <f t="shared" si="38"/>
        <v>5.58</v>
      </c>
      <c r="M154" s="19">
        <f t="shared" si="39"/>
        <v>0</v>
      </c>
      <c r="N154" s="39">
        <f t="shared" si="40"/>
        <v>45.259999999999991</v>
      </c>
      <c r="O154" s="39">
        <f t="shared" si="31"/>
        <v>2228.9984110497144</v>
      </c>
      <c r="P154" s="40">
        <v>8</v>
      </c>
      <c r="Q154" s="40">
        <v>10</v>
      </c>
      <c r="R154" s="40">
        <v>9</v>
      </c>
      <c r="S154" s="40">
        <v>9</v>
      </c>
      <c r="T154" s="40">
        <v>9</v>
      </c>
      <c r="U154" s="40">
        <v>9</v>
      </c>
      <c r="V154" s="40">
        <v>9</v>
      </c>
      <c r="W154" s="41" t="str">
        <f t="shared" si="41"/>
        <v>Y</v>
      </c>
      <c r="X154" s="56">
        <f t="shared" si="42"/>
        <v>1.9999999999999928E-2</v>
      </c>
      <c r="Y154" s="56" t="str">
        <f t="shared" si="32"/>
        <v>0-4.9%</v>
      </c>
      <c r="Z154" s="8" t="s">
        <v>35</v>
      </c>
      <c r="AB154" s="38">
        <v>7660</v>
      </c>
      <c r="AC154" s="38">
        <v>8280</v>
      </c>
      <c r="AD154" s="38">
        <v>8880</v>
      </c>
      <c r="AE154" s="38">
        <v>9200</v>
      </c>
      <c r="AF154" s="38">
        <v>5660</v>
      </c>
      <c r="AG154" s="38">
        <v>5580</v>
      </c>
      <c r="AH154" s="38"/>
    </row>
  </sheetData>
  <sortState xmlns:xlrd2="http://schemas.microsoft.com/office/spreadsheetml/2017/richdata2" ref="A7:AA154">
    <sortCondition ref="D7:D154"/>
  </sortState>
  <mergeCells count="18">
    <mergeCell ref="X5:X6"/>
    <mergeCell ref="Y5:Y6"/>
    <mergeCell ref="AC5:AH5"/>
    <mergeCell ref="P5:V5"/>
    <mergeCell ref="A1:Z1"/>
    <mergeCell ref="A2:O2"/>
    <mergeCell ref="A4:B4"/>
    <mergeCell ref="A5:A6"/>
    <mergeCell ref="B5:B6"/>
    <mergeCell ref="C5:C6"/>
    <mergeCell ref="D5:D6"/>
    <mergeCell ref="E5:E6"/>
    <mergeCell ref="F5:F6"/>
    <mergeCell ref="H5:M5"/>
    <mergeCell ref="N5:N6"/>
    <mergeCell ref="O5:O6"/>
    <mergeCell ref="Z5:Z6"/>
    <mergeCell ref="W5:W6"/>
  </mergeCells>
  <phoneticPr fontId="15" type="noConversion"/>
  <printOptions horizontalCentered="1"/>
  <pageMargins left="0.7" right="0.7" top="0.75" bottom="0.75" header="0.3" footer="0.3"/>
  <pageSetup paperSize="9" scale="14" orientation="landscape" horizont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079FB-98F7-4C10-B06F-237305E1ABFD}">
  <dimension ref="A1:Y60"/>
  <sheetViews>
    <sheetView tabSelected="1" view="pageBreakPreview" zoomScale="60" zoomScaleNormal="55" workbookViewId="0">
      <selection activeCell="L27" sqref="L27:M27"/>
    </sheetView>
  </sheetViews>
  <sheetFormatPr defaultRowHeight="15" x14ac:dyDescent="0.25"/>
  <cols>
    <col min="2" max="2" width="20" customWidth="1"/>
    <col min="3" max="3" width="13.7109375" customWidth="1"/>
    <col min="4" max="4" width="13.5703125" customWidth="1"/>
    <col min="5" max="5" width="9.85546875" customWidth="1"/>
    <col min="6" max="6" width="16.7109375" customWidth="1"/>
    <col min="8" max="8" width="20.28515625" bestFit="1" customWidth="1"/>
    <col min="9" max="10" width="16.85546875" bestFit="1" customWidth="1"/>
    <col min="11" max="11" width="6" customWidth="1"/>
    <col min="13" max="14" width="14.5703125" customWidth="1"/>
    <col min="15" max="15" width="10.7109375" customWidth="1"/>
    <col min="16" max="16" width="14.5703125" customWidth="1"/>
    <col min="17" max="22" width="10.7109375" customWidth="1"/>
  </cols>
  <sheetData>
    <row r="1" spans="1:25" ht="21" x14ac:dyDescent="0.35">
      <c r="B1" s="57" t="s">
        <v>144</v>
      </c>
    </row>
    <row r="3" spans="1:25" ht="15.75" x14ac:dyDescent="0.25">
      <c r="A3" s="42" t="s">
        <v>101</v>
      </c>
      <c r="L3" s="42" t="s">
        <v>102</v>
      </c>
    </row>
    <row r="4" spans="1:25" ht="36.75" customHeight="1" x14ac:dyDescent="0.25">
      <c r="B4" s="58" t="s">
        <v>103</v>
      </c>
      <c r="C4" s="59" t="s">
        <v>147</v>
      </c>
      <c r="D4" s="59" t="s">
        <v>148</v>
      </c>
      <c r="E4" s="60" t="s">
        <v>104</v>
      </c>
      <c r="L4" s="43" t="s">
        <v>105</v>
      </c>
      <c r="M4" s="59" t="s">
        <v>147</v>
      </c>
      <c r="N4" s="59" t="s">
        <v>148</v>
      </c>
      <c r="O4" s="46"/>
      <c r="P4" s="50"/>
      <c r="Q4" s="46"/>
      <c r="R4" s="46"/>
      <c r="S4" s="46"/>
      <c r="T4" s="46"/>
      <c r="U4" s="46"/>
      <c r="V4" s="46"/>
      <c r="W4" s="46"/>
      <c r="X4" s="46"/>
      <c r="Y4" s="61"/>
    </row>
    <row r="5" spans="1:25" ht="15.75" x14ac:dyDescent="0.25">
      <c r="A5">
        <v>7</v>
      </c>
      <c r="B5" s="44" t="s">
        <v>106</v>
      </c>
      <c r="C5" s="44">
        <f>COUNTIF('Kla-Bombo'!$D$7:$D$500,7)</f>
        <v>319</v>
      </c>
      <c r="D5" s="44">
        <f>COUNTIF('Bombo-Kla'!$D$7:$D$500,7)</f>
        <v>98</v>
      </c>
      <c r="E5" s="44">
        <f>SUM(C5:D5)</f>
        <v>417</v>
      </c>
      <c r="L5" s="62" t="s">
        <v>107</v>
      </c>
      <c r="M5" s="49">
        <f>COUNTIF('Kla-Bombo'!$Z$7:$Z$500,L5)/$M$16</f>
        <v>5.2173913043478258E-2</v>
      </c>
      <c r="N5" s="49">
        <f>COUNTIF('Bombo-Kla'!$Z$7:$Z$187,L5)/$N$16</f>
        <v>8.7837837837837843E-2</v>
      </c>
      <c r="Y5" s="43"/>
    </row>
    <row r="6" spans="1:25" ht="15.75" x14ac:dyDescent="0.25">
      <c r="A6">
        <v>9</v>
      </c>
      <c r="B6" s="44" t="s">
        <v>108</v>
      </c>
      <c r="C6" s="44">
        <f>COUNTIF('Kla-Bombo'!$D$7:$D$500,9)</f>
        <v>45</v>
      </c>
      <c r="D6" s="44">
        <f>COUNTIF('Bombo-Kla'!$D$7:$D$500,9)</f>
        <v>9</v>
      </c>
      <c r="E6" s="44">
        <f t="shared" ref="E6:E7" si="0">SUM(C6:D6)</f>
        <v>54</v>
      </c>
      <c r="L6" s="62" t="s">
        <v>109</v>
      </c>
      <c r="M6" s="49">
        <f>COUNTIF('Kla-Bombo'!$Z$7:$Z$500,L6)/$M$16</f>
        <v>0</v>
      </c>
      <c r="N6" s="49">
        <f>COUNTIF('Bombo-Kla'!$Z$7:$Z$187,L6)/$N$16</f>
        <v>0</v>
      </c>
      <c r="Y6" s="43"/>
    </row>
    <row r="7" spans="1:25" ht="15.75" x14ac:dyDescent="0.25">
      <c r="A7">
        <v>10</v>
      </c>
      <c r="B7" s="44" t="s">
        <v>110</v>
      </c>
      <c r="C7" s="44">
        <f>COUNTIF('Kla-Bombo'!$D$7:$D$500,10)</f>
        <v>96</v>
      </c>
      <c r="D7" s="44">
        <f>COUNTIF('Bombo-Kla'!$D$7:$D$500,10)</f>
        <v>41</v>
      </c>
      <c r="E7" s="44">
        <f t="shared" si="0"/>
        <v>137</v>
      </c>
      <c r="L7" s="62" t="s">
        <v>111</v>
      </c>
      <c r="M7" s="49">
        <f>COUNTIF('Kla-Bombo'!$Z$7:$Z$500,L7)/$M$16</f>
        <v>0.1108695652173913</v>
      </c>
      <c r="N7" s="49">
        <f>COUNTIF('Bombo-Kla'!$Z$7:$Z$187,L7)/$N$16</f>
        <v>0.33783783783783783</v>
      </c>
    </row>
    <row r="8" spans="1:25" ht="15.75" x14ac:dyDescent="0.25">
      <c r="B8" s="48" t="s">
        <v>112</v>
      </c>
      <c r="C8" s="48">
        <f>SUM(C5:C7)</f>
        <v>460</v>
      </c>
      <c r="D8" s="48">
        <f>SUM(D5:D7)</f>
        <v>148</v>
      </c>
      <c r="E8" s="48">
        <f>SUM(E5:E7)</f>
        <v>608</v>
      </c>
      <c r="L8" s="62" t="s">
        <v>113</v>
      </c>
      <c r="M8" s="49">
        <f>COUNTIF('Kla-Bombo'!$Z$7:$Z$500,L8)/$M$16</f>
        <v>2.1739130434782608E-2</v>
      </c>
      <c r="N8" s="49">
        <f>COUNTIF('Bombo-Kla'!$Z$7:$Z$187,L8)/$N$16</f>
        <v>2.0270270270270271E-2</v>
      </c>
    </row>
    <row r="9" spans="1:25" ht="15.75" x14ac:dyDescent="0.25">
      <c r="L9" s="62" t="s">
        <v>114</v>
      </c>
      <c r="M9" s="49">
        <f>COUNTIF('Kla-Bombo'!$Z$7:$Z$500,L9)/$M$16</f>
        <v>0</v>
      </c>
      <c r="N9" s="49">
        <f>COUNTIF('Bombo-Kla'!$Z$7:$Z$187,L9)/$N$16</f>
        <v>0</v>
      </c>
    </row>
    <row r="10" spans="1:25" ht="15.75" x14ac:dyDescent="0.25">
      <c r="L10" s="62" t="s">
        <v>115</v>
      </c>
      <c r="M10" s="49">
        <f>COUNTIF('Kla-Bombo'!$Z$7:$Z$500,L10)/$M$16</f>
        <v>3.6956521739130437E-2</v>
      </c>
      <c r="N10" s="49">
        <f>COUNTIF('Bombo-Kla'!$Z$7:$Z$187,L10)/$N$16</f>
        <v>2.0270270270270271E-2</v>
      </c>
    </row>
    <row r="11" spans="1:25" ht="15.75" x14ac:dyDescent="0.25">
      <c r="L11" s="62" t="s">
        <v>116</v>
      </c>
      <c r="M11" s="49">
        <f>COUNTIF('Kla-Bombo'!$Z$7:$Z$500,L11)/$M$16</f>
        <v>2.1739130434782609E-3</v>
      </c>
      <c r="N11" s="49">
        <f>COUNTIF('Bombo-Kla'!$Z$7:$Z$187,L11)/$N$16</f>
        <v>6.7567567567567571E-3</v>
      </c>
    </row>
    <row r="12" spans="1:25" ht="15.75" x14ac:dyDescent="0.25">
      <c r="L12" s="62" t="s">
        <v>39</v>
      </c>
      <c r="M12" s="49">
        <f>COUNTIF('Kla-Bombo'!$Z$7:$Z$500,L12)/$M$16</f>
        <v>4.3478260869565218E-3</v>
      </c>
      <c r="N12" s="49">
        <f>COUNTIF('Bombo-Kla'!$Z$7:$Z$187,L12)/$N$16</f>
        <v>2.0270270270270271E-2</v>
      </c>
    </row>
    <row r="13" spans="1:25" ht="15.75" x14ac:dyDescent="0.25">
      <c r="L13" s="62" t="s">
        <v>145</v>
      </c>
      <c r="M13" s="49">
        <f>COUNTIF('Kla-Bombo'!$Z$7:$Z$500,L13)/$M$16</f>
        <v>0.23478260869565218</v>
      </c>
      <c r="N13" s="49">
        <f>COUNTIF('Bombo-Kla'!$Z$7:$Z$187,L13)/$N$16</f>
        <v>8.1081081081081086E-2</v>
      </c>
    </row>
    <row r="14" spans="1:25" ht="15.75" x14ac:dyDescent="0.25">
      <c r="L14" s="62" t="s">
        <v>118</v>
      </c>
      <c r="M14" s="49">
        <f>COUNTIF('Kla-Bombo'!$Z$7:$Z$500,L14)/$M$16</f>
        <v>0.40869565217391307</v>
      </c>
      <c r="N14" s="49">
        <f>COUNTIF('Bombo-Kla'!$Z$7:$Z$187,L14)/$N$16</f>
        <v>0.27702702702702703</v>
      </c>
    </row>
    <row r="15" spans="1:25" ht="15.75" x14ac:dyDescent="0.25">
      <c r="L15" s="62" t="s">
        <v>35</v>
      </c>
      <c r="M15" s="49">
        <f>COUNTIF('Kla-Bombo'!$Z$7:$Z$500,L15)/$M$16</f>
        <v>0.12608695652173912</v>
      </c>
      <c r="N15" s="49">
        <f>COUNTIF('Bombo-Kla'!$Z$7:$Z$187,L15)/$N$16</f>
        <v>0.14864864864864866</v>
      </c>
    </row>
    <row r="16" spans="1:25" ht="15.75" x14ac:dyDescent="0.25">
      <c r="L16" s="63" t="s">
        <v>119</v>
      </c>
      <c r="M16" s="48">
        <f>C8</f>
        <v>460</v>
      </c>
      <c r="N16" s="48">
        <f>D8</f>
        <v>148</v>
      </c>
      <c r="S16" s="43"/>
      <c r="T16" s="43"/>
    </row>
    <row r="27" spans="1:15" ht="15.75" x14ac:dyDescent="0.25">
      <c r="A27" s="42" t="s">
        <v>137</v>
      </c>
    </row>
    <row r="28" spans="1:15" ht="15.75" x14ac:dyDescent="0.25">
      <c r="B28" s="43" t="s">
        <v>103</v>
      </c>
      <c r="C28" s="58" t="s">
        <v>147</v>
      </c>
      <c r="D28" s="58" t="s">
        <v>148</v>
      </c>
      <c r="E28" s="43" t="s">
        <v>104</v>
      </c>
      <c r="F28" s="43" t="s">
        <v>138</v>
      </c>
      <c r="L28" s="42"/>
    </row>
    <row r="29" spans="1:15" x14ac:dyDescent="0.25">
      <c r="A29">
        <v>7</v>
      </c>
      <c r="B29" s="44" t="s">
        <v>106</v>
      </c>
      <c r="C29" s="45">
        <f>AVERAGEIF('Kla-Bombo'!$D$7:$D$500,Graphs!A29,'Kla-Bombo'!$N$7:$N$500)</f>
        <v>11.221567398119124</v>
      </c>
      <c r="D29" s="45">
        <f>AVERAGEIF('Bombo-Kla'!$D$7:$D$500,Graphs!A29,'Bombo-Kla'!$N$7:$N$500)</f>
        <v>14.822040816326526</v>
      </c>
      <c r="E29" s="45">
        <f>AVERAGE(C29:D29)</f>
        <v>13.021804107222824</v>
      </c>
      <c r="F29" s="44">
        <v>18</v>
      </c>
      <c r="N29" s="58"/>
      <c r="O29" s="58"/>
    </row>
    <row r="30" spans="1:15" x14ac:dyDescent="0.25">
      <c r="A30">
        <v>9</v>
      </c>
      <c r="B30" s="44" t="s">
        <v>108</v>
      </c>
      <c r="C30" s="45">
        <f>AVERAGEIF('Kla-Bombo'!$D$7:$D$500,Graphs!A30,'Kla-Bombo'!$N$7:$N$500)</f>
        <v>23.822222222222226</v>
      </c>
      <c r="D30" s="45">
        <f>AVERAGEIF('Bombo-Kla'!$D$7:$D$500,Graphs!A30,'Bombo-Kla'!$N$7:$N$500)</f>
        <v>19.228888888888889</v>
      </c>
      <c r="E30" s="45">
        <f>AVERAGE(C30:D30)</f>
        <v>21.525555555555556</v>
      </c>
      <c r="F30" s="44">
        <v>27</v>
      </c>
      <c r="N30" s="64"/>
      <c r="O30" s="64"/>
    </row>
    <row r="31" spans="1:15" x14ac:dyDescent="0.25">
      <c r="A31">
        <v>10</v>
      </c>
      <c r="B31" s="44" t="s">
        <v>110</v>
      </c>
      <c r="C31" s="45">
        <f>AVERAGEIF('Kla-Bombo'!$D$7:$D$500,Graphs!A31,'Kla-Bombo'!$N$7:$N$500)</f>
        <v>63.601041666666674</v>
      </c>
      <c r="D31" s="45">
        <f>AVERAGEIF('Bombo-Kla'!$D$7:$D$500,Graphs!A31,'Bombo-Kla'!$N$7:$N$500)</f>
        <v>50.475560975609746</v>
      </c>
      <c r="E31" s="45">
        <f>AVERAGE(C31:D31)</f>
        <v>57.038301321138206</v>
      </c>
      <c r="F31" s="44">
        <v>54</v>
      </c>
      <c r="N31" s="64"/>
      <c r="O31" s="64"/>
    </row>
    <row r="32" spans="1:15" x14ac:dyDescent="0.25">
      <c r="B32" s="48" t="s">
        <v>112</v>
      </c>
      <c r="C32" s="48"/>
      <c r="D32" s="48"/>
      <c r="E32" s="48"/>
      <c r="N32" s="64"/>
      <c r="O32" s="64"/>
    </row>
    <row r="35" spans="12:24" x14ac:dyDescent="0.25">
      <c r="U35" s="65"/>
      <c r="V35" s="65"/>
      <c r="W35" s="65"/>
      <c r="X35" s="65"/>
    </row>
    <row r="36" spans="12:24" x14ac:dyDescent="0.25">
      <c r="V36" s="66"/>
      <c r="W36" s="66"/>
      <c r="X36" s="66"/>
    </row>
    <row r="39" spans="12:24" x14ac:dyDescent="0.25">
      <c r="L39" s="43" t="s">
        <v>139</v>
      </c>
    </row>
    <row r="40" spans="12:24" x14ac:dyDescent="0.25">
      <c r="M40" s="43" t="s">
        <v>103</v>
      </c>
      <c r="N40" s="58" t="s">
        <v>147</v>
      </c>
      <c r="O40" s="58" t="s">
        <v>148</v>
      </c>
      <c r="P40" s="43" t="s">
        <v>104</v>
      </c>
    </row>
    <row r="41" spans="12:24" x14ac:dyDescent="0.25">
      <c r="M41" s="44" t="s">
        <v>140</v>
      </c>
      <c r="N41" s="49">
        <f>COUNTIF('Kla-Bombo'!$Y$7:$Y$500,M41)/$N$45</f>
        <v>0.60217391304347823</v>
      </c>
      <c r="O41" s="49">
        <f>COUNTIF('Bombo-Kla'!$Y$7:$Y$187,M41)/$O$45</f>
        <v>0.51351351351351349</v>
      </c>
      <c r="P41" s="49">
        <f>AVERAGE(N41:O41)</f>
        <v>0.55784371327849591</v>
      </c>
    </row>
    <row r="42" spans="12:24" x14ac:dyDescent="0.25">
      <c r="M42" s="44" t="s">
        <v>141</v>
      </c>
      <c r="N42" s="49">
        <f>COUNTIF('Kla-Bombo'!$Y$7:$Y$500,M42)/$N$45</f>
        <v>3.4782608695652174E-2</v>
      </c>
      <c r="O42" s="49">
        <f>COUNTIF('Bombo-Kla'!$Y$7:$Y$187,M42)/$O$45</f>
        <v>0.12837837837837837</v>
      </c>
      <c r="P42" s="49">
        <f t="shared" ref="P42:P44" si="1">AVERAGE(N42:O42)</f>
        <v>8.158049353701527E-2</v>
      </c>
    </row>
    <row r="43" spans="12:24" x14ac:dyDescent="0.25">
      <c r="M43" s="44" t="s">
        <v>142</v>
      </c>
      <c r="N43" s="49">
        <f>COUNTIF('Kla-Bombo'!$Y$7:$Y$500,M43)/$N$45</f>
        <v>0.1108695652173913</v>
      </c>
      <c r="O43" s="49">
        <f>COUNTIF('Bombo-Kla'!$Y$7:$Y$187,M43)/$O$45</f>
        <v>0.12837837837837837</v>
      </c>
      <c r="P43" s="49">
        <f t="shared" si="1"/>
        <v>0.11962397179788484</v>
      </c>
    </row>
    <row r="44" spans="12:24" x14ac:dyDescent="0.25">
      <c r="M44" s="44" t="s">
        <v>143</v>
      </c>
      <c r="N44" s="49">
        <f>COUNTIF('Kla-Bombo'!$Y$7:$Y$500,M44)/$N$45</f>
        <v>0.25217391304347825</v>
      </c>
      <c r="O44" s="49">
        <f>COUNTIF('Bombo-Kla'!$Y$7:$Y$187,M44)/$O$45</f>
        <v>0.22972972972972974</v>
      </c>
      <c r="P44" s="49">
        <f t="shared" si="1"/>
        <v>0.24095182138660398</v>
      </c>
    </row>
    <row r="45" spans="12:24" x14ac:dyDescent="0.25">
      <c r="N45">
        <f>C8</f>
        <v>460</v>
      </c>
      <c r="O45">
        <f>D8</f>
        <v>148</v>
      </c>
    </row>
    <row r="55" spans="1:5" x14ac:dyDescent="0.25">
      <c r="A55" s="43" t="s">
        <v>139</v>
      </c>
    </row>
    <row r="56" spans="1:5" x14ac:dyDescent="0.25">
      <c r="B56" s="43" t="s">
        <v>103</v>
      </c>
      <c r="C56" s="58" t="s">
        <v>147</v>
      </c>
      <c r="D56" s="58" t="s">
        <v>148</v>
      </c>
      <c r="E56" s="43" t="s">
        <v>104</v>
      </c>
    </row>
    <row r="57" spans="1:5" x14ac:dyDescent="0.25">
      <c r="A57">
        <v>7</v>
      </c>
      <c r="B57" s="44" t="s">
        <v>106</v>
      </c>
      <c r="C57" s="49">
        <f>COUNTIF('Kla-Bombo'!W7:W326,"Y")/C5</f>
        <v>0.27586206896551724</v>
      </c>
      <c r="D57" s="49">
        <f>COUNTIF('Bombo-Kla'!W7:W104,"Y")/D5</f>
        <v>0.5</v>
      </c>
      <c r="E57" s="49">
        <f>AVERAGE(C57:D57)</f>
        <v>0.38793103448275862</v>
      </c>
    </row>
    <row r="58" spans="1:5" x14ac:dyDescent="0.25">
      <c r="A58">
        <v>9</v>
      </c>
      <c r="B58" s="44" t="s">
        <v>108</v>
      </c>
      <c r="C58" s="49">
        <f>COUNTIF('Kla-Bombo'!W327:W370,"Y")/C6</f>
        <v>0.4</v>
      </c>
      <c r="D58" s="49">
        <f>COUNTIF('Bombo-Kla'!W105:W113,"y")/D6</f>
        <v>0.33333333333333331</v>
      </c>
      <c r="E58" s="49">
        <f t="shared" ref="E58:E59" si="2">AVERAGE(C58:D58)</f>
        <v>0.3666666666666667</v>
      </c>
    </row>
    <row r="59" spans="1:5" x14ac:dyDescent="0.25">
      <c r="A59">
        <v>10</v>
      </c>
      <c r="B59" s="44" t="s">
        <v>110</v>
      </c>
      <c r="C59" s="49">
        <f>COUNTIF('Kla-Bombo'!W371:W500,"Y")/C7</f>
        <v>0.85416666666666663</v>
      </c>
      <c r="D59" s="49">
        <f>COUNTIF('Bombo-Kla'!W114:W187,"Y")/D7</f>
        <v>0.6097560975609756</v>
      </c>
      <c r="E59" s="49">
        <f t="shared" si="2"/>
        <v>0.73196138211382111</v>
      </c>
    </row>
    <row r="60" spans="1:5" x14ac:dyDescent="0.25">
      <c r="B60" s="48" t="s">
        <v>146</v>
      </c>
      <c r="C60" s="67">
        <f>COUNTIF('Kla-Bombo'!W7:W500,"Y")/C8</f>
        <v>0.40869565217391307</v>
      </c>
      <c r="D60" s="67">
        <f>COUNTIF('Bombo-Kla'!W114:W187,"Y")/D8</f>
        <v>0.16891891891891891</v>
      </c>
    </row>
  </sheetData>
  <pageMargins left="0.25" right="0.25" top="0.75" bottom="0.75" header="0.3" footer="0.3"/>
  <pageSetup scale="43" orientation="landscape" horizontalDpi="1200" verticalDpi="12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44"/>
  <sheetViews>
    <sheetView topLeftCell="A22" zoomScale="84" zoomScaleNormal="84" workbookViewId="0">
      <selection activeCell="F42" sqref="F42"/>
    </sheetView>
  </sheetViews>
  <sheetFormatPr defaultRowHeight="12.75" x14ac:dyDescent="0.2"/>
  <cols>
    <col min="1" max="2" width="9.140625" style="35"/>
    <col min="3" max="3" width="12.7109375" style="35" customWidth="1"/>
    <col min="4" max="14" width="9.140625" style="35"/>
    <col min="15" max="15" width="11.140625" style="35" customWidth="1"/>
    <col min="16" max="16384" width="9.140625" style="35"/>
  </cols>
  <sheetData>
    <row r="1" spans="1:15" x14ac:dyDescent="0.2">
      <c r="I1" s="86" t="s">
        <v>7</v>
      </c>
      <c r="J1" s="86"/>
      <c r="K1" s="86"/>
      <c r="L1" s="86"/>
      <c r="M1" s="86"/>
      <c r="N1" s="86"/>
    </row>
    <row r="2" spans="1:15" x14ac:dyDescent="0.2">
      <c r="A2" s="35" t="s">
        <v>58</v>
      </c>
      <c r="I2" s="35" t="s">
        <v>59</v>
      </c>
      <c r="J2" s="35" t="s">
        <v>59</v>
      </c>
      <c r="K2" s="35" t="s">
        <v>60</v>
      </c>
      <c r="L2" s="35" t="s">
        <v>61</v>
      </c>
      <c r="M2" s="35" t="s">
        <v>62</v>
      </c>
      <c r="N2" s="35" t="s">
        <v>63</v>
      </c>
      <c r="O2" s="35" t="s">
        <v>64</v>
      </c>
    </row>
    <row r="4" spans="1:15" x14ac:dyDescent="0.2">
      <c r="A4" s="35">
        <v>7</v>
      </c>
      <c r="B4" s="35" t="s">
        <v>65</v>
      </c>
      <c r="I4" s="35">
        <v>1.1000000000000001</v>
      </c>
      <c r="J4" s="35">
        <v>1.2</v>
      </c>
    </row>
    <row r="5" spans="1:15" x14ac:dyDescent="0.2">
      <c r="A5" s="35">
        <v>8</v>
      </c>
      <c r="B5" s="35" t="s">
        <v>66</v>
      </c>
      <c r="K5" s="35">
        <v>1.22</v>
      </c>
    </row>
    <row r="6" spans="1:15" x14ac:dyDescent="0.2">
      <c r="A6" s="35">
        <v>9</v>
      </c>
      <c r="B6" s="35" t="s">
        <v>67</v>
      </c>
      <c r="L6" s="35" t="s">
        <v>68</v>
      </c>
    </row>
    <row r="7" spans="1:15" x14ac:dyDescent="0.2">
      <c r="L7" s="36">
        <v>1.222</v>
      </c>
    </row>
    <row r="10" spans="1:15" x14ac:dyDescent="0.2">
      <c r="A10" s="35">
        <v>10</v>
      </c>
      <c r="B10" s="35" t="s">
        <v>69</v>
      </c>
      <c r="M10" s="35" t="s">
        <v>70</v>
      </c>
    </row>
    <row r="11" spans="1:15" x14ac:dyDescent="0.2">
      <c r="M11" s="35" t="s">
        <v>71</v>
      </c>
    </row>
    <row r="12" spans="1:15" x14ac:dyDescent="0.2">
      <c r="M12" s="35" t="s">
        <v>72</v>
      </c>
    </row>
    <row r="13" spans="1:15" x14ac:dyDescent="0.2">
      <c r="A13" s="35">
        <v>11</v>
      </c>
      <c r="B13" s="35" t="s">
        <v>73</v>
      </c>
      <c r="N13" s="35" t="s">
        <v>74</v>
      </c>
    </row>
    <row r="14" spans="1:15" x14ac:dyDescent="0.2">
      <c r="N14" s="35" t="s">
        <v>75</v>
      </c>
    </row>
    <row r="15" spans="1:15" x14ac:dyDescent="0.2">
      <c r="N15" s="35" t="s">
        <v>76</v>
      </c>
    </row>
    <row r="16" spans="1:15" x14ac:dyDescent="0.2">
      <c r="N16" s="35" t="s">
        <v>77</v>
      </c>
    </row>
    <row r="17" spans="1:15" x14ac:dyDescent="0.2">
      <c r="N17" s="35" t="s">
        <v>78</v>
      </c>
    </row>
    <row r="18" spans="1:15" x14ac:dyDescent="0.2">
      <c r="N18" s="35" t="s">
        <v>79</v>
      </c>
    </row>
    <row r="19" spans="1:15" x14ac:dyDescent="0.2">
      <c r="A19" s="35">
        <v>12</v>
      </c>
      <c r="B19" s="35" t="s">
        <v>80</v>
      </c>
      <c r="O19" s="35" t="s">
        <v>81</v>
      </c>
    </row>
    <row r="20" spans="1:15" x14ac:dyDescent="0.2">
      <c r="O20" s="35" t="s">
        <v>82</v>
      </c>
    </row>
    <row r="21" spans="1:15" x14ac:dyDescent="0.2">
      <c r="O21" s="35" t="s">
        <v>83</v>
      </c>
    </row>
    <row r="29" spans="1:15" ht="15.75" x14ac:dyDescent="0.2">
      <c r="B29" s="37" t="s">
        <v>84</v>
      </c>
    </row>
    <row r="30" spans="1:15" ht="15.75" x14ac:dyDescent="0.2">
      <c r="B30" s="37" t="s">
        <v>85</v>
      </c>
    </row>
    <row r="31" spans="1:15" ht="15.75" x14ac:dyDescent="0.2">
      <c r="B31" s="37" t="s">
        <v>86</v>
      </c>
    </row>
    <row r="32" spans="1:15" ht="15.75" x14ac:dyDescent="0.2">
      <c r="B32" s="37" t="s">
        <v>87</v>
      </c>
    </row>
    <row r="35" spans="2:5" x14ac:dyDescent="0.2">
      <c r="B35" s="35" t="s">
        <v>88</v>
      </c>
      <c r="C35" s="35" t="s">
        <v>89</v>
      </c>
      <c r="D35" s="35">
        <v>7</v>
      </c>
      <c r="E35" s="35">
        <v>18</v>
      </c>
    </row>
    <row r="36" spans="2:5" x14ac:dyDescent="0.2">
      <c r="B36" s="35" t="s">
        <v>23</v>
      </c>
      <c r="C36" s="35" t="s">
        <v>89</v>
      </c>
      <c r="D36" s="35">
        <v>7</v>
      </c>
      <c r="E36" s="35">
        <v>18</v>
      </c>
    </row>
    <row r="37" spans="2:5" x14ac:dyDescent="0.2">
      <c r="B37" s="35" t="s">
        <v>29</v>
      </c>
      <c r="C37" s="35" t="s">
        <v>90</v>
      </c>
      <c r="D37" s="35">
        <v>8</v>
      </c>
      <c r="E37" s="35">
        <v>26</v>
      </c>
    </row>
    <row r="38" spans="2:5" x14ac:dyDescent="0.2">
      <c r="B38" s="35" t="s">
        <v>30</v>
      </c>
      <c r="C38" s="35" t="s">
        <v>91</v>
      </c>
      <c r="D38" s="35">
        <v>9</v>
      </c>
      <c r="E38" s="35">
        <v>26</v>
      </c>
    </row>
    <row r="39" spans="2:5" x14ac:dyDescent="0.2">
      <c r="B39" s="35" t="s">
        <v>92</v>
      </c>
      <c r="C39" s="35" t="s">
        <v>93</v>
      </c>
      <c r="D39" s="35">
        <v>10</v>
      </c>
      <c r="E39" s="35">
        <v>46</v>
      </c>
    </row>
    <row r="40" spans="2:5" x14ac:dyDescent="0.2">
      <c r="B40" s="35" t="s">
        <v>94</v>
      </c>
      <c r="C40" s="35" t="s">
        <v>93</v>
      </c>
      <c r="D40" s="35">
        <v>10</v>
      </c>
      <c r="E40" s="35">
        <v>46</v>
      </c>
    </row>
    <row r="41" spans="2:5" x14ac:dyDescent="0.2">
      <c r="B41" s="35" t="s">
        <v>95</v>
      </c>
      <c r="C41" s="35" t="s">
        <v>93</v>
      </c>
      <c r="D41" s="35">
        <v>10</v>
      </c>
      <c r="E41" s="35">
        <v>46</v>
      </c>
    </row>
    <row r="42" spans="2:5" x14ac:dyDescent="0.2">
      <c r="B42" s="35" t="s">
        <v>96</v>
      </c>
      <c r="C42" s="35" t="s">
        <v>93</v>
      </c>
      <c r="D42" s="35">
        <v>10</v>
      </c>
      <c r="E42" s="35">
        <v>46</v>
      </c>
    </row>
    <row r="43" spans="2:5" x14ac:dyDescent="0.2">
      <c r="B43" s="35" t="s">
        <v>97</v>
      </c>
      <c r="C43" s="35" t="s">
        <v>93</v>
      </c>
      <c r="D43" s="35">
        <v>10</v>
      </c>
      <c r="E43" s="35">
        <v>46</v>
      </c>
    </row>
    <row r="44" spans="2:5" x14ac:dyDescent="0.2">
      <c r="B44" s="35" t="s">
        <v>31</v>
      </c>
      <c r="C44" s="35" t="s">
        <v>91</v>
      </c>
      <c r="D44" s="35">
        <v>9</v>
      </c>
      <c r="E44" s="35">
        <v>34</v>
      </c>
    </row>
  </sheetData>
  <mergeCells count="1">
    <mergeCell ref="I1:N1"/>
  </mergeCells>
  <pageMargins left="0.7" right="0.7" top="0.75" bottom="0.75" header="0.3" footer="0.3"/>
  <pageSetup orientation="portrait" horizontalDpi="1200" verticalDpi="12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4"/>
  <sheetViews>
    <sheetView workbookViewId="0">
      <selection activeCell="C14" sqref="C14"/>
    </sheetView>
  </sheetViews>
  <sheetFormatPr defaultRowHeight="15" x14ac:dyDescent="0.25"/>
  <cols>
    <col min="2" max="2" width="38.5703125" customWidth="1"/>
    <col min="3" max="3" width="36" customWidth="1"/>
  </cols>
  <sheetData>
    <row r="1" spans="1:4" x14ac:dyDescent="0.25">
      <c r="B1" t="s">
        <v>105</v>
      </c>
      <c r="C1" t="s">
        <v>120</v>
      </c>
    </row>
    <row r="2" spans="1:4" ht="15.75" x14ac:dyDescent="0.25">
      <c r="A2">
        <v>1</v>
      </c>
      <c r="B2" s="46" t="s">
        <v>121</v>
      </c>
      <c r="C2" s="46" t="s">
        <v>122</v>
      </c>
      <c r="D2" s="46"/>
    </row>
    <row r="3" spans="1:4" ht="15.75" x14ac:dyDescent="0.25">
      <c r="A3">
        <v>2</v>
      </c>
      <c r="B3" s="46" t="s">
        <v>123</v>
      </c>
      <c r="C3" s="46" t="s">
        <v>124</v>
      </c>
      <c r="D3" s="46"/>
    </row>
    <row r="4" spans="1:4" ht="15.75" x14ac:dyDescent="0.25">
      <c r="A4">
        <v>3</v>
      </c>
      <c r="B4" s="46" t="s">
        <v>109</v>
      </c>
      <c r="C4" s="46" t="s">
        <v>125</v>
      </c>
      <c r="D4" s="46"/>
    </row>
    <row r="5" spans="1:4" ht="21.75" customHeight="1" x14ac:dyDescent="0.25">
      <c r="A5">
        <v>4</v>
      </c>
      <c r="B5" s="47" t="s">
        <v>126</v>
      </c>
      <c r="C5" s="50" t="s">
        <v>127</v>
      </c>
      <c r="D5" s="51"/>
    </row>
    <row r="6" spans="1:4" ht="15.75" x14ac:dyDescent="0.25">
      <c r="A6">
        <v>5</v>
      </c>
      <c r="B6" s="46" t="s">
        <v>113</v>
      </c>
      <c r="C6" s="46"/>
      <c r="D6" s="46"/>
    </row>
    <row r="7" spans="1:4" ht="15.75" x14ac:dyDescent="0.25">
      <c r="A7">
        <v>6</v>
      </c>
      <c r="B7" s="46" t="s">
        <v>114</v>
      </c>
      <c r="C7" s="46" t="s">
        <v>128</v>
      </c>
      <c r="D7" s="46"/>
    </row>
    <row r="8" spans="1:4" ht="15.75" x14ac:dyDescent="0.25">
      <c r="A8">
        <v>7</v>
      </c>
      <c r="B8" s="46" t="s">
        <v>115</v>
      </c>
      <c r="C8" s="52" t="s">
        <v>129</v>
      </c>
      <c r="D8" s="52"/>
    </row>
    <row r="9" spans="1:4" ht="15.75" x14ac:dyDescent="0.25">
      <c r="A9">
        <v>8</v>
      </c>
      <c r="B9" s="46" t="s">
        <v>116</v>
      </c>
      <c r="C9" s="52" t="s">
        <v>130</v>
      </c>
      <c r="D9" s="52"/>
    </row>
    <row r="10" spans="1:4" ht="15.75" x14ac:dyDescent="0.25">
      <c r="A10">
        <v>9</v>
      </c>
      <c r="B10" s="46" t="s">
        <v>39</v>
      </c>
      <c r="C10" s="52" t="s">
        <v>131</v>
      </c>
      <c r="D10" s="52"/>
    </row>
    <row r="11" spans="1:4" ht="15.75" customHeight="1" x14ac:dyDescent="0.25">
      <c r="A11">
        <v>10</v>
      </c>
      <c r="B11" s="47" t="s">
        <v>117</v>
      </c>
      <c r="C11" s="50" t="s">
        <v>132</v>
      </c>
      <c r="D11" s="50"/>
    </row>
    <row r="12" spans="1:4" ht="15.75" x14ac:dyDescent="0.25">
      <c r="A12">
        <v>11</v>
      </c>
      <c r="B12" s="46" t="s">
        <v>118</v>
      </c>
      <c r="C12" s="52"/>
      <c r="D12" s="52"/>
    </row>
    <row r="13" spans="1:4" ht="15.75" x14ac:dyDescent="0.25">
      <c r="A13">
        <v>12</v>
      </c>
      <c r="B13" s="46" t="s">
        <v>133</v>
      </c>
      <c r="C13" s="52"/>
      <c r="D13" s="52"/>
    </row>
    <row r="14" spans="1:4" ht="15.75" x14ac:dyDescent="0.25">
      <c r="A14">
        <v>4</v>
      </c>
      <c r="B14" s="46"/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3</vt:i4>
      </vt:variant>
    </vt:vector>
  </HeadingPairs>
  <TitlesOfParts>
    <vt:vector size="11" baseType="lpstr">
      <vt:lpstr>DAY1</vt:lpstr>
      <vt:lpstr>DAY2</vt:lpstr>
      <vt:lpstr>DAY3</vt:lpstr>
      <vt:lpstr>Kla-Bombo</vt:lpstr>
      <vt:lpstr>Bombo-Kla</vt:lpstr>
      <vt:lpstr>Graphs</vt:lpstr>
      <vt:lpstr>KEY</vt:lpstr>
      <vt:lpstr>Desc</vt:lpstr>
      <vt:lpstr>'Bombo-Kla'!Print_Area</vt:lpstr>
      <vt:lpstr>Graphs!Print_Area</vt:lpstr>
      <vt:lpstr>'Kla-Bombo'!Print_Area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KATO SAIDI</dc:creator>
  <cp:lastModifiedBy>USER</cp:lastModifiedBy>
  <cp:lastPrinted>2019-11-03T12:40:33Z</cp:lastPrinted>
  <dcterms:created xsi:type="dcterms:W3CDTF">2015-05-11T13:42:40Z</dcterms:created>
  <dcterms:modified xsi:type="dcterms:W3CDTF">2020-03-24T06:23:04Z</dcterms:modified>
</cp:coreProperties>
</file>