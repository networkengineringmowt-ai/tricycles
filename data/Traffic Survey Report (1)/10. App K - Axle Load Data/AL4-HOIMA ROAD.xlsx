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, FERRY, AXLE Data\Analyed Data\Axle Load Data_ Analysed\"/>
    </mc:Choice>
  </mc:AlternateContent>
  <xr:revisionPtr revIDLastSave="0" documentId="13_ncr:1_{5031CBB9-8B39-4015-8FED-2C1A3433806A}" xr6:coauthVersionLast="45" xr6:coauthVersionMax="45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DAY1" sheetId="1" r:id="rId1"/>
    <sheet name="DAY2" sheetId="5" r:id="rId2"/>
    <sheet name="DAY3" sheetId="6" r:id="rId3"/>
    <sheet name="Kla-Hoima" sheetId="8" r:id="rId4"/>
    <sheet name="Hoima-Kla" sheetId="7" r:id="rId5"/>
    <sheet name="Graphs" sheetId="12" r:id="rId6"/>
    <sheet name="KEY" sheetId="9" r:id="rId7"/>
    <sheet name="Desc" sheetId="11" r:id="rId8"/>
  </sheets>
  <definedNames>
    <definedName name="_xlnm.Print_Area" localSheetId="5">Graphs!$A$1:$X$78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2" i="12" l="1"/>
  <c r="O43" i="12"/>
  <c r="O44" i="12"/>
  <c r="O41" i="12"/>
  <c r="N42" i="12"/>
  <c r="N43" i="12"/>
  <c r="N44" i="12"/>
  <c r="N41" i="12"/>
  <c r="D60" i="12" l="1"/>
  <c r="C60" i="12"/>
  <c r="N6" i="12" l="1"/>
  <c r="N7" i="12"/>
  <c r="N8" i="12"/>
  <c r="N9" i="12"/>
  <c r="N10" i="12"/>
  <c r="N11" i="12"/>
  <c r="N12" i="12"/>
  <c r="N13" i="12"/>
  <c r="N14" i="12"/>
  <c r="N15" i="12"/>
  <c r="N5" i="12"/>
  <c r="M6" i="12"/>
  <c r="M7" i="12"/>
  <c r="M8" i="12"/>
  <c r="M9" i="12"/>
  <c r="M10" i="12"/>
  <c r="M11" i="12"/>
  <c r="M12" i="12"/>
  <c r="M13" i="12"/>
  <c r="M14" i="12"/>
  <c r="M15" i="12"/>
  <c r="M5" i="12"/>
  <c r="D59" i="12"/>
  <c r="D58" i="12"/>
  <c r="D57" i="12"/>
  <c r="C59" i="12"/>
  <c r="C58" i="12"/>
  <c r="C57" i="12"/>
  <c r="D30" i="12"/>
  <c r="D31" i="12"/>
  <c r="D29" i="12"/>
  <c r="C30" i="12"/>
  <c r="C31" i="12"/>
  <c r="C29" i="12"/>
  <c r="D7" i="12"/>
  <c r="D6" i="12"/>
  <c r="D5" i="12"/>
  <c r="C7" i="12"/>
  <c r="C6" i="12"/>
  <c r="C5" i="12"/>
  <c r="W8" i="8"/>
  <c r="X8" i="8" s="1"/>
  <c r="Y8" i="8" s="1"/>
  <c r="W9" i="8"/>
  <c r="X9" i="8"/>
  <c r="Y9" i="8" s="1"/>
  <c r="W10" i="8"/>
  <c r="X10" i="8"/>
  <c r="Y10" i="8"/>
  <c r="W11" i="8"/>
  <c r="X11" i="8" s="1"/>
  <c r="Y11" i="8" s="1"/>
  <c r="W12" i="8"/>
  <c r="X12" i="8" s="1"/>
  <c r="Y12" i="8" s="1"/>
  <c r="W13" i="8"/>
  <c r="X13" i="8"/>
  <c r="Y13" i="8" s="1"/>
  <c r="W14" i="8"/>
  <c r="X14" i="8"/>
  <c r="Y14" i="8"/>
  <c r="W15" i="8"/>
  <c r="X15" i="8"/>
  <c r="Y15" i="8"/>
  <c r="W16" i="8"/>
  <c r="X16" i="8" s="1"/>
  <c r="Y16" i="8" s="1"/>
  <c r="W17" i="8"/>
  <c r="X17" i="8"/>
  <c r="Y17" i="8" s="1"/>
  <c r="W18" i="8"/>
  <c r="X18" i="8"/>
  <c r="Y18" i="8"/>
  <c r="W19" i="8"/>
  <c r="X19" i="8" s="1"/>
  <c r="Y19" i="8" s="1"/>
  <c r="W20" i="8"/>
  <c r="X20" i="8" s="1"/>
  <c r="Y20" i="8" s="1"/>
  <c r="W21" i="8"/>
  <c r="X21" i="8"/>
  <c r="Y21" i="8" s="1"/>
  <c r="W22" i="8"/>
  <c r="X22" i="8"/>
  <c r="Y22" i="8"/>
  <c r="W23" i="8"/>
  <c r="X23" i="8"/>
  <c r="Y23" i="8"/>
  <c r="W24" i="8"/>
  <c r="X24" i="8" s="1"/>
  <c r="Y24" i="8" s="1"/>
  <c r="W25" i="8"/>
  <c r="X25" i="8"/>
  <c r="Y25" i="8" s="1"/>
  <c r="W26" i="8"/>
  <c r="X26" i="8"/>
  <c r="Y26" i="8"/>
  <c r="W27" i="8"/>
  <c r="X27" i="8" s="1"/>
  <c r="Y27" i="8" s="1"/>
  <c r="W28" i="8"/>
  <c r="X28" i="8" s="1"/>
  <c r="Y28" i="8" s="1"/>
  <c r="W29" i="8"/>
  <c r="X29" i="8"/>
  <c r="Y29" i="8" s="1"/>
  <c r="W30" i="8"/>
  <c r="X30" i="8"/>
  <c r="Y30" i="8"/>
  <c r="W31" i="8"/>
  <c r="X31" i="8"/>
  <c r="Y31" i="8"/>
  <c r="W32" i="8"/>
  <c r="X32" i="8" s="1"/>
  <c r="Y32" i="8" s="1"/>
  <c r="W33" i="8"/>
  <c r="X33" i="8"/>
  <c r="Y33" i="8" s="1"/>
  <c r="W34" i="8"/>
  <c r="X34" i="8"/>
  <c r="Y34" i="8"/>
  <c r="W35" i="8"/>
  <c r="X35" i="8" s="1"/>
  <c r="Y35" i="8" s="1"/>
  <c r="W36" i="8"/>
  <c r="X36" i="8" s="1"/>
  <c r="Y36" i="8" s="1"/>
  <c r="W37" i="8"/>
  <c r="X37" i="8"/>
  <c r="Y37" i="8" s="1"/>
  <c r="W38" i="8"/>
  <c r="X38" i="8"/>
  <c r="Y38" i="8"/>
  <c r="W39" i="8"/>
  <c r="X39" i="8"/>
  <c r="Y39" i="8"/>
  <c r="W40" i="8"/>
  <c r="X40" i="8" s="1"/>
  <c r="Y40" i="8" s="1"/>
  <c r="W41" i="8"/>
  <c r="X41" i="8"/>
  <c r="Y41" i="8" s="1"/>
  <c r="W42" i="8"/>
  <c r="X42" i="8"/>
  <c r="Y42" i="8"/>
  <c r="W43" i="8"/>
  <c r="X43" i="8" s="1"/>
  <c r="Y43" i="8" s="1"/>
  <c r="W44" i="8"/>
  <c r="X44" i="8" s="1"/>
  <c r="Y44" i="8" s="1"/>
  <c r="W45" i="8"/>
  <c r="X45" i="8"/>
  <c r="Y45" i="8" s="1"/>
  <c r="W46" i="8"/>
  <c r="X46" i="8"/>
  <c r="Y46" i="8"/>
  <c r="W47" i="8"/>
  <c r="X47" i="8"/>
  <c r="Y47" i="8"/>
  <c r="W48" i="8"/>
  <c r="X48" i="8" s="1"/>
  <c r="Y48" i="8" s="1"/>
  <c r="W49" i="8"/>
  <c r="X49" i="8"/>
  <c r="Y49" i="8" s="1"/>
  <c r="W50" i="8"/>
  <c r="X50" i="8"/>
  <c r="Y50" i="8"/>
  <c r="W51" i="8"/>
  <c r="X51" i="8" s="1"/>
  <c r="Y51" i="8" s="1"/>
  <c r="W52" i="8"/>
  <c r="X52" i="8" s="1"/>
  <c r="Y52" i="8" s="1"/>
  <c r="W53" i="8"/>
  <c r="X53" i="8"/>
  <c r="Y53" i="8" s="1"/>
  <c r="W54" i="8"/>
  <c r="X54" i="8"/>
  <c r="Y54" i="8"/>
  <c r="W55" i="8"/>
  <c r="X55" i="8"/>
  <c r="Y55" i="8"/>
  <c r="W56" i="8"/>
  <c r="X56" i="8" s="1"/>
  <c r="Y56" i="8" s="1"/>
  <c r="W57" i="8"/>
  <c r="X57" i="8"/>
  <c r="Y57" i="8" s="1"/>
  <c r="W58" i="8"/>
  <c r="X58" i="8"/>
  <c r="Y58" i="8"/>
  <c r="W59" i="8"/>
  <c r="X59" i="8" s="1"/>
  <c r="Y59" i="8" s="1"/>
  <c r="W60" i="8"/>
  <c r="X60" i="8" s="1"/>
  <c r="Y60" i="8" s="1"/>
  <c r="W61" i="8"/>
  <c r="X61" i="8"/>
  <c r="Y61" i="8" s="1"/>
  <c r="W62" i="8"/>
  <c r="X62" i="8"/>
  <c r="Y62" i="8"/>
  <c r="W63" i="8"/>
  <c r="X63" i="8"/>
  <c r="Y63" i="8"/>
  <c r="W64" i="8"/>
  <c r="X64" i="8" s="1"/>
  <c r="Y64" i="8" s="1"/>
  <c r="W65" i="8"/>
  <c r="X65" i="8"/>
  <c r="Y65" i="8" s="1"/>
  <c r="W66" i="8"/>
  <c r="X66" i="8"/>
  <c r="Y66" i="8"/>
  <c r="W67" i="8"/>
  <c r="X67" i="8" s="1"/>
  <c r="Y67" i="8" s="1"/>
  <c r="W68" i="8"/>
  <c r="X68" i="8" s="1"/>
  <c r="Y68" i="8" s="1"/>
  <c r="W69" i="8"/>
  <c r="X69" i="8"/>
  <c r="Y69" i="8" s="1"/>
  <c r="W70" i="8"/>
  <c r="X70" i="8"/>
  <c r="Y70" i="8"/>
  <c r="W71" i="8"/>
  <c r="X71" i="8"/>
  <c r="Y71" i="8"/>
  <c r="W72" i="8"/>
  <c r="X72" i="8" s="1"/>
  <c r="Y72" i="8" s="1"/>
  <c r="W73" i="8"/>
  <c r="X73" i="8"/>
  <c r="Y73" i="8" s="1"/>
  <c r="W74" i="8"/>
  <c r="X74" i="8"/>
  <c r="Y74" i="8"/>
  <c r="W75" i="8"/>
  <c r="X75" i="8" s="1"/>
  <c r="Y75" i="8" s="1"/>
  <c r="W76" i="8"/>
  <c r="X76" i="8" s="1"/>
  <c r="Y76" i="8" s="1"/>
  <c r="W77" i="8"/>
  <c r="X77" i="8"/>
  <c r="Y77" i="8" s="1"/>
  <c r="W78" i="8"/>
  <c r="X78" i="8"/>
  <c r="Y78" i="8"/>
  <c r="W79" i="8"/>
  <c r="X79" i="8"/>
  <c r="Y79" i="8"/>
  <c r="W80" i="8"/>
  <c r="X80" i="8" s="1"/>
  <c r="Y80" i="8" s="1"/>
  <c r="W81" i="8"/>
  <c r="X81" i="8"/>
  <c r="Y81" i="8" s="1"/>
  <c r="W82" i="8"/>
  <c r="X82" i="8"/>
  <c r="Y82" i="8"/>
  <c r="W83" i="8"/>
  <c r="X83" i="8" s="1"/>
  <c r="Y83" i="8" s="1"/>
  <c r="W84" i="8"/>
  <c r="X84" i="8" s="1"/>
  <c r="Y84" i="8" s="1"/>
  <c r="W85" i="8"/>
  <c r="X85" i="8"/>
  <c r="Y85" i="8" s="1"/>
  <c r="W86" i="8"/>
  <c r="X86" i="8"/>
  <c r="Y86" i="8"/>
  <c r="W87" i="8"/>
  <c r="X87" i="8"/>
  <c r="Y87" i="8"/>
  <c r="W88" i="8"/>
  <c r="X88" i="8" s="1"/>
  <c r="Y88" i="8" s="1"/>
  <c r="W89" i="8"/>
  <c r="X89" i="8"/>
  <c r="Y89" i="8" s="1"/>
  <c r="W90" i="8"/>
  <c r="X90" i="8"/>
  <c r="Y90" i="8"/>
  <c r="W91" i="8"/>
  <c r="X91" i="8" s="1"/>
  <c r="Y91" i="8" s="1"/>
  <c r="W92" i="8"/>
  <c r="X92" i="8" s="1"/>
  <c r="Y92" i="8" s="1"/>
  <c r="W93" i="8"/>
  <c r="X93" i="8"/>
  <c r="Y93" i="8" s="1"/>
  <c r="W94" i="8"/>
  <c r="X94" i="8"/>
  <c r="Y94" i="8"/>
  <c r="W95" i="8"/>
  <c r="X95" i="8"/>
  <c r="Y95" i="8"/>
  <c r="W96" i="8"/>
  <c r="X96" i="8" s="1"/>
  <c r="Y96" i="8" s="1"/>
  <c r="W97" i="8"/>
  <c r="X97" i="8"/>
  <c r="Y97" i="8" s="1"/>
  <c r="W98" i="8"/>
  <c r="X98" i="8"/>
  <c r="Y98" i="8"/>
  <c r="W99" i="8"/>
  <c r="X99" i="8" s="1"/>
  <c r="Y99" i="8" s="1"/>
  <c r="W100" i="8"/>
  <c r="X100" i="8" s="1"/>
  <c r="Y100" i="8" s="1"/>
  <c r="W101" i="8"/>
  <c r="X101" i="8"/>
  <c r="Y101" i="8" s="1"/>
  <c r="W102" i="8"/>
  <c r="X102" i="8"/>
  <c r="Y102" i="8"/>
  <c r="W103" i="8"/>
  <c r="X103" i="8"/>
  <c r="Y103" i="8"/>
  <c r="W104" i="8"/>
  <c r="X104" i="8" s="1"/>
  <c r="Y104" i="8" s="1"/>
  <c r="W105" i="8"/>
  <c r="X105" i="8"/>
  <c r="Y105" i="8" s="1"/>
  <c r="W106" i="8"/>
  <c r="X106" i="8"/>
  <c r="Y106" i="8"/>
  <c r="W107" i="8"/>
  <c r="X107" i="8" s="1"/>
  <c r="Y107" i="8" s="1"/>
  <c r="W108" i="8"/>
  <c r="X108" i="8" s="1"/>
  <c r="Y108" i="8" s="1"/>
  <c r="W109" i="8"/>
  <c r="X109" i="8"/>
  <c r="Y109" i="8" s="1"/>
  <c r="W110" i="8"/>
  <c r="X110" i="8"/>
  <c r="Y110" i="8"/>
  <c r="W111" i="8"/>
  <c r="X111" i="8"/>
  <c r="Y111" i="8"/>
  <c r="W112" i="8"/>
  <c r="X112" i="8" s="1"/>
  <c r="Y112" i="8" s="1"/>
  <c r="W113" i="8"/>
  <c r="X113" i="8"/>
  <c r="Y113" i="8" s="1"/>
  <c r="W114" i="8"/>
  <c r="X114" i="8"/>
  <c r="Y114" i="8"/>
  <c r="W115" i="8"/>
  <c r="X115" i="8" s="1"/>
  <c r="Y115" i="8" s="1"/>
  <c r="W116" i="8"/>
  <c r="X116" i="8" s="1"/>
  <c r="Y116" i="8" s="1"/>
  <c r="W117" i="8"/>
  <c r="X117" i="8"/>
  <c r="Y117" i="8" s="1"/>
  <c r="W118" i="8"/>
  <c r="X118" i="8"/>
  <c r="Y118" i="8"/>
  <c r="W119" i="8"/>
  <c r="X119" i="8"/>
  <c r="Y119" i="8"/>
  <c r="W120" i="8"/>
  <c r="X120" i="8" s="1"/>
  <c r="Y120" i="8" s="1"/>
  <c r="W121" i="8"/>
  <c r="X121" i="8"/>
  <c r="Y121" i="8" s="1"/>
  <c r="W122" i="8"/>
  <c r="X122" i="8"/>
  <c r="Y122" i="8"/>
  <c r="W123" i="8"/>
  <c r="X123" i="8" s="1"/>
  <c r="Y123" i="8" s="1"/>
  <c r="W124" i="8"/>
  <c r="X124" i="8" s="1"/>
  <c r="Y124" i="8" s="1"/>
  <c r="W125" i="8"/>
  <c r="X125" i="8"/>
  <c r="Y125" i="8" s="1"/>
  <c r="W126" i="8"/>
  <c r="X126" i="8"/>
  <c r="Y126" i="8"/>
  <c r="W127" i="8"/>
  <c r="X127" i="8"/>
  <c r="Y127" i="8"/>
  <c r="W128" i="8"/>
  <c r="X128" i="8" s="1"/>
  <c r="Y128" i="8" s="1"/>
  <c r="W129" i="8"/>
  <c r="X129" i="8"/>
  <c r="Y129" i="8" s="1"/>
  <c r="W130" i="8"/>
  <c r="X130" i="8"/>
  <c r="Y130" i="8"/>
  <c r="W131" i="8"/>
  <c r="X131" i="8" s="1"/>
  <c r="Y131" i="8" s="1"/>
  <c r="W132" i="8"/>
  <c r="X132" i="8" s="1"/>
  <c r="Y132" i="8" s="1"/>
  <c r="W133" i="8"/>
  <c r="X133" i="8"/>
  <c r="Y133" i="8" s="1"/>
  <c r="W134" i="8"/>
  <c r="X134" i="8"/>
  <c r="Y134" i="8"/>
  <c r="W12" i="7"/>
  <c r="X12" i="7"/>
  <c r="Y12" i="7"/>
  <c r="W13" i="7"/>
  <c r="X13" i="7" s="1"/>
  <c r="Y13" i="7" s="1"/>
  <c r="W14" i="7"/>
  <c r="X14" i="7"/>
  <c r="Y14" i="7" s="1"/>
  <c r="W15" i="7"/>
  <c r="X15" i="7"/>
  <c r="Y15" i="7" s="1"/>
  <c r="W16" i="7"/>
  <c r="X16" i="7" s="1"/>
  <c r="Y16" i="7" s="1"/>
  <c r="W17" i="7"/>
  <c r="X17" i="7" s="1"/>
  <c r="Y17" i="7" s="1"/>
  <c r="W18" i="7"/>
  <c r="X18" i="7" s="1"/>
  <c r="Y18" i="7" s="1"/>
  <c r="W19" i="7"/>
  <c r="X19" i="7"/>
  <c r="Y19" i="7"/>
  <c r="W20" i="7"/>
  <c r="X20" i="7"/>
  <c r="Y20" i="7"/>
  <c r="W21" i="7"/>
  <c r="X21" i="7"/>
  <c r="Y21" i="7" s="1"/>
  <c r="W22" i="7"/>
  <c r="X22" i="7"/>
  <c r="Y22" i="7" s="1"/>
  <c r="W23" i="7"/>
  <c r="X23" i="7"/>
  <c r="Y23" i="7" s="1"/>
  <c r="W24" i="7"/>
  <c r="X24" i="7" s="1"/>
  <c r="Y24" i="7" s="1"/>
  <c r="W25" i="7"/>
  <c r="X25" i="7" s="1"/>
  <c r="Y25" i="7" s="1"/>
  <c r="W26" i="7"/>
  <c r="X26" i="7" s="1"/>
  <c r="Y26" i="7" s="1"/>
  <c r="W27" i="7"/>
  <c r="X27" i="7"/>
  <c r="Y27" i="7"/>
  <c r="W28" i="7"/>
  <c r="X28" i="7"/>
  <c r="Y28" i="7"/>
  <c r="W29" i="7"/>
  <c r="X29" i="7"/>
  <c r="Y29" i="7" s="1"/>
  <c r="W30" i="7"/>
  <c r="X30" i="7"/>
  <c r="Y30" i="7" s="1"/>
  <c r="W31" i="7"/>
  <c r="X31" i="7"/>
  <c r="Y31" i="7" s="1"/>
  <c r="W32" i="7"/>
  <c r="X32" i="7" s="1"/>
  <c r="Y32" i="7" s="1"/>
  <c r="W33" i="7"/>
  <c r="X33" i="7" s="1"/>
  <c r="Y33" i="7" s="1"/>
  <c r="W34" i="7"/>
  <c r="X34" i="7" s="1"/>
  <c r="Y34" i="7" s="1"/>
  <c r="W35" i="7"/>
  <c r="X35" i="7" s="1"/>
  <c r="Y35" i="7" s="1"/>
  <c r="W36" i="7"/>
  <c r="X36" i="7"/>
  <c r="Y36" i="7"/>
  <c r="W37" i="7"/>
  <c r="X37" i="7"/>
  <c r="Y37" i="7" s="1"/>
  <c r="W38" i="7"/>
  <c r="X38" i="7"/>
  <c r="Y38" i="7" s="1"/>
  <c r="W39" i="7"/>
  <c r="X39" i="7"/>
  <c r="Y39" i="7" s="1"/>
  <c r="W40" i="7"/>
  <c r="X40" i="7" s="1"/>
  <c r="Y40" i="7" s="1"/>
  <c r="W41" i="7"/>
  <c r="X41" i="7" s="1"/>
  <c r="Y41" i="7" s="1"/>
  <c r="W42" i="7"/>
  <c r="X42" i="7" s="1"/>
  <c r="Y42" i="7" s="1"/>
  <c r="W43" i="7"/>
  <c r="X43" i="7" s="1"/>
  <c r="Y43" i="7" s="1"/>
  <c r="W44" i="7"/>
  <c r="X44" i="7"/>
  <c r="Y44" i="7"/>
  <c r="W45" i="7"/>
  <c r="X45" i="7"/>
  <c r="Y45" i="7" s="1"/>
  <c r="W46" i="7"/>
  <c r="X46" i="7"/>
  <c r="Y46" i="7" s="1"/>
  <c r="W47" i="7"/>
  <c r="X47" i="7"/>
  <c r="Y47" i="7" s="1"/>
  <c r="W48" i="7"/>
  <c r="X48" i="7" s="1"/>
  <c r="Y48" i="7" s="1"/>
  <c r="W49" i="7"/>
  <c r="X49" i="7" s="1"/>
  <c r="Y49" i="7" s="1"/>
  <c r="W50" i="7"/>
  <c r="X50" i="7" s="1"/>
  <c r="Y50" i="7" s="1"/>
  <c r="W51" i="7"/>
  <c r="X51" i="7" s="1"/>
  <c r="Y51" i="7" s="1"/>
  <c r="W52" i="7"/>
  <c r="X52" i="7"/>
  <c r="Y52" i="7"/>
  <c r="W53" i="7"/>
  <c r="X53" i="7"/>
  <c r="Y53" i="7" s="1"/>
  <c r="W54" i="7"/>
  <c r="X54" i="7"/>
  <c r="Y54" i="7" s="1"/>
  <c r="W55" i="7"/>
  <c r="X55" i="7"/>
  <c r="Y55" i="7" s="1"/>
  <c r="W56" i="7"/>
  <c r="X56" i="7" s="1"/>
  <c r="Y56" i="7" s="1"/>
  <c r="W57" i="7"/>
  <c r="X57" i="7" s="1"/>
  <c r="Y57" i="7" s="1"/>
  <c r="W58" i="7"/>
  <c r="X58" i="7" s="1"/>
  <c r="Y58" i="7" s="1"/>
  <c r="W59" i="7"/>
  <c r="X59" i="7" s="1"/>
  <c r="Y59" i="7" s="1"/>
  <c r="W60" i="7"/>
  <c r="X60" i="7"/>
  <c r="Y60" i="7"/>
  <c r="W61" i="7"/>
  <c r="X61" i="7"/>
  <c r="Y61" i="7" s="1"/>
  <c r="W62" i="7"/>
  <c r="X62" i="7"/>
  <c r="Y62" i="7" s="1"/>
  <c r="W63" i="7"/>
  <c r="X63" i="7"/>
  <c r="Y63" i="7" s="1"/>
  <c r="W64" i="7"/>
  <c r="X64" i="7" s="1"/>
  <c r="Y64" i="7" s="1"/>
  <c r="W65" i="7"/>
  <c r="X65" i="7" s="1"/>
  <c r="Y65" i="7" s="1"/>
  <c r="W66" i="7"/>
  <c r="X66" i="7" s="1"/>
  <c r="Y66" i="7" s="1"/>
  <c r="W67" i="7"/>
  <c r="X67" i="7" s="1"/>
  <c r="Y67" i="7" s="1"/>
  <c r="W68" i="7"/>
  <c r="X68" i="7"/>
  <c r="Y68" i="7"/>
  <c r="W69" i="7"/>
  <c r="X69" i="7"/>
  <c r="Y69" i="7" s="1"/>
  <c r="W70" i="7"/>
  <c r="X70" i="7"/>
  <c r="Y70" i="7" s="1"/>
  <c r="W71" i="7"/>
  <c r="X71" i="7"/>
  <c r="Y71" i="7" s="1"/>
  <c r="W72" i="7"/>
  <c r="X72" i="7" s="1"/>
  <c r="Y72" i="7" s="1"/>
  <c r="W73" i="7"/>
  <c r="X73" i="7" s="1"/>
  <c r="Y73" i="7" s="1"/>
  <c r="W74" i="7"/>
  <c r="X74" i="7" s="1"/>
  <c r="Y74" i="7" s="1"/>
  <c r="W75" i="7"/>
  <c r="X75" i="7" s="1"/>
  <c r="Y75" i="7" s="1"/>
  <c r="W7" i="7"/>
  <c r="X7" i="7"/>
  <c r="Y7" i="7" s="1"/>
  <c r="W8" i="7"/>
  <c r="X8" i="7" s="1"/>
  <c r="Y8" i="7" s="1"/>
  <c r="W9" i="7"/>
  <c r="X9" i="7" s="1"/>
  <c r="Y9" i="7" s="1"/>
  <c r="W10" i="7"/>
  <c r="X10" i="7" s="1"/>
  <c r="Y10" i="7" s="1"/>
  <c r="W11" i="7"/>
  <c r="X11" i="7" s="1"/>
  <c r="Y11" i="7" s="1"/>
  <c r="W7" i="8"/>
  <c r="X7" i="8" s="1"/>
  <c r="Y7" i="8" s="1"/>
  <c r="E31" i="12" l="1"/>
  <c r="E5" i="12"/>
  <c r="E30" i="12"/>
  <c r="E6" i="12"/>
  <c r="E29" i="12"/>
  <c r="E59" i="12"/>
  <c r="E57" i="12"/>
  <c r="E58" i="12"/>
  <c r="E7" i="12"/>
  <c r="D8" i="12"/>
  <c r="C8" i="12"/>
  <c r="D67" i="7"/>
  <c r="E8" i="12" l="1"/>
  <c r="M16" i="12"/>
  <c r="N45" i="12"/>
  <c r="N16" i="12"/>
  <c r="O45" i="12"/>
  <c r="N126" i="8"/>
  <c r="O126" i="8" s="1"/>
  <c r="N8" i="8"/>
  <c r="O8" i="8" s="1"/>
  <c r="N9" i="8"/>
  <c r="O9" i="8" s="1"/>
  <c r="N10" i="8"/>
  <c r="O10" i="8" s="1"/>
  <c r="N11" i="8"/>
  <c r="O11" i="8"/>
  <c r="N12" i="8"/>
  <c r="O12" i="8"/>
  <c r="N13" i="8"/>
  <c r="O13" i="8" s="1"/>
  <c r="N14" i="8"/>
  <c r="O14" i="8" s="1"/>
  <c r="N127" i="8"/>
  <c r="O127" i="8" s="1"/>
  <c r="N15" i="8"/>
  <c r="O15" i="8" s="1"/>
  <c r="N16" i="8"/>
  <c r="O16" i="8" s="1"/>
  <c r="N17" i="8"/>
  <c r="O17" i="8" s="1"/>
  <c r="N18" i="8"/>
  <c r="O18" i="8" s="1"/>
  <c r="N19" i="8"/>
  <c r="O19" i="8" s="1"/>
  <c r="N20" i="8"/>
  <c r="O20" i="8" s="1"/>
  <c r="N21" i="8"/>
  <c r="O21" i="8" s="1"/>
  <c r="N22" i="8"/>
  <c r="O22" i="8"/>
  <c r="N23" i="8"/>
  <c r="O23" i="8" s="1"/>
  <c r="N24" i="8"/>
  <c r="O24" i="8" s="1"/>
  <c r="N25" i="8"/>
  <c r="O25" i="8" s="1"/>
  <c r="N26" i="8"/>
  <c r="O26" i="8" s="1"/>
  <c r="N27" i="8"/>
  <c r="O27" i="8" s="1"/>
  <c r="N28" i="8"/>
  <c r="O28" i="8" s="1"/>
  <c r="N29" i="8"/>
  <c r="O29" i="8" s="1"/>
  <c r="N30" i="8"/>
  <c r="O30" i="8" s="1"/>
  <c r="N31" i="8"/>
  <c r="O31" i="8" s="1"/>
  <c r="N32" i="8"/>
  <c r="O32" i="8" s="1"/>
  <c r="N33" i="8"/>
  <c r="O33" i="8" s="1"/>
  <c r="N34" i="8"/>
  <c r="O34" i="8" s="1"/>
  <c r="N35" i="8"/>
  <c r="O35" i="8" s="1"/>
  <c r="N36" i="8"/>
  <c r="O36" i="8"/>
  <c r="N123" i="8"/>
  <c r="N37" i="8"/>
  <c r="O37" i="8" s="1"/>
  <c r="N38" i="8"/>
  <c r="O38" i="8" s="1"/>
  <c r="N39" i="8"/>
  <c r="O39" i="8"/>
  <c r="N40" i="8"/>
  <c r="O40" i="8" s="1"/>
  <c r="N41" i="8"/>
  <c r="O41" i="8" s="1"/>
  <c r="N42" i="8"/>
  <c r="O42" i="8" s="1"/>
  <c r="N43" i="8"/>
  <c r="O43" i="8" s="1"/>
  <c r="N44" i="8"/>
  <c r="O44" i="8" s="1"/>
  <c r="N128" i="8"/>
  <c r="O128" i="8" s="1"/>
  <c r="N45" i="8"/>
  <c r="O45" i="8"/>
  <c r="N46" i="8"/>
  <c r="O46" i="8" s="1"/>
  <c r="N47" i="8"/>
  <c r="O47" i="8" s="1"/>
  <c r="N129" i="8"/>
  <c r="O129" i="8"/>
  <c r="N48" i="8"/>
  <c r="O48" i="8"/>
  <c r="N49" i="8"/>
  <c r="O49" i="8"/>
  <c r="N50" i="8"/>
  <c r="O50" i="8" s="1"/>
  <c r="N51" i="8"/>
  <c r="O51" i="8" s="1"/>
  <c r="N52" i="8"/>
  <c r="O52" i="8" s="1"/>
  <c r="N53" i="8"/>
  <c r="O53" i="8"/>
  <c r="N54" i="8"/>
  <c r="O54" i="8" s="1"/>
  <c r="N55" i="8"/>
  <c r="O55" i="8" s="1"/>
  <c r="N56" i="8"/>
  <c r="O56" i="8"/>
  <c r="N57" i="8"/>
  <c r="O57" i="8"/>
  <c r="N58" i="8"/>
  <c r="O58" i="8" s="1"/>
  <c r="N59" i="8"/>
  <c r="O59" i="8" s="1"/>
  <c r="N60" i="8"/>
  <c r="O60" i="8"/>
  <c r="N61" i="8"/>
  <c r="O61" i="8" s="1"/>
  <c r="N62" i="8"/>
  <c r="O62" i="8" s="1"/>
  <c r="N63" i="8"/>
  <c r="O63" i="8"/>
  <c r="N64" i="8"/>
  <c r="O64" i="8" s="1"/>
  <c r="N65" i="8"/>
  <c r="O65" i="8" s="1"/>
  <c r="N66" i="8"/>
  <c r="O66" i="8" s="1"/>
  <c r="N67" i="8"/>
  <c r="O67" i="8"/>
  <c r="N68" i="8"/>
  <c r="O68" i="8" s="1"/>
  <c r="N69" i="8"/>
  <c r="O69" i="8" s="1"/>
  <c r="N70" i="8"/>
  <c r="O70" i="8" s="1"/>
  <c r="N71" i="8"/>
  <c r="O71" i="8"/>
  <c r="N72" i="8"/>
  <c r="O72" i="8"/>
  <c r="N73" i="8"/>
  <c r="O73" i="8" s="1"/>
  <c r="N74" i="8"/>
  <c r="O74" i="8" s="1"/>
  <c r="N75" i="8"/>
  <c r="O75" i="8" s="1"/>
  <c r="N76" i="8"/>
  <c r="O76" i="8" s="1"/>
  <c r="N77" i="8"/>
  <c r="O77" i="8" s="1"/>
  <c r="N78" i="8"/>
  <c r="O78" i="8" s="1"/>
  <c r="N79" i="8"/>
  <c r="O79" i="8" s="1"/>
  <c r="N80" i="8"/>
  <c r="O80" i="8" s="1"/>
  <c r="N81" i="8"/>
  <c r="O81" i="8" s="1"/>
  <c r="N82" i="8"/>
  <c r="O82" i="8" s="1"/>
  <c r="N83" i="8"/>
  <c r="O83" i="8" s="1"/>
  <c r="N130" i="8"/>
  <c r="O130" i="8" s="1"/>
  <c r="N84" i="8"/>
  <c r="O84" i="8" s="1"/>
  <c r="N85" i="8"/>
  <c r="O85" i="8" s="1"/>
  <c r="N86" i="8"/>
  <c r="O86" i="8" s="1"/>
  <c r="N87" i="8"/>
  <c r="O87" i="8" s="1"/>
  <c r="N88" i="8"/>
  <c r="O88" i="8"/>
  <c r="N89" i="8"/>
  <c r="O89" i="8" s="1"/>
  <c r="N90" i="8"/>
  <c r="O90" i="8" s="1"/>
  <c r="N91" i="8"/>
  <c r="O91" i="8" s="1"/>
  <c r="N92" i="8"/>
  <c r="O92" i="8" s="1"/>
  <c r="N131" i="8"/>
  <c r="O131" i="8" s="1"/>
  <c r="N93" i="8"/>
  <c r="O93" i="8" s="1"/>
  <c r="N94" i="8"/>
  <c r="O94" i="8" s="1"/>
  <c r="N95" i="8"/>
  <c r="O95" i="8"/>
  <c r="N96" i="8"/>
  <c r="O96" i="8" s="1"/>
  <c r="N97" i="8"/>
  <c r="O97" i="8" s="1"/>
  <c r="N98" i="8"/>
  <c r="O98" i="8" s="1"/>
  <c r="N99" i="8"/>
  <c r="O99" i="8"/>
  <c r="N100" i="8"/>
  <c r="O100" i="8" s="1"/>
  <c r="N101" i="8"/>
  <c r="O101" i="8" s="1"/>
  <c r="N102" i="8"/>
  <c r="O102" i="8" s="1"/>
  <c r="N103" i="8"/>
  <c r="O103" i="8" s="1"/>
  <c r="N104" i="8"/>
  <c r="O104" i="8" s="1"/>
  <c r="N105" i="8"/>
  <c r="O105" i="8" s="1"/>
  <c r="N106" i="8"/>
  <c r="O106" i="8"/>
  <c r="N132" i="8"/>
  <c r="O132" i="8" s="1"/>
  <c r="N107" i="8"/>
  <c r="O107" i="8" s="1"/>
  <c r="N108" i="8"/>
  <c r="O108" i="8"/>
  <c r="N109" i="8"/>
  <c r="O109" i="8"/>
  <c r="N110" i="8"/>
  <c r="O110" i="8"/>
  <c r="N111" i="8"/>
  <c r="O111" i="8" s="1"/>
  <c r="N112" i="8"/>
  <c r="O112" i="8" s="1"/>
  <c r="N113" i="8"/>
  <c r="O113" i="8" s="1"/>
  <c r="N114" i="8"/>
  <c r="O114" i="8"/>
  <c r="N115" i="8"/>
  <c r="O115" i="8" s="1"/>
  <c r="N116" i="8"/>
  <c r="O116" i="8" s="1"/>
  <c r="N117" i="8"/>
  <c r="O117" i="8"/>
  <c r="N118" i="8"/>
  <c r="O118" i="8"/>
  <c r="N119" i="8"/>
  <c r="O119" i="8" s="1"/>
  <c r="N133" i="8"/>
  <c r="O133" i="8" s="1"/>
  <c r="N120" i="8"/>
  <c r="O120" i="8"/>
  <c r="N121" i="8"/>
  <c r="O121" i="8" s="1"/>
  <c r="N124" i="8"/>
  <c r="O124" i="8" s="1"/>
  <c r="N125" i="8"/>
  <c r="O125" i="8"/>
  <c r="N134" i="8"/>
  <c r="O134" i="8" s="1"/>
  <c r="N122" i="8"/>
  <c r="O122" i="8" s="1"/>
  <c r="N7" i="8"/>
  <c r="O7" i="8" l="1"/>
  <c r="O123" i="8"/>
  <c r="N8" i="7"/>
  <c r="O8" i="7" s="1"/>
  <c r="N9" i="7"/>
  <c r="N69" i="7"/>
  <c r="N10" i="7"/>
  <c r="O10" i="7" s="1"/>
  <c r="N11" i="7"/>
  <c r="O11" i="7" s="1"/>
  <c r="N12" i="7"/>
  <c r="N13" i="7"/>
  <c r="N70" i="7"/>
  <c r="N14" i="7"/>
  <c r="O14" i="7" s="1"/>
  <c r="N15" i="7"/>
  <c r="N16" i="7"/>
  <c r="O16" i="7" s="1"/>
  <c r="N17" i="7"/>
  <c r="O17" i="7" s="1"/>
  <c r="N71" i="7"/>
  <c r="O71" i="7" s="1"/>
  <c r="N72" i="7"/>
  <c r="N18" i="7"/>
  <c r="O18" i="7"/>
  <c r="N19" i="7"/>
  <c r="N73" i="7"/>
  <c r="O73" i="7" s="1"/>
  <c r="N74" i="7"/>
  <c r="N20" i="7"/>
  <c r="O20" i="7"/>
  <c r="N21" i="7"/>
  <c r="O21" i="7" s="1"/>
  <c r="N22" i="7"/>
  <c r="O22" i="7" s="1"/>
  <c r="N23" i="7"/>
  <c r="N24" i="7"/>
  <c r="O24" i="7"/>
  <c r="N25" i="7"/>
  <c r="N75" i="7"/>
  <c r="O75" i="7" s="1"/>
  <c r="N26" i="7"/>
  <c r="N27" i="7"/>
  <c r="O27" i="7" s="1"/>
  <c r="N28" i="7"/>
  <c r="N29" i="7"/>
  <c r="O29" i="7" s="1"/>
  <c r="N30" i="7"/>
  <c r="N31" i="7"/>
  <c r="O31" i="7" s="1"/>
  <c r="N32" i="7"/>
  <c r="N33" i="7"/>
  <c r="O33" i="7" s="1"/>
  <c r="N34" i="7"/>
  <c r="N67" i="7"/>
  <c r="O67" i="7"/>
  <c r="N35" i="7"/>
  <c r="N36" i="7"/>
  <c r="O36" i="7" s="1"/>
  <c r="N37" i="7"/>
  <c r="N38" i="7"/>
  <c r="N39" i="7"/>
  <c r="N40" i="7"/>
  <c r="O40" i="7" s="1"/>
  <c r="N41" i="7"/>
  <c r="N42" i="7"/>
  <c r="O42" i="7" s="1"/>
  <c r="N43" i="7"/>
  <c r="N44" i="7"/>
  <c r="O44" i="7" s="1"/>
  <c r="N45" i="7"/>
  <c r="N46" i="7"/>
  <c r="O46" i="7" s="1"/>
  <c r="N47" i="7"/>
  <c r="N48" i="7"/>
  <c r="O48" i="7" s="1"/>
  <c r="N49" i="7"/>
  <c r="N50" i="7"/>
  <c r="O50" i="7"/>
  <c r="N51" i="7"/>
  <c r="N52" i="7"/>
  <c r="O52" i="7" s="1"/>
  <c r="N53" i="7"/>
  <c r="N54" i="7"/>
  <c r="O54" i="7" s="1"/>
  <c r="N55" i="7"/>
  <c r="N56" i="7"/>
  <c r="O56" i="7" s="1"/>
  <c r="N57" i="7"/>
  <c r="N58" i="7"/>
  <c r="O58" i="7" s="1"/>
  <c r="N59" i="7"/>
  <c r="N60" i="7"/>
  <c r="O60" i="7" s="1"/>
  <c r="N61" i="7"/>
  <c r="N62" i="7"/>
  <c r="O62" i="7" s="1"/>
  <c r="N63" i="7"/>
  <c r="N64" i="7"/>
  <c r="O64" i="7" s="1"/>
  <c r="N65" i="7"/>
  <c r="N66" i="7"/>
  <c r="O66" i="7"/>
  <c r="N68" i="7"/>
  <c r="N7" i="7"/>
  <c r="D126" i="8"/>
  <c r="D8" i="8"/>
  <c r="D9" i="8"/>
  <c r="D10" i="8"/>
  <c r="D11" i="8"/>
  <c r="D12" i="8"/>
  <c r="D13" i="8"/>
  <c r="D14" i="8"/>
  <c r="D127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123" i="8"/>
  <c r="D37" i="8"/>
  <c r="D38" i="8"/>
  <c r="D39" i="8"/>
  <c r="D40" i="8"/>
  <c r="D41" i="8"/>
  <c r="D42" i="8"/>
  <c r="D43" i="8"/>
  <c r="D44" i="8"/>
  <c r="D128" i="8"/>
  <c r="D45" i="8"/>
  <c r="D46" i="8"/>
  <c r="D47" i="8"/>
  <c r="D129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130" i="8"/>
  <c r="D84" i="8"/>
  <c r="D85" i="8"/>
  <c r="D86" i="8"/>
  <c r="D87" i="8"/>
  <c r="D88" i="8"/>
  <c r="D89" i="8"/>
  <c r="D90" i="8"/>
  <c r="D91" i="8"/>
  <c r="D92" i="8"/>
  <c r="D131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32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33" i="8"/>
  <c r="D120" i="8"/>
  <c r="D121" i="8"/>
  <c r="D124" i="8"/>
  <c r="D125" i="8"/>
  <c r="D134" i="8"/>
  <c r="D122" i="8"/>
  <c r="D7" i="8"/>
  <c r="D8" i="7"/>
  <c r="D9" i="7"/>
  <c r="D69" i="7"/>
  <c r="D10" i="7"/>
  <c r="D11" i="7"/>
  <c r="D12" i="7"/>
  <c r="D13" i="7"/>
  <c r="D70" i="7"/>
  <c r="D14" i="7"/>
  <c r="D15" i="7"/>
  <c r="D16" i="7"/>
  <c r="D17" i="7"/>
  <c r="D71" i="7"/>
  <c r="D72" i="7"/>
  <c r="D18" i="7"/>
  <c r="D19" i="7"/>
  <c r="D73" i="7"/>
  <c r="D74" i="7"/>
  <c r="D20" i="7"/>
  <c r="D21" i="7"/>
  <c r="D22" i="7"/>
  <c r="D23" i="7"/>
  <c r="D24" i="7"/>
  <c r="D25" i="7"/>
  <c r="D7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8" i="7"/>
  <c r="D7" i="7"/>
  <c r="P41" i="12" l="1"/>
  <c r="P44" i="12"/>
  <c r="P42" i="12"/>
  <c r="P43" i="12"/>
  <c r="O69" i="7"/>
  <c r="O7" i="7"/>
  <c r="O63" i="7"/>
  <c r="O57" i="7"/>
  <c r="O32" i="7"/>
  <c r="O26" i="7"/>
  <c r="O43" i="7"/>
  <c r="O37" i="7"/>
  <c r="O12" i="7"/>
  <c r="O55" i="7"/>
  <c r="O49" i="7"/>
  <c r="O25" i="7"/>
  <c r="O74" i="7"/>
  <c r="O68" i="7"/>
  <c r="O61" i="7"/>
  <c r="O35" i="7"/>
  <c r="O30" i="7"/>
  <c r="O47" i="7"/>
  <c r="O41" i="7"/>
  <c r="O19" i="7"/>
  <c r="O15" i="7"/>
  <c r="O59" i="7"/>
  <c r="O53" i="7"/>
  <c r="O28" i="7"/>
  <c r="O23" i="7"/>
  <c r="O65" i="7"/>
  <c r="O39" i="7"/>
  <c r="O34" i="7"/>
  <c r="O70" i="7"/>
  <c r="O9" i="7"/>
  <c r="O51" i="7"/>
  <c r="O45" i="7"/>
  <c r="O38" i="7"/>
  <c r="O72" i="7"/>
  <c r="O13" i="7"/>
</calcChain>
</file>

<file path=xl/sharedStrings.xml><?xml version="1.0" encoding="utf-8"?>
<sst xmlns="http://schemas.openxmlformats.org/spreadsheetml/2006/main" count="1452" uniqueCount="322">
  <si>
    <t>AXLE LOAD SURVEY FORM</t>
  </si>
  <si>
    <t>Date:</t>
  </si>
  <si>
    <t>Station Name:</t>
  </si>
  <si>
    <t>S/No.</t>
  </si>
  <si>
    <t>Time</t>
  </si>
  <si>
    <t>Reg. Number</t>
  </si>
  <si>
    <t>Number of Axles</t>
  </si>
  <si>
    <t>Axle Configuration</t>
  </si>
  <si>
    <t>Axle 1</t>
  </si>
  <si>
    <t>Axle 2</t>
  </si>
  <si>
    <t>Axle 3</t>
  </si>
  <si>
    <t>Axle 4</t>
  </si>
  <si>
    <t>Axle 5</t>
  </si>
  <si>
    <t>Axle 6</t>
  </si>
  <si>
    <t>Axle 7</t>
  </si>
  <si>
    <t>Total (Tonnes)</t>
  </si>
  <si>
    <t>Vehicle Type</t>
  </si>
  <si>
    <t>Front</t>
  </si>
  <si>
    <t>Total (ESA's)</t>
  </si>
  <si>
    <t>COMMENTS</t>
  </si>
  <si>
    <t>UAY048K</t>
  </si>
  <si>
    <t>UBD203G</t>
  </si>
  <si>
    <t>UAU133B</t>
  </si>
  <si>
    <t>KBT049Z</t>
  </si>
  <si>
    <t>UBF793B</t>
  </si>
  <si>
    <t>UBE033R</t>
  </si>
  <si>
    <t>UAT260A</t>
  </si>
  <si>
    <t>UAU932V</t>
  </si>
  <si>
    <t>UBD295U</t>
  </si>
  <si>
    <t>UBB789J</t>
  </si>
  <si>
    <t>UBA226K</t>
  </si>
  <si>
    <t>UBE435L</t>
  </si>
  <si>
    <t>UAU334H</t>
  </si>
  <si>
    <t>KBP786U</t>
  </si>
  <si>
    <t>KBW043H</t>
  </si>
  <si>
    <t>UBD487T</t>
  </si>
  <si>
    <t>UBB073U</t>
  </si>
  <si>
    <t>UBA059Q</t>
  </si>
  <si>
    <t>UAZ199F</t>
  </si>
  <si>
    <t>UBB688U</t>
  </si>
  <si>
    <t>UAW552K</t>
  </si>
  <si>
    <t>UAX247U</t>
  </si>
  <si>
    <t>UBB472P</t>
  </si>
  <si>
    <t>UAM547L</t>
  </si>
  <si>
    <t>UAX172J</t>
  </si>
  <si>
    <t>UAN961D</t>
  </si>
  <si>
    <t>UBF285J</t>
  </si>
  <si>
    <t>UAP216H</t>
  </si>
  <si>
    <t>1*2</t>
  </si>
  <si>
    <t>1*22*22</t>
  </si>
  <si>
    <t>1*22*222</t>
  </si>
  <si>
    <t>Agric Produce</t>
  </si>
  <si>
    <t>Equipment</t>
  </si>
  <si>
    <t/>
  </si>
  <si>
    <t>Building Mat./Hardware</t>
  </si>
  <si>
    <t>UAT292G</t>
  </si>
  <si>
    <t>UAY410B</t>
  </si>
  <si>
    <t>UAN393Z</t>
  </si>
  <si>
    <t>UBE378N</t>
  </si>
  <si>
    <t>UAY389K</t>
  </si>
  <si>
    <t>UAK004J</t>
  </si>
  <si>
    <t>UBB345G</t>
  </si>
  <si>
    <t>UBC880B</t>
  </si>
  <si>
    <t>UAP518R</t>
  </si>
  <si>
    <t>UBD582A</t>
  </si>
  <si>
    <t>UAZ597L</t>
  </si>
  <si>
    <t>KCT753J</t>
  </si>
  <si>
    <t>UAY685D</t>
  </si>
  <si>
    <t>UAZ119V</t>
  </si>
  <si>
    <t>UAT985J</t>
  </si>
  <si>
    <t>UAZ289B</t>
  </si>
  <si>
    <t>UAU551M</t>
  </si>
  <si>
    <t>UBF965P</t>
  </si>
  <si>
    <t>UBA069E</t>
  </si>
  <si>
    <t>UAW240R</t>
  </si>
  <si>
    <t>UAQ490Q</t>
  </si>
  <si>
    <t>UBA391L</t>
  </si>
  <si>
    <t>UAU123F</t>
  </si>
  <si>
    <t>UBA182B</t>
  </si>
  <si>
    <t>UAX450Y</t>
  </si>
  <si>
    <t>UAX907N</t>
  </si>
  <si>
    <t>UBF419E</t>
  </si>
  <si>
    <t>UBB062F</t>
  </si>
  <si>
    <t>UAN923C</t>
  </si>
  <si>
    <t>UBA789R</t>
  </si>
  <si>
    <t>UAX382B</t>
  </si>
  <si>
    <t>UAY564F</t>
  </si>
  <si>
    <t>UAU804U</t>
  </si>
  <si>
    <t>UAY401S</t>
  </si>
  <si>
    <t>UAR810E</t>
  </si>
  <si>
    <t>UBA033O</t>
  </si>
  <si>
    <t>UAW706D</t>
  </si>
  <si>
    <t>UBD697B</t>
  </si>
  <si>
    <t>UBD497V</t>
  </si>
  <si>
    <t>UBD655C</t>
  </si>
  <si>
    <t>UAN545L</t>
  </si>
  <si>
    <t>UAY760P</t>
  </si>
  <si>
    <t>UAF132L</t>
  </si>
  <si>
    <t>UAZ209D</t>
  </si>
  <si>
    <t>UAW117C</t>
  </si>
  <si>
    <t>UAW349F</t>
  </si>
  <si>
    <t>1*2*</t>
  </si>
  <si>
    <t>1*2*2</t>
  </si>
  <si>
    <t>1*22-22*22</t>
  </si>
  <si>
    <t>Others</t>
  </si>
  <si>
    <t>Processed Foods &amp; Beverages</t>
  </si>
  <si>
    <t>UAZ665H</t>
  </si>
  <si>
    <t>UAB132X</t>
  </si>
  <si>
    <t>UAZ733Y</t>
  </si>
  <si>
    <t>UBE722H</t>
  </si>
  <si>
    <t>UAM939H</t>
  </si>
  <si>
    <t>UAY622X</t>
  </si>
  <si>
    <t>UAZ896U</t>
  </si>
  <si>
    <t>UBE428C</t>
  </si>
  <si>
    <t>UBD584Y</t>
  </si>
  <si>
    <t>UAL518B</t>
  </si>
  <si>
    <t>UBD575B</t>
  </si>
  <si>
    <t>UBD478T</t>
  </si>
  <si>
    <t>UBF570D</t>
  </si>
  <si>
    <t>UAA122Y</t>
  </si>
  <si>
    <t>UAZ431H</t>
  </si>
  <si>
    <t>UBE268A</t>
  </si>
  <si>
    <t>UBF189F</t>
  </si>
  <si>
    <t>UAX333K</t>
  </si>
  <si>
    <t>UAX174J</t>
  </si>
  <si>
    <t>UBA424L</t>
  </si>
  <si>
    <t>UBA764K</t>
  </si>
  <si>
    <t>UBA374L</t>
  </si>
  <si>
    <t>UAU634M</t>
  </si>
  <si>
    <t>Shop items</t>
  </si>
  <si>
    <t>UBA257G</t>
  </si>
  <si>
    <t>UBB699M</t>
  </si>
  <si>
    <t>UAY812G</t>
  </si>
  <si>
    <t>UBB817G</t>
  </si>
  <si>
    <t>UAX671J</t>
  </si>
  <si>
    <t>UAW744K</t>
  </si>
  <si>
    <t>UBA614N</t>
  </si>
  <si>
    <t>UBA889P</t>
  </si>
  <si>
    <t>UBF856L</t>
  </si>
  <si>
    <t>UBD575E</t>
  </si>
  <si>
    <t>UBD813N</t>
  </si>
  <si>
    <t>UBD944K</t>
  </si>
  <si>
    <t>UBE211P</t>
  </si>
  <si>
    <t>UBD290L</t>
  </si>
  <si>
    <t>UAP394M</t>
  </si>
  <si>
    <t>UAU755W</t>
  </si>
  <si>
    <t>UAT198J</t>
  </si>
  <si>
    <t>UBB904L</t>
  </si>
  <si>
    <t>UAM328M</t>
  </si>
  <si>
    <t>UBE447B</t>
  </si>
  <si>
    <t>UBF927K</t>
  </si>
  <si>
    <t>UAZ478H</t>
  </si>
  <si>
    <t>UBB215Q</t>
  </si>
  <si>
    <t>UAX801K</t>
  </si>
  <si>
    <t>UBF760J</t>
  </si>
  <si>
    <t>UBC811B</t>
  </si>
  <si>
    <t>UAX641A</t>
  </si>
  <si>
    <t>UBE678J</t>
  </si>
  <si>
    <t>UAQ197E</t>
  </si>
  <si>
    <t>UAX969L</t>
  </si>
  <si>
    <t>UBA267W</t>
  </si>
  <si>
    <t>UAM364J</t>
  </si>
  <si>
    <t>UAY390G</t>
  </si>
  <si>
    <t>UBE124U</t>
  </si>
  <si>
    <t>UBC212D</t>
  </si>
  <si>
    <t>1*2*22</t>
  </si>
  <si>
    <t>UAY463W</t>
  </si>
  <si>
    <t>UAX553Y</t>
  </si>
  <si>
    <t>UAU932Y</t>
  </si>
  <si>
    <t>UAA984W</t>
  </si>
  <si>
    <t>UAN567J</t>
  </si>
  <si>
    <t>UAM328T</t>
  </si>
  <si>
    <t>UAT568T</t>
  </si>
  <si>
    <t>UAU585K</t>
  </si>
  <si>
    <t>UAR513M</t>
  </si>
  <si>
    <t>UAP132X</t>
  </si>
  <si>
    <t>UAT285J</t>
  </si>
  <si>
    <t>UAJ112G</t>
  </si>
  <si>
    <t>UAW951M</t>
  </si>
  <si>
    <t>UBF114N</t>
  </si>
  <si>
    <t>UAP578R</t>
  </si>
  <si>
    <t>UAK394E</t>
  </si>
  <si>
    <t>Fuels (Gas &amp; Liquid)</t>
  </si>
  <si>
    <t>UBE077M</t>
  </si>
  <si>
    <t>UAZ551A</t>
  </si>
  <si>
    <t>UAU562H</t>
  </si>
  <si>
    <t>UB D686N</t>
  </si>
  <si>
    <t>UBD187S</t>
  </si>
  <si>
    <t>UBA546S</t>
  </si>
  <si>
    <t>UAY386S</t>
  </si>
  <si>
    <t>UBD500K</t>
  </si>
  <si>
    <t>UAU445A</t>
  </si>
  <si>
    <t>UAU385K</t>
  </si>
  <si>
    <t>UAZ284S</t>
  </si>
  <si>
    <t>UAY764O</t>
  </si>
  <si>
    <t>UBD433F</t>
  </si>
  <si>
    <t>UBD017H</t>
  </si>
  <si>
    <t>UAY224E</t>
  </si>
  <si>
    <t>UAY188B</t>
  </si>
  <si>
    <t>UAY755Q</t>
  </si>
  <si>
    <t>UBF712H</t>
  </si>
  <si>
    <t>UBA376B</t>
  </si>
  <si>
    <t>UAE335D</t>
  </si>
  <si>
    <t>UAY319F</t>
  </si>
  <si>
    <t>UBD955J</t>
  </si>
  <si>
    <t>UAJ370K</t>
  </si>
  <si>
    <t>UAZ545V</t>
  </si>
  <si>
    <t>UBA058H</t>
  </si>
  <si>
    <t>UAQ441B</t>
  </si>
  <si>
    <t>UAY468E</t>
  </si>
  <si>
    <t>UBB142N</t>
  </si>
  <si>
    <t>UAW995P</t>
  </si>
  <si>
    <t>UAP221R</t>
  </si>
  <si>
    <t>UAR355R</t>
  </si>
  <si>
    <t>UAT370N</t>
  </si>
  <si>
    <t>UAW372S</t>
  </si>
  <si>
    <t>UBA301Q</t>
  </si>
  <si>
    <t>UBA189R</t>
  </si>
  <si>
    <t>UAD984L</t>
  </si>
  <si>
    <t>UAV296N</t>
  </si>
  <si>
    <t>UAY875L</t>
  </si>
  <si>
    <t>UBE589S</t>
  </si>
  <si>
    <t>UAQ817A</t>
  </si>
  <si>
    <t>UBE702M</t>
  </si>
  <si>
    <t>KAT923H</t>
  </si>
  <si>
    <t>UAX172M</t>
  </si>
  <si>
    <t>1*21</t>
  </si>
  <si>
    <t>Livestock</t>
  </si>
  <si>
    <t>KAKIRI</t>
  </si>
  <si>
    <t>TONNES</t>
  </si>
  <si>
    <t>HOIMA-KAMPALA</t>
  </si>
  <si>
    <t>KAMPALA - HOIMA</t>
  </si>
  <si>
    <t>Consultancy services for Preparation of Expressway Development Master Plan (EDMP) for Uganda</t>
  </si>
  <si>
    <t>OVERLOADED?</t>
  </si>
  <si>
    <t>Overloaded by?</t>
  </si>
  <si>
    <t xml:space="preserve"> TRUCK TYPES</t>
  </si>
  <si>
    <t>2-Axles</t>
  </si>
  <si>
    <t>3-Axle</t>
  </si>
  <si>
    <t>4-Axle</t>
  </si>
  <si>
    <t>5-Axle</t>
  </si>
  <si>
    <t>6-Axle</t>
  </si>
  <si>
    <t>7-Axle</t>
  </si>
  <si>
    <t xml:space="preserve">LIGHT SINGLE UNIT TRUCK-DYNAS AND TRACTORS(2 axles) </t>
  </si>
  <si>
    <t xml:space="preserve">LIGHT/MEDIUM SINGLE UNIT TRUCKS (3 axles) </t>
  </si>
  <si>
    <t>MEDIUM - SINGLE UNIT TRUCKS-LORRIES, FUSOS (4 axles)</t>
  </si>
  <si>
    <t>1.1-22</t>
  </si>
  <si>
    <t>HEAVY TRUCK RIGID (5 axles)</t>
  </si>
  <si>
    <t>1.1-222</t>
  </si>
  <si>
    <t>1.2-222</t>
  </si>
  <si>
    <t>1.22-22</t>
  </si>
  <si>
    <t>TRUCK TRAILER AND SEMI TRAILER (6 axles)</t>
  </si>
  <si>
    <t>1.12-222</t>
  </si>
  <si>
    <t>1.22-222</t>
  </si>
  <si>
    <t>1.22+1-22</t>
  </si>
  <si>
    <t>1.22+2-22</t>
  </si>
  <si>
    <t>1.21-222</t>
  </si>
  <si>
    <t>1.22-111</t>
  </si>
  <si>
    <t>TRUCK TRAILER  TYPE 2 (7 axles)</t>
  </si>
  <si>
    <t>1.11+11-11</t>
  </si>
  <si>
    <t>1.22+22-22</t>
  </si>
  <si>
    <t>1.12+11-22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</si>
  <si>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</si>
  <si>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</si>
  <si>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</si>
  <si>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</si>
  <si>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1*1</t>
  </si>
  <si>
    <t>Light Truck</t>
  </si>
  <si>
    <t>Medium Truck</t>
  </si>
  <si>
    <t>1*22</t>
  </si>
  <si>
    <t>Heavy Truck</t>
  </si>
  <si>
    <t>Truck Trailer</t>
  </si>
  <si>
    <t>1*22-22</t>
  </si>
  <si>
    <t>1*2*2*2</t>
  </si>
  <si>
    <t>1*22*2*22</t>
  </si>
  <si>
    <t>11*22</t>
  </si>
  <si>
    <t>Vehicle Categories</t>
  </si>
  <si>
    <t>Load Description</t>
  </si>
  <si>
    <t>Truck Type</t>
  </si>
  <si>
    <t>Both Directions</t>
  </si>
  <si>
    <t>Category</t>
  </si>
  <si>
    <t>Light/Medium Trucks</t>
  </si>
  <si>
    <t>Agricultural produce</t>
  </si>
  <si>
    <t>Heavy Trucks</t>
  </si>
  <si>
    <t>Perishable</t>
  </si>
  <si>
    <t>Truck/Trailer</t>
  </si>
  <si>
    <t>Construction Material</t>
  </si>
  <si>
    <t>Totals</t>
  </si>
  <si>
    <t>Metal/machinery</t>
  </si>
  <si>
    <t>Forestry products</t>
  </si>
  <si>
    <t>Fuels</t>
  </si>
  <si>
    <t>Chemical Products</t>
  </si>
  <si>
    <t xml:space="preserve">Household retail products </t>
  </si>
  <si>
    <t>Empty</t>
  </si>
  <si>
    <t>Total</t>
  </si>
  <si>
    <t>Comment</t>
  </si>
  <si>
    <t>Food crop</t>
  </si>
  <si>
    <t xml:space="preserve"> (Maize,rice,wheat etc)</t>
  </si>
  <si>
    <t>Cash Crops</t>
  </si>
  <si>
    <t xml:space="preserve"> (coffee,tea etc)</t>
  </si>
  <si>
    <t xml:space="preserve"> (fish,milk,tea etc)</t>
  </si>
  <si>
    <t xml:space="preserve">Construction Material </t>
  </si>
  <si>
    <t>(cement, gravel,stones,gravel,pipes)</t>
  </si>
  <si>
    <t xml:space="preserve"> (timber &amp; charcoal)</t>
  </si>
  <si>
    <t xml:space="preserve"> (any petroleum products)</t>
  </si>
  <si>
    <t xml:space="preserve"> (fertilizer,paints)</t>
  </si>
  <si>
    <t xml:space="preserve"> (cows,goats,camel etc)</t>
  </si>
  <si>
    <t>(beverage,oil,sugar,salt,flour)</t>
  </si>
  <si>
    <t>Others (Pl specify)</t>
  </si>
  <si>
    <t>Load limit (Tonnes)</t>
  </si>
  <si>
    <t>Overload Bands</t>
  </si>
  <si>
    <t>Average Total Loading (Tonnes)</t>
  </si>
  <si>
    <t>Limit</t>
  </si>
  <si>
    <t>Proportion of Overloaded Trucks</t>
  </si>
  <si>
    <t>0-4.9%</t>
  </si>
  <si>
    <t>5-25%</t>
  </si>
  <si>
    <t>25-50%</t>
  </si>
  <si>
    <t>Over 50%</t>
  </si>
  <si>
    <t>AXLE LOAD DATA ANALYSIS (KAMPALA - HOIMA HIGHWAY)</t>
  </si>
  <si>
    <t>Household retail products</t>
  </si>
  <si>
    <t>Overall</t>
  </si>
  <si>
    <t>Kampala-Hoima</t>
  </si>
  <si>
    <t>Hoima-Kampala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</si>
</sst>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8" fillId="0" borderId="0" applyFont="0" applyFill="0" applyBorder="0" applyAlignment="0" applyProtection="0"/>
    <xf numFmtId="0" fontId="9" fillId="0" borderId="0"/>
    <xf numFmtId="0" fontId="12" fillId="0" borderId="0"/>
    <xf numFmtId="41" fontId="8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/>
    <xf numFmtId="0" fontId="2" fillId="0" borderId="0" xfId="0" applyFont="1"/>
    <xf numFmtId="0" fontId="3" fillId="0" borderId="0" xfId="0" applyFont="1" applyBorder="1" applyAlignment="1"/>
    <xf numFmtId="0" fontId="2" fillId="0" borderId="1" xfId="0" applyFont="1" applyBorder="1"/>
    <xf numFmtId="0" fontId="4" fillId="0" borderId="0" xfId="0" applyFont="1" applyBorder="1"/>
    <xf numFmtId="0" fontId="1" fillId="0" borderId="4" xfId="0" applyFont="1" applyBorder="1" applyAlignment="1">
      <alignment vertical="top" wrapText="1"/>
    </xf>
    <xf numFmtId="0" fontId="0" fillId="0" borderId="6" xfId="0" applyBorder="1"/>
    <xf numFmtId="164" fontId="2" fillId="0" borderId="2" xfId="0" applyNumberFormat="1" applyFont="1" applyBorder="1"/>
    <xf numFmtId="0" fontId="2" fillId="0" borderId="12" xfId="0" applyFont="1" applyBorder="1"/>
    <xf numFmtId="165" fontId="2" fillId="0" borderId="3" xfId="0" applyNumberFormat="1" applyFont="1" applyBorder="1"/>
    <xf numFmtId="165" fontId="2" fillId="0" borderId="1" xfId="0" applyNumberFormat="1" applyFont="1" applyBorder="1"/>
    <xf numFmtId="49" fontId="1" fillId="0" borderId="0" xfId="0" applyNumberFormat="1" applyFont="1" applyBorder="1"/>
    <xf numFmtId="49" fontId="2" fillId="0" borderId="1" xfId="0" applyNumberFormat="1" applyFont="1" applyBorder="1"/>
    <xf numFmtId="49" fontId="0" fillId="0" borderId="0" xfId="0" applyNumberFormat="1"/>
    <xf numFmtId="2" fontId="2" fillId="0" borderId="3" xfId="0" applyNumberFormat="1" applyFont="1" applyBorder="1"/>
    <xf numFmtId="49" fontId="2" fillId="0" borderId="0" xfId="0" applyNumberFormat="1" applyFont="1"/>
    <xf numFmtId="2" fontId="2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49" fontId="2" fillId="0" borderId="0" xfId="0" applyNumberFormat="1" applyFont="1" applyBorder="1"/>
    <xf numFmtId="0" fontId="2" fillId="2" borderId="12" xfId="0" applyFont="1" applyFill="1" applyBorder="1"/>
    <xf numFmtId="164" fontId="2" fillId="2" borderId="2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5" fontId="2" fillId="2" borderId="1" xfId="0" applyNumberFormat="1" applyFont="1" applyFill="1" applyBorder="1"/>
    <xf numFmtId="2" fontId="2" fillId="2" borderId="3" xfId="0" applyNumberFormat="1" applyFont="1" applyFill="1" applyBorder="1"/>
    <xf numFmtId="165" fontId="2" fillId="2" borderId="3" xfId="0" applyNumberFormat="1" applyFont="1" applyFill="1" applyBorder="1"/>
    <xf numFmtId="0" fontId="0" fillId="2" borderId="6" xfId="0" applyFill="1" applyBorder="1"/>
    <xf numFmtId="0" fontId="0" fillId="2" borderId="0" xfId="0" applyFill="1"/>
    <xf numFmtId="0" fontId="1" fillId="0" borderId="0" xfId="0" applyFont="1" applyBorder="1" applyAlignment="1">
      <alignment horizontal="center"/>
    </xf>
    <xf numFmtId="165" fontId="6" fillId="2" borderId="1" xfId="0" applyNumberFormat="1" applyFont="1" applyFill="1" applyBorder="1"/>
    <xf numFmtId="166" fontId="2" fillId="0" borderId="14" xfId="0" applyNumberFormat="1" applyFont="1" applyBorder="1"/>
    <xf numFmtId="166" fontId="2" fillId="0" borderId="14" xfId="0" applyNumberFormat="1" applyFont="1" applyBorder="1" applyAlignment="1">
      <alignment horizontal="center"/>
    </xf>
    <xf numFmtId="166" fontId="2" fillId="0" borderId="3" xfId="0" applyNumberFormat="1" applyFont="1" applyBorder="1"/>
    <xf numFmtId="0" fontId="9" fillId="0" borderId="0" xfId="2"/>
    <xf numFmtId="0" fontId="9" fillId="0" borderId="0" xfId="2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1" fillId="0" borderId="0" xfId="0" applyFont="1"/>
    <xf numFmtId="0" fontId="5" fillId="0" borderId="0" xfId="0" applyFont="1"/>
    <xf numFmtId="0" fontId="0" fillId="0" borderId="1" xfId="0" applyBorder="1"/>
    <xf numFmtId="166" fontId="0" fillId="0" borderId="1" xfId="0" applyNumberFormat="1" applyBorder="1"/>
    <xf numFmtId="0" fontId="13" fillId="0" borderId="0" xfId="3" applyFont="1" applyAlignment="1">
      <alignment vertical="center"/>
    </xf>
    <xf numFmtId="0" fontId="13" fillId="0" borderId="17" xfId="3" applyFont="1" applyBorder="1" applyAlignment="1">
      <alignment vertical="center" wrapText="1"/>
    </xf>
    <xf numFmtId="0" fontId="5" fillId="0" borderId="1" xfId="0" applyFont="1" applyBorder="1"/>
    <xf numFmtId="167" fontId="0" fillId="0" borderId="1" xfId="1" applyNumberFormat="1" applyFont="1" applyBorder="1"/>
    <xf numFmtId="0" fontId="13" fillId="0" borderId="0" xfId="3" applyFont="1" applyAlignment="1">
      <alignment vertical="center" wrapText="1"/>
    </xf>
    <xf numFmtId="0" fontId="13" fillId="0" borderId="18" xfId="3" applyFont="1" applyBorder="1" applyAlignment="1">
      <alignment vertical="center"/>
    </xf>
    <xf numFmtId="0" fontId="13" fillId="0" borderId="0" xfId="3" applyFont="1"/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167" fontId="2" fillId="0" borderId="14" xfId="1" applyNumberFormat="1" applyFont="1" applyBorder="1"/>
    <xf numFmtId="0" fontId="1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4" fillId="0" borderId="0" xfId="3" applyFont="1" applyAlignment="1">
      <alignment vertical="center"/>
    </xf>
    <xf numFmtId="0" fontId="13" fillId="0" borderId="1" xfId="3" applyFont="1" applyBorder="1" applyAlignment="1">
      <alignment vertical="center"/>
    </xf>
    <xf numFmtId="0" fontId="14" fillId="0" borderId="1" xfId="3" applyFont="1" applyBorder="1" applyAlignment="1">
      <alignment vertical="center"/>
    </xf>
    <xf numFmtId="168" fontId="0" fillId="0" borderId="0" xfId="4" applyNumberFormat="1" applyFont="1" applyBorder="1"/>
    <xf numFmtId="41" fontId="0" fillId="0" borderId="0" xfId="4" applyFont="1"/>
    <xf numFmtId="41" fontId="0" fillId="0" borderId="0" xfId="0" applyNumberFormat="1"/>
    <xf numFmtId="167" fontId="5" fillId="0" borderId="1" xfId="1" applyNumberFormat="1" applyFont="1" applyBorder="1"/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horizontal="center" vertical="top" wrapText="1"/>
    </xf>
    <xf numFmtId="15" fontId="4" fillId="0" borderId="0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9" fillId="0" borderId="0" xfId="2" applyAlignment="1">
      <alignment horizontal="center"/>
    </xf>
  </cellXfs>
  <cellStyles count="5">
    <cellStyle name="Comma [0]" xfId="4" builtinId="6"/>
    <cellStyle name="Normal" xfId="0" builtinId="0"/>
    <cellStyle name="Normal 2" xfId="2" xr:uid="{00000000-0005-0000-0000-000001000000}"/>
    <cellStyle name="Normal 2 2" xfId="3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Truck Composition for Kampala - Hoima</a:t>
            </a:r>
            <a:r>
              <a:rPr lang="en-US" sz="1400" b="1" baseline="0"/>
              <a:t> Highway</a:t>
            </a:r>
            <a:endParaRPr lang="en-US" sz="1400" b="1"/>
          </a:p>
        </c:rich>
      </c:tx>
      <c:layout>
        <c:manualLayout>
          <c:xMode val="edge"/>
          <c:yMode val="edge"/>
          <c:x val="0.18979532600532667"/>
          <c:y val="4.5644252760869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374999999999999"/>
          <c:y val="0.13726649305555555"/>
          <c:w val="0.8525880758807588"/>
          <c:h val="0.735417334240228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Kampala-Hoima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plosion val="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D1-4EFE-9FD2-DBE0E7254940}"/>
              </c:ext>
            </c:extLst>
          </c:dPt>
          <c:dPt>
            <c:idx val="1"/>
            <c:invertIfNegative val="0"/>
            <c:bubble3D val="0"/>
            <c:explosion val="1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D1-4EFE-9FD2-DBE0E7254940}"/>
              </c:ext>
            </c:extLst>
          </c:dPt>
          <c:dPt>
            <c:idx val="2"/>
            <c:invertIfNegative val="0"/>
            <c:bubble3D val="0"/>
            <c:explosion val="1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D1-4EFE-9FD2-DBE0E7254940}"/>
              </c:ext>
            </c:extLst>
          </c:dPt>
          <c:cat>
            <c:strRef>
              <c:f>Graphs!$B$5:$B$7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Graphs!$C$5:$C$7</c:f>
              <c:numCache>
                <c:formatCode>General</c:formatCode>
                <c:ptCount val="3"/>
                <c:pt idx="0">
                  <c:v>116</c:v>
                </c:pt>
                <c:pt idx="1">
                  <c:v>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1-4EFE-9FD2-DBE0E7254940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Hoima-Kampala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Graphs!$D$5:$D$7</c:f>
              <c:numCache>
                <c:formatCode>General</c:formatCode>
                <c:ptCount val="3"/>
                <c:pt idx="0">
                  <c:v>60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D1-4EFE-9FD2-DBE0E7254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5989920"/>
        <c:axId val="624706576"/>
      </c:barChart>
      <c:catAx>
        <c:axId val="73598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4706576"/>
        <c:crosses val="autoZero"/>
        <c:auto val="1"/>
        <c:lblAlgn val="ctr"/>
        <c:lblOffset val="100"/>
        <c:noMultiLvlLbl val="0"/>
      </c:catAx>
      <c:valAx>
        <c:axId val="6247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Truck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Composition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7359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Truck Loading (Kampala - Hoima Higwhay)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Kampala-Hoima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Graphs!$C$29:$C$31</c:f>
              <c:numCache>
                <c:formatCode>0.0</c:formatCode>
                <c:ptCount val="3"/>
                <c:pt idx="0">
                  <c:v>10.007767241379312</c:v>
                </c:pt>
                <c:pt idx="1">
                  <c:v>7.6606666666666667</c:v>
                </c:pt>
                <c:pt idx="2">
                  <c:v>32.982999999999997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8-4F0F-9F9E-EE3679F64742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Hoima-Kampala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Graphs!$D$29:$D$31</c:f>
              <c:numCache>
                <c:formatCode>0.0</c:formatCode>
                <c:ptCount val="3"/>
                <c:pt idx="0">
                  <c:v>8.6332666666666658</c:v>
                </c:pt>
                <c:pt idx="1">
                  <c:v>22.484999999999999</c:v>
                </c:pt>
                <c:pt idx="2">
                  <c:v>38.847142857142849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8-4F0F-9F9E-EE3679F64742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Graphs!$E$29:$E$31</c:f>
              <c:numCache>
                <c:formatCode>0.0</c:formatCode>
                <c:ptCount val="3"/>
                <c:pt idx="0">
                  <c:v>9.3205169540229882</c:v>
                </c:pt>
                <c:pt idx="1">
                  <c:v>15.072833333333334</c:v>
                </c:pt>
                <c:pt idx="2">
                  <c:v>35.915071428571423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C8-4F0F-9F9E-EE3679F64742}"/>
            </c:ext>
          </c:extLst>
        </c:ser>
        <c:ser>
          <c:idx val="3"/>
          <c:order val="3"/>
          <c:tx>
            <c:strRef>
              <c:f>Graphs!$F$28</c:f>
              <c:strCache>
                <c:ptCount val="1"/>
                <c:pt idx="0">
                  <c:v>Limit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Graphs!$F$29:$F$31</c:f>
              <c:numCache>
                <c:formatCode>General</c:formatCode>
                <c:ptCount val="3"/>
                <c:pt idx="0">
                  <c:v>18</c:v>
                </c:pt>
                <c:pt idx="1">
                  <c:v>27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C8-4F0F-9F9E-EE3679F647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Truck Loading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Proportion of Overloaded Trucks (Kampala-Hoima)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Kampala-Hoima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Graphs!$C$57:$C$59</c:f>
              <c:numCache>
                <c:formatCode>0.0%</c:formatCode>
                <c:ptCount val="3"/>
                <c:pt idx="0">
                  <c:v>0.25</c:v>
                </c:pt>
                <c:pt idx="1">
                  <c:v>0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6-483D-907F-128E6FE3C846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Hoima-Kampala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Graphs!$D$57:$D$59</c:f>
              <c:numCache>
                <c:formatCode>0.0%</c:formatCode>
                <c:ptCount val="3"/>
                <c:pt idx="0">
                  <c:v>0.13333333333333333</c:v>
                </c:pt>
                <c:pt idx="1">
                  <c:v>0.5</c:v>
                </c:pt>
                <c:pt idx="2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6-483D-907F-128E6FE3C846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Graphs!$E$57:$E$59</c:f>
              <c:numCache>
                <c:formatCode>0.0%</c:formatCode>
                <c:ptCount val="3"/>
                <c:pt idx="0">
                  <c:v>0.19166666666666665</c:v>
                </c:pt>
                <c:pt idx="1">
                  <c:v>0.25</c:v>
                </c:pt>
                <c:pt idx="2">
                  <c:v>0.61904761904761907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76-483D-907F-128E6FE3C8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of Overloading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Percentage By Which Vehicles Are</a:t>
            </a:r>
            <a:r>
              <a:rPr lang="en-US" sz="1400" b="1" baseline="0">
                <a:solidFill>
                  <a:sysClr val="windowText" lastClr="000000"/>
                </a:solidFill>
              </a:rPr>
              <a:t> Overloaded (Kampala-Hoima)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413569001226599"/>
          <c:y val="9.7963675213675216E-2"/>
          <c:w val="0.82436564718183825"/>
          <c:h val="0.673894017094017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Graphs!$N$40</c:f>
              <c:strCache>
                <c:ptCount val="1"/>
                <c:pt idx="0">
                  <c:v>Kampala-Hoima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Graphs!$N$41:$N$44</c:f>
              <c:numCache>
                <c:formatCode>0.0%</c:formatCode>
                <c:ptCount val="4"/>
                <c:pt idx="0">
                  <c:v>0.734375</c:v>
                </c:pt>
                <c:pt idx="1">
                  <c:v>0.1015625</c:v>
                </c:pt>
                <c:pt idx="2">
                  <c:v>0.109375</c:v>
                </c:pt>
                <c:pt idx="3">
                  <c:v>5.46875E-2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01B-854D-FFEB10CC6901}"/>
            </c:ext>
          </c:extLst>
        </c:ser>
        <c:ser>
          <c:idx val="1"/>
          <c:order val="1"/>
          <c:tx>
            <c:strRef>
              <c:f>Graphs!$O$40</c:f>
              <c:strCache>
                <c:ptCount val="1"/>
                <c:pt idx="0">
                  <c:v>Hoima-Kampala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Graphs!$O$41:$O$44</c:f>
              <c:numCache>
                <c:formatCode>0.0%</c:formatCode>
                <c:ptCount val="4"/>
                <c:pt idx="0">
                  <c:v>0.81159420289855078</c:v>
                </c:pt>
                <c:pt idx="1">
                  <c:v>8.6956521739130432E-2</c:v>
                </c:pt>
                <c:pt idx="2">
                  <c:v>7.2463768115942032E-2</c:v>
                </c:pt>
                <c:pt idx="3">
                  <c:v>2.8985507246376812E-2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1-401B-854D-FFEB10CC69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9"/>
        <c:axId val="620641328"/>
        <c:axId val="620643624"/>
      </c:barChart>
      <c:catAx>
        <c:axId val="62064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3624"/>
        <c:crosses val="autoZero"/>
        <c:auto val="1"/>
        <c:lblAlgn val="ctr"/>
        <c:lblOffset val="100"/>
        <c:noMultiLvlLbl val="0"/>
      </c:catAx>
      <c:valAx>
        <c:axId val="62064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Percentage By Which Overloaded</a:t>
                </a:r>
              </a:p>
            </c:rich>
          </c:tx>
          <c:layout>
            <c:manualLayout>
              <c:xMode val="edge"/>
              <c:yMode val="edge"/>
              <c:x val="0.36296796766604333"/>
              <c:y val="0.84897222222222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Load Description (Kampala-Hoima Highway)</a:t>
            </a:r>
          </a:p>
        </c:rich>
      </c:tx>
      <c:layout>
        <c:manualLayout>
          <c:xMode val="edge"/>
          <c:yMode val="edge"/>
          <c:x val="0.32064069134850776"/>
          <c:y val="1.683663899411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Graphs!$M$4</c:f>
              <c:strCache>
                <c:ptCount val="1"/>
                <c:pt idx="0">
                  <c:v>Kampala-Hoima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Graphs!$M$5:$M$15</c:f>
              <c:numCache>
                <c:formatCode>0.0%</c:formatCode>
                <c:ptCount val="11"/>
                <c:pt idx="0">
                  <c:v>0.390625</c:v>
                </c:pt>
                <c:pt idx="1">
                  <c:v>0</c:v>
                </c:pt>
                <c:pt idx="2">
                  <c:v>8.59375E-2</c:v>
                </c:pt>
                <c:pt idx="3">
                  <c:v>0</c:v>
                </c:pt>
                <c:pt idx="4">
                  <c:v>0</c:v>
                </c:pt>
                <c:pt idx="5">
                  <c:v>4.6875E-2</c:v>
                </c:pt>
                <c:pt idx="6">
                  <c:v>0</c:v>
                </c:pt>
                <c:pt idx="7">
                  <c:v>7.8125E-3</c:v>
                </c:pt>
                <c:pt idx="8">
                  <c:v>0.109375</c:v>
                </c:pt>
                <c:pt idx="9">
                  <c:v>0.34375</c:v>
                </c:pt>
                <c:pt idx="10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9-47C4-B2C5-5580D9867312}"/>
            </c:ext>
          </c:extLst>
        </c:ser>
        <c:ser>
          <c:idx val="1"/>
          <c:order val="1"/>
          <c:tx>
            <c:strRef>
              <c:f>Graphs!$N$4</c:f>
              <c:strCache>
                <c:ptCount val="1"/>
                <c:pt idx="0">
                  <c:v>Hoima-Kampala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Graphs!$N$5:$N$15</c:f>
              <c:numCache>
                <c:formatCode>0.0%</c:formatCode>
                <c:ptCount val="11"/>
                <c:pt idx="0">
                  <c:v>0.33333333333333331</c:v>
                </c:pt>
                <c:pt idx="1">
                  <c:v>0</c:v>
                </c:pt>
                <c:pt idx="2">
                  <c:v>4.3478260869565216E-2</c:v>
                </c:pt>
                <c:pt idx="3">
                  <c:v>0.11594202898550725</c:v>
                </c:pt>
                <c:pt idx="4">
                  <c:v>0</c:v>
                </c:pt>
                <c:pt idx="5">
                  <c:v>1.4492753623188406E-2</c:v>
                </c:pt>
                <c:pt idx="6">
                  <c:v>0</c:v>
                </c:pt>
                <c:pt idx="7">
                  <c:v>0</c:v>
                </c:pt>
                <c:pt idx="8">
                  <c:v>0.13043478260869565</c:v>
                </c:pt>
                <c:pt idx="9">
                  <c:v>0.34782608695652173</c:v>
                </c:pt>
                <c:pt idx="10">
                  <c:v>1.4492753623188406E-2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9-47C4-B2C5-5580D9867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619720880"/>
        <c:axId val="619721536"/>
      </c:barChart>
      <c:catAx>
        <c:axId val="6197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1536"/>
        <c:crosses val="autoZero"/>
        <c:auto val="1"/>
        <c:lblAlgn val="ctr"/>
        <c:lblOffset val="100"/>
        <c:noMultiLvlLbl val="0"/>
      </c:catAx>
      <c:valAx>
        <c:axId val="6197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077700" y="182880"/>
          <a:ext cx="1516380" cy="381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A9995-91B1-457C-A53F-A1A047D2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58175" y="428625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A9B73-BEB1-41B6-BFB2-D672835D9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58175" y="428625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12314</xdr:colOff>
      <xdr:row>2</xdr:row>
      <xdr:rowOff>165870</xdr:rowOff>
    </xdr:from>
    <xdr:to>
      <xdr:col>9</xdr:col>
      <xdr:colOff>1047981</xdr:colOff>
      <xdr:row>25</xdr:row>
      <xdr:rowOff>117203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2DBF8C-C5F6-4DE3-86E9-B7D4AF72A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14429</xdr:colOff>
      <xdr:row>26</xdr:row>
      <xdr:rowOff>160095</xdr:rowOff>
    </xdr:from>
    <xdr:to>
      <xdr:col>9</xdr:col>
      <xdr:colOff>1050096</xdr:colOff>
      <xdr:row>51</xdr:row>
      <xdr:rowOff>5595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CF82A-1783-485A-9AF6-45530DC86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14622</xdr:colOff>
      <xdr:row>53</xdr:row>
      <xdr:rowOff>61672</xdr:rowOff>
    </xdr:from>
    <xdr:to>
      <xdr:col>9</xdr:col>
      <xdr:colOff>1063144</xdr:colOff>
      <xdr:row>77</xdr:row>
      <xdr:rowOff>127480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CC1C9-254E-4365-AC2B-5FD94BADE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570537</xdr:colOff>
      <xdr:row>44</xdr:row>
      <xdr:rowOff>92846</xdr:rowOff>
    </xdr:from>
    <xdr:to>
      <xdr:col>21</xdr:col>
      <xdr:colOff>412750</xdr:colOff>
      <xdr:row>68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5508F7-FD2D-4102-93A6-4466D9DA9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69273</xdr:colOff>
      <xdr:row>1</xdr:row>
      <xdr:rowOff>65806</xdr:rowOff>
    </xdr:from>
    <xdr:to>
      <xdr:col>23</xdr:col>
      <xdr:colOff>398318</xdr:colOff>
      <xdr:row>36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B14F80-1E73-4544-9D0A-40EF86DC9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421821</xdr:colOff>
      <xdr:row>1</xdr:row>
      <xdr:rowOff>149678</xdr:rowOff>
    </xdr:from>
    <xdr:to>
      <xdr:col>20</xdr:col>
      <xdr:colOff>555170</xdr:colOff>
      <xdr:row>28</xdr:row>
      <xdr:rowOff>62593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9EDD1CD-E52C-4FE6-B5E8-C4A0F10B6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296" y="311603"/>
          <a:ext cx="3181349" cy="4284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485775</xdr:colOff>
      <xdr:row>1</xdr:row>
      <xdr:rowOff>57149</xdr:rowOff>
    </xdr:from>
    <xdr:to>
      <xdr:col>31</xdr:col>
      <xdr:colOff>464910</xdr:colOff>
      <xdr:row>44</xdr:row>
      <xdr:rowOff>52887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D3026-9A75-4FB7-982B-F3E8A4AF1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19074"/>
          <a:ext cx="5465535" cy="71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2"/>
  <sheetViews>
    <sheetView view="pageBreakPreview" zoomScale="75" zoomScaleNormal="100" zoomScaleSheetLayoutView="75" workbookViewId="0">
      <pane xSplit="1" ySplit="6" topLeftCell="B13" activePane="bottomRight" state="frozen"/>
      <selection pane="topRight" activeCell="B1" sqref="B1"/>
      <selection pane="bottomLeft" activeCell="A6" sqref="A6"/>
      <selection pane="bottomRight" activeCell="D85" sqref="D85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1.28515625" customWidth="1"/>
    <col min="5" max="5" width="9.140625" style="15" customWidth="1"/>
    <col min="6" max="6" width="15.140625" style="15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66" t="s">
        <v>232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x14ac:dyDescent="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6" x14ac:dyDescent="0.25">
      <c r="A3" s="2" t="s">
        <v>1</v>
      </c>
      <c r="B3" s="2"/>
      <c r="C3" s="2"/>
      <c r="D3" s="2" t="s">
        <v>2</v>
      </c>
      <c r="E3" s="17" t="s">
        <v>228</v>
      </c>
      <c r="F3" s="13"/>
      <c r="G3" s="2"/>
      <c r="H3" s="3"/>
      <c r="I3" s="2"/>
      <c r="J3" s="2"/>
      <c r="K3" s="2"/>
      <c r="L3" s="2"/>
      <c r="M3" s="3"/>
      <c r="N3" s="4"/>
      <c r="O3" s="2"/>
    </row>
    <row r="4" spans="1:16" ht="15.75" thickBot="1" x14ac:dyDescent="0.3">
      <c r="A4" s="78">
        <v>43691</v>
      </c>
      <c r="B4" s="78"/>
      <c r="C4" s="2"/>
      <c r="D4" s="6"/>
      <c r="E4" s="17"/>
      <c r="F4" s="13"/>
      <c r="G4" s="2"/>
      <c r="H4" s="21" t="s">
        <v>230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71" t="s">
        <v>3</v>
      </c>
      <c r="B5" s="73" t="s">
        <v>4</v>
      </c>
      <c r="C5" s="70" t="s">
        <v>5</v>
      </c>
      <c r="D5" s="70" t="s">
        <v>16</v>
      </c>
      <c r="E5" s="76" t="s">
        <v>6</v>
      </c>
      <c r="F5" s="76" t="s">
        <v>7</v>
      </c>
      <c r="G5" s="7" t="s">
        <v>17</v>
      </c>
      <c r="H5" s="70" t="s">
        <v>229</v>
      </c>
      <c r="I5" s="70"/>
      <c r="J5" s="70"/>
      <c r="K5" s="70"/>
      <c r="L5" s="70"/>
      <c r="M5" s="70"/>
      <c r="N5" s="70" t="s">
        <v>15</v>
      </c>
      <c r="O5" s="70" t="s">
        <v>18</v>
      </c>
      <c r="P5" s="67" t="s">
        <v>19</v>
      </c>
    </row>
    <row r="6" spans="1:16" ht="13.9" customHeight="1" thickBot="1" x14ac:dyDescent="0.3">
      <c r="A6" s="72"/>
      <c r="B6" s="74"/>
      <c r="C6" s="75"/>
      <c r="D6" s="75"/>
      <c r="E6" s="77"/>
      <c r="F6" s="77"/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75"/>
      <c r="O6" s="75"/>
      <c r="P6" s="68"/>
    </row>
    <row r="7" spans="1:16" ht="24" customHeight="1" x14ac:dyDescent="0.25">
      <c r="A7" s="10">
        <v>1</v>
      </c>
      <c r="B7" s="9">
        <v>0.2986111111111111</v>
      </c>
      <c r="C7" s="5" t="s">
        <v>20</v>
      </c>
      <c r="D7" s="5">
        <v>8</v>
      </c>
      <c r="E7" s="14"/>
      <c r="F7" s="14" t="s">
        <v>48</v>
      </c>
      <c r="G7" s="18">
        <v>2.6</v>
      </c>
      <c r="H7" s="18">
        <v>4</v>
      </c>
      <c r="I7" s="18"/>
      <c r="J7" s="18"/>
      <c r="K7" s="18"/>
      <c r="L7" s="18"/>
      <c r="M7" s="18"/>
      <c r="N7" s="16"/>
      <c r="O7" s="11"/>
      <c r="P7" s="8" t="s">
        <v>51</v>
      </c>
    </row>
    <row r="8" spans="1:16" ht="24" customHeight="1" x14ac:dyDescent="0.25">
      <c r="A8" s="10">
        <v>2</v>
      </c>
      <c r="B8" s="9">
        <v>0.30555555555555552</v>
      </c>
      <c r="C8" s="5" t="s">
        <v>21</v>
      </c>
      <c r="D8" s="5">
        <v>8</v>
      </c>
      <c r="E8" s="14"/>
      <c r="F8" s="14" t="s">
        <v>48</v>
      </c>
      <c r="G8" s="18">
        <v>3.9</v>
      </c>
      <c r="H8" s="18">
        <v>5.9</v>
      </c>
      <c r="I8" s="18"/>
      <c r="J8" s="18"/>
      <c r="K8" s="18"/>
      <c r="L8" s="18"/>
      <c r="M8" s="18"/>
      <c r="N8" s="16"/>
      <c r="O8" s="11"/>
      <c r="P8" s="8" t="s">
        <v>52</v>
      </c>
    </row>
    <row r="9" spans="1:16" ht="24" customHeight="1" x14ac:dyDescent="0.25">
      <c r="A9" s="10">
        <v>3</v>
      </c>
      <c r="B9" s="9">
        <v>0.31736111111111115</v>
      </c>
      <c r="C9" s="5" t="s">
        <v>22</v>
      </c>
      <c r="D9" s="5">
        <v>8</v>
      </c>
      <c r="E9" s="14"/>
      <c r="F9" s="14" t="s">
        <v>48</v>
      </c>
      <c r="G9" s="18">
        <v>2.34</v>
      </c>
      <c r="H9" s="18">
        <v>5</v>
      </c>
      <c r="I9" s="18"/>
      <c r="J9" s="18"/>
      <c r="K9" s="18"/>
      <c r="L9" s="18"/>
      <c r="M9" s="18"/>
      <c r="N9" s="16"/>
      <c r="O9" s="11"/>
      <c r="P9" s="8" t="s">
        <v>51</v>
      </c>
    </row>
    <row r="10" spans="1:16" ht="24" customHeight="1" x14ac:dyDescent="0.25">
      <c r="A10" s="10">
        <v>4</v>
      </c>
      <c r="B10" s="9">
        <v>0.32500000000000001</v>
      </c>
      <c r="C10" s="5" t="s">
        <v>23</v>
      </c>
      <c r="D10" s="5">
        <v>10</v>
      </c>
      <c r="E10" s="14"/>
      <c r="F10" s="14" t="s">
        <v>49</v>
      </c>
      <c r="G10" s="12">
        <v>4.7</v>
      </c>
      <c r="H10" s="12">
        <v>8</v>
      </c>
      <c r="I10" s="12">
        <v>4</v>
      </c>
      <c r="J10" s="12">
        <v>10.119999999999999</v>
      </c>
      <c r="K10" s="12">
        <v>10.1</v>
      </c>
      <c r="L10" s="12"/>
      <c r="M10" s="12"/>
      <c r="N10" s="16"/>
      <c r="O10" s="11"/>
      <c r="P10" s="8" t="s">
        <v>51</v>
      </c>
    </row>
    <row r="11" spans="1:16" ht="24" customHeight="1" x14ac:dyDescent="0.25">
      <c r="A11" s="10">
        <v>5</v>
      </c>
      <c r="B11" s="9">
        <v>0.3298611111111111</v>
      </c>
      <c r="C11" s="5" t="s">
        <v>24</v>
      </c>
      <c r="D11" s="20">
        <v>8</v>
      </c>
      <c r="E11" s="14"/>
      <c r="F11" s="14" t="s">
        <v>48</v>
      </c>
      <c r="G11" s="12">
        <v>1.74</v>
      </c>
      <c r="H11" s="12">
        <v>2.024</v>
      </c>
      <c r="I11" s="12"/>
      <c r="J11" s="12"/>
      <c r="K11" s="12"/>
      <c r="L11" s="12"/>
      <c r="M11" s="12"/>
      <c r="N11" s="16"/>
      <c r="O11" s="11"/>
      <c r="P11" s="8" t="s">
        <v>53</v>
      </c>
    </row>
    <row r="12" spans="1:16" ht="24" customHeight="1" x14ac:dyDescent="0.25">
      <c r="A12" s="10">
        <v>6</v>
      </c>
      <c r="B12" s="9">
        <v>0.33958333333333335</v>
      </c>
      <c r="C12" s="5" t="s">
        <v>25</v>
      </c>
      <c r="D12" s="5">
        <v>8</v>
      </c>
      <c r="E12" s="14"/>
      <c r="F12" s="14" t="s">
        <v>48</v>
      </c>
      <c r="G12" s="12">
        <v>8</v>
      </c>
      <c r="H12" s="12">
        <v>16</v>
      </c>
      <c r="I12" s="12"/>
      <c r="J12" s="12"/>
      <c r="K12" s="12"/>
      <c r="L12" s="12"/>
      <c r="M12" s="12"/>
      <c r="N12" s="16"/>
      <c r="O12" s="11"/>
      <c r="P12" s="8" t="s">
        <v>51</v>
      </c>
    </row>
    <row r="13" spans="1:16" ht="24" customHeight="1" x14ac:dyDescent="0.25">
      <c r="A13" s="10">
        <v>7</v>
      </c>
      <c r="B13" s="9">
        <v>0.34722222222222227</v>
      </c>
      <c r="C13" s="5" t="s">
        <v>26</v>
      </c>
      <c r="D13" s="5">
        <v>8</v>
      </c>
      <c r="E13" s="14"/>
      <c r="F13" s="14" t="s">
        <v>48</v>
      </c>
      <c r="G13" s="12">
        <v>2.2400000000000002</v>
      </c>
      <c r="H13" s="12">
        <v>1.44</v>
      </c>
      <c r="I13" s="12"/>
      <c r="J13" s="12"/>
      <c r="K13" s="12"/>
      <c r="L13" s="12"/>
      <c r="M13" s="12"/>
      <c r="N13" s="16"/>
      <c r="O13" s="11"/>
      <c r="P13" s="8" t="s">
        <v>53</v>
      </c>
    </row>
    <row r="14" spans="1:16" ht="24" customHeight="1" x14ac:dyDescent="0.25">
      <c r="A14" s="10">
        <v>8</v>
      </c>
      <c r="B14" s="9">
        <v>0.35555555555555557</v>
      </c>
      <c r="C14" s="5" t="s">
        <v>27</v>
      </c>
      <c r="D14" s="5">
        <v>8</v>
      </c>
      <c r="E14" s="14"/>
      <c r="F14" s="14" t="s">
        <v>48</v>
      </c>
      <c r="G14" s="12">
        <v>2.8</v>
      </c>
      <c r="H14" s="12">
        <v>1.4</v>
      </c>
      <c r="I14" s="12"/>
      <c r="J14" s="12"/>
      <c r="K14" s="12"/>
      <c r="L14" s="12"/>
      <c r="M14" s="12"/>
      <c r="N14" s="16"/>
      <c r="O14" s="11"/>
      <c r="P14" s="8" t="s">
        <v>53</v>
      </c>
    </row>
    <row r="15" spans="1:16" ht="24" customHeight="1" x14ac:dyDescent="0.25">
      <c r="A15" s="10">
        <v>9</v>
      </c>
      <c r="B15" s="9">
        <v>0.36458333333333331</v>
      </c>
      <c r="C15" s="5" t="s">
        <v>28</v>
      </c>
      <c r="D15" s="5">
        <v>10</v>
      </c>
      <c r="E15" s="14"/>
      <c r="F15" s="14" t="s">
        <v>50</v>
      </c>
      <c r="G15" s="12">
        <v>5.74</v>
      </c>
      <c r="H15" s="12">
        <v>9.52</v>
      </c>
      <c r="I15" s="12">
        <v>8.2799999999999994</v>
      </c>
      <c r="J15" s="12">
        <v>6.04</v>
      </c>
      <c r="K15" s="12">
        <v>7.4</v>
      </c>
      <c r="L15" s="12">
        <v>6.98</v>
      </c>
      <c r="M15" s="12"/>
      <c r="N15" s="16"/>
      <c r="O15" s="11"/>
      <c r="P15" s="8" t="s">
        <v>52</v>
      </c>
    </row>
    <row r="16" spans="1:16" ht="24" customHeight="1" x14ac:dyDescent="0.25">
      <c r="A16" s="10">
        <v>10</v>
      </c>
      <c r="B16" s="9">
        <v>0.3666666666666667</v>
      </c>
      <c r="C16" s="5" t="s">
        <v>29</v>
      </c>
      <c r="D16" s="5">
        <v>8</v>
      </c>
      <c r="E16" s="14"/>
      <c r="F16" s="14" t="s">
        <v>48</v>
      </c>
      <c r="G16" s="12">
        <v>3.04</v>
      </c>
      <c r="H16" s="12">
        <v>6.98</v>
      </c>
      <c r="I16" s="12"/>
      <c r="J16" s="12"/>
      <c r="K16" s="12"/>
      <c r="L16" s="12"/>
      <c r="M16" s="12"/>
      <c r="N16" s="16"/>
      <c r="O16" s="11"/>
      <c r="P16" s="8" t="s">
        <v>54</v>
      </c>
    </row>
    <row r="17" spans="1:16" ht="24" customHeight="1" x14ac:dyDescent="0.25">
      <c r="A17" s="10">
        <v>11</v>
      </c>
      <c r="B17" s="9">
        <v>0.36805555555555558</v>
      </c>
      <c r="C17" s="5" t="s">
        <v>30</v>
      </c>
      <c r="D17" s="5">
        <v>8</v>
      </c>
      <c r="E17" s="14"/>
      <c r="F17" s="14" t="s">
        <v>48</v>
      </c>
      <c r="G17" s="12">
        <v>1.6</v>
      </c>
      <c r="H17" s="12">
        <v>1.98</v>
      </c>
      <c r="I17" s="12"/>
      <c r="J17" s="12"/>
      <c r="K17" s="12"/>
      <c r="L17" s="12"/>
      <c r="M17" s="12"/>
      <c r="N17" s="11"/>
      <c r="O17" s="11"/>
      <c r="P17" s="8" t="s">
        <v>53</v>
      </c>
    </row>
    <row r="18" spans="1:16" ht="24" customHeight="1" x14ac:dyDescent="0.25">
      <c r="A18" s="10">
        <v>12</v>
      </c>
      <c r="B18" s="9">
        <v>0.3743055555555555</v>
      </c>
      <c r="C18" s="5" t="s">
        <v>31</v>
      </c>
      <c r="D18" s="5">
        <v>8</v>
      </c>
      <c r="E18" s="14"/>
      <c r="F18" s="22" t="s">
        <v>48</v>
      </c>
      <c r="G18" s="12">
        <v>1.4</v>
      </c>
      <c r="H18" s="12">
        <v>2.16</v>
      </c>
      <c r="I18" s="12"/>
      <c r="J18" s="12"/>
      <c r="K18" s="12"/>
      <c r="L18" s="12"/>
      <c r="M18" s="12"/>
      <c r="N18" s="11"/>
      <c r="O18" s="11"/>
      <c r="P18" s="8" t="s">
        <v>51</v>
      </c>
    </row>
    <row r="19" spans="1:16" ht="24" customHeight="1" x14ac:dyDescent="0.25">
      <c r="A19" s="10">
        <v>13</v>
      </c>
      <c r="B19" s="9">
        <v>0.37708333333333338</v>
      </c>
      <c r="C19" s="5" t="s">
        <v>32</v>
      </c>
      <c r="D19" s="5">
        <v>8</v>
      </c>
      <c r="E19" s="14"/>
      <c r="F19" s="14" t="s">
        <v>48</v>
      </c>
      <c r="G19" s="12">
        <v>3.48</v>
      </c>
      <c r="H19" s="12">
        <v>12.048</v>
      </c>
      <c r="I19" s="12"/>
      <c r="J19" s="12"/>
      <c r="K19" s="12"/>
      <c r="L19" s="12"/>
      <c r="M19" s="12"/>
      <c r="N19" s="16"/>
      <c r="O19" s="11"/>
      <c r="P19" s="8" t="s">
        <v>51</v>
      </c>
    </row>
    <row r="20" spans="1:16" ht="24" customHeight="1" x14ac:dyDescent="0.25">
      <c r="A20" s="10">
        <v>14</v>
      </c>
      <c r="B20" s="9">
        <v>0.3840277777777778</v>
      </c>
      <c r="C20" s="5" t="s">
        <v>33</v>
      </c>
      <c r="D20" s="5">
        <v>12</v>
      </c>
      <c r="E20" s="14"/>
      <c r="F20" s="14" t="s">
        <v>50</v>
      </c>
      <c r="G20" s="12">
        <v>5.8</v>
      </c>
      <c r="H20" s="12">
        <v>6</v>
      </c>
      <c r="I20" s="12">
        <v>9.8000000000000007</v>
      </c>
      <c r="J20" s="12">
        <v>10</v>
      </c>
      <c r="K20" s="12">
        <v>11</v>
      </c>
      <c r="L20" s="12">
        <v>7</v>
      </c>
      <c r="M20" s="12"/>
      <c r="N20" s="16"/>
      <c r="O20" s="11"/>
      <c r="P20" s="8" t="s">
        <v>51</v>
      </c>
    </row>
    <row r="21" spans="1:16" ht="24" customHeight="1" x14ac:dyDescent="0.25">
      <c r="A21" s="10">
        <v>15</v>
      </c>
      <c r="B21" s="9">
        <v>0.41388888888888892</v>
      </c>
      <c r="C21" s="5" t="s">
        <v>34</v>
      </c>
      <c r="D21" s="5">
        <v>12</v>
      </c>
      <c r="E21" s="14"/>
      <c r="F21" s="14" t="s">
        <v>50</v>
      </c>
      <c r="G21" s="12">
        <v>5.56</v>
      </c>
      <c r="H21" s="12">
        <v>12.96</v>
      </c>
      <c r="I21" s="12">
        <v>13.2</v>
      </c>
      <c r="J21" s="12">
        <v>8.1999999999999993</v>
      </c>
      <c r="K21" s="12">
        <v>4.5999999999999996</v>
      </c>
      <c r="L21" s="12">
        <v>4.4000000000000004</v>
      </c>
      <c r="M21" s="12"/>
      <c r="N21" s="16"/>
      <c r="O21" s="11"/>
      <c r="P21" s="8" t="s">
        <v>51</v>
      </c>
    </row>
    <row r="22" spans="1:16" ht="24" customHeight="1" x14ac:dyDescent="0.25">
      <c r="A22" s="10">
        <v>16</v>
      </c>
      <c r="B22" s="9">
        <v>0.44166666666666665</v>
      </c>
      <c r="C22" s="5" t="s">
        <v>35</v>
      </c>
      <c r="D22" s="5">
        <v>8</v>
      </c>
      <c r="E22" s="14"/>
      <c r="F22" s="14" t="s">
        <v>48</v>
      </c>
      <c r="G22" s="12">
        <v>2.5059999999999998</v>
      </c>
      <c r="H22" s="12">
        <v>2.48</v>
      </c>
      <c r="I22" s="12"/>
      <c r="J22" s="12"/>
      <c r="K22" s="12"/>
      <c r="L22" s="12"/>
      <c r="M22" s="12"/>
      <c r="N22" s="16"/>
      <c r="O22" s="11"/>
      <c r="P22" s="8" t="s">
        <v>53</v>
      </c>
    </row>
    <row r="23" spans="1:16" ht="24" customHeight="1" x14ac:dyDescent="0.25">
      <c r="A23" s="10">
        <v>17</v>
      </c>
      <c r="B23" s="9">
        <v>0.45416666666666666</v>
      </c>
      <c r="C23" s="5"/>
      <c r="D23" s="5">
        <v>8</v>
      </c>
      <c r="E23" s="14"/>
      <c r="F23" s="14" t="s">
        <v>48</v>
      </c>
      <c r="G23" s="12">
        <v>1.1200000000000001</v>
      </c>
      <c r="H23" s="12">
        <v>2.4</v>
      </c>
      <c r="I23" s="12"/>
      <c r="J23" s="12"/>
      <c r="K23" s="12"/>
      <c r="L23" s="12"/>
      <c r="M23" s="12"/>
      <c r="N23" s="16"/>
      <c r="O23" s="11"/>
      <c r="P23" s="8" t="s">
        <v>53</v>
      </c>
    </row>
    <row r="24" spans="1:16" ht="24" customHeight="1" x14ac:dyDescent="0.25">
      <c r="A24" s="10">
        <v>18</v>
      </c>
      <c r="B24" s="9">
        <v>0.45833333333333331</v>
      </c>
      <c r="C24" s="5" t="s">
        <v>36</v>
      </c>
      <c r="D24" s="5">
        <v>10</v>
      </c>
      <c r="E24" s="14"/>
      <c r="F24" s="14" t="s">
        <v>50</v>
      </c>
      <c r="G24" s="12">
        <v>3.82</v>
      </c>
      <c r="H24" s="12">
        <v>4</v>
      </c>
      <c r="I24" s="12">
        <v>5.36</v>
      </c>
      <c r="J24" s="12">
        <v>6</v>
      </c>
      <c r="K24" s="12">
        <v>5.4</v>
      </c>
      <c r="L24" s="12">
        <v>5.57</v>
      </c>
      <c r="M24" s="12"/>
      <c r="N24" s="16"/>
      <c r="O24" s="11"/>
      <c r="P24" s="8" t="s">
        <v>51</v>
      </c>
    </row>
    <row r="25" spans="1:16" ht="24" customHeight="1" x14ac:dyDescent="0.25">
      <c r="A25" s="10">
        <v>19</v>
      </c>
      <c r="B25" s="9">
        <v>0.46180555555555558</v>
      </c>
      <c r="C25" s="5" t="s">
        <v>37</v>
      </c>
      <c r="D25" s="5">
        <v>10</v>
      </c>
      <c r="E25" s="14"/>
      <c r="F25" s="14" t="s">
        <v>50</v>
      </c>
      <c r="G25" s="12">
        <v>3.79</v>
      </c>
      <c r="H25" s="12">
        <v>3.01</v>
      </c>
      <c r="I25" s="12">
        <v>5.6</v>
      </c>
      <c r="J25" s="12">
        <v>5.36</v>
      </c>
      <c r="K25" s="12">
        <v>4.22</v>
      </c>
      <c r="L25" s="12">
        <v>5.0599999999999996</v>
      </c>
      <c r="M25" s="12"/>
      <c r="N25" s="16"/>
      <c r="O25" s="11"/>
      <c r="P25" s="8" t="s">
        <v>51</v>
      </c>
    </row>
    <row r="26" spans="1:16" ht="24" customHeight="1" x14ac:dyDescent="0.25">
      <c r="A26" s="10">
        <v>20</v>
      </c>
      <c r="B26" s="9">
        <v>0.46527777777777773</v>
      </c>
      <c r="C26" s="5" t="s">
        <v>38</v>
      </c>
      <c r="D26" s="5">
        <v>8</v>
      </c>
      <c r="E26" s="14"/>
      <c r="F26" s="14" t="s">
        <v>48</v>
      </c>
      <c r="G26" s="12">
        <v>2.7</v>
      </c>
      <c r="H26" s="12">
        <v>7.32</v>
      </c>
      <c r="I26" s="12"/>
      <c r="J26" s="12"/>
      <c r="K26" s="12"/>
      <c r="L26" s="12"/>
      <c r="M26" s="12"/>
      <c r="N26" s="16"/>
      <c r="O26" s="11"/>
      <c r="P26" s="8" t="s">
        <v>54</v>
      </c>
    </row>
    <row r="27" spans="1:16" ht="24" customHeight="1" x14ac:dyDescent="0.25">
      <c r="A27" s="10">
        <v>21</v>
      </c>
      <c r="B27" s="9">
        <v>0.47152777777777777</v>
      </c>
      <c r="C27" s="5" t="s">
        <v>39</v>
      </c>
      <c r="D27" s="5">
        <v>8</v>
      </c>
      <c r="E27" s="14"/>
      <c r="F27" s="14" t="s">
        <v>48</v>
      </c>
      <c r="G27" s="12">
        <v>2.04</v>
      </c>
      <c r="H27" s="12">
        <v>2.46</v>
      </c>
      <c r="I27" s="12"/>
      <c r="J27" s="12"/>
      <c r="K27" s="12"/>
      <c r="L27" s="12"/>
      <c r="M27" s="12"/>
      <c r="N27" s="16"/>
      <c r="O27" s="11"/>
      <c r="P27" s="8" t="s">
        <v>53</v>
      </c>
    </row>
    <row r="28" spans="1:16" ht="24" customHeight="1" x14ac:dyDescent="0.25">
      <c r="A28" s="10">
        <v>22</v>
      </c>
      <c r="B28" s="9">
        <v>0.49027777777777781</v>
      </c>
      <c r="C28" s="5" t="s">
        <v>40</v>
      </c>
      <c r="D28" s="5">
        <v>8</v>
      </c>
      <c r="E28" s="14"/>
      <c r="F28" s="14" t="s">
        <v>48</v>
      </c>
      <c r="G28" s="12">
        <v>8.42</v>
      </c>
      <c r="H28" s="12">
        <v>11.3</v>
      </c>
      <c r="I28" s="12"/>
      <c r="J28" s="12"/>
      <c r="K28" s="12"/>
      <c r="L28" s="12"/>
      <c r="M28" s="12"/>
      <c r="N28" s="16"/>
      <c r="O28" s="11"/>
      <c r="P28" s="8" t="s">
        <v>51</v>
      </c>
    </row>
    <row r="29" spans="1:16" ht="24" customHeight="1" x14ac:dyDescent="0.25">
      <c r="A29" s="10">
        <v>23</v>
      </c>
      <c r="B29" s="9">
        <v>0.5</v>
      </c>
      <c r="C29" s="5" t="s">
        <v>41</v>
      </c>
      <c r="D29" s="5">
        <v>8</v>
      </c>
      <c r="E29" s="14"/>
      <c r="F29" s="14" t="s">
        <v>48</v>
      </c>
      <c r="G29" s="12">
        <v>1.45</v>
      </c>
      <c r="H29" s="12">
        <v>1.52</v>
      </c>
      <c r="I29" s="12"/>
      <c r="J29" s="12"/>
      <c r="K29" s="12"/>
      <c r="L29" s="12"/>
      <c r="M29" s="12"/>
      <c r="N29" s="16"/>
      <c r="O29" s="11"/>
      <c r="P29" s="8" t="s">
        <v>53</v>
      </c>
    </row>
    <row r="30" spans="1:16" ht="24" customHeight="1" x14ac:dyDescent="0.25">
      <c r="A30" s="10">
        <v>24</v>
      </c>
      <c r="B30" s="9">
        <v>0.52083333333333337</v>
      </c>
      <c r="C30" s="5" t="s">
        <v>42</v>
      </c>
      <c r="D30" s="5">
        <v>8</v>
      </c>
      <c r="E30" s="14"/>
      <c r="F30" s="14" t="s">
        <v>48</v>
      </c>
      <c r="G30" s="12">
        <v>2.206</v>
      </c>
      <c r="H30" s="12">
        <v>4.5119999999999996</v>
      </c>
      <c r="I30" s="12"/>
      <c r="J30" s="12"/>
      <c r="K30" s="12"/>
      <c r="L30" s="12"/>
      <c r="M30" s="12"/>
      <c r="N30" s="16"/>
      <c r="O30" s="11"/>
      <c r="P30" s="8" t="s">
        <v>51</v>
      </c>
    </row>
    <row r="31" spans="1:16" ht="24" customHeight="1" x14ac:dyDescent="0.25">
      <c r="A31" s="10">
        <v>25</v>
      </c>
      <c r="B31" s="9">
        <v>4.7916666666666663E-2</v>
      </c>
      <c r="C31" s="5" t="s">
        <v>43</v>
      </c>
      <c r="D31" s="5">
        <v>8</v>
      </c>
      <c r="E31" s="14"/>
      <c r="F31" s="14" t="s">
        <v>48</v>
      </c>
      <c r="G31" s="12">
        <v>7.56</v>
      </c>
      <c r="H31" s="12">
        <v>9</v>
      </c>
      <c r="I31" s="12"/>
      <c r="J31" s="12"/>
      <c r="K31" s="12"/>
      <c r="L31" s="12"/>
      <c r="M31" s="12"/>
      <c r="N31" s="16"/>
      <c r="O31" s="11"/>
      <c r="P31" s="8" t="s">
        <v>51</v>
      </c>
    </row>
    <row r="32" spans="1:16" ht="24" customHeight="1" x14ac:dyDescent="0.25">
      <c r="A32" s="10">
        <v>26</v>
      </c>
      <c r="B32" s="9">
        <v>5.347222222222222E-2</v>
      </c>
      <c r="C32" s="5" t="s">
        <v>44</v>
      </c>
      <c r="D32" s="5">
        <v>10</v>
      </c>
      <c r="E32" s="14"/>
      <c r="F32" s="14" t="s">
        <v>49</v>
      </c>
      <c r="G32" s="12">
        <v>5.14</v>
      </c>
      <c r="H32" s="12">
        <v>3.7</v>
      </c>
      <c r="I32" s="12">
        <v>7.7</v>
      </c>
      <c r="J32" s="12">
        <v>8.9</v>
      </c>
      <c r="K32" s="12">
        <v>9.9</v>
      </c>
      <c r="L32" s="12"/>
      <c r="M32" s="12"/>
      <c r="N32" s="16"/>
      <c r="O32" s="11"/>
      <c r="P32" s="8" t="s">
        <v>51</v>
      </c>
    </row>
    <row r="33" spans="1:16" ht="24" customHeight="1" x14ac:dyDescent="0.25">
      <c r="A33" s="10">
        <v>27</v>
      </c>
      <c r="B33" s="9">
        <v>0.125</v>
      </c>
      <c r="C33" s="5" t="s">
        <v>45</v>
      </c>
      <c r="D33" s="5">
        <v>8</v>
      </c>
      <c r="E33" s="14"/>
      <c r="F33" s="14" t="s">
        <v>48</v>
      </c>
      <c r="G33" s="12">
        <v>1.4</v>
      </c>
      <c r="H33" s="12">
        <v>2.2999999999999998</v>
      </c>
      <c r="I33" s="12"/>
      <c r="J33" s="12"/>
      <c r="K33" s="12"/>
      <c r="L33" s="12"/>
      <c r="M33" s="12"/>
      <c r="N33" s="16"/>
      <c r="O33" s="11"/>
      <c r="P33" s="8" t="s">
        <v>53</v>
      </c>
    </row>
    <row r="34" spans="1:16" ht="24" customHeight="1" x14ac:dyDescent="0.25">
      <c r="A34" s="10">
        <v>28</v>
      </c>
      <c r="B34" s="9">
        <v>0.1388888888888889</v>
      </c>
      <c r="C34" s="5" t="s">
        <v>46</v>
      </c>
      <c r="D34" s="5">
        <v>8</v>
      </c>
      <c r="E34" s="14"/>
      <c r="F34" s="14" t="s">
        <v>48</v>
      </c>
      <c r="G34" s="12">
        <v>2.2200000000000002</v>
      </c>
      <c r="H34" s="12">
        <v>1.5</v>
      </c>
      <c r="I34" s="12"/>
      <c r="J34" s="12"/>
      <c r="K34" s="12"/>
      <c r="L34" s="12"/>
      <c r="M34" s="12"/>
      <c r="N34" s="16"/>
      <c r="O34" s="11"/>
      <c r="P34" s="8" t="s">
        <v>53</v>
      </c>
    </row>
    <row r="35" spans="1:16" ht="24" customHeight="1" x14ac:dyDescent="0.25">
      <c r="A35" s="10">
        <v>29</v>
      </c>
      <c r="B35" s="9">
        <v>0.14722222222222223</v>
      </c>
      <c r="C35" s="5" t="s">
        <v>47</v>
      </c>
      <c r="D35" s="5">
        <v>8</v>
      </c>
      <c r="E35" s="14"/>
      <c r="F35" s="14" t="s">
        <v>48</v>
      </c>
      <c r="G35" s="12">
        <v>6</v>
      </c>
      <c r="H35" s="12">
        <v>12.8</v>
      </c>
      <c r="I35" s="12"/>
      <c r="J35" s="12"/>
      <c r="K35" s="12"/>
      <c r="L35" s="12"/>
      <c r="M35" s="12"/>
      <c r="N35" s="16"/>
      <c r="O35" s="11"/>
      <c r="P35" s="8" t="s">
        <v>51</v>
      </c>
    </row>
    <row r="36" spans="1:16" s="31" customFormat="1" ht="24" customHeight="1" x14ac:dyDescent="0.25">
      <c r="A36" s="23"/>
      <c r="B36" s="24"/>
      <c r="C36" s="25"/>
      <c r="D36" s="25"/>
      <c r="E36" s="26"/>
      <c r="F36" s="26"/>
      <c r="G36" s="27"/>
      <c r="H36" s="33" t="s">
        <v>231</v>
      </c>
      <c r="I36" s="27"/>
      <c r="J36" s="27"/>
      <c r="K36" s="27"/>
      <c r="L36" s="27"/>
      <c r="M36" s="27"/>
      <c r="N36" s="28"/>
      <c r="O36" s="29"/>
      <c r="P36" s="30"/>
    </row>
    <row r="37" spans="1:16" ht="24" customHeight="1" x14ac:dyDescent="0.25">
      <c r="A37" s="10">
        <v>1</v>
      </c>
      <c r="B37" s="9">
        <v>0.30208333333333331</v>
      </c>
      <c r="C37" s="5" t="s">
        <v>55</v>
      </c>
      <c r="D37" s="5">
        <v>8</v>
      </c>
      <c r="E37" s="14"/>
      <c r="F37" s="14" t="s">
        <v>48</v>
      </c>
      <c r="G37" s="12">
        <v>1.64</v>
      </c>
      <c r="H37" s="12">
        <v>1.05</v>
      </c>
      <c r="I37" s="12"/>
      <c r="J37" s="12"/>
      <c r="K37" s="12"/>
      <c r="L37" s="12"/>
      <c r="M37" s="12"/>
      <c r="N37" s="16"/>
      <c r="O37" s="11"/>
      <c r="P37" s="8" t="s">
        <v>53</v>
      </c>
    </row>
    <row r="38" spans="1:16" ht="24" customHeight="1" x14ac:dyDescent="0.25">
      <c r="A38" s="10">
        <v>2</v>
      </c>
      <c r="B38" s="9">
        <v>0.33958333333333335</v>
      </c>
      <c r="C38" s="5" t="s">
        <v>56</v>
      </c>
      <c r="D38" s="5">
        <v>10</v>
      </c>
      <c r="E38" s="14"/>
      <c r="F38" s="14" t="s">
        <v>49</v>
      </c>
      <c r="G38" s="12">
        <v>7.52</v>
      </c>
      <c r="H38" s="12">
        <v>9.86</v>
      </c>
      <c r="I38" s="12">
        <v>2.0499999999999998</v>
      </c>
      <c r="J38" s="12">
        <v>11.32</v>
      </c>
      <c r="K38" s="12">
        <v>5.41</v>
      </c>
      <c r="L38" s="12"/>
      <c r="M38" s="12"/>
      <c r="N38" s="16"/>
      <c r="O38" s="11"/>
      <c r="P38" s="8" t="s">
        <v>51</v>
      </c>
    </row>
    <row r="39" spans="1:16" ht="24" customHeight="1" x14ac:dyDescent="0.25">
      <c r="A39" s="10">
        <v>3</v>
      </c>
      <c r="B39" s="9">
        <v>0.34166666666666662</v>
      </c>
      <c r="C39" s="5" t="s">
        <v>57</v>
      </c>
      <c r="D39" s="5">
        <v>8</v>
      </c>
      <c r="E39" s="14"/>
      <c r="F39" s="14" t="s">
        <v>101</v>
      </c>
      <c r="G39" s="12">
        <v>5.41</v>
      </c>
      <c r="H39" s="12">
        <v>13</v>
      </c>
      <c r="I39" s="12"/>
      <c r="J39" s="12"/>
      <c r="K39" s="12"/>
      <c r="L39" s="12"/>
      <c r="M39" s="12"/>
      <c r="N39" s="16"/>
      <c r="O39" s="11"/>
      <c r="P39" s="8" t="s">
        <v>104</v>
      </c>
    </row>
    <row r="40" spans="1:16" ht="24" customHeight="1" x14ac:dyDescent="0.25">
      <c r="A40" s="10">
        <v>4</v>
      </c>
      <c r="B40" s="9">
        <v>0.34861111111111115</v>
      </c>
      <c r="C40" s="5" t="s">
        <v>58</v>
      </c>
      <c r="D40" s="5">
        <v>8</v>
      </c>
      <c r="E40" s="14"/>
      <c r="F40" s="14" t="s">
        <v>48</v>
      </c>
      <c r="G40" s="12">
        <v>4.68</v>
      </c>
      <c r="H40" s="12">
        <v>8.3800000000000008</v>
      </c>
      <c r="I40" s="12"/>
      <c r="J40" s="12"/>
      <c r="K40" s="12"/>
      <c r="L40" s="12"/>
      <c r="M40" s="12"/>
      <c r="N40" s="16"/>
      <c r="O40" s="11"/>
      <c r="P40" s="8" t="s">
        <v>54</v>
      </c>
    </row>
    <row r="41" spans="1:16" ht="24" customHeight="1" x14ac:dyDescent="0.25">
      <c r="A41" s="10">
        <v>5</v>
      </c>
      <c r="B41" s="9">
        <v>0.35833333333333334</v>
      </c>
      <c r="C41" s="5" t="s">
        <v>59</v>
      </c>
      <c r="D41" s="5">
        <v>8</v>
      </c>
      <c r="E41" s="14"/>
      <c r="F41" s="14" t="s">
        <v>48</v>
      </c>
      <c r="G41" s="12">
        <v>2.13</v>
      </c>
      <c r="H41" s="12">
        <v>1.44</v>
      </c>
      <c r="I41" s="12"/>
      <c r="J41" s="12"/>
      <c r="K41" s="12"/>
      <c r="L41" s="12"/>
      <c r="M41" s="12"/>
      <c r="N41" s="16"/>
      <c r="O41" s="11"/>
      <c r="P41" s="8" t="s">
        <v>53</v>
      </c>
    </row>
    <row r="42" spans="1:16" ht="24" customHeight="1" x14ac:dyDescent="0.25">
      <c r="A42" s="10">
        <v>6</v>
      </c>
      <c r="B42" s="9">
        <v>0.42152777777777778</v>
      </c>
      <c r="C42" s="5" t="s">
        <v>60</v>
      </c>
      <c r="D42" s="5">
        <v>8</v>
      </c>
      <c r="E42" s="14"/>
      <c r="F42" s="14" t="s">
        <v>48</v>
      </c>
      <c r="G42" s="12">
        <v>6.8</v>
      </c>
      <c r="H42" s="12">
        <v>19.600000000000001</v>
      </c>
      <c r="I42" s="12"/>
      <c r="J42" s="12"/>
      <c r="K42" s="12"/>
      <c r="L42" s="12"/>
      <c r="M42" s="12"/>
      <c r="N42" s="16"/>
      <c r="O42" s="11"/>
      <c r="P42" s="8" t="s">
        <v>51</v>
      </c>
    </row>
    <row r="43" spans="1:16" ht="24" customHeight="1" x14ac:dyDescent="0.25">
      <c r="A43" s="10">
        <v>7</v>
      </c>
      <c r="B43" s="9">
        <v>0.42569444444444443</v>
      </c>
      <c r="C43" s="5" t="s">
        <v>61</v>
      </c>
      <c r="D43" s="5">
        <v>8</v>
      </c>
      <c r="E43" s="14"/>
      <c r="F43" s="14" t="s">
        <v>48</v>
      </c>
      <c r="G43" s="12">
        <v>2.98</v>
      </c>
      <c r="H43" s="12">
        <v>8.4</v>
      </c>
      <c r="I43" s="12"/>
      <c r="J43" s="12"/>
      <c r="K43" s="12"/>
      <c r="L43" s="12"/>
      <c r="M43" s="12"/>
      <c r="N43" s="16"/>
      <c r="O43" s="11"/>
      <c r="P43" s="8" t="s">
        <v>105</v>
      </c>
    </row>
    <row r="44" spans="1:16" ht="24" customHeight="1" x14ac:dyDescent="0.25">
      <c r="A44" s="10">
        <v>8</v>
      </c>
      <c r="B44" s="9">
        <v>0.42777777777777781</v>
      </c>
      <c r="C44" s="5" t="s">
        <v>62</v>
      </c>
      <c r="D44" s="5">
        <v>8</v>
      </c>
      <c r="E44" s="14"/>
      <c r="F44" s="14" t="s">
        <v>48</v>
      </c>
      <c r="G44" s="12">
        <v>2.38</v>
      </c>
      <c r="H44" s="12">
        <v>1.76</v>
      </c>
      <c r="I44" s="12"/>
      <c r="J44" s="12"/>
      <c r="K44" s="12"/>
      <c r="L44" s="12"/>
      <c r="M44" s="12"/>
      <c r="N44" s="16"/>
      <c r="O44" s="11"/>
      <c r="P44" s="8" t="s">
        <v>53</v>
      </c>
    </row>
    <row r="45" spans="1:16" ht="24" customHeight="1" x14ac:dyDescent="0.25">
      <c r="A45" s="10">
        <v>9</v>
      </c>
      <c r="B45" s="9">
        <v>0.4375</v>
      </c>
      <c r="C45" s="5" t="s">
        <v>63</v>
      </c>
      <c r="D45" s="5">
        <v>8</v>
      </c>
      <c r="E45" s="14"/>
      <c r="F45" s="14" t="s">
        <v>48</v>
      </c>
      <c r="G45" s="12">
        <v>8.16</v>
      </c>
      <c r="H45" s="12">
        <v>17.420000000000002</v>
      </c>
      <c r="I45" s="12"/>
      <c r="J45" s="12"/>
      <c r="K45" s="12"/>
      <c r="L45" s="12"/>
      <c r="M45" s="12"/>
      <c r="N45" s="16"/>
      <c r="O45" s="11"/>
      <c r="P45" s="8" t="s">
        <v>51</v>
      </c>
    </row>
    <row r="46" spans="1:16" ht="24" customHeight="1" x14ac:dyDescent="0.25">
      <c r="A46" s="10">
        <v>10</v>
      </c>
      <c r="B46" s="9">
        <v>0.45069444444444445</v>
      </c>
      <c r="C46" s="5" t="s">
        <v>64</v>
      </c>
      <c r="D46" s="5">
        <v>10</v>
      </c>
      <c r="E46" s="14"/>
      <c r="F46" s="14" t="s">
        <v>50</v>
      </c>
      <c r="G46" s="12">
        <v>5.0199999999999996</v>
      </c>
      <c r="H46" s="12">
        <v>6.92</v>
      </c>
      <c r="I46" s="12">
        <v>7.38</v>
      </c>
      <c r="J46" s="12">
        <v>11.52</v>
      </c>
      <c r="K46" s="12">
        <v>11.86</v>
      </c>
      <c r="L46" s="12">
        <v>1.202</v>
      </c>
      <c r="M46" s="12"/>
      <c r="N46" s="16"/>
      <c r="O46" s="11"/>
      <c r="P46" s="8" t="s">
        <v>105</v>
      </c>
    </row>
    <row r="47" spans="1:16" ht="24" customHeight="1" x14ac:dyDescent="0.25">
      <c r="A47" s="10">
        <v>11</v>
      </c>
      <c r="B47" s="9">
        <v>0.46875</v>
      </c>
      <c r="C47" s="5" t="s">
        <v>65</v>
      </c>
      <c r="D47" s="5">
        <v>8</v>
      </c>
      <c r="E47" s="14"/>
      <c r="F47" s="14" t="s">
        <v>48</v>
      </c>
      <c r="G47" s="12">
        <v>2.9</v>
      </c>
      <c r="H47" s="12">
        <v>2.3199999999999998</v>
      </c>
      <c r="I47" s="12"/>
      <c r="J47" s="12"/>
      <c r="K47" s="12"/>
      <c r="L47" s="12"/>
      <c r="M47" s="12"/>
      <c r="N47" s="16"/>
      <c r="O47" s="11"/>
      <c r="P47" s="8" t="s">
        <v>53</v>
      </c>
    </row>
    <row r="48" spans="1:16" ht="24" customHeight="1" x14ac:dyDescent="0.25">
      <c r="A48" s="10">
        <v>12</v>
      </c>
      <c r="B48" s="9">
        <v>0.47916666666666669</v>
      </c>
      <c r="C48" s="5" t="s">
        <v>66</v>
      </c>
      <c r="D48" s="5">
        <v>8</v>
      </c>
      <c r="E48" s="14"/>
      <c r="F48" s="14" t="s">
        <v>48</v>
      </c>
      <c r="G48" s="12">
        <v>5.64</v>
      </c>
      <c r="H48" s="12">
        <v>10.98</v>
      </c>
      <c r="I48" s="12"/>
      <c r="J48" s="12"/>
      <c r="K48" s="12"/>
      <c r="L48" s="12"/>
      <c r="M48" s="12"/>
      <c r="N48" s="16"/>
      <c r="O48" s="11"/>
      <c r="P48" s="8" t="s">
        <v>51</v>
      </c>
    </row>
    <row r="49" spans="1:16" ht="24" customHeight="1" x14ac:dyDescent="0.25">
      <c r="A49" s="10">
        <v>13</v>
      </c>
      <c r="B49" s="9">
        <v>0.48333333333333334</v>
      </c>
      <c r="C49" s="5" t="s">
        <v>67</v>
      </c>
      <c r="D49" s="5">
        <v>8</v>
      </c>
      <c r="E49" s="14"/>
      <c r="F49" s="14" t="s">
        <v>48</v>
      </c>
      <c r="G49" s="12">
        <v>5.38</v>
      </c>
      <c r="H49" s="12">
        <v>11.28</v>
      </c>
      <c r="I49" s="12"/>
      <c r="J49" s="12"/>
      <c r="K49" s="12"/>
      <c r="L49" s="12"/>
      <c r="M49" s="12"/>
      <c r="N49" s="16"/>
      <c r="O49" s="11"/>
      <c r="P49" s="8" t="s">
        <v>51</v>
      </c>
    </row>
    <row r="50" spans="1:16" ht="24" customHeight="1" x14ac:dyDescent="0.25">
      <c r="A50" s="10">
        <v>14</v>
      </c>
      <c r="B50" s="9">
        <v>0.48541666666666666</v>
      </c>
      <c r="C50" s="5" t="s">
        <v>68</v>
      </c>
      <c r="D50" s="5">
        <v>8</v>
      </c>
      <c r="E50" s="14"/>
      <c r="F50" s="14" t="s">
        <v>48</v>
      </c>
      <c r="G50" s="12">
        <v>3.5</v>
      </c>
      <c r="H50" s="12">
        <v>6.04</v>
      </c>
      <c r="I50" s="12"/>
      <c r="J50" s="12"/>
      <c r="K50" s="12"/>
      <c r="L50" s="12"/>
      <c r="M50" s="12"/>
      <c r="N50" s="11"/>
      <c r="O50" s="11"/>
      <c r="P50" s="8" t="s">
        <v>105</v>
      </c>
    </row>
    <row r="51" spans="1:16" ht="24" customHeight="1" x14ac:dyDescent="0.25">
      <c r="A51" s="10">
        <v>15</v>
      </c>
      <c r="B51" s="9">
        <v>0.48749999999999999</v>
      </c>
      <c r="C51" s="5" t="s">
        <v>69</v>
      </c>
      <c r="D51" s="5">
        <v>8</v>
      </c>
      <c r="E51" s="14"/>
      <c r="F51" s="14" t="s">
        <v>48</v>
      </c>
      <c r="G51" s="12">
        <v>8.32</v>
      </c>
      <c r="H51" s="12">
        <v>19.399999999999999</v>
      </c>
      <c r="I51" s="12"/>
      <c r="J51" s="12"/>
      <c r="K51" s="12"/>
      <c r="L51" s="12"/>
      <c r="M51" s="12"/>
      <c r="N51" s="11"/>
      <c r="O51" s="11"/>
      <c r="P51" s="8" t="s">
        <v>51</v>
      </c>
    </row>
    <row r="52" spans="1:16" ht="24" customHeight="1" x14ac:dyDescent="0.25">
      <c r="A52" s="10">
        <v>16</v>
      </c>
      <c r="B52" s="9">
        <v>0.52847222222222223</v>
      </c>
      <c r="C52" s="5" t="s">
        <v>70</v>
      </c>
      <c r="D52" s="5">
        <v>8</v>
      </c>
      <c r="E52" s="14"/>
      <c r="F52" s="14" t="s">
        <v>48</v>
      </c>
      <c r="G52" s="12">
        <v>3.82</v>
      </c>
      <c r="H52" s="12">
        <v>2.4</v>
      </c>
      <c r="I52" s="12"/>
      <c r="J52" s="12"/>
      <c r="K52" s="12"/>
      <c r="L52" s="12"/>
      <c r="M52" s="12"/>
      <c r="N52" s="11"/>
      <c r="O52" s="11"/>
      <c r="P52" s="8" t="s">
        <v>53</v>
      </c>
    </row>
    <row r="53" spans="1:16" ht="24" customHeight="1" x14ac:dyDescent="0.25">
      <c r="A53" s="10">
        <v>17</v>
      </c>
      <c r="B53" s="9">
        <v>6.5277777777777782E-2</v>
      </c>
      <c r="C53" s="5" t="s">
        <v>71</v>
      </c>
      <c r="D53" s="5">
        <v>8</v>
      </c>
      <c r="E53" s="14"/>
      <c r="F53" s="14" t="s">
        <v>48</v>
      </c>
      <c r="G53" s="12">
        <v>3</v>
      </c>
      <c r="H53" s="12">
        <v>2.3199999999999998</v>
      </c>
      <c r="I53" s="12"/>
      <c r="J53" s="12"/>
      <c r="K53" s="12"/>
      <c r="L53" s="12"/>
      <c r="M53" s="12"/>
      <c r="N53" s="11"/>
      <c r="O53" s="11"/>
      <c r="P53" s="8" t="s">
        <v>53</v>
      </c>
    </row>
    <row r="54" spans="1:16" ht="24" customHeight="1" x14ac:dyDescent="0.25">
      <c r="A54" s="10">
        <v>18</v>
      </c>
      <c r="B54" s="9">
        <v>7.4999999999999997E-2</v>
      </c>
      <c r="C54" s="5" t="s">
        <v>72</v>
      </c>
      <c r="D54" s="5">
        <v>8</v>
      </c>
      <c r="E54" s="14"/>
      <c r="F54" s="14" t="s">
        <v>48</v>
      </c>
      <c r="G54" s="12">
        <v>3.86</v>
      </c>
      <c r="H54" s="12">
        <v>11.8</v>
      </c>
      <c r="I54" s="12"/>
      <c r="J54" s="12"/>
      <c r="K54" s="12"/>
      <c r="L54" s="12"/>
      <c r="M54" s="12"/>
      <c r="N54" s="11"/>
      <c r="O54" s="11"/>
      <c r="P54" s="8" t="s">
        <v>51</v>
      </c>
    </row>
    <row r="55" spans="1:16" ht="24" customHeight="1" x14ac:dyDescent="0.25">
      <c r="A55" s="10">
        <v>19</v>
      </c>
      <c r="B55" s="9">
        <v>7.7777777777777779E-2</v>
      </c>
      <c r="C55" s="5" t="s">
        <v>73</v>
      </c>
      <c r="D55" s="5">
        <v>8</v>
      </c>
      <c r="E55" s="14"/>
      <c r="F55" s="14" t="s">
        <v>48</v>
      </c>
      <c r="G55" s="12">
        <v>6.46</v>
      </c>
      <c r="H55" s="12">
        <v>14.42</v>
      </c>
      <c r="I55" s="12"/>
      <c r="J55" s="12"/>
      <c r="K55" s="12"/>
      <c r="L55" s="12"/>
      <c r="M55" s="12"/>
      <c r="N55" s="11"/>
      <c r="O55" s="11"/>
      <c r="P55" s="8" t="s">
        <v>51</v>
      </c>
    </row>
    <row r="56" spans="1:16" ht="24" customHeight="1" x14ac:dyDescent="0.25">
      <c r="A56" s="10">
        <v>20</v>
      </c>
      <c r="B56" s="9">
        <v>9.375E-2</v>
      </c>
      <c r="C56" s="5" t="s">
        <v>74</v>
      </c>
      <c r="D56" s="5">
        <v>8</v>
      </c>
      <c r="E56" s="14"/>
      <c r="F56" s="14" t="s">
        <v>48</v>
      </c>
      <c r="G56" s="12">
        <v>7.4</v>
      </c>
      <c r="H56" s="12">
        <v>19.8</v>
      </c>
      <c r="I56" s="12"/>
      <c r="J56" s="12"/>
      <c r="K56" s="12"/>
      <c r="L56" s="12"/>
      <c r="M56" s="12"/>
      <c r="N56" s="11"/>
      <c r="O56" s="11"/>
      <c r="P56" s="8" t="s">
        <v>104</v>
      </c>
    </row>
    <row r="57" spans="1:16" ht="24" customHeight="1" x14ac:dyDescent="0.25">
      <c r="A57" s="10">
        <v>21</v>
      </c>
      <c r="B57" s="9">
        <v>0.10486111111111111</v>
      </c>
      <c r="C57" s="5" t="s">
        <v>75</v>
      </c>
      <c r="D57" s="5">
        <v>8</v>
      </c>
      <c r="E57" s="14"/>
      <c r="F57" s="14" t="s">
        <v>48</v>
      </c>
      <c r="G57" s="12">
        <v>4.9800000000000004</v>
      </c>
      <c r="H57" s="12">
        <v>14.9</v>
      </c>
      <c r="I57" s="12"/>
      <c r="J57" s="12"/>
      <c r="K57" s="12"/>
      <c r="L57" s="12"/>
      <c r="M57" s="12"/>
      <c r="N57" s="11"/>
      <c r="O57" s="11"/>
      <c r="P57" s="8" t="s">
        <v>51</v>
      </c>
    </row>
    <row r="58" spans="1:16" ht="24" customHeight="1" x14ac:dyDescent="0.25">
      <c r="A58" s="10">
        <v>22</v>
      </c>
      <c r="B58" s="9">
        <v>0.11666666666666665</v>
      </c>
      <c r="C58" s="5" t="s">
        <v>76</v>
      </c>
      <c r="D58" s="5">
        <v>8</v>
      </c>
      <c r="E58" s="14"/>
      <c r="F58" s="14" t="s">
        <v>48</v>
      </c>
      <c r="G58" s="12">
        <v>5.14</v>
      </c>
      <c r="H58" s="12">
        <v>15.6</v>
      </c>
      <c r="I58" s="12"/>
      <c r="J58" s="12"/>
      <c r="K58" s="12"/>
      <c r="L58" s="12"/>
      <c r="M58" s="12"/>
      <c r="N58" s="11"/>
      <c r="O58" s="11"/>
      <c r="P58" s="8" t="s">
        <v>51</v>
      </c>
    </row>
    <row r="59" spans="1:16" ht="24" customHeight="1" x14ac:dyDescent="0.25">
      <c r="A59" s="10">
        <v>23</v>
      </c>
      <c r="B59" s="9">
        <v>0.13402777777777777</v>
      </c>
      <c r="C59" s="5" t="s">
        <v>77</v>
      </c>
      <c r="D59" s="5">
        <v>8</v>
      </c>
      <c r="E59" s="14"/>
      <c r="F59" s="14" t="s">
        <v>48</v>
      </c>
      <c r="G59" s="12">
        <v>3.8860000000000001</v>
      </c>
      <c r="H59" s="12">
        <v>7.3</v>
      </c>
      <c r="I59" s="12"/>
      <c r="J59" s="12"/>
      <c r="K59" s="12"/>
      <c r="L59" s="12"/>
      <c r="M59" s="12"/>
      <c r="N59" s="11"/>
      <c r="O59" s="11"/>
      <c r="P59" s="8" t="s">
        <v>51</v>
      </c>
    </row>
    <row r="60" spans="1:16" ht="24" customHeight="1" x14ac:dyDescent="0.25">
      <c r="A60" s="10">
        <v>24</v>
      </c>
      <c r="B60" s="9">
        <v>0.1423611111111111</v>
      </c>
      <c r="C60" s="5" t="s">
        <v>78</v>
      </c>
      <c r="D60" s="5">
        <v>8</v>
      </c>
      <c r="E60" s="14"/>
      <c r="F60" s="14" t="s">
        <v>48</v>
      </c>
      <c r="G60" s="12">
        <v>2.95</v>
      </c>
      <c r="H60" s="12">
        <v>3.33</v>
      </c>
      <c r="I60" s="12"/>
      <c r="J60" s="12"/>
      <c r="K60" s="12"/>
      <c r="L60" s="12"/>
      <c r="M60" s="12"/>
      <c r="N60" s="11"/>
      <c r="O60" s="11"/>
      <c r="P60" s="8" t="s">
        <v>51</v>
      </c>
    </row>
    <row r="61" spans="1:16" ht="24" customHeight="1" x14ac:dyDescent="0.25">
      <c r="A61" s="10">
        <v>25</v>
      </c>
      <c r="B61" s="9">
        <v>0.14861111111111111</v>
      </c>
      <c r="C61" s="5" t="s">
        <v>79</v>
      </c>
      <c r="D61" s="5">
        <v>8</v>
      </c>
      <c r="E61" s="14"/>
      <c r="F61" s="14" t="s">
        <v>48</v>
      </c>
      <c r="G61" s="12">
        <v>2.98</v>
      </c>
      <c r="H61" s="12">
        <v>2.1800000000000002</v>
      </c>
      <c r="I61" s="12"/>
      <c r="J61" s="12"/>
      <c r="K61" s="12"/>
      <c r="L61" s="12"/>
      <c r="M61" s="12"/>
      <c r="N61" s="11"/>
      <c r="O61" s="11"/>
      <c r="P61" s="8" t="s">
        <v>53</v>
      </c>
    </row>
    <row r="62" spans="1:16" ht="24" customHeight="1" x14ac:dyDescent="0.25">
      <c r="A62" s="10">
        <v>26</v>
      </c>
      <c r="B62" s="9">
        <v>0.15763888888888888</v>
      </c>
      <c r="C62" s="5" t="s">
        <v>80</v>
      </c>
      <c r="D62" s="5">
        <v>8</v>
      </c>
      <c r="E62" s="14"/>
      <c r="F62" s="14" t="s">
        <v>48</v>
      </c>
      <c r="G62" s="12">
        <v>5.64</v>
      </c>
      <c r="H62" s="12">
        <v>15.92</v>
      </c>
      <c r="I62" s="12"/>
      <c r="J62" s="12"/>
      <c r="K62" s="12"/>
      <c r="L62" s="12"/>
      <c r="M62" s="12"/>
      <c r="N62" s="11"/>
      <c r="O62" s="11"/>
      <c r="P62" s="8" t="s">
        <v>51</v>
      </c>
    </row>
    <row r="63" spans="1:16" ht="24" customHeight="1" x14ac:dyDescent="0.25">
      <c r="A63" s="10">
        <v>27</v>
      </c>
      <c r="B63" s="9">
        <v>0.17291666666666669</v>
      </c>
      <c r="C63" s="5" t="s">
        <v>81</v>
      </c>
      <c r="D63" s="5">
        <v>8</v>
      </c>
      <c r="E63" s="14"/>
      <c r="F63" s="14" t="s">
        <v>48</v>
      </c>
      <c r="G63" s="12">
        <v>3.59</v>
      </c>
      <c r="H63" s="12">
        <v>6.9</v>
      </c>
      <c r="I63" s="12"/>
      <c r="J63" s="12"/>
      <c r="K63" s="12"/>
      <c r="L63" s="12"/>
      <c r="M63" s="12"/>
      <c r="N63" s="11"/>
      <c r="O63" s="11"/>
      <c r="P63" s="8" t="s">
        <v>51</v>
      </c>
    </row>
    <row r="64" spans="1:16" ht="24" customHeight="1" x14ac:dyDescent="0.25">
      <c r="A64" s="10">
        <v>28</v>
      </c>
      <c r="B64" s="9">
        <v>0.18055555555555555</v>
      </c>
      <c r="C64" s="5" t="s">
        <v>82</v>
      </c>
      <c r="D64" s="5">
        <v>8</v>
      </c>
      <c r="E64" s="14"/>
      <c r="F64" s="14" t="s">
        <v>48</v>
      </c>
      <c r="G64" s="12">
        <v>0.9</v>
      </c>
      <c r="H64" s="12">
        <v>1.82</v>
      </c>
      <c r="I64" s="12"/>
      <c r="J64" s="12"/>
      <c r="K64" s="12"/>
      <c r="L64" s="12"/>
      <c r="M64" s="12"/>
      <c r="N64" s="11"/>
      <c r="O64" s="11"/>
      <c r="P64" s="8" t="s">
        <v>51</v>
      </c>
    </row>
    <row r="65" spans="1:16" ht="24" customHeight="1" x14ac:dyDescent="0.25">
      <c r="A65" s="10">
        <v>29</v>
      </c>
      <c r="B65" s="9">
        <v>0.1875</v>
      </c>
      <c r="C65" s="5" t="s">
        <v>83</v>
      </c>
      <c r="D65" s="5">
        <v>8</v>
      </c>
      <c r="E65" s="14"/>
      <c r="F65" s="14" t="s">
        <v>48</v>
      </c>
      <c r="G65" s="12">
        <v>2.9</v>
      </c>
      <c r="H65" s="12">
        <v>1.82</v>
      </c>
      <c r="I65" s="12"/>
      <c r="J65" s="12"/>
      <c r="K65" s="12"/>
      <c r="L65" s="12"/>
      <c r="M65" s="12"/>
      <c r="N65" s="11"/>
      <c r="O65" s="11"/>
      <c r="P65" s="8" t="s">
        <v>53</v>
      </c>
    </row>
    <row r="66" spans="1:16" ht="24" customHeight="1" x14ac:dyDescent="0.25">
      <c r="A66" s="10">
        <v>30</v>
      </c>
      <c r="B66" s="9">
        <v>0.19027777777777777</v>
      </c>
      <c r="C66" s="5" t="s">
        <v>84</v>
      </c>
      <c r="D66" s="5">
        <v>8</v>
      </c>
      <c r="E66" s="14"/>
      <c r="F66" s="14" t="s">
        <v>48</v>
      </c>
      <c r="G66" s="12">
        <v>4.4400000000000004</v>
      </c>
      <c r="H66" s="12">
        <v>9.69</v>
      </c>
      <c r="I66" s="12"/>
      <c r="J66" s="12"/>
      <c r="K66" s="12"/>
      <c r="L66" s="12"/>
      <c r="M66" s="12"/>
      <c r="N66" s="11"/>
      <c r="O66" s="11"/>
      <c r="P66" s="8" t="s">
        <v>53</v>
      </c>
    </row>
    <row r="67" spans="1:16" ht="24" customHeight="1" x14ac:dyDescent="0.25">
      <c r="A67" s="10">
        <v>31</v>
      </c>
      <c r="B67" s="9">
        <v>0.19444444444444445</v>
      </c>
      <c r="C67" s="5" t="s">
        <v>85</v>
      </c>
      <c r="D67" s="5">
        <v>8</v>
      </c>
      <c r="E67" s="14"/>
      <c r="F67" s="14" t="s">
        <v>48</v>
      </c>
      <c r="G67" s="12">
        <v>3.52</v>
      </c>
      <c r="H67" s="12">
        <v>10.7</v>
      </c>
      <c r="I67" s="12"/>
      <c r="J67" s="12"/>
      <c r="K67" s="12"/>
      <c r="L67" s="12"/>
      <c r="M67" s="12"/>
      <c r="N67" s="11"/>
      <c r="O67" s="11"/>
      <c r="P67" s="8" t="s">
        <v>51</v>
      </c>
    </row>
    <row r="68" spans="1:16" ht="24" customHeight="1" x14ac:dyDescent="0.25">
      <c r="A68" s="10">
        <v>32</v>
      </c>
      <c r="B68" s="9">
        <v>0.19652777777777777</v>
      </c>
      <c r="C68" s="5" t="s">
        <v>86</v>
      </c>
      <c r="D68" s="5">
        <v>8</v>
      </c>
      <c r="E68" s="14"/>
      <c r="F68" s="14" t="s">
        <v>48</v>
      </c>
      <c r="G68" s="12">
        <v>6.6</v>
      </c>
      <c r="H68" s="12">
        <v>12.45</v>
      </c>
      <c r="I68" s="12"/>
      <c r="J68" s="12"/>
      <c r="K68" s="12"/>
      <c r="L68" s="12"/>
      <c r="M68" s="12"/>
      <c r="N68" s="11"/>
      <c r="O68" s="11"/>
      <c r="P68" s="8" t="s">
        <v>54</v>
      </c>
    </row>
    <row r="69" spans="1:16" ht="24" customHeight="1" x14ac:dyDescent="0.25">
      <c r="A69" s="10">
        <v>33</v>
      </c>
      <c r="B69" s="9">
        <v>0.19999999999999998</v>
      </c>
      <c r="C69" s="5" t="s">
        <v>87</v>
      </c>
      <c r="D69" s="5">
        <v>9</v>
      </c>
      <c r="E69" s="14"/>
      <c r="F69" s="14" t="s">
        <v>102</v>
      </c>
      <c r="G69" s="12">
        <v>4.0599999999999996</v>
      </c>
      <c r="H69" s="12">
        <v>4.4800000000000004</v>
      </c>
      <c r="I69" s="12">
        <v>3.92</v>
      </c>
      <c r="J69" s="12"/>
      <c r="K69" s="12"/>
      <c r="L69" s="12"/>
      <c r="M69" s="12"/>
      <c r="N69" s="11"/>
      <c r="O69" s="11"/>
      <c r="P69" s="8" t="s">
        <v>51</v>
      </c>
    </row>
    <row r="70" spans="1:16" ht="24" customHeight="1" x14ac:dyDescent="0.25">
      <c r="A70" s="10">
        <v>34</v>
      </c>
      <c r="B70" s="9">
        <v>0.20138888888888887</v>
      </c>
      <c r="C70" s="5" t="s">
        <v>88</v>
      </c>
      <c r="D70" s="5">
        <v>8</v>
      </c>
      <c r="E70" s="14"/>
      <c r="F70" s="14" t="s">
        <v>48</v>
      </c>
      <c r="G70" s="12">
        <v>3.1</v>
      </c>
      <c r="H70" s="12">
        <v>6.88</v>
      </c>
      <c r="I70" s="12"/>
      <c r="J70" s="12"/>
      <c r="K70" s="12"/>
      <c r="L70" s="12"/>
      <c r="M70" s="12"/>
      <c r="N70" s="11"/>
      <c r="O70" s="11"/>
      <c r="P70" s="8" t="s">
        <v>51</v>
      </c>
    </row>
    <row r="71" spans="1:16" ht="24" customHeight="1" x14ac:dyDescent="0.25">
      <c r="A71" s="10">
        <v>35</v>
      </c>
      <c r="B71" s="9">
        <v>0.21249999999999999</v>
      </c>
      <c r="C71" s="5" t="s">
        <v>89</v>
      </c>
      <c r="D71" s="5">
        <v>8</v>
      </c>
      <c r="E71" s="14"/>
      <c r="F71" s="14" t="s">
        <v>48</v>
      </c>
      <c r="G71" s="12">
        <v>1.075</v>
      </c>
      <c r="H71" s="12">
        <v>1.7549999999999999</v>
      </c>
      <c r="I71" s="12"/>
      <c r="J71" s="12"/>
      <c r="K71" s="12"/>
      <c r="L71" s="12"/>
      <c r="M71" s="12"/>
      <c r="N71" s="11"/>
      <c r="O71" s="11"/>
      <c r="P71" s="8" t="s">
        <v>53</v>
      </c>
    </row>
    <row r="72" spans="1:16" ht="24" customHeight="1" x14ac:dyDescent="0.25">
      <c r="A72" s="10">
        <v>36</v>
      </c>
      <c r="B72" s="9">
        <v>0.22222222222222221</v>
      </c>
      <c r="C72" s="5" t="s">
        <v>90</v>
      </c>
      <c r="D72" s="5">
        <v>8</v>
      </c>
      <c r="E72" s="14"/>
      <c r="F72" s="14" t="s">
        <v>48</v>
      </c>
      <c r="G72" s="12">
        <v>1.72</v>
      </c>
      <c r="H72" s="12">
        <v>2.12</v>
      </c>
      <c r="I72" s="12"/>
      <c r="J72" s="12"/>
      <c r="K72" s="12"/>
      <c r="L72" s="12"/>
      <c r="M72" s="12"/>
      <c r="N72" s="11"/>
      <c r="O72" s="11"/>
      <c r="P72" s="8" t="s">
        <v>53</v>
      </c>
    </row>
    <row r="73" spans="1:16" ht="24" customHeight="1" x14ac:dyDescent="0.25">
      <c r="A73" s="10">
        <v>37</v>
      </c>
      <c r="B73" s="9">
        <v>0.22916666666666666</v>
      </c>
      <c r="C73" s="5" t="s">
        <v>91</v>
      </c>
      <c r="D73" s="5">
        <v>8</v>
      </c>
      <c r="E73" s="14"/>
      <c r="F73" s="14" t="s">
        <v>48</v>
      </c>
      <c r="G73" s="12">
        <v>5.16</v>
      </c>
      <c r="H73" s="12">
        <v>8.08</v>
      </c>
      <c r="I73" s="12"/>
      <c r="J73" s="12"/>
      <c r="K73" s="12"/>
      <c r="L73" s="12"/>
      <c r="M73" s="12"/>
      <c r="N73" s="11"/>
      <c r="O73" s="11"/>
      <c r="P73" s="8" t="s">
        <v>54</v>
      </c>
    </row>
    <row r="74" spans="1:16" ht="24" customHeight="1" x14ac:dyDescent="0.25">
      <c r="A74" s="10">
        <v>38</v>
      </c>
      <c r="B74" s="9">
        <v>0.23055555555555554</v>
      </c>
      <c r="C74" s="5" t="s">
        <v>92</v>
      </c>
      <c r="D74" s="5">
        <v>8</v>
      </c>
      <c r="E74" s="14"/>
      <c r="F74" s="14" t="s">
        <v>48</v>
      </c>
      <c r="G74" s="12">
        <v>1.89</v>
      </c>
      <c r="H74" s="12">
        <v>2.2799999999999998</v>
      </c>
      <c r="I74" s="12"/>
      <c r="J74" s="12"/>
      <c r="K74" s="12"/>
      <c r="L74" s="12"/>
      <c r="M74" s="12"/>
      <c r="N74" s="11"/>
      <c r="O74" s="11"/>
      <c r="P74" s="8" t="s">
        <v>53</v>
      </c>
    </row>
    <row r="75" spans="1:16" ht="24" customHeight="1" x14ac:dyDescent="0.25">
      <c r="A75" s="10">
        <v>39</v>
      </c>
      <c r="B75" s="9">
        <v>0.23124999999999998</v>
      </c>
      <c r="C75" s="5" t="s">
        <v>93</v>
      </c>
      <c r="D75" s="5">
        <v>8</v>
      </c>
      <c r="E75" s="14"/>
      <c r="F75" s="14" t="s">
        <v>48</v>
      </c>
      <c r="G75" s="12">
        <v>3</v>
      </c>
      <c r="H75" s="12">
        <v>9.9</v>
      </c>
      <c r="I75" s="12"/>
      <c r="J75" s="12"/>
      <c r="K75" s="12"/>
      <c r="L75" s="12"/>
      <c r="M75" s="12"/>
      <c r="N75" s="11"/>
      <c r="O75" s="11"/>
      <c r="P75" s="8" t="s">
        <v>51</v>
      </c>
    </row>
    <row r="76" spans="1:16" ht="24" customHeight="1" x14ac:dyDescent="0.25">
      <c r="A76" s="10">
        <v>40</v>
      </c>
      <c r="B76" s="9">
        <v>0.25</v>
      </c>
      <c r="C76" s="5" t="s">
        <v>94</v>
      </c>
      <c r="D76" s="5">
        <v>8</v>
      </c>
      <c r="E76" s="14"/>
      <c r="F76" s="14" t="s">
        <v>48</v>
      </c>
      <c r="G76" s="12">
        <v>2.46</v>
      </c>
      <c r="H76" s="12">
        <v>1.64</v>
      </c>
      <c r="I76" s="12"/>
      <c r="J76" s="12"/>
      <c r="K76" s="12"/>
      <c r="L76" s="12"/>
      <c r="M76" s="12"/>
      <c r="N76" s="11"/>
      <c r="O76" s="11"/>
      <c r="P76" s="8" t="s">
        <v>53</v>
      </c>
    </row>
    <row r="77" spans="1:16" ht="24" customHeight="1" x14ac:dyDescent="0.25">
      <c r="A77" s="10">
        <v>41</v>
      </c>
      <c r="B77" s="9">
        <v>0.26111111111111113</v>
      </c>
      <c r="C77" s="5" t="s">
        <v>95</v>
      </c>
      <c r="D77" s="5">
        <v>8</v>
      </c>
      <c r="E77" s="14"/>
      <c r="F77" s="14" t="s">
        <v>48</v>
      </c>
      <c r="G77" s="12">
        <v>2.16</v>
      </c>
      <c r="H77" s="12">
        <v>2.5</v>
      </c>
      <c r="I77" s="12"/>
      <c r="J77" s="12"/>
      <c r="K77" s="12"/>
      <c r="L77" s="12"/>
      <c r="M77" s="12"/>
      <c r="N77" s="11"/>
      <c r="O77" s="11"/>
      <c r="P77" s="8" t="s">
        <v>53</v>
      </c>
    </row>
    <row r="78" spans="1:16" ht="24" customHeight="1" x14ac:dyDescent="0.25">
      <c r="A78" s="10">
        <v>42</v>
      </c>
      <c r="B78" s="9">
        <v>0.2638888888888889</v>
      </c>
      <c r="C78" s="5" t="s">
        <v>96</v>
      </c>
      <c r="D78" s="5">
        <v>10</v>
      </c>
      <c r="E78" s="14"/>
      <c r="F78" s="14" t="s">
        <v>103</v>
      </c>
      <c r="G78" s="12">
        <v>3.05</v>
      </c>
      <c r="H78" s="12">
        <v>4.96</v>
      </c>
      <c r="I78" s="12">
        <v>4.4400000000000004</v>
      </c>
      <c r="J78" s="12">
        <v>3.37</v>
      </c>
      <c r="K78" s="12">
        <v>4.47</v>
      </c>
      <c r="L78" s="12">
        <v>3.66</v>
      </c>
      <c r="M78" s="12">
        <v>3.96</v>
      </c>
      <c r="N78" s="11"/>
      <c r="O78" s="11"/>
      <c r="P78" s="8" t="s">
        <v>53</v>
      </c>
    </row>
    <row r="79" spans="1:16" ht="24" customHeight="1" x14ac:dyDescent="0.25">
      <c r="A79" s="10">
        <v>43</v>
      </c>
      <c r="B79" s="9">
        <v>0.27361111111111108</v>
      </c>
      <c r="C79" s="5" t="s">
        <v>97</v>
      </c>
      <c r="D79" s="5">
        <v>8</v>
      </c>
      <c r="E79" s="14"/>
      <c r="F79" s="14" t="s">
        <v>48</v>
      </c>
      <c r="G79" s="12">
        <v>1.01</v>
      </c>
      <c r="H79" s="12">
        <v>2.7749999999999999</v>
      </c>
      <c r="I79" s="12"/>
      <c r="J79" s="12"/>
      <c r="K79" s="12"/>
      <c r="L79" s="12"/>
      <c r="M79" s="12"/>
      <c r="N79" s="11"/>
      <c r="O79" s="11"/>
      <c r="P79" s="8" t="s">
        <v>53</v>
      </c>
    </row>
    <row r="80" spans="1:16" ht="24" customHeight="1" x14ac:dyDescent="0.25">
      <c r="A80" s="10">
        <v>44</v>
      </c>
      <c r="B80" s="9">
        <v>0.27847222222222223</v>
      </c>
      <c r="C80" s="5" t="s">
        <v>98</v>
      </c>
      <c r="D80" s="5">
        <v>8</v>
      </c>
      <c r="E80" s="14"/>
      <c r="F80" s="14" t="s">
        <v>48</v>
      </c>
      <c r="G80" s="12">
        <v>1.115</v>
      </c>
      <c r="H80" s="12">
        <v>3.14</v>
      </c>
      <c r="I80" s="12"/>
      <c r="J80" s="12"/>
      <c r="K80" s="12"/>
      <c r="L80" s="12"/>
      <c r="M80" s="12"/>
      <c r="N80" s="11"/>
      <c r="O80" s="11"/>
      <c r="P80" s="8" t="s">
        <v>53</v>
      </c>
    </row>
    <row r="81" spans="1:16" ht="24" customHeight="1" x14ac:dyDescent="0.25">
      <c r="A81" s="10">
        <v>45</v>
      </c>
      <c r="B81" s="9">
        <v>0.28055555555555556</v>
      </c>
      <c r="C81" s="5" t="s">
        <v>99</v>
      </c>
      <c r="D81" s="5">
        <v>8</v>
      </c>
      <c r="E81" s="14"/>
      <c r="F81" s="14" t="s">
        <v>48</v>
      </c>
      <c r="G81" s="12">
        <v>2.3450000000000002</v>
      </c>
      <c r="H81" s="12">
        <v>2.0350000000000001</v>
      </c>
      <c r="I81" s="12"/>
      <c r="J81" s="12"/>
      <c r="K81" s="12"/>
      <c r="L81" s="12"/>
      <c r="M81" s="12"/>
      <c r="N81" s="11"/>
      <c r="O81" s="11"/>
      <c r="P81" s="8" t="s">
        <v>53</v>
      </c>
    </row>
    <row r="82" spans="1:16" ht="24" customHeight="1" x14ac:dyDescent="0.25">
      <c r="A82" s="10">
        <v>46</v>
      </c>
      <c r="B82" s="9">
        <v>0.28263888888888888</v>
      </c>
      <c r="C82" s="5" t="s">
        <v>100</v>
      </c>
      <c r="D82" s="5">
        <v>10</v>
      </c>
      <c r="E82" s="14"/>
      <c r="F82" s="14" t="s">
        <v>49</v>
      </c>
      <c r="G82" s="12">
        <v>3.72</v>
      </c>
      <c r="H82" s="12">
        <v>6.44</v>
      </c>
      <c r="I82" s="12">
        <v>6.77</v>
      </c>
      <c r="J82" s="12">
        <v>6.74</v>
      </c>
      <c r="K82" s="12">
        <v>2.06</v>
      </c>
      <c r="L82" s="12"/>
      <c r="M82" s="12"/>
      <c r="N82" s="11"/>
      <c r="O82" s="11"/>
      <c r="P82" s="8" t="s">
        <v>51</v>
      </c>
    </row>
  </sheetData>
  <mergeCells count="13">
    <mergeCell ref="A1:P1"/>
    <mergeCell ref="P5:P6"/>
    <mergeCell ref="A2:O2"/>
    <mergeCell ref="H5:M5"/>
    <mergeCell ref="A5:A6"/>
    <mergeCell ref="B5:B6"/>
    <mergeCell ref="C5:C6"/>
    <mergeCell ref="D5:D6"/>
    <mergeCell ref="E5:E6"/>
    <mergeCell ref="F5:F6"/>
    <mergeCell ref="N5:N6"/>
    <mergeCell ref="O5:O6"/>
    <mergeCell ref="A4:B4"/>
  </mergeCells>
  <printOptions horizontalCentered="1"/>
  <pageMargins left="0.7" right="0.7" top="0.75" bottom="0.75" header="0.3" footer="0.3"/>
  <pageSetup paperSize="9" scale="26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9"/>
  <sheetViews>
    <sheetView topLeftCell="A54" zoomScale="75" zoomScaleNormal="75" workbookViewId="0">
      <selection activeCell="A31" sqref="A31:XFD69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customWidth="1"/>
    <col min="5" max="5" width="9.140625" style="15" customWidth="1"/>
    <col min="6" max="6" width="15.140625" style="15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66" t="s">
        <v>232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x14ac:dyDescent="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6" x14ac:dyDescent="0.25">
      <c r="A3" s="2" t="s">
        <v>1</v>
      </c>
      <c r="B3" s="2"/>
      <c r="C3" s="2"/>
      <c r="D3" s="2" t="s">
        <v>2</v>
      </c>
      <c r="E3" s="17"/>
      <c r="F3" s="13"/>
      <c r="G3" s="2"/>
      <c r="H3" s="3"/>
      <c r="I3" s="2"/>
      <c r="J3" s="2"/>
      <c r="K3" s="2"/>
      <c r="L3" s="2"/>
      <c r="M3" s="3"/>
      <c r="N3" s="4"/>
      <c r="O3" s="2"/>
    </row>
    <row r="4" spans="1:16" ht="15.75" thickBot="1" x14ac:dyDescent="0.3">
      <c r="A4" s="78">
        <v>43692</v>
      </c>
      <c r="B4" s="78"/>
      <c r="C4" s="2"/>
      <c r="D4" s="6"/>
      <c r="E4" s="17"/>
      <c r="F4" s="13"/>
      <c r="G4" s="2"/>
      <c r="H4" s="21" t="s">
        <v>230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71" t="s">
        <v>3</v>
      </c>
      <c r="B5" s="73" t="s">
        <v>4</v>
      </c>
      <c r="C5" s="70" t="s">
        <v>5</v>
      </c>
      <c r="D5" s="70" t="s">
        <v>16</v>
      </c>
      <c r="E5" s="76" t="s">
        <v>6</v>
      </c>
      <c r="F5" s="76" t="s">
        <v>7</v>
      </c>
      <c r="G5" s="7" t="s">
        <v>17</v>
      </c>
      <c r="H5" s="70" t="s">
        <v>229</v>
      </c>
      <c r="I5" s="70"/>
      <c r="J5" s="70"/>
      <c r="K5" s="70"/>
      <c r="L5" s="70"/>
      <c r="M5" s="70"/>
      <c r="N5" s="70" t="s">
        <v>15</v>
      </c>
      <c r="O5" s="70" t="s">
        <v>18</v>
      </c>
      <c r="P5" s="67" t="s">
        <v>19</v>
      </c>
    </row>
    <row r="6" spans="1:16" ht="13.9" customHeight="1" thickBot="1" x14ac:dyDescent="0.3">
      <c r="A6" s="72"/>
      <c r="B6" s="74"/>
      <c r="C6" s="75"/>
      <c r="D6" s="75"/>
      <c r="E6" s="77"/>
      <c r="F6" s="77"/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75"/>
      <c r="O6" s="75"/>
      <c r="P6" s="68"/>
    </row>
    <row r="7" spans="1:16" ht="24" customHeight="1" x14ac:dyDescent="0.25">
      <c r="A7" s="10">
        <v>1</v>
      </c>
      <c r="B7" s="9">
        <v>0.30833333333333335</v>
      </c>
      <c r="C7" s="5" t="s">
        <v>106</v>
      </c>
      <c r="D7" s="5">
        <v>8</v>
      </c>
      <c r="E7" s="14"/>
      <c r="F7" s="14" t="s">
        <v>48</v>
      </c>
      <c r="G7" s="18">
        <v>3.4</v>
      </c>
      <c r="H7" s="18">
        <v>4.9000000000000004</v>
      </c>
      <c r="I7" s="18"/>
      <c r="J7" s="18"/>
      <c r="K7" s="18"/>
      <c r="L7" s="18"/>
      <c r="M7" s="18"/>
      <c r="N7" s="16"/>
      <c r="O7" s="11"/>
      <c r="P7" s="8" t="s">
        <v>51</v>
      </c>
    </row>
    <row r="8" spans="1:16" ht="24" customHeight="1" x14ac:dyDescent="0.25">
      <c r="A8" s="10">
        <v>2</v>
      </c>
      <c r="B8" s="9">
        <v>0.31180555555555556</v>
      </c>
      <c r="C8" s="5" t="s">
        <v>107</v>
      </c>
      <c r="D8" s="5">
        <v>8</v>
      </c>
      <c r="E8" s="14"/>
      <c r="F8" s="14" t="s">
        <v>48</v>
      </c>
      <c r="G8" s="18">
        <v>2.5099999999999998</v>
      </c>
      <c r="H8" s="18">
        <v>4.95</v>
      </c>
      <c r="I8" s="18"/>
      <c r="J8" s="18"/>
      <c r="K8" s="18"/>
      <c r="L8" s="18"/>
      <c r="M8" s="18"/>
      <c r="N8" s="16"/>
      <c r="O8" s="11"/>
      <c r="P8" s="8" t="s">
        <v>105</v>
      </c>
    </row>
    <row r="9" spans="1:16" ht="24" customHeight="1" x14ac:dyDescent="0.25">
      <c r="A9" s="10">
        <v>3</v>
      </c>
      <c r="B9" s="9">
        <v>0.3125</v>
      </c>
      <c r="C9" s="5" t="s">
        <v>108</v>
      </c>
      <c r="D9" s="5">
        <v>8</v>
      </c>
      <c r="E9" s="14"/>
      <c r="F9" s="14" t="s">
        <v>48</v>
      </c>
      <c r="G9" s="18">
        <v>3.37</v>
      </c>
      <c r="H9" s="18">
        <v>5.71</v>
      </c>
      <c r="I9" s="18"/>
      <c r="J9" s="18"/>
      <c r="K9" s="18"/>
      <c r="L9" s="18"/>
      <c r="M9" s="18"/>
      <c r="N9" s="16"/>
      <c r="O9" s="11"/>
      <c r="P9" s="8" t="s">
        <v>53</v>
      </c>
    </row>
    <row r="10" spans="1:16" ht="24" customHeight="1" x14ac:dyDescent="0.25">
      <c r="A10" s="10">
        <v>4</v>
      </c>
      <c r="B10" s="9">
        <v>0.32777777777777778</v>
      </c>
      <c r="C10" s="5" t="s">
        <v>109</v>
      </c>
      <c r="D10" s="5">
        <v>8</v>
      </c>
      <c r="E10" s="14"/>
      <c r="F10" s="14" t="s">
        <v>48</v>
      </c>
      <c r="G10" s="12">
        <v>2.83</v>
      </c>
      <c r="H10" s="12">
        <v>5.17</v>
      </c>
      <c r="I10" s="12"/>
      <c r="J10" s="12"/>
      <c r="K10" s="12"/>
      <c r="L10" s="12"/>
      <c r="M10" s="12"/>
      <c r="N10" s="16"/>
      <c r="O10" s="11"/>
      <c r="P10" s="8" t="s">
        <v>129</v>
      </c>
    </row>
    <row r="11" spans="1:16" ht="24" customHeight="1" x14ac:dyDescent="0.25">
      <c r="A11" s="10">
        <v>5</v>
      </c>
      <c r="B11" s="9">
        <v>0.34791666666666665</v>
      </c>
      <c r="C11" s="5" t="s">
        <v>110</v>
      </c>
      <c r="D11" s="20">
        <v>8</v>
      </c>
      <c r="E11" s="14"/>
      <c r="F11" s="14" t="s">
        <v>48</v>
      </c>
      <c r="G11" s="12">
        <v>2.25</v>
      </c>
      <c r="H11" s="12">
        <v>5.94</v>
      </c>
      <c r="I11" s="12"/>
      <c r="J11" s="12"/>
      <c r="K11" s="12"/>
      <c r="L11" s="12"/>
      <c r="M11" s="12"/>
      <c r="N11" s="16"/>
      <c r="O11" s="11"/>
      <c r="P11" s="8" t="s">
        <v>54</v>
      </c>
    </row>
    <row r="12" spans="1:16" ht="24" customHeight="1" x14ac:dyDescent="0.25">
      <c r="A12" s="10">
        <v>6</v>
      </c>
      <c r="B12" s="9">
        <v>0.34930555555555554</v>
      </c>
      <c r="C12" s="5" t="s">
        <v>111</v>
      </c>
      <c r="D12" s="5">
        <v>8</v>
      </c>
      <c r="E12" s="14"/>
      <c r="F12" s="14" t="s">
        <v>48</v>
      </c>
      <c r="G12" s="12">
        <v>1</v>
      </c>
      <c r="H12" s="12">
        <v>1.19</v>
      </c>
      <c r="I12" s="12"/>
      <c r="J12" s="12"/>
      <c r="K12" s="12"/>
      <c r="L12" s="12"/>
      <c r="M12" s="12"/>
      <c r="N12" s="16"/>
      <c r="O12" s="11"/>
      <c r="P12" s="8" t="s">
        <v>53</v>
      </c>
    </row>
    <row r="13" spans="1:16" ht="24" customHeight="1" x14ac:dyDescent="0.25">
      <c r="A13" s="10">
        <v>7</v>
      </c>
      <c r="B13" s="9">
        <v>0.36874999999999997</v>
      </c>
      <c r="C13" s="5" t="s">
        <v>112</v>
      </c>
      <c r="D13" s="5">
        <v>9</v>
      </c>
      <c r="E13" s="14"/>
      <c r="F13" s="14" t="s">
        <v>102</v>
      </c>
      <c r="G13" s="12">
        <v>7.36</v>
      </c>
      <c r="H13" s="12">
        <v>12.96</v>
      </c>
      <c r="I13" s="12">
        <v>11.12</v>
      </c>
      <c r="J13" s="12"/>
      <c r="K13" s="12"/>
      <c r="L13" s="12"/>
      <c r="M13" s="12"/>
      <c r="N13" s="16"/>
      <c r="O13" s="11"/>
      <c r="P13" s="8" t="s">
        <v>105</v>
      </c>
    </row>
    <row r="14" spans="1:16" ht="24" customHeight="1" x14ac:dyDescent="0.25">
      <c r="A14" s="10">
        <v>8</v>
      </c>
      <c r="B14" s="9">
        <v>0.37847222222222227</v>
      </c>
      <c r="C14" s="5" t="s">
        <v>113</v>
      </c>
      <c r="D14" s="5">
        <v>8</v>
      </c>
      <c r="E14" s="14"/>
      <c r="F14" s="14" t="s">
        <v>48</v>
      </c>
      <c r="G14" s="12">
        <v>3</v>
      </c>
      <c r="H14" s="12">
        <v>7.4</v>
      </c>
      <c r="I14" s="12"/>
      <c r="J14" s="12"/>
      <c r="K14" s="12"/>
      <c r="L14" s="12"/>
      <c r="M14" s="12"/>
      <c r="N14" s="16"/>
      <c r="O14" s="11"/>
      <c r="P14" s="8" t="s">
        <v>105</v>
      </c>
    </row>
    <row r="15" spans="1:16" ht="24" customHeight="1" x14ac:dyDescent="0.25">
      <c r="A15" s="10">
        <v>9</v>
      </c>
      <c r="B15" s="9">
        <v>0.38125000000000003</v>
      </c>
      <c r="C15" s="5" t="s">
        <v>114</v>
      </c>
      <c r="D15" s="5">
        <v>8</v>
      </c>
      <c r="E15" s="14"/>
      <c r="F15" s="14" t="s">
        <v>48</v>
      </c>
      <c r="G15" s="12">
        <v>1.1399999999999999</v>
      </c>
      <c r="H15" s="12">
        <v>1.75</v>
      </c>
      <c r="I15" s="12"/>
      <c r="J15" s="12"/>
      <c r="K15" s="12"/>
      <c r="L15" s="12"/>
      <c r="M15" s="12"/>
      <c r="N15" s="16"/>
      <c r="O15" s="11"/>
      <c r="P15" s="8" t="s">
        <v>53</v>
      </c>
    </row>
    <row r="16" spans="1:16" ht="24" customHeight="1" x14ac:dyDescent="0.25">
      <c r="A16" s="10">
        <v>10</v>
      </c>
      <c r="B16" s="9">
        <v>0.38194444444444442</v>
      </c>
      <c r="C16" s="5" t="s">
        <v>115</v>
      </c>
      <c r="D16" s="5">
        <v>8</v>
      </c>
      <c r="E16" s="14"/>
      <c r="F16" s="14" t="s">
        <v>48</v>
      </c>
      <c r="G16" s="12">
        <v>2.98</v>
      </c>
      <c r="H16" s="12">
        <v>2</v>
      </c>
      <c r="I16" s="12"/>
      <c r="J16" s="12"/>
      <c r="K16" s="12"/>
      <c r="L16" s="12"/>
      <c r="M16" s="12"/>
      <c r="N16" s="16"/>
      <c r="O16" s="11"/>
      <c r="P16" s="8" t="s">
        <v>53</v>
      </c>
    </row>
    <row r="17" spans="1:16" ht="24" customHeight="1" x14ac:dyDescent="0.25">
      <c r="A17" s="10">
        <v>11</v>
      </c>
      <c r="B17" s="9">
        <v>0.41666666666666669</v>
      </c>
      <c r="C17" s="5" t="s">
        <v>116</v>
      </c>
      <c r="D17" s="5">
        <v>8</v>
      </c>
      <c r="E17" s="14"/>
      <c r="F17" s="14" t="s">
        <v>48</v>
      </c>
      <c r="G17" s="12">
        <v>2.94</v>
      </c>
      <c r="H17" s="12">
        <v>1.76</v>
      </c>
      <c r="I17" s="12"/>
      <c r="J17" s="12"/>
      <c r="K17" s="12"/>
      <c r="L17" s="12"/>
      <c r="M17" s="12"/>
      <c r="N17" s="11"/>
      <c r="O17" s="11"/>
      <c r="P17" s="8" t="s">
        <v>53</v>
      </c>
    </row>
    <row r="18" spans="1:16" ht="24" customHeight="1" x14ac:dyDescent="0.25">
      <c r="A18" s="10">
        <v>12</v>
      </c>
      <c r="B18" s="9">
        <v>0.43402777777777773</v>
      </c>
      <c r="C18" s="5" t="s">
        <v>117</v>
      </c>
      <c r="D18" s="5">
        <v>8</v>
      </c>
      <c r="E18" s="14"/>
      <c r="F18" s="22" t="s">
        <v>48</v>
      </c>
      <c r="G18" s="12">
        <v>4.3</v>
      </c>
      <c r="H18" s="12">
        <v>9</v>
      </c>
      <c r="I18" s="12"/>
      <c r="J18" s="12"/>
      <c r="K18" s="12"/>
      <c r="L18" s="12"/>
      <c r="M18" s="12"/>
      <c r="N18" s="11"/>
      <c r="O18" s="11"/>
      <c r="P18" s="8" t="s">
        <v>54</v>
      </c>
    </row>
    <row r="19" spans="1:16" ht="24" customHeight="1" x14ac:dyDescent="0.25">
      <c r="A19" s="10">
        <v>13</v>
      </c>
      <c r="B19" s="9">
        <v>0.46180555555555558</v>
      </c>
      <c r="C19" s="5" t="s">
        <v>118</v>
      </c>
      <c r="D19" s="5">
        <v>8</v>
      </c>
      <c r="E19" s="14"/>
      <c r="F19" s="14" t="s">
        <v>48</v>
      </c>
      <c r="G19" s="12">
        <v>3.2</v>
      </c>
      <c r="H19" s="12">
        <v>7.9</v>
      </c>
      <c r="I19" s="12"/>
      <c r="J19" s="12"/>
      <c r="K19" s="12"/>
      <c r="L19" s="12"/>
      <c r="M19" s="12"/>
      <c r="N19" s="16"/>
      <c r="O19" s="11"/>
      <c r="P19" s="8" t="s">
        <v>51</v>
      </c>
    </row>
    <row r="20" spans="1:16" ht="24" customHeight="1" x14ac:dyDescent="0.25">
      <c r="A20" s="10">
        <v>14</v>
      </c>
      <c r="B20" s="9">
        <v>0.46527777777777773</v>
      </c>
      <c r="C20" s="5" t="s">
        <v>119</v>
      </c>
      <c r="D20" s="5">
        <v>8</v>
      </c>
      <c r="E20" s="14"/>
      <c r="F20" s="14" t="s">
        <v>48</v>
      </c>
      <c r="G20" s="12">
        <v>1.96</v>
      </c>
      <c r="H20" s="12">
        <v>3.1</v>
      </c>
      <c r="I20" s="12"/>
      <c r="J20" s="12"/>
      <c r="K20" s="12"/>
      <c r="L20" s="12"/>
      <c r="M20" s="12"/>
      <c r="N20" s="16"/>
      <c r="O20" s="11"/>
      <c r="P20" s="8" t="s">
        <v>129</v>
      </c>
    </row>
    <row r="21" spans="1:16" ht="24" customHeight="1" x14ac:dyDescent="0.25">
      <c r="A21" s="10">
        <v>15</v>
      </c>
      <c r="B21" s="9">
        <v>0.46736111111111112</v>
      </c>
      <c r="C21" s="5" t="s">
        <v>120</v>
      </c>
      <c r="D21" s="5">
        <v>8</v>
      </c>
      <c r="E21" s="14"/>
      <c r="F21" s="14" t="s">
        <v>48</v>
      </c>
      <c r="G21" s="12">
        <v>2.94</v>
      </c>
      <c r="H21" s="12">
        <v>3.2</v>
      </c>
      <c r="I21" s="12"/>
      <c r="J21" s="12"/>
      <c r="K21" s="12"/>
      <c r="L21" s="12"/>
      <c r="M21" s="12"/>
      <c r="N21" s="16"/>
      <c r="O21" s="11"/>
      <c r="P21" s="8" t="s">
        <v>54</v>
      </c>
    </row>
    <row r="22" spans="1:16" ht="24" customHeight="1" x14ac:dyDescent="0.25">
      <c r="A22" s="10">
        <v>16</v>
      </c>
      <c r="B22" s="9">
        <v>0.47916666666666669</v>
      </c>
      <c r="C22" s="5" t="s">
        <v>121</v>
      </c>
      <c r="D22" s="5">
        <v>8</v>
      </c>
      <c r="E22" s="14"/>
      <c r="F22" s="14" t="s">
        <v>48</v>
      </c>
      <c r="G22" s="12">
        <v>1.4</v>
      </c>
      <c r="H22" s="12">
        <v>1.1100000000000001</v>
      </c>
      <c r="I22" s="12"/>
      <c r="J22" s="12"/>
      <c r="K22" s="12"/>
      <c r="L22" s="12"/>
      <c r="M22" s="12"/>
      <c r="N22" s="16"/>
      <c r="O22" s="11"/>
      <c r="P22" s="8" t="s">
        <v>53</v>
      </c>
    </row>
    <row r="23" spans="1:16" ht="24" customHeight="1" x14ac:dyDescent="0.25">
      <c r="A23" s="10">
        <v>17</v>
      </c>
      <c r="B23" s="9">
        <v>0.4826388888888889</v>
      </c>
      <c r="C23" s="5" t="s">
        <v>122</v>
      </c>
      <c r="D23" s="5">
        <v>8</v>
      </c>
      <c r="E23" s="14"/>
      <c r="F23" s="14" t="s">
        <v>48</v>
      </c>
      <c r="G23" s="12">
        <v>2.04</v>
      </c>
      <c r="H23" s="12">
        <v>4.68</v>
      </c>
      <c r="I23" s="12"/>
      <c r="J23" s="12"/>
      <c r="K23" s="12"/>
      <c r="L23" s="12"/>
      <c r="M23" s="12"/>
      <c r="N23" s="16"/>
      <c r="O23" s="11"/>
      <c r="P23" s="8" t="s">
        <v>129</v>
      </c>
    </row>
    <row r="24" spans="1:16" ht="24" customHeight="1" x14ac:dyDescent="0.25">
      <c r="A24" s="10">
        <v>18</v>
      </c>
      <c r="B24" s="9">
        <v>0.48819444444444443</v>
      </c>
      <c r="C24" s="5" t="s">
        <v>123</v>
      </c>
      <c r="D24" s="5">
        <v>8</v>
      </c>
      <c r="E24" s="14"/>
      <c r="F24" s="14" t="s">
        <v>48</v>
      </c>
      <c r="G24" s="12">
        <v>1.34</v>
      </c>
      <c r="H24" s="12">
        <v>1.99</v>
      </c>
      <c r="I24" s="12"/>
      <c r="J24" s="12"/>
      <c r="K24" s="12"/>
      <c r="L24" s="12"/>
      <c r="M24" s="12"/>
      <c r="N24" s="16"/>
      <c r="O24" s="11"/>
      <c r="P24" s="8" t="s">
        <v>104</v>
      </c>
    </row>
    <row r="25" spans="1:16" ht="24" customHeight="1" x14ac:dyDescent="0.25">
      <c r="A25" s="10">
        <v>19</v>
      </c>
      <c r="B25" s="9">
        <v>0.53125</v>
      </c>
      <c r="C25" s="5" t="s">
        <v>124</v>
      </c>
      <c r="D25" s="5">
        <v>8</v>
      </c>
      <c r="E25" s="14"/>
      <c r="F25" s="14" t="s">
        <v>48</v>
      </c>
      <c r="G25" s="12">
        <v>1.92</v>
      </c>
      <c r="H25" s="12">
        <v>2.9</v>
      </c>
      <c r="I25" s="12"/>
      <c r="J25" s="12"/>
      <c r="K25" s="12"/>
      <c r="L25" s="12"/>
      <c r="M25" s="12"/>
      <c r="N25" s="16"/>
      <c r="O25" s="11"/>
      <c r="P25" s="8" t="s">
        <v>51</v>
      </c>
    </row>
    <row r="26" spans="1:16" ht="24" customHeight="1" x14ac:dyDescent="0.25">
      <c r="A26" s="10">
        <v>20</v>
      </c>
      <c r="B26" s="9">
        <v>5.2083333333333336E-2</v>
      </c>
      <c r="C26" s="5" t="s">
        <v>125</v>
      </c>
      <c r="D26" s="5">
        <v>8</v>
      </c>
      <c r="E26" s="14"/>
      <c r="F26" s="14" t="s">
        <v>48</v>
      </c>
      <c r="G26" s="12">
        <v>3.8</v>
      </c>
      <c r="H26" s="12">
        <v>9.9</v>
      </c>
      <c r="I26" s="12"/>
      <c r="J26" s="12"/>
      <c r="K26" s="12"/>
      <c r="L26" s="12"/>
      <c r="M26" s="12"/>
      <c r="N26" s="16"/>
      <c r="O26" s="11"/>
      <c r="P26" s="8" t="s">
        <v>51</v>
      </c>
    </row>
    <row r="27" spans="1:16" ht="24" customHeight="1" x14ac:dyDescent="0.25">
      <c r="A27" s="10">
        <v>21</v>
      </c>
      <c r="B27" s="9">
        <v>5.7638888888888885E-2</v>
      </c>
      <c r="C27" s="5" t="s">
        <v>126</v>
      </c>
      <c r="D27" s="5">
        <v>8</v>
      </c>
      <c r="E27" s="14"/>
      <c r="F27" s="14" t="s">
        <v>48</v>
      </c>
      <c r="G27" s="12">
        <v>2.06</v>
      </c>
      <c r="H27" s="12">
        <v>2.1</v>
      </c>
      <c r="I27" s="12"/>
      <c r="J27" s="12"/>
      <c r="K27" s="12"/>
      <c r="L27" s="12"/>
      <c r="M27" s="12"/>
      <c r="N27" s="16"/>
      <c r="O27" s="11"/>
      <c r="P27" s="8" t="s">
        <v>53</v>
      </c>
    </row>
    <row r="28" spans="1:16" ht="24" customHeight="1" x14ac:dyDescent="0.25">
      <c r="A28" s="10">
        <v>22</v>
      </c>
      <c r="B28" s="9">
        <v>0.15902777777777777</v>
      </c>
      <c r="C28" s="5" t="s">
        <v>127</v>
      </c>
      <c r="D28" s="5">
        <v>8</v>
      </c>
      <c r="E28" s="14"/>
      <c r="F28" s="14" t="s">
        <v>48</v>
      </c>
      <c r="G28" s="12">
        <v>3.4</v>
      </c>
      <c r="H28" s="12">
        <v>8</v>
      </c>
      <c r="I28" s="12"/>
      <c r="J28" s="12"/>
      <c r="K28" s="12"/>
      <c r="L28" s="12"/>
      <c r="M28" s="12"/>
      <c r="N28" s="16"/>
      <c r="O28" s="11"/>
      <c r="P28" s="8" t="s">
        <v>54</v>
      </c>
    </row>
    <row r="29" spans="1:16" ht="24" customHeight="1" x14ac:dyDescent="0.25">
      <c r="A29" s="10">
        <v>23</v>
      </c>
      <c r="B29" s="9">
        <v>0.22638888888888889</v>
      </c>
      <c r="C29" s="5" t="s">
        <v>128</v>
      </c>
      <c r="D29" s="5">
        <v>8</v>
      </c>
      <c r="E29" s="14"/>
      <c r="F29" s="14" t="s">
        <v>48</v>
      </c>
      <c r="G29" s="12">
        <v>3.02</v>
      </c>
      <c r="H29" s="12">
        <v>7</v>
      </c>
      <c r="I29" s="12"/>
      <c r="J29" s="12"/>
      <c r="K29" s="12"/>
      <c r="L29" s="12"/>
      <c r="M29" s="12"/>
      <c r="N29" s="16"/>
      <c r="O29" s="11"/>
      <c r="P29" s="8" t="s">
        <v>105</v>
      </c>
    </row>
    <row r="30" spans="1:16" s="31" customFormat="1" ht="24" customHeight="1" x14ac:dyDescent="0.25">
      <c r="A30" s="23"/>
      <c r="B30" s="24"/>
      <c r="C30" s="25"/>
      <c r="D30" s="25"/>
      <c r="E30" s="26"/>
      <c r="F30" s="26"/>
      <c r="G30" s="27"/>
      <c r="H30" s="33" t="s">
        <v>231</v>
      </c>
      <c r="I30" s="27"/>
      <c r="J30" s="27"/>
      <c r="K30" s="27"/>
      <c r="L30" s="27"/>
      <c r="M30" s="27"/>
      <c r="N30" s="28"/>
      <c r="O30" s="29"/>
      <c r="P30" s="30"/>
    </row>
    <row r="31" spans="1:16" ht="24" customHeight="1" x14ac:dyDescent="0.25">
      <c r="A31" s="10">
        <v>1</v>
      </c>
      <c r="B31" s="9">
        <v>0.32708333333333334</v>
      </c>
      <c r="C31" s="5" t="s">
        <v>130</v>
      </c>
      <c r="D31" s="5">
        <v>8</v>
      </c>
      <c r="E31" s="14"/>
      <c r="F31" s="14" t="s">
        <v>48</v>
      </c>
      <c r="G31" s="12">
        <v>1.07</v>
      </c>
      <c r="H31" s="12">
        <v>2.5499999999999998</v>
      </c>
      <c r="I31" s="12"/>
      <c r="J31" s="12"/>
      <c r="K31" s="12"/>
      <c r="L31" s="12"/>
      <c r="M31" s="12"/>
      <c r="N31" s="16"/>
      <c r="O31" s="11"/>
      <c r="P31" s="8" t="s">
        <v>53</v>
      </c>
    </row>
    <row r="32" spans="1:16" ht="24" customHeight="1" x14ac:dyDescent="0.25">
      <c r="A32" s="10">
        <v>2</v>
      </c>
      <c r="B32" s="9">
        <v>0.35069444444444442</v>
      </c>
      <c r="C32" s="5" t="s">
        <v>131</v>
      </c>
      <c r="D32" s="5">
        <v>8</v>
      </c>
      <c r="E32" s="14"/>
      <c r="F32" s="14" t="s">
        <v>48</v>
      </c>
      <c r="G32" s="12">
        <v>2.2000000000000002</v>
      </c>
      <c r="H32" s="12">
        <v>5.85</v>
      </c>
      <c r="I32" s="12"/>
      <c r="J32" s="12"/>
      <c r="K32" s="12"/>
      <c r="L32" s="12"/>
      <c r="M32" s="12"/>
      <c r="N32" s="16"/>
      <c r="O32" s="11"/>
      <c r="P32" s="8" t="s">
        <v>51</v>
      </c>
    </row>
    <row r="33" spans="1:16" ht="24" customHeight="1" x14ac:dyDescent="0.25">
      <c r="A33" s="10">
        <v>3</v>
      </c>
      <c r="B33" s="9">
        <v>0.35416666666666669</v>
      </c>
      <c r="C33" s="5" t="s">
        <v>132</v>
      </c>
      <c r="D33" s="5">
        <v>8</v>
      </c>
      <c r="E33" s="14"/>
      <c r="F33" s="14" t="s">
        <v>48</v>
      </c>
      <c r="G33" s="12">
        <v>2.2000000000000002</v>
      </c>
      <c r="H33" s="12">
        <v>5.85</v>
      </c>
      <c r="I33" s="12"/>
      <c r="J33" s="12"/>
      <c r="K33" s="12"/>
      <c r="L33" s="12"/>
      <c r="M33" s="12"/>
      <c r="N33" s="16"/>
      <c r="O33" s="11"/>
      <c r="P33" s="8" t="s">
        <v>51</v>
      </c>
    </row>
    <row r="34" spans="1:16" ht="24" customHeight="1" x14ac:dyDescent="0.25">
      <c r="A34" s="10">
        <v>4</v>
      </c>
      <c r="B34" s="9">
        <v>0.35833333333333334</v>
      </c>
      <c r="C34" s="5" t="s">
        <v>133</v>
      </c>
      <c r="D34" s="5">
        <v>8</v>
      </c>
      <c r="E34" s="14"/>
      <c r="F34" s="14" t="s">
        <v>48</v>
      </c>
      <c r="G34" s="12">
        <v>3.52</v>
      </c>
      <c r="H34" s="12">
        <v>9.14</v>
      </c>
      <c r="I34" s="12"/>
      <c r="J34" s="12"/>
      <c r="K34" s="12"/>
      <c r="L34" s="12"/>
      <c r="M34" s="12"/>
      <c r="N34" s="16"/>
      <c r="O34" s="11"/>
      <c r="P34" s="8" t="s">
        <v>51</v>
      </c>
    </row>
    <row r="35" spans="1:16" ht="24" customHeight="1" x14ac:dyDescent="0.25">
      <c r="A35" s="10">
        <v>5</v>
      </c>
      <c r="B35" s="9">
        <v>0.36527777777777781</v>
      </c>
      <c r="C35" s="5" t="s">
        <v>134</v>
      </c>
      <c r="D35" s="5">
        <v>8</v>
      </c>
      <c r="E35" s="14"/>
      <c r="F35" s="14" t="s">
        <v>48</v>
      </c>
      <c r="G35" s="12">
        <v>2.42</v>
      </c>
      <c r="H35" s="12">
        <v>4.5199999999999996</v>
      </c>
      <c r="I35" s="12"/>
      <c r="J35" s="12"/>
      <c r="K35" s="12"/>
      <c r="L35" s="12"/>
      <c r="M35" s="12"/>
      <c r="N35" s="16"/>
      <c r="O35" s="11"/>
      <c r="P35" s="8" t="s">
        <v>105</v>
      </c>
    </row>
    <row r="36" spans="1:16" ht="24" customHeight="1" x14ac:dyDescent="0.25">
      <c r="A36" s="10">
        <v>6</v>
      </c>
      <c r="B36" s="9">
        <v>0.37222222222222223</v>
      </c>
      <c r="C36" s="5" t="s">
        <v>135</v>
      </c>
      <c r="D36" s="5">
        <v>8</v>
      </c>
      <c r="E36" s="14"/>
      <c r="F36" s="14" t="s">
        <v>48</v>
      </c>
      <c r="G36" s="12">
        <v>2.1</v>
      </c>
      <c r="H36" s="12">
        <v>6.04</v>
      </c>
      <c r="I36" s="12"/>
      <c r="J36" s="12"/>
      <c r="K36" s="12"/>
      <c r="L36" s="12"/>
      <c r="M36" s="12"/>
      <c r="N36" s="16"/>
      <c r="O36" s="11"/>
      <c r="P36" s="8" t="s">
        <v>105</v>
      </c>
    </row>
    <row r="37" spans="1:16" ht="24" customHeight="1" x14ac:dyDescent="0.25">
      <c r="A37" s="10">
        <v>7</v>
      </c>
      <c r="B37" s="9">
        <v>0.37916666666666665</v>
      </c>
      <c r="C37" s="5" t="s">
        <v>136</v>
      </c>
      <c r="D37" s="5">
        <v>8</v>
      </c>
      <c r="E37" s="14"/>
      <c r="F37" s="14" t="s">
        <v>48</v>
      </c>
      <c r="G37" s="12">
        <v>4</v>
      </c>
      <c r="H37" s="12">
        <v>9.36</v>
      </c>
      <c r="I37" s="12"/>
      <c r="J37" s="12"/>
      <c r="K37" s="12"/>
      <c r="L37" s="12"/>
      <c r="M37" s="12"/>
      <c r="N37" s="16"/>
      <c r="O37" s="11"/>
      <c r="P37" s="8" t="s">
        <v>51</v>
      </c>
    </row>
    <row r="38" spans="1:16" ht="24" customHeight="1" x14ac:dyDescent="0.25">
      <c r="A38" s="10">
        <v>8</v>
      </c>
      <c r="B38" s="9">
        <v>0.39444444444444443</v>
      </c>
      <c r="C38" s="5" t="s">
        <v>137</v>
      </c>
      <c r="D38" s="5">
        <v>8</v>
      </c>
      <c r="E38" s="14"/>
      <c r="F38" s="14" t="s">
        <v>48</v>
      </c>
      <c r="G38" s="12">
        <v>3.11</v>
      </c>
      <c r="H38" s="12">
        <v>8.9499999999999993</v>
      </c>
      <c r="I38" s="12"/>
      <c r="J38" s="12"/>
      <c r="K38" s="12"/>
      <c r="L38" s="12"/>
      <c r="M38" s="12"/>
      <c r="N38" s="16"/>
      <c r="O38" s="11"/>
      <c r="P38" s="8" t="s">
        <v>51</v>
      </c>
    </row>
    <row r="39" spans="1:16" ht="24" customHeight="1" x14ac:dyDescent="0.25">
      <c r="A39" s="10">
        <v>9</v>
      </c>
      <c r="B39" s="9">
        <v>0.42638888888888887</v>
      </c>
      <c r="C39" s="5" t="s">
        <v>138</v>
      </c>
      <c r="D39" s="5">
        <v>8</v>
      </c>
      <c r="E39" s="14"/>
      <c r="F39" s="14" t="s">
        <v>48</v>
      </c>
      <c r="G39" s="12">
        <v>1.39</v>
      </c>
      <c r="H39" s="12">
        <v>4.9000000000000004</v>
      </c>
      <c r="I39" s="12"/>
      <c r="J39" s="12"/>
      <c r="K39" s="12"/>
      <c r="L39" s="12"/>
      <c r="M39" s="12"/>
      <c r="N39" s="16"/>
      <c r="O39" s="11"/>
      <c r="P39" s="8" t="s">
        <v>129</v>
      </c>
    </row>
    <row r="40" spans="1:16" ht="24" customHeight="1" x14ac:dyDescent="0.25">
      <c r="A40" s="10">
        <v>10</v>
      </c>
      <c r="B40" s="9">
        <v>0.47986111111111113</v>
      </c>
      <c r="C40" s="5" t="s">
        <v>139</v>
      </c>
      <c r="D40" s="5">
        <v>8</v>
      </c>
      <c r="E40" s="14"/>
      <c r="F40" s="14" t="s">
        <v>48</v>
      </c>
      <c r="G40" s="12">
        <v>4</v>
      </c>
      <c r="H40" s="12">
        <v>8.86</v>
      </c>
      <c r="I40" s="12"/>
      <c r="J40" s="12"/>
      <c r="K40" s="12"/>
      <c r="L40" s="12"/>
      <c r="M40" s="12"/>
      <c r="N40" s="16"/>
      <c r="O40" s="11"/>
      <c r="P40" s="8" t="s">
        <v>54</v>
      </c>
    </row>
    <row r="41" spans="1:16" ht="24" customHeight="1" x14ac:dyDescent="0.25">
      <c r="A41" s="10">
        <v>11</v>
      </c>
      <c r="B41" s="9">
        <v>0.49027777777777781</v>
      </c>
      <c r="C41" s="5" t="s">
        <v>140</v>
      </c>
      <c r="D41" s="5">
        <v>8</v>
      </c>
      <c r="E41" s="14"/>
      <c r="F41" s="14" t="s">
        <v>48</v>
      </c>
      <c r="G41" s="12">
        <v>1.46</v>
      </c>
      <c r="H41" s="12">
        <v>1.26</v>
      </c>
      <c r="I41" s="12"/>
      <c r="J41" s="12"/>
      <c r="K41" s="12"/>
      <c r="L41" s="12"/>
      <c r="M41" s="12"/>
      <c r="N41" s="16"/>
      <c r="O41" s="11"/>
      <c r="P41" s="8" t="s">
        <v>53</v>
      </c>
    </row>
    <row r="42" spans="1:16" ht="24" customHeight="1" x14ac:dyDescent="0.25">
      <c r="A42" s="10">
        <v>12</v>
      </c>
      <c r="B42" s="9">
        <v>0.5131944444444444</v>
      </c>
      <c r="C42" s="5" t="s">
        <v>141</v>
      </c>
      <c r="D42" s="5">
        <v>8</v>
      </c>
      <c r="E42" s="14"/>
      <c r="F42" s="14" t="s">
        <v>48</v>
      </c>
      <c r="G42" s="12">
        <v>4.04</v>
      </c>
      <c r="H42" s="12">
        <v>10.18</v>
      </c>
      <c r="I42" s="12"/>
      <c r="J42" s="12"/>
      <c r="K42" s="12"/>
      <c r="L42" s="12"/>
      <c r="M42" s="12"/>
      <c r="N42" s="16"/>
      <c r="O42" s="11"/>
      <c r="P42" s="8" t="s">
        <v>51</v>
      </c>
    </row>
    <row r="43" spans="1:16" ht="24" customHeight="1" x14ac:dyDescent="0.25">
      <c r="A43" s="10">
        <v>13</v>
      </c>
      <c r="B43" s="9">
        <v>0.52500000000000002</v>
      </c>
      <c r="C43" s="5" t="s">
        <v>142</v>
      </c>
      <c r="D43" s="5">
        <v>8</v>
      </c>
      <c r="E43" s="14"/>
      <c r="F43" s="14" t="s">
        <v>48</v>
      </c>
      <c r="G43" s="12">
        <v>2.02</v>
      </c>
      <c r="H43" s="12">
        <v>5.09</v>
      </c>
      <c r="I43" s="12"/>
      <c r="J43" s="12"/>
      <c r="K43" s="12"/>
      <c r="L43" s="12"/>
      <c r="M43" s="12"/>
      <c r="N43" s="16"/>
      <c r="O43" s="11"/>
      <c r="P43" s="8" t="s">
        <v>51</v>
      </c>
    </row>
    <row r="44" spans="1:16" ht="24" customHeight="1" x14ac:dyDescent="0.25">
      <c r="A44" s="10">
        <v>14</v>
      </c>
      <c r="B44" s="9">
        <v>0.53402777777777777</v>
      </c>
      <c r="C44" s="5" t="s">
        <v>143</v>
      </c>
      <c r="D44" s="5">
        <v>8</v>
      </c>
      <c r="E44" s="14"/>
      <c r="F44" s="14" t="s">
        <v>48</v>
      </c>
      <c r="G44" s="12">
        <v>2.68</v>
      </c>
      <c r="H44" s="12">
        <v>2.4300000000000002</v>
      </c>
      <c r="I44" s="12"/>
      <c r="J44" s="12"/>
      <c r="K44" s="12"/>
      <c r="L44" s="12"/>
      <c r="M44" s="12"/>
      <c r="N44" s="16"/>
      <c r="O44" s="11"/>
      <c r="P44" s="8" t="s">
        <v>53</v>
      </c>
    </row>
    <row r="45" spans="1:16" ht="24" customHeight="1" x14ac:dyDescent="0.25">
      <c r="A45" s="10">
        <v>15</v>
      </c>
      <c r="B45" s="9">
        <v>5.2083333333333336E-2</v>
      </c>
      <c r="C45" s="5" t="s">
        <v>144</v>
      </c>
      <c r="D45" s="5">
        <v>8</v>
      </c>
      <c r="E45" s="14"/>
      <c r="F45" s="14" t="s">
        <v>48</v>
      </c>
      <c r="G45" s="12">
        <v>2.71</v>
      </c>
      <c r="H45" s="12">
        <v>1.84</v>
      </c>
      <c r="I45" s="12"/>
      <c r="J45" s="12"/>
      <c r="K45" s="12"/>
      <c r="L45" s="12"/>
      <c r="M45" s="12"/>
      <c r="N45" s="16"/>
      <c r="O45" s="11"/>
      <c r="P45" s="8" t="s">
        <v>53</v>
      </c>
    </row>
    <row r="46" spans="1:16" ht="24" customHeight="1" x14ac:dyDescent="0.25">
      <c r="A46" s="10">
        <v>16</v>
      </c>
      <c r="B46" s="9">
        <v>0.1173611111111111</v>
      </c>
      <c r="C46" s="5" t="s">
        <v>145</v>
      </c>
      <c r="D46" s="5">
        <v>8</v>
      </c>
      <c r="E46" s="14"/>
      <c r="F46" s="14" t="s">
        <v>48</v>
      </c>
      <c r="G46" s="12">
        <v>4.0999999999999996</v>
      </c>
      <c r="H46" s="12">
        <v>5.69</v>
      </c>
      <c r="I46" s="12"/>
      <c r="J46" s="12"/>
      <c r="K46" s="12"/>
      <c r="L46" s="12"/>
      <c r="M46" s="12"/>
      <c r="N46" s="16"/>
      <c r="O46" s="11"/>
      <c r="P46" s="8" t="s">
        <v>51</v>
      </c>
    </row>
    <row r="47" spans="1:16" ht="24" customHeight="1" x14ac:dyDescent="0.25">
      <c r="A47" s="10">
        <v>17</v>
      </c>
      <c r="B47" s="9">
        <v>0.1277777777777778</v>
      </c>
      <c r="C47" s="5" t="s">
        <v>146</v>
      </c>
      <c r="D47" s="5">
        <v>8</v>
      </c>
      <c r="E47" s="14"/>
      <c r="F47" s="14" t="s">
        <v>48</v>
      </c>
      <c r="G47" s="12">
        <v>2.87</v>
      </c>
      <c r="H47" s="12">
        <v>6.29</v>
      </c>
      <c r="I47" s="12"/>
      <c r="J47" s="12"/>
      <c r="K47" s="12"/>
      <c r="L47" s="12"/>
      <c r="M47" s="12"/>
      <c r="N47" s="16"/>
      <c r="O47" s="11"/>
      <c r="P47" s="8" t="s">
        <v>51</v>
      </c>
    </row>
    <row r="48" spans="1:16" ht="24" customHeight="1" x14ac:dyDescent="0.25">
      <c r="A48" s="10">
        <v>18</v>
      </c>
      <c r="B48" s="9">
        <v>0.15069444444444444</v>
      </c>
      <c r="C48" s="5" t="s">
        <v>65</v>
      </c>
      <c r="D48" s="5">
        <v>8</v>
      </c>
      <c r="E48" s="14"/>
      <c r="F48" s="14" t="s">
        <v>48</v>
      </c>
      <c r="G48" s="12">
        <v>2.48</v>
      </c>
      <c r="H48" s="12">
        <v>5.67</v>
      </c>
      <c r="I48" s="12"/>
      <c r="J48" s="12"/>
      <c r="K48" s="12"/>
      <c r="L48" s="12"/>
      <c r="M48" s="12"/>
      <c r="N48" s="16"/>
      <c r="O48" s="11"/>
      <c r="P48" s="8" t="s">
        <v>51</v>
      </c>
    </row>
    <row r="49" spans="1:16" ht="24" customHeight="1" x14ac:dyDescent="0.25">
      <c r="A49" s="10">
        <v>19</v>
      </c>
      <c r="B49" s="9">
        <v>0.15277777777777776</v>
      </c>
      <c r="C49" s="5" t="s">
        <v>147</v>
      </c>
      <c r="D49" s="5">
        <v>8</v>
      </c>
      <c r="E49" s="14"/>
      <c r="F49" s="14" t="s">
        <v>48</v>
      </c>
      <c r="G49" s="12">
        <v>2.66</v>
      </c>
      <c r="H49" s="12">
        <v>4.55</v>
      </c>
      <c r="I49" s="12"/>
      <c r="J49" s="12"/>
      <c r="K49" s="12"/>
      <c r="L49" s="12"/>
      <c r="M49" s="12"/>
      <c r="N49" s="16"/>
      <c r="O49" s="11"/>
      <c r="P49" s="8" t="s">
        <v>51</v>
      </c>
    </row>
    <row r="50" spans="1:16" ht="24" customHeight="1" x14ac:dyDescent="0.25">
      <c r="A50" s="10">
        <v>20</v>
      </c>
      <c r="B50" s="9">
        <v>0.16388888888888889</v>
      </c>
      <c r="C50" s="5" t="s">
        <v>148</v>
      </c>
      <c r="D50" s="5">
        <v>8</v>
      </c>
      <c r="E50" s="14"/>
      <c r="F50" s="14" t="s">
        <v>48</v>
      </c>
      <c r="G50" s="12">
        <v>2.52</v>
      </c>
      <c r="H50" s="12">
        <v>6.67</v>
      </c>
      <c r="I50" s="12"/>
      <c r="J50" s="12"/>
      <c r="K50" s="12"/>
      <c r="L50" s="12"/>
      <c r="M50" s="12"/>
      <c r="N50" s="11"/>
      <c r="O50" s="11"/>
      <c r="P50" s="8" t="s">
        <v>51</v>
      </c>
    </row>
    <row r="51" spans="1:16" ht="24" customHeight="1" x14ac:dyDescent="0.25">
      <c r="A51" s="10">
        <v>21</v>
      </c>
      <c r="B51" s="9">
        <v>0.16874999999999998</v>
      </c>
      <c r="C51" s="5" t="s">
        <v>137</v>
      </c>
      <c r="D51" s="5">
        <v>8</v>
      </c>
      <c r="E51" s="14"/>
      <c r="F51" s="14" t="s">
        <v>48</v>
      </c>
      <c r="G51" s="12">
        <v>3</v>
      </c>
      <c r="H51" s="12">
        <v>6.82</v>
      </c>
      <c r="I51" s="12"/>
      <c r="J51" s="12"/>
      <c r="K51" s="12"/>
      <c r="L51" s="12"/>
      <c r="M51" s="12"/>
      <c r="N51" s="11"/>
      <c r="O51" s="11"/>
      <c r="P51" s="8" t="s">
        <v>51</v>
      </c>
    </row>
    <row r="52" spans="1:16" ht="24" customHeight="1" x14ac:dyDescent="0.25">
      <c r="A52" s="10">
        <v>22</v>
      </c>
      <c r="B52" s="9">
        <v>0.17777777777777778</v>
      </c>
      <c r="C52" s="5" t="s">
        <v>149</v>
      </c>
      <c r="D52" s="5">
        <v>8</v>
      </c>
      <c r="E52" s="14"/>
      <c r="F52" s="14" t="s">
        <v>48</v>
      </c>
      <c r="G52" s="12">
        <v>2.9</v>
      </c>
      <c r="H52" s="12">
        <v>11</v>
      </c>
      <c r="I52" s="12"/>
      <c r="J52" s="12"/>
      <c r="K52" s="12"/>
      <c r="L52" s="12"/>
      <c r="M52" s="12"/>
      <c r="N52" s="11"/>
      <c r="O52" s="11"/>
      <c r="P52" s="8" t="s">
        <v>51</v>
      </c>
    </row>
    <row r="53" spans="1:16" ht="24" customHeight="1" x14ac:dyDescent="0.25">
      <c r="A53" s="10">
        <v>23</v>
      </c>
      <c r="B53" s="9">
        <v>0.18055555555555555</v>
      </c>
      <c r="C53" s="5" t="s">
        <v>150</v>
      </c>
      <c r="D53" s="5">
        <v>8</v>
      </c>
      <c r="E53" s="14"/>
      <c r="F53" s="14" t="s">
        <v>48</v>
      </c>
      <c r="G53" s="12">
        <v>1.96</v>
      </c>
      <c r="H53" s="12">
        <v>0.82</v>
      </c>
      <c r="I53" s="12"/>
      <c r="J53" s="12"/>
      <c r="K53" s="12"/>
      <c r="L53" s="12"/>
      <c r="M53" s="12"/>
      <c r="N53" s="11"/>
      <c r="O53" s="11"/>
      <c r="P53" s="8" t="s">
        <v>53</v>
      </c>
    </row>
    <row r="54" spans="1:16" ht="24" customHeight="1" x14ac:dyDescent="0.25">
      <c r="A54" s="10">
        <v>24</v>
      </c>
      <c r="B54" s="9">
        <v>0.18263888888888891</v>
      </c>
      <c r="C54" s="5" t="s">
        <v>151</v>
      </c>
      <c r="D54" s="5">
        <v>8</v>
      </c>
      <c r="E54" s="14"/>
      <c r="F54" s="14" t="s">
        <v>48</v>
      </c>
      <c r="G54" s="12">
        <v>2.7450000000000001</v>
      </c>
      <c r="H54" s="12">
        <v>13.96</v>
      </c>
      <c r="I54" s="12"/>
      <c r="J54" s="12"/>
      <c r="K54" s="12"/>
      <c r="L54" s="12"/>
      <c r="M54" s="12"/>
      <c r="N54" s="11"/>
      <c r="O54" s="11"/>
      <c r="P54" s="8" t="s">
        <v>51</v>
      </c>
    </row>
    <row r="55" spans="1:16" ht="24" customHeight="1" x14ac:dyDescent="0.25">
      <c r="A55" s="10">
        <v>25</v>
      </c>
      <c r="B55" s="9">
        <v>0.18819444444444444</v>
      </c>
      <c r="C55" s="5" t="s">
        <v>106</v>
      </c>
      <c r="D55" s="5">
        <v>8</v>
      </c>
      <c r="E55" s="14"/>
      <c r="F55" s="14" t="s">
        <v>48</v>
      </c>
      <c r="G55" s="12">
        <v>2.7450000000000001</v>
      </c>
      <c r="H55" s="12">
        <v>6.3</v>
      </c>
      <c r="I55" s="12"/>
      <c r="J55" s="12"/>
      <c r="K55" s="12"/>
      <c r="L55" s="12"/>
      <c r="M55" s="12"/>
      <c r="N55" s="11"/>
      <c r="O55" s="11"/>
      <c r="P55" s="8" t="s">
        <v>51</v>
      </c>
    </row>
    <row r="56" spans="1:16" ht="24" customHeight="1" x14ac:dyDescent="0.25">
      <c r="A56" s="10">
        <v>26</v>
      </c>
      <c r="B56" s="9">
        <v>0.20486111111111113</v>
      </c>
      <c r="C56" s="5" t="s">
        <v>152</v>
      </c>
      <c r="D56" s="5">
        <v>8</v>
      </c>
      <c r="E56" s="14"/>
      <c r="F56" s="14" t="s">
        <v>48</v>
      </c>
      <c r="G56" s="12">
        <v>2.7450000000000001</v>
      </c>
      <c r="H56" s="12">
        <v>6.3</v>
      </c>
      <c r="I56" s="12"/>
      <c r="J56" s="12"/>
      <c r="K56" s="12"/>
      <c r="L56" s="12"/>
      <c r="M56" s="12"/>
      <c r="N56" s="11"/>
      <c r="O56" s="11"/>
      <c r="P56" s="8" t="s">
        <v>51</v>
      </c>
    </row>
    <row r="57" spans="1:16" ht="24" customHeight="1" x14ac:dyDescent="0.25">
      <c r="A57" s="10">
        <v>27</v>
      </c>
      <c r="B57" s="9">
        <v>0.20625000000000002</v>
      </c>
      <c r="C57" s="5" t="s">
        <v>153</v>
      </c>
      <c r="D57" s="5">
        <v>8</v>
      </c>
      <c r="E57" s="14"/>
      <c r="F57" s="14" t="s">
        <v>48</v>
      </c>
      <c r="G57" s="12">
        <v>2.2799999999999998</v>
      </c>
      <c r="H57" s="12">
        <v>6</v>
      </c>
      <c r="I57" s="12"/>
      <c r="J57" s="12"/>
      <c r="K57" s="12"/>
      <c r="L57" s="12"/>
      <c r="M57" s="12"/>
      <c r="N57" s="11"/>
      <c r="O57" s="11"/>
      <c r="P57" s="8" t="s">
        <v>51</v>
      </c>
    </row>
    <row r="58" spans="1:16" ht="24" customHeight="1" x14ac:dyDescent="0.25">
      <c r="A58" s="10">
        <v>28</v>
      </c>
      <c r="B58" s="9">
        <v>0.20972222222222223</v>
      </c>
      <c r="C58" s="5" t="s">
        <v>154</v>
      </c>
      <c r="D58" s="5">
        <v>8</v>
      </c>
      <c r="E58" s="14"/>
      <c r="F58" s="14" t="s">
        <v>48</v>
      </c>
      <c r="G58" s="12">
        <v>2</v>
      </c>
      <c r="H58" s="12">
        <v>1.2</v>
      </c>
      <c r="I58" s="12"/>
      <c r="J58" s="12"/>
      <c r="K58" s="12"/>
      <c r="L58" s="12"/>
      <c r="M58" s="12"/>
      <c r="N58" s="11"/>
      <c r="O58" s="11"/>
      <c r="P58" s="8" t="s">
        <v>53</v>
      </c>
    </row>
    <row r="59" spans="1:16" ht="24" customHeight="1" x14ac:dyDescent="0.25">
      <c r="A59" s="10">
        <v>29</v>
      </c>
      <c r="B59" s="9">
        <v>0.21111111111111111</v>
      </c>
      <c r="C59" s="5" t="s">
        <v>110</v>
      </c>
      <c r="D59" s="5">
        <v>8</v>
      </c>
      <c r="E59" s="14"/>
      <c r="F59" s="14" t="s">
        <v>48</v>
      </c>
      <c r="G59" s="12">
        <v>2</v>
      </c>
      <c r="H59" s="12">
        <v>5.9</v>
      </c>
      <c r="I59" s="12"/>
      <c r="J59" s="12"/>
      <c r="K59" s="12"/>
      <c r="L59" s="12"/>
      <c r="M59" s="12"/>
      <c r="N59" s="11"/>
      <c r="O59" s="11"/>
      <c r="P59" s="8" t="s">
        <v>54</v>
      </c>
    </row>
    <row r="60" spans="1:16" ht="24" customHeight="1" x14ac:dyDescent="0.25">
      <c r="A60" s="10">
        <v>30</v>
      </c>
      <c r="B60" s="9">
        <v>0.23194444444444443</v>
      </c>
      <c r="C60" s="5" t="s">
        <v>155</v>
      </c>
      <c r="D60" s="5">
        <v>8</v>
      </c>
      <c r="E60" s="14"/>
      <c r="F60" s="14" t="s">
        <v>48</v>
      </c>
      <c r="G60" s="12">
        <v>1.4850000000000001</v>
      </c>
      <c r="H60" s="12">
        <v>9.9</v>
      </c>
      <c r="I60" s="12"/>
      <c r="J60" s="12"/>
      <c r="K60" s="12"/>
      <c r="L60" s="12"/>
      <c r="M60" s="12"/>
      <c r="N60" s="11"/>
      <c r="O60" s="11"/>
      <c r="P60" s="8" t="s">
        <v>54</v>
      </c>
    </row>
    <row r="61" spans="1:16" ht="24" customHeight="1" x14ac:dyDescent="0.25">
      <c r="A61" s="10">
        <v>31</v>
      </c>
      <c r="B61" s="9">
        <v>0.23750000000000002</v>
      </c>
      <c r="C61" s="5" t="s">
        <v>156</v>
      </c>
      <c r="D61" s="5">
        <v>8</v>
      </c>
      <c r="E61" s="14"/>
      <c r="F61" s="14" t="s">
        <v>48</v>
      </c>
      <c r="G61" s="12">
        <v>4.93</v>
      </c>
      <c r="H61" s="12">
        <v>12.378</v>
      </c>
      <c r="I61" s="12"/>
      <c r="J61" s="12"/>
      <c r="K61" s="12"/>
      <c r="L61" s="12"/>
      <c r="M61" s="12"/>
      <c r="N61" s="11"/>
      <c r="O61" s="11"/>
      <c r="P61" s="8" t="s">
        <v>51</v>
      </c>
    </row>
    <row r="62" spans="1:16" ht="24" customHeight="1" x14ac:dyDescent="0.25">
      <c r="A62" s="10">
        <v>32</v>
      </c>
      <c r="B62" s="9">
        <v>0.24027777777777778</v>
      </c>
      <c r="C62" s="5" t="s">
        <v>157</v>
      </c>
      <c r="D62" s="5">
        <v>8</v>
      </c>
      <c r="E62" s="14"/>
      <c r="F62" s="14" t="s">
        <v>48</v>
      </c>
      <c r="G62" s="12">
        <v>2.04</v>
      </c>
      <c r="H62" s="12">
        <v>1.24</v>
      </c>
      <c r="I62" s="12"/>
      <c r="J62" s="12"/>
      <c r="K62" s="12"/>
      <c r="L62" s="12"/>
      <c r="M62" s="12"/>
      <c r="N62" s="11"/>
      <c r="O62" s="11"/>
      <c r="P62" s="8" t="s">
        <v>53</v>
      </c>
    </row>
    <row r="63" spans="1:16" ht="24" customHeight="1" x14ac:dyDescent="0.25">
      <c r="A63" s="10">
        <v>33</v>
      </c>
      <c r="B63" s="9">
        <v>0.24305555555555555</v>
      </c>
      <c r="C63" s="5" t="s">
        <v>158</v>
      </c>
      <c r="D63" s="5">
        <v>8</v>
      </c>
      <c r="E63" s="14"/>
      <c r="F63" s="14" t="s">
        <v>48</v>
      </c>
      <c r="G63" s="12">
        <v>5.56</v>
      </c>
      <c r="H63" s="12">
        <v>13.56</v>
      </c>
      <c r="I63" s="12"/>
      <c r="J63" s="12"/>
      <c r="K63" s="12"/>
      <c r="L63" s="12"/>
      <c r="M63" s="12"/>
      <c r="N63" s="11"/>
      <c r="O63" s="11"/>
      <c r="P63" s="8" t="s">
        <v>54</v>
      </c>
    </row>
    <row r="64" spans="1:16" ht="24" customHeight="1" x14ac:dyDescent="0.25">
      <c r="A64" s="10">
        <v>34</v>
      </c>
      <c r="B64" s="9">
        <v>0.24861111111111112</v>
      </c>
      <c r="C64" s="5" t="s">
        <v>159</v>
      </c>
      <c r="D64" s="5">
        <v>8</v>
      </c>
      <c r="E64" s="14"/>
      <c r="F64" s="14" t="s">
        <v>48</v>
      </c>
      <c r="G64" s="12">
        <v>5.08</v>
      </c>
      <c r="H64" s="12">
        <v>12.24</v>
      </c>
      <c r="I64" s="12"/>
      <c r="J64" s="12"/>
      <c r="K64" s="12"/>
      <c r="L64" s="12"/>
      <c r="M64" s="12"/>
      <c r="N64" s="11"/>
      <c r="O64" s="11"/>
      <c r="P64" s="8" t="s">
        <v>105</v>
      </c>
    </row>
    <row r="65" spans="1:16" ht="24" customHeight="1" x14ac:dyDescent="0.25">
      <c r="A65" s="10">
        <v>35</v>
      </c>
      <c r="B65" s="9">
        <v>0.25</v>
      </c>
      <c r="C65" s="5" t="s">
        <v>160</v>
      </c>
      <c r="D65" s="5">
        <v>8</v>
      </c>
      <c r="E65" s="14"/>
      <c r="F65" s="14" t="s">
        <v>48</v>
      </c>
      <c r="G65" s="12">
        <v>2.9</v>
      </c>
      <c r="H65" s="12">
        <v>4.9000000000000004</v>
      </c>
      <c r="I65" s="12"/>
      <c r="J65" s="12"/>
      <c r="K65" s="12"/>
      <c r="L65" s="12"/>
      <c r="M65" s="12"/>
      <c r="N65" s="11"/>
      <c r="O65" s="11"/>
      <c r="P65" s="8" t="s">
        <v>129</v>
      </c>
    </row>
    <row r="66" spans="1:16" ht="24" customHeight="1" x14ac:dyDescent="0.25">
      <c r="A66" s="10">
        <v>36</v>
      </c>
      <c r="B66" s="9">
        <v>0.25625000000000003</v>
      </c>
      <c r="C66" s="5" t="s">
        <v>161</v>
      </c>
      <c r="D66" s="5">
        <v>8</v>
      </c>
      <c r="E66" s="14"/>
      <c r="F66" s="14" t="s">
        <v>48</v>
      </c>
      <c r="G66" s="12">
        <v>1.4650000000000001</v>
      </c>
      <c r="H66" s="12">
        <v>1.9</v>
      </c>
      <c r="I66" s="12"/>
      <c r="J66" s="12"/>
      <c r="K66" s="12"/>
      <c r="L66" s="12"/>
      <c r="M66" s="12"/>
      <c r="N66" s="11"/>
      <c r="O66" s="11"/>
      <c r="P66" s="8" t="s">
        <v>53</v>
      </c>
    </row>
    <row r="67" spans="1:16" ht="24" customHeight="1" x14ac:dyDescent="0.25">
      <c r="A67" s="10">
        <v>37</v>
      </c>
      <c r="B67" s="9">
        <v>0.26111111111111113</v>
      </c>
      <c r="C67" s="5" t="s">
        <v>162</v>
      </c>
      <c r="D67" s="5">
        <v>10</v>
      </c>
      <c r="E67" s="14"/>
      <c r="F67" s="14" t="s">
        <v>165</v>
      </c>
      <c r="G67" s="12">
        <v>2.4649999999999999</v>
      </c>
      <c r="H67" s="12">
        <v>1.47</v>
      </c>
      <c r="I67" s="12">
        <v>2.15</v>
      </c>
      <c r="J67" s="12">
        <v>2.66</v>
      </c>
      <c r="K67" s="12"/>
      <c r="L67" s="12"/>
      <c r="M67" s="12"/>
      <c r="N67" s="11"/>
      <c r="O67" s="11"/>
      <c r="P67" s="8" t="s">
        <v>53</v>
      </c>
    </row>
    <row r="68" spans="1:16" ht="24" customHeight="1" x14ac:dyDescent="0.25">
      <c r="A68" s="10">
        <v>38</v>
      </c>
      <c r="B68" s="9">
        <v>0.27083333333333331</v>
      </c>
      <c r="C68" s="5" t="s">
        <v>163</v>
      </c>
      <c r="D68" s="5">
        <v>8</v>
      </c>
      <c r="E68" s="14"/>
      <c r="F68" s="14" t="s">
        <v>48</v>
      </c>
      <c r="G68" s="12">
        <v>2.74</v>
      </c>
      <c r="H68" s="12">
        <v>4</v>
      </c>
      <c r="I68" s="12"/>
      <c r="J68" s="12"/>
      <c r="K68" s="12"/>
      <c r="L68" s="12"/>
      <c r="M68" s="12"/>
      <c r="N68" s="11"/>
      <c r="O68" s="11"/>
      <c r="P68" s="8" t="s">
        <v>129</v>
      </c>
    </row>
    <row r="69" spans="1:16" ht="24" customHeight="1" x14ac:dyDescent="0.25">
      <c r="A69" s="10">
        <v>39</v>
      </c>
      <c r="B69" s="9">
        <v>0.27291666666666664</v>
      </c>
      <c r="C69" s="5" t="s">
        <v>164</v>
      </c>
      <c r="D69" s="5">
        <v>8</v>
      </c>
      <c r="E69" s="14"/>
      <c r="F69" s="14" t="s">
        <v>48</v>
      </c>
      <c r="G69" s="12">
        <v>1.78</v>
      </c>
      <c r="H69" s="12">
        <v>1.6</v>
      </c>
      <c r="I69" s="12"/>
      <c r="J69" s="12"/>
      <c r="K69" s="12"/>
      <c r="L69" s="12"/>
      <c r="M69" s="12"/>
      <c r="N69" s="11"/>
      <c r="O69" s="11"/>
      <c r="P69" s="8" t="s">
        <v>53</v>
      </c>
    </row>
  </sheetData>
  <mergeCells count="13">
    <mergeCell ref="A1:P1"/>
    <mergeCell ref="O5:O6"/>
    <mergeCell ref="P5:P6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7"/>
  <sheetViews>
    <sheetView topLeftCell="A52" zoomScale="75" zoomScaleNormal="75" workbookViewId="0">
      <selection activeCell="A25" sqref="A25:XFD67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9.5703125" customWidth="1"/>
    <col min="5" max="5" width="9.140625" style="15" customWidth="1"/>
    <col min="6" max="6" width="15.140625" style="15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66" t="s">
        <v>232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x14ac:dyDescent="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6" x14ac:dyDescent="0.25">
      <c r="A3" s="2" t="s">
        <v>1</v>
      </c>
      <c r="B3" s="2"/>
      <c r="C3" s="2"/>
      <c r="D3" s="2" t="s">
        <v>2</v>
      </c>
      <c r="E3" s="17"/>
      <c r="F3" s="13"/>
      <c r="G3" s="2"/>
      <c r="H3" s="3"/>
      <c r="I3" s="2"/>
      <c r="J3" s="2"/>
      <c r="K3" s="2"/>
      <c r="L3" s="2"/>
      <c r="M3" s="3"/>
      <c r="N3" s="4"/>
      <c r="O3" s="2"/>
    </row>
    <row r="4" spans="1:16" ht="15.75" thickBot="1" x14ac:dyDescent="0.3">
      <c r="A4" s="78">
        <v>43693</v>
      </c>
      <c r="B4" s="78"/>
      <c r="C4" s="2"/>
      <c r="D4" s="6"/>
      <c r="E4" s="17"/>
      <c r="F4" s="13"/>
      <c r="G4" s="2"/>
      <c r="H4" s="21" t="s">
        <v>230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71" t="s">
        <v>3</v>
      </c>
      <c r="B5" s="73" t="s">
        <v>4</v>
      </c>
      <c r="C5" s="70" t="s">
        <v>5</v>
      </c>
      <c r="D5" s="70" t="s">
        <v>16</v>
      </c>
      <c r="E5" s="76" t="s">
        <v>6</v>
      </c>
      <c r="F5" s="76" t="s">
        <v>7</v>
      </c>
      <c r="G5" s="7" t="s">
        <v>17</v>
      </c>
      <c r="H5" s="70" t="s">
        <v>229</v>
      </c>
      <c r="I5" s="70"/>
      <c r="J5" s="70"/>
      <c r="K5" s="70"/>
      <c r="L5" s="70"/>
      <c r="M5" s="70"/>
      <c r="N5" s="70" t="s">
        <v>15</v>
      </c>
      <c r="O5" s="70" t="s">
        <v>18</v>
      </c>
      <c r="P5" s="67" t="s">
        <v>19</v>
      </c>
    </row>
    <row r="6" spans="1:16" ht="13.9" customHeight="1" thickBot="1" x14ac:dyDescent="0.3">
      <c r="A6" s="72"/>
      <c r="B6" s="74"/>
      <c r="C6" s="75"/>
      <c r="D6" s="75"/>
      <c r="E6" s="77"/>
      <c r="F6" s="77"/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75"/>
      <c r="O6" s="75"/>
      <c r="P6" s="68"/>
    </row>
    <row r="7" spans="1:16" ht="24" customHeight="1" x14ac:dyDescent="0.25">
      <c r="A7" s="10">
        <v>1</v>
      </c>
      <c r="B7" s="9">
        <v>0.30208333333333331</v>
      </c>
      <c r="C7" s="5" t="s">
        <v>166</v>
      </c>
      <c r="D7" s="5">
        <v>8</v>
      </c>
      <c r="E7" s="14"/>
      <c r="F7" s="14" t="s">
        <v>48</v>
      </c>
      <c r="G7" s="18">
        <v>1.56</v>
      </c>
      <c r="H7" s="18">
        <v>1.8</v>
      </c>
      <c r="I7" s="18"/>
      <c r="J7" s="18"/>
      <c r="K7" s="18"/>
      <c r="L7" s="18"/>
      <c r="M7" s="18"/>
      <c r="N7" s="16"/>
      <c r="O7" s="11"/>
      <c r="P7" s="8" t="s">
        <v>53</v>
      </c>
    </row>
    <row r="8" spans="1:16" ht="24" customHeight="1" x14ac:dyDescent="0.25">
      <c r="A8" s="10">
        <v>2</v>
      </c>
      <c r="B8" s="9">
        <v>0.3125</v>
      </c>
      <c r="C8" s="5" t="s">
        <v>167</v>
      </c>
      <c r="D8" s="5">
        <v>8</v>
      </c>
      <c r="E8" s="14"/>
      <c r="F8" s="14" t="s">
        <v>48</v>
      </c>
      <c r="G8" s="18">
        <v>1.6</v>
      </c>
      <c r="H8" s="18">
        <v>1.81</v>
      </c>
      <c r="I8" s="18"/>
      <c r="J8" s="18"/>
      <c r="K8" s="18"/>
      <c r="L8" s="18"/>
      <c r="M8" s="18"/>
      <c r="N8" s="16"/>
      <c r="O8" s="11"/>
      <c r="P8" s="8" t="s">
        <v>53</v>
      </c>
    </row>
    <row r="9" spans="1:16" ht="24" customHeight="1" x14ac:dyDescent="0.25">
      <c r="A9" s="10">
        <v>3</v>
      </c>
      <c r="B9" s="9">
        <v>0.31597222222222221</v>
      </c>
      <c r="C9" s="5" t="s">
        <v>168</v>
      </c>
      <c r="D9" s="5">
        <v>8</v>
      </c>
      <c r="E9" s="14"/>
      <c r="F9" s="14" t="s">
        <v>48</v>
      </c>
      <c r="G9" s="18">
        <v>1.52</v>
      </c>
      <c r="H9" s="18">
        <v>1.96</v>
      </c>
      <c r="I9" s="18"/>
      <c r="J9" s="18"/>
      <c r="K9" s="18"/>
      <c r="L9" s="18"/>
      <c r="M9" s="18"/>
      <c r="N9" s="16"/>
      <c r="O9" s="11"/>
      <c r="P9" s="8" t="s">
        <v>53</v>
      </c>
    </row>
    <row r="10" spans="1:16" ht="24" customHeight="1" x14ac:dyDescent="0.25">
      <c r="A10" s="10">
        <v>4</v>
      </c>
      <c r="B10" s="9">
        <v>0.32500000000000001</v>
      </c>
      <c r="C10" s="5" t="s">
        <v>169</v>
      </c>
      <c r="D10" s="5">
        <v>8</v>
      </c>
      <c r="E10" s="14"/>
      <c r="F10" s="14" t="s">
        <v>48</v>
      </c>
      <c r="G10" s="12">
        <v>6</v>
      </c>
      <c r="H10" s="12">
        <v>14</v>
      </c>
      <c r="I10" s="12"/>
      <c r="J10" s="12"/>
      <c r="K10" s="12"/>
      <c r="L10" s="12"/>
      <c r="M10" s="12"/>
      <c r="N10" s="16"/>
      <c r="O10" s="11"/>
      <c r="P10" s="8" t="s">
        <v>54</v>
      </c>
    </row>
    <row r="11" spans="1:16" ht="24" customHeight="1" x14ac:dyDescent="0.25">
      <c r="A11" s="10">
        <v>5</v>
      </c>
      <c r="B11" s="9">
        <v>0.35347222222222219</v>
      </c>
      <c r="C11" s="5" t="s">
        <v>170</v>
      </c>
      <c r="D11" s="20">
        <v>8</v>
      </c>
      <c r="E11" s="14"/>
      <c r="F11" s="14" t="s">
        <v>48</v>
      </c>
      <c r="G11" s="12">
        <v>2.8</v>
      </c>
      <c r="H11" s="12">
        <v>1.6</v>
      </c>
      <c r="I11" s="12"/>
      <c r="J11" s="12"/>
      <c r="K11" s="12"/>
      <c r="L11" s="12"/>
      <c r="M11" s="12"/>
      <c r="N11" s="16"/>
      <c r="O11" s="11"/>
      <c r="P11" s="8" t="s">
        <v>53</v>
      </c>
    </row>
    <row r="12" spans="1:16" ht="24" customHeight="1" x14ac:dyDescent="0.25">
      <c r="A12" s="10">
        <v>6</v>
      </c>
      <c r="B12" s="9">
        <v>0.35486111111111113</v>
      </c>
      <c r="C12" s="5" t="s">
        <v>171</v>
      </c>
      <c r="D12" s="5">
        <v>8</v>
      </c>
      <c r="E12" s="14"/>
      <c r="F12" s="14" t="s">
        <v>48</v>
      </c>
      <c r="G12" s="12">
        <v>5</v>
      </c>
      <c r="H12" s="12">
        <v>9</v>
      </c>
      <c r="I12" s="12"/>
      <c r="J12" s="12"/>
      <c r="K12" s="12"/>
      <c r="L12" s="12"/>
      <c r="M12" s="12"/>
      <c r="N12" s="16"/>
      <c r="O12" s="11"/>
      <c r="P12" s="8" t="s">
        <v>51</v>
      </c>
    </row>
    <row r="13" spans="1:16" ht="24" customHeight="1" x14ac:dyDescent="0.25">
      <c r="A13" s="10">
        <v>7</v>
      </c>
      <c r="B13" s="9">
        <v>0.36736111111111108</v>
      </c>
      <c r="C13" s="5" t="s">
        <v>172</v>
      </c>
      <c r="D13" s="5">
        <v>8</v>
      </c>
      <c r="E13" s="14"/>
      <c r="F13" s="14" t="s">
        <v>48</v>
      </c>
      <c r="G13" s="12">
        <v>3.6</v>
      </c>
      <c r="H13" s="12">
        <v>7.07</v>
      </c>
      <c r="I13" s="12"/>
      <c r="J13" s="12"/>
      <c r="K13" s="12"/>
      <c r="L13" s="12"/>
      <c r="M13" s="12"/>
      <c r="N13" s="16"/>
      <c r="O13" s="11"/>
      <c r="P13" s="8" t="s">
        <v>51</v>
      </c>
    </row>
    <row r="14" spans="1:16" ht="24" customHeight="1" x14ac:dyDescent="0.25">
      <c r="A14" s="10">
        <v>8</v>
      </c>
      <c r="B14" s="9">
        <v>0.40833333333333338</v>
      </c>
      <c r="C14" s="5" t="s">
        <v>173</v>
      </c>
      <c r="D14" s="5">
        <v>8</v>
      </c>
      <c r="E14" s="14"/>
      <c r="F14" s="14" t="s">
        <v>48</v>
      </c>
      <c r="G14" s="12">
        <v>9</v>
      </c>
      <c r="H14" s="12">
        <v>17</v>
      </c>
      <c r="I14" s="12"/>
      <c r="J14" s="12"/>
      <c r="K14" s="12"/>
      <c r="L14" s="12"/>
      <c r="M14" s="12"/>
      <c r="N14" s="16"/>
      <c r="O14" s="11"/>
      <c r="P14" s="8" t="s">
        <v>54</v>
      </c>
    </row>
    <row r="15" spans="1:16" ht="24" customHeight="1" x14ac:dyDescent="0.25">
      <c r="A15" s="10">
        <v>9</v>
      </c>
      <c r="B15" s="9">
        <v>0.41319444444444442</v>
      </c>
      <c r="C15" s="5" t="s">
        <v>174</v>
      </c>
      <c r="D15" s="5">
        <v>8</v>
      </c>
      <c r="E15" s="14"/>
      <c r="F15" s="14" t="s">
        <v>48</v>
      </c>
      <c r="G15" s="12">
        <v>7</v>
      </c>
      <c r="H15" s="12">
        <v>12</v>
      </c>
      <c r="I15" s="12"/>
      <c r="J15" s="12"/>
      <c r="K15" s="12"/>
      <c r="L15" s="12"/>
      <c r="M15" s="12"/>
      <c r="N15" s="16"/>
      <c r="O15" s="11"/>
      <c r="P15" s="8" t="s">
        <v>51</v>
      </c>
    </row>
    <row r="16" spans="1:16" ht="24" customHeight="1" x14ac:dyDescent="0.25">
      <c r="A16" s="10">
        <v>10</v>
      </c>
      <c r="B16" s="9">
        <v>0.4375</v>
      </c>
      <c r="C16" s="5" t="s">
        <v>174</v>
      </c>
      <c r="D16" s="5">
        <v>8</v>
      </c>
      <c r="E16" s="14"/>
      <c r="F16" s="14" t="s">
        <v>48</v>
      </c>
      <c r="G16" s="12">
        <v>3.24</v>
      </c>
      <c r="H16" s="12">
        <v>4.26</v>
      </c>
      <c r="I16" s="12"/>
      <c r="J16" s="12"/>
      <c r="K16" s="12"/>
      <c r="L16" s="12"/>
      <c r="M16" s="12"/>
      <c r="N16" s="16"/>
      <c r="O16" s="11"/>
      <c r="P16" s="8" t="s">
        <v>51</v>
      </c>
    </row>
    <row r="17" spans="1:16" ht="24" customHeight="1" x14ac:dyDescent="0.25">
      <c r="A17" s="10">
        <v>11</v>
      </c>
      <c r="B17" s="9">
        <v>0.47916666666666669</v>
      </c>
      <c r="C17" s="5" t="s">
        <v>175</v>
      </c>
      <c r="D17" s="5">
        <v>8</v>
      </c>
      <c r="E17" s="14"/>
      <c r="F17" s="14" t="s">
        <v>48</v>
      </c>
      <c r="G17" s="12">
        <v>1.98</v>
      </c>
      <c r="H17" s="12">
        <v>3.24</v>
      </c>
      <c r="I17" s="12"/>
      <c r="J17" s="12"/>
      <c r="K17" s="12"/>
      <c r="L17" s="12"/>
      <c r="M17" s="12"/>
      <c r="N17" s="11"/>
      <c r="O17" s="11"/>
      <c r="P17" s="8" t="s">
        <v>54</v>
      </c>
    </row>
    <row r="18" spans="1:16" ht="24" customHeight="1" x14ac:dyDescent="0.25">
      <c r="A18" s="10">
        <v>12</v>
      </c>
      <c r="B18" s="9">
        <v>0.53125</v>
      </c>
      <c r="C18" s="5" t="s">
        <v>176</v>
      </c>
      <c r="D18" s="5">
        <v>8</v>
      </c>
      <c r="E18" s="14"/>
      <c r="F18" s="22" t="s">
        <v>48</v>
      </c>
      <c r="G18" s="12">
        <v>5.7</v>
      </c>
      <c r="H18" s="12">
        <v>13</v>
      </c>
      <c r="I18" s="12"/>
      <c r="J18" s="12"/>
      <c r="K18" s="12"/>
      <c r="L18" s="12"/>
      <c r="M18" s="12"/>
      <c r="N18" s="11"/>
      <c r="O18" s="11"/>
      <c r="P18" s="8" t="s">
        <v>51</v>
      </c>
    </row>
    <row r="19" spans="1:16" ht="24" customHeight="1" x14ac:dyDescent="0.25">
      <c r="A19" s="10">
        <v>13</v>
      </c>
      <c r="B19" s="9">
        <v>8.7500000000000008E-2</v>
      </c>
      <c r="C19" s="5" t="s">
        <v>177</v>
      </c>
      <c r="D19" s="5">
        <v>8</v>
      </c>
      <c r="E19" s="14"/>
      <c r="F19" s="14" t="s">
        <v>48</v>
      </c>
      <c r="G19" s="12">
        <v>2</v>
      </c>
      <c r="H19" s="12">
        <v>2.1</v>
      </c>
      <c r="I19" s="12"/>
      <c r="J19" s="12"/>
      <c r="K19" s="12"/>
      <c r="L19" s="12"/>
      <c r="M19" s="12"/>
      <c r="N19" s="16"/>
      <c r="O19" s="11"/>
      <c r="P19" s="8" t="s">
        <v>53</v>
      </c>
    </row>
    <row r="20" spans="1:16" ht="24" customHeight="1" x14ac:dyDescent="0.25">
      <c r="A20" s="10">
        <v>14</v>
      </c>
      <c r="B20" s="9">
        <v>0.11527777777777777</v>
      </c>
      <c r="C20" s="5" t="s">
        <v>178</v>
      </c>
      <c r="D20" s="5">
        <v>8</v>
      </c>
      <c r="E20" s="14"/>
      <c r="F20" s="14" t="s">
        <v>48</v>
      </c>
      <c r="G20" s="12">
        <v>2.8</v>
      </c>
      <c r="H20" s="12">
        <v>3.8</v>
      </c>
      <c r="I20" s="12"/>
      <c r="J20" s="12"/>
      <c r="K20" s="12"/>
      <c r="L20" s="12"/>
      <c r="M20" s="12"/>
      <c r="N20" s="16"/>
      <c r="O20" s="11"/>
      <c r="P20" s="8" t="s">
        <v>105</v>
      </c>
    </row>
    <row r="21" spans="1:16" ht="24" customHeight="1" x14ac:dyDescent="0.25">
      <c r="A21" s="10">
        <v>15</v>
      </c>
      <c r="B21" s="9">
        <v>0.14861111111111111</v>
      </c>
      <c r="C21" s="5" t="s">
        <v>179</v>
      </c>
      <c r="D21" s="5">
        <v>8</v>
      </c>
      <c r="E21" s="14"/>
      <c r="F21" s="14" t="s">
        <v>48</v>
      </c>
      <c r="G21" s="12">
        <v>4.5999999999999996</v>
      </c>
      <c r="H21" s="12">
        <v>8.24</v>
      </c>
      <c r="I21" s="12"/>
      <c r="J21" s="12"/>
      <c r="K21" s="12"/>
      <c r="L21" s="12"/>
      <c r="M21" s="12"/>
      <c r="N21" s="16"/>
      <c r="O21" s="11"/>
      <c r="P21" s="8" t="s">
        <v>129</v>
      </c>
    </row>
    <row r="22" spans="1:16" ht="24" customHeight="1" x14ac:dyDescent="0.25">
      <c r="A22" s="10">
        <v>16</v>
      </c>
      <c r="B22" s="9">
        <v>0.18124999999999999</v>
      </c>
      <c r="C22" s="5" t="s">
        <v>180</v>
      </c>
      <c r="D22" s="5">
        <v>8</v>
      </c>
      <c r="E22" s="14"/>
      <c r="F22" s="14" t="s">
        <v>48</v>
      </c>
      <c r="G22" s="12">
        <v>3.64</v>
      </c>
      <c r="H22" s="12">
        <v>9.34</v>
      </c>
      <c r="I22" s="12"/>
      <c r="J22" s="12"/>
      <c r="K22" s="12"/>
      <c r="L22" s="12"/>
      <c r="M22" s="12"/>
      <c r="N22" s="16"/>
      <c r="O22" s="11"/>
      <c r="P22" s="8" t="s">
        <v>182</v>
      </c>
    </row>
    <row r="23" spans="1:16" ht="24" customHeight="1" x14ac:dyDescent="0.25">
      <c r="A23" s="10">
        <v>17</v>
      </c>
      <c r="B23" s="9">
        <v>0.19444444444444445</v>
      </c>
      <c r="C23" s="5" t="s">
        <v>181</v>
      </c>
      <c r="D23" s="5">
        <v>9</v>
      </c>
      <c r="E23" s="14"/>
      <c r="F23" s="14" t="s">
        <v>102</v>
      </c>
      <c r="G23" s="12">
        <v>3.75</v>
      </c>
      <c r="H23" s="12">
        <v>4.84</v>
      </c>
      <c r="I23" s="12">
        <v>4.9400000000000004</v>
      </c>
      <c r="J23" s="12"/>
      <c r="K23" s="12"/>
      <c r="L23" s="12"/>
      <c r="M23" s="12"/>
      <c r="N23" s="16"/>
      <c r="O23" s="11"/>
      <c r="P23" s="8" t="s">
        <v>51</v>
      </c>
    </row>
    <row r="24" spans="1:16" s="31" customFormat="1" ht="24" customHeight="1" x14ac:dyDescent="0.25">
      <c r="A24" s="23"/>
      <c r="B24" s="24"/>
      <c r="C24" s="25"/>
      <c r="D24" s="25"/>
      <c r="E24" s="26"/>
      <c r="F24" s="26"/>
      <c r="G24" s="27"/>
      <c r="H24" s="33" t="s">
        <v>231</v>
      </c>
      <c r="I24" s="27"/>
      <c r="J24" s="27"/>
      <c r="K24" s="27"/>
      <c r="L24" s="27"/>
      <c r="M24" s="27"/>
      <c r="N24" s="28"/>
      <c r="O24" s="29"/>
      <c r="P24" s="30"/>
    </row>
    <row r="25" spans="1:16" ht="24" customHeight="1" x14ac:dyDescent="0.25">
      <c r="A25" s="10">
        <v>1</v>
      </c>
      <c r="B25" s="9">
        <v>0.29166666666666669</v>
      </c>
      <c r="C25" s="5" t="s">
        <v>183</v>
      </c>
      <c r="D25" s="5">
        <v>8</v>
      </c>
      <c r="E25" s="14"/>
      <c r="F25" s="14" t="s">
        <v>48</v>
      </c>
      <c r="G25" s="12">
        <v>5.2</v>
      </c>
      <c r="H25" s="12">
        <v>12</v>
      </c>
      <c r="I25" s="12"/>
      <c r="J25" s="12"/>
      <c r="K25" s="12"/>
      <c r="L25" s="12"/>
      <c r="M25" s="12"/>
      <c r="N25" s="16"/>
      <c r="O25" s="11"/>
      <c r="P25" s="8" t="s">
        <v>51</v>
      </c>
    </row>
    <row r="26" spans="1:16" ht="24" customHeight="1" x14ac:dyDescent="0.25">
      <c r="A26" s="10">
        <v>2</v>
      </c>
      <c r="B26" s="9">
        <v>0.29583333333333334</v>
      </c>
      <c r="C26" s="5" t="s">
        <v>184</v>
      </c>
      <c r="D26" s="5">
        <v>8</v>
      </c>
      <c r="E26" s="14"/>
      <c r="F26" s="14" t="s">
        <v>48</v>
      </c>
      <c r="G26" s="12">
        <v>5.2</v>
      </c>
      <c r="H26" s="12">
        <v>14.38</v>
      </c>
      <c r="I26" s="12"/>
      <c r="J26" s="12"/>
      <c r="K26" s="12"/>
      <c r="L26" s="12"/>
      <c r="M26" s="12"/>
      <c r="N26" s="16"/>
      <c r="O26" s="11"/>
      <c r="P26" s="8" t="s">
        <v>51</v>
      </c>
    </row>
    <row r="27" spans="1:16" ht="24" customHeight="1" x14ac:dyDescent="0.25">
      <c r="A27" s="10">
        <v>3</v>
      </c>
      <c r="B27" s="9">
        <v>0.2986111111111111</v>
      </c>
      <c r="C27" s="5" t="s">
        <v>185</v>
      </c>
      <c r="D27" s="5">
        <v>8</v>
      </c>
      <c r="E27" s="14"/>
      <c r="F27" s="14" t="s">
        <v>48</v>
      </c>
      <c r="G27" s="12">
        <v>4.84</v>
      </c>
      <c r="H27" s="12">
        <v>13.18</v>
      </c>
      <c r="I27" s="12"/>
      <c r="J27" s="12"/>
      <c r="K27" s="12"/>
      <c r="L27" s="12"/>
      <c r="M27" s="12"/>
      <c r="N27" s="16"/>
      <c r="O27" s="11"/>
      <c r="P27" s="8" t="s">
        <v>51</v>
      </c>
    </row>
    <row r="28" spans="1:16" ht="24" customHeight="1" x14ac:dyDescent="0.25">
      <c r="A28" s="10">
        <v>4</v>
      </c>
      <c r="B28" s="9">
        <v>0.30624999999999997</v>
      </c>
      <c r="C28" s="5" t="s">
        <v>186</v>
      </c>
      <c r="D28" s="5">
        <v>8</v>
      </c>
      <c r="E28" s="14"/>
      <c r="F28" s="14" t="s">
        <v>48</v>
      </c>
      <c r="G28" s="12">
        <v>2.06</v>
      </c>
      <c r="H28" s="12">
        <v>1.52</v>
      </c>
      <c r="I28" s="12"/>
      <c r="J28" s="12"/>
      <c r="K28" s="12"/>
      <c r="L28" s="12"/>
      <c r="M28" s="12"/>
      <c r="N28" s="16"/>
      <c r="O28" s="11"/>
      <c r="P28" s="8" t="s">
        <v>53</v>
      </c>
    </row>
    <row r="29" spans="1:16" ht="24" customHeight="1" x14ac:dyDescent="0.25">
      <c r="A29" s="10">
        <v>5</v>
      </c>
      <c r="B29" s="9">
        <v>0.30902777777777779</v>
      </c>
      <c r="C29" s="5" t="s">
        <v>187</v>
      </c>
      <c r="D29" s="5">
        <v>8</v>
      </c>
      <c r="E29" s="14"/>
      <c r="F29" s="14" t="s">
        <v>48</v>
      </c>
      <c r="G29" s="12">
        <v>2.08</v>
      </c>
      <c r="H29" s="12">
        <v>1.52</v>
      </c>
      <c r="I29" s="12"/>
      <c r="J29" s="12"/>
      <c r="K29" s="12"/>
      <c r="L29" s="12"/>
      <c r="M29" s="12"/>
      <c r="N29" s="16"/>
      <c r="O29" s="11"/>
      <c r="P29" s="8" t="s">
        <v>53</v>
      </c>
    </row>
    <row r="30" spans="1:16" ht="24" customHeight="1" x14ac:dyDescent="0.25">
      <c r="A30" s="10">
        <v>6</v>
      </c>
      <c r="B30" s="9">
        <v>0.31875000000000003</v>
      </c>
      <c r="C30" s="5" t="s">
        <v>188</v>
      </c>
      <c r="D30" s="5">
        <v>8</v>
      </c>
      <c r="E30" s="14"/>
      <c r="F30" s="14" t="s">
        <v>48</v>
      </c>
      <c r="G30" s="12">
        <v>2.54</v>
      </c>
      <c r="H30" s="12">
        <v>1.51</v>
      </c>
      <c r="I30" s="12"/>
      <c r="J30" s="12"/>
      <c r="K30" s="12"/>
      <c r="L30" s="12"/>
      <c r="M30" s="12"/>
      <c r="N30" s="16"/>
      <c r="O30" s="11"/>
      <c r="P30" s="8" t="s">
        <v>53</v>
      </c>
    </row>
    <row r="31" spans="1:16" ht="24" customHeight="1" x14ac:dyDescent="0.25">
      <c r="A31" s="10">
        <v>7</v>
      </c>
      <c r="B31" s="9">
        <v>0.32291666666666669</v>
      </c>
      <c r="C31" s="5" t="s">
        <v>189</v>
      </c>
      <c r="D31" s="5">
        <v>8</v>
      </c>
      <c r="E31" s="14"/>
      <c r="F31" s="14" t="s">
        <v>48</v>
      </c>
      <c r="G31" s="12">
        <v>5.8</v>
      </c>
      <c r="H31" s="12">
        <v>15.8</v>
      </c>
      <c r="I31" s="12"/>
      <c r="J31" s="12"/>
      <c r="K31" s="12"/>
      <c r="L31" s="12"/>
      <c r="M31" s="12"/>
      <c r="N31" s="16"/>
      <c r="O31" s="11"/>
      <c r="P31" s="8" t="s">
        <v>51</v>
      </c>
    </row>
    <row r="32" spans="1:16" ht="24" customHeight="1" x14ac:dyDescent="0.25">
      <c r="A32" s="10">
        <v>8</v>
      </c>
      <c r="B32" s="9">
        <v>0.35347222222222219</v>
      </c>
      <c r="C32" s="5" t="s">
        <v>190</v>
      </c>
      <c r="D32" s="5">
        <v>10</v>
      </c>
      <c r="E32" s="14"/>
      <c r="F32" s="14" t="s">
        <v>165</v>
      </c>
      <c r="G32" s="12">
        <v>5.14</v>
      </c>
      <c r="H32" s="12">
        <v>9.58</v>
      </c>
      <c r="I32" s="12">
        <v>13.38</v>
      </c>
      <c r="J32" s="12">
        <v>3.02</v>
      </c>
      <c r="K32" s="12"/>
      <c r="L32" s="12"/>
      <c r="M32" s="12"/>
      <c r="N32" s="16"/>
      <c r="O32" s="11"/>
      <c r="P32" s="8" t="s">
        <v>51</v>
      </c>
    </row>
    <row r="33" spans="1:16" ht="24" customHeight="1" x14ac:dyDescent="0.25">
      <c r="A33" s="10">
        <v>9</v>
      </c>
      <c r="B33" s="9">
        <v>0.3611111111111111</v>
      </c>
      <c r="C33" s="5" t="s">
        <v>191</v>
      </c>
      <c r="D33" s="5">
        <v>8</v>
      </c>
      <c r="E33" s="14"/>
      <c r="F33" s="14" t="s">
        <v>48</v>
      </c>
      <c r="G33" s="12">
        <v>2.6</v>
      </c>
      <c r="H33" s="12">
        <v>1.1000000000000001</v>
      </c>
      <c r="I33" s="12"/>
      <c r="J33" s="12"/>
      <c r="K33" s="12"/>
      <c r="L33" s="12"/>
      <c r="M33" s="12"/>
      <c r="N33" s="16"/>
      <c r="O33" s="11"/>
      <c r="P33" s="8" t="s">
        <v>53</v>
      </c>
    </row>
    <row r="34" spans="1:16" ht="24" customHeight="1" x14ac:dyDescent="0.25">
      <c r="A34" s="10">
        <v>10</v>
      </c>
      <c r="B34" s="9">
        <v>0.39652777777777781</v>
      </c>
      <c r="C34" s="5" t="s">
        <v>192</v>
      </c>
      <c r="D34" s="5">
        <v>8</v>
      </c>
      <c r="E34" s="14"/>
      <c r="F34" s="14" t="s">
        <v>48</v>
      </c>
      <c r="G34" s="12">
        <v>3.64</v>
      </c>
      <c r="H34" s="12">
        <v>8.56</v>
      </c>
      <c r="I34" s="12"/>
      <c r="J34" s="12"/>
      <c r="K34" s="12"/>
      <c r="L34" s="12"/>
      <c r="M34" s="12"/>
      <c r="N34" s="16"/>
      <c r="O34" s="11"/>
      <c r="P34" s="8" t="s">
        <v>105</v>
      </c>
    </row>
    <row r="35" spans="1:16" ht="24" customHeight="1" x14ac:dyDescent="0.25">
      <c r="A35" s="10">
        <v>11</v>
      </c>
      <c r="B35" s="9">
        <v>0.40763888888888888</v>
      </c>
      <c r="C35" s="5" t="s">
        <v>193</v>
      </c>
      <c r="D35" s="5">
        <v>8</v>
      </c>
      <c r="E35" s="14"/>
      <c r="F35" s="14" t="s">
        <v>48</v>
      </c>
      <c r="G35" s="12">
        <v>3.88</v>
      </c>
      <c r="H35" s="12">
        <v>5</v>
      </c>
      <c r="I35" s="12"/>
      <c r="J35" s="12"/>
      <c r="K35" s="12"/>
      <c r="L35" s="12"/>
      <c r="M35" s="12"/>
      <c r="N35" s="16"/>
      <c r="O35" s="11"/>
      <c r="P35" s="8" t="s">
        <v>54</v>
      </c>
    </row>
    <row r="36" spans="1:16" ht="24" customHeight="1" x14ac:dyDescent="0.25">
      <c r="A36" s="10">
        <v>12</v>
      </c>
      <c r="B36" s="9">
        <v>0.41388888888888892</v>
      </c>
      <c r="C36" s="5" t="s">
        <v>194</v>
      </c>
      <c r="D36" s="5">
        <v>8</v>
      </c>
      <c r="E36" s="14"/>
      <c r="F36" s="14" t="s">
        <v>48</v>
      </c>
      <c r="G36" s="12">
        <v>1.08</v>
      </c>
      <c r="H36" s="12">
        <v>1.1200000000000001</v>
      </c>
      <c r="I36" s="12"/>
      <c r="J36" s="12"/>
      <c r="K36" s="12"/>
      <c r="L36" s="12"/>
      <c r="M36" s="12"/>
      <c r="N36" s="16"/>
      <c r="O36" s="11"/>
      <c r="P36" s="8" t="s">
        <v>53</v>
      </c>
    </row>
    <row r="37" spans="1:16" ht="24" customHeight="1" x14ac:dyDescent="0.25">
      <c r="A37" s="10">
        <v>13</v>
      </c>
      <c r="B37" s="9">
        <v>0.42777777777777781</v>
      </c>
      <c r="C37" s="5" t="s">
        <v>195</v>
      </c>
      <c r="D37" s="5">
        <v>8</v>
      </c>
      <c r="E37" s="14"/>
      <c r="F37" s="14" t="s">
        <v>48</v>
      </c>
      <c r="G37" s="12">
        <v>4.5199999999999996</v>
      </c>
      <c r="H37" s="12">
        <v>12.96</v>
      </c>
      <c r="I37" s="12"/>
      <c r="J37" s="12"/>
      <c r="K37" s="12"/>
      <c r="L37" s="12"/>
      <c r="M37" s="12"/>
      <c r="N37" s="16"/>
      <c r="O37" s="11"/>
      <c r="P37" s="8" t="s">
        <v>51</v>
      </c>
    </row>
    <row r="38" spans="1:16" ht="24" customHeight="1" x14ac:dyDescent="0.25">
      <c r="A38" s="10">
        <v>14</v>
      </c>
      <c r="B38" s="9">
        <v>0.42777777777777781</v>
      </c>
      <c r="C38" s="5" t="s">
        <v>196</v>
      </c>
      <c r="D38" s="5">
        <v>8</v>
      </c>
      <c r="E38" s="14"/>
      <c r="F38" s="14" t="s">
        <v>48</v>
      </c>
      <c r="G38" s="12">
        <v>2.2000000000000002</v>
      </c>
      <c r="H38" s="12">
        <v>1.1100000000000001</v>
      </c>
      <c r="I38" s="12"/>
      <c r="J38" s="12"/>
      <c r="K38" s="12"/>
      <c r="L38" s="12"/>
      <c r="M38" s="12"/>
      <c r="N38" s="16"/>
      <c r="O38" s="11"/>
      <c r="P38" s="8" t="s">
        <v>53</v>
      </c>
    </row>
    <row r="39" spans="1:16" ht="24" customHeight="1" x14ac:dyDescent="0.25">
      <c r="A39" s="10">
        <v>15</v>
      </c>
      <c r="B39" s="9">
        <v>0.42777777777777781</v>
      </c>
      <c r="C39" s="5" t="s">
        <v>197</v>
      </c>
      <c r="D39" s="5">
        <v>8</v>
      </c>
      <c r="E39" s="14"/>
      <c r="F39" s="14" t="s">
        <v>48</v>
      </c>
      <c r="G39" s="12">
        <v>2.54</v>
      </c>
      <c r="H39" s="12">
        <v>1.2</v>
      </c>
      <c r="I39" s="12"/>
      <c r="J39" s="12"/>
      <c r="K39" s="12"/>
      <c r="L39" s="12"/>
      <c r="M39" s="12"/>
      <c r="N39" s="16"/>
      <c r="O39" s="11"/>
      <c r="P39" s="8" t="s">
        <v>53</v>
      </c>
    </row>
    <row r="40" spans="1:16" ht="24" customHeight="1" x14ac:dyDescent="0.25">
      <c r="A40" s="10">
        <v>16</v>
      </c>
      <c r="B40" s="9">
        <v>0.4284722222222222</v>
      </c>
      <c r="C40" s="5" t="s">
        <v>198</v>
      </c>
      <c r="D40" s="5">
        <v>8</v>
      </c>
      <c r="E40" s="14"/>
      <c r="F40" s="14" t="s">
        <v>48</v>
      </c>
      <c r="G40" s="12">
        <v>1.5</v>
      </c>
      <c r="H40" s="12">
        <v>1.0900000000000001</v>
      </c>
      <c r="I40" s="12"/>
      <c r="J40" s="12"/>
      <c r="K40" s="12"/>
      <c r="L40" s="12"/>
      <c r="M40" s="12"/>
      <c r="N40" s="16"/>
      <c r="O40" s="11"/>
      <c r="P40" s="8" t="s">
        <v>53</v>
      </c>
    </row>
    <row r="41" spans="1:16" ht="24" customHeight="1" x14ac:dyDescent="0.25">
      <c r="A41" s="10">
        <v>17</v>
      </c>
      <c r="B41" s="9">
        <v>0.47152777777777777</v>
      </c>
      <c r="C41" s="5" t="s">
        <v>199</v>
      </c>
      <c r="D41" s="5">
        <v>8</v>
      </c>
      <c r="E41" s="14"/>
      <c r="F41" s="14" t="s">
        <v>48</v>
      </c>
      <c r="G41" s="12">
        <v>5.14</v>
      </c>
      <c r="H41" s="12">
        <v>13.6</v>
      </c>
      <c r="I41" s="12"/>
      <c r="J41" s="12"/>
      <c r="K41" s="12"/>
      <c r="L41" s="12"/>
      <c r="M41" s="12"/>
      <c r="N41" s="16"/>
      <c r="O41" s="11"/>
      <c r="P41" s="8" t="s">
        <v>51</v>
      </c>
    </row>
    <row r="42" spans="1:16" ht="24" customHeight="1" x14ac:dyDescent="0.25">
      <c r="A42" s="10">
        <v>18</v>
      </c>
      <c r="B42" s="9">
        <v>0.47222222222222227</v>
      </c>
      <c r="C42" s="5" t="s">
        <v>200</v>
      </c>
      <c r="D42" s="5">
        <v>8</v>
      </c>
      <c r="E42" s="14"/>
      <c r="F42" s="14" t="s">
        <v>48</v>
      </c>
      <c r="G42" s="12">
        <v>7.32</v>
      </c>
      <c r="H42" s="12">
        <v>13.57</v>
      </c>
      <c r="I42" s="12"/>
      <c r="J42" s="12"/>
      <c r="K42" s="12"/>
      <c r="L42" s="12"/>
      <c r="M42" s="12"/>
      <c r="N42" s="16"/>
      <c r="O42" s="11"/>
      <c r="P42" s="8" t="s">
        <v>51</v>
      </c>
    </row>
    <row r="43" spans="1:16" ht="24" customHeight="1" x14ac:dyDescent="0.25">
      <c r="A43" s="10">
        <v>19</v>
      </c>
      <c r="B43" s="9">
        <v>0.48194444444444445</v>
      </c>
      <c r="C43" s="5" t="s">
        <v>201</v>
      </c>
      <c r="D43" s="5">
        <v>8</v>
      </c>
      <c r="E43" s="14"/>
      <c r="F43" s="14" t="s">
        <v>48</v>
      </c>
      <c r="G43" s="12">
        <v>2.84</v>
      </c>
      <c r="H43" s="12">
        <v>5.03</v>
      </c>
      <c r="I43" s="12"/>
      <c r="J43" s="12"/>
      <c r="K43" s="12"/>
      <c r="L43" s="12"/>
      <c r="M43" s="12"/>
      <c r="N43" s="16"/>
      <c r="O43" s="11"/>
      <c r="P43" s="8" t="s">
        <v>105</v>
      </c>
    </row>
    <row r="44" spans="1:16" ht="24" customHeight="1" x14ac:dyDescent="0.25">
      <c r="A44" s="10">
        <v>20</v>
      </c>
      <c r="B44" s="9">
        <v>0.4861111111111111</v>
      </c>
      <c r="C44" s="5" t="s">
        <v>202</v>
      </c>
      <c r="D44" s="5">
        <v>8</v>
      </c>
      <c r="E44" s="14"/>
      <c r="F44" s="14" t="s">
        <v>48</v>
      </c>
      <c r="G44" s="12">
        <v>2.19</v>
      </c>
      <c r="H44" s="12">
        <v>7.08</v>
      </c>
      <c r="I44" s="12"/>
      <c r="J44" s="12"/>
      <c r="K44" s="12"/>
      <c r="L44" s="12"/>
      <c r="M44" s="12"/>
      <c r="N44" s="16"/>
      <c r="O44" s="11"/>
      <c r="P44" s="8" t="s">
        <v>54</v>
      </c>
    </row>
    <row r="45" spans="1:16" ht="24" customHeight="1" x14ac:dyDescent="0.25">
      <c r="A45" s="10">
        <v>21</v>
      </c>
      <c r="B45" s="9">
        <v>0.49583333333333335</v>
      </c>
      <c r="C45" s="5" t="s">
        <v>203</v>
      </c>
      <c r="D45" s="5">
        <v>8</v>
      </c>
      <c r="E45" s="14"/>
      <c r="F45" s="14" t="s">
        <v>48</v>
      </c>
      <c r="G45" s="12">
        <v>2.37</v>
      </c>
      <c r="H45" s="12">
        <v>5.56</v>
      </c>
      <c r="I45" s="12"/>
      <c r="J45" s="12"/>
      <c r="K45" s="12"/>
      <c r="L45" s="12"/>
      <c r="M45" s="12"/>
      <c r="N45" s="16"/>
      <c r="O45" s="11"/>
      <c r="P45" s="8" t="s">
        <v>182</v>
      </c>
    </row>
    <row r="46" spans="1:16" ht="24" customHeight="1" x14ac:dyDescent="0.25">
      <c r="A46" s="10">
        <v>22</v>
      </c>
      <c r="B46" s="9">
        <v>0.51527777777777783</v>
      </c>
      <c r="C46" s="5" t="s">
        <v>204</v>
      </c>
      <c r="D46" s="5">
        <v>8</v>
      </c>
      <c r="E46" s="14"/>
      <c r="F46" s="14" t="s">
        <v>48</v>
      </c>
      <c r="G46" s="12">
        <v>2.94</v>
      </c>
      <c r="H46" s="12">
        <v>7.36</v>
      </c>
      <c r="I46" s="12"/>
      <c r="J46" s="12"/>
      <c r="K46" s="12"/>
      <c r="L46" s="12"/>
      <c r="M46" s="12"/>
      <c r="N46" s="16"/>
      <c r="O46" s="11"/>
      <c r="P46" s="8" t="s">
        <v>51</v>
      </c>
    </row>
    <row r="47" spans="1:16" ht="24" customHeight="1" x14ac:dyDescent="0.25">
      <c r="A47" s="10">
        <v>23</v>
      </c>
      <c r="B47" s="9">
        <v>9.6527777777777768E-2</v>
      </c>
      <c r="C47" s="5" t="s">
        <v>205</v>
      </c>
      <c r="D47" s="5">
        <v>10</v>
      </c>
      <c r="E47" s="14"/>
      <c r="F47" s="14" t="s">
        <v>49</v>
      </c>
      <c r="G47" s="12">
        <v>4.5</v>
      </c>
      <c r="H47" s="12">
        <v>9.32</v>
      </c>
      <c r="I47" s="12">
        <v>10.72</v>
      </c>
      <c r="J47" s="12">
        <v>10.65</v>
      </c>
      <c r="K47" s="12">
        <v>4.43</v>
      </c>
      <c r="L47" s="12"/>
      <c r="M47" s="12"/>
      <c r="N47" s="16"/>
      <c r="O47" s="11"/>
      <c r="P47" s="8" t="s">
        <v>51</v>
      </c>
    </row>
    <row r="48" spans="1:16" ht="24" customHeight="1" x14ac:dyDescent="0.25">
      <c r="A48" s="10">
        <v>24</v>
      </c>
      <c r="B48" s="9">
        <v>0.11527777777777777</v>
      </c>
      <c r="C48" s="5" t="s">
        <v>206</v>
      </c>
      <c r="D48" s="5">
        <v>9</v>
      </c>
      <c r="E48" s="14"/>
      <c r="F48" s="14" t="s">
        <v>48</v>
      </c>
      <c r="G48" s="12">
        <v>2.98</v>
      </c>
      <c r="H48" s="12">
        <v>1.2</v>
      </c>
      <c r="I48" s="12"/>
      <c r="J48" s="12"/>
      <c r="K48" s="12"/>
      <c r="L48" s="12"/>
      <c r="M48" s="12"/>
      <c r="N48" s="16"/>
      <c r="O48" s="11"/>
      <c r="P48" s="8" t="s">
        <v>53</v>
      </c>
    </row>
    <row r="49" spans="1:16" ht="24" customHeight="1" x14ac:dyDescent="0.25">
      <c r="A49" s="10">
        <v>25</v>
      </c>
      <c r="B49" s="9">
        <v>0.12569444444444444</v>
      </c>
      <c r="C49" s="5" t="s">
        <v>207</v>
      </c>
      <c r="D49" s="5">
        <v>8</v>
      </c>
      <c r="E49" s="14"/>
      <c r="F49" s="14" t="s">
        <v>101</v>
      </c>
      <c r="G49" s="12">
        <v>4.68</v>
      </c>
      <c r="H49" s="12">
        <v>13.94</v>
      </c>
      <c r="I49" s="12"/>
      <c r="J49" s="12"/>
      <c r="K49" s="12"/>
      <c r="L49" s="12"/>
      <c r="M49" s="12"/>
      <c r="N49" s="16"/>
      <c r="O49" s="11"/>
      <c r="P49" s="8" t="s">
        <v>51</v>
      </c>
    </row>
    <row r="50" spans="1:16" ht="24" customHeight="1" x14ac:dyDescent="0.25">
      <c r="A50" s="10">
        <v>26</v>
      </c>
      <c r="B50" s="9">
        <v>0.1361111111111111</v>
      </c>
      <c r="C50" s="5" t="s">
        <v>208</v>
      </c>
      <c r="D50" s="5">
        <v>8</v>
      </c>
      <c r="E50" s="14"/>
      <c r="F50" s="14" t="s">
        <v>48</v>
      </c>
      <c r="G50" s="12">
        <v>1.48</v>
      </c>
      <c r="H50" s="12">
        <v>2.52</v>
      </c>
      <c r="I50" s="12"/>
      <c r="J50" s="12"/>
      <c r="K50" s="12"/>
      <c r="L50" s="12"/>
      <c r="M50" s="12"/>
      <c r="N50" s="11"/>
      <c r="O50" s="11"/>
      <c r="P50" s="8" t="s">
        <v>53</v>
      </c>
    </row>
    <row r="51" spans="1:16" ht="24" customHeight="1" x14ac:dyDescent="0.25">
      <c r="A51" s="10">
        <v>27</v>
      </c>
      <c r="B51" s="9">
        <v>0.13819444444444443</v>
      </c>
      <c r="C51" s="5" t="s">
        <v>209</v>
      </c>
      <c r="D51" s="5">
        <v>8</v>
      </c>
      <c r="E51" s="14"/>
      <c r="F51" s="14" t="s">
        <v>48</v>
      </c>
      <c r="G51" s="12">
        <v>6.92</v>
      </c>
      <c r="H51" s="12">
        <v>11.192</v>
      </c>
      <c r="I51" s="12"/>
      <c r="J51" s="12"/>
      <c r="K51" s="12"/>
      <c r="L51" s="12"/>
      <c r="M51" s="12"/>
      <c r="N51" s="11"/>
      <c r="O51" s="11"/>
      <c r="P51" s="8" t="s">
        <v>54</v>
      </c>
    </row>
    <row r="52" spans="1:16" ht="24" customHeight="1" x14ac:dyDescent="0.25">
      <c r="A52" s="10">
        <v>28</v>
      </c>
      <c r="B52" s="9">
        <v>0.13958333333333334</v>
      </c>
      <c r="C52" s="5" t="s">
        <v>210</v>
      </c>
      <c r="D52" s="5">
        <v>8</v>
      </c>
      <c r="E52" s="14"/>
      <c r="F52" s="14" t="s">
        <v>48</v>
      </c>
      <c r="G52" s="12">
        <v>2.5</v>
      </c>
      <c r="H52" s="12">
        <v>1.7</v>
      </c>
      <c r="I52" s="12"/>
      <c r="J52" s="12"/>
      <c r="K52" s="12"/>
      <c r="L52" s="12"/>
      <c r="M52" s="12"/>
      <c r="N52" s="11"/>
      <c r="O52" s="11"/>
      <c r="P52" s="8" t="s">
        <v>53</v>
      </c>
    </row>
    <row r="53" spans="1:16" ht="24" customHeight="1" x14ac:dyDescent="0.25">
      <c r="A53" s="10">
        <v>29</v>
      </c>
      <c r="B53" s="9">
        <v>0.14444444444444446</v>
      </c>
      <c r="C53" s="5" t="s">
        <v>211</v>
      </c>
      <c r="D53" s="5">
        <v>8</v>
      </c>
      <c r="E53" s="14"/>
      <c r="F53" s="14" t="s">
        <v>48</v>
      </c>
      <c r="G53" s="12">
        <v>1.36</v>
      </c>
      <c r="H53" s="12">
        <v>1.3</v>
      </c>
      <c r="I53" s="12"/>
      <c r="J53" s="12"/>
      <c r="K53" s="12"/>
      <c r="L53" s="12"/>
      <c r="M53" s="12"/>
      <c r="N53" s="11"/>
      <c r="O53" s="11"/>
      <c r="P53" s="8" t="s">
        <v>53</v>
      </c>
    </row>
    <row r="54" spans="1:16" ht="24" customHeight="1" x14ac:dyDescent="0.25">
      <c r="A54" s="10">
        <v>30</v>
      </c>
      <c r="B54" s="9">
        <v>0.14583333333333334</v>
      </c>
      <c r="C54" s="5" t="s">
        <v>212</v>
      </c>
      <c r="D54" s="5">
        <v>8</v>
      </c>
      <c r="E54" s="14"/>
      <c r="F54" s="14" t="s">
        <v>48</v>
      </c>
      <c r="G54" s="12">
        <v>2.9</v>
      </c>
      <c r="H54" s="12">
        <v>7.8</v>
      </c>
      <c r="I54" s="12"/>
      <c r="J54" s="12"/>
      <c r="K54" s="12"/>
      <c r="L54" s="12"/>
      <c r="M54" s="12"/>
      <c r="N54" s="11"/>
      <c r="O54" s="11"/>
      <c r="P54" s="8" t="s">
        <v>227</v>
      </c>
    </row>
    <row r="55" spans="1:16" ht="24" customHeight="1" x14ac:dyDescent="0.25">
      <c r="A55" s="10">
        <v>31</v>
      </c>
      <c r="B55" s="9">
        <v>0.16666666666666666</v>
      </c>
      <c r="C55" s="5" t="s">
        <v>213</v>
      </c>
      <c r="D55" s="5">
        <v>8</v>
      </c>
      <c r="E55" s="14"/>
      <c r="F55" s="14" t="s">
        <v>48</v>
      </c>
      <c r="G55" s="12">
        <v>2.2000000000000002</v>
      </c>
      <c r="H55" s="12">
        <v>2</v>
      </c>
      <c r="I55" s="12"/>
      <c r="J55" s="12"/>
      <c r="K55" s="12"/>
      <c r="L55" s="12"/>
      <c r="M55" s="12"/>
      <c r="N55" s="11"/>
      <c r="O55" s="11"/>
      <c r="P55" s="8" t="s">
        <v>53</v>
      </c>
    </row>
    <row r="56" spans="1:16" ht="24" customHeight="1" x14ac:dyDescent="0.25">
      <c r="A56" s="10">
        <v>32</v>
      </c>
      <c r="B56" s="9">
        <v>0.17986111111111111</v>
      </c>
      <c r="C56" s="5" t="s">
        <v>214</v>
      </c>
      <c r="D56" s="5">
        <v>8</v>
      </c>
      <c r="E56" s="14"/>
      <c r="F56" s="14" t="s">
        <v>48</v>
      </c>
      <c r="G56" s="12">
        <v>3.2</v>
      </c>
      <c r="H56" s="12">
        <v>5.82</v>
      </c>
      <c r="I56" s="12"/>
      <c r="J56" s="12"/>
      <c r="K56" s="12"/>
      <c r="L56" s="12"/>
      <c r="M56" s="12"/>
      <c r="N56" s="11"/>
      <c r="O56" s="11"/>
      <c r="P56" s="8" t="s">
        <v>105</v>
      </c>
    </row>
    <row r="57" spans="1:16" ht="24" customHeight="1" x14ac:dyDescent="0.25">
      <c r="A57" s="10">
        <v>33</v>
      </c>
      <c r="B57" s="9">
        <v>0.20555555555555557</v>
      </c>
      <c r="C57" s="5" t="s">
        <v>215</v>
      </c>
      <c r="D57" s="5">
        <v>8</v>
      </c>
      <c r="E57" s="14"/>
      <c r="F57" s="14" t="s">
        <v>48</v>
      </c>
      <c r="G57" s="12">
        <v>2.34</v>
      </c>
      <c r="H57" s="12">
        <v>7.64</v>
      </c>
      <c r="I57" s="12"/>
      <c r="J57" s="12"/>
      <c r="K57" s="12"/>
      <c r="L57" s="12"/>
      <c r="M57" s="12"/>
      <c r="N57" s="11"/>
      <c r="O57" s="11"/>
      <c r="P57" s="8" t="s">
        <v>54</v>
      </c>
    </row>
    <row r="58" spans="1:16" ht="24" customHeight="1" x14ac:dyDescent="0.25">
      <c r="A58" s="10">
        <v>34</v>
      </c>
      <c r="B58" s="9">
        <v>0.22569444444444445</v>
      </c>
      <c r="C58" s="5" t="s">
        <v>216</v>
      </c>
      <c r="D58" s="5">
        <v>8</v>
      </c>
      <c r="E58" s="14"/>
      <c r="F58" s="14" t="s">
        <v>48</v>
      </c>
      <c r="G58" s="12">
        <v>2.1</v>
      </c>
      <c r="H58" s="12">
        <v>1.9</v>
      </c>
      <c r="I58" s="12"/>
      <c r="J58" s="12"/>
      <c r="K58" s="12"/>
      <c r="L58" s="12"/>
      <c r="M58" s="12"/>
      <c r="N58" s="11"/>
      <c r="O58" s="11"/>
      <c r="P58" s="8" t="s">
        <v>53</v>
      </c>
    </row>
    <row r="59" spans="1:16" ht="24" customHeight="1" x14ac:dyDescent="0.25">
      <c r="A59" s="10">
        <v>35</v>
      </c>
      <c r="B59" s="9">
        <v>0.24236111111111111</v>
      </c>
      <c r="C59" s="5" t="s">
        <v>217</v>
      </c>
      <c r="D59" s="5">
        <v>8</v>
      </c>
      <c r="E59" s="14"/>
      <c r="F59" s="14" t="s">
        <v>48</v>
      </c>
      <c r="G59" s="12">
        <v>2.4500000000000002</v>
      </c>
      <c r="H59" s="12">
        <v>6.63</v>
      </c>
      <c r="I59" s="12"/>
      <c r="J59" s="12"/>
      <c r="K59" s="12"/>
      <c r="L59" s="12"/>
      <c r="M59" s="12"/>
      <c r="N59" s="11"/>
      <c r="O59" s="11"/>
      <c r="P59" s="8" t="s">
        <v>51</v>
      </c>
    </row>
    <row r="60" spans="1:16" ht="24" customHeight="1" x14ac:dyDescent="0.25">
      <c r="A60" s="10">
        <v>36</v>
      </c>
      <c r="B60" s="9">
        <v>0.24791666666666667</v>
      </c>
      <c r="C60" s="5" t="s">
        <v>218</v>
      </c>
      <c r="D60" s="5">
        <v>8</v>
      </c>
      <c r="E60" s="14"/>
      <c r="F60" s="14" t="s">
        <v>48</v>
      </c>
      <c r="G60" s="12">
        <v>2.48</v>
      </c>
      <c r="H60" s="12">
        <v>5.0599999999999996</v>
      </c>
      <c r="I60" s="12"/>
      <c r="J60" s="12"/>
      <c r="K60" s="12"/>
      <c r="L60" s="12"/>
      <c r="M60" s="12"/>
      <c r="N60" s="11"/>
      <c r="O60" s="11"/>
      <c r="P60" s="8" t="s">
        <v>129</v>
      </c>
    </row>
    <row r="61" spans="1:16" ht="24" customHeight="1" x14ac:dyDescent="0.25">
      <c r="A61" s="10">
        <v>37</v>
      </c>
      <c r="B61" s="9">
        <v>0.26319444444444445</v>
      </c>
      <c r="C61" s="5" t="s">
        <v>219</v>
      </c>
      <c r="D61" s="5">
        <v>10</v>
      </c>
      <c r="E61" s="14"/>
      <c r="F61" s="14" t="s">
        <v>50</v>
      </c>
      <c r="G61" s="12">
        <v>5.44</v>
      </c>
      <c r="H61" s="12">
        <v>8.1199999999999992</v>
      </c>
      <c r="I61" s="12">
        <v>9.66</v>
      </c>
      <c r="J61" s="12">
        <v>6.44</v>
      </c>
      <c r="K61" s="12">
        <v>1.82</v>
      </c>
      <c r="L61" s="12">
        <v>4.78</v>
      </c>
      <c r="M61" s="12"/>
      <c r="N61" s="11"/>
      <c r="O61" s="11"/>
      <c r="P61" s="8" t="s">
        <v>51</v>
      </c>
    </row>
    <row r="62" spans="1:16" ht="24" customHeight="1" x14ac:dyDescent="0.25">
      <c r="A62" s="10">
        <v>38</v>
      </c>
      <c r="B62" s="9">
        <v>0.26527777777777778</v>
      </c>
      <c r="C62" s="5" t="s">
        <v>220</v>
      </c>
      <c r="D62" s="5">
        <v>8</v>
      </c>
      <c r="E62" s="14"/>
      <c r="F62" s="14" t="s">
        <v>48</v>
      </c>
      <c r="G62" s="12">
        <v>2.6</v>
      </c>
      <c r="H62" s="12">
        <v>5.44</v>
      </c>
      <c r="I62" s="12"/>
      <c r="J62" s="12"/>
      <c r="K62" s="12"/>
      <c r="L62" s="12"/>
      <c r="M62" s="12"/>
      <c r="N62" s="11"/>
      <c r="O62" s="11"/>
      <c r="P62" s="8" t="s">
        <v>51</v>
      </c>
    </row>
    <row r="63" spans="1:16" ht="24" customHeight="1" x14ac:dyDescent="0.25">
      <c r="A63" s="10">
        <v>39</v>
      </c>
      <c r="B63" s="9">
        <v>0.26666666666666666</v>
      </c>
      <c r="C63" s="5" t="s">
        <v>221</v>
      </c>
      <c r="D63" s="5">
        <v>8</v>
      </c>
      <c r="E63" s="14"/>
      <c r="F63" s="14" t="s">
        <v>48</v>
      </c>
      <c r="G63" s="12">
        <v>2.08</v>
      </c>
      <c r="H63" s="12">
        <v>5.46</v>
      </c>
      <c r="I63" s="12"/>
      <c r="J63" s="12"/>
      <c r="K63" s="12"/>
      <c r="L63" s="12"/>
      <c r="M63" s="12"/>
      <c r="N63" s="11"/>
      <c r="O63" s="11"/>
      <c r="P63" s="8" t="s">
        <v>53</v>
      </c>
    </row>
    <row r="64" spans="1:16" ht="24" customHeight="1" x14ac:dyDescent="0.25">
      <c r="A64" s="10">
        <v>40</v>
      </c>
      <c r="B64" s="9">
        <v>0.27291666666666664</v>
      </c>
      <c r="C64" s="5" t="s">
        <v>222</v>
      </c>
      <c r="D64" s="5">
        <v>9</v>
      </c>
      <c r="E64" s="14"/>
      <c r="F64" s="14" t="s">
        <v>226</v>
      </c>
      <c r="G64" s="12">
        <v>1.04</v>
      </c>
      <c r="H64" s="12">
        <v>2.73</v>
      </c>
      <c r="I64" s="12">
        <v>0.54600000000000004</v>
      </c>
      <c r="J64" s="12"/>
      <c r="K64" s="12"/>
      <c r="L64" s="12"/>
      <c r="M64" s="12"/>
      <c r="N64" s="11"/>
      <c r="O64" s="11"/>
      <c r="P64" s="8" t="s">
        <v>53</v>
      </c>
    </row>
    <row r="65" spans="1:16" ht="24" customHeight="1" x14ac:dyDescent="0.25">
      <c r="A65" s="10">
        <v>41</v>
      </c>
      <c r="B65" s="9">
        <v>0.27847222222222223</v>
      </c>
      <c r="C65" s="5" t="s">
        <v>223</v>
      </c>
      <c r="D65" s="5">
        <v>9</v>
      </c>
      <c r="E65" s="14"/>
      <c r="F65" s="14" t="s">
        <v>226</v>
      </c>
      <c r="G65" s="12">
        <v>2.8450000000000002</v>
      </c>
      <c r="H65" s="12">
        <v>2.8450000000000002</v>
      </c>
      <c r="I65" s="12">
        <v>0.51600000000000001</v>
      </c>
      <c r="J65" s="12"/>
      <c r="K65" s="12"/>
      <c r="L65" s="12"/>
      <c r="M65" s="12"/>
      <c r="N65" s="11"/>
      <c r="O65" s="11"/>
      <c r="P65" s="8" t="s">
        <v>51</v>
      </c>
    </row>
    <row r="66" spans="1:16" ht="24" customHeight="1" x14ac:dyDescent="0.25">
      <c r="A66" s="10">
        <v>42</v>
      </c>
      <c r="B66" s="9">
        <v>0.28541666666666665</v>
      </c>
      <c r="C66" s="5" t="s">
        <v>224</v>
      </c>
      <c r="D66" s="5">
        <v>10</v>
      </c>
      <c r="E66" s="14"/>
      <c r="F66" s="14" t="s">
        <v>50</v>
      </c>
      <c r="G66" s="12">
        <v>7.58</v>
      </c>
      <c r="H66" s="12">
        <v>9.9</v>
      </c>
      <c r="I66" s="12">
        <v>11.56</v>
      </c>
      <c r="J66" s="12">
        <v>5.32</v>
      </c>
      <c r="K66" s="12">
        <v>6.1</v>
      </c>
      <c r="L66" s="12">
        <v>6.94</v>
      </c>
      <c r="M66" s="12"/>
      <c r="N66" s="11"/>
      <c r="O66" s="11"/>
      <c r="P66" s="8" t="s">
        <v>105</v>
      </c>
    </row>
    <row r="67" spans="1:16" ht="24" customHeight="1" x14ac:dyDescent="0.25">
      <c r="A67" s="10">
        <v>43</v>
      </c>
      <c r="B67" s="9">
        <v>0.28680555555555554</v>
      </c>
      <c r="C67" s="5" t="s">
        <v>225</v>
      </c>
      <c r="D67" s="5">
        <v>8</v>
      </c>
      <c r="E67" s="14"/>
      <c r="F67" s="14" t="s">
        <v>48</v>
      </c>
      <c r="G67" s="12">
        <v>2.04</v>
      </c>
      <c r="H67" s="12">
        <v>6.1</v>
      </c>
      <c r="I67" s="12"/>
      <c r="J67" s="12"/>
      <c r="K67" s="12"/>
      <c r="L67" s="12"/>
      <c r="M67" s="12"/>
      <c r="N67" s="11"/>
      <c r="O67" s="11"/>
      <c r="P67" s="8" t="s">
        <v>51</v>
      </c>
    </row>
  </sheetData>
  <mergeCells count="13">
    <mergeCell ref="A1:P1"/>
    <mergeCell ref="O5:O6"/>
    <mergeCell ref="P5:P6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34"/>
  <sheetViews>
    <sheetView view="pageBreakPreview" zoomScale="60" zoomScaleNormal="100" workbookViewId="0">
      <pane xSplit="1" ySplit="6" topLeftCell="C117" activePane="bottomRight" state="frozen"/>
      <selection pane="topRight" activeCell="B1" sqref="B1"/>
      <selection pane="bottomLeft" activeCell="A6" sqref="A6"/>
      <selection pane="bottomRight" activeCell="C134" sqref="C134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1.28515625" customWidth="1"/>
    <col min="5" max="5" width="9.140625" style="15" customWidth="1"/>
    <col min="6" max="6" width="15.140625" style="15" customWidth="1"/>
    <col min="7" max="12" width="9.5703125" bestFit="1" customWidth="1"/>
    <col min="13" max="13" width="8.85546875" customWidth="1"/>
    <col min="14" max="14" width="13.140625" customWidth="1"/>
    <col min="15" max="25" width="13.28515625" customWidth="1"/>
    <col min="26" max="26" width="24.7109375" customWidth="1"/>
  </cols>
  <sheetData>
    <row r="1" spans="1:26" ht="18.75" x14ac:dyDescent="0.3">
      <c r="A1" s="66" t="s">
        <v>232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x14ac:dyDescent="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51"/>
      <c r="Q2" s="51"/>
      <c r="R2" s="51"/>
      <c r="S2" s="51"/>
      <c r="T2" s="51"/>
      <c r="U2" s="51"/>
      <c r="V2" s="51"/>
      <c r="W2" s="32"/>
      <c r="X2" s="32"/>
      <c r="Y2" s="32"/>
    </row>
    <row r="3" spans="1:26" x14ac:dyDescent="0.25">
      <c r="A3" s="2" t="s">
        <v>1</v>
      </c>
      <c r="B3" s="2"/>
      <c r="C3" s="2"/>
      <c r="D3" s="2" t="s">
        <v>2</v>
      </c>
      <c r="E3" s="17" t="s">
        <v>228</v>
      </c>
      <c r="F3" s="13"/>
      <c r="G3" s="2"/>
      <c r="H3" s="3"/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5.75" thickBot="1" x14ac:dyDescent="0.3">
      <c r="A4" s="78">
        <v>43691</v>
      </c>
      <c r="B4" s="78"/>
      <c r="C4" s="2"/>
      <c r="D4" s="6"/>
      <c r="E4" s="17"/>
      <c r="F4" s="13"/>
      <c r="G4" s="2"/>
      <c r="H4" s="21" t="s">
        <v>231</v>
      </c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s="1" customFormat="1" ht="14.45" customHeight="1" x14ac:dyDescent="0.25">
      <c r="A5" s="71" t="s">
        <v>3</v>
      </c>
      <c r="B5" s="73" t="s">
        <v>4</v>
      </c>
      <c r="C5" s="70" t="s">
        <v>5</v>
      </c>
      <c r="D5" s="70" t="s">
        <v>16</v>
      </c>
      <c r="E5" s="76" t="s">
        <v>6</v>
      </c>
      <c r="F5" s="76" t="s">
        <v>7</v>
      </c>
      <c r="G5" s="7" t="s">
        <v>17</v>
      </c>
      <c r="H5" s="70" t="s">
        <v>229</v>
      </c>
      <c r="I5" s="70"/>
      <c r="J5" s="70"/>
      <c r="K5" s="70"/>
      <c r="L5" s="70"/>
      <c r="M5" s="70"/>
      <c r="N5" s="70" t="s">
        <v>15</v>
      </c>
      <c r="O5" s="70" t="s">
        <v>18</v>
      </c>
      <c r="P5" s="81" t="s">
        <v>308</v>
      </c>
      <c r="Q5" s="82"/>
      <c r="R5" s="82"/>
      <c r="S5" s="82"/>
      <c r="T5" s="82"/>
      <c r="U5" s="82"/>
      <c r="V5" s="83"/>
      <c r="W5" s="79" t="s">
        <v>233</v>
      </c>
      <c r="X5" s="79" t="s">
        <v>234</v>
      </c>
      <c r="Y5" s="79" t="s">
        <v>309</v>
      </c>
      <c r="Z5" s="67" t="s">
        <v>19</v>
      </c>
    </row>
    <row r="6" spans="1:26" ht="13.9" customHeight="1" thickBot="1" x14ac:dyDescent="0.3">
      <c r="A6" s="72"/>
      <c r="B6" s="74"/>
      <c r="C6" s="75"/>
      <c r="D6" s="75"/>
      <c r="E6" s="77"/>
      <c r="F6" s="77"/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75"/>
      <c r="O6" s="75"/>
      <c r="P6" s="53" t="s">
        <v>8</v>
      </c>
      <c r="Q6" s="52" t="s">
        <v>9</v>
      </c>
      <c r="R6" s="53" t="s">
        <v>10</v>
      </c>
      <c r="S6" s="52" t="s">
        <v>11</v>
      </c>
      <c r="T6" s="53" t="s">
        <v>12</v>
      </c>
      <c r="U6" s="52" t="s">
        <v>13</v>
      </c>
      <c r="V6" s="53" t="s">
        <v>14</v>
      </c>
      <c r="W6" s="80"/>
      <c r="X6" s="80"/>
      <c r="Y6" s="80"/>
      <c r="Z6" s="68"/>
    </row>
    <row r="7" spans="1:26" ht="24" customHeight="1" x14ac:dyDescent="0.25">
      <c r="A7" s="10">
        <v>1</v>
      </c>
      <c r="B7" s="9">
        <v>0.30208333333333331</v>
      </c>
      <c r="C7" s="5" t="s">
        <v>55</v>
      </c>
      <c r="D7" s="5">
        <f t="shared" ref="D7:D38" si="0">IF(COUNT(G7:M7)&gt;3,10,IF(COUNT(G7:M7)&gt;2,9,7))</f>
        <v>7</v>
      </c>
      <c r="E7" s="14"/>
      <c r="F7" s="14" t="s">
        <v>48</v>
      </c>
      <c r="G7" s="12">
        <v>1.64</v>
      </c>
      <c r="H7" s="12">
        <v>1.05</v>
      </c>
      <c r="I7" s="12"/>
      <c r="J7" s="12"/>
      <c r="K7" s="12"/>
      <c r="L7" s="12"/>
      <c r="M7" s="12"/>
      <c r="N7" s="36">
        <f t="shared" ref="N7:N38" si="1">SUM(G7:M7)</f>
        <v>2.69</v>
      </c>
      <c r="O7" s="16">
        <f t="shared" ref="O7:O38" si="2">(N7/8.16)^4.5</f>
        <v>6.7807783066287071E-3</v>
      </c>
      <c r="P7" s="34">
        <v>8</v>
      </c>
      <c r="Q7" s="34">
        <v>10</v>
      </c>
      <c r="R7" s="34">
        <v>9</v>
      </c>
      <c r="S7" s="34">
        <v>9</v>
      </c>
      <c r="T7" s="34">
        <v>9</v>
      </c>
      <c r="U7" s="34">
        <v>9</v>
      </c>
      <c r="V7" s="34">
        <v>9</v>
      </c>
      <c r="W7" s="35" t="str">
        <f>IF(G7&gt;P7,"Y",IF(H7&gt;Q7,"Y",IF(I7&gt;R7,"Y",IF(J7&gt;S7,"Y",IF(K7&gt;T7,"Y",IF(L7&gt;U7,"Y",IF(M7&gt;V7,"Y","N")))))))</f>
        <v>N</v>
      </c>
      <c r="X7" s="54">
        <f>IF(W7="Y",MAX((G7-P7),(H7-Q7),(I7-R7),(J7-S7),(K7-T7),(L7-U7),(M7-V7))/10,0)</f>
        <v>0</v>
      </c>
      <c r="Y7" s="54" t="str">
        <f>IF(X7&lt;5%,"0-4.9%",IF(X7&lt;25%,"5-25%",IF(X7&lt;50%,"25-50%","Over 50%")))</f>
        <v>0-4.9%</v>
      </c>
      <c r="Z7" s="8" t="s">
        <v>292</v>
      </c>
    </row>
    <row r="8" spans="1:26" ht="24" customHeight="1" x14ac:dyDescent="0.25">
      <c r="A8" s="10">
        <v>3</v>
      </c>
      <c r="B8" s="9">
        <v>0.34166666666666662</v>
      </c>
      <c r="C8" s="5" t="s">
        <v>57</v>
      </c>
      <c r="D8" s="5">
        <f t="shared" si="0"/>
        <v>7</v>
      </c>
      <c r="E8" s="14"/>
      <c r="F8" s="14" t="s">
        <v>101</v>
      </c>
      <c r="G8" s="12">
        <v>5.41</v>
      </c>
      <c r="H8" s="12">
        <v>13</v>
      </c>
      <c r="I8" s="12"/>
      <c r="J8" s="12"/>
      <c r="K8" s="12"/>
      <c r="L8" s="12"/>
      <c r="M8" s="12"/>
      <c r="N8" s="36">
        <f t="shared" si="1"/>
        <v>18.41</v>
      </c>
      <c r="O8" s="16">
        <f t="shared" si="2"/>
        <v>38.916729335372381</v>
      </c>
      <c r="P8" s="34">
        <v>8</v>
      </c>
      <c r="Q8" s="34">
        <v>10</v>
      </c>
      <c r="R8" s="34">
        <v>9</v>
      </c>
      <c r="S8" s="34">
        <v>9</v>
      </c>
      <c r="T8" s="34">
        <v>9</v>
      </c>
      <c r="U8" s="34">
        <v>9</v>
      </c>
      <c r="V8" s="34">
        <v>9</v>
      </c>
      <c r="W8" s="35" t="str">
        <f t="shared" ref="W8:W71" si="3">IF(G8&gt;P8,"Y",IF(H8&gt;Q8,"Y",IF(I8&gt;R8,"Y",IF(J8&gt;S8,"Y",IF(K8&gt;T8,"Y",IF(L8&gt;U8,"Y",IF(M8&gt;V8,"Y","N")))))))</f>
        <v>Y</v>
      </c>
      <c r="X8" s="54">
        <f t="shared" ref="X8:X71" si="4">IF(W8="Y",MAX((G8-P8),(H8-Q8),(I8-R8),(J8-S8),(K8-T8),(L8-U8),(M8-V8))/10,0)</f>
        <v>0.3</v>
      </c>
      <c r="Y8" s="54" t="str">
        <f t="shared" ref="Y8:Y71" si="5">IF(X8&lt;5%,"0-4.9%",IF(X8&lt;25%,"5-25%",IF(X8&lt;50%,"25-50%","Over 50%")))</f>
        <v>25-50%</v>
      </c>
      <c r="Z8" s="8" t="s">
        <v>104</v>
      </c>
    </row>
    <row r="9" spans="1:26" ht="24" customHeight="1" x14ac:dyDescent="0.25">
      <c r="A9" s="10">
        <v>4</v>
      </c>
      <c r="B9" s="9">
        <v>0.34861111111111115</v>
      </c>
      <c r="C9" s="5" t="s">
        <v>58</v>
      </c>
      <c r="D9" s="5">
        <f t="shared" si="0"/>
        <v>7</v>
      </c>
      <c r="E9" s="14"/>
      <c r="F9" s="14" t="s">
        <v>48</v>
      </c>
      <c r="G9" s="12">
        <v>4.68</v>
      </c>
      <c r="H9" s="12">
        <v>8.3800000000000008</v>
      </c>
      <c r="I9" s="12"/>
      <c r="J9" s="12"/>
      <c r="K9" s="12"/>
      <c r="L9" s="12"/>
      <c r="M9" s="12"/>
      <c r="N9" s="36">
        <f t="shared" si="1"/>
        <v>13.06</v>
      </c>
      <c r="O9" s="16">
        <f t="shared" si="2"/>
        <v>8.3011561221297807</v>
      </c>
      <c r="P9" s="34">
        <v>8</v>
      </c>
      <c r="Q9" s="34">
        <v>10</v>
      </c>
      <c r="R9" s="34">
        <v>9</v>
      </c>
      <c r="S9" s="34">
        <v>9</v>
      </c>
      <c r="T9" s="34">
        <v>9</v>
      </c>
      <c r="U9" s="34">
        <v>9</v>
      </c>
      <c r="V9" s="34">
        <v>9</v>
      </c>
      <c r="W9" s="35" t="str">
        <f t="shared" si="3"/>
        <v>N</v>
      </c>
      <c r="X9" s="54">
        <f t="shared" si="4"/>
        <v>0</v>
      </c>
      <c r="Y9" s="54" t="str">
        <f t="shared" si="5"/>
        <v>0-4.9%</v>
      </c>
      <c r="Z9" s="8" t="s">
        <v>285</v>
      </c>
    </row>
    <row r="10" spans="1:26" ht="24" customHeight="1" x14ac:dyDescent="0.25">
      <c r="A10" s="10">
        <v>5</v>
      </c>
      <c r="B10" s="9">
        <v>0.35833333333333334</v>
      </c>
      <c r="C10" s="5" t="s">
        <v>59</v>
      </c>
      <c r="D10" s="5">
        <f t="shared" si="0"/>
        <v>7</v>
      </c>
      <c r="E10" s="14"/>
      <c r="F10" s="14" t="s">
        <v>48</v>
      </c>
      <c r="G10" s="12">
        <v>2.13</v>
      </c>
      <c r="H10" s="12">
        <v>1.44</v>
      </c>
      <c r="I10" s="12"/>
      <c r="J10" s="12"/>
      <c r="K10" s="12"/>
      <c r="L10" s="12"/>
      <c r="M10" s="12"/>
      <c r="N10" s="36">
        <f t="shared" si="1"/>
        <v>3.57</v>
      </c>
      <c r="O10" s="16">
        <f t="shared" si="2"/>
        <v>2.4232669440712288E-2</v>
      </c>
      <c r="P10" s="34">
        <v>8</v>
      </c>
      <c r="Q10" s="34">
        <v>10</v>
      </c>
      <c r="R10" s="34">
        <v>9</v>
      </c>
      <c r="S10" s="34">
        <v>9</v>
      </c>
      <c r="T10" s="34">
        <v>9</v>
      </c>
      <c r="U10" s="34">
        <v>9</v>
      </c>
      <c r="V10" s="34">
        <v>9</v>
      </c>
      <c r="W10" s="35" t="str">
        <f t="shared" si="3"/>
        <v>N</v>
      </c>
      <c r="X10" s="54">
        <f t="shared" si="4"/>
        <v>0</v>
      </c>
      <c r="Y10" s="54" t="str">
        <f t="shared" si="5"/>
        <v>0-4.9%</v>
      </c>
      <c r="Z10" s="8" t="s">
        <v>292</v>
      </c>
    </row>
    <row r="11" spans="1:26" ht="24" customHeight="1" x14ac:dyDescent="0.25">
      <c r="A11" s="10">
        <v>6</v>
      </c>
      <c r="B11" s="9">
        <v>0.42152777777777778</v>
      </c>
      <c r="C11" s="5" t="s">
        <v>60</v>
      </c>
      <c r="D11" s="5">
        <f t="shared" si="0"/>
        <v>7</v>
      </c>
      <c r="E11" s="14"/>
      <c r="F11" s="14" t="s">
        <v>48</v>
      </c>
      <c r="G11" s="12">
        <v>6.8</v>
      </c>
      <c r="H11" s="12">
        <v>19.600000000000001</v>
      </c>
      <c r="I11" s="12"/>
      <c r="J11" s="12"/>
      <c r="K11" s="12"/>
      <c r="L11" s="12"/>
      <c r="M11" s="12"/>
      <c r="N11" s="36">
        <f t="shared" si="1"/>
        <v>26.400000000000002</v>
      </c>
      <c r="O11" s="16">
        <f t="shared" si="2"/>
        <v>197.06611573352967</v>
      </c>
      <c r="P11" s="34">
        <v>8</v>
      </c>
      <c r="Q11" s="34">
        <v>10</v>
      </c>
      <c r="R11" s="34">
        <v>9</v>
      </c>
      <c r="S11" s="34">
        <v>9</v>
      </c>
      <c r="T11" s="34">
        <v>9</v>
      </c>
      <c r="U11" s="34">
        <v>9</v>
      </c>
      <c r="V11" s="34">
        <v>9</v>
      </c>
      <c r="W11" s="35" t="str">
        <f t="shared" si="3"/>
        <v>Y</v>
      </c>
      <c r="X11" s="54">
        <f t="shared" si="4"/>
        <v>0.96000000000000019</v>
      </c>
      <c r="Y11" s="54" t="str">
        <f t="shared" si="5"/>
        <v>Over 50%</v>
      </c>
      <c r="Z11" s="8" t="s">
        <v>281</v>
      </c>
    </row>
    <row r="12" spans="1:26" ht="24" customHeight="1" x14ac:dyDescent="0.25">
      <c r="A12" s="10">
        <v>7</v>
      </c>
      <c r="B12" s="9">
        <v>0.42569444444444443</v>
      </c>
      <c r="C12" s="5" t="s">
        <v>61</v>
      </c>
      <c r="D12" s="5">
        <f t="shared" si="0"/>
        <v>7</v>
      </c>
      <c r="E12" s="14"/>
      <c r="F12" s="14" t="s">
        <v>48</v>
      </c>
      <c r="G12" s="12">
        <v>2.98</v>
      </c>
      <c r="H12" s="12">
        <v>8.4</v>
      </c>
      <c r="I12" s="12"/>
      <c r="J12" s="12"/>
      <c r="K12" s="12"/>
      <c r="L12" s="12"/>
      <c r="M12" s="12"/>
      <c r="N12" s="36">
        <f t="shared" si="1"/>
        <v>11.38</v>
      </c>
      <c r="O12" s="16">
        <f t="shared" si="2"/>
        <v>4.4671904160968241</v>
      </c>
      <c r="P12" s="34">
        <v>8</v>
      </c>
      <c r="Q12" s="34">
        <v>10</v>
      </c>
      <c r="R12" s="34">
        <v>9</v>
      </c>
      <c r="S12" s="34">
        <v>9</v>
      </c>
      <c r="T12" s="34">
        <v>9</v>
      </c>
      <c r="U12" s="34">
        <v>9</v>
      </c>
      <c r="V12" s="34">
        <v>9</v>
      </c>
      <c r="W12" s="35" t="str">
        <f t="shared" si="3"/>
        <v>N</v>
      </c>
      <c r="X12" s="54">
        <f t="shared" si="4"/>
        <v>0</v>
      </c>
      <c r="Y12" s="54" t="str">
        <f t="shared" si="5"/>
        <v>0-4.9%</v>
      </c>
      <c r="Z12" s="8" t="s">
        <v>318</v>
      </c>
    </row>
    <row r="13" spans="1:26" ht="24" customHeight="1" x14ac:dyDescent="0.25">
      <c r="A13" s="10">
        <v>8</v>
      </c>
      <c r="B13" s="9">
        <v>0.42777777777777781</v>
      </c>
      <c r="C13" s="5" t="s">
        <v>62</v>
      </c>
      <c r="D13" s="5">
        <f t="shared" si="0"/>
        <v>7</v>
      </c>
      <c r="E13" s="14"/>
      <c r="F13" s="14" t="s">
        <v>48</v>
      </c>
      <c r="G13" s="12">
        <v>2.38</v>
      </c>
      <c r="H13" s="12">
        <v>1.76</v>
      </c>
      <c r="I13" s="12"/>
      <c r="J13" s="12"/>
      <c r="K13" s="12"/>
      <c r="L13" s="12"/>
      <c r="M13" s="12"/>
      <c r="N13" s="36">
        <f t="shared" si="1"/>
        <v>4.1399999999999997</v>
      </c>
      <c r="O13" s="16">
        <f t="shared" si="2"/>
        <v>4.7194981550565465E-2</v>
      </c>
      <c r="P13" s="34">
        <v>8</v>
      </c>
      <c r="Q13" s="34">
        <v>10</v>
      </c>
      <c r="R13" s="34">
        <v>9</v>
      </c>
      <c r="S13" s="34">
        <v>9</v>
      </c>
      <c r="T13" s="34">
        <v>9</v>
      </c>
      <c r="U13" s="34">
        <v>9</v>
      </c>
      <c r="V13" s="34">
        <v>9</v>
      </c>
      <c r="W13" s="35" t="str">
        <f t="shared" si="3"/>
        <v>N</v>
      </c>
      <c r="X13" s="54">
        <f t="shared" si="4"/>
        <v>0</v>
      </c>
      <c r="Y13" s="54" t="str">
        <f t="shared" si="5"/>
        <v>0-4.9%</v>
      </c>
      <c r="Z13" s="8" t="s">
        <v>292</v>
      </c>
    </row>
    <row r="14" spans="1:26" ht="24" customHeight="1" x14ac:dyDescent="0.25">
      <c r="A14" s="10">
        <v>9</v>
      </c>
      <c r="B14" s="9">
        <v>0.4375</v>
      </c>
      <c r="C14" s="5" t="s">
        <v>63</v>
      </c>
      <c r="D14" s="5">
        <f t="shared" si="0"/>
        <v>7</v>
      </c>
      <c r="E14" s="14"/>
      <c r="F14" s="14" t="s">
        <v>48</v>
      </c>
      <c r="G14" s="12">
        <v>8.16</v>
      </c>
      <c r="H14" s="12">
        <v>17.420000000000002</v>
      </c>
      <c r="I14" s="12"/>
      <c r="J14" s="12"/>
      <c r="K14" s="12"/>
      <c r="L14" s="12"/>
      <c r="M14" s="12"/>
      <c r="N14" s="36">
        <f t="shared" si="1"/>
        <v>25.580000000000002</v>
      </c>
      <c r="O14" s="16">
        <f t="shared" si="2"/>
        <v>170.98055255490311</v>
      </c>
      <c r="P14" s="34">
        <v>8</v>
      </c>
      <c r="Q14" s="34">
        <v>10</v>
      </c>
      <c r="R14" s="34">
        <v>9</v>
      </c>
      <c r="S14" s="34">
        <v>9</v>
      </c>
      <c r="T14" s="34">
        <v>9</v>
      </c>
      <c r="U14" s="34">
        <v>9</v>
      </c>
      <c r="V14" s="34">
        <v>9</v>
      </c>
      <c r="W14" s="35" t="str">
        <f t="shared" si="3"/>
        <v>Y</v>
      </c>
      <c r="X14" s="54">
        <f t="shared" si="4"/>
        <v>0.74200000000000021</v>
      </c>
      <c r="Y14" s="54" t="str">
        <f t="shared" si="5"/>
        <v>Over 50%</v>
      </c>
      <c r="Z14" s="8" t="s">
        <v>281</v>
      </c>
    </row>
    <row r="15" spans="1:26" ht="24" customHeight="1" x14ac:dyDescent="0.25">
      <c r="A15" s="10">
        <v>11</v>
      </c>
      <c r="B15" s="9">
        <v>0.46875</v>
      </c>
      <c r="C15" s="5" t="s">
        <v>65</v>
      </c>
      <c r="D15" s="5">
        <f t="shared" si="0"/>
        <v>7</v>
      </c>
      <c r="E15" s="14"/>
      <c r="F15" s="14" t="s">
        <v>48</v>
      </c>
      <c r="G15" s="12">
        <v>2.9</v>
      </c>
      <c r="H15" s="12">
        <v>2.3199999999999998</v>
      </c>
      <c r="I15" s="12"/>
      <c r="J15" s="12"/>
      <c r="K15" s="12"/>
      <c r="L15" s="12"/>
      <c r="M15" s="12"/>
      <c r="N15" s="36">
        <f t="shared" si="1"/>
        <v>5.22</v>
      </c>
      <c r="O15" s="16">
        <f t="shared" si="2"/>
        <v>0.13394038690414659</v>
      </c>
      <c r="P15" s="34">
        <v>8</v>
      </c>
      <c r="Q15" s="34">
        <v>10</v>
      </c>
      <c r="R15" s="34">
        <v>9</v>
      </c>
      <c r="S15" s="34">
        <v>9</v>
      </c>
      <c r="T15" s="34">
        <v>9</v>
      </c>
      <c r="U15" s="34">
        <v>9</v>
      </c>
      <c r="V15" s="34">
        <v>9</v>
      </c>
      <c r="W15" s="35" t="str">
        <f t="shared" si="3"/>
        <v>N</v>
      </c>
      <c r="X15" s="54">
        <f t="shared" si="4"/>
        <v>0</v>
      </c>
      <c r="Y15" s="54" t="str">
        <f t="shared" si="5"/>
        <v>0-4.9%</v>
      </c>
      <c r="Z15" s="8" t="s">
        <v>292</v>
      </c>
    </row>
    <row r="16" spans="1:26" ht="24" customHeight="1" x14ac:dyDescent="0.25">
      <c r="A16" s="10">
        <v>12</v>
      </c>
      <c r="B16" s="9">
        <v>0.47916666666666669</v>
      </c>
      <c r="C16" s="5" t="s">
        <v>66</v>
      </c>
      <c r="D16" s="5">
        <f t="shared" si="0"/>
        <v>7</v>
      </c>
      <c r="E16" s="14"/>
      <c r="F16" s="14" t="s">
        <v>48</v>
      </c>
      <c r="G16" s="12">
        <v>5.64</v>
      </c>
      <c r="H16" s="12">
        <v>10.98</v>
      </c>
      <c r="I16" s="12"/>
      <c r="J16" s="12"/>
      <c r="K16" s="12"/>
      <c r="L16" s="12"/>
      <c r="M16" s="12"/>
      <c r="N16" s="36">
        <f t="shared" si="1"/>
        <v>16.62</v>
      </c>
      <c r="O16" s="16">
        <f t="shared" si="2"/>
        <v>24.560311637722503</v>
      </c>
      <c r="P16" s="34">
        <v>8</v>
      </c>
      <c r="Q16" s="34">
        <v>10</v>
      </c>
      <c r="R16" s="34">
        <v>9</v>
      </c>
      <c r="S16" s="34">
        <v>9</v>
      </c>
      <c r="T16" s="34">
        <v>9</v>
      </c>
      <c r="U16" s="34">
        <v>9</v>
      </c>
      <c r="V16" s="34">
        <v>9</v>
      </c>
      <c r="W16" s="35" t="str">
        <f t="shared" si="3"/>
        <v>Y</v>
      </c>
      <c r="X16" s="54">
        <f t="shared" si="4"/>
        <v>9.8000000000000045E-2</v>
      </c>
      <c r="Y16" s="54" t="str">
        <f t="shared" si="5"/>
        <v>5-25%</v>
      </c>
      <c r="Z16" s="8" t="s">
        <v>281</v>
      </c>
    </row>
    <row r="17" spans="1:26" ht="24" customHeight="1" x14ac:dyDescent="0.25">
      <c r="A17" s="10">
        <v>13</v>
      </c>
      <c r="B17" s="9">
        <v>0.48333333333333334</v>
      </c>
      <c r="C17" s="5" t="s">
        <v>67</v>
      </c>
      <c r="D17" s="5">
        <f t="shared" si="0"/>
        <v>7</v>
      </c>
      <c r="E17" s="14"/>
      <c r="F17" s="14" t="s">
        <v>48</v>
      </c>
      <c r="G17" s="12">
        <v>5.38</v>
      </c>
      <c r="H17" s="12">
        <v>11.28</v>
      </c>
      <c r="I17" s="12"/>
      <c r="J17" s="12"/>
      <c r="K17" s="12"/>
      <c r="L17" s="12"/>
      <c r="M17" s="12"/>
      <c r="N17" s="36">
        <f t="shared" si="1"/>
        <v>16.66</v>
      </c>
      <c r="O17" s="16">
        <f t="shared" si="2"/>
        <v>24.827430362353773</v>
      </c>
      <c r="P17" s="34">
        <v>8</v>
      </c>
      <c r="Q17" s="34">
        <v>10</v>
      </c>
      <c r="R17" s="34">
        <v>9</v>
      </c>
      <c r="S17" s="34">
        <v>9</v>
      </c>
      <c r="T17" s="34">
        <v>9</v>
      </c>
      <c r="U17" s="34">
        <v>9</v>
      </c>
      <c r="V17" s="34">
        <v>9</v>
      </c>
      <c r="W17" s="35" t="str">
        <f t="shared" si="3"/>
        <v>Y</v>
      </c>
      <c r="X17" s="54">
        <f t="shared" si="4"/>
        <v>0.12799999999999995</v>
      </c>
      <c r="Y17" s="54" t="str">
        <f t="shared" si="5"/>
        <v>5-25%</v>
      </c>
      <c r="Z17" s="8" t="s">
        <v>281</v>
      </c>
    </row>
    <row r="18" spans="1:26" ht="24" customHeight="1" x14ac:dyDescent="0.25">
      <c r="A18" s="10">
        <v>14</v>
      </c>
      <c r="B18" s="9">
        <v>0.48541666666666666</v>
      </c>
      <c r="C18" s="5" t="s">
        <v>68</v>
      </c>
      <c r="D18" s="5">
        <f t="shared" si="0"/>
        <v>7</v>
      </c>
      <c r="E18" s="14"/>
      <c r="F18" s="14" t="s">
        <v>48</v>
      </c>
      <c r="G18" s="12">
        <v>3.5</v>
      </c>
      <c r="H18" s="12">
        <v>6.04</v>
      </c>
      <c r="I18" s="12"/>
      <c r="J18" s="12"/>
      <c r="K18" s="12"/>
      <c r="L18" s="12"/>
      <c r="M18" s="12"/>
      <c r="N18" s="36">
        <f t="shared" si="1"/>
        <v>9.5399999999999991</v>
      </c>
      <c r="O18" s="16">
        <f t="shared" si="2"/>
        <v>2.0200493143886495</v>
      </c>
      <c r="P18" s="34">
        <v>8</v>
      </c>
      <c r="Q18" s="34">
        <v>10</v>
      </c>
      <c r="R18" s="34">
        <v>9</v>
      </c>
      <c r="S18" s="34">
        <v>9</v>
      </c>
      <c r="T18" s="34">
        <v>9</v>
      </c>
      <c r="U18" s="34">
        <v>9</v>
      </c>
      <c r="V18" s="34">
        <v>9</v>
      </c>
      <c r="W18" s="35" t="str">
        <f t="shared" si="3"/>
        <v>N</v>
      </c>
      <c r="X18" s="54">
        <f t="shared" si="4"/>
        <v>0</v>
      </c>
      <c r="Y18" s="54" t="str">
        <f t="shared" si="5"/>
        <v>0-4.9%</v>
      </c>
      <c r="Z18" s="8" t="s">
        <v>318</v>
      </c>
    </row>
    <row r="19" spans="1:26" ht="24" customHeight="1" x14ac:dyDescent="0.25">
      <c r="A19" s="10">
        <v>15</v>
      </c>
      <c r="B19" s="9">
        <v>0.48749999999999999</v>
      </c>
      <c r="C19" s="5" t="s">
        <v>69</v>
      </c>
      <c r="D19" s="5">
        <f t="shared" si="0"/>
        <v>7</v>
      </c>
      <c r="E19" s="14"/>
      <c r="F19" s="14" t="s">
        <v>48</v>
      </c>
      <c r="G19" s="12">
        <v>8.32</v>
      </c>
      <c r="H19" s="12">
        <v>19.399999999999999</v>
      </c>
      <c r="I19" s="12"/>
      <c r="J19" s="12"/>
      <c r="K19" s="12"/>
      <c r="L19" s="12"/>
      <c r="M19" s="12"/>
      <c r="N19" s="36">
        <f t="shared" si="1"/>
        <v>27.72</v>
      </c>
      <c r="O19" s="16">
        <f t="shared" si="2"/>
        <v>245.45043286410447</v>
      </c>
      <c r="P19" s="34">
        <v>8</v>
      </c>
      <c r="Q19" s="34">
        <v>10</v>
      </c>
      <c r="R19" s="34">
        <v>9</v>
      </c>
      <c r="S19" s="34">
        <v>9</v>
      </c>
      <c r="T19" s="34">
        <v>9</v>
      </c>
      <c r="U19" s="34">
        <v>9</v>
      </c>
      <c r="V19" s="34">
        <v>9</v>
      </c>
      <c r="W19" s="35" t="str">
        <f t="shared" si="3"/>
        <v>Y</v>
      </c>
      <c r="X19" s="54">
        <f t="shared" si="4"/>
        <v>0.93999999999999984</v>
      </c>
      <c r="Y19" s="54" t="str">
        <f t="shared" si="5"/>
        <v>Over 50%</v>
      </c>
      <c r="Z19" s="8" t="s">
        <v>281</v>
      </c>
    </row>
    <row r="20" spans="1:26" ht="24" customHeight="1" x14ac:dyDescent="0.25">
      <c r="A20" s="10">
        <v>16</v>
      </c>
      <c r="B20" s="9">
        <v>0.52847222222222223</v>
      </c>
      <c r="C20" s="5" t="s">
        <v>70</v>
      </c>
      <c r="D20" s="5">
        <f t="shared" si="0"/>
        <v>7</v>
      </c>
      <c r="E20" s="14"/>
      <c r="F20" s="14" t="s">
        <v>48</v>
      </c>
      <c r="G20" s="12">
        <v>3.82</v>
      </c>
      <c r="H20" s="12">
        <v>2.4</v>
      </c>
      <c r="I20" s="12"/>
      <c r="J20" s="12"/>
      <c r="K20" s="12"/>
      <c r="L20" s="12"/>
      <c r="M20" s="12"/>
      <c r="N20" s="36">
        <f t="shared" si="1"/>
        <v>6.22</v>
      </c>
      <c r="O20" s="16">
        <f t="shared" si="2"/>
        <v>0.29474810168420723</v>
      </c>
      <c r="P20" s="34">
        <v>8</v>
      </c>
      <c r="Q20" s="34">
        <v>10</v>
      </c>
      <c r="R20" s="34">
        <v>9</v>
      </c>
      <c r="S20" s="34">
        <v>9</v>
      </c>
      <c r="T20" s="34">
        <v>9</v>
      </c>
      <c r="U20" s="34">
        <v>9</v>
      </c>
      <c r="V20" s="34">
        <v>9</v>
      </c>
      <c r="W20" s="35" t="str">
        <f t="shared" si="3"/>
        <v>N</v>
      </c>
      <c r="X20" s="54">
        <f t="shared" si="4"/>
        <v>0</v>
      </c>
      <c r="Y20" s="54" t="str">
        <f t="shared" si="5"/>
        <v>0-4.9%</v>
      </c>
      <c r="Z20" s="8" t="s">
        <v>292</v>
      </c>
    </row>
    <row r="21" spans="1:26" ht="24" customHeight="1" x14ac:dyDescent="0.25">
      <c r="A21" s="10">
        <v>17</v>
      </c>
      <c r="B21" s="9">
        <v>6.5277777777777782E-2</v>
      </c>
      <c r="C21" s="5" t="s">
        <v>71</v>
      </c>
      <c r="D21" s="5">
        <f t="shared" si="0"/>
        <v>7</v>
      </c>
      <c r="E21" s="14"/>
      <c r="F21" s="14" t="s">
        <v>48</v>
      </c>
      <c r="G21" s="12">
        <v>3</v>
      </c>
      <c r="H21" s="12">
        <v>2.3199999999999998</v>
      </c>
      <c r="I21" s="12"/>
      <c r="J21" s="12"/>
      <c r="K21" s="12"/>
      <c r="L21" s="12"/>
      <c r="M21" s="12"/>
      <c r="N21" s="36">
        <f t="shared" si="1"/>
        <v>5.32</v>
      </c>
      <c r="O21" s="16">
        <f t="shared" si="2"/>
        <v>0.14588029434829219</v>
      </c>
      <c r="P21" s="34">
        <v>8</v>
      </c>
      <c r="Q21" s="34">
        <v>10</v>
      </c>
      <c r="R21" s="34">
        <v>9</v>
      </c>
      <c r="S21" s="34">
        <v>9</v>
      </c>
      <c r="T21" s="34">
        <v>9</v>
      </c>
      <c r="U21" s="34">
        <v>9</v>
      </c>
      <c r="V21" s="34">
        <v>9</v>
      </c>
      <c r="W21" s="35" t="str">
        <f t="shared" si="3"/>
        <v>N</v>
      </c>
      <c r="X21" s="54">
        <f t="shared" si="4"/>
        <v>0</v>
      </c>
      <c r="Y21" s="54" t="str">
        <f t="shared" si="5"/>
        <v>0-4.9%</v>
      </c>
      <c r="Z21" s="8" t="s">
        <v>292</v>
      </c>
    </row>
    <row r="22" spans="1:26" ht="24" customHeight="1" x14ac:dyDescent="0.25">
      <c r="A22" s="10">
        <v>18</v>
      </c>
      <c r="B22" s="9">
        <v>7.4999999999999997E-2</v>
      </c>
      <c r="C22" s="5" t="s">
        <v>72</v>
      </c>
      <c r="D22" s="5">
        <f t="shared" si="0"/>
        <v>7</v>
      </c>
      <c r="E22" s="14"/>
      <c r="F22" s="14" t="s">
        <v>48</v>
      </c>
      <c r="G22" s="12">
        <v>3.86</v>
      </c>
      <c r="H22" s="12">
        <v>11.8</v>
      </c>
      <c r="I22" s="12"/>
      <c r="J22" s="12"/>
      <c r="K22" s="12"/>
      <c r="L22" s="12"/>
      <c r="M22" s="12"/>
      <c r="N22" s="36">
        <f t="shared" si="1"/>
        <v>15.66</v>
      </c>
      <c r="O22" s="16">
        <f t="shared" si="2"/>
        <v>18.791315979576623</v>
      </c>
      <c r="P22" s="34">
        <v>8</v>
      </c>
      <c r="Q22" s="34">
        <v>10</v>
      </c>
      <c r="R22" s="34">
        <v>9</v>
      </c>
      <c r="S22" s="34">
        <v>9</v>
      </c>
      <c r="T22" s="34">
        <v>9</v>
      </c>
      <c r="U22" s="34">
        <v>9</v>
      </c>
      <c r="V22" s="34">
        <v>9</v>
      </c>
      <c r="W22" s="35" t="str">
        <f t="shared" si="3"/>
        <v>Y</v>
      </c>
      <c r="X22" s="54">
        <f t="shared" si="4"/>
        <v>0.18000000000000008</v>
      </c>
      <c r="Y22" s="54" t="str">
        <f t="shared" si="5"/>
        <v>5-25%</v>
      </c>
      <c r="Z22" s="8" t="s">
        <v>281</v>
      </c>
    </row>
    <row r="23" spans="1:26" ht="24" customHeight="1" x14ac:dyDescent="0.25">
      <c r="A23" s="10">
        <v>19</v>
      </c>
      <c r="B23" s="9">
        <v>7.7777777777777779E-2</v>
      </c>
      <c r="C23" s="5" t="s">
        <v>73</v>
      </c>
      <c r="D23" s="5">
        <f t="shared" si="0"/>
        <v>7</v>
      </c>
      <c r="E23" s="14"/>
      <c r="F23" s="14" t="s">
        <v>48</v>
      </c>
      <c r="G23" s="12">
        <v>6.46</v>
      </c>
      <c r="H23" s="12">
        <v>14.42</v>
      </c>
      <c r="I23" s="12"/>
      <c r="J23" s="12"/>
      <c r="K23" s="12"/>
      <c r="L23" s="12"/>
      <c r="M23" s="12"/>
      <c r="N23" s="36">
        <f t="shared" si="1"/>
        <v>20.88</v>
      </c>
      <c r="O23" s="16">
        <f t="shared" si="2"/>
        <v>68.577478094923052</v>
      </c>
      <c r="P23" s="34">
        <v>8</v>
      </c>
      <c r="Q23" s="34">
        <v>10</v>
      </c>
      <c r="R23" s="34">
        <v>9</v>
      </c>
      <c r="S23" s="34">
        <v>9</v>
      </c>
      <c r="T23" s="34">
        <v>9</v>
      </c>
      <c r="U23" s="34">
        <v>9</v>
      </c>
      <c r="V23" s="34">
        <v>9</v>
      </c>
      <c r="W23" s="35" t="str">
        <f t="shared" si="3"/>
        <v>Y</v>
      </c>
      <c r="X23" s="54">
        <f t="shared" si="4"/>
        <v>0.442</v>
      </c>
      <c r="Y23" s="54" t="str">
        <f t="shared" si="5"/>
        <v>25-50%</v>
      </c>
      <c r="Z23" s="8" t="s">
        <v>281</v>
      </c>
    </row>
    <row r="24" spans="1:26" ht="24" customHeight="1" x14ac:dyDescent="0.25">
      <c r="A24" s="10">
        <v>20</v>
      </c>
      <c r="B24" s="9">
        <v>9.375E-2</v>
      </c>
      <c r="C24" s="5" t="s">
        <v>74</v>
      </c>
      <c r="D24" s="5">
        <f t="shared" si="0"/>
        <v>7</v>
      </c>
      <c r="E24" s="14"/>
      <c r="F24" s="14" t="s">
        <v>48</v>
      </c>
      <c r="G24" s="12">
        <v>7.4</v>
      </c>
      <c r="H24" s="12">
        <v>19.8</v>
      </c>
      <c r="I24" s="12"/>
      <c r="J24" s="12"/>
      <c r="K24" s="12"/>
      <c r="L24" s="12"/>
      <c r="M24" s="12"/>
      <c r="N24" s="36">
        <f t="shared" si="1"/>
        <v>27.200000000000003</v>
      </c>
      <c r="O24" s="16">
        <f t="shared" si="2"/>
        <v>225.40022942599438</v>
      </c>
      <c r="P24" s="34">
        <v>8</v>
      </c>
      <c r="Q24" s="34">
        <v>10</v>
      </c>
      <c r="R24" s="34">
        <v>9</v>
      </c>
      <c r="S24" s="34">
        <v>9</v>
      </c>
      <c r="T24" s="34">
        <v>9</v>
      </c>
      <c r="U24" s="34">
        <v>9</v>
      </c>
      <c r="V24" s="34">
        <v>9</v>
      </c>
      <c r="W24" s="35" t="str">
        <f t="shared" si="3"/>
        <v>Y</v>
      </c>
      <c r="X24" s="54">
        <f t="shared" si="4"/>
        <v>0.98000000000000009</v>
      </c>
      <c r="Y24" s="54" t="str">
        <f t="shared" si="5"/>
        <v>Over 50%</v>
      </c>
      <c r="Z24" s="8" t="s">
        <v>104</v>
      </c>
    </row>
    <row r="25" spans="1:26" ht="24" customHeight="1" x14ac:dyDescent="0.25">
      <c r="A25" s="10">
        <v>21</v>
      </c>
      <c r="B25" s="9">
        <v>0.10486111111111111</v>
      </c>
      <c r="C25" s="5" t="s">
        <v>75</v>
      </c>
      <c r="D25" s="5">
        <f t="shared" si="0"/>
        <v>7</v>
      </c>
      <c r="E25" s="14"/>
      <c r="F25" s="14" t="s">
        <v>48</v>
      </c>
      <c r="G25" s="12">
        <v>4.9800000000000004</v>
      </c>
      <c r="H25" s="12">
        <v>14.9</v>
      </c>
      <c r="I25" s="12"/>
      <c r="J25" s="12"/>
      <c r="K25" s="12"/>
      <c r="L25" s="12"/>
      <c r="M25" s="12"/>
      <c r="N25" s="36">
        <f t="shared" si="1"/>
        <v>19.880000000000003</v>
      </c>
      <c r="O25" s="16">
        <f t="shared" si="2"/>
        <v>54.988009101981966</v>
      </c>
      <c r="P25" s="34">
        <v>8</v>
      </c>
      <c r="Q25" s="34">
        <v>10</v>
      </c>
      <c r="R25" s="34">
        <v>9</v>
      </c>
      <c r="S25" s="34">
        <v>9</v>
      </c>
      <c r="T25" s="34">
        <v>9</v>
      </c>
      <c r="U25" s="34">
        <v>9</v>
      </c>
      <c r="V25" s="34">
        <v>9</v>
      </c>
      <c r="W25" s="35" t="str">
        <f t="shared" si="3"/>
        <v>Y</v>
      </c>
      <c r="X25" s="54">
        <f t="shared" si="4"/>
        <v>0.49000000000000005</v>
      </c>
      <c r="Y25" s="54" t="str">
        <f t="shared" si="5"/>
        <v>25-50%</v>
      </c>
      <c r="Z25" s="8" t="s">
        <v>281</v>
      </c>
    </row>
    <row r="26" spans="1:26" ht="24" customHeight="1" x14ac:dyDescent="0.25">
      <c r="A26" s="10">
        <v>22</v>
      </c>
      <c r="B26" s="9">
        <v>0.11666666666666665</v>
      </c>
      <c r="C26" s="5" t="s">
        <v>76</v>
      </c>
      <c r="D26" s="5">
        <f t="shared" si="0"/>
        <v>7</v>
      </c>
      <c r="E26" s="14"/>
      <c r="F26" s="14" t="s">
        <v>48</v>
      </c>
      <c r="G26" s="12">
        <v>5.14</v>
      </c>
      <c r="H26" s="12">
        <v>15.6</v>
      </c>
      <c r="I26" s="12"/>
      <c r="J26" s="12"/>
      <c r="K26" s="12"/>
      <c r="L26" s="12"/>
      <c r="M26" s="12"/>
      <c r="N26" s="36">
        <f t="shared" si="1"/>
        <v>20.74</v>
      </c>
      <c r="O26" s="16">
        <f t="shared" si="2"/>
        <v>66.532473528947719</v>
      </c>
      <c r="P26" s="34">
        <v>8</v>
      </c>
      <c r="Q26" s="34">
        <v>10</v>
      </c>
      <c r="R26" s="34">
        <v>9</v>
      </c>
      <c r="S26" s="34">
        <v>9</v>
      </c>
      <c r="T26" s="34">
        <v>9</v>
      </c>
      <c r="U26" s="34">
        <v>9</v>
      </c>
      <c r="V26" s="34">
        <v>9</v>
      </c>
      <c r="W26" s="35" t="str">
        <f t="shared" si="3"/>
        <v>Y</v>
      </c>
      <c r="X26" s="54">
        <f t="shared" si="4"/>
        <v>0.55999999999999994</v>
      </c>
      <c r="Y26" s="54" t="str">
        <f t="shared" si="5"/>
        <v>Over 50%</v>
      </c>
      <c r="Z26" s="8" t="s">
        <v>281</v>
      </c>
    </row>
    <row r="27" spans="1:26" ht="24" customHeight="1" x14ac:dyDescent="0.25">
      <c r="A27" s="10">
        <v>23</v>
      </c>
      <c r="B27" s="9">
        <v>0.13402777777777777</v>
      </c>
      <c r="C27" s="5" t="s">
        <v>77</v>
      </c>
      <c r="D27" s="5">
        <f t="shared" si="0"/>
        <v>7</v>
      </c>
      <c r="E27" s="14"/>
      <c r="F27" s="14" t="s">
        <v>48</v>
      </c>
      <c r="G27" s="12">
        <v>3.8860000000000001</v>
      </c>
      <c r="H27" s="12">
        <v>7.3</v>
      </c>
      <c r="I27" s="12"/>
      <c r="J27" s="12"/>
      <c r="K27" s="12"/>
      <c r="L27" s="12"/>
      <c r="M27" s="12"/>
      <c r="N27" s="36">
        <f t="shared" si="1"/>
        <v>11.186</v>
      </c>
      <c r="O27" s="16">
        <f t="shared" si="2"/>
        <v>4.1345757497992057</v>
      </c>
      <c r="P27" s="34">
        <v>8</v>
      </c>
      <c r="Q27" s="34">
        <v>10</v>
      </c>
      <c r="R27" s="34">
        <v>9</v>
      </c>
      <c r="S27" s="34">
        <v>9</v>
      </c>
      <c r="T27" s="34">
        <v>9</v>
      </c>
      <c r="U27" s="34">
        <v>9</v>
      </c>
      <c r="V27" s="34">
        <v>9</v>
      </c>
      <c r="W27" s="35" t="str">
        <f t="shared" si="3"/>
        <v>N</v>
      </c>
      <c r="X27" s="54">
        <f t="shared" si="4"/>
        <v>0</v>
      </c>
      <c r="Y27" s="54" t="str">
        <f t="shared" si="5"/>
        <v>0-4.9%</v>
      </c>
      <c r="Z27" s="8" t="s">
        <v>281</v>
      </c>
    </row>
    <row r="28" spans="1:26" ht="24" customHeight="1" x14ac:dyDescent="0.25">
      <c r="A28" s="10">
        <v>24</v>
      </c>
      <c r="B28" s="9">
        <v>0.1423611111111111</v>
      </c>
      <c r="C28" s="5" t="s">
        <v>78</v>
      </c>
      <c r="D28" s="5">
        <f t="shared" si="0"/>
        <v>7</v>
      </c>
      <c r="E28" s="14"/>
      <c r="F28" s="14" t="s">
        <v>48</v>
      </c>
      <c r="G28" s="12">
        <v>2.95</v>
      </c>
      <c r="H28" s="12">
        <v>3.33</v>
      </c>
      <c r="I28" s="12"/>
      <c r="J28" s="12"/>
      <c r="K28" s="12"/>
      <c r="L28" s="12"/>
      <c r="M28" s="12"/>
      <c r="N28" s="36">
        <f t="shared" si="1"/>
        <v>6.28</v>
      </c>
      <c r="O28" s="16">
        <f t="shared" si="2"/>
        <v>0.30776036078926305</v>
      </c>
      <c r="P28" s="34">
        <v>8</v>
      </c>
      <c r="Q28" s="34">
        <v>10</v>
      </c>
      <c r="R28" s="34">
        <v>9</v>
      </c>
      <c r="S28" s="34">
        <v>9</v>
      </c>
      <c r="T28" s="34">
        <v>9</v>
      </c>
      <c r="U28" s="34">
        <v>9</v>
      </c>
      <c r="V28" s="34">
        <v>9</v>
      </c>
      <c r="W28" s="35" t="str">
        <f t="shared" si="3"/>
        <v>N</v>
      </c>
      <c r="X28" s="54">
        <f t="shared" si="4"/>
        <v>0</v>
      </c>
      <c r="Y28" s="54" t="str">
        <f t="shared" si="5"/>
        <v>0-4.9%</v>
      </c>
      <c r="Z28" s="8" t="s">
        <v>281</v>
      </c>
    </row>
    <row r="29" spans="1:26" ht="24" customHeight="1" x14ac:dyDescent="0.25">
      <c r="A29" s="10">
        <v>25</v>
      </c>
      <c r="B29" s="9">
        <v>0.14861111111111111</v>
      </c>
      <c r="C29" s="5" t="s">
        <v>79</v>
      </c>
      <c r="D29" s="5">
        <f t="shared" si="0"/>
        <v>7</v>
      </c>
      <c r="E29" s="14"/>
      <c r="F29" s="14" t="s">
        <v>48</v>
      </c>
      <c r="G29" s="12">
        <v>2.98</v>
      </c>
      <c r="H29" s="12">
        <v>2.1800000000000002</v>
      </c>
      <c r="I29" s="12"/>
      <c r="J29" s="12"/>
      <c r="K29" s="12"/>
      <c r="L29" s="12"/>
      <c r="M29" s="12"/>
      <c r="N29" s="36">
        <f t="shared" si="1"/>
        <v>5.16</v>
      </c>
      <c r="O29" s="16">
        <f t="shared" si="2"/>
        <v>0.12715046212021114</v>
      </c>
      <c r="P29" s="34">
        <v>8</v>
      </c>
      <c r="Q29" s="34">
        <v>10</v>
      </c>
      <c r="R29" s="34">
        <v>9</v>
      </c>
      <c r="S29" s="34">
        <v>9</v>
      </c>
      <c r="T29" s="34">
        <v>9</v>
      </c>
      <c r="U29" s="34">
        <v>9</v>
      </c>
      <c r="V29" s="34">
        <v>9</v>
      </c>
      <c r="W29" s="35" t="str">
        <f t="shared" si="3"/>
        <v>N</v>
      </c>
      <c r="X29" s="54">
        <f t="shared" si="4"/>
        <v>0</v>
      </c>
      <c r="Y29" s="54" t="str">
        <f t="shared" si="5"/>
        <v>0-4.9%</v>
      </c>
      <c r="Z29" s="8" t="s">
        <v>292</v>
      </c>
    </row>
    <row r="30" spans="1:26" ht="24" customHeight="1" x14ac:dyDescent="0.25">
      <c r="A30" s="10">
        <v>26</v>
      </c>
      <c r="B30" s="9">
        <v>0.15763888888888888</v>
      </c>
      <c r="C30" s="5" t="s">
        <v>80</v>
      </c>
      <c r="D30" s="5">
        <f t="shared" si="0"/>
        <v>7</v>
      </c>
      <c r="E30" s="14"/>
      <c r="F30" s="14" t="s">
        <v>48</v>
      </c>
      <c r="G30" s="12">
        <v>5.64</v>
      </c>
      <c r="H30" s="12">
        <v>15.92</v>
      </c>
      <c r="I30" s="12"/>
      <c r="J30" s="12"/>
      <c r="K30" s="12"/>
      <c r="L30" s="12"/>
      <c r="M30" s="12"/>
      <c r="N30" s="36">
        <f t="shared" si="1"/>
        <v>21.56</v>
      </c>
      <c r="O30" s="16">
        <f t="shared" si="2"/>
        <v>79.216142444156588</v>
      </c>
      <c r="P30" s="34">
        <v>8</v>
      </c>
      <c r="Q30" s="34">
        <v>10</v>
      </c>
      <c r="R30" s="34">
        <v>9</v>
      </c>
      <c r="S30" s="34">
        <v>9</v>
      </c>
      <c r="T30" s="34">
        <v>9</v>
      </c>
      <c r="U30" s="34">
        <v>9</v>
      </c>
      <c r="V30" s="34">
        <v>9</v>
      </c>
      <c r="W30" s="35" t="str">
        <f t="shared" si="3"/>
        <v>Y</v>
      </c>
      <c r="X30" s="54">
        <f t="shared" si="4"/>
        <v>0.59199999999999997</v>
      </c>
      <c r="Y30" s="54" t="str">
        <f t="shared" si="5"/>
        <v>Over 50%</v>
      </c>
      <c r="Z30" s="8" t="s">
        <v>281</v>
      </c>
    </row>
    <row r="31" spans="1:26" ht="24" customHeight="1" x14ac:dyDescent="0.25">
      <c r="A31" s="10">
        <v>27</v>
      </c>
      <c r="B31" s="9">
        <v>0.17291666666666669</v>
      </c>
      <c r="C31" s="5" t="s">
        <v>81</v>
      </c>
      <c r="D31" s="5">
        <f t="shared" si="0"/>
        <v>7</v>
      </c>
      <c r="E31" s="14"/>
      <c r="F31" s="14" t="s">
        <v>48</v>
      </c>
      <c r="G31" s="12">
        <v>3.59</v>
      </c>
      <c r="H31" s="12">
        <v>6.9</v>
      </c>
      <c r="I31" s="12"/>
      <c r="J31" s="12"/>
      <c r="K31" s="12"/>
      <c r="L31" s="12"/>
      <c r="M31" s="12"/>
      <c r="N31" s="36">
        <f t="shared" si="1"/>
        <v>10.49</v>
      </c>
      <c r="O31" s="16">
        <f t="shared" si="2"/>
        <v>3.0965919644704711</v>
      </c>
      <c r="P31" s="34">
        <v>8</v>
      </c>
      <c r="Q31" s="34">
        <v>10</v>
      </c>
      <c r="R31" s="34">
        <v>9</v>
      </c>
      <c r="S31" s="34">
        <v>9</v>
      </c>
      <c r="T31" s="34">
        <v>9</v>
      </c>
      <c r="U31" s="34">
        <v>9</v>
      </c>
      <c r="V31" s="34">
        <v>9</v>
      </c>
      <c r="W31" s="35" t="str">
        <f t="shared" si="3"/>
        <v>N</v>
      </c>
      <c r="X31" s="54">
        <f t="shared" si="4"/>
        <v>0</v>
      </c>
      <c r="Y31" s="54" t="str">
        <f t="shared" si="5"/>
        <v>0-4.9%</v>
      </c>
      <c r="Z31" s="8" t="s">
        <v>281</v>
      </c>
    </row>
    <row r="32" spans="1:26" ht="24" customHeight="1" x14ac:dyDescent="0.25">
      <c r="A32" s="10">
        <v>28</v>
      </c>
      <c r="B32" s="9">
        <v>0.18055555555555555</v>
      </c>
      <c r="C32" s="5" t="s">
        <v>82</v>
      </c>
      <c r="D32" s="5">
        <f t="shared" si="0"/>
        <v>7</v>
      </c>
      <c r="E32" s="14"/>
      <c r="F32" s="14" t="s">
        <v>48</v>
      </c>
      <c r="G32" s="12">
        <v>0.9</v>
      </c>
      <c r="H32" s="12">
        <v>1.82</v>
      </c>
      <c r="I32" s="12"/>
      <c r="J32" s="12"/>
      <c r="K32" s="12"/>
      <c r="L32" s="12"/>
      <c r="M32" s="12"/>
      <c r="N32" s="36">
        <f t="shared" si="1"/>
        <v>2.72</v>
      </c>
      <c r="O32" s="16">
        <f t="shared" si="2"/>
        <v>7.127781101106497E-3</v>
      </c>
      <c r="P32" s="34">
        <v>8</v>
      </c>
      <c r="Q32" s="34">
        <v>10</v>
      </c>
      <c r="R32" s="34">
        <v>9</v>
      </c>
      <c r="S32" s="34">
        <v>9</v>
      </c>
      <c r="T32" s="34">
        <v>9</v>
      </c>
      <c r="U32" s="34">
        <v>9</v>
      </c>
      <c r="V32" s="34">
        <v>9</v>
      </c>
      <c r="W32" s="35" t="str">
        <f t="shared" si="3"/>
        <v>N</v>
      </c>
      <c r="X32" s="54">
        <f t="shared" si="4"/>
        <v>0</v>
      </c>
      <c r="Y32" s="54" t="str">
        <f t="shared" si="5"/>
        <v>0-4.9%</v>
      </c>
      <c r="Z32" s="8" t="s">
        <v>281</v>
      </c>
    </row>
    <row r="33" spans="1:26" ht="24" customHeight="1" x14ac:dyDescent="0.25">
      <c r="A33" s="10">
        <v>29</v>
      </c>
      <c r="B33" s="9">
        <v>0.1875</v>
      </c>
      <c r="C33" s="5" t="s">
        <v>83</v>
      </c>
      <c r="D33" s="5">
        <f t="shared" si="0"/>
        <v>7</v>
      </c>
      <c r="E33" s="14"/>
      <c r="F33" s="14" t="s">
        <v>48</v>
      </c>
      <c r="G33" s="12">
        <v>2.9</v>
      </c>
      <c r="H33" s="12">
        <v>1.82</v>
      </c>
      <c r="I33" s="12"/>
      <c r="J33" s="12"/>
      <c r="K33" s="12"/>
      <c r="L33" s="12"/>
      <c r="M33" s="12"/>
      <c r="N33" s="36">
        <f t="shared" si="1"/>
        <v>4.72</v>
      </c>
      <c r="O33" s="16">
        <f t="shared" si="2"/>
        <v>8.513992817410837E-2</v>
      </c>
      <c r="P33" s="34">
        <v>8</v>
      </c>
      <c r="Q33" s="34">
        <v>10</v>
      </c>
      <c r="R33" s="34">
        <v>9</v>
      </c>
      <c r="S33" s="34">
        <v>9</v>
      </c>
      <c r="T33" s="34">
        <v>9</v>
      </c>
      <c r="U33" s="34">
        <v>9</v>
      </c>
      <c r="V33" s="34">
        <v>9</v>
      </c>
      <c r="W33" s="35" t="str">
        <f t="shared" si="3"/>
        <v>N</v>
      </c>
      <c r="X33" s="54">
        <f t="shared" si="4"/>
        <v>0</v>
      </c>
      <c r="Y33" s="54" t="str">
        <f t="shared" si="5"/>
        <v>0-4.9%</v>
      </c>
      <c r="Z33" s="8" t="s">
        <v>292</v>
      </c>
    </row>
    <row r="34" spans="1:26" ht="24" customHeight="1" x14ac:dyDescent="0.25">
      <c r="A34" s="10">
        <v>30</v>
      </c>
      <c r="B34" s="9">
        <v>0.19027777777777777</v>
      </c>
      <c r="C34" s="5" t="s">
        <v>84</v>
      </c>
      <c r="D34" s="5">
        <f t="shared" si="0"/>
        <v>7</v>
      </c>
      <c r="E34" s="14"/>
      <c r="F34" s="14" t="s">
        <v>48</v>
      </c>
      <c r="G34" s="12">
        <v>4.4400000000000004</v>
      </c>
      <c r="H34" s="12">
        <v>9.69</v>
      </c>
      <c r="I34" s="12"/>
      <c r="J34" s="12"/>
      <c r="K34" s="12"/>
      <c r="L34" s="12"/>
      <c r="M34" s="12"/>
      <c r="N34" s="36">
        <f t="shared" si="1"/>
        <v>14.129999999999999</v>
      </c>
      <c r="O34" s="16">
        <f t="shared" si="2"/>
        <v>11.831342151201289</v>
      </c>
      <c r="P34" s="34">
        <v>8</v>
      </c>
      <c r="Q34" s="34">
        <v>10</v>
      </c>
      <c r="R34" s="34">
        <v>9</v>
      </c>
      <c r="S34" s="34">
        <v>9</v>
      </c>
      <c r="T34" s="34">
        <v>9</v>
      </c>
      <c r="U34" s="34">
        <v>9</v>
      </c>
      <c r="V34" s="34">
        <v>9</v>
      </c>
      <c r="W34" s="35" t="str">
        <f t="shared" si="3"/>
        <v>N</v>
      </c>
      <c r="X34" s="54">
        <f t="shared" si="4"/>
        <v>0</v>
      </c>
      <c r="Y34" s="54" t="str">
        <f t="shared" si="5"/>
        <v>0-4.9%</v>
      </c>
      <c r="Z34" s="8" t="s">
        <v>292</v>
      </c>
    </row>
    <row r="35" spans="1:26" ht="24" customHeight="1" x14ac:dyDescent="0.25">
      <c r="A35" s="10">
        <v>31</v>
      </c>
      <c r="B35" s="9">
        <v>0.19444444444444445</v>
      </c>
      <c r="C35" s="5" t="s">
        <v>85</v>
      </c>
      <c r="D35" s="5">
        <f t="shared" si="0"/>
        <v>7</v>
      </c>
      <c r="E35" s="14"/>
      <c r="F35" s="14" t="s">
        <v>48</v>
      </c>
      <c r="G35" s="12">
        <v>3.52</v>
      </c>
      <c r="H35" s="12">
        <v>10.7</v>
      </c>
      <c r="I35" s="12"/>
      <c r="J35" s="12"/>
      <c r="K35" s="12"/>
      <c r="L35" s="12"/>
      <c r="M35" s="12"/>
      <c r="N35" s="36">
        <f t="shared" si="1"/>
        <v>14.219999999999999</v>
      </c>
      <c r="O35" s="16">
        <f t="shared" si="2"/>
        <v>12.174257108149426</v>
      </c>
      <c r="P35" s="34">
        <v>8</v>
      </c>
      <c r="Q35" s="34">
        <v>10</v>
      </c>
      <c r="R35" s="34">
        <v>9</v>
      </c>
      <c r="S35" s="34">
        <v>9</v>
      </c>
      <c r="T35" s="34">
        <v>9</v>
      </c>
      <c r="U35" s="34">
        <v>9</v>
      </c>
      <c r="V35" s="34">
        <v>9</v>
      </c>
      <c r="W35" s="35" t="str">
        <f t="shared" si="3"/>
        <v>Y</v>
      </c>
      <c r="X35" s="54">
        <f t="shared" si="4"/>
        <v>6.9999999999999923E-2</v>
      </c>
      <c r="Y35" s="54" t="str">
        <f t="shared" si="5"/>
        <v>5-25%</v>
      </c>
      <c r="Z35" s="8" t="s">
        <v>281</v>
      </c>
    </row>
    <row r="36" spans="1:26" ht="24" customHeight="1" x14ac:dyDescent="0.25">
      <c r="A36" s="10">
        <v>32</v>
      </c>
      <c r="B36" s="9">
        <v>0.19652777777777777</v>
      </c>
      <c r="C36" s="5" t="s">
        <v>86</v>
      </c>
      <c r="D36" s="5">
        <f t="shared" si="0"/>
        <v>7</v>
      </c>
      <c r="E36" s="14"/>
      <c r="F36" s="14" t="s">
        <v>48</v>
      </c>
      <c r="G36" s="12">
        <v>6.6</v>
      </c>
      <c r="H36" s="12">
        <v>12.45</v>
      </c>
      <c r="I36" s="12"/>
      <c r="J36" s="12"/>
      <c r="K36" s="12"/>
      <c r="L36" s="12"/>
      <c r="M36" s="12"/>
      <c r="N36" s="36">
        <f t="shared" si="1"/>
        <v>19.049999999999997</v>
      </c>
      <c r="O36" s="16">
        <f t="shared" si="2"/>
        <v>45.385977726267377</v>
      </c>
      <c r="P36" s="34">
        <v>8</v>
      </c>
      <c r="Q36" s="34">
        <v>10</v>
      </c>
      <c r="R36" s="34">
        <v>9</v>
      </c>
      <c r="S36" s="34">
        <v>9</v>
      </c>
      <c r="T36" s="34">
        <v>9</v>
      </c>
      <c r="U36" s="34">
        <v>9</v>
      </c>
      <c r="V36" s="34">
        <v>9</v>
      </c>
      <c r="W36" s="35" t="str">
        <f t="shared" si="3"/>
        <v>Y</v>
      </c>
      <c r="X36" s="54">
        <f t="shared" si="4"/>
        <v>0.24499999999999994</v>
      </c>
      <c r="Y36" s="54" t="str">
        <f t="shared" si="5"/>
        <v>5-25%</v>
      </c>
      <c r="Z36" s="8" t="s">
        <v>285</v>
      </c>
    </row>
    <row r="37" spans="1:26" ht="24" customHeight="1" x14ac:dyDescent="0.25">
      <c r="A37" s="10">
        <v>34</v>
      </c>
      <c r="B37" s="9">
        <v>0.20138888888888887</v>
      </c>
      <c r="C37" s="5" t="s">
        <v>88</v>
      </c>
      <c r="D37" s="5">
        <f t="shared" si="0"/>
        <v>7</v>
      </c>
      <c r="E37" s="14"/>
      <c r="F37" s="14" t="s">
        <v>48</v>
      </c>
      <c r="G37" s="12">
        <v>3.1</v>
      </c>
      <c r="H37" s="12">
        <v>6.88</v>
      </c>
      <c r="I37" s="12"/>
      <c r="J37" s="12"/>
      <c r="K37" s="12"/>
      <c r="L37" s="12"/>
      <c r="M37" s="12"/>
      <c r="N37" s="36">
        <f t="shared" si="1"/>
        <v>9.98</v>
      </c>
      <c r="O37" s="16">
        <f t="shared" si="2"/>
        <v>2.4744673136874811</v>
      </c>
      <c r="P37" s="34">
        <v>8</v>
      </c>
      <c r="Q37" s="34">
        <v>10</v>
      </c>
      <c r="R37" s="34">
        <v>9</v>
      </c>
      <c r="S37" s="34">
        <v>9</v>
      </c>
      <c r="T37" s="34">
        <v>9</v>
      </c>
      <c r="U37" s="34">
        <v>9</v>
      </c>
      <c r="V37" s="34">
        <v>9</v>
      </c>
      <c r="W37" s="35" t="str">
        <f t="shared" si="3"/>
        <v>N</v>
      </c>
      <c r="X37" s="54">
        <f t="shared" si="4"/>
        <v>0</v>
      </c>
      <c r="Y37" s="54" t="str">
        <f t="shared" si="5"/>
        <v>0-4.9%</v>
      </c>
      <c r="Z37" s="8" t="s">
        <v>281</v>
      </c>
    </row>
    <row r="38" spans="1:26" ht="24" customHeight="1" x14ac:dyDescent="0.25">
      <c r="A38" s="10">
        <v>35</v>
      </c>
      <c r="B38" s="9">
        <v>0.21249999999999999</v>
      </c>
      <c r="C38" s="5" t="s">
        <v>89</v>
      </c>
      <c r="D38" s="5">
        <f t="shared" si="0"/>
        <v>7</v>
      </c>
      <c r="E38" s="14"/>
      <c r="F38" s="14" t="s">
        <v>48</v>
      </c>
      <c r="G38" s="12">
        <v>1.075</v>
      </c>
      <c r="H38" s="12">
        <v>1.7549999999999999</v>
      </c>
      <c r="I38" s="12"/>
      <c r="J38" s="12"/>
      <c r="K38" s="12"/>
      <c r="L38" s="12"/>
      <c r="M38" s="12"/>
      <c r="N38" s="36">
        <f t="shared" si="1"/>
        <v>2.83</v>
      </c>
      <c r="O38" s="16">
        <f t="shared" si="2"/>
        <v>8.5198754401889631E-3</v>
      </c>
      <c r="P38" s="34">
        <v>8</v>
      </c>
      <c r="Q38" s="34">
        <v>10</v>
      </c>
      <c r="R38" s="34">
        <v>9</v>
      </c>
      <c r="S38" s="34">
        <v>9</v>
      </c>
      <c r="T38" s="34">
        <v>9</v>
      </c>
      <c r="U38" s="34">
        <v>9</v>
      </c>
      <c r="V38" s="34">
        <v>9</v>
      </c>
      <c r="W38" s="35" t="str">
        <f t="shared" si="3"/>
        <v>N</v>
      </c>
      <c r="X38" s="54">
        <f t="shared" si="4"/>
        <v>0</v>
      </c>
      <c r="Y38" s="54" t="str">
        <f t="shared" si="5"/>
        <v>0-4.9%</v>
      </c>
      <c r="Z38" s="8" t="s">
        <v>292</v>
      </c>
    </row>
    <row r="39" spans="1:26" ht="24" customHeight="1" x14ac:dyDescent="0.25">
      <c r="A39" s="10">
        <v>36</v>
      </c>
      <c r="B39" s="9">
        <v>0.22222222222222221</v>
      </c>
      <c r="C39" s="5" t="s">
        <v>90</v>
      </c>
      <c r="D39" s="5">
        <f t="shared" ref="D39:D70" si="6">IF(COUNT(G39:M39)&gt;3,10,IF(COUNT(G39:M39)&gt;2,9,7))</f>
        <v>7</v>
      </c>
      <c r="E39" s="14"/>
      <c r="F39" s="14" t="s">
        <v>48</v>
      </c>
      <c r="G39" s="12">
        <v>1.72</v>
      </c>
      <c r="H39" s="12">
        <v>2.12</v>
      </c>
      <c r="I39" s="12"/>
      <c r="J39" s="12"/>
      <c r="K39" s="12"/>
      <c r="L39" s="12"/>
      <c r="M39" s="12"/>
      <c r="N39" s="36">
        <f t="shared" ref="N39:N70" si="7">SUM(G39:M39)</f>
        <v>3.84</v>
      </c>
      <c r="O39" s="16">
        <f t="shared" ref="O39:O70" si="8">(N39/8.16)^4.5</f>
        <v>3.3642231522310134E-2</v>
      </c>
      <c r="P39" s="34">
        <v>8</v>
      </c>
      <c r="Q39" s="34">
        <v>10</v>
      </c>
      <c r="R39" s="34">
        <v>9</v>
      </c>
      <c r="S39" s="34">
        <v>9</v>
      </c>
      <c r="T39" s="34">
        <v>9</v>
      </c>
      <c r="U39" s="34">
        <v>9</v>
      </c>
      <c r="V39" s="34">
        <v>9</v>
      </c>
      <c r="W39" s="35" t="str">
        <f t="shared" si="3"/>
        <v>N</v>
      </c>
      <c r="X39" s="54">
        <f t="shared" si="4"/>
        <v>0</v>
      </c>
      <c r="Y39" s="54" t="str">
        <f t="shared" si="5"/>
        <v>0-4.9%</v>
      </c>
      <c r="Z39" s="8" t="s">
        <v>292</v>
      </c>
    </row>
    <row r="40" spans="1:26" ht="24" customHeight="1" x14ac:dyDescent="0.25">
      <c r="A40" s="10">
        <v>37</v>
      </c>
      <c r="B40" s="9">
        <v>0.22916666666666666</v>
      </c>
      <c r="C40" s="5" t="s">
        <v>91</v>
      </c>
      <c r="D40" s="5">
        <f t="shared" si="6"/>
        <v>7</v>
      </c>
      <c r="E40" s="14"/>
      <c r="F40" s="14" t="s">
        <v>48</v>
      </c>
      <c r="G40" s="12">
        <v>5.16</v>
      </c>
      <c r="H40" s="12">
        <v>8.08</v>
      </c>
      <c r="I40" s="12"/>
      <c r="J40" s="12"/>
      <c r="K40" s="12"/>
      <c r="L40" s="12"/>
      <c r="M40" s="12"/>
      <c r="N40" s="36">
        <f t="shared" si="7"/>
        <v>13.24</v>
      </c>
      <c r="O40" s="16">
        <f t="shared" si="8"/>
        <v>8.8285670274367689</v>
      </c>
      <c r="P40" s="34">
        <v>8</v>
      </c>
      <c r="Q40" s="34">
        <v>10</v>
      </c>
      <c r="R40" s="34">
        <v>9</v>
      </c>
      <c r="S40" s="34">
        <v>9</v>
      </c>
      <c r="T40" s="34">
        <v>9</v>
      </c>
      <c r="U40" s="34">
        <v>9</v>
      </c>
      <c r="V40" s="34">
        <v>9</v>
      </c>
      <c r="W40" s="35" t="str">
        <f t="shared" si="3"/>
        <v>N</v>
      </c>
      <c r="X40" s="54">
        <f t="shared" si="4"/>
        <v>0</v>
      </c>
      <c r="Y40" s="54" t="str">
        <f t="shared" si="5"/>
        <v>0-4.9%</v>
      </c>
      <c r="Z40" s="8" t="s">
        <v>285</v>
      </c>
    </row>
    <row r="41" spans="1:26" ht="24" customHeight="1" x14ac:dyDescent="0.25">
      <c r="A41" s="10">
        <v>38</v>
      </c>
      <c r="B41" s="9">
        <v>0.23055555555555554</v>
      </c>
      <c r="C41" s="5" t="s">
        <v>92</v>
      </c>
      <c r="D41" s="5">
        <f t="shared" si="6"/>
        <v>7</v>
      </c>
      <c r="E41" s="14"/>
      <c r="F41" s="14" t="s">
        <v>48</v>
      </c>
      <c r="G41" s="12">
        <v>1.89</v>
      </c>
      <c r="H41" s="12">
        <v>2.2799999999999998</v>
      </c>
      <c r="I41" s="12"/>
      <c r="J41" s="12"/>
      <c r="K41" s="12"/>
      <c r="L41" s="12"/>
      <c r="M41" s="12"/>
      <c r="N41" s="36">
        <f t="shared" si="7"/>
        <v>4.17</v>
      </c>
      <c r="O41" s="16">
        <f t="shared" si="8"/>
        <v>4.8753582393471918E-2</v>
      </c>
      <c r="P41" s="34">
        <v>8</v>
      </c>
      <c r="Q41" s="34">
        <v>10</v>
      </c>
      <c r="R41" s="34">
        <v>9</v>
      </c>
      <c r="S41" s="34">
        <v>9</v>
      </c>
      <c r="T41" s="34">
        <v>9</v>
      </c>
      <c r="U41" s="34">
        <v>9</v>
      </c>
      <c r="V41" s="34">
        <v>9</v>
      </c>
      <c r="W41" s="35" t="str">
        <f t="shared" si="3"/>
        <v>N</v>
      </c>
      <c r="X41" s="54">
        <f t="shared" si="4"/>
        <v>0</v>
      </c>
      <c r="Y41" s="54" t="str">
        <f t="shared" si="5"/>
        <v>0-4.9%</v>
      </c>
      <c r="Z41" s="8" t="s">
        <v>292</v>
      </c>
    </row>
    <row r="42" spans="1:26" ht="24" customHeight="1" x14ac:dyDescent="0.25">
      <c r="A42" s="10">
        <v>39</v>
      </c>
      <c r="B42" s="9">
        <v>0.23124999999999998</v>
      </c>
      <c r="C42" s="5" t="s">
        <v>93</v>
      </c>
      <c r="D42" s="5">
        <f t="shared" si="6"/>
        <v>7</v>
      </c>
      <c r="E42" s="14"/>
      <c r="F42" s="14" t="s">
        <v>48</v>
      </c>
      <c r="G42" s="12">
        <v>3</v>
      </c>
      <c r="H42" s="12">
        <v>9.9</v>
      </c>
      <c r="I42" s="12"/>
      <c r="J42" s="12"/>
      <c r="K42" s="12"/>
      <c r="L42" s="12"/>
      <c r="M42" s="12"/>
      <c r="N42" s="36">
        <f t="shared" si="7"/>
        <v>12.9</v>
      </c>
      <c r="O42" s="16">
        <f t="shared" si="8"/>
        <v>7.8532239422427637</v>
      </c>
      <c r="P42" s="34">
        <v>8</v>
      </c>
      <c r="Q42" s="34">
        <v>10</v>
      </c>
      <c r="R42" s="34">
        <v>9</v>
      </c>
      <c r="S42" s="34">
        <v>9</v>
      </c>
      <c r="T42" s="34">
        <v>9</v>
      </c>
      <c r="U42" s="34">
        <v>9</v>
      </c>
      <c r="V42" s="34">
        <v>9</v>
      </c>
      <c r="W42" s="35" t="str">
        <f t="shared" si="3"/>
        <v>N</v>
      </c>
      <c r="X42" s="54">
        <f t="shared" si="4"/>
        <v>0</v>
      </c>
      <c r="Y42" s="54" t="str">
        <f t="shared" si="5"/>
        <v>0-4.9%</v>
      </c>
      <c r="Z42" s="8" t="s">
        <v>281</v>
      </c>
    </row>
    <row r="43" spans="1:26" ht="24" customHeight="1" x14ac:dyDescent="0.25">
      <c r="A43" s="10">
        <v>40</v>
      </c>
      <c r="B43" s="9">
        <v>0.25</v>
      </c>
      <c r="C43" s="5" t="s">
        <v>94</v>
      </c>
      <c r="D43" s="5">
        <f t="shared" si="6"/>
        <v>7</v>
      </c>
      <c r="E43" s="14"/>
      <c r="F43" s="14" t="s">
        <v>48</v>
      </c>
      <c r="G43" s="12">
        <v>2.46</v>
      </c>
      <c r="H43" s="12">
        <v>1.64</v>
      </c>
      <c r="I43" s="12"/>
      <c r="J43" s="12"/>
      <c r="K43" s="12"/>
      <c r="L43" s="12"/>
      <c r="M43" s="12"/>
      <c r="N43" s="36">
        <f t="shared" si="7"/>
        <v>4.0999999999999996</v>
      </c>
      <c r="O43" s="16">
        <f t="shared" si="8"/>
        <v>4.5177442398546395E-2</v>
      </c>
      <c r="P43" s="34">
        <v>8</v>
      </c>
      <c r="Q43" s="34">
        <v>10</v>
      </c>
      <c r="R43" s="34">
        <v>9</v>
      </c>
      <c r="S43" s="34">
        <v>9</v>
      </c>
      <c r="T43" s="34">
        <v>9</v>
      </c>
      <c r="U43" s="34">
        <v>9</v>
      </c>
      <c r="V43" s="34">
        <v>9</v>
      </c>
      <c r="W43" s="35" t="str">
        <f t="shared" si="3"/>
        <v>N</v>
      </c>
      <c r="X43" s="54">
        <f t="shared" si="4"/>
        <v>0</v>
      </c>
      <c r="Y43" s="54" t="str">
        <f t="shared" si="5"/>
        <v>0-4.9%</v>
      </c>
      <c r="Z43" s="8" t="s">
        <v>292</v>
      </c>
    </row>
    <row r="44" spans="1:26" ht="24" customHeight="1" x14ac:dyDescent="0.25">
      <c r="A44" s="10">
        <v>41</v>
      </c>
      <c r="B44" s="9">
        <v>0.26111111111111113</v>
      </c>
      <c r="C44" s="5" t="s">
        <v>95</v>
      </c>
      <c r="D44" s="5">
        <f t="shared" si="6"/>
        <v>7</v>
      </c>
      <c r="E44" s="14"/>
      <c r="F44" s="14" t="s">
        <v>48</v>
      </c>
      <c r="G44" s="12">
        <v>2.16</v>
      </c>
      <c r="H44" s="12">
        <v>2.5</v>
      </c>
      <c r="I44" s="12"/>
      <c r="J44" s="12"/>
      <c r="K44" s="12"/>
      <c r="L44" s="12"/>
      <c r="M44" s="12"/>
      <c r="N44" s="36">
        <f t="shared" si="7"/>
        <v>4.66</v>
      </c>
      <c r="O44" s="16">
        <f t="shared" si="8"/>
        <v>8.0376836802834306E-2</v>
      </c>
      <c r="P44" s="34">
        <v>8</v>
      </c>
      <c r="Q44" s="34">
        <v>10</v>
      </c>
      <c r="R44" s="34">
        <v>9</v>
      </c>
      <c r="S44" s="34">
        <v>9</v>
      </c>
      <c r="T44" s="34">
        <v>9</v>
      </c>
      <c r="U44" s="34">
        <v>9</v>
      </c>
      <c r="V44" s="34">
        <v>9</v>
      </c>
      <c r="W44" s="35" t="str">
        <f t="shared" si="3"/>
        <v>N</v>
      </c>
      <c r="X44" s="54">
        <f t="shared" si="4"/>
        <v>0</v>
      </c>
      <c r="Y44" s="54" t="str">
        <f t="shared" si="5"/>
        <v>0-4.9%</v>
      </c>
      <c r="Z44" s="8" t="s">
        <v>292</v>
      </c>
    </row>
    <row r="45" spans="1:26" ht="24" customHeight="1" x14ac:dyDescent="0.25">
      <c r="A45" s="10">
        <v>43</v>
      </c>
      <c r="B45" s="9">
        <v>0.27361111111111108</v>
      </c>
      <c r="C45" s="5" t="s">
        <v>97</v>
      </c>
      <c r="D45" s="5">
        <f t="shared" si="6"/>
        <v>7</v>
      </c>
      <c r="E45" s="14"/>
      <c r="F45" s="14" t="s">
        <v>48</v>
      </c>
      <c r="G45" s="12">
        <v>1.01</v>
      </c>
      <c r="H45" s="12">
        <v>2.7749999999999999</v>
      </c>
      <c r="I45" s="12"/>
      <c r="J45" s="12"/>
      <c r="K45" s="12"/>
      <c r="L45" s="12"/>
      <c r="M45" s="12"/>
      <c r="N45" s="36">
        <f t="shared" si="7"/>
        <v>3.7850000000000001</v>
      </c>
      <c r="O45" s="16">
        <f t="shared" si="8"/>
        <v>3.1527589183369273E-2</v>
      </c>
      <c r="P45" s="34">
        <v>8</v>
      </c>
      <c r="Q45" s="34">
        <v>10</v>
      </c>
      <c r="R45" s="34">
        <v>9</v>
      </c>
      <c r="S45" s="34">
        <v>9</v>
      </c>
      <c r="T45" s="34">
        <v>9</v>
      </c>
      <c r="U45" s="34">
        <v>9</v>
      </c>
      <c r="V45" s="34">
        <v>9</v>
      </c>
      <c r="W45" s="35" t="str">
        <f t="shared" si="3"/>
        <v>N</v>
      </c>
      <c r="X45" s="54">
        <f t="shared" si="4"/>
        <v>0</v>
      </c>
      <c r="Y45" s="54" t="str">
        <f t="shared" si="5"/>
        <v>0-4.9%</v>
      </c>
      <c r="Z45" s="8" t="s">
        <v>292</v>
      </c>
    </row>
    <row r="46" spans="1:26" ht="24" customHeight="1" x14ac:dyDescent="0.25">
      <c r="A46" s="10">
        <v>44</v>
      </c>
      <c r="B46" s="9">
        <v>0.27847222222222223</v>
      </c>
      <c r="C46" s="5" t="s">
        <v>98</v>
      </c>
      <c r="D46" s="5">
        <f t="shared" si="6"/>
        <v>7</v>
      </c>
      <c r="E46" s="14"/>
      <c r="F46" s="14" t="s">
        <v>48</v>
      </c>
      <c r="G46" s="12">
        <v>1.115</v>
      </c>
      <c r="H46" s="12">
        <v>3.14</v>
      </c>
      <c r="I46" s="12"/>
      <c r="J46" s="12"/>
      <c r="K46" s="12"/>
      <c r="L46" s="12"/>
      <c r="M46" s="12"/>
      <c r="N46" s="36">
        <f t="shared" si="7"/>
        <v>4.2549999999999999</v>
      </c>
      <c r="O46" s="16">
        <f t="shared" si="8"/>
        <v>5.3387836958218221E-2</v>
      </c>
      <c r="P46" s="34">
        <v>8</v>
      </c>
      <c r="Q46" s="34">
        <v>10</v>
      </c>
      <c r="R46" s="34">
        <v>9</v>
      </c>
      <c r="S46" s="34">
        <v>9</v>
      </c>
      <c r="T46" s="34">
        <v>9</v>
      </c>
      <c r="U46" s="34">
        <v>9</v>
      </c>
      <c r="V46" s="34">
        <v>9</v>
      </c>
      <c r="W46" s="35" t="str">
        <f t="shared" si="3"/>
        <v>N</v>
      </c>
      <c r="X46" s="54">
        <f t="shared" si="4"/>
        <v>0</v>
      </c>
      <c r="Y46" s="54" t="str">
        <f t="shared" si="5"/>
        <v>0-4.9%</v>
      </c>
      <c r="Z46" s="8" t="s">
        <v>292</v>
      </c>
    </row>
    <row r="47" spans="1:26" ht="24" customHeight="1" x14ac:dyDescent="0.25">
      <c r="A47" s="10">
        <v>45</v>
      </c>
      <c r="B47" s="9">
        <v>0.28055555555555556</v>
      </c>
      <c r="C47" s="5" t="s">
        <v>99</v>
      </c>
      <c r="D47" s="5">
        <f t="shared" si="6"/>
        <v>7</v>
      </c>
      <c r="E47" s="14"/>
      <c r="F47" s="14" t="s">
        <v>48</v>
      </c>
      <c r="G47" s="12">
        <v>2.3450000000000002</v>
      </c>
      <c r="H47" s="12">
        <v>2.0350000000000001</v>
      </c>
      <c r="I47" s="12"/>
      <c r="J47" s="12"/>
      <c r="K47" s="12"/>
      <c r="L47" s="12"/>
      <c r="M47" s="12"/>
      <c r="N47" s="36">
        <f t="shared" si="7"/>
        <v>4.3800000000000008</v>
      </c>
      <c r="O47" s="16">
        <f t="shared" si="8"/>
        <v>6.0817390640075512E-2</v>
      </c>
      <c r="P47" s="34">
        <v>8</v>
      </c>
      <c r="Q47" s="34">
        <v>10</v>
      </c>
      <c r="R47" s="34">
        <v>9</v>
      </c>
      <c r="S47" s="34">
        <v>9</v>
      </c>
      <c r="T47" s="34">
        <v>9</v>
      </c>
      <c r="U47" s="34">
        <v>9</v>
      </c>
      <c r="V47" s="34">
        <v>9</v>
      </c>
      <c r="W47" s="35" t="str">
        <f t="shared" si="3"/>
        <v>N</v>
      </c>
      <c r="X47" s="54">
        <f t="shared" si="4"/>
        <v>0</v>
      </c>
      <c r="Y47" s="54" t="str">
        <f t="shared" si="5"/>
        <v>0-4.9%</v>
      </c>
      <c r="Z47" s="8" t="s">
        <v>292</v>
      </c>
    </row>
    <row r="48" spans="1:26" ht="24" customHeight="1" x14ac:dyDescent="0.25">
      <c r="A48" s="10">
        <v>1</v>
      </c>
      <c r="B48" s="9">
        <v>0.32708333333333334</v>
      </c>
      <c r="C48" s="5" t="s">
        <v>130</v>
      </c>
      <c r="D48" s="5">
        <f t="shared" si="6"/>
        <v>7</v>
      </c>
      <c r="E48" s="14"/>
      <c r="F48" s="14" t="s">
        <v>48</v>
      </c>
      <c r="G48" s="12">
        <v>1.07</v>
      </c>
      <c r="H48" s="12">
        <v>2.5499999999999998</v>
      </c>
      <c r="I48" s="12"/>
      <c r="J48" s="12"/>
      <c r="K48" s="12"/>
      <c r="L48" s="12"/>
      <c r="M48" s="12"/>
      <c r="N48" s="36">
        <f t="shared" si="7"/>
        <v>3.62</v>
      </c>
      <c r="O48" s="16">
        <f t="shared" si="8"/>
        <v>2.5797810780533663E-2</v>
      </c>
      <c r="P48" s="34">
        <v>8</v>
      </c>
      <c r="Q48" s="34">
        <v>10</v>
      </c>
      <c r="R48" s="34">
        <v>9</v>
      </c>
      <c r="S48" s="34">
        <v>9</v>
      </c>
      <c r="T48" s="34">
        <v>9</v>
      </c>
      <c r="U48" s="34">
        <v>9</v>
      </c>
      <c r="V48" s="34">
        <v>9</v>
      </c>
      <c r="W48" s="35" t="str">
        <f t="shared" si="3"/>
        <v>N</v>
      </c>
      <c r="X48" s="54">
        <f t="shared" si="4"/>
        <v>0</v>
      </c>
      <c r="Y48" s="54" t="str">
        <f t="shared" si="5"/>
        <v>0-4.9%</v>
      </c>
      <c r="Z48" s="8" t="s">
        <v>292</v>
      </c>
    </row>
    <row r="49" spans="1:26" ht="24" customHeight="1" x14ac:dyDescent="0.25">
      <c r="A49" s="10">
        <v>2</v>
      </c>
      <c r="B49" s="9">
        <v>0.35069444444444442</v>
      </c>
      <c r="C49" s="5" t="s">
        <v>131</v>
      </c>
      <c r="D49" s="5">
        <f t="shared" si="6"/>
        <v>7</v>
      </c>
      <c r="E49" s="14"/>
      <c r="F49" s="14" t="s">
        <v>48</v>
      </c>
      <c r="G49" s="12">
        <v>2.2000000000000002</v>
      </c>
      <c r="H49" s="12">
        <v>5.85</v>
      </c>
      <c r="I49" s="12"/>
      <c r="J49" s="12"/>
      <c r="K49" s="12"/>
      <c r="L49" s="12"/>
      <c r="M49" s="12"/>
      <c r="N49" s="36">
        <f t="shared" si="7"/>
        <v>8.0500000000000007</v>
      </c>
      <c r="O49" s="16">
        <f t="shared" si="8"/>
        <v>0.94075329315160472</v>
      </c>
      <c r="P49" s="34">
        <v>8</v>
      </c>
      <c r="Q49" s="34">
        <v>10</v>
      </c>
      <c r="R49" s="34">
        <v>9</v>
      </c>
      <c r="S49" s="34">
        <v>9</v>
      </c>
      <c r="T49" s="34">
        <v>9</v>
      </c>
      <c r="U49" s="34">
        <v>9</v>
      </c>
      <c r="V49" s="34">
        <v>9</v>
      </c>
      <c r="W49" s="35" t="str">
        <f t="shared" si="3"/>
        <v>N</v>
      </c>
      <c r="X49" s="54">
        <f t="shared" si="4"/>
        <v>0</v>
      </c>
      <c r="Y49" s="54" t="str">
        <f t="shared" si="5"/>
        <v>0-4.9%</v>
      </c>
      <c r="Z49" s="8" t="s">
        <v>281</v>
      </c>
    </row>
    <row r="50" spans="1:26" ht="24" customHeight="1" x14ac:dyDescent="0.25">
      <c r="A50" s="10">
        <v>3</v>
      </c>
      <c r="B50" s="9">
        <v>0.35416666666666669</v>
      </c>
      <c r="C50" s="5" t="s">
        <v>132</v>
      </c>
      <c r="D50" s="5">
        <f t="shared" si="6"/>
        <v>7</v>
      </c>
      <c r="E50" s="14"/>
      <c r="F50" s="14" t="s">
        <v>48</v>
      </c>
      <c r="G50" s="12">
        <v>2.2000000000000002</v>
      </c>
      <c r="H50" s="12">
        <v>5.85</v>
      </c>
      <c r="I50" s="12"/>
      <c r="J50" s="12"/>
      <c r="K50" s="12"/>
      <c r="L50" s="12"/>
      <c r="M50" s="12"/>
      <c r="N50" s="36">
        <f t="shared" si="7"/>
        <v>8.0500000000000007</v>
      </c>
      <c r="O50" s="16">
        <f t="shared" si="8"/>
        <v>0.94075329315160472</v>
      </c>
      <c r="P50" s="34">
        <v>8</v>
      </c>
      <c r="Q50" s="34">
        <v>10</v>
      </c>
      <c r="R50" s="34">
        <v>9</v>
      </c>
      <c r="S50" s="34">
        <v>9</v>
      </c>
      <c r="T50" s="34">
        <v>9</v>
      </c>
      <c r="U50" s="34">
        <v>9</v>
      </c>
      <c r="V50" s="34">
        <v>9</v>
      </c>
      <c r="W50" s="35" t="str">
        <f t="shared" si="3"/>
        <v>N</v>
      </c>
      <c r="X50" s="54">
        <f t="shared" si="4"/>
        <v>0</v>
      </c>
      <c r="Y50" s="54" t="str">
        <f t="shared" si="5"/>
        <v>0-4.9%</v>
      </c>
      <c r="Z50" s="8" t="s">
        <v>281</v>
      </c>
    </row>
    <row r="51" spans="1:26" ht="24" customHeight="1" x14ac:dyDescent="0.25">
      <c r="A51" s="10">
        <v>4</v>
      </c>
      <c r="B51" s="9">
        <v>0.35833333333333334</v>
      </c>
      <c r="C51" s="5" t="s">
        <v>133</v>
      </c>
      <c r="D51" s="5">
        <f t="shared" si="6"/>
        <v>7</v>
      </c>
      <c r="E51" s="14"/>
      <c r="F51" s="14" t="s">
        <v>48</v>
      </c>
      <c r="G51" s="12">
        <v>3.52</v>
      </c>
      <c r="H51" s="12">
        <v>9.14</v>
      </c>
      <c r="I51" s="12"/>
      <c r="J51" s="12"/>
      <c r="K51" s="12"/>
      <c r="L51" s="12"/>
      <c r="M51" s="12"/>
      <c r="N51" s="36">
        <f t="shared" si="7"/>
        <v>12.66</v>
      </c>
      <c r="O51" s="16">
        <f t="shared" si="8"/>
        <v>7.2168214589685631</v>
      </c>
      <c r="P51" s="34">
        <v>8</v>
      </c>
      <c r="Q51" s="34">
        <v>10</v>
      </c>
      <c r="R51" s="34">
        <v>9</v>
      </c>
      <c r="S51" s="34">
        <v>9</v>
      </c>
      <c r="T51" s="34">
        <v>9</v>
      </c>
      <c r="U51" s="34">
        <v>9</v>
      </c>
      <c r="V51" s="34">
        <v>9</v>
      </c>
      <c r="W51" s="35" t="str">
        <f t="shared" si="3"/>
        <v>N</v>
      </c>
      <c r="X51" s="54">
        <f t="shared" si="4"/>
        <v>0</v>
      </c>
      <c r="Y51" s="54" t="str">
        <f t="shared" si="5"/>
        <v>0-4.9%</v>
      </c>
      <c r="Z51" s="8" t="s">
        <v>281</v>
      </c>
    </row>
    <row r="52" spans="1:26" ht="24" customHeight="1" x14ac:dyDescent="0.25">
      <c r="A52" s="10">
        <v>5</v>
      </c>
      <c r="B52" s="9">
        <v>0.36527777777777781</v>
      </c>
      <c r="C52" s="5" t="s">
        <v>134</v>
      </c>
      <c r="D52" s="5">
        <f t="shared" si="6"/>
        <v>7</v>
      </c>
      <c r="E52" s="14"/>
      <c r="F52" s="14" t="s">
        <v>48</v>
      </c>
      <c r="G52" s="12">
        <v>2.42</v>
      </c>
      <c r="H52" s="12">
        <v>4.5199999999999996</v>
      </c>
      <c r="I52" s="12"/>
      <c r="J52" s="12"/>
      <c r="K52" s="12"/>
      <c r="L52" s="12"/>
      <c r="M52" s="12"/>
      <c r="N52" s="36">
        <f t="shared" si="7"/>
        <v>6.9399999999999995</v>
      </c>
      <c r="O52" s="16">
        <f t="shared" si="8"/>
        <v>0.48251620413966734</v>
      </c>
      <c r="P52" s="34">
        <v>8</v>
      </c>
      <c r="Q52" s="34">
        <v>10</v>
      </c>
      <c r="R52" s="34">
        <v>9</v>
      </c>
      <c r="S52" s="34">
        <v>9</v>
      </c>
      <c r="T52" s="34">
        <v>9</v>
      </c>
      <c r="U52" s="34">
        <v>9</v>
      </c>
      <c r="V52" s="34">
        <v>9</v>
      </c>
      <c r="W52" s="35" t="str">
        <f t="shared" si="3"/>
        <v>N</v>
      </c>
      <c r="X52" s="54">
        <f t="shared" si="4"/>
        <v>0</v>
      </c>
      <c r="Y52" s="54" t="str">
        <f t="shared" si="5"/>
        <v>0-4.9%</v>
      </c>
      <c r="Z52" s="8" t="s">
        <v>318</v>
      </c>
    </row>
    <row r="53" spans="1:26" ht="24" customHeight="1" x14ac:dyDescent="0.25">
      <c r="A53" s="10">
        <v>6</v>
      </c>
      <c r="B53" s="9">
        <v>0.37222222222222223</v>
      </c>
      <c r="C53" s="5" t="s">
        <v>135</v>
      </c>
      <c r="D53" s="5">
        <f t="shared" si="6"/>
        <v>7</v>
      </c>
      <c r="E53" s="14"/>
      <c r="F53" s="14" t="s">
        <v>48</v>
      </c>
      <c r="G53" s="12">
        <v>2.1</v>
      </c>
      <c r="H53" s="12">
        <v>6.04</v>
      </c>
      <c r="I53" s="12"/>
      <c r="J53" s="12"/>
      <c r="K53" s="12"/>
      <c r="L53" s="12"/>
      <c r="M53" s="12"/>
      <c r="N53" s="36">
        <f t="shared" si="7"/>
        <v>8.14</v>
      </c>
      <c r="O53" s="16">
        <f t="shared" si="8"/>
        <v>0.98901779922518473</v>
      </c>
      <c r="P53" s="34">
        <v>8</v>
      </c>
      <c r="Q53" s="34">
        <v>10</v>
      </c>
      <c r="R53" s="34">
        <v>9</v>
      </c>
      <c r="S53" s="34">
        <v>9</v>
      </c>
      <c r="T53" s="34">
        <v>9</v>
      </c>
      <c r="U53" s="34">
        <v>9</v>
      </c>
      <c r="V53" s="34">
        <v>9</v>
      </c>
      <c r="W53" s="35" t="str">
        <f t="shared" si="3"/>
        <v>N</v>
      </c>
      <c r="X53" s="54">
        <f t="shared" si="4"/>
        <v>0</v>
      </c>
      <c r="Y53" s="54" t="str">
        <f t="shared" si="5"/>
        <v>0-4.9%</v>
      </c>
      <c r="Z53" s="8" t="s">
        <v>318</v>
      </c>
    </row>
    <row r="54" spans="1:26" ht="24" customHeight="1" x14ac:dyDescent="0.25">
      <c r="A54" s="10">
        <v>7</v>
      </c>
      <c r="B54" s="9">
        <v>0.37916666666666665</v>
      </c>
      <c r="C54" s="5" t="s">
        <v>136</v>
      </c>
      <c r="D54" s="5">
        <f t="shared" si="6"/>
        <v>7</v>
      </c>
      <c r="E54" s="14"/>
      <c r="F54" s="14" t="s">
        <v>48</v>
      </c>
      <c r="G54" s="12">
        <v>4</v>
      </c>
      <c r="H54" s="12">
        <v>9.36</v>
      </c>
      <c r="I54" s="12"/>
      <c r="J54" s="12"/>
      <c r="K54" s="12"/>
      <c r="L54" s="12"/>
      <c r="M54" s="12"/>
      <c r="N54" s="36">
        <f t="shared" si="7"/>
        <v>13.36</v>
      </c>
      <c r="O54" s="16">
        <f t="shared" si="8"/>
        <v>9.1943990164177674</v>
      </c>
      <c r="P54" s="34">
        <v>8</v>
      </c>
      <c r="Q54" s="34">
        <v>10</v>
      </c>
      <c r="R54" s="34">
        <v>9</v>
      </c>
      <c r="S54" s="34">
        <v>9</v>
      </c>
      <c r="T54" s="34">
        <v>9</v>
      </c>
      <c r="U54" s="34">
        <v>9</v>
      </c>
      <c r="V54" s="34">
        <v>9</v>
      </c>
      <c r="W54" s="35" t="str">
        <f t="shared" si="3"/>
        <v>N</v>
      </c>
      <c r="X54" s="54">
        <f t="shared" si="4"/>
        <v>0</v>
      </c>
      <c r="Y54" s="54" t="str">
        <f t="shared" si="5"/>
        <v>0-4.9%</v>
      </c>
      <c r="Z54" s="8" t="s">
        <v>281</v>
      </c>
    </row>
    <row r="55" spans="1:26" ht="24" customHeight="1" x14ac:dyDescent="0.25">
      <c r="A55" s="10">
        <v>8</v>
      </c>
      <c r="B55" s="9">
        <v>0.39444444444444443</v>
      </c>
      <c r="C55" s="5" t="s">
        <v>137</v>
      </c>
      <c r="D55" s="5">
        <f t="shared" si="6"/>
        <v>7</v>
      </c>
      <c r="E55" s="14"/>
      <c r="F55" s="14" t="s">
        <v>48</v>
      </c>
      <c r="G55" s="12">
        <v>3.11</v>
      </c>
      <c r="H55" s="12">
        <v>8.9499999999999993</v>
      </c>
      <c r="I55" s="12"/>
      <c r="J55" s="12"/>
      <c r="K55" s="12"/>
      <c r="L55" s="12"/>
      <c r="M55" s="12"/>
      <c r="N55" s="36">
        <f t="shared" si="7"/>
        <v>12.059999999999999</v>
      </c>
      <c r="O55" s="16">
        <f t="shared" si="8"/>
        <v>5.8003896739167162</v>
      </c>
      <c r="P55" s="34">
        <v>8</v>
      </c>
      <c r="Q55" s="34">
        <v>10</v>
      </c>
      <c r="R55" s="34">
        <v>9</v>
      </c>
      <c r="S55" s="34">
        <v>9</v>
      </c>
      <c r="T55" s="34">
        <v>9</v>
      </c>
      <c r="U55" s="34">
        <v>9</v>
      </c>
      <c r="V55" s="34">
        <v>9</v>
      </c>
      <c r="W55" s="35" t="str">
        <f t="shared" si="3"/>
        <v>N</v>
      </c>
      <c r="X55" s="54">
        <f t="shared" si="4"/>
        <v>0</v>
      </c>
      <c r="Y55" s="54" t="str">
        <f t="shared" si="5"/>
        <v>0-4.9%</v>
      </c>
      <c r="Z55" s="8" t="s">
        <v>281</v>
      </c>
    </row>
    <row r="56" spans="1:26" ht="24" customHeight="1" x14ac:dyDescent="0.25">
      <c r="A56" s="10">
        <v>9</v>
      </c>
      <c r="B56" s="9">
        <v>0.42638888888888887</v>
      </c>
      <c r="C56" s="5" t="s">
        <v>138</v>
      </c>
      <c r="D56" s="5">
        <f t="shared" si="6"/>
        <v>7</v>
      </c>
      <c r="E56" s="14"/>
      <c r="F56" s="14" t="s">
        <v>48</v>
      </c>
      <c r="G56" s="12">
        <v>1.39</v>
      </c>
      <c r="H56" s="12">
        <v>4.9000000000000004</v>
      </c>
      <c r="I56" s="12"/>
      <c r="J56" s="12"/>
      <c r="K56" s="12"/>
      <c r="L56" s="12"/>
      <c r="M56" s="12"/>
      <c r="N56" s="36">
        <f t="shared" si="7"/>
        <v>6.29</v>
      </c>
      <c r="O56" s="16">
        <f t="shared" si="8"/>
        <v>0.30997180347050557</v>
      </c>
      <c r="P56" s="34">
        <v>8</v>
      </c>
      <c r="Q56" s="34">
        <v>10</v>
      </c>
      <c r="R56" s="34">
        <v>9</v>
      </c>
      <c r="S56" s="34">
        <v>9</v>
      </c>
      <c r="T56" s="34">
        <v>9</v>
      </c>
      <c r="U56" s="34">
        <v>9</v>
      </c>
      <c r="V56" s="34">
        <v>9</v>
      </c>
      <c r="W56" s="35" t="str">
        <f t="shared" si="3"/>
        <v>N</v>
      </c>
      <c r="X56" s="54">
        <f t="shared" si="4"/>
        <v>0</v>
      </c>
      <c r="Y56" s="54" t="str">
        <f t="shared" si="5"/>
        <v>0-4.9%</v>
      </c>
      <c r="Z56" s="8" t="s">
        <v>318</v>
      </c>
    </row>
    <row r="57" spans="1:26" ht="24" customHeight="1" x14ac:dyDescent="0.25">
      <c r="A57" s="10">
        <v>10</v>
      </c>
      <c r="B57" s="9">
        <v>0.47986111111111113</v>
      </c>
      <c r="C57" s="5" t="s">
        <v>139</v>
      </c>
      <c r="D57" s="5">
        <f t="shared" si="6"/>
        <v>7</v>
      </c>
      <c r="E57" s="14"/>
      <c r="F57" s="14" t="s">
        <v>48</v>
      </c>
      <c r="G57" s="12">
        <v>4</v>
      </c>
      <c r="H57" s="12">
        <v>8.86</v>
      </c>
      <c r="I57" s="12"/>
      <c r="J57" s="12"/>
      <c r="K57" s="12"/>
      <c r="L57" s="12"/>
      <c r="M57" s="12"/>
      <c r="N57" s="36">
        <f t="shared" si="7"/>
        <v>12.86</v>
      </c>
      <c r="O57" s="16">
        <f t="shared" si="8"/>
        <v>7.7442371580269205</v>
      </c>
      <c r="P57" s="34">
        <v>8</v>
      </c>
      <c r="Q57" s="34">
        <v>10</v>
      </c>
      <c r="R57" s="34">
        <v>9</v>
      </c>
      <c r="S57" s="34">
        <v>9</v>
      </c>
      <c r="T57" s="34">
        <v>9</v>
      </c>
      <c r="U57" s="34">
        <v>9</v>
      </c>
      <c r="V57" s="34">
        <v>9</v>
      </c>
      <c r="W57" s="35" t="str">
        <f t="shared" si="3"/>
        <v>N</v>
      </c>
      <c r="X57" s="54">
        <f t="shared" si="4"/>
        <v>0</v>
      </c>
      <c r="Y57" s="54" t="str">
        <f t="shared" si="5"/>
        <v>0-4.9%</v>
      </c>
      <c r="Z57" s="8" t="s">
        <v>285</v>
      </c>
    </row>
    <row r="58" spans="1:26" ht="24" customHeight="1" x14ac:dyDescent="0.25">
      <c r="A58" s="10">
        <v>11</v>
      </c>
      <c r="B58" s="9">
        <v>0.49027777777777781</v>
      </c>
      <c r="C58" s="5" t="s">
        <v>140</v>
      </c>
      <c r="D58" s="5">
        <f t="shared" si="6"/>
        <v>7</v>
      </c>
      <c r="E58" s="14"/>
      <c r="F58" s="14" t="s">
        <v>48</v>
      </c>
      <c r="G58" s="12">
        <v>1.46</v>
      </c>
      <c r="H58" s="12">
        <v>1.26</v>
      </c>
      <c r="I58" s="12"/>
      <c r="J58" s="12"/>
      <c r="K58" s="12"/>
      <c r="L58" s="12"/>
      <c r="M58" s="12"/>
      <c r="N58" s="36">
        <f t="shared" si="7"/>
        <v>2.7199999999999998</v>
      </c>
      <c r="O58" s="16">
        <f t="shared" si="8"/>
        <v>7.1277811011064901E-3</v>
      </c>
      <c r="P58" s="34">
        <v>8</v>
      </c>
      <c r="Q58" s="34">
        <v>10</v>
      </c>
      <c r="R58" s="34">
        <v>9</v>
      </c>
      <c r="S58" s="34">
        <v>9</v>
      </c>
      <c r="T58" s="34">
        <v>9</v>
      </c>
      <c r="U58" s="34">
        <v>9</v>
      </c>
      <c r="V58" s="34">
        <v>9</v>
      </c>
      <c r="W58" s="35" t="str">
        <f t="shared" si="3"/>
        <v>N</v>
      </c>
      <c r="X58" s="54">
        <f t="shared" si="4"/>
        <v>0</v>
      </c>
      <c r="Y58" s="54" t="str">
        <f t="shared" si="5"/>
        <v>0-4.9%</v>
      </c>
      <c r="Z58" s="8" t="s">
        <v>292</v>
      </c>
    </row>
    <row r="59" spans="1:26" ht="24" customHeight="1" x14ac:dyDescent="0.25">
      <c r="A59" s="10">
        <v>12</v>
      </c>
      <c r="B59" s="9">
        <v>0.5131944444444444</v>
      </c>
      <c r="C59" s="5" t="s">
        <v>141</v>
      </c>
      <c r="D59" s="5">
        <f t="shared" si="6"/>
        <v>7</v>
      </c>
      <c r="E59" s="14"/>
      <c r="F59" s="14" t="s">
        <v>48</v>
      </c>
      <c r="G59" s="12">
        <v>4.04</v>
      </c>
      <c r="H59" s="12">
        <v>10.18</v>
      </c>
      <c r="I59" s="12"/>
      <c r="J59" s="12"/>
      <c r="K59" s="12"/>
      <c r="L59" s="12"/>
      <c r="M59" s="12"/>
      <c r="N59" s="36">
        <f t="shared" si="7"/>
        <v>14.219999999999999</v>
      </c>
      <c r="O59" s="16">
        <f t="shared" si="8"/>
        <v>12.174257108149426</v>
      </c>
      <c r="P59" s="34">
        <v>8</v>
      </c>
      <c r="Q59" s="34">
        <v>10</v>
      </c>
      <c r="R59" s="34">
        <v>9</v>
      </c>
      <c r="S59" s="34">
        <v>9</v>
      </c>
      <c r="T59" s="34">
        <v>9</v>
      </c>
      <c r="U59" s="34">
        <v>9</v>
      </c>
      <c r="V59" s="34">
        <v>9</v>
      </c>
      <c r="W59" s="35" t="str">
        <f t="shared" si="3"/>
        <v>Y</v>
      </c>
      <c r="X59" s="54">
        <f t="shared" si="4"/>
        <v>1.7999999999999971E-2</v>
      </c>
      <c r="Y59" s="54" t="str">
        <f t="shared" si="5"/>
        <v>0-4.9%</v>
      </c>
      <c r="Z59" s="8" t="s">
        <v>281</v>
      </c>
    </row>
    <row r="60" spans="1:26" ht="24" customHeight="1" x14ac:dyDescent="0.25">
      <c r="A60" s="10">
        <v>13</v>
      </c>
      <c r="B60" s="9">
        <v>0.52500000000000002</v>
      </c>
      <c r="C60" s="5" t="s">
        <v>142</v>
      </c>
      <c r="D60" s="5">
        <f t="shared" si="6"/>
        <v>7</v>
      </c>
      <c r="E60" s="14"/>
      <c r="F60" s="14" t="s">
        <v>48</v>
      </c>
      <c r="G60" s="12">
        <v>2.02</v>
      </c>
      <c r="H60" s="12">
        <v>5.09</v>
      </c>
      <c r="I60" s="12"/>
      <c r="J60" s="12"/>
      <c r="K60" s="12"/>
      <c r="L60" s="12"/>
      <c r="M60" s="12"/>
      <c r="N60" s="36">
        <f t="shared" si="7"/>
        <v>7.1099999999999994</v>
      </c>
      <c r="O60" s="16">
        <f t="shared" si="8"/>
        <v>0.53803123481756177</v>
      </c>
      <c r="P60" s="34">
        <v>8</v>
      </c>
      <c r="Q60" s="34">
        <v>10</v>
      </c>
      <c r="R60" s="34">
        <v>9</v>
      </c>
      <c r="S60" s="34">
        <v>9</v>
      </c>
      <c r="T60" s="34">
        <v>9</v>
      </c>
      <c r="U60" s="34">
        <v>9</v>
      </c>
      <c r="V60" s="34">
        <v>9</v>
      </c>
      <c r="W60" s="35" t="str">
        <f t="shared" si="3"/>
        <v>N</v>
      </c>
      <c r="X60" s="54">
        <f t="shared" si="4"/>
        <v>0</v>
      </c>
      <c r="Y60" s="54" t="str">
        <f t="shared" si="5"/>
        <v>0-4.9%</v>
      </c>
      <c r="Z60" s="8" t="s">
        <v>281</v>
      </c>
    </row>
    <row r="61" spans="1:26" ht="24" customHeight="1" x14ac:dyDescent="0.25">
      <c r="A61" s="10">
        <v>14</v>
      </c>
      <c r="B61" s="9">
        <v>0.53402777777777777</v>
      </c>
      <c r="C61" s="5" t="s">
        <v>143</v>
      </c>
      <c r="D61" s="5">
        <f t="shared" si="6"/>
        <v>7</v>
      </c>
      <c r="E61" s="14"/>
      <c r="F61" s="14" t="s">
        <v>48</v>
      </c>
      <c r="G61" s="12">
        <v>2.68</v>
      </c>
      <c r="H61" s="12">
        <v>2.4300000000000002</v>
      </c>
      <c r="I61" s="12"/>
      <c r="J61" s="12"/>
      <c r="K61" s="12"/>
      <c r="L61" s="12"/>
      <c r="M61" s="12"/>
      <c r="N61" s="36">
        <f t="shared" si="7"/>
        <v>5.1100000000000003</v>
      </c>
      <c r="O61" s="16">
        <f t="shared" si="8"/>
        <v>0.12169937173350662</v>
      </c>
      <c r="P61" s="34">
        <v>8</v>
      </c>
      <c r="Q61" s="34">
        <v>10</v>
      </c>
      <c r="R61" s="34">
        <v>9</v>
      </c>
      <c r="S61" s="34">
        <v>9</v>
      </c>
      <c r="T61" s="34">
        <v>9</v>
      </c>
      <c r="U61" s="34">
        <v>9</v>
      </c>
      <c r="V61" s="34">
        <v>9</v>
      </c>
      <c r="W61" s="35" t="str">
        <f t="shared" si="3"/>
        <v>N</v>
      </c>
      <c r="X61" s="54">
        <f t="shared" si="4"/>
        <v>0</v>
      </c>
      <c r="Y61" s="54" t="str">
        <f t="shared" si="5"/>
        <v>0-4.9%</v>
      </c>
      <c r="Z61" s="8" t="s">
        <v>292</v>
      </c>
    </row>
    <row r="62" spans="1:26" ht="24" customHeight="1" x14ac:dyDescent="0.25">
      <c r="A62" s="10">
        <v>15</v>
      </c>
      <c r="B62" s="9">
        <v>5.2083333333333336E-2</v>
      </c>
      <c r="C62" s="5" t="s">
        <v>144</v>
      </c>
      <c r="D62" s="5">
        <f t="shared" si="6"/>
        <v>7</v>
      </c>
      <c r="E62" s="14"/>
      <c r="F62" s="14" t="s">
        <v>48</v>
      </c>
      <c r="G62" s="12">
        <v>2.71</v>
      </c>
      <c r="H62" s="12">
        <v>1.84</v>
      </c>
      <c r="I62" s="12"/>
      <c r="J62" s="12"/>
      <c r="K62" s="12"/>
      <c r="L62" s="12"/>
      <c r="M62" s="12"/>
      <c r="N62" s="36">
        <f t="shared" si="7"/>
        <v>4.55</v>
      </c>
      <c r="O62" s="16">
        <f t="shared" si="8"/>
        <v>7.2184768924718617E-2</v>
      </c>
      <c r="P62" s="34">
        <v>8</v>
      </c>
      <c r="Q62" s="34">
        <v>10</v>
      </c>
      <c r="R62" s="34">
        <v>9</v>
      </c>
      <c r="S62" s="34">
        <v>9</v>
      </c>
      <c r="T62" s="34">
        <v>9</v>
      </c>
      <c r="U62" s="34">
        <v>9</v>
      </c>
      <c r="V62" s="34">
        <v>9</v>
      </c>
      <c r="W62" s="35" t="str">
        <f t="shared" si="3"/>
        <v>N</v>
      </c>
      <c r="X62" s="54">
        <f t="shared" si="4"/>
        <v>0</v>
      </c>
      <c r="Y62" s="54" t="str">
        <f t="shared" si="5"/>
        <v>0-4.9%</v>
      </c>
      <c r="Z62" s="8" t="s">
        <v>292</v>
      </c>
    </row>
    <row r="63" spans="1:26" ht="24" customHeight="1" x14ac:dyDescent="0.25">
      <c r="A63" s="10">
        <v>16</v>
      </c>
      <c r="B63" s="9">
        <v>0.1173611111111111</v>
      </c>
      <c r="C63" s="5" t="s">
        <v>145</v>
      </c>
      <c r="D63" s="5">
        <f t="shared" si="6"/>
        <v>7</v>
      </c>
      <c r="E63" s="14"/>
      <c r="F63" s="14" t="s">
        <v>48</v>
      </c>
      <c r="G63" s="12">
        <v>4.0999999999999996</v>
      </c>
      <c r="H63" s="12">
        <v>5.69</v>
      </c>
      <c r="I63" s="12"/>
      <c r="J63" s="12"/>
      <c r="K63" s="12"/>
      <c r="L63" s="12"/>
      <c r="M63" s="12"/>
      <c r="N63" s="36">
        <f t="shared" si="7"/>
        <v>9.7899999999999991</v>
      </c>
      <c r="O63" s="16">
        <f t="shared" si="8"/>
        <v>2.2694279470933982</v>
      </c>
      <c r="P63" s="34">
        <v>8</v>
      </c>
      <c r="Q63" s="34">
        <v>10</v>
      </c>
      <c r="R63" s="34">
        <v>9</v>
      </c>
      <c r="S63" s="34">
        <v>9</v>
      </c>
      <c r="T63" s="34">
        <v>9</v>
      </c>
      <c r="U63" s="34">
        <v>9</v>
      </c>
      <c r="V63" s="34">
        <v>9</v>
      </c>
      <c r="W63" s="35" t="str">
        <f t="shared" si="3"/>
        <v>N</v>
      </c>
      <c r="X63" s="54">
        <f t="shared" si="4"/>
        <v>0</v>
      </c>
      <c r="Y63" s="54" t="str">
        <f t="shared" si="5"/>
        <v>0-4.9%</v>
      </c>
      <c r="Z63" s="8" t="s">
        <v>281</v>
      </c>
    </row>
    <row r="64" spans="1:26" ht="24" customHeight="1" x14ac:dyDescent="0.25">
      <c r="A64" s="10">
        <v>17</v>
      </c>
      <c r="B64" s="9">
        <v>0.1277777777777778</v>
      </c>
      <c r="C64" s="5" t="s">
        <v>146</v>
      </c>
      <c r="D64" s="5">
        <f t="shared" si="6"/>
        <v>7</v>
      </c>
      <c r="E64" s="14"/>
      <c r="F64" s="14" t="s">
        <v>48</v>
      </c>
      <c r="G64" s="12">
        <v>2.87</v>
      </c>
      <c r="H64" s="12">
        <v>6.29</v>
      </c>
      <c r="I64" s="12"/>
      <c r="J64" s="12"/>
      <c r="K64" s="12"/>
      <c r="L64" s="12"/>
      <c r="M64" s="12"/>
      <c r="N64" s="36">
        <f t="shared" si="7"/>
        <v>9.16</v>
      </c>
      <c r="O64" s="16">
        <f t="shared" si="8"/>
        <v>1.6823793037282959</v>
      </c>
      <c r="P64" s="34">
        <v>8</v>
      </c>
      <c r="Q64" s="34">
        <v>10</v>
      </c>
      <c r="R64" s="34">
        <v>9</v>
      </c>
      <c r="S64" s="34">
        <v>9</v>
      </c>
      <c r="T64" s="34">
        <v>9</v>
      </c>
      <c r="U64" s="34">
        <v>9</v>
      </c>
      <c r="V64" s="34">
        <v>9</v>
      </c>
      <c r="W64" s="35" t="str">
        <f t="shared" si="3"/>
        <v>N</v>
      </c>
      <c r="X64" s="54">
        <f t="shared" si="4"/>
        <v>0</v>
      </c>
      <c r="Y64" s="54" t="str">
        <f t="shared" si="5"/>
        <v>0-4.9%</v>
      </c>
      <c r="Z64" s="8" t="s">
        <v>281</v>
      </c>
    </row>
    <row r="65" spans="1:26" ht="24" customHeight="1" x14ac:dyDescent="0.25">
      <c r="A65" s="10">
        <v>18</v>
      </c>
      <c r="B65" s="9">
        <v>0.15069444444444444</v>
      </c>
      <c r="C65" s="5" t="s">
        <v>65</v>
      </c>
      <c r="D65" s="5">
        <f t="shared" si="6"/>
        <v>7</v>
      </c>
      <c r="E65" s="14"/>
      <c r="F65" s="14" t="s">
        <v>48</v>
      </c>
      <c r="G65" s="12">
        <v>2.48</v>
      </c>
      <c r="H65" s="12">
        <v>5.67</v>
      </c>
      <c r="I65" s="12"/>
      <c r="J65" s="12"/>
      <c r="K65" s="12"/>
      <c r="L65" s="12"/>
      <c r="M65" s="12"/>
      <c r="N65" s="36">
        <f t="shared" si="7"/>
        <v>8.15</v>
      </c>
      <c r="O65" s="16">
        <f t="shared" si="8"/>
        <v>0.99449710892657883</v>
      </c>
      <c r="P65" s="34">
        <v>8</v>
      </c>
      <c r="Q65" s="34">
        <v>10</v>
      </c>
      <c r="R65" s="34">
        <v>9</v>
      </c>
      <c r="S65" s="34">
        <v>9</v>
      </c>
      <c r="T65" s="34">
        <v>9</v>
      </c>
      <c r="U65" s="34">
        <v>9</v>
      </c>
      <c r="V65" s="34">
        <v>9</v>
      </c>
      <c r="W65" s="35" t="str">
        <f t="shared" si="3"/>
        <v>N</v>
      </c>
      <c r="X65" s="54">
        <f t="shared" si="4"/>
        <v>0</v>
      </c>
      <c r="Y65" s="54" t="str">
        <f t="shared" si="5"/>
        <v>0-4.9%</v>
      </c>
      <c r="Z65" s="8" t="s">
        <v>281</v>
      </c>
    </row>
    <row r="66" spans="1:26" ht="24" customHeight="1" x14ac:dyDescent="0.25">
      <c r="A66" s="10">
        <v>19</v>
      </c>
      <c r="B66" s="9">
        <v>0.15277777777777776</v>
      </c>
      <c r="C66" s="5" t="s">
        <v>147</v>
      </c>
      <c r="D66" s="5">
        <f t="shared" si="6"/>
        <v>7</v>
      </c>
      <c r="E66" s="14"/>
      <c r="F66" s="14" t="s">
        <v>48</v>
      </c>
      <c r="G66" s="12">
        <v>2.66</v>
      </c>
      <c r="H66" s="12">
        <v>4.55</v>
      </c>
      <c r="I66" s="12"/>
      <c r="J66" s="12"/>
      <c r="K66" s="12"/>
      <c r="L66" s="12"/>
      <c r="M66" s="12"/>
      <c r="N66" s="36">
        <f t="shared" si="7"/>
        <v>7.21</v>
      </c>
      <c r="O66" s="16">
        <f t="shared" si="8"/>
        <v>0.57293186444483801</v>
      </c>
      <c r="P66" s="34">
        <v>8</v>
      </c>
      <c r="Q66" s="34">
        <v>10</v>
      </c>
      <c r="R66" s="34">
        <v>9</v>
      </c>
      <c r="S66" s="34">
        <v>9</v>
      </c>
      <c r="T66" s="34">
        <v>9</v>
      </c>
      <c r="U66" s="34">
        <v>9</v>
      </c>
      <c r="V66" s="34">
        <v>9</v>
      </c>
      <c r="W66" s="35" t="str">
        <f t="shared" si="3"/>
        <v>N</v>
      </c>
      <c r="X66" s="54">
        <f t="shared" si="4"/>
        <v>0</v>
      </c>
      <c r="Y66" s="54" t="str">
        <f t="shared" si="5"/>
        <v>0-4.9%</v>
      </c>
      <c r="Z66" s="8" t="s">
        <v>281</v>
      </c>
    </row>
    <row r="67" spans="1:26" ht="24" customHeight="1" x14ac:dyDescent="0.25">
      <c r="A67" s="10">
        <v>20</v>
      </c>
      <c r="B67" s="9">
        <v>0.16388888888888889</v>
      </c>
      <c r="C67" s="5" t="s">
        <v>148</v>
      </c>
      <c r="D67" s="5">
        <f t="shared" si="6"/>
        <v>7</v>
      </c>
      <c r="E67" s="14"/>
      <c r="F67" s="14" t="s">
        <v>48</v>
      </c>
      <c r="G67" s="12">
        <v>2.52</v>
      </c>
      <c r="H67" s="12">
        <v>6.67</v>
      </c>
      <c r="I67" s="12"/>
      <c r="J67" s="12"/>
      <c r="K67" s="12"/>
      <c r="L67" s="12"/>
      <c r="M67" s="12"/>
      <c r="N67" s="36">
        <f t="shared" si="7"/>
        <v>9.19</v>
      </c>
      <c r="O67" s="16">
        <f t="shared" si="8"/>
        <v>1.7073166940047768</v>
      </c>
      <c r="P67" s="34">
        <v>8</v>
      </c>
      <c r="Q67" s="34">
        <v>10</v>
      </c>
      <c r="R67" s="34">
        <v>9</v>
      </c>
      <c r="S67" s="34">
        <v>9</v>
      </c>
      <c r="T67" s="34">
        <v>9</v>
      </c>
      <c r="U67" s="34">
        <v>9</v>
      </c>
      <c r="V67" s="34">
        <v>9</v>
      </c>
      <c r="W67" s="35" t="str">
        <f t="shared" si="3"/>
        <v>N</v>
      </c>
      <c r="X67" s="54">
        <f t="shared" si="4"/>
        <v>0</v>
      </c>
      <c r="Y67" s="54" t="str">
        <f t="shared" si="5"/>
        <v>0-4.9%</v>
      </c>
      <c r="Z67" s="8" t="s">
        <v>281</v>
      </c>
    </row>
    <row r="68" spans="1:26" ht="24" customHeight="1" x14ac:dyDescent="0.25">
      <c r="A68" s="10">
        <v>21</v>
      </c>
      <c r="B68" s="9">
        <v>0.16874999999999998</v>
      </c>
      <c r="C68" s="5" t="s">
        <v>137</v>
      </c>
      <c r="D68" s="5">
        <f t="shared" si="6"/>
        <v>7</v>
      </c>
      <c r="E68" s="14"/>
      <c r="F68" s="14" t="s">
        <v>48</v>
      </c>
      <c r="G68" s="12">
        <v>3</v>
      </c>
      <c r="H68" s="12">
        <v>6.82</v>
      </c>
      <c r="I68" s="12"/>
      <c r="J68" s="12"/>
      <c r="K68" s="12"/>
      <c r="L68" s="12"/>
      <c r="M68" s="12"/>
      <c r="N68" s="36">
        <f t="shared" si="7"/>
        <v>9.82</v>
      </c>
      <c r="O68" s="16">
        <f t="shared" si="8"/>
        <v>2.3008906572450392</v>
      </c>
      <c r="P68" s="34">
        <v>8</v>
      </c>
      <c r="Q68" s="34">
        <v>10</v>
      </c>
      <c r="R68" s="34">
        <v>9</v>
      </c>
      <c r="S68" s="34">
        <v>9</v>
      </c>
      <c r="T68" s="34">
        <v>9</v>
      </c>
      <c r="U68" s="34">
        <v>9</v>
      </c>
      <c r="V68" s="34">
        <v>9</v>
      </c>
      <c r="W68" s="35" t="str">
        <f t="shared" si="3"/>
        <v>N</v>
      </c>
      <c r="X68" s="54">
        <f t="shared" si="4"/>
        <v>0</v>
      </c>
      <c r="Y68" s="54" t="str">
        <f t="shared" si="5"/>
        <v>0-4.9%</v>
      </c>
      <c r="Z68" s="8" t="s">
        <v>281</v>
      </c>
    </row>
    <row r="69" spans="1:26" ht="24" customHeight="1" x14ac:dyDescent="0.25">
      <c r="A69" s="10">
        <v>22</v>
      </c>
      <c r="B69" s="9">
        <v>0.17777777777777778</v>
      </c>
      <c r="C69" s="5" t="s">
        <v>149</v>
      </c>
      <c r="D69" s="5">
        <f t="shared" si="6"/>
        <v>7</v>
      </c>
      <c r="E69" s="14"/>
      <c r="F69" s="14" t="s">
        <v>48</v>
      </c>
      <c r="G69" s="12">
        <v>2.9</v>
      </c>
      <c r="H69" s="12">
        <v>11</v>
      </c>
      <c r="I69" s="12"/>
      <c r="J69" s="12"/>
      <c r="K69" s="12"/>
      <c r="L69" s="12"/>
      <c r="M69" s="12"/>
      <c r="N69" s="36">
        <f t="shared" si="7"/>
        <v>13.9</v>
      </c>
      <c r="O69" s="16">
        <f t="shared" si="8"/>
        <v>10.989068656827685</v>
      </c>
      <c r="P69" s="34">
        <v>8</v>
      </c>
      <c r="Q69" s="34">
        <v>10</v>
      </c>
      <c r="R69" s="34">
        <v>9</v>
      </c>
      <c r="S69" s="34">
        <v>9</v>
      </c>
      <c r="T69" s="34">
        <v>9</v>
      </c>
      <c r="U69" s="34">
        <v>9</v>
      </c>
      <c r="V69" s="34">
        <v>9</v>
      </c>
      <c r="W69" s="35" t="str">
        <f t="shared" si="3"/>
        <v>Y</v>
      </c>
      <c r="X69" s="54">
        <f t="shared" si="4"/>
        <v>0.1</v>
      </c>
      <c r="Y69" s="54" t="str">
        <f t="shared" si="5"/>
        <v>5-25%</v>
      </c>
      <c r="Z69" s="8" t="s">
        <v>281</v>
      </c>
    </row>
    <row r="70" spans="1:26" ht="24" customHeight="1" x14ac:dyDescent="0.25">
      <c r="A70" s="10">
        <v>23</v>
      </c>
      <c r="B70" s="9">
        <v>0.18055555555555555</v>
      </c>
      <c r="C70" s="5" t="s">
        <v>150</v>
      </c>
      <c r="D70" s="5">
        <f t="shared" si="6"/>
        <v>7</v>
      </c>
      <c r="E70" s="14"/>
      <c r="F70" s="14" t="s">
        <v>48</v>
      </c>
      <c r="G70" s="12">
        <v>1.96</v>
      </c>
      <c r="H70" s="12">
        <v>0.82</v>
      </c>
      <c r="I70" s="12"/>
      <c r="J70" s="12"/>
      <c r="K70" s="12"/>
      <c r="L70" s="12"/>
      <c r="M70" s="12"/>
      <c r="N70" s="36">
        <f t="shared" si="7"/>
        <v>2.78</v>
      </c>
      <c r="O70" s="16">
        <f t="shared" si="8"/>
        <v>7.8631374483452803E-3</v>
      </c>
      <c r="P70" s="34">
        <v>8</v>
      </c>
      <c r="Q70" s="34">
        <v>10</v>
      </c>
      <c r="R70" s="34">
        <v>9</v>
      </c>
      <c r="S70" s="34">
        <v>9</v>
      </c>
      <c r="T70" s="34">
        <v>9</v>
      </c>
      <c r="U70" s="34">
        <v>9</v>
      </c>
      <c r="V70" s="34">
        <v>9</v>
      </c>
      <c r="W70" s="35" t="str">
        <f t="shared" si="3"/>
        <v>N</v>
      </c>
      <c r="X70" s="54">
        <f t="shared" si="4"/>
        <v>0</v>
      </c>
      <c r="Y70" s="54" t="str">
        <f t="shared" si="5"/>
        <v>0-4.9%</v>
      </c>
      <c r="Z70" s="8" t="s">
        <v>292</v>
      </c>
    </row>
    <row r="71" spans="1:26" ht="24" customHeight="1" x14ac:dyDescent="0.25">
      <c r="A71" s="10">
        <v>24</v>
      </c>
      <c r="B71" s="9">
        <v>0.18263888888888891</v>
      </c>
      <c r="C71" s="5" t="s">
        <v>151</v>
      </c>
      <c r="D71" s="5">
        <f t="shared" ref="D71:D102" si="9">IF(COUNT(G71:M71)&gt;3,10,IF(COUNT(G71:M71)&gt;2,9,7))</f>
        <v>7</v>
      </c>
      <c r="E71" s="14"/>
      <c r="F71" s="14" t="s">
        <v>48</v>
      </c>
      <c r="G71" s="12">
        <v>2.7450000000000001</v>
      </c>
      <c r="H71" s="12">
        <v>13.96</v>
      </c>
      <c r="I71" s="12"/>
      <c r="J71" s="12"/>
      <c r="K71" s="12"/>
      <c r="L71" s="12"/>
      <c r="M71" s="12"/>
      <c r="N71" s="36">
        <f t="shared" ref="N71:N102" si="10">SUM(G71:M71)</f>
        <v>16.705000000000002</v>
      </c>
      <c r="O71" s="16">
        <f t="shared" ref="O71:O102" si="11">(N71/8.16)^4.5</f>
        <v>25.130634017584473</v>
      </c>
      <c r="P71" s="34">
        <v>8</v>
      </c>
      <c r="Q71" s="34">
        <v>10</v>
      </c>
      <c r="R71" s="34">
        <v>9</v>
      </c>
      <c r="S71" s="34">
        <v>9</v>
      </c>
      <c r="T71" s="34">
        <v>9</v>
      </c>
      <c r="U71" s="34">
        <v>9</v>
      </c>
      <c r="V71" s="34">
        <v>9</v>
      </c>
      <c r="W71" s="35" t="str">
        <f t="shared" si="3"/>
        <v>Y</v>
      </c>
      <c r="X71" s="54">
        <f t="shared" si="4"/>
        <v>0.39600000000000007</v>
      </c>
      <c r="Y71" s="54" t="str">
        <f t="shared" si="5"/>
        <v>25-50%</v>
      </c>
      <c r="Z71" s="8" t="s">
        <v>281</v>
      </c>
    </row>
    <row r="72" spans="1:26" ht="24" customHeight="1" x14ac:dyDescent="0.25">
      <c r="A72" s="10">
        <v>25</v>
      </c>
      <c r="B72" s="9">
        <v>0.18819444444444444</v>
      </c>
      <c r="C72" s="5" t="s">
        <v>106</v>
      </c>
      <c r="D72" s="5">
        <f t="shared" si="9"/>
        <v>7</v>
      </c>
      <c r="E72" s="14"/>
      <c r="F72" s="14" t="s">
        <v>48</v>
      </c>
      <c r="G72" s="12">
        <v>2.7450000000000001</v>
      </c>
      <c r="H72" s="12">
        <v>6.3</v>
      </c>
      <c r="I72" s="12"/>
      <c r="J72" s="12"/>
      <c r="K72" s="12"/>
      <c r="L72" s="12"/>
      <c r="M72" s="12"/>
      <c r="N72" s="36">
        <f t="shared" si="10"/>
        <v>9.0449999999999999</v>
      </c>
      <c r="O72" s="16">
        <f t="shared" si="11"/>
        <v>1.5893987092434605</v>
      </c>
      <c r="P72" s="34">
        <v>8</v>
      </c>
      <c r="Q72" s="34">
        <v>10</v>
      </c>
      <c r="R72" s="34">
        <v>9</v>
      </c>
      <c r="S72" s="34">
        <v>9</v>
      </c>
      <c r="T72" s="34">
        <v>9</v>
      </c>
      <c r="U72" s="34">
        <v>9</v>
      </c>
      <c r="V72" s="34">
        <v>9</v>
      </c>
      <c r="W72" s="35" t="str">
        <f t="shared" ref="W72:W134" si="12">IF(G72&gt;P72,"Y",IF(H72&gt;Q72,"Y",IF(I72&gt;R72,"Y",IF(J72&gt;S72,"Y",IF(K72&gt;T72,"Y",IF(L72&gt;U72,"Y",IF(M72&gt;V72,"Y","N")))))))</f>
        <v>N</v>
      </c>
      <c r="X72" s="54">
        <f t="shared" ref="X72:X134" si="13">IF(W72="Y",MAX((G72-P72),(H72-Q72),(I72-R72),(J72-S72),(K72-T72),(L72-U72),(M72-V72))/10,0)</f>
        <v>0</v>
      </c>
      <c r="Y72" s="54" t="str">
        <f t="shared" ref="Y72:Y134" si="14">IF(X72&lt;5%,"0-4.9%",IF(X72&lt;25%,"5-25%",IF(X72&lt;50%,"25-50%","Over 50%")))</f>
        <v>0-4.9%</v>
      </c>
      <c r="Z72" s="8" t="s">
        <v>281</v>
      </c>
    </row>
    <row r="73" spans="1:26" ht="24" customHeight="1" x14ac:dyDescent="0.25">
      <c r="A73" s="10">
        <v>26</v>
      </c>
      <c r="B73" s="9">
        <v>0.20486111111111113</v>
      </c>
      <c r="C73" s="5" t="s">
        <v>152</v>
      </c>
      <c r="D73" s="5">
        <f t="shared" si="9"/>
        <v>7</v>
      </c>
      <c r="E73" s="14"/>
      <c r="F73" s="14" t="s">
        <v>48</v>
      </c>
      <c r="G73" s="12">
        <v>2.7450000000000001</v>
      </c>
      <c r="H73" s="12">
        <v>6.3</v>
      </c>
      <c r="I73" s="12"/>
      <c r="J73" s="12"/>
      <c r="K73" s="12"/>
      <c r="L73" s="12"/>
      <c r="M73" s="12"/>
      <c r="N73" s="36">
        <f t="shared" si="10"/>
        <v>9.0449999999999999</v>
      </c>
      <c r="O73" s="16">
        <f t="shared" si="11"/>
        <v>1.5893987092434605</v>
      </c>
      <c r="P73" s="34">
        <v>8</v>
      </c>
      <c r="Q73" s="34">
        <v>10</v>
      </c>
      <c r="R73" s="34">
        <v>9</v>
      </c>
      <c r="S73" s="34">
        <v>9</v>
      </c>
      <c r="T73" s="34">
        <v>9</v>
      </c>
      <c r="U73" s="34">
        <v>9</v>
      </c>
      <c r="V73" s="34">
        <v>9</v>
      </c>
      <c r="W73" s="35" t="str">
        <f t="shared" si="12"/>
        <v>N</v>
      </c>
      <c r="X73" s="54">
        <f t="shared" si="13"/>
        <v>0</v>
      </c>
      <c r="Y73" s="54" t="str">
        <f t="shared" si="14"/>
        <v>0-4.9%</v>
      </c>
      <c r="Z73" s="8" t="s">
        <v>281</v>
      </c>
    </row>
    <row r="74" spans="1:26" ht="24" customHeight="1" x14ac:dyDescent="0.25">
      <c r="A74" s="10">
        <v>27</v>
      </c>
      <c r="B74" s="9">
        <v>0.20625000000000002</v>
      </c>
      <c r="C74" s="5" t="s">
        <v>153</v>
      </c>
      <c r="D74" s="5">
        <f t="shared" si="9"/>
        <v>7</v>
      </c>
      <c r="E74" s="14"/>
      <c r="F74" s="14" t="s">
        <v>48</v>
      </c>
      <c r="G74" s="12">
        <v>2.2799999999999998</v>
      </c>
      <c r="H74" s="12">
        <v>6</v>
      </c>
      <c r="I74" s="12"/>
      <c r="J74" s="12"/>
      <c r="K74" s="12"/>
      <c r="L74" s="12"/>
      <c r="M74" s="12"/>
      <c r="N74" s="36">
        <f t="shared" si="10"/>
        <v>8.2799999999999994</v>
      </c>
      <c r="O74" s="16">
        <f t="shared" si="11"/>
        <v>1.0679005277561229</v>
      </c>
      <c r="P74" s="34">
        <v>8</v>
      </c>
      <c r="Q74" s="34">
        <v>10</v>
      </c>
      <c r="R74" s="34">
        <v>9</v>
      </c>
      <c r="S74" s="34">
        <v>9</v>
      </c>
      <c r="T74" s="34">
        <v>9</v>
      </c>
      <c r="U74" s="34">
        <v>9</v>
      </c>
      <c r="V74" s="34">
        <v>9</v>
      </c>
      <c r="W74" s="35" t="str">
        <f t="shared" si="12"/>
        <v>N</v>
      </c>
      <c r="X74" s="54">
        <f t="shared" si="13"/>
        <v>0</v>
      </c>
      <c r="Y74" s="54" t="str">
        <f t="shared" si="14"/>
        <v>0-4.9%</v>
      </c>
      <c r="Z74" s="8" t="s">
        <v>281</v>
      </c>
    </row>
    <row r="75" spans="1:26" ht="24" customHeight="1" x14ac:dyDescent="0.25">
      <c r="A75" s="10">
        <v>28</v>
      </c>
      <c r="B75" s="9">
        <v>0.20972222222222223</v>
      </c>
      <c r="C75" s="5" t="s">
        <v>154</v>
      </c>
      <c r="D75" s="5">
        <f t="shared" si="9"/>
        <v>7</v>
      </c>
      <c r="E75" s="14"/>
      <c r="F75" s="14" t="s">
        <v>48</v>
      </c>
      <c r="G75" s="12">
        <v>2</v>
      </c>
      <c r="H75" s="12">
        <v>1.2</v>
      </c>
      <c r="I75" s="12"/>
      <c r="J75" s="12"/>
      <c r="K75" s="12"/>
      <c r="L75" s="12"/>
      <c r="M75" s="12"/>
      <c r="N75" s="36">
        <f t="shared" si="10"/>
        <v>3.2</v>
      </c>
      <c r="O75" s="16">
        <f t="shared" si="11"/>
        <v>1.4810481842834221E-2</v>
      </c>
      <c r="P75" s="34">
        <v>8</v>
      </c>
      <c r="Q75" s="34">
        <v>10</v>
      </c>
      <c r="R75" s="34">
        <v>9</v>
      </c>
      <c r="S75" s="34">
        <v>9</v>
      </c>
      <c r="T75" s="34">
        <v>9</v>
      </c>
      <c r="U75" s="34">
        <v>9</v>
      </c>
      <c r="V75" s="34">
        <v>9</v>
      </c>
      <c r="W75" s="35" t="str">
        <f t="shared" si="12"/>
        <v>N</v>
      </c>
      <c r="X75" s="54">
        <f t="shared" si="13"/>
        <v>0</v>
      </c>
      <c r="Y75" s="54" t="str">
        <f t="shared" si="14"/>
        <v>0-4.9%</v>
      </c>
      <c r="Z75" s="8" t="s">
        <v>292</v>
      </c>
    </row>
    <row r="76" spans="1:26" ht="24" customHeight="1" x14ac:dyDescent="0.25">
      <c r="A76" s="10">
        <v>29</v>
      </c>
      <c r="B76" s="9">
        <v>0.21111111111111111</v>
      </c>
      <c r="C76" s="5" t="s">
        <v>110</v>
      </c>
      <c r="D76" s="5">
        <f t="shared" si="9"/>
        <v>7</v>
      </c>
      <c r="E76" s="14"/>
      <c r="F76" s="14" t="s">
        <v>48</v>
      </c>
      <c r="G76" s="12">
        <v>2</v>
      </c>
      <c r="H76" s="12">
        <v>5.9</v>
      </c>
      <c r="I76" s="12"/>
      <c r="J76" s="12"/>
      <c r="K76" s="12"/>
      <c r="L76" s="12"/>
      <c r="M76" s="12"/>
      <c r="N76" s="36">
        <f t="shared" si="10"/>
        <v>7.9</v>
      </c>
      <c r="O76" s="16">
        <f t="shared" si="11"/>
        <v>0.8644028625394421</v>
      </c>
      <c r="P76" s="34">
        <v>8</v>
      </c>
      <c r="Q76" s="34">
        <v>10</v>
      </c>
      <c r="R76" s="34">
        <v>9</v>
      </c>
      <c r="S76" s="34">
        <v>9</v>
      </c>
      <c r="T76" s="34">
        <v>9</v>
      </c>
      <c r="U76" s="34">
        <v>9</v>
      </c>
      <c r="V76" s="34">
        <v>9</v>
      </c>
      <c r="W76" s="35" t="str">
        <f t="shared" si="12"/>
        <v>N</v>
      </c>
      <c r="X76" s="54">
        <f t="shared" si="13"/>
        <v>0</v>
      </c>
      <c r="Y76" s="54" t="str">
        <f t="shared" si="14"/>
        <v>0-4.9%</v>
      </c>
      <c r="Z76" s="8" t="s">
        <v>285</v>
      </c>
    </row>
    <row r="77" spans="1:26" ht="24" customHeight="1" x14ac:dyDescent="0.25">
      <c r="A77" s="10">
        <v>30</v>
      </c>
      <c r="B77" s="9">
        <v>0.23194444444444443</v>
      </c>
      <c r="C77" s="5" t="s">
        <v>155</v>
      </c>
      <c r="D77" s="5">
        <f t="shared" si="9"/>
        <v>7</v>
      </c>
      <c r="E77" s="14"/>
      <c r="F77" s="14" t="s">
        <v>48</v>
      </c>
      <c r="G77" s="12">
        <v>1.4850000000000001</v>
      </c>
      <c r="H77" s="12">
        <v>9.9</v>
      </c>
      <c r="I77" s="12"/>
      <c r="J77" s="12"/>
      <c r="K77" s="12"/>
      <c r="L77" s="12"/>
      <c r="M77" s="12"/>
      <c r="N77" s="36">
        <f t="shared" si="10"/>
        <v>11.385</v>
      </c>
      <c r="O77" s="16">
        <f t="shared" si="11"/>
        <v>4.4760295281750171</v>
      </c>
      <c r="P77" s="34">
        <v>8</v>
      </c>
      <c r="Q77" s="34">
        <v>10</v>
      </c>
      <c r="R77" s="34">
        <v>9</v>
      </c>
      <c r="S77" s="34">
        <v>9</v>
      </c>
      <c r="T77" s="34">
        <v>9</v>
      </c>
      <c r="U77" s="34">
        <v>9</v>
      </c>
      <c r="V77" s="34">
        <v>9</v>
      </c>
      <c r="W77" s="35" t="str">
        <f t="shared" si="12"/>
        <v>N</v>
      </c>
      <c r="X77" s="54">
        <f t="shared" si="13"/>
        <v>0</v>
      </c>
      <c r="Y77" s="54" t="str">
        <f t="shared" si="14"/>
        <v>0-4.9%</v>
      </c>
      <c r="Z77" s="8" t="s">
        <v>285</v>
      </c>
    </row>
    <row r="78" spans="1:26" ht="24" customHeight="1" x14ac:dyDescent="0.25">
      <c r="A78" s="10">
        <v>31</v>
      </c>
      <c r="B78" s="9">
        <v>0.23750000000000002</v>
      </c>
      <c r="C78" s="5" t="s">
        <v>156</v>
      </c>
      <c r="D78" s="5">
        <f t="shared" si="9"/>
        <v>7</v>
      </c>
      <c r="E78" s="14"/>
      <c r="F78" s="14" t="s">
        <v>48</v>
      </c>
      <c r="G78" s="12">
        <v>4.93</v>
      </c>
      <c r="H78" s="12">
        <v>12.378</v>
      </c>
      <c r="I78" s="12"/>
      <c r="J78" s="12"/>
      <c r="K78" s="12"/>
      <c r="L78" s="12"/>
      <c r="M78" s="12"/>
      <c r="N78" s="36">
        <f t="shared" si="10"/>
        <v>17.308</v>
      </c>
      <c r="O78" s="16">
        <f t="shared" si="11"/>
        <v>29.478492812171673</v>
      </c>
      <c r="P78" s="34">
        <v>8</v>
      </c>
      <c r="Q78" s="34">
        <v>10</v>
      </c>
      <c r="R78" s="34">
        <v>9</v>
      </c>
      <c r="S78" s="34">
        <v>9</v>
      </c>
      <c r="T78" s="34">
        <v>9</v>
      </c>
      <c r="U78" s="34">
        <v>9</v>
      </c>
      <c r="V78" s="34">
        <v>9</v>
      </c>
      <c r="W78" s="35" t="str">
        <f t="shared" si="12"/>
        <v>Y</v>
      </c>
      <c r="X78" s="54">
        <f t="shared" si="13"/>
        <v>0.23780000000000001</v>
      </c>
      <c r="Y78" s="54" t="str">
        <f t="shared" si="14"/>
        <v>5-25%</v>
      </c>
      <c r="Z78" s="8" t="s">
        <v>281</v>
      </c>
    </row>
    <row r="79" spans="1:26" ht="24" customHeight="1" x14ac:dyDescent="0.25">
      <c r="A79" s="10">
        <v>32</v>
      </c>
      <c r="B79" s="9">
        <v>0.24027777777777778</v>
      </c>
      <c r="C79" s="5" t="s">
        <v>157</v>
      </c>
      <c r="D79" s="5">
        <f t="shared" si="9"/>
        <v>7</v>
      </c>
      <c r="E79" s="14"/>
      <c r="F79" s="14" t="s">
        <v>48</v>
      </c>
      <c r="G79" s="12">
        <v>2.04</v>
      </c>
      <c r="H79" s="12">
        <v>1.24</v>
      </c>
      <c r="I79" s="12"/>
      <c r="J79" s="12"/>
      <c r="K79" s="12"/>
      <c r="L79" s="12"/>
      <c r="M79" s="12"/>
      <c r="N79" s="36">
        <f t="shared" si="10"/>
        <v>3.2800000000000002</v>
      </c>
      <c r="O79" s="16">
        <f t="shared" si="11"/>
        <v>1.6551089316287432E-2</v>
      </c>
      <c r="P79" s="34">
        <v>8</v>
      </c>
      <c r="Q79" s="34">
        <v>10</v>
      </c>
      <c r="R79" s="34">
        <v>9</v>
      </c>
      <c r="S79" s="34">
        <v>9</v>
      </c>
      <c r="T79" s="34">
        <v>9</v>
      </c>
      <c r="U79" s="34">
        <v>9</v>
      </c>
      <c r="V79" s="34">
        <v>9</v>
      </c>
      <c r="W79" s="35" t="str">
        <f t="shared" si="12"/>
        <v>N</v>
      </c>
      <c r="X79" s="54">
        <f t="shared" si="13"/>
        <v>0</v>
      </c>
      <c r="Y79" s="54" t="str">
        <f t="shared" si="14"/>
        <v>0-4.9%</v>
      </c>
      <c r="Z79" s="8" t="s">
        <v>292</v>
      </c>
    </row>
    <row r="80" spans="1:26" ht="24" customHeight="1" x14ac:dyDescent="0.25">
      <c r="A80" s="10">
        <v>33</v>
      </c>
      <c r="B80" s="9">
        <v>0.24305555555555555</v>
      </c>
      <c r="C80" s="5" t="s">
        <v>158</v>
      </c>
      <c r="D80" s="5">
        <f t="shared" si="9"/>
        <v>7</v>
      </c>
      <c r="E80" s="14"/>
      <c r="F80" s="14" t="s">
        <v>48</v>
      </c>
      <c r="G80" s="12">
        <v>5.56</v>
      </c>
      <c r="H80" s="12">
        <v>13.56</v>
      </c>
      <c r="I80" s="12"/>
      <c r="J80" s="12"/>
      <c r="K80" s="12"/>
      <c r="L80" s="12"/>
      <c r="M80" s="12"/>
      <c r="N80" s="36">
        <f t="shared" si="10"/>
        <v>19.12</v>
      </c>
      <c r="O80" s="16">
        <f t="shared" si="11"/>
        <v>46.141295221823142</v>
      </c>
      <c r="P80" s="34">
        <v>8</v>
      </c>
      <c r="Q80" s="34">
        <v>10</v>
      </c>
      <c r="R80" s="34">
        <v>9</v>
      </c>
      <c r="S80" s="34">
        <v>9</v>
      </c>
      <c r="T80" s="34">
        <v>9</v>
      </c>
      <c r="U80" s="34">
        <v>9</v>
      </c>
      <c r="V80" s="34">
        <v>9</v>
      </c>
      <c r="W80" s="35" t="str">
        <f t="shared" si="12"/>
        <v>Y</v>
      </c>
      <c r="X80" s="54">
        <f t="shared" si="13"/>
        <v>0.35600000000000004</v>
      </c>
      <c r="Y80" s="54" t="str">
        <f t="shared" si="14"/>
        <v>25-50%</v>
      </c>
      <c r="Z80" s="8" t="s">
        <v>285</v>
      </c>
    </row>
    <row r="81" spans="1:26" ht="24" customHeight="1" x14ac:dyDescent="0.25">
      <c r="A81" s="10">
        <v>34</v>
      </c>
      <c r="B81" s="9">
        <v>0.24861111111111112</v>
      </c>
      <c r="C81" s="5" t="s">
        <v>159</v>
      </c>
      <c r="D81" s="5">
        <f t="shared" si="9"/>
        <v>7</v>
      </c>
      <c r="E81" s="14"/>
      <c r="F81" s="14" t="s">
        <v>48</v>
      </c>
      <c r="G81" s="12">
        <v>5.08</v>
      </c>
      <c r="H81" s="12">
        <v>12.24</v>
      </c>
      <c r="I81" s="12"/>
      <c r="J81" s="12"/>
      <c r="K81" s="12"/>
      <c r="L81" s="12"/>
      <c r="M81" s="12"/>
      <c r="N81" s="36">
        <f t="shared" si="10"/>
        <v>17.32</v>
      </c>
      <c r="O81" s="16">
        <f t="shared" si="11"/>
        <v>29.570575729005434</v>
      </c>
      <c r="P81" s="34">
        <v>8</v>
      </c>
      <c r="Q81" s="34">
        <v>10</v>
      </c>
      <c r="R81" s="34">
        <v>9</v>
      </c>
      <c r="S81" s="34">
        <v>9</v>
      </c>
      <c r="T81" s="34">
        <v>9</v>
      </c>
      <c r="U81" s="34">
        <v>9</v>
      </c>
      <c r="V81" s="34">
        <v>9</v>
      </c>
      <c r="W81" s="35" t="str">
        <f t="shared" si="12"/>
        <v>Y</v>
      </c>
      <c r="X81" s="54">
        <f t="shared" si="13"/>
        <v>0.22400000000000003</v>
      </c>
      <c r="Y81" s="54" t="str">
        <f t="shared" si="14"/>
        <v>5-25%</v>
      </c>
      <c r="Z81" s="8" t="s">
        <v>318</v>
      </c>
    </row>
    <row r="82" spans="1:26" ht="24" customHeight="1" x14ac:dyDescent="0.25">
      <c r="A82" s="10">
        <v>35</v>
      </c>
      <c r="B82" s="9">
        <v>0.25</v>
      </c>
      <c r="C82" s="5" t="s">
        <v>160</v>
      </c>
      <c r="D82" s="5">
        <f t="shared" si="9"/>
        <v>7</v>
      </c>
      <c r="E82" s="14"/>
      <c r="F82" s="14" t="s">
        <v>48</v>
      </c>
      <c r="G82" s="12">
        <v>2.9</v>
      </c>
      <c r="H82" s="12">
        <v>4.9000000000000004</v>
      </c>
      <c r="I82" s="12"/>
      <c r="J82" s="12"/>
      <c r="K82" s="12"/>
      <c r="L82" s="12"/>
      <c r="M82" s="12"/>
      <c r="N82" s="36">
        <f t="shared" si="10"/>
        <v>7.8000000000000007</v>
      </c>
      <c r="O82" s="16">
        <f t="shared" si="11"/>
        <v>0.8162439921195942</v>
      </c>
      <c r="P82" s="34">
        <v>8</v>
      </c>
      <c r="Q82" s="34">
        <v>10</v>
      </c>
      <c r="R82" s="34">
        <v>9</v>
      </c>
      <c r="S82" s="34">
        <v>9</v>
      </c>
      <c r="T82" s="34">
        <v>9</v>
      </c>
      <c r="U82" s="34">
        <v>9</v>
      </c>
      <c r="V82" s="34">
        <v>9</v>
      </c>
      <c r="W82" s="35" t="str">
        <f t="shared" si="12"/>
        <v>N</v>
      </c>
      <c r="X82" s="54">
        <f t="shared" si="13"/>
        <v>0</v>
      </c>
      <c r="Y82" s="54" t="str">
        <f t="shared" si="14"/>
        <v>0-4.9%</v>
      </c>
      <c r="Z82" s="8" t="s">
        <v>318</v>
      </c>
    </row>
    <row r="83" spans="1:26" ht="24" customHeight="1" x14ac:dyDescent="0.25">
      <c r="A83" s="10">
        <v>36</v>
      </c>
      <c r="B83" s="9">
        <v>0.25625000000000003</v>
      </c>
      <c r="C83" s="5" t="s">
        <v>161</v>
      </c>
      <c r="D83" s="5">
        <f t="shared" si="9"/>
        <v>7</v>
      </c>
      <c r="E83" s="14"/>
      <c r="F83" s="14" t="s">
        <v>48</v>
      </c>
      <c r="G83" s="12">
        <v>1.4650000000000001</v>
      </c>
      <c r="H83" s="12">
        <v>1.9</v>
      </c>
      <c r="I83" s="12"/>
      <c r="J83" s="12"/>
      <c r="K83" s="12"/>
      <c r="L83" s="12"/>
      <c r="M83" s="12"/>
      <c r="N83" s="36">
        <f t="shared" si="10"/>
        <v>3.3650000000000002</v>
      </c>
      <c r="O83" s="16">
        <f t="shared" si="11"/>
        <v>1.8570649537231067E-2</v>
      </c>
      <c r="P83" s="34">
        <v>8</v>
      </c>
      <c r="Q83" s="34">
        <v>10</v>
      </c>
      <c r="R83" s="34">
        <v>9</v>
      </c>
      <c r="S83" s="34">
        <v>9</v>
      </c>
      <c r="T83" s="34">
        <v>9</v>
      </c>
      <c r="U83" s="34">
        <v>9</v>
      </c>
      <c r="V83" s="34">
        <v>9</v>
      </c>
      <c r="W83" s="35" t="str">
        <f t="shared" si="12"/>
        <v>N</v>
      </c>
      <c r="X83" s="54">
        <f t="shared" si="13"/>
        <v>0</v>
      </c>
      <c r="Y83" s="54" t="str">
        <f t="shared" si="14"/>
        <v>0-4.9%</v>
      </c>
      <c r="Z83" s="8" t="s">
        <v>292</v>
      </c>
    </row>
    <row r="84" spans="1:26" ht="24" customHeight="1" x14ac:dyDescent="0.25">
      <c r="A84" s="10">
        <v>38</v>
      </c>
      <c r="B84" s="9">
        <v>0.27083333333333331</v>
      </c>
      <c r="C84" s="5" t="s">
        <v>163</v>
      </c>
      <c r="D84" s="5">
        <f t="shared" si="9"/>
        <v>7</v>
      </c>
      <c r="E84" s="14"/>
      <c r="F84" s="14" t="s">
        <v>48</v>
      </c>
      <c r="G84" s="12">
        <v>2.74</v>
      </c>
      <c r="H84" s="12">
        <v>4</v>
      </c>
      <c r="I84" s="12"/>
      <c r="J84" s="12"/>
      <c r="K84" s="12"/>
      <c r="L84" s="12"/>
      <c r="M84" s="12"/>
      <c r="N84" s="36">
        <f t="shared" si="10"/>
        <v>6.74</v>
      </c>
      <c r="O84" s="16">
        <f t="shared" si="11"/>
        <v>0.42302284333705126</v>
      </c>
      <c r="P84" s="34">
        <v>8</v>
      </c>
      <c r="Q84" s="34">
        <v>10</v>
      </c>
      <c r="R84" s="34">
        <v>9</v>
      </c>
      <c r="S84" s="34">
        <v>9</v>
      </c>
      <c r="T84" s="34">
        <v>9</v>
      </c>
      <c r="U84" s="34">
        <v>9</v>
      </c>
      <c r="V84" s="34">
        <v>9</v>
      </c>
      <c r="W84" s="35" t="str">
        <f t="shared" si="12"/>
        <v>N</v>
      </c>
      <c r="X84" s="54">
        <f t="shared" si="13"/>
        <v>0</v>
      </c>
      <c r="Y84" s="54" t="str">
        <f t="shared" si="14"/>
        <v>0-4.9%</v>
      </c>
      <c r="Z84" s="8" t="s">
        <v>318</v>
      </c>
    </row>
    <row r="85" spans="1:26" ht="24" customHeight="1" x14ac:dyDescent="0.25">
      <c r="A85" s="10">
        <v>39</v>
      </c>
      <c r="B85" s="9">
        <v>0.27291666666666664</v>
      </c>
      <c r="C85" s="5" t="s">
        <v>164</v>
      </c>
      <c r="D85" s="5">
        <f t="shared" si="9"/>
        <v>7</v>
      </c>
      <c r="E85" s="14"/>
      <c r="F85" s="14" t="s">
        <v>48</v>
      </c>
      <c r="G85" s="12">
        <v>1.78</v>
      </c>
      <c r="H85" s="12">
        <v>1.6</v>
      </c>
      <c r="I85" s="12"/>
      <c r="J85" s="12"/>
      <c r="K85" s="12"/>
      <c r="L85" s="12"/>
      <c r="M85" s="12"/>
      <c r="N85" s="36">
        <f t="shared" si="10"/>
        <v>3.38</v>
      </c>
      <c r="O85" s="16">
        <f t="shared" si="11"/>
        <v>1.8946083056867447E-2</v>
      </c>
      <c r="P85" s="34">
        <v>8</v>
      </c>
      <c r="Q85" s="34">
        <v>10</v>
      </c>
      <c r="R85" s="34">
        <v>9</v>
      </c>
      <c r="S85" s="34">
        <v>9</v>
      </c>
      <c r="T85" s="34">
        <v>9</v>
      </c>
      <c r="U85" s="34">
        <v>9</v>
      </c>
      <c r="V85" s="34">
        <v>9</v>
      </c>
      <c r="W85" s="35" t="str">
        <f t="shared" si="12"/>
        <v>N</v>
      </c>
      <c r="X85" s="54">
        <f t="shared" si="13"/>
        <v>0</v>
      </c>
      <c r="Y85" s="54" t="str">
        <f t="shared" si="14"/>
        <v>0-4.9%</v>
      </c>
      <c r="Z85" s="8" t="s">
        <v>292</v>
      </c>
    </row>
    <row r="86" spans="1:26" ht="24" customHeight="1" x14ac:dyDescent="0.25">
      <c r="A86" s="10">
        <v>1</v>
      </c>
      <c r="B86" s="9">
        <v>0.29166666666666669</v>
      </c>
      <c r="C86" s="5" t="s">
        <v>183</v>
      </c>
      <c r="D86" s="5">
        <f t="shared" si="9"/>
        <v>7</v>
      </c>
      <c r="E86" s="14"/>
      <c r="F86" s="14" t="s">
        <v>48</v>
      </c>
      <c r="G86" s="12">
        <v>5.2</v>
      </c>
      <c r="H86" s="12">
        <v>12</v>
      </c>
      <c r="I86" s="12"/>
      <c r="J86" s="12"/>
      <c r="K86" s="12"/>
      <c r="L86" s="12"/>
      <c r="M86" s="12"/>
      <c r="N86" s="36">
        <f t="shared" si="10"/>
        <v>17.2</v>
      </c>
      <c r="O86" s="16">
        <f t="shared" si="11"/>
        <v>28.659743333516801</v>
      </c>
      <c r="P86" s="34">
        <v>8</v>
      </c>
      <c r="Q86" s="34">
        <v>10</v>
      </c>
      <c r="R86" s="34">
        <v>9</v>
      </c>
      <c r="S86" s="34">
        <v>9</v>
      </c>
      <c r="T86" s="34">
        <v>9</v>
      </c>
      <c r="U86" s="34">
        <v>9</v>
      </c>
      <c r="V86" s="34">
        <v>9</v>
      </c>
      <c r="W86" s="35" t="str">
        <f t="shared" si="12"/>
        <v>Y</v>
      </c>
      <c r="X86" s="54">
        <f t="shared" si="13"/>
        <v>0.2</v>
      </c>
      <c r="Y86" s="54" t="str">
        <f t="shared" si="14"/>
        <v>5-25%</v>
      </c>
      <c r="Z86" s="8" t="s">
        <v>281</v>
      </c>
    </row>
    <row r="87" spans="1:26" ht="24" customHeight="1" x14ac:dyDescent="0.25">
      <c r="A87" s="10">
        <v>2</v>
      </c>
      <c r="B87" s="9">
        <v>0.29583333333333334</v>
      </c>
      <c r="C87" s="5" t="s">
        <v>184</v>
      </c>
      <c r="D87" s="5">
        <f t="shared" si="9"/>
        <v>7</v>
      </c>
      <c r="E87" s="14"/>
      <c r="F87" s="14" t="s">
        <v>48</v>
      </c>
      <c r="G87" s="12">
        <v>5.2</v>
      </c>
      <c r="H87" s="12">
        <v>14.38</v>
      </c>
      <c r="I87" s="12"/>
      <c r="J87" s="12"/>
      <c r="K87" s="12"/>
      <c r="L87" s="12"/>
      <c r="M87" s="12"/>
      <c r="N87" s="36">
        <f t="shared" si="10"/>
        <v>19.580000000000002</v>
      </c>
      <c r="O87" s="16">
        <f t="shared" si="11"/>
        <v>51.351292505728274</v>
      </c>
      <c r="P87" s="34">
        <v>8</v>
      </c>
      <c r="Q87" s="34">
        <v>10</v>
      </c>
      <c r="R87" s="34">
        <v>9</v>
      </c>
      <c r="S87" s="34">
        <v>9</v>
      </c>
      <c r="T87" s="34">
        <v>9</v>
      </c>
      <c r="U87" s="34">
        <v>9</v>
      </c>
      <c r="V87" s="34">
        <v>9</v>
      </c>
      <c r="W87" s="35" t="str">
        <f t="shared" si="12"/>
        <v>Y</v>
      </c>
      <c r="X87" s="54">
        <f t="shared" si="13"/>
        <v>0.43800000000000006</v>
      </c>
      <c r="Y87" s="54" t="str">
        <f t="shared" si="14"/>
        <v>25-50%</v>
      </c>
      <c r="Z87" s="8" t="s">
        <v>281</v>
      </c>
    </row>
    <row r="88" spans="1:26" ht="24" customHeight="1" x14ac:dyDescent="0.25">
      <c r="A88" s="10">
        <v>3</v>
      </c>
      <c r="B88" s="9">
        <v>0.2986111111111111</v>
      </c>
      <c r="C88" s="5" t="s">
        <v>185</v>
      </c>
      <c r="D88" s="5">
        <f t="shared" si="9"/>
        <v>7</v>
      </c>
      <c r="E88" s="14"/>
      <c r="F88" s="14" t="s">
        <v>48</v>
      </c>
      <c r="G88" s="12">
        <v>4.84</v>
      </c>
      <c r="H88" s="12">
        <v>13.18</v>
      </c>
      <c r="I88" s="12"/>
      <c r="J88" s="12"/>
      <c r="K88" s="12"/>
      <c r="L88" s="12"/>
      <c r="M88" s="12"/>
      <c r="N88" s="36">
        <f t="shared" si="10"/>
        <v>18.02</v>
      </c>
      <c r="O88" s="16">
        <f t="shared" si="11"/>
        <v>35.341975827244035</v>
      </c>
      <c r="P88" s="34">
        <v>8</v>
      </c>
      <c r="Q88" s="34">
        <v>10</v>
      </c>
      <c r="R88" s="34">
        <v>9</v>
      </c>
      <c r="S88" s="34">
        <v>9</v>
      </c>
      <c r="T88" s="34">
        <v>9</v>
      </c>
      <c r="U88" s="34">
        <v>9</v>
      </c>
      <c r="V88" s="34">
        <v>9</v>
      </c>
      <c r="W88" s="35" t="str">
        <f t="shared" si="12"/>
        <v>Y</v>
      </c>
      <c r="X88" s="54">
        <f t="shared" si="13"/>
        <v>0.31799999999999995</v>
      </c>
      <c r="Y88" s="54" t="str">
        <f t="shared" si="14"/>
        <v>25-50%</v>
      </c>
      <c r="Z88" s="8" t="s">
        <v>281</v>
      </c>
    </row>
    <row r="89" spans="1:26" ht="24" customHeight="1" x14ac:dyDescent="0.25">
      <c r="A89" s="10">
        <v>4</v>
      </c>
      <c r="B89" s="9">
        <v>0.30624999999999997</v>
      </c>
      <c r="C89" s="5" t="s">
        <v>186</v>
      </c>
      <c r="D89" s="5">
        <f t="shared" si="9"/>
        <v>7</v>
      </c>
      <c r="E89" s="14"/>
      <c r="F89" s="14" t="s">
        <v>48</v>
      </c>
      <c r="G89" s="12">
        <v>2.06</v>
      </c>
      <c r="H89" s="12">
        <v>1.52</v>
      </c>
      <c r="I89" s="12"/>
      <c r="J89" s="12"/>
      <c r="K89" s="12"/>
      <c r="L89" s="12"/>
      <c r="M89" s="12"/>
      <c r="N89" s="36">
        <f t="shared" si="10"/>
        <v>3.58</v>
      </c>
      <c r="O89" s="16">
        <f t="shared" si="11"/>
        <v>2.453962407864492E-2</v>
      </c>
      <c r="P89" s="34">
        <v>8</v>
      </c>
      <c r="Q89" s="34">
        <v>10</v>
      </c>
      <c r="R89" s="34">
        <v>9</v>
      </c>
      <c r="S89" s="34">
        <v>9</v>
      </c>
      <c r="T89" s="34">
        <v>9</v>
      </c>
      <c r="U89" s="34">
        <v>9</v>
      </c>
      <c r="V89" s="34">
        <v>9</v>
      </c>
      <c r="W89" s="35" t="str">
        <f t="shared" si="12"/>
        <v>N</v>
      </c>
      <c r="X89" s="54">
        <f t="shared" si="13"/>
        <v>0</v>
      </c>
      <c r="Y89" s="54" t="str">
        <f t="shared" si="14"/>
        <v>0-4.9%</v>
      </c>
      <c r="Z89" s="8" t="s">
        <v>292</v>
      </c>
    </row>
    <row r="90" spans="1:26" ht="24" customHeight="1" x14ac:dyDescent="0.25">
      <c r="A90" s="10">
        <v>5</v>
      </c>
      <c r="B90" s="9">
        <v>0.30902777777777779</v>
      </c>
      <c r="C90" s="5" t="s">
        <v>187</v>
      </c>
      <c r="D90" s="5">
        <f t="shared" si="9"/>
        <v>7</v>
      </c>
      <c r="E90" s="14"/>
      <c r="F90" s="14" t="s">
        <v>48</v>
      </c>
      <c r="G90" s="12">
        <v>2.08</v>
      </c>
      <c r="H90" s="12">
        <v>1.52</v>
      </c>
      <c r="I90" s="12"/>
      <c r="J90" s="12"/>
      <c r="K90" s="12"/>
      <c r="L90" s="12"/>
      <c r="M90" s="12"/>
      <c r="N90" s="36">
        <f t="shared" si="10"/>
        <v>3.6</v>
      </c>
      <c r="O90" s="16">
        <f t="shared" si="11"/>
        <v>2.5162601460523768E-2</v>
      </c>
      <c r="P90" s="34">
        <v>8</v>
      </c>
      <c r="Q90" s="34">
        <v>10</v>
      </c>
      <c r="R90" s="34">
        <v>9</v>
      </c>
      <c r="S90" s="34">
        <v>9</v>
      </c>
      <c r="T90" s="34">
        <v>9</v>
      </c>
      <c r="U90" s="34">
        <v>9</v>
      </c>
      <c r="V90" s="34">
        <v>9</v>
      </c>
      <c r="W90" s="35" t="str">
        <f t="shared" si="12"/>
        <v>N</v>
      </c>
      <c r="X90" s="54">
        <f t="shared" si="13"/>
        <v>0</v>
      </c>
      <c r="Y90" s="54" t="str">
        <f t="shared" si="14"/>
        <v>0-4.9%</v>
      </c>
      <c r="Z90" s="8" t="s">
        <v>292</v>
      </c>
    </row>
    <row r="91" spans="1:26" ht="24" customHeight="1" x14ac:dyDescent="0.25">
      <c r="A91" s="10">
        <v>6</v>
      </c>
      <c r="B91" s="9">
        <v>0.31875000000000003</v>
      </c>
      <c r="C91" s="5" t="s">
        <v>188</v>
      </c>
      <c r="D91" s="5">
        <f t="shared" si="9"/>
        <v>7</v>
      </c>
      <c r="E91" s="14"/>
      <c r="F91" s="14" t="s">
        <v>48</v>
      </c>
      <c r="G91" s="12">
        <v>2.54</v>
      </c>
      <c r="H91" s="12">
        <v>1.51</v>
      </c>
      <c r="I91" s="12"/>
      <c r="J91" s="12"/>
      <c r="K91" s="12"/>
      <c r="L91" s="12"/>
      <c r="M91" s="12"/>
      <c r="N91" s="36">
        <f t="shared" si="10"/>
        <v>4.05</v>
      </c>
      <c r="O91" s="16">
        <f t="shared" si="11"/>
        <v>4.2750568076047699E-2</v>
      </c>
      <c r="P91" s="34">
        <v>8</v>
      </c>
      <c r="Q91" s="34">
        <v>10</v>
      </c>
      <c r="R91" s="34">
        <v>9</v>
      </c>
      <c r="S91" s="34">
        <v>9</v>
      </c>
      <c r="T91" s="34">
        <v>9</v>
      </c>
      <c r="U91" s="34">
        <v>9</v>
      </c>
      <c r="V91" s="34">
        <v>9</v>
      </c>
      <c r="W91" s="35" t="str">
        <f t="shared" si="12"/>
        <v>N</v>
      </c>
      <c r="X91" s="54">
        <f t="shared" si="13"/>
        <v>0</v>
      </c>
      <c r="Y91" s="54" t="str">
        <f t="shared" si="14"/>
        <v>0-4.9%</v>
      </c>
      <c r="Z91" s="8" t="s">
        <v>292</v>
      </c>
    </row>
    <row r="92" spans="1:26" ht="24" customHeight="1" x14ac:dyDescent="0.25">
      <c r="A92" s="10">
        <v>7</v>
      </c>
      <c r="B92" s="9">
        <v>0.32291666666666669</v>
      </c>
      <c r="C92" s="5" t="s">
        <v>189</v>
      </c>
      <c r="D92" s="5">
        <f t="shared" si="9"/>
        <v>7</v>
      </c>
      <c r="E92" s="14"/>
      <c r="F92" s="14" t="s">
        <v>48</v>
      </c>
      <c r="G92" s="12">
        <v>5.8</v>
      </c>
      <c r="H92" s="12">
        <v>15.8</v>
      </c>
      <c r="I92" s="12"/>
      <c r="J92" s="12"/>
      <c r="K92" s="12"/>
      <c r="L92" s="12"/>
      <c r="M92" s="12"/>
      <c r="N92" s="36">
        <f t="shared" si="10"/>
        <v>21.6</v>
      </c>
      <c r="O92" s="16">
        <f t="shared" si="11"/>
        <v>79.879652296365038</v>
      </c>
      <c r="P92" s="34">
        <v>8</v>
      </c>
      <c r="Q92" s="34">
        <v>10</v>
      </c>
      <c r="R92" s="34">
        <v>9</v>
      </c>
      <c r="S92" s="34">
        <v>9</v>
      </c>
      <c r="T92" s="34">
        <v>9</v>
      </c>
      <c r="U92" s="34">
        <v>9</v>
      </c>
      <c r="V92" s="34">
        <v>9</v>
      </c>
      <c r="W92" s="35" t="str">
        <f t="shared" si="12"/>
        <v>Y</v>
      </c>
      <c r="X92" s="54">
        <f t="shared" si="13"/>
        <v>0.58000000000000007</v>
      </c>
      <c r="Y92" s="54" t="str">
        <f t="shared" si="14"/>
        <v>Over 50%</v>
      </c>
      <c r="Z92" s="8" t="s">
        <v>281</v>
      </c>
    </row>
    <row r="93" spans="1:26" ht="24" customHeight="1" x14ac:dyDescent="0.25">
      <c r="A93" s="10">
        <v>9</v>
      </c>
      <c r="B93" s="9">
        <v>0.3611111111111111</v>
      </c>
      <c r="C93" s="5" t="s">
        <v>191</v>
      </c>
      <c r="D93" s="5">
        <f t="shared" si="9"/>
        <v>7</v>
      </c>
      <c r="E93" s="14"/>
      <c r="F93" s="14" t="s">
        <v>48</v>
      </c>
      <c r="G93" s="12">
        <v>2.6</v>
      </c>
      <c r="H93" s="12">
        <v>1.1000000000000001</v>
      </c>
      <c r="I93" s="12"/>
      <c r="J93" s="12"/>
      <c r="K93" s="12"/>
      <c r="L93" s="12"/>
      <c r="M93" s="12"/>
      <c r="N93" s="36">
        <f t="shared" si="10"/>
        <v>3.7</v>
      </c>
      <c r="O93" s="16">
        <f t="shared" si="11"/>
        <v>2.8464400664713729E-2</v>
      </c>
      <c r="P93" s="34">
        <v>8</v>
      </c>
      <c r="Q93" s="34">
        <v>10</v>
      </c>
      <c r="R93" s="34">
        <v>9</v>
      </c>
      <c r="S93" s="34">
        <v>9</v>
      </c>
      <c r="T93" s="34">
        <v>9</v>
      </c>
      <c r="U93" s="34">
        <v>9</v>
      </c>
      <c r="V93" s="34">
        <v>9</v>
      </c>
      <c r="W93" s="35" t="str">
        <f t="shared" si="12"/>
        <v>N</v>
      </c>
      <c r="X93" s="54">
        <f t="shared" si="13"/>
        <v>0</v>
      </c>
      <c r="Y93" s="54" t="str">
        <f t="shared" si="14"/>
        <v>0-4.9%</v>
      </c>
      <c r="Z93" s="8" t="s">
        <v>292</v>
      </c>
    </row>
    <row r="94" spans="1:26" ht="24" customHeight="1" x14ac:dyDescent="0.25">
      <c r="A94" s="10">
        <v>10</v>
      </c>
      <c r="B94" s="9">
        <v>0.39652777777777781</v>
      </c>
      <c r="C94" s="5" t="s">
        <v>192</v>
      </c>
      <c r="D94" s="5">
        <f t="shared" si="9"/>
        <v>7</v>
      </c>
      <c r="E94" s="14"/>
      <c r="F94" s="14" t="s">
        <v>48</v>
      </c>
      <c r="G94" s="12">
        <v>3.64</v>
      </c>
      <c r="H94" s="12">
        <v>8.56</v>
      </c>
      <c r="I94" s="12"/>
      <c r="J94" s="12"/>
      <c r="K94" s="12"/>
      <c r="L94" s="12"/>
      <c r="M94" s="12"/>
      <c r="N94" s="36">
        <f t="shared" si="10"/>
        <v>12.200000000000001</v>
      </c>
      <c r="O94" s="16">
        <f t="shared" si="11"/>
        <v>6.1096104953385826</v>
      </c>
      <c r="P94" s="34">
        <v>8</v>
      </c>
      <c r="Q94" s="34">
        <v>10</v>
      </c>
      <c r="R94" s="34">
        <v>9</v>
      </c>
      <c r="S94" s="34">
        <v>9</v>
      </c>
      <c r="T94" s="34">
        <v>9</v>
      </c>
      <c r="U94" s="34">
        <v>9</v>
      </c>
      <c r="V94" s="34">
        <v>9</v>
      </c>
      <c r="W94" s="35" t="str">
        <f t="shared" si="12"/>
        <v>N</v>
      </c>
      <c r="X94" s="54">
        <f t="shared" si="13"/>
        <v>0</v>
      </c>
      <c r="Y94" s="54" t="str">
        <f t="shared" si="14"/>
        <v>0-4.9%</v>
      </c>
      <c r="Z94" s="8" t="s">
        <v>318</v>
      </c>
    </row>
    <row r="95" spans="1:26" ht="24" customHeight="1" x14ac:dyDescent="0.25">
      <c r="A95" s="10">
        <v>11</v>
      </c>
      <c r="B95" s="9">
        <v>0.40763888888888888</v>
      </c>
      <c r="C95" s="5" t="s">
        <v>193</v>
      </c>
      <c r="D95" s="5">
        <f t="shared" si="9"/>
        <v>7</v>
      </c>
      <c r="E95" s="14"/>
      <c r="F95" s="14" t="s">
        <v>48</v>
      </c>
      <c r="G95" s="12">
        <v>3.88</v>
      </c>
      <c r="H95" s="12">
        <v>5</v>
      </c>
      <c r="I95" s="12"/>
      <c r="J95" s="12"/>
      <c r="K95" s="12"/>
      <c r="L95" s="12"/>
      <c r="M95" s="12"/>
      <c r="N95" s="36">
        <f t="shared" si="10"/>
        <v>8.879999999999999</v>
      </c>
      <c r="O95" s="16">
        <f t="shared" si="11"/>
        <v>1.463027978808711</v>
      </c>
      <c r="P95" s="34">
        <v>8</v>
      </c>
      <c r="Q95" s="34">
        <v>10</v>
      </c>
      <c r="R95" s="34">
        <v>9</v>
      </c>
      <c r="S95" s="34">
        <v>9</v>
      </c>
      <c r="T95" s="34">
        <v>9</v>
      </c>
      <c r="U95" s="34">
        <v>9</v>
      </c>
      <c r="V95" s="34">
        <v>9</v>
      </c>
      <c r="W95" s="35" t="str">
        <f t="shared" si="12"/>
        <v>N</v>
      </c>
      <c r="X95" s="54">
        <f t="shared" si="13"/>
        <v>0</v>
      </c>
      <c r="Y95" s="54" t="str">
        <f t="shared" si="14"/>
        <v>0-4.9%</v>
      </c>
      <c r="Z95" s="8" t="s">
        <v>285</v>
      </c>
    </row>
    <row r="96" spans="1:26" ht="24" customHeight="1" x14ac:dyDescent="0.25">
      <c r="A96" s="10">
        <v>12</v>
      </c>
      <c r="B96" s="9">
        <v>0.41388888888888892</v>
      </c>
      <c r="C96" s="5" t="s">
        <v>194</v>
      </c>
      <c r="D96" s="5">
        <f t="shared" si="9"/>
        <v>7</v>
      </c>
      <c r="E96" s="14"/>
      <c r="F96" s="14" t="s">
        <v>48</v>
      </c>
      <c r="G96" s="12">
        <v>1.08</v>
      </c>
      <c r="H96" s="12">
        <v>1.1200000000000001</v>
      </c>
      <c r="I96" s="12"/>
      <c r="J96" s="12"/>
      <c r="K96" s="12"/>
      <c r="L96" s="12"/>
      <c r="M96" s="12"/>
      <c r="N96" s="36">
        <f t="shared" si="10"/>
        <v>2.2000000000000002</v>
      </c>
      <c r="O96" s="16">
        <f t="shared" si="11"/>
        <v>2.7434455769412471E-3</v>
      </c>
      <c r="P96" s="34">
        <v>8</v>
      </c>
      <c r="Q96" s="34">
        <v>10</v>
      </c>
      <c r="R96" s="34">
        <v>9</v>
      </c>
      <c r="S96" s="34">
        <v>9</v>
      </c>
      <c r="T96" s="34">
        <v>9</v>
      </c>
      <c r="U96" s="34">
        <v>9</v>
      </c>
      <c r="V96" s="34">
        <v>9</v>
      </c>
      <c r="W96" s="35" t="str">
        <f t="shared" si="12"/>
        <v>N</v>
      </c>
      <c r="X96" s="54">
        <f t="shared" si="13"/>
        <v>0</v>
      </c>
      <c r="Y96" s="54" t="str">
        <f t="shared" si="14"/>
        <v>0-4.9%</v>
      </c>
      <c r="Z96" s="8" t="s">
        <v>292</v>
      </c>
    </row>
    <row r="97" spans="1:26" ht="24" customHeight="1" x14ac:dyDescent="0.25">
      <c r="A97" s="10">
        <v>13</v>
      </c>
      <c r="B97" s="9">
        <v>0.42777777777777781</v>
      </c>
      <c r="C97" s="5" t="s">
        <v>195</v>
      </c>
      <c r="D97" s="5">
        <f t="shared" si="9"/>
        <v>7</v>
      </c>
      <c r="E97" s="14"/>
      <c r="F97" s="14" t="s">
        <v>48</v>
      </c>
      <c r="G97" s="12">
        <v>4.5199999999999996</v>
      </c>
      <c r="H97" s="12">
        <v>12.96</v>
      </c>
      <c r="I97" s="12"/>
      <c r="J97" s="12"/>
      <c r="K97" s="12"/>
      <c r="L97" s="12"/>
      <c r="M97" s="12"/>
      <c r="N97" s="36">
        <f t="shared" si="10"/>
        <v>17.48</v>
      </c>
      <c r="O97" s="16">
        <f t="shared" si="11"/>
        <v>30.819863644584157</v>
      </c>
      <c r="P97" s="34">
        <v>8</v>
      </c>
      <c r="Q97" s="34">
        <v>10</v>
      </c>
      <c r="R97" s="34">
        <v>9</v>
      </c>
      <c r="S97" s="34">
        <v>9</v>
      </c>
      <c r="T97" s="34">
        <v>9</v>
      </c>
      <c r="U97" s="34">
        <v>9</v>
      </c>
      <c r="V97" s="34">
        <v>9</v>
      </c>
      <c r="W97" s="35" t="str">
        <f t="shared" si="12"/>
        <v>Y</v>
      </c>
      <c r="X97" s="54">
        <f t="shared" si="13"/>
        <v>0.2960000000000001</v>
      </c>
      <c r="Y97" s="54" t="str">
        <f t="shared" si="14"/>
        <v>25-50%</v>
      </c>
      <c r="Z97" s="8" t="s">
        <v>281</v>
      </c>
    </row>
    <row r="98" spans="1:26" ht="24" customHeight="1" x14ac:dyDescent="0.25">
      <c r="A98" s="10">
        <v>14</v>
      </c>
      <c r="B98" s="9">
        <v>0.42777777777777781</v>
      </c>
      <c r="C98" s="5" t="s">
        <v>196</v>
      </c>
      <c r="D98" s="5">
        <f t="shared" si="9"/>
        <v>7</v>
      </c>
      <c r="E98" s="14"/>
      <c r="F98" s="14" t="s">
        <v>48</v>
      </c>
      <c r="G98" s="12">
        <v>2.2000000000000002</v>
      </c>
      <c r="H98" s="12">
        <v>1.1100000000000001</v>
      </c>
      <c r="I98" s="12"/>
      <c r="J98" s="12"/>
      <c r="K98" s="12"/>
      <c r="L98" s="12"/>
      <c r="M98" s="12"/>
      <c r="N98" s="36">
        <f t="shared" si="10"/>
        <v>3.3100000000000005</v>
      </c>
      <c r="O98" s="16">
        <f t="shared" si="11"/>
        <v>1.7243294975462443E-2</v>
      </c>
      <c r="P98" s="34">
        <v>8</v>
      </c>
      <c r="Q98" s="34">
        <v>10</v>
      </c>
      <c r="R98" s="34">
        <v>9</v>
      </c>
      <c r="S98" s="34">
        <v>9</v>
      </c>
      <c r="T98" s="34">
        <v>9</v>
      </c>
      <c r="U98" s="34">
        <v>9</v>
      </c>
      <c r="V98" s="34">
        <v>9</v>
      </c>
      <c r="W98" s="35" t="str">
        <f t="shared" si="12"/>
        <v>N</v>
      </c>
      <c r="X98" s="54">
        <f t="shared" si="13"/>
        <v>0</v>
      </c>
      <c r="Y98" s="54" t="str">
        <f t="shared" si="14"/>
        <v>0-4.9%</v>
      </c>
      <c r="Z98" s="8" t="s">
        <v>292</v>
      </c>
    </row>
    <row r="99" spans="1:26" ht="24" customHeight="1" x14ac:dyDescent="0.25">
      <c r="A99" s="10">
        <v>15</v>
      </c>
      <c r="B99" s="9">
        <v>0.42777777777777781</v>
      </c>
      <c r="C99" s="5" t="s">
        <v>197</v>
      </c>
      <c r="D99" s="5">
        <f t="shared" si="9"/>
        <v>7</v>
      </c>
      <c r="E99" s="14"/>
      <c r="F99" s="14" t="s">
        <v>48</v>
      </c>
      <c r="G99" s="12">
        <v>2.54</v>
      </c>
      <c r="H99" s="12">
        <v>1.2</v>
      </c>
      <c r="I99" s="12"/>
      <c r="J99" s="12"/>
      <c r="K99" s="12"/>
      <c r="L99" s="12"/>
      <c r="M99" s="12"/>
      <c r="N99" s="36">
        <f t="shared" si="10"/>
        <v>3.74</v>
      </c>
      <c r="O99" s="16">
        <f t="shared" si="11"/>
        <v>2.9875590328583938E-2</v>
      </c>
      <c r="P99" s="34">
        <v>8</v>
      </c>
      <c r="Q99" s="34">
        <v>10</v>
      </c>
      <c r="R99" s="34">
        <v>9</v>
      </c>
      <c r="S99" s="34">
        <v>9</v>
      </c>
      <c r="T99" s="34">
        <v>9</v>
      </c>
      <c r="U99" s="34">
        <v>9</v>
      </c>
      <c r="V99" s="34">
        <v>9</v>
      </c>
      <c r="W99" s="35" t="str">
        <f t="shared" si="12"/>
        <v>N</v>
      </c>
      <c r="X99" s="54">
        <f t="shared" si="13"/>
        <v>0</v>
      </c>
      <c r="Y99" s="54" t="str">
        <f t="shared" si="14"/>
        <v>0-4.9%</v>
      </c>
      <c r="Z99" s="8" t="s">
        <v>292</v>
      </c>
    </row>
    <row r="100" spans="1:26" ht="24" customHeight="1" x14ac:dyDescent="0.25">
      <c r="A100" s="10">
        <v>16</v>
      </c>
      <c r="B100" s="9">
        <v>0.4284722222222222</v>
      </c>
      <c r="C100" s="5" t="s">
        <v>198</v>
      </c>
      <c r="D100" s="5">
        <f t="shared" si="9"/>
        <v>7</v>
      </c>
      <c r="E100" s="14"/>
      <c r="F100" s="14" t="s">
        <v>48</v>
      </c>
      <c r="G100" s="12">
        <v>1.5</v>
      </c>
      <c r="H100" s="12">
        <v>1.0900000000000001</v>
      </c>
      <c r="I100" s="12"/>
      <c r="J100" s="12"/>
      <c r="K100" s="12"/>
      <c r="L100" s="12"/>
      <c r="M100" s="12"/>
      <c r="N100" s="36">
        <f t="shared" si="10"/>
        <v>2.59</v>
      </c>
      <c r="O100" s="16">
        <f t="shared" si="11"/>
        <v>5.7179877943213699E-3</v>
      </c>
      <c r="P100" s="34">
        <v>8</v>
      </c>
      <c r="Q100" s="34">
        <v>10</v>
      </c>
      <c r="R100" s="34">
        <v>9</v>
      </c>
      <c r="S100" s="34">
        <v>9</v>
      </c>
      <c r="T100" s="34">
        <v>9</v>
      </c>
      <c r="U100" s="34">
        <v>9</v>
      </c>
      <c r="V100" s="34">
        <v>9</v>
      </c>
      <c r="W100" s="35" t="str">
        <f t="shared" si="12"/>
        <v>N</v>
      </c>
      <c r="X100" s="54">
        <f t="shared" si="13"/>
        <v>0</v>
      </c>
      <c r="Y100" s="54" t="str">
        <f t="shared" si="14"/>
        <v>0-4.9%</v>
      </c>
      <c r="Z100" s="8" t="s">
        <v>292</v>
      </c>
    </row>
    <row r="101" spans="1:26" ht="24" customHeight="1" x14ac:dyDescent="0.25">
      <c r="A101" s="10">
        <v>17</v>
      </c>
      <c r="B101" s="9">
        <v>0.47152777777777777</v>
      </c>
      <c r="C101" s="5" t="s">
        <v>199</v>
      </c>
      <c r="D101" s="5">
        <f t="shared" si="9"/>
        <v>7</v>
      </c>
      <c r="E101" s="14"/>
      <c r="F101" s="14" t="s">
        <v>48</v>
      </c>
      <c r="G101" s="12">
        <v>5.14</v>
      </c>
      <c r="H101" s="12">
        <v>13.6</v>
      </c>
      <c r="I101" s="12"/>
      <c r="J101" s="12"/>
      <c r="K101" s="12"/>
      <c r="L101" s="12"/>
      <c r="M101" s="12"/>
      <c r="N101" s="36">
        <f t="shared" si="10"/>
        <v>18.739999999999998</v>
      </c>
      <c r="O101" s="16">
        <f t="shared" si="11"/>
        <v>42.155808704198733</v>
      </c>
      <c r="P101" s="34">
        <v>8</v>
      </c>
      <c r="Q101" s="34">
        <v>10</v>
      </c>
      <c r="R101" s="34">
        <v>9</v>
      </c>
      <c r="S101" s="34">
        <v>9</v>
      </c>
      <c r="T101" s="34">
        <v>9</v>
      </c>
      <c r="U101" s="34">
        <v>9</v>
      </c>
      <c r="V101" s="34">
        <v>9</v>
      </c>
      <c r="W101" s="35" t="str">
        <f t="shared" si="12"/>
        <v>Y</v>
      </c>
      <c r="X101" s="54">
        <f t="shared" si="13"/>
        <v>0.36</v>
      </c>
      <c r="Y101" s="54" t="str">
        <f t="shared" si="14"/>
        <v>25-50%</v>
      </c>
      <c r="Z101" s="8" t="s">
        <v>281</v>
      </c>
    </row>
    <row r="102" spans="1:26" ht="24" customHeight="1" x14ac:dyDescent="0.25">
      <c r="A102" s="10">
        <v>18</v>
      </c>
      <c r="B102" s="9">
        <v>0.47222222222222227</v>
      </c>
      <c r="C102" s="5" t="s">
        <v>200</v>
      </c>
      <c r="D102" s="5">
        <f t="shared" si="9"/>
        <v>7</v>
      </c>
      <c r="E102" s="14"/>
      <c r="F102" s="14" t="s">
        <v>48</v>
      </c>
      <c r="G102" s="12">
        <v>7.32</v>
      </c>
      <c r="H102" s="12">
        <v>13.57</v>
      </c>
      <c r="I102" s="12"/>
      <c r="J102" s="12"/>
      <c r="K102" s="12"/>
      <c r="L102" s="12"/>
      <c r="M102" s="12"/>
      <c r="N102" s="36">
        <f t="shared" si="10"/>
        <v>20.89</v>
      </c>
      <c r="O102" s="16">
        <f t="shared" si="11"/>
        <v>68.72539830477821</v>
      </c>
      <c r="P102" s="34">
        <v>8</v>
      </c>
      <c r="Q102" s="34">
        <v>10</v>
      </c>
      <c r="R102" s="34">
        <v>9</v>
      </c>
      <c r="S102" s="34">
        <v>9</v>
      </c>
      <c r="T102" s="34">
        <v>9</v>
      </c>
      <c r="U102" s="34">
        <v>9</v>
      </c>
      <c r="V102" s="34">
        <v>9</v>
      </c>
      <c r="W102" s="35" t="str">
        <f t="shared" si="12"/>
        <v>Y</v>
      </c>
      <c r="X102" s="54">
        <f t="shared" si="13"/>
        <v>0.35700000000000004</v>
      </c>
      <c r="Y102" s="54" t="str">
        <f t="shared" si="14"/>
        <v>25-50%</v>
      </c>
      <c r="Z102" s="8" t="s">
        <v>281</v>
      </c>
    </row>
    <row r="103" spans="1:26" ht="24" customHeight="1" x14ac:dyDescent="0.25">
      <c r="A103" s="10">
        <v>19</v>
      </c>
      <c r="B103" s="9">
        <v>0.48194444444444445</v>
      </c>
      <c r="C103" s="5" t="s">
        <v>201</v>
      </c>
      <c r="D103" s="5">
        <f t="shared" ref="D103:D134" si="15">IF(COUNT(G103:M103)&gt;3,10,IF(COUNT(G103:M103)&gt;2,9,7))</f>
        <v>7</v>
      </c>
      <c r="E103" s="14"/>
      <c r="F103" s="14" t="s">
        <v>48</v>
      </c>
      <c r="G103" s="12">
        <v>2.84</v>
      </c>
      <c r="H103" s="12">
        <v>5.03</v>
      </c>
      <c r="I103" s="12"/>
      <c r="J103" s="12"/>
      <c r="K103" s="12"/>
      <c r="L103" s="12"/>
      <c r="M103" s="12"/>
      <c r="N103" s="36">
        <f t="shared" ref="N103:N134" si="16">SUM(G103:M103)</f>
        <v>7.87</v>
      </c>
      <c r="O103" s="16">
        <f t="shared" ref="O103:O134" si="17">(N103/8.16)^4.5</f>
        <v>0.84972927565387113</v>
      </c>
      <c r="P103" s="34">
        <v>8</v>
      </c>
      <c r="Q103" s="34">
        <v>10</v>
      </c>
      <c r="R103" s="34">
        <v>9</v>
      </c>
      <c r="S103" s="34">
        <v>9</v>
      </c>
      <c r="T103" s="34">
        <v>9</v>
      </c>
      <c r="U103" s="34">
        <v>9</v>
      </c>
      <c r="V103" s="34">
        <v>9</v>
      </c>
      <c r="W103" s="35" t="str">
        <f t="shared" si="12"/>
        <v>N</v>
      </c>
      <c r="X103" s="54">
        <f t="shared" si="13"/>
        <v>0</v>
      </c>
      <c r="Y103" s="54" t="str">
        <f t="shared" si="14"/>
        <v>0-4.9%</v>
      </c>
      <c r="Z103" s="8" t="s">
        <v>318</v>
      </c>
    </row>
    <row r="104" spans="1:26" ht="24" customHeight="1" x14ac:dyDescent="0.25">
      <c r="A104" s="10">
        <v>20</v>
      </c>
      <c r="B104" s="9">
        <v>0.4861111111111111</v>
      </c>
      <c r="C104" s="5" t="s">
        <v>202</v>
      </c>
      <c r="D104" s="5">
        <f t="shared" si="15"/>
        <v>7</v>
      </c>
      <c r="E104" s="14"/>
      <c r="F104" s="14" t="s">
        <v>48</v>
      </c>
      <c r="G104" s="12">
        <v>2.19</v>
      </c>
      <c r="H104" s="12">
        <v>7.08</v>
      </c>
      <c r="I104" s="12"/>
      <c r="J104" s="12"/>
      <c r="K104" s="12"/>
      <c r="L104" s="12"/>
      <c r="M104" s="12"/>
      <c r="N104" s="36">
        <f t="shared" si="16"/>
        <v>9.27</v>
      </c>
      <c r="O104" s="16">
        <f t="shared" si="17"/>
        <v>1.7752237080814499</v>
      </c>
      <c r="P104" s="34">
        <v>8</v>
      </c>
      <c r="Q104" s="34">
        <v>10</v>
      </c>
      <c r="R104" s="34">
        <v>9</v>
      </c>
      <c r="S104" s="34">
        <v>9</v>
      </c>
      <c r="T104" s="34">
        <v>9</v>
      </c>
      <c r="U104" s="34">
        <v>9</v>
      </c>
      <c r="V104" s="34">
        <v>9</v>
      </c>
      <c r="W104" s="35" t="str">
        <f t="shared" si="12"/>
        <v>N</v>
      </c>
      <c r="X104" s="54">
        <f t="shared" si="13"/>
        <v>0</v>
      </c>
      <c r="Y104" s="54" t="str">
        <f t="shared" si="14"/>
        <v>0-4.9%</v>
      </c>
      <c r="Z104" s="8" t="s">
        <v>285</v>
      </c>
    </row>
    <row r="105" spans="1:26" ht="24" customHeight="1" x14ac:dyDescent="0.25">
      <c r="A105" s="10">
        <v>21</v>
      </c>
      <c r="B105" s="9">
        <v>0.49583333333333335</v>
      </c>
      <c r="C105" s="5" t="s">
        <v>203</v>
      </c>
      <c r="D105" s="5">
        <f t="shared" si="15"/>
        <v>7</v>
      </c>
      <c r="E105" s="14"/>
      <c r="F105" s="14" t="s">
        <v>48</v>
      </c>
      <c r="G105" s="12">
        <v>2.37</v>
      </c>
      <c r="H105" s="12">
        <v>5.56</v>
      </c>
      <c r="I105" s="12"/>
      <c r="J105" s="12"/>
      <c r="K105" s="12"/>
      <c r="L105" s="12"/>
      <c r="M105" s="12"/>
      <c r="N105" s="36">
        <f t="shared" si="16"/>
        <v>7.93</v>
      </c>
      <c r="O105" s="16">
        <f t="shared" si="17"/>
        <v>0.87927277959316075</v>
      </c>
      <c r="P105" s="34">
        <v>8</v>
      </c>
      <c r="Q105" s="34">
        <v>10</v>
      </c>
      <c r="R105" s="34">
        <v>9</v>
      </c>
      <c r="S105" s="34">
        <v>9</v>
      </c>
      <c r="T105" s="34">
        <v>9</v>
      </c>
      <c r="U105" s="34">
        <v>9</v>
      </c>
      <c r="V105" s="34">
        <v>9</v>
      </c>
      <c r="W105" s="35" t="str">
        <f t="shared" si="12"/>
        <v>N</v>
      </c>
      <c r="X105" s="54">
        <f t="shared" si="13"/>
        <v>0</v>
      </c>
      <c r="Y105" s="54" t="str">
        <f t="shared" si="14"/>
        <v>0-4.9%</v>
      </c>
      <c r="Z105" s="8" t="s">
        <v>289</v>
      </c>
    </row>
    <row r="106" spans="1:26" ht="24" customHeight="1" x14ac:dyDescent="0.25">
      <c r="A106" s="10">
        <v>22</v>
      </c>
      <c r="B106" s="9">
        <v>0.51527777777777783</v>
      </c>
      <c r="C106" s="5" t="s">
        <v>204</v>
      </c>
      <c r="D106" s="5">
        <f t="shared" si="15"/>
        <v>7</v>
      </c>
      <c r="E106" s="14"/>
      <c r="F106" s="14" t="s">
        <v>48</v>
      </c>
      <c r="G106" s="12">
        <v>2.94</v>
      </c>
      <c r="H106" s="12">
        <v>7.36</v>
      </c>
      <c r="I106" s="12"/>
      <c r="J106" s="12"/>
      <c r="K106" s="12"/>
      <c r="L106" s="12"/>
      <c r="M106" s="12"/>
      <c r="N106" s="36">
        <f t="shared" si="16"/>
        <v>10.3</v>
      </c>
      <c r="O106" s="16">
        <f t="shared" si="17"/>
        <v>2.8520806146762392</v>
      </c>
      <c r="P106" s="34">
        <v>8</v>
      </c>
      <c r="Q106" s="34">
        <v>10</v>
      </c>
      <c r="R106" s="34">
        <v>9</v>
      </c>
      <c r="S106" s="34">
        <v>9</v>
      </c>
      <c r="T106" s="34">
        <v>9</v>
      </c>
      <c r="U106" s="34">
        <v>9</v>
      </c>
      <c r="V106" s="34">
        <v>9</v>
      </c>
      <c r="W106" s="35" t="str">
        <f t="shared" si="12"/>
        <v>N</v>
      </c>
      <c r="X106" s="54">
        <f t="shared" si="13"/>
        <v>0</v>
      </c>
      <c r="Y106" s="54" t="str">
        <f t="shared" si="14"/>
        <v>0-4.9%</v>
      </c>
      <c r="Z106" s="8" t="s">
        <v>281</v>
      </c>
    </row>
    <row r="107" spans="1:26" ht="24" customHeight="1" x14ac:dyDescent="0.25">
      <c r="A107" s="10">
        <v>24</v>
      </c>
      <c r="B107" s="9">
        <v>0.11527777777777777</v>
      </c>
      <c r="C107" s="5" t="s">
        <v>206</v>
      </c>
      <c r="D107" s="5">
        <f t="shared" si="15"/>
        <v>7</v>
      </c>
      <c r="E107" s="14"/>
      <c r="F107" s="14" t="s">
        <v>48</v>
      </c>
      <c r="G107" s="12">
        <v>2.98</v>
      </c>
      <c r="H107" s="12">
        <v>1.2</v>
      </c>
      <c r="I107" s="12"/>
      <c r="J107" s="12"/>
      <c r="K107" s="12"/>
      <c r="L107" s="12"/>
      <c r="M107" s="12"/>
      <c r="N107" s="36">
        <f t="shared" si="16"/>
        <v>4.18</v>
      </c>
      <c r="O107" s="16">
        <f t="shared" si="17"/>
        <v>4.928191253377958E-2</v>
      </c>
      <c r="P107" s="34">
        <v>8</v>
      </c>
      <c r="Q107" s="34">
        <v>10</v>
      </c>
      <c r="R107" s="34">
        <v>9</v>
      </c>
      <c r="S107" s="34">
        <v>9</v>
      </c>
      <c r="T107" s="34">
        <v>9</v>
      </c>
      <c r="U107" s="34">
        <v>9</v>
      </c>
      <c r="V107" s="34">
        <v>9</v>
      </c>
      <c r="W107" s="35" t="str">
        <f t="shared" si="12"/>
        <v>N</v>
      </c>
      <c r="X107" s="54">
        <f t="shared" si="13"/>
        <v>0</v>
      </c>
      <c r="Y107" s="54" t="str">
        <f t="shared" si="14"/>
        <v>0-4.9%</v>
      </c>
      <c r="Z107" s="8" t="s">
        <v>292</v>
      </c>
    </row>
    <row r="108" spans="1:26" ht="24" customHeight="1" x14ac:dyDescent="0.25">
      <c r="A108" s="10">
        <v>25</v>
      </c>
      <c r="B108" s="9">
        <v>0.12569444444444444</v>
      </c>
      <c r="C108" s="5" t="s">
        <v>207</v>
      </c>
      <c r="D108" s="5">
        <f t="shared" si="15"/>
        <v>7</v>
      </c>
      <c r="E108" s="14"/>
      <c r="F108" s="14" t="s">
        <v>101</v>
      </c>
      <c r="G108" s="12">
        <v>4.68</v>
      </c>
      <c r="H108" s="12">
        <v>13.94</v>
      </c>
      <c r="I108" s="12"/>
      <c r="J108" s="12"/>
      <c r="K108" s="12"/>
      <c r="L108" s="12"/>
      <c r="M108" s="12"/>
      <c r="N108" s="36">
        <f t="shared" si="16"/>
        <v>18.619999999999997</v>
      </c>
      <c r="O108" s="16">
        <f t="shared" si="17"/>
        <v>40.95461338500742</v>
      </c>
      <c r="P108" s="34">
        <v>8</v>
      </c>
      <c r="Q108" s="34">
        <v>10</v>
      </c>
      <c r="R108" s="34">
        <v>9</v>
      </c>
      <c r="S108" s="34">
        <v>9</v>
      </c>
      <c r="T108" s="34">
        <v>9</v>
      </c>
      <c r="U108" s="34">
        <v>9</v>
      </c>
      <c r="V108" s="34">
        <v>9</v>
      </c>
      <c r="W108" s="35" t="str">
        <f t="shared" si="12"/>
        <v>Y</v>
      </c>
      <c r="X108" s="54">
        <f t="shared" si="13"/>
        <v>0.39399999999999996</v>
      </c>
      <c r="Y108" s="54" t="str">
        <f t="shared" si="14"/>
        <v>25-50%</v>
      </c>
      <c r="Z108" s="8" t="s">
        <v>281</v>
      </c>
    </row>
    <row r="109" spans="1:26" ht="24" customHeight="1" x14ac:dyDescent="0.25">
      <c r="A109" s="10">
        <v>26</v>
      </c>
      <c r="B109" s="9">
        <v>0.1361111111111111</v>
      </c>
      <c r="C109" s="5" t="s">
        <v>208</v>
      </c>
      <c r="D109" s="5">
        <f t="shared" si="15"/>
        <v>7</v>
      </c>
      <c r="E109" s="14"/>
      <c r="F109" s="14" t="s">
        <v>48</v>
      </c>
      <c r="G109" s="12">
        <v>1.48</v>
      </c>
      <c r="H109" s="12">
        <v>2.52</v>
      </c>
      <c r="I109" s="12"/>
      <c r="J109" s="12"/>
      <c r="K109" s="12"/>
      <c r="L109" s="12"/>
      <c r="M109" s="12"/>
      <c r="N109" s="36">
        <f t="shared" si="16"/>
        <v>4</v>
      </c>
      <c r="O109" s="16">
        <f t="shared" si="17"/>
        <v>4.0426323462040614E-2</v>
      </c>
      <c r="P109" s="34">
        <v>8</v>
      </c>
      <c r="Q109" s="34">
        <v>10</v>
      </c>
      <c r="R109" s="34">
        <v>9</v>
      </c>
      <c r="S109" s="34">
        <v>9</v>
      </c>
      <c r="T109" s="34">
        <v>9</v>
      </c>
      <c r="U109" s="34">
        <v>9</v>
      </c>
      <c r="V109" s="34">
        <v>9</v>
      </c>
      <c r="W109" s="35" t="str">
        <f t="shared" si="12"/>
        <v>N</v>
      </c>
      <c r="X109" s="54">
        <f t="shared" si="13"/>
        <v>0</v>
      </c>
      <c r="Y109" s="54" t="str">
        <f t="shared" si="14"/>
        <v>0-4.9%</v>
      </c>
      <c r="Z109" s="8" t="s">
        <v>292</v>
      </c>
    </row>
    <row r="110" spans="1:26" ht="24" customHeight="1" x14ac:dyDescent="0.25">
      <c r="A110" s="10">
        <v>27</v>
      </c>
      <c r="B110" s="9">
        <v>0.13819444444444443</v>
      </c>
      <c r="C110" s="5" t="s">
        <v>209</v>
      </c>
      <c r="D110" s="5">
        <f t="shared" si="15"/>
        <v>7</v>
      </c>
      <c r="E110" s="14"/>
      <c r="F110" s="14" t="s">
        <v>48</v>
      </c>
      <c r="G110" s="12">
        <v>6.92</v>
      </c>
      <c r="H110" s="12">
        <v>11.192</v>
      </c>
      <c r="I110" s="12"/>
      <c r="J110" s="12"/>
      <c r="K110" s="12"/>
      <c r="L110" s="12"/>
      <c r="M110" s="12"/>
      <c r="N110" s="36">
        <f t="shared" si="16"/>
        <v>18.112000000000002</v>
      </c>
      <c r="O110" s="16">
        <f t="shared" si="17"/>
        <v>36.161224513228724</v>
      </c>
      <c r="P110" s="34">
        <v>8</v>
      </c>
      <c r="Q110" s="34">
        <v>10</v>
      </c>
      <c r="R110" s="34">
        <v>9</v>
      </c>
      <c r="S110" s="34">
        <v>9</v>
      </c>
      <c r="T110" s="34">
        <v>9</v>
      </c>
      <c r="U110" s="34">
        <v>9</v>
      </c>
      <c r="V110" s="34">
        <v>9</v>
      </c>
      <c r="W110" s="35" t="str">
        <f t="shared" si="12"/>
        <v>Y</v>
      </c>
      <c r="X110" s="54">
        <f t="shared" si="13"/>
        <v>0.11920000000000001</v>
      </c>
      <c r="Y110" s="54" t="str">
        <f t="shared" si="14"/>
        <v>5-25%</v>
      </c>
      <c r="Z110" s="8" t="s">
        <v>285</v>
      </c>
    </row>
    <row r="111" spans="1:26" ht="24" customHeight="1" x14ac:dyDescent="0.25">
      <c r="A111" s="10">
        <v>28</v>
      </c>
      <c r="B111" s="9">
        <v>0.13958333333333334</v>
      </c>
      <c r="C111" s="5" t="s">
        <v>210</v>
      </c>
      <c r="D111" s="5">
        <f t="shared" si="15"/>
        <v>7</v>
      </c>
      <c r="E111" s="14"/>
      <c r="F111" s="14" t="s">
        <v>48</v>
      </c>
      <c r="G111" s="12">
        <v>2.5</v>
      </c>
      <c r="H111" s="12">
        <v>1.7</v>
      </c>
      <c r="I111" s="12"/>
      <c r="J111" s="12"/>
      <c r="K111" s="12"/>
      <c r="L111" s="12"/>
      <c r="M111" s="12"/>
      <c r="N111" s="36">
        <f t="shared" si="16"/>
        <v>4.2</v>
      </c>
      <c r="O111" s="16">
        <f t="shared" si="17"/>
        <v>5.0351926590360536E-2</v>
      </c>
      <c r="P111" s="34">
        <v>8</v>
      </c>
      <c r="Q111" s="34">
        <v>10</v>
      </c>
      <c r="R111" s="34">
        <v>9</v>
      </c>
      <c r="S111" s="34">
        <v>9</v>
      </c>
      <c r="T111" s="34">
        <v>9</v>
      </c>
      <c r="U111" s="34">
        <v>9</v>
      </c>
      <c r="V111" s="34">
        <v>9</v>
      </c>
      <c r="W111" s="35" t="str">
        <f t="shared" si="12"/>
        <v>N</v>
      </c>
      <c r="X111" s="54">
        <f t="shared" si="13"/>
        <v>0</v>
      </c>
      <c r="Y111" s="54" t="str">
        <f t="shared" si="14"/>
        <v>0-4.9%</v>
      </c>
      <c r="Z111" s="8" t="s">
        <v>292</v>
      </c>
    </row>
    <row r="112" spans="1:26" ht="24" customHeight="1" x14ac:dyDescent="0.25">
      <c r="A112" s="10">
        <v>29</v>
      </c>
      <c r="B112" s="9">
        <v>0.14444444444444446</v>
      </c>
      <c r="C112" s="5" t="s">
        <v>211</v>
      </c>
      <c r="D112" s="5">
        <f t="shared" si="15"/>
        <v>7</v>
      </c>
      <c r="E112" s="14"/>
      <c r="F112" s="14" t="s">
        <v>48</v>
      </c>
      <c r="G112" s="12">
        <v>1.36</v>
      </c>
      <c r="H112" s="12">
        <v>1.3</v>
      </c>
      <c r="I112" s="12"/>
      <c r="J112" s="12"/>
      <c r="K112" s="12"/>
      <c r="L112" s="12"/>
      <c r="M112" s="12"/>
      <c r="N112" s="36">
        <f t="shared" si="16"/>
        <v>2.66</v>
      </c>
      <c r="O112" s="16">
        <f t="shared" si="17"/>
        <v>6.4470590859479317E-3</v>
      </c>
      <c r="P112" s="34">
        <v>8</v>
      </c>
      <c r="Q112" s="34">
        <v>10</v>
      </c>
      <c r="R112" s="34">
        <v>9</v>
      </c>
      <c r="S112" s="34">
        <v>9</v>
      </c>
      <c r="T112" s="34">
        <v>9</v>
      </c>
      <c r="U112" s="34">
        <v>9</v>
      </c>
      <c r="V112" s="34">
        <v>9</v>
      </c>
      <c r="W112" s="35" t="str">
        <f t="shared" si="12"/>
        <v>N</v>
      </c>
      <c r="X112" s="54">
        <f t="shared" si="13"/>
        <v>0</v>
      </c>
      <c r="Y112" s="54" t="str">
        <f t="shared" si="14"/>
        <v>0-4.9%</v>
      </c>
      <c r="Z112" s="8" t="s">
        <v>292</v>
      </c>
    </row>
    <row r="113" spans="1:26" ht="24" customHeight="1" x14ac:dyDescent="0.25">
      <c r="A113" s="10">
        <v>30</v>
      </c>
      <c r="B113" s="9">
        <v>0.14583333333333334</v>
      </c>
      <c r="C113" s="5" t="s">
        <v>212</v>
      </c>
      <c r="D113" s="5">
        <f t="shared" si="15"/>
        <v>7</v>
      </c>
      <c r="E113" s="14"/>
      <c r="F113" s="14" t="s">
        <v>48</v>
      </c>
      <c r="G113" s="12">
        <v>2.9</v>
      </c>
      <c r="H113" s="12">
        <v>7.8</v>
      </c>
      <c r="I113" s="12"/>
      <c r="J113" s="12"/>
      <c r="K113" s="12"/>
      <c r="L113" s="12"/>
      <c r="M113" s="12"/>
      <c r="N113" s="36">
        <f t="shared" si="16"/>
        <v>10.7</v>
      </c>
      <c r="O113" s="16">
        <f t="shared" si="17"/>
        <v>3.3854880501192883</v>
      </c>
      <c r="P113" s="34">
        <v>8</v>
      </c>
      <c r="Q113" s="34">
        <v>10</v>
      </c>
      <c r="R113" s="34">
        <v>9</v>
      </c>
      <c r="S113" s="34">
        <v>9</v>
      </c>
      <c r="T113" s="34">
        <v>9</v>
      </c>
      <c r="U113" s="34">
        <v>9</v>
      </c>
      <c r="V113" s="34">
        <v>9</v>
      </c>
      <c r="W113" s="35" t="str">
        <f t="shared" si="12"/>
        <v>N</v>
      </c>
      <c r="X113" s="54">
        <f t="shared" si="13"/>
        <v>0</v>
      </c>
      <c r="Y113" s="54" t="str">
        <f t="shared" si="14"/>
        <v>0-4.9%</v>
      </c>
      <c r="Z113" s="8" t="s">
        <v>227</v>
      </c>
    </row>
    <row r="114" spans="1:26" ht="24" customHeight="1" x14ac:dyDescent="0.25">
      <c r="A114" s="10">
        <v>31</v>
      </c>
      <c r="B114" s="9">
        <v>0.16666666666666666</v>
      </c>
      <c r="C114" s="5" t="s">
        <v>213</v>
      </c>
      <c r="D114" s="5">
        <f t="shared" si="15"/>
        <v>7</v>
      </c>
      <c r="E114" s="14"/>
      <c r="F114" s="14" t="s">
        <v>48</v>
      </c>
      <c r="G114" s="12">
        <v>2.2000000000000002</v>
      </c>
      <c r="H114" s="12">
        <v>2</v>
      </c>
      <c r="I114" s="12"/>
      <c r="J114" s="12"/>
      <c r="K114" s="12"/>
      <c r="L114" s="12"/>
      <c r="M114" s="12"/>
      <c r="N114" s="36">
        <f t="shared" si="16"/>
        <v>4.2</v>
      </c>
      <c r="O114" s="16">
        <f t="shared" si="17"/>
        <v>5.0351926590360536E-2</v>
      </c>
      <c r="P114" s="34">
        <v>8</v>
      </c>
      <c r="Q114" s="34">
        <v>10</v>
      </c>
      <c r="R114" s="34">
        <v>9</v>
      </c>
      <c r="S114" s="34">
        <v>9</v>
      </c>
      <c r="T114" s="34">
        <v>9</v>
      </c>
      <c r="U114" s="34">
        <v>9</v>
      </c>
      <c r="V114" s="34">
        <v>9</v>
      </c>
      <c r="W114" s="35" t="str">
        <f t="shared" si="12"/>
        <v>N</v>
      </c>
      <c r="X114" s="54">
        <f t="shared" si="13"/>
        <v>0</v>
      </c>
      <c r="Y114" s="54" t="str">
        <f t="shared" si="14"/>
        <v>0-4.9%</v>
      </c>
      <c r="Z114" s="8" t="s">
        <v>292</v>
      </c>
    </row>
    <row r="115" spans="1:26" ht="24" customHeight="1" x14ac:dyDescent="0.25">
      <c r="A115" s="10">
        <v>32</v>
      </c>
      <c r="B115" s="9">
        <v>0.17986111111111111</v>
      </c>
      <c r="C115" s="5" t="s">
        <v>214</v>
      </c>
      <c r="D115" s="5">
        <f t="shared" si="15"/>
        <v>7</v>
      </c>
      <c r="E115" s="14"/>
      <c r="F115" s="14" t="s">
        <v>48</v>
      </c>
      <c r="G115" s="12">
        <v>3.2</v>
      </c>
      <c r="H115" s="12">
        <v>5.82</v>
      </c>
      <c r="I115" s="12"/>
      <c r="J115" s="12"/>
      <c r="K115" s="12"/>
      <c r="L115" s="12"/>
      <c r="M115" s="12"/>
      <c r="N115" s="36">
        <f t="shared" si="16"/>
        <v>9.02</v>
      </c>
      <c r="O115" s="16">
        <f t="shared" si="17"/>
        <v>1.5697254680307622</v>
      </c>
      <c r="P115" s="34">
        <v>8</v>
      </c>
      <c r="Q115" s="34">
        <v>10</v>
      </c>
      <c r="R115" s="34">
        <v>9</v>
      </c>
      <c r="S115" s="34">
        <v>9</v>
      </c>
      <c r="T115" s="34">
        <v>9</v>
      </c>
      <c r="U115" s="34">
        <v>9</v>
      </c>
      <c r="V115" s="34">
        <v>9</v>
      </c>
      <c r="W115" s="35" t="str">
        <f t="shared" si="12"/>
        <v>N</v>
      </c>
      <c r="X115" s="54">
        <f t="shared" si="13"/>
        <v>0</v>
      </c>
      <c r="Y115" s="54" t="str">
        <f t="shared" si="14"/>
        <v>0-4.9%</v>
      </c>
      <c r="Z115" s="8" t="s">
        <v>318</v>
      </c>
    </row>
    <row r="116" spans="1:26" ht="24" customHeight="1" x14ac:dyDescent="0.25">
      <c r="A116" s="10">
        <v>33</v>
      </c>
      <c r="B116" s="9">
        <v>0.20555555555555557</v>
      </c>
      <c r="C116" s="5" t="s">
        <v>215</v>
      </c>
      <c r="D116" s="5">
        <f t="shared" si="15"/>
        <v>7</v>
      </c>
      <c r="E116" s="14"/>
      <c r="F116" s="14" t="s">
        <v>48</v>
      </c>
      <c r="G116" s="12">
        <v>2.34</v>
      </c>
      <c r="H116" s="12">
        <v>7.64</v>
      </c>
      <c r="I116" s="12"/>
      <c r="J116" s="12"/>
      <c r="K116" s="12"/>
      <c r="L116" s="12"/>
      <c r="M116" s="12"/>
      <c r="N116" s="36">
        <f t="shared" si="16"/>
        <v>9.98</v>
      </c>
      <c r="O116" s="16">
        <f t="shared" si="17"/>
        <v>2.4744673136874811</v>
      </c>
      <c r="P116" s="34">
        <v>8</v>
      </c>
      <c r="Q116" s="34">
        <v>10</v>
      </c>
      <c r="R116" s="34">
        <v>9</v>
      </c>
      <c r="S116" s="34">
        <v>9</v>
      </c>
      <c r="T116" s="34">
        <v>9</v>
      </c>
      <c r="U116" s="34">
        <v>9</v>
      </c>
      <c r="V116" s="34">
        <v>9</v>
      </c>
      <c r="W116" s="35" t="str">
        <f t="shared" si="12"/>
        <v>N</v>
      </c>
      <c r="X116" s="54">
        <f t="shared" si="13"/>
        <v>0</v>
      </c>
      <c r="Y116" s="54" t="str">
        <f t="shared" si="14"/>
        <v>0-4.9%</v>
      </c>
      <c r="Z116" s="8" t="s">
        <v>285</v>
      </c>
    </row>
    <row r="117" spans="1:26" ht="24" customHeight="1" x14ac:dyDescent="0.25">
      <c r="A117" s="10">
        <v>34</v>
      </c>
      <c r="B117" s="9">
        <v>0.22569444444444445</v>
      </c>
      <c r="C117" s="5" t="s">
        <v>216</v>
      </c>
      <c r="D117" s="5">
        <f t="shared" si="15"/>
        <v>7</v>
      </c>
      <c r="E117" s="14"/>
      <c r="F117" s="14" t="s">
        <v>48</v>
      </c>
      <c r="G117" s="12">
        <v>2.1</v>
      </c>
      <c r="H117" s="12">
        <v>1.9</v>
      </c>
      <c r="I117" s="12"/>
      <c r="J117" s="12"/>
      <c r="K117" s="12"/>
      <c r="L117" s="12"/>
      <c r="M117" s="12"/>
      <c r="N117" s="36">
        <f t="shared" si="16"/>
        <v>4</v>
      </c>
      <c r="O117" s="16">
        <f t="shared" si="17"/>
        <v>4.0426323462040614E-2</v>
      </c>
      <c r="P117" s="34">
        <v>8</v>
      </c>
      <c r="Q117" s="34">
        <v>10</v>
      </c>
      <c r="R117" s="34">
        <v>9</v>
      </c>
      <c r="S117" s="34">
        <v>9</v>
      </c>
      <c r="T117" s="34">
        <v>9</v>
      </c>
      <c r="U117" s="34">
        <v>9</v>
      </c>
      <c r="V117" s="34">
        <v>9</v>
      </c>
      <c r="W117" s="35" t="str">
        <f t="shared" si="12"/>
        <v>N</v>
      </c>
      <c r="X117" s="54">
        <f t="shared" si="13"/>
        <v>0</v>
      </c>
      <c r="Y117" s="54" t="str">
        <f t="shared" si="14"/>
        <v>0-4.9%</v>
      </c>
      <c r="Z117" s="8" t="s">
        <v>292</v>
      </c>
    </row>
    <row r="118" spans="1:26" ht="24" customHeight="1" x14ac:dyDescent="0.25">
      <c r="A118" s="10">
        <v>35</v>
      </c>
      <c r="B118" s="9">
        <v>0.24236111111111111</v>
      </c>
      <c r="C118" s="5" t="s">
        <v>217</v>
      </c>
      <c r="D118" s="5">
        <f t="shared" si="15"/>
        <v>7</v>
      </c>
      <c r="E118" s="14"/>
      <c r="F118" s="14" t="s">
        <v>48</v>
      </c>
      <c r="G118" s="12">
        <v>2.4500000000000002</v>
      </c>
      <c r="H118" s="12">
        <v>6.63</v>
      </c>
      <c r="I118" s="12"/>
      <c r="J118" s="12"/>
      <c r="K118" s="12"/>
      <c r="L118" s="12"/>
      <c r="M118" s="12"/>
      <c r="N118" s="36">
        <f t="shared" si="16"/>
        <v>9.08</v>
      </c>
      <c r="O118" s="16">
        <f t="shared" si="17"/>
        <v>1.6172628255313029</v>
      </c>
      <c r="P118" s="34">
        <v>8</v>
      </c>
      <c r="Q118" s="34">
        <v>10</v>
      </c>
      <c r="R118" s="34">
        <v>9</v>
      </c>
      <c r="S118" s="34">
        <v>9</v>
      </c>
      <c r="T118" s="34">
        <v>9</v>
      </c>
      <c r="U118" s="34">
        <v>9</v>
      </c>
      <c r="V118" s="34">
        <v>9</v>
      </c>
      <c r="W118" s="35" t="str">
        <f t="shared" si="12"/>
        <v>N</v>
      </c>
      <c r="X118" s="54">
        <f t="shared" si="13"/>
        <v>0</v>
      </c>
      <c r="Y118" s="54" t="str">
        <f t="shared" si="14"/>
        <v>0-4.9%</v>
      </c>
      <c r="Z118" s="8" t="s">
        <v>281</v>
      </c>
    </row>
    <row r="119" spans="1:26" ht="24" customHeight="1" x14ac:dyDescent="0.25">
      <c r="A119" s="10">
        <v>36</v>
      </c>
      <c r="B119" s="9">
        <v>0.24791666666666667</v>
      </c>
      <c r="C119" s="5" t="s">
        <v>218</v>
      </c>
      <c r="D119" s="5">
        <f t="shared" si="15"/>
        <v>7</v>
      </c>
      <c r="E119" s="14"/>
      <c r="F119" s="14" t="s">
        <v>48</v>
      </c>
      <c r="G119" s="12">
        <v>2.48</v>
      </c>
      <c r="H119" s="12">
        <v>5.0599999999999996</v>
      </c>
      <c r="I119" s="12"/>
      <c r="J119" s="12"/>
      <c r="K119" s="12"/>
      <c r="L119" s="12"/>
      <c r="M119" s="12"/>
      <c r="N119" s="36">
        <f t="shared" si="16"/>
        <v>7.5399999999999991</v>
      </c>
      <c r="O119" s="16">
        <f t="shared" si="17"/>
        <v>0.70075360721420177</v>
      </c>
      <c r="P119" s="34">
        <v>8</v>
      </c>
      <c r="Q119" s="34">
        <v>10</v>
      </c>
      <c r="R119" s="34">
        <v>9</v>
      </c>
      <c r="S119" s="34">
        <v>9</v>
      </c>
      <c r="T119" s="34">
        <v>9</v>
      </c>
      <c r="U119" s="34">
        <v>9</v>
      </c>
      <c r="V119" s="34">
        <v>9</v>
      </c>
      <c r="W119" s="35" t="str">
        <f t="shared" si="12"/>
        <v>N</v>
      </c>
      <c r="X119" s="54">
        <f t="shared" si="13"/>
        <v>0</v>
      </c>
      <c r="Y119" s="54" t="str">
        <f t="shared" si="14"/>
        <v>0-4.9%</v>
      </c>
      <c r="Z119" s="8" t="s">
        <v>318</v>
      </c>
    </row>
    <row r="120" spans="1:26" ht="24" customHeight="1" x14ac:dyDescent="0.25">
      <c r="A120" s="10">
        <v>38</v>
      </c>
      <c r="B120" s="9">
        <v>0.26527777777777778</v>
      </c>
      <c r="C120" s="5" t="s">
        <v>220</v>
      </c>
      <c r="D120" s="5">
        <f t="shared" si="15"/>
        <v>7</v>
      </c>
      <c r="E120" s="14"/>
      <c r="F120" s="14" t="s">
        <v>48</v>
      </c>
      <c r="G120" s="12">
        <v>2.6</v>
      </c>
      <c r="H120" s="12">
        <v>5.44</v>
      </c>
      <c r="I120" s="12"/>
      <c r="J120" s="12"/>
      <c r="K120" s="12"/>
      <c r="L120" s="12"/>
      <c r="M120" s="12"/>
      <c r="N120" s="36">
        <f t="shared" si="16"/>
        <v>8.0400000000000009</v>
      </c>
      <c r="O120" s="16">
        <f t="shared" si="17"/>
        <v>0.93550584430646699</v>
      </c>
      <c r="P120" s="34">
        <v>8</v>
      </c>
      <c r="Q120" s="34">
        <v>10</v>
      </c>
      <c r="R120" s="34">
        <v>9</v>
      </c>
      <c r="S120" s="34">
        <v>9</v>
      </c>
      <c r="T120" s="34">
        <v>9</v>
      </c>
      <c r="U120" s="34">
        <v>9</v>
      </c>
      <c r="V120" s="34">
        <v>9</v>
      </c>
      <c r="W120" s="35" t="str">
        <f t="shared" si="12"/>
        <v>N</v>
      </c>
      <c r="X120" s="54">
        <f t="shared" si="13"/>
        <v>0</v>
      </c>
      <c r="Y120" s="54" t="str">
        <f t="shared" si="14"/>
        <v>0-4.9%</v>
      </c>
      <c r="Z120" s="8" t="s">
        <v>281</v>
      </c>
    </row>
    <row r="121" spans="1:26" ht="24" customHeight="1" x14ac:dyDescent="0.25">
      <c r="A121" s="10">
        <v>39</v>
      </c>
      <c r="B121" s="9">
        <v>0.26666666666666666</v>
      </c>
      <c r="C121" s="5" t="s">
        <v>221</v>
      </c>
      <c r="D121" s="5">
        <f t="shared" si="15"/>
        <v>7</v>
      </c>
      <c r="E121" s="14"/>
      <c r="F121" s="14" t="s">
        <v>48</v>
      </c>
      <c r="G121" s="12">
        <v>2.08</v>
      </c>
      <c r="H121" s="12">
        <v>5.46</v>
      </c>
      <c r="I121" s="12"/>
      <c r="J121" s="12"/>
      <c r="K121" s="12"/>
      <c r="L121" s="12"/>
      <c r="M121" s="12"/>
      <c r="N121" s="36">
        <f t="shared" si="16"/>
        <v>7.54</v>
      </c>
      <c r="O121" s="16">
        <f t="shared" si="17"/>
        <v>0.7007536072142021</v>
      </c>
      <c r="P121" s="34">
        <v>8</v>
      </c>
      <c r="Q121" s="34">
        <v>10</v>
      </c>
      <c r="R121" s="34">
        <v>9</v>
      </c>
      <c r="S121" s="34">
        <v>9</v>
      </c>
      <c r="T121" s="34">
        <v>9</v>
      </c>
      <c r="U121" s="34">
        <v>9</v>
      </c>
      <c r="V121" s="34">
        <v>9</v>
      </c>
      <c r="W121" s="35" t="str">
        <f t="shared" si="12"/>
        <v>N</v>
      </c>
      <c r="X121" s="54">
        <f t="shared" si="13"/>
        <v>0</v>
      </c>
      <c r="Y121" s="54" t="str">
        <f t="shared" si="14"/>
        <v>0-4.9%</v>
      </c>
      <c r="Z121" s="8" t="s">
        <v>292</v>
      </c>
    </row>
    <row r="122" spans="1:26" ht="24" customHeight="1" x14ac:dyDescent="0.25">
      <c r="A122" s="10">
        <v>43</v>
      </c>
      <c r="B122" s="9">
        <v>0.28680555555555554</v>
      </c>
      <c r="C122" s="5" t="s">
        <v>225</v>
      </c>
      <c r="D122" s="5">
        <f t="shared" si="15"/>
        <v>7</v>
      </c>
      <c r="E122" s="14"/>
      <c r="F122" s="14" t="s">
        <v>48</v>
      </c>
      <c r="G122" s="12">
        <v>2.04</v>
      </c>
      <c r="H122" s="12">
        <v>6.1</v>
      </c>
      <c r="I122" s="12"/>
      <c r="J122" s="12"/>
      <c r="K122" s="12"/>
      <c r="L122" s="12"/>
      <c r="M122" s="12"/>
      <c r="N122" s="36">
        <f t="shared" si="16"/>
        <v>8.14</v>
      </c>
      <c r="O122" s="16">
        <f t="shared" si="17"/>
        <v>0.98901779922518473</v>
      </c>
      <c r="P122" s="34">
        <v>8</v>
      </c>
      <c r="Q122" s="34">
        <v>10</v>
      </c>
      <c r="R122" s="34">
        <v>9</v>
      </c>
      <c r="S122" s="34">
        <v>9</v>
      </c>
      <c r="T122" s="34">
        <v>9</v>
      </c>
      <c r="U122" s="34">
        <v>9</v>
      </c>
      <c r="V122" s="34">
        <v>9</v>
      </c>
      <c r="W122" s="35" t="str">
        <f t="shared" si="12"/>
        <v>N</v>
      </c>
      <c r="X122" s="54">
        <f t="shared" si="13"/>
        <v>0</v>
      </c>
      <c r="Y122" s="54" t="str">
        <f t="shared" si="14"/>
        <v>0-4.9%</v>
      </c>
      <c r="Z122" s="8" t="s">
        <v>281</v>
      </c>
    </row>
    <row r="123" spans="1:26" ht="24" customHeight="1" x14ac:dyDescent="0.25">
      <c r="A123" s="10">
        <v>33</v>
      </c>
      <c r="B123" s="9">
        <v>0.19999999999999998</v>
      </c>
      <c r="C123" s="5" t="s">
        <v>87</v>
      </c>
      <c r="D123" s="5">
        <f t="shared" si="15"/>
        <v>9</v>
      </c>
      <c r="E123" s="14"/>
      <c r="F123" s="14" t="s">
        <v>102</v>
      </c>
      <c r="G123" s="12">
        <v>4.0599999999999996</v>
      </c>
      <c r="H123" s="12">
        <v>4.4800000000000004</v>
      </c>
      <c r="I123" s="12">
        <v>3.92</v>
      </c>
      <c r="J123" s="12"/>
      <c r="K123" s="12"/>
      <c r="L123" s="12"/>
      <c r="M123" s="12"/>
      <c r="N123" s="36">
        <f t="shared" si="16"/>
        <v>12.459999999999999</v>
      </c>
      <c r="O123" s="16">
        <f t="shared" si="17"/>
        <v>6.7177753439926189</v>
      </c>
      <c r="P123" s="34">
        <v>8</v>
      </c>
      <c r="Q123" s="34">
        <v>10</v>
      </c>
      <c r="R123" s="34">
        <v>9</v>
      </c>
      <c r="S123" s="34">
        <v>9</v>
      </c>
      <c r="T123" s="34">
        <v>9</v>
      </c>
      <c r="U123" s="34">
        <v>9</v>
      </c>
      <c r="V123" s="34">
        <v>9</v>
      </c>
      <c r="W123" s="35" t="str">
        <f t="shared" si="12"/>
        <v>N</v>
      </c>
      <c r="X123" s="54">
        <f t="shared" si="13"/>
        <v>0</v>
      </c>
      <c r="Y123" s="54" t="str">
        <f t="shared" si="14"/>
        <v>0-4.9%</v>
      </c>
      <c r="Z123" s="8" t="s">
        <v>289</v>
      </c>
    </row>
    <row r="124" spans="1:26" ht="24" customHeight="1" x14ac:dyDescent="0.25">
      <c r="A124" s="10">
        <v>40</v>
      </c>
      <c r="B124" s="9">
        <v>0.27291666666666664</v>
      </c>
      <c r="C124" s="5" t="s">
        <v>222</v>
      </c>
      <c r="D124" s="5">
        <f t="shared" si="15"/>
        <v>9</v>
      </c>
      <c r="E124" s="14"/>
      <c r="F124" s="14" t="s">
        <v>226</v>
      </c>
      <c r="G124" s="12">
        <v>1.04</v>
      </c>
      <c r="H124" s="12">
        <v>2.73</v>
      </c>
      <c r="I124" s="12">
        <v>0.54600000000000004</v>
      </c>
      <c r="J124" s="12"/>
      <c r="K124" s="12"/>
      <c r="L124" s="12"/>
      <c r="M124" s="12"/>
      <c r="N124" s="36">
        <f t="shared" si="16"/>
        <v>4.3159999999999998</v>
      </c>
      <c r="O124" s="16">
        <f t="shared" si="17"/>
        <v>5.6919456908943906E-2</v>
      </c>
      <c r="P124" s="34">
        <v>8</v>
      </c>
      <c r="Q124" s="34">
        <v>10</v>
      </c>
      <c r="R124" s="34">
        <v>9</v>
      </c>
      <c r="S124" s="34">
        <v>9</v>
      </c>
      <c r="T124" s="34">
        <v>9</v>
      </c>
      <c r="U124" s="34">
        <v>9</v>
      </c>
      <c r="V124" s="34">
        <v>9</v>
      </c>
      <c r="W124" s="35" t="str">
        <f t="shared" si="12"/>
        <v>N</v>
      </c>
      <c r="X124" s="54">
        <f t="shared" si="13"/>
        <v>0</v>
      </c>
      <c r="Y124" s="54" t="str">
        <f t="shared" si="14"/>
        <v>0-4.9%</v>
      </c>
      <c r="Z124" s="8" t="s">
        <v>292</v>
      </c>
    </row>
    <row r="125" spans="1:26" ht="24" customHeight="1" x14ac:dyDescent="0.25">
      <c r="A125" s="10">
        <v>41</v>
      </c>
      <c r="B125" s="9">
        <v>0.27847222222222223</v>
      </c>
      <c r="C125" s="5" t="s">
        <v>223</v>
      </c>
      <c r="D125" s="5">
        <f t="shared" si="15"/>
        <v>9</v>
      </c>
      <c r="E125" s="14"/>
      <c r="F125" s="14" t="s">
        <v>226</v>
      </c>
      <c r="G125" s="12">
        <v>2.8450000000000002</v>
      </c>
      <c r="H125" s="12">
        <v>2.8450000000000002</v>
      </c>
      <c r="I125" s="12">
        <v>0.51600000000000001</v>
      </c>
      <c r="J125" s="12"/>
      <c r="K125" s="12"/>
      <c r="L125" s="12"/>
      <c r="M125" s="12"/>
      <c r="N125" s="36">
        <f t="shared" si="16"/>
        <v>6.2060000000000004</v>
      </c>
      <c r="O125" s="16">
        <f t="shared" si="17"/>
        <v>0.29177444808170327</v>
      </c>
      <c r="P125" s="34">
        <v>8</v>
      </c>
      <c r="Q125" s="34">
        <v>10</v>
      </c>
      <c r="R125" s="34">
        <v>9</v>
      </c>
      <c r="S125" s="34">
        <v>9</v>
      </c>
      <c r="T125" s="34">
        <v>9</v>
      </c>
      <c r="U125" s="34">
        <v>9</v>
      </c>
      <c r="V125" s="34">
        <v>9</v>
      </c>
      <c r="W125" s="35" t="str">
        <f t="shared" si="12"/>
        <v>N</v>
      </c>
      <c r="X125" s="54">
        <f t="shared" si="13"/>
        <v>0</v>
      </c>
      <c r="Y125" s="54" t="str">
        <f t="shared" si="14"/>
        <v>0-4.9%</v>
      </c>
      <c r="Z125" s="8" t="s">
        <v>281</v>
      </c>
    </row>
    <row r="126" spans="1:26" ht="24" customHeight="1" x14ac:dyDescent="0.25">
      <c r="A126" s="10">
        <v>2</v>
      </c>
      <c r="B126" s="9">
        <v>0.33958333333333335</v>
      </c>
      <c r="C126" s="5" t="s">
        <v>56</v>
      </c>
      <c r="D126" s="5">
        <f t="shared" si="15"/>
        <v>10</v>
      </c>
      <c r="E126" s="14"/>
      <c r="F126" s="14" t="s">
        <v>49</v>
      </c>
      <c r="G126" s="12">
        <v>7.52</v>
      </c>
      <c r="H126" s="12">
        <v>9.86</v>
      </c>
      <c r="I126" s="12">
        <v>2.0499999999999998</v>
      </c>
      <c r="J126" s="12">
        <v>11.32</v>
      </c>
      <c r="K126" s="12">
        <v>5.41</v>
      </c>
      <c r="L126" s="12"/>
      <c r="M126" s="12"/>
      <c r="N126" s="36">
        <f t="shared" si="16"/>
        <v>36.159999999999997</v>
      </c>
      <c r="O126" s="16">
        <f t="shared" si="17"/>
        <v>811.74978771349333</v>
      </c>
      <c r="P126" s="34">
        <v>8</v>
      </c>
      <c r="Q126" s="34">
        <v>10</v>
      </c>
      <c r="R126" s="34">
        <v>9</v>
      </c>
      <c r="S126" s="34">
        <v>9</v>
      </c>
      <c r="T126" s="34">
        <v>9</v>
      </c>
      <c r="U126" s="34">
        <v>9</v>
      </c>
      <c r="V126" s="34">
        <v>9</v>
      </c>
      <c r="W126" s="35" t="str">
        <f t="shared" si="12"/>
        <v>Y</v>
      </c>
      <c r="X126" s="54">
        <f t="shared" si="13"/>
        <v>0.23200000000000004</v>
      </c>
      <c r="Y126" s="54" t="str">
        <f t="shared" si="14"/>
        <v>5-25%</v>
      </c>
      <c r="Z126" s="8" t="s">
        <v>281</v>
      </c>
    </row>
    <row r="127" spans="1:26" ht="24" customHeight="1" x14ac:dyDescent="0.25">
      <c r="A127" s="10">
        <v>10</v>
      </c>
      <c r="B127" s="9">
        <v>0.45069444444444445</v>
      </c>
      <c r="C127" s="5" t="s">
        <v>64</v>
      </c>
      <c r="D127" s="5">
        <f t="shared" si="15"/>
        <v>10</v>
      </c>
      <c r="E127" s="14"/>
      <c r="F127" s="14" t="s">
        <v>50</v>
      </c>
      <c r="G127" s="12">
        <v>5.0199999999999996</v>
      </c>
      <c r="H127" s="12">
        <v>6.92</v>
      </c>
      <c r="I127" s="12">
        <v>7.38</v>
      </c>
      <c r="J127" s="12">
        <v>11.52</v>
      </c>
      <c r="K127" s="12">
        <v>11.86</v>
      </c>
      <c r="L127" s="12">
        <v>1.202</v>
      </c>
      <c r="M127" s="12"/>
      <c r="N127" s="36">
        <f t="shared" si="16"/>
        <v>43.902000000000001</v>
      </c>
      <c r="O127" s="16">
        <f t="shared" si="17"/>
        <v>1943.4512895046441</v>
      </c>
      <c r="P127" s="34">
        <v>8</v>
      </c>
      <c r="Q127" s="34">
        <v>10</v>
      </c>
      <c r="R127" s="34">
        <v>9</v>
      </c>
      <c r="S127" s="34">
        <v>9</v>
      </c>
      <c r="T127" s="34">
        <v>9</v>
      </c>
      <c r="U127" s="34">
        <v>9</v>
      </c>
      <c r="V127" s="34">
        <v>9</v>
      </c>
      <c r="W127" s="35" t="str">
        <f t="shared" si="12"/>
        <v>Y</v>
      </c>
      <c r="X127" s="54">
        <f t="shared" si="13"/>
        <v>0.28599999999999992</v>
      </c>
      <c r="Y127" s="54" t="str">
        <f t="shared" si="14"/>
        <v>25-50%</v>
      </c>
      <c r="Z127" s="8" t="s">
        <v>318</v>
      </c>
    </row>
    <row r="128" spans="1:26" ht="24" customHeight="1" x14ac:dyDescent="0.25">
      <c r="A128" s="10">
        <v>42</v>
      </c>
      <c r="B128" s="9">
        <v>0.2638888888888889</v>
      </c>
      <c r="C128" s="5" t="s">
        <v>96</v>
      </c>
      <c r="D128" s="5">
        <f t="shared" si="15"/>
        <v>10</v>
      </c>
      <c r="E128" s="14"/>
      <c r="F128" s="14" t="s">
        <v>103</v>
      </c>
      <c r="G128" s="12">
        <v>3.05</v>
      </c>
      <c r="H128" s="12">
        <v>4.96</v>
      </c>
      <c r="I128" s="12">
        <v>4.4400000000000004</v>
      </c>
      <c r="J128" s="12">
        <v>3.37</v>
      </c>
      <c r="K128" s="12">
        <v>4.47</v>
      </c>
      <c r="L128" s="12">
        <v>3.66</v>
      </c>
      <c r="M128" s="12">
        <v>3.96</v>
      </c>
      <c r="N128" s="36">
        <f t="shared" si="16"/>
        <v>27.91</v>
      </c>
      <c r="O128" s="16">
        <f t="shared" si="17"/>
        <v>253.11247460005586</v>
      </c>
      <c r="P128" s="34">
        <v>8</v>
      </c>
      <c r="Q128" s="34">
        <v>10</v>
      </c>
      <c r="R128" s="34">
        <v>9</v>
      </c>
      <c r="S128" s="34">
        <v>9</v>
      </c>
      <c r="T128" s="34">
        <v>9</v>
      </c>
      <c r="U128" s="34">
        <v>9</v>
      </c>
      <c r="V128" s="34">
        <v>9</v>
      </c>
      <c r="W128" s="35" t="str">
        <f t="shared" si="12"/>
        <v>N</v>
      </c>
      <c r="X128" s="54">
        <f t="shared" si="13"/>
        <v>0</v>
      </c>
      <c r="Y128" s="54" t="str">
        <f t="shared" si="14"/>
        <v>0-4.9%</v>
      </c>
      <c r="Z128" s="8" t="s">
        <v>292</v>
      </c>
    </row>
    <row r="129" spans="1:26" ht="24" customHeight="1" x14ac:dyDescent="0.25">
      <c r="A129" s="10">
        <v>46</v>
      </c>
      <c r="B129" s="9">
        <v>0.28263888888888888</v>
      </c>
      <c r="C129" s="5" t="s">
        <v>100</v>
      </c>
      <c r="D129" s="5">
        <f t="shared" si="15"/>
        <v>10</v>
      </c>
      <c r="E129" s="14"/>
      <c r="F129" s="14" t="s">
        <v>49</v>
      </c>
      <c r="G129" s="12">
        <v>3.72</v>
      </c>
      <c r="H129" s="12">
        <v>6.44</v>
      </c>
      <c r="I129" s="12">
        <v>6.77</v>
      </c>
      <c r="J129" s="12">
        <v>6.74</v>
      </c>
      <c r="K129" s="12">
        <v>2.06</v>
      </c>
      <c r="L129" s="12"/>
      <c r="M129" s="12"/>
      <c r="N129" s="36">
        <f t="shared" si="16"/>
        <v>25.73</v>
      </c>
      <c r="O129" s="16">
        <f t="shared" si="17"/>
        <v>175.53888019272941</v>
      </c>
      <c r="P129" s="34">
        <v>8</v>
      </c>
      <c r="Q129" s="34">
        <v>10</v>
      </c>
      <c r="R129" s="34">
        <v>9</v>
      </c>
      <c r="S129" s="34">
        <v>9</v>
      </c>
      <c r="T129" s="34">
        <v>9</v>
      </c>
      <c r="U129" s="34">
        <v>9</v>
      </c>
      <c r="V129" s="34">
        <v>9</v>
      </c>
      <c r="W129" s="35" t="str">
        <f t="shared" si="12"/>
        <v>N</v>
      </c>
      <c r="X129" s="54">
        <f t="shared" si="13"/>
        <v>0</v>
      </c>
      <c r="Y129" s="54" t="str">
        <f t="shared" si="14"/>
        <v>0-4.9%</v>
      </c>
      <c r="Z129" s="8" t="s">
        <v>289</v>
      </c>
    </row>
    <row r="130" spans="1:26" ht="24" customHeight="1" x14ac:dyDescent="0.25">
      <c r="A130" s="10">
        <v>37</v>
      </c>
      <c r="B130" s="9">
        <v>0.26111111111111113</v>
      </c>
      <c r="C130" s="5" t="s">
        <v>162</v>
      </c>
      <c r="D130" s="5">
        <f t="shared" si="15"/>
        <v>10</v>
      </c>
      <c r="E130" s="14"/>
      <c r="F130" s="14" t="s">
        <v>165</v>
      </c>
      <c r="G130" s="12">
        <v>2.4649999999999999</v>
      </c>
      <c r="H130" s="12">
        <v>1.47</v>
      </c>
      <c r="I130" s="12">
        <v>2.15</v>
      </c>
      <c r="J130" s="12">
        <v>2.66</v>
      </c>
      <c r="K130" s="12"/>
      <c r="L130" s="12"/>
      <c r="M130" s="12"/>
      <c r="N130" s="36">
        <f t="shared" si="16"/>
        <v>8.7449999999999992</v>
      </c>
      <c r="O130" s="16">
        <f t="shared" si="17"/>
        <v>1.3655683665529017</v>
      </c>
      <c r="P130" s="34">
        <v>8</v>
      </c>
      <c r="Q130" s="34">
        <v>10</v>
      </c>
      <c r="R130" s="34">
        <v>9</v>
      </c>
      <c r="S130" s="34">
        <v>9</v>
      </c>
      <c r="T130" s="34">
        <v>9</v>
      </c>
      <c r="U130" s="34">
        <v>9</v>
      </c>
      <c r="V130" s="34">
        <v>9</v>
      </c>
      <c r="W130" s="35" t="str">
        <f t="shared" si="12"/>
        <v>N</v>
      </c>
      <c r="X130" s="54">
        <f t="shared" si="13"/>
        <v>0</v>
      </c>
      <c r="Y130" s="54" t="str">
        <f t="shared" si="14"/>
        <v>0-4.9%</v>
      </c>
      <c r="Z130" s="8" t="s">
        <v>292</v>
      </c>
    </row>
    <row r="131" spans="1:26" ht="24" customHeight="1" x14ac:dyDescent="0.25">
      <c r="A131" s="10">
        <v>8</v>
      </c>
      <c r="B131" s="9">
        <v>0.35347222222222219</v>
      </c>
      <c r="C131" s="5" t="s">
        <v>190</v>
      </c>
      <c r="D131" s="5">
        <f t="shared" si="15"/>
        <v>10</v>
      </c>
      <c r="E131" s="14"/>
      <c r="F131" s="14" t="s">
        <v>165</v>
      </c>
      <c r="G131" s="12">
        <v>5.14</v>
      </c>
      <c r="H131" s="12">
        <v>9.58</v>
      </c>
      <c r="I131" s="12">
        <v>13.38</v>
      </c>
      <c r="J131" s="12">
        <v>3.02</v>
      </c>
      <c r="K131" s="12"/>
      <c r="L131" s="12"/>
      <c r="M131" s="12"/>
      <c r="N131" s="36">
        <f t="shared" si="16"/>
        <v>31.12</v>
      </c>
      <c r="O131" s="16">
        <f t="shared" si="17"/>
        <v>413.11639713236798</v>
      </c>
      <c r="P131" s="34">
        <v>8</v>
      </c>
      <c r="Q131" s="34">
        <v>10</v>
      </c>
      <c r="R131" s="34">
        <v>9</v>
      </c>
      <c r="S131" s="34">
        <v>9</v>
      </c>
      <c r="T131" s="34">
        <v>9</v>
      </c>
      <c r="U131" s="34">
        <v>9</v>
      </c>
      <c r="V131" s="34">
        <v>9</v>
      </c>
      <c r="W131" s="35" t="str">
        <f t="shared" si="12"/>
        <v>Y</v>
      </c>
      <c r="X131" s="54">
        <f t="shared" si="13"/>
        <v>0.43800000000000006</v>
      </c>
      <c r="Y131" s="54" t="str">
        <f t="shared" si="14"/>
        <v>25-50%</v>
      </c>
      <c r="Z131" s="8" t="s">
        <v>289</v>
      </c>
    </row>
    <row r="132" spans="1:26" ht="24" customHeight="1" x14ac:dyDescent="0.25">
      <c r="A132" s="10">
        <v>23</v>
      </c>
      <c r="B132" s="9">
        <v>9.6527777777777768E-2</v>
      </c>
      <c r="C132" s="5" t="s">
        <v>205</v>
      </c>
      <c r="D132" s="5">
        <f t="shared" si="15"/>
        <v>10</v>
      </c>
      <c r="E132" s="14"/>
      <c r="F132" s="14" t="s">
        <v>49</v>
      </c>
      <c r="G132" s="12">
        <v>4.5</v>
      </c>
      <c r="H132" s="12">
        <v>9.32</v>
      </c>
      <c r="I132" s="12">
        <v>10.72</v>
      </c>
      <c r="J132" s="12">
        <v>10.65</v>
      </c>
      <c r="K132" s="12">
        <v>4.43</v>
      </c>
      <c r="L132" s="12"/>
      <c r="M132" s="12"/>
      <c r="N132" s="36">
        <f t="shared" si="16"/>
        <v>39.619999999999997</v>
      </c>
      <c r="O132" s="16">
        <f t="shared" si="17"/>
        <v>1224.6427224847957</v>
      </c>
      <c r="P132" s="34">
        <v>8</v>
      </c>
      <c r="Q132" s="34">
        <v>10</v>
      </c>
      <c r="R132" s="34">
        <v>9</v>
      </c>
      <c r="S132" s="34">
        <v>9</v>
      </c>
      <c r="T132" s="34">
        <v>9</v>
      </c>
      <c r="U132" s="34">
        <v>9</v>
      </c>
      <c r="V132" s="34">
        <v>9</v>
      </c>
      <c r="W132" s="35" t="str">
        <f t="shared" si="12"/>
        <v>Y</v>
      </c>
      <c r="X132" s="54">
        <f t="shared" si="13"/>
        <v>0.17200000000000007</v>
      </c>
      <c r="Y132" s="54" t="str">
        <f t="shared" si="14"/>
        <v>5-25%</v>
      </c>
      <c r="Z132" s="8" t="s">
        <v>289</v>
      </c>
    </row>
    <row r="133" spans="1:26" ht="24" customHeight="1" x14ac:dyDescent="0.25">
      <c r="A133" s="10">
        <v>37</v>
      </c>
      <c r="B133" s="9">
        <v>0.26319444444444445</v>
      </c>
      <c r="C133" s="5" t="s">
        <v>219</v>
      </c>
      <c r="D133" s="5">
        <f t="shared" si="15"/>
        <v>10</v>
      </c>
      <c r="E133" s="14"/>
      <c r="F133" s="14" t="s">
        <v>50</v>
      </c>
      <c r="G133" s="12">
        <v>5.44</v>
      </c>
      <c r="H133" s="12">
        <v>8.1199999999999992</v>
      </c>
      <c r="I133" s="12">
        <v>9.66</v>
      </c>
      <c r="J133" s="12">
        <v>6.44</v>
      </c>
      <c r="K133" s="12">
        <v>1.82</v>
      </c>
      <c r="L133" s="12">
        <v>4.78</v>
      </c>
      <c r="M133" s="12"/>
      <c r="N133" s="36">
        <f t="shared" si="16"/>
        <v>36.26</v>
      </c>
      <c r="O133" s="16">
        <f t="shared" si="17"/>
        <v>821.90076471555142</v>
      </c>
      <c r="P133" s="34">
        <v>8</v>
      </c>
      <c r="Q133" s="34">
        <v>10</v>
      </c>
      <c r="R133" s="34">
        <v>9</v>
      </c>
      <c r="S133" s="34">
        <v>9</v>
      </c>
      <c r="T133" s="34">
        <v>9</v>
      </c>
      <c r="U133" s="34">
        <v>9</v>
      </c>
      <c r="V133" s="34">
        <v>9</v>
      </c>
      <c r="W133" s="35" t="str">
        <f t="shared" si="12"/>
        <v>Y</v>
      </c>
      <c r="X133" s="54">
        <f t="shared" si="13"/>
        <v>6.6000000000000017E-2</v>
      </c>
      <c r="Y133" s="54" t="str">
        <f t="shared" si="14"/>
        <v>5-25%</v>
      </c>
      <c r="Z133" s="8" t="s">
        <v>289</v>
      </c>
    </row>
    <row r="134" spans="1:26" ht="24" customHeight="1" x14ac:dyDescent="0.25">
      <c r="A134" s="10">
        <v>42</v>
      </c>
      <c r="B134" s="9">
        <v>0.28541666666666665</v>
      </c>
      <c r="C134" s="5" t="s">
        <v>224</v>
      </c>
      <c r="D134" s="5">
        <f t="shared" si="15"/>
        <v>10</v>
      </c>
      <c r="E134" s="14"/>
      <c r="F134" s="14" t="s">
        <v>50</v>
      </c>
      <c r="G134" s="12">
        <v>7.58</v>
      </c>
      <c r="H134" s="12">
        <v>9.9</v>
      </c>
      <c r="I134" s="12">
        <v>11.56</v>
      </c>
      <c r="J134" s="12">
        <v>5.32</v>
      </c>
      <c r="K134" s="12">
        <v>6.1</v>
      </c>
      <c r="L134" s="12">
        <v>6.94</v>
      </c>
      <c r="M134" s="12"/>
      <c r="N134" s="36">
        <f t="shared" si="16"/>
        <v>47.4</v>
      </c>
      <c r="O134" s="16">
        <f t="shared" si="17"/>
        <v>2744.0803452679238</v>
      </c>
      <c r="P134" s="34">
        <v>8</v>
      </c>
      <c r="Q134" s="34">
        <v>10</v>
      </c>
      <c r="R134" s="34">
        <v>9</v>
      </c>
      <c r="S134" s="34">
        <v>9</v>
      </c>
      <c r="T134" s="34">
        <v>9</v>
      </c>
      <c r="U134" s="34">
        <v>9</v>
      </c>
      <c r="V134" s="34">
        <v>9</v>
      </c>
      <c r="W134" s="35" t="str">
        <f t="shared" si="12"/>
        <v>Y</v>
      </c>
      <c r="X134" s="54">
        <f t="shared" si="13"/>
        <v>0.25600000000000006</v>
      </c>
      <c r="Y134" s="54" t="str">
        <f t="shared" si="14"/>
        <v>25-50%</v>
      </c>
      <c r="Z134" s="8" t="s">
        <v>318</v>
      </c>
    </row>
  </sheetData>
  <sortState xmlns:xlrd2="http://schemas.microsoft.com/office/spreadsheetml/2017/richdata2" ref="A7:AA134">
    <sortCondition ref="D7:D134"/>
  </sortState>
  <mergeCells count="17">
    <mergeCell ref="W5:W6"/>
    <mergeCell ref="X5:X6"/>
    <mergeCell ref="Y5:Y6"/>
    <mergeCell ref="P5:V5"/>
    <mergeCell ref="A1:Z1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  <mergeCell ref="O5:O6"/>
    <mergeCell ref="Z5:Z6"/>
  </mergeCells>
  <printOptions horizontalCentered="1"/>
  <pageMargins left="0.7" right="0.7" top="0.75" bottom="0.75" header="0.3" footer="0.3"/>
  <pageSetup paperSize="9" scale="16" orientation="landscape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75"/>
  <sheetViews>
    <sheetView view="pageBreakPreview" zoomScale="60" zoomScaleNormal="100" workbookViewId="0">
      <pane xSplit="1" ySplit="6" topLeftCell="C7" activePane="bottomRight" state="frozen"/>
      <selection pane="topRight" activeCell="B1" sqref="B1"/>
      <selection pane="bottomLeft" activeCell="A6" sqref="A6"/>
      <selection pane="bottomRight" activeCell="P5" sqref="P5:Y7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1.28515625" customWidth="1"/>
    <col min="5" max="5" width="9.140625" style="15" customWidth="1"/>
    <col min="6" max="6" width="15.140625" style="15" customWidth="1"/>
    <col min="7" max="12" width="9.5703125" bestFit="1" customWidth="1"/>
    <col min="13" max="13" width="8.85546875" customWidth="1"/>
    <col min="14" max="14" width="13.140625" customWidth="1"/>
    <col min="15" max="25" width="13.28515625" customWidth="1"/>
    <col min="26" max="26" width="28.5703125" bestFit="1" customWidth="1"/>
  </cols>
  <sheetData>
    <row r="1" spans="1:26" ht="18.75" x14ac:dyDescent="0.3">
      <c r="A1" s="66" t="s">
        <v>232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x14ac:dyDescent="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51"/>
      <c r="Q2" s="51"/>
      <c r="R2" s="51"/>
      <c r="S2" s="51"/>
      <c r="T2" s="51"/>
      <c r="U2" s="51"/>
      <c r="V2" s="51"/>
      <c r="W2" s="32"/>
      <c r="X2" s="32"/>
      <c r="Y2" s="32"/>
    </row>
    <row r="3" spans="1:26" x14ac:dyDescent="0.25">
      <c r="A3" s="2" t="s">
        <v>1</v>
      </c>
      <c r="B3" s="2"/>
      <c r="C3" s="2"/>
      <c r="D3" s="2" t="s">
        <v>2</v>
      </c>
      <c r="E3" s="17" t="s">
        <v>228</v>
      </c>
      <c r="F3" s="13"/>
      <c r="G3" s="2"/>
      <c r="H3" s="3"/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5.75" thickBot="1" x14ac:dyDescent="0.3">
      <c r="A4" s="78">
        <v>43691</v>
      </c>
      <c r="B4" s="78"/>
      <c r="C4" s="2"/>
      <c r="D4" s="6"/>
      <c r="E4" s="17"/>
      <c r="F4" s="13"/>
      <c r="G4" s="2"/>
      <c r="H4" s="21" t="s">
        <v>230</v>
      </c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s="1" customFormat="1" ht="14.45" customHeight="1" x14ac:dyDescent="0.25">
      <c r="A5" s="71" t="s">
        <v>3</v>
      </c>
      <c r="B5" s="73" t="s">
        <v>4</v>
      </c>
      <c r="C5" s="70" t="s">
        <v>5</v>
      </c>
      <c r="D5" s="70" t="s">
        <v>16</v>
      </c>
      <c r="E5" s="76" t="s">
        <v>6</v>
      </c>
      <c r="F5" s="76" t="s">
        <v>7</v>
      </c>
      <c r="G5" s="7" t="s">
        <v>17</v>
      </c>
      <c r="H5" s="70" t="s">
        <v>229</v>
      </c>
      <c r="I5" s="70"/>
      <c r="J5" s="70"/>
      <c r="K5" s="70"/>
      <c r="L5" s="70"/>
      <c r="M5" s="70"/>
      <c r="N5" s="70" t="s">
        <v>15</v>
      </c>
      <c r="O5" s="70" t="s">
        <v>18</v>
      </c>
      <c r="P5" s="81" t="s">
        <v>308</v>
      </c>
      <c r="Q5" s="82"/>
      <c r="R5" s="82"/>
      <c r="S5" s="82"/>
      <c r="T5" s="82"/>
      <c r="U5" s="82"/>
      <c r="V5" s="83"/>
      <c r="W5" s="79" t="s">
        <v>233</v>
      </c>
      <c r="X5" s="79" t="s">
        <v>234</v>
      </c>
      <c r="Y5" s="79" t="s">
        <v>309</v>
      </c>
      <c r="Z5" s="67" t="s">
        <v>19</v>
      </c>
    </row>
    <row r="6" spans="1:26" ht="13.9" customHeight="1" thickBot="1" x14ac:dyDescent="0.3">
      <c r="A6" s="72"/>
      <c r="B6" s="74"/>
      <c r="C6" s="75"/>
      <c r="D6" s="75"/>
      <c r="E6" s="77"/>
      <c r="F6" s="77"/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75"/>
      <c r="O6" s="75"/>
      <c r="P6" s="53" t="s">
        <v>8</v>
      </c>
      <c r="Q6" s="52" t="s">
        <v>9</v>
      </c>
      <c r="R6" s="53" t="s">
        <v>10</v>
      </c>
      <c r="S6" s="52" t="s">
        <v>11</v>
      </c>
      <c r="T6" s="53" t="s">
        <v>12</v>
      </c>
      <c r="U6" s="52" t="s">
        <v>13</v>
      </c>
      <c r="V6" s="53" t="s">
        <v>14</v>
      </c>
      <c r="W6" s="80"/>
      <c r="X6" s="80"/>
      <c r="Y6" s="80"/>
      <c r="Z6" s="68"/>
    </row>
    <row r="7" spans="1:26" ht="24" customHeight="1" x14ac:dyDescent="0.25">
      <c r="A7" s="10">
        <v>1</v>
      </c>
      <c r="B7" s="9">
        <v>0.2986111111111111</v>
      </c>
      <c r="C7" s="5" t="s">
        <v>20</v>
      </c>
      <c r="D7" s="5">
        <f t="shared" ref="D7:D38" si="0">IF(COUNT(G7:M7)&gt;3,10,IF(COUNT(G7:M7)&gt;2,9,7))</f>
        <v>7</v>
      </c>
      <c r="E7" s="14"/>
      <c r="F7" s="14" t="s">
        <v>48</v>
      </c>
      <c r="G7" s="18">
        <v>2.6</v>
      </c>
      <c r="H7" s="18">
        <v>4</v>
      </c>
      <c r="I7" s="18"/>
      <c r="J7" s="18"/>
      <c r="K7" s="18"/>
      <c r="L7" s="18"/>
      <c r="M7" s="18"/>
      <c r="N7" s="36">
        <f t="shared" ref="N7:N38" si="1">SUM(G7:M7)</f>
        <v>6.6</v>
      </c>
      <c r="O7" s="36">
        <f t="shared" ref="O7:O38" si="2">(N7/8.16)^4.5</f>
        <v>0.38489475729205003</v>
      </c>
      <c r="P7" s="34">
        <v>8</v>
      </c>
      <c r="Q7" s="34">
        <v>10</v>
      </c>
      <c r="R7" s="34">
        <v>9</v>
      </c>
      <c r="S7" s="34">
        <v>9</v>
      </c>
      <c r="T7" s="34">
        <v>9</v>
      </c>
      <c r="U7" s="34">
        <v>9</v>
      </c>
      <c r="V7" s="34">
        <v>9</v>
      </c>
      <c r="W7" s="35" t="str">
        <f t="shared" ref="W7:W10" si="3">IF(G7&gt;P7,"Y",IF(H7&gt;Q7,"Y",IF(I7&gt;R7,"Y",IF(J7&gt;S7,"Y",IF(K7&gt;T7,"Y",IF(L7&gt;U7,"Y",IF(M7&gt;V7,"Y","N")))))))</f>
        <v>N</v>
      </c>
      <c r="X7" s="54">
        <f t="shared" ref="X7:X10" si="4">IF(W7="Y",MAX((G7-P7),(H7-Q7),(I7-R7),(J7-S7),(K7-T7),(L7-U7),(M7-V7))/10,0)</f>
        <v>0</v>
      </c>
      <c r="Y7" s="54" t="str">
        <f t="shared" ref="Y7:Y10" si="5">IF(X7&lt;5%,"0-4.9%",IF(X7&lt;25%,"5-25%",IF(X7&lt;50%,"25-50%","Over 50%")))</f>
        <v>0-4.9%</v>
      </c>
      <c r="Z7" s="8" t="s">
        <v>281</v>
      </c>
    </row>
    <row r="8" spans="1:26" ht="24" customHeight="1" x14ac:dyDescent="0.25">
      <c r="A8" s="10">
        <v>2</v>
      </c>
      <c r="B8" s="9">
        <v>0.30555555555555552</v>
      </c>
      <c r="C8" s="5" t="s">
        <v>21</v>
      </c>
      <c r="D8" s="5">
        <f t="shared" si="0"/>
        <v>7</v>
      </c>
      <c r="E8" s="14"/>
      <c r="F8" s="14" t="s">
        <v>48</v>
      </c>
      <c r="G8" s="18">
        <v>3.9</v>
      </c>
      <c r="H8" s="18">
        <v>5.9</v>
      </c>
      <c r="I8" s="18"/>
      <c r="J8" s="18"/>
      <c r="K8" s="18"/>
      <c r="L8" s="18"/>
      <c r="M8" s="18"/>
      <c r="N8" s="36">
        <f t="shared" si="1"/>
        <v>9.8000000000000007</v>
      </c>
      <c r="O8" s="36">
        <f t="shared" si="2"/>
        <v>2.2798780966429457</v>
      </c>
      <c r="P8" s="34">
        <v>8</v>
      </c>
      <c r="Q8" s="34">
        <v>10</v>
      </c>
      <c r="R8" s="34">
        <v>9</v>
      </c>
      <c r="S8" s="34">
        <v>9</v>
      </c>
      <c r="T8" s="34">
        <v>9</v>
      </c>
      <c r="U8" s="34">
        <v>9</v>
      </c>
      <c r="V8" s="34">
        <v>9</v>
      </c>
      <c r="W8" s="35" t="str">
        <f t="shared" si="3"/>
        <v>N</v>
      </c>
      <c r="X8" s="54">
        <f t="shared" si="4"/>
        <v>0</v>
      </c>
      <c r="Y8" s="54" t="str">
        <f t="shared" si="5"/>
        <v>0-4.9%</v>
      </c>
      <c r="Z8" s="8" t="s">
        <v>285</v>
      </c>
    </row>
    <row r="9" spans="1:26" ht="24" customHeight="1" x14ac:dyDescent="0.25">
      <c r="A9" s="10">
        <v>3</v>
      </c>
      <c r="B9" s="9">
        <v>0.31736111111111115</v>
      </c>
      <c r="C9" s="5" t="s">
        <v>22</v>
      </c>
      <c r="D9" s="5">
        <f t="shared" si="0"/>
        <v>7</v>
      </c>
      <c r="E9" s="14"/>
      <c r="F9" s="14" t="s">
        <v>48</v>
      </c>
      <c r="G9" s="18">
        <v>2.34</v>
      </c>
      <c r="H9" s="18">
        <v>5</v>
      </c>
      <c r="I9" s="18"/>
      <c r="J9" s="18"/>
      <c r="K9" s="18"/>
      <c r="L9" s="18"/>
      <c r="M9" s="18"/>
      <c r="N9" s="36">
        <f t="shared" si="1"/>
        <v>7.34</v>
      </c>
      <c r="O9" s="36">
        <f t="shared" si="2"/>
        <v>0.62090699884791933</v>
      </c>
      <c r="P9" s="34">
        <v>8</v>
      </c>
      <c r="Q9" s="34">
        <v>10</v>
      </c>
      <c r="R9" s="34">
        <v>9</v>
      </c>
      <c r="S9" s="34">
        <v>9</v>
      </c>
      <c r="T9" s="34">
        <v>9</v>
      </c>
      <c r="U9" s="34">
        <v>9</v>
      </c>
      <c r="V9" s="34">
        <v>9</v>
      </c>
      <c r="W9" s="35" t="str">
        <f t="shared" si="3"/>
        <v>N</v>
      </c>
      <c r="X9" s="54">
        <f t="shared" si="4"/>
        <v>0</v>
      </c>
      <c r="Y9" s="54" t="str">
        <f t="shared" si="5"/>
        <v>0-4.9%</v>
      </c>
      <c r="Z9" s="8" t="s">
        <v>281</v>
      </c>
    </row>
    <row r="10" spans="1:26" ht="24" customHeight="1" x14ac:dyDescent="0.25">
      <c r="A10" s="10">
        <v>5</v>
      </c>
      <c r="B10" s="9">
        <v>0.3298611111111111</v>
      </c>
      <c r="C10" s="5" t="s">
        <v>24</v>
      </c>
      <c r="D10" s="5">
        <f t="shared" si="0"/>
        <v>7</v>
      </c>
      <c r="E10" s="14"/>
      <c r="F10" s="14" t="s">
        <v>48</v>
      </c>
      <c r="G10" s="12">
        <v>1.74</v>
      </c>
      <c r="H10" s="12">
        <v>2.024</v>
      </c>
      <c r="I10" s="12"/>
      <c r="J10" s="12"/>
      <c r="K10" s="12"/>
      <c r="L10" s="12"/>
      <c r="M10" s="12"/>
      <c r="N10" s="36">
        <f t="shared" si="1"/>
        <v>3.7640000000000002</v>
      </c>
      <c r="O10" s="36">
        <f t="shared" si="2"/>
        <v>3.074804811626931E-2</v>
      </c>
      <c r="P10" s="34">
        <v>8</v>
      </c>
      <c r="Q10" s="34">
        <v>10</v>
      </c>
      <c r="R10" s="34">
        <v>9</v>
      </c>
      <c r="S10" s="34">
        <v>9</v>
      </c>
      <c r="T10" s="34">
        <v>9</v>
      </c>
      <c r="U10" s="34">
        <v>9</v>
      </c>
      <c r="V10" s="34">
        <v>9</v>
      </c>
      <c r="W10" s="35" t="str">
        <f t="shared" si="3"/>
        <v>N</v>
      </c>
      <c r="X10" s="54">
        <f t="shared" si="4"/>
        <v>0</v>
      </c>
      <c r="Y10" s="54" t="str">
        <f t="shared" si="5"/>
        <v>0-4.9%</v>
      </c>
      <c r="Z10" s="8" t="s">
        <v>292</v>
      </c>
    </row>
    <row r="11" spans="1:26" ht="24" customHeight="1" x14ac:dyDescent="0.25">
      <c r="A11" s="10">
        <v>6</v>
      </c>
      <c r="B11" s="9">
        <v>0.33958333333333335</v>
      </c>
      <c r="C11" s="5" t="s">
        <v>25</v>
      </c>
      <c r="D11" s="5">
        <f t="shared" si="0"/>
        <v>7</v>
      </c>
      <c r="E11" s="14"/>
      <c r="F11" s="14" t="s">
        <v>48</v>
      </c>
      <c r="G11" s="12">
        <v>8</v>
      </c>
      <c r="H11" s="12">
        <v>16</v>
      </c>
      <c r="I11" s="12"/>
      <c r="J11" s="12"/>
      <c r="K11" s="12"/>
      <c r="L11" s="12"/>
      <c r="M11" s="12"/>
      <c r="N11" s="36">
        <f t="shared" si="1"/>
        <v>24</v>
      </c>
      <c r="O11" s="36">
        <f t="shared" si="2"/>
        <v>128.33492859767952</v>
      </c>
      <c r="P11" s="34">
        <v>8</v>
      </c>
      <c r="Q11" s="34">
        <v>10</v>
      </c>
      <c r="R11" s="34">
        <v>9</v>
      </c>
      <c r="S11" s="34">
        <v>9</v>
      </c>
      <c r="T11" s="34">
        <v>9</v>
      </c>
      <c r="U11" s="34">
        <v>9</v>
      </c>
      <c r="V11" s="34">
        <v>9</v>
      </c>
      <c r="W11" s="35" t="str">
        <f>IF(G11&gt;P11,"Y",IF(H11&gt;Q11,"Y",IF(I11&gt;R11,"Y",IF(J11&gt;S11,"Y",IF(K11&gt;T11,"Y",IF(L11&gt;U11,"Y",IF(M11&gt;V11,"Y","N")))))))</f>
        <v>Y</v>
      </c>
      <c r="X11" s="54">
        <f>IF(W11="Y",MAX((G11-P11),(H11-Q11),(I11-R11),(J11-S11),(K11-T11),(L11-U11),(M11-V11))/10,0)</f>
        <v>0.6</v>
      </c>
      <c r="Y11" s="54" t="str">
        <f>IF(X11&lt;5%,"0-4.9%",IF(X11&lt;25%,"5-25%",IF(X11&lt;50%,"25-50%","Over 50%")))</f>
        <v>Over 50%</v>
      </c>
      <c r="Z11" s="8" t="s">
        <v>281</v>
      </c>
    </row>
    <row r="12" spans="1:26" ht="24" customHeight="1" x14ac:dyDescent="0.25">
      <c r="A12" s="10">
        <v>7</v>
      </c>
      <c r="B12" s="9">
        <v>0.34722222222222227</v>
      </c>
      <c r="C12" s="5" t="s">
        <v>26</v>
      </c>
      <c r="D12" s="5">
        <f t="shared" si="0"/>
        <v>7</v>
      </c>
      <c r="E12" s="14"/>
      <c r="F12" s="14" t="s">
        <v>48</v>
      </c>
      <c r="G12" s="12">
        <v>2.2400000000000002</v>
      </c>
      <c r="H12" s="12">
        <v>1.44</v>
      </c>
      <c r="I12" s="12"/>
      <c r="J12" s="12"/>
      <c r="K12" s="12"/>
      <c r="L12" s="12"/>
      <c r="M12" s="12"/>
      <c r="N12" s="36">
        <f t="shared" si="1"/>
        <v>3.68</v>
      </c>
      <c r="O12" s="36">
        <f t="shared" si="2"/>
        <v>2.7778543423824367E-2</v>
      </c>
      <c r="P12" s="34">
        <v>8</v>
      </c>
      <c r="Q12" s="34">
        <v>10</v>
      </c>
      <c r="R12" s="34">
        <v>9</v>
      </c>
      <c r="S12" s="34">
        <v>9</v>
      </c>
      <c r="T12" s="34">
        <v>9</v>
      </c>
      <c r="U12" s="34">
        <v>9</v>
      </c>
      <c r="V12" s="34">
        <v>9</v>
      </c>
      <c r="W12" s="35" t="str">
        <f t="shared" ref="W12:W75" si="6">IF(G12&gt;P12,"Y",IF(H12&gt;Q12,"Y",IF(I12&gt;R12,"Y",IF(J12&gt;S12,"Y",IF(K12&gt;T12,"Y",IF(L12&gt;U12,"Y",IF(M12&gt;V12,"Y","N")))))))</f>
        <v>N</v>
      </c>
      <c r="X12" s="54">
        <f t="shared" ref="X12:X75" si="7">IF(W12="Y",MAX((G12-P12),(H12-Q12),(I12-R12),(J12-S12),(K12-T12),(L12-U12),(M12-V12))/10,0)</f>
        <v>0</v>
      </c>
      <c r="Y12" s="54" t="str">
        <f t="shared" ref="Y12:Y75" si="8">IF(X12&lt;5%,"0-4.9%",IF(X12&lt;25%,"5-25%",IF(X12&lt;50%,"25-50%","Over 50%")))</f>
        <v>0-4.9%</v>
      </c>
      <c r="Z12" s="8" t="s">
        <v>292</v>
      </c>
    </row>
    <row r="13" spans="1:26" ht="24" customHeight="1" x14ac:dyDescent="0.25">
      <c r="A13" s="10">
        <v>8</v>
      </c>
      <c r="B13" s="9">
        <v>0.35555555555555557</v>
      </c>
      <c r="C13" s="5" t="s">
        <v>27</v>
      </c>
      <c r="D13" s="5">
        <f t="shared" si="0"/>
        <v>7</v>
      </c>
      <c r="E13" s="14"/>
      <c r="F13" s="14" t="s">
        <v>48</v>
      </c>
      <c r="G13" s="12">
        <v>2.8</v>
      </c>
      <c r="H13" s="12">
        <v>1.4</v>
      </c>
      <c r="I13" s="12"/>
      <c r="J13" s="12"/>
      <c r="K13" s="12"/>
      <c r="L13" s="12"/>
      <c r="M13" s="12"/>
      <c r="N13" s="36">
        <f t="shared" si="1"/>
        <v>4.1999999999999993</v>
      </c>
      <c r="O13" s="36">
        <f t="shared" si="2"/>
        <v>5.0351926590360495E-2</v>
      </c>
      <c r="P13" s="34">
        <v>8</v>
      </c>
      <c r="Q13" s="34">
        <v>10</v>
      </c>
      <c r="R13" s="34">
        <v>9</v>
      </c>
      <c r="S13" s="34">
        <v>9</v>
      </c>
      <c r="T13" s="34">
        <v>9</v>
      </c>
      <c r="U13" s="34">
        <v>9</v>
      </c>
      <c r="V13" s="34">
        <v>9</v>
      </c>
      <c r="W13" s="35" t="str">
        <f t="shared" si="6"/>
        <v>N</v>
      </c>
      <c r="X13" s="54">
        <f t="shared" si="7"/>
        <v>0</v>
      </c>
      <c r="Y13" s="54" t="str">
        <f t="shared" si="8"/>
        <v>0-4.9%</v>
      </c>
      <c r="Z13" s="8" t="s">
        <v>292</v>
      </c>
    </row>
    <row r="14" spans="1:26" ht="24" customHeight="1" x14ac:dyDescent="0.25">
      <c r="A14" s="10">
        <v>10</v>
      </c>
      <c r="B14" s="9">
        <v>0.3666666666666667</v>
      </c>
      <c r="C14" s="5" t="s">
        <v>29</v>
      </c>
      <c r="D14" s="5">
        <f t="shared" si="0"/>
        <v>7</v>
      </c>
      <c r="E14" s="14"/>
      <c r="F14" s="14" t="s">
        <v>48</v>
      </c>
      <c r="G14" s="12">
        <v>3.04</v>
      </c>
      <c r="H14" s="12">
        <v>6.98</v>
      </c>
      <c r="I14" s="12"/>
      <c r="J14" s="12"/>
      <c r="K14" s="12"/>
      <c r="L14" s="12"/>
      <c r="M14" s="12"/>
      <c r="N14" s="36">
        <f t="shared" si="1"/>
        <v>10.02</v>
      </c>
      <c r="O14" s="36">
        <f t="shared" si="2"/>
        <v>2.5194110655493112</v>
      </c>
      <c r="P14" s="34">
        <v>8</v>
      </c>
      <c r="Q14" s="34">
        <v>10</v>
      </c>
      <c r="R14" s="34">
        <v>9</v>
      </c>
      <c r="S14" s="34">
        <v>9</v>
      </c>
      <c r="T14" s="34">
        <v>9</v>
      </c>
      <c r="U14" s="34">
        <v>9</v>
      </c>
      <c r="V14" s="34">
        <v>9</v>
      </c>
      <c r="W14" s="35" t="str">
        <f t="shared" si="6"/>
        <v>N</v>
      </c>
      <c r="X14" s="54">
        <f t="shared" si="7"/>
        <v>0</v>
      </c>
      <c r="Y14" s="54" t="str">
        <f t="shared" si="8"/>
        <v>0-4.9%</v>
      </c>
      <c r="Z14" s="8" t="s">
        <v>287</v>
      </c>
    </row>
    <row r="15" spans="1:26" ht="24" customHeight="1" x14ac:dyDescent="0.25">
      <c r="A15" s="10">
        <v>11</v>
      </c>
      <c r="B15" s="9">
        <v>0.36805555555555558</v>
      </c>
      <c r="C15" s="5" t="s">
        <v>30</v>
      </c>
      <c r="D15" s="5">
        <f t="shared" si="0"/>
        <v>7</v>
      </c>
      <c r="E15" s="14"/>
      <c r="F15" s="14" t="s">
        <v>48</v>
      </c>
      <c r="G15" s="12">
        <v>1.6</v>
      </c>
      <c r="H15" s="12">
        <v>1.98</v>
      </c>
      <c r="I15" s="12"/>
      <c r="J15" s="12"/>
      <c r="K15" s="12"/>
      <c r="L15" s="12"/>
      <c r="M15" s="12"/>
      <c r="N15" s="36">
        <f t="shared" si="1"/>
        <v>3.58</v>
      </c>
      <c r="O15" s="36">
        <f t="shared" si="2"/>
        <v>2.453962407864492E-2</v>
      </c>
      <c r="P15" s="34">
        <v>8</v>
      </c>
      <c r="Q15" s="34">
        <v>10</v>
      </c>
      <c r="R15" s="34">
        <v>9</v>
      </c>
      <c r="S15" s="34">
        <v>9</v>
      </c>
      <c r="T15" s="34">
        <v>9</v>
      </c>
      <c r="U15" s="34">
        <v>9</v>
      </c>
      <c r="V15" s="34">
        <v>9</v>
      </c>
      <c r="W15" s="35" t="str">
        <f t="shared" si="6"/>
        <v>N</v>
      </c>
      <c r="X15" s="54">
        <f t="shared" si="7"/>
        <v>0</v>
      </c>
      <c r="Y15" s="54" t="str">
        <f t="shared" si="8"/>
        <v>0-4.9%</v>
      </c>
      <c r="Z15" s="8" t="s">
        <v>292</v>
      </c>
    </row>
    <row r="16" spans="1:26" ht="24" customHeight="1" x14ac:dyDescent="0.25">
      <c r="A16" s="10">
        <v>12</v>
      </c>
      <c r="B16" s="9">
        <v>0.3743055555555555</v>
      </c>
      <c r="C16" s="5" t="s">
        <v>31</v>
      </c>
      <c r="D16" s="5">
        <f t="shared" si="0"/>
        <v>7</v>
      </c>
      <c r="E16" s="14"/>
      <c r="F16" s="14" t="s">
        <v>48</v>
      </c>
      <c r="G16" s="12">
        <v>1.4</v>
      </c>
      <c r="H16" s="12">
        <v>2.16</v>
      </c>
      <c r="I16" s="12"/>
      <c r="J16" s="12"/>
      <c r="K16" s="12"/>
      <c r="L16" s="12"/>
      <c r="M16" s="12"/>
      <c r="N16" s="36">
        <f t="shared" si="1"/>
        <v>3.56</v>
      </c>
      <c r="O16" s="36">
        <f t="shared" si="2"/>
        <v>2.3928709455382009E-2</v>
      </c>
      <c r="P16" s="34">
        <v>8</v>
      </c>
      <c r="Q16" s="34">
        <v>10</v>
      </c>
      <c r="R16" s="34">
        <v>9</v>
      </c>
      <c r="S16" s="34">
        <v>9</v>
      </c>
      <c r="T16" s="34">
        <v>9</v>
      </c>
      <c r="U16" s="34">
        <v>9</v>
      </c>
      <c r="V16" s="34">
        <v>9</v>
      </c>
      <c r="W16" s="35" t="str">
        <f t="shared" si="6"/>
        <v>N</v>
      </c>
      <c r="X16" s="54">
        <f t="shared" si="7"/>
        <v>0</v>
      </c>
      <c r="Y16" s="54" t="str">
        <f t="shared" si="8"/>
        <v>0-4.9%</v>
      </c>
      <c r="Z16" s="8" t="s">
        <v>281</v>
      </c>
    </row>
    <row r="17" spans="1:26" ht="24" customHeight="1" x14ac:dyDescent="0.25">
      <c r="A17" s="10">
        <v>13</v>
      </c>
      <c r="B17" s="9">
        <v>0.37708333333333338</v>
      </c>
      <c r="C17" s="5" t="s">
        <v>32</v>
      </c>
      <c r="D17" s="5">
        <f t="shared" si="0"/>
        <v>7</v>
      </c>
      <c r="E17" s="14"/>
      <c r="F17" s="14" t="s">
        <v>48</v>
      </c>
      <c r="G17" s="12">
        <v>3.48</v>
      </c>
      <c r="H17" s="12">
        <v>12.048</v>
      </c>
      <c r="I17" s="12"/>
      <c r="J17" s="12"/>
      <c r="K17" s="12"/>
      <c r="L17" s="12"/>
      <c r="M17" s="12"/>
      <c r="N17" s="36">
        <f t="shared" si="1"/>
        <v>15.528</v>
      </c>
      <c r="O17" s="36">
        <f t="shared" si="2"/>
        <v>18.088982404632461</v>
      </c>
      <c r="P17" s="34">
        <v>8</v>
      </c>
      <c r="Q17" s="34">
        <v>10</v>
      </c>
      <c r="R17" s="34">
        <v>9</v>
      </c>
      <c r="S17" s="34">
        <v>9</v>
      </c>
      <c r="T17" s="34">
        <v>9</v>
      </c>
      <c r="U17" s="34">
        <v>9</v>
      </c>
      <c r="V17" s="34">
        <v>9</v>
      </c>
      <c r="W17" s="35" t="str">
        <f t="shared" si="6"/>
        <v>Y</v>
      </c>
      <c r="X17" s="54">
        <f t="shared" si="7"/>
        <v>0.20480000000000001</v>
      </c>
      <c r="Y17" s="54" t="str">
        <f t="shared" si="8"/>
        <v>5-25%</v>
      </c>
      <c r="Z17" s="8" t="s">
        <v>281</v>
      </c>
    </row>
    <row r="18" spans="1:26" ht="24" customHeight="1" x14ac:dyDescent="0.25">
      <c r="A18" s="10">
        <v>16</v>
      </c>
      <c r="B18" s="9">
        <v>0.44166666666666665</v>
      </c>
      <c r="C18" s="5" t="s">
        <v>35</v>
      </c>
      <c r="D18" s="5">
        <f t="shared" si="0"/>
        <v>7</v>
      </c>
      <c r="E18" s="14"/>
      <c r="F18" s="22" t="s">
        <v>48</v>
      </c>
      <c r="G18" s="12">
        <v>2.5059999999999998</v>
      </c>
      <c r="H18" s="12">
        <v>2.48</v>
      </c>
      <c r="I18" s="12"/>
      <c r="J18" s="12"/>
      <c r="K18" s="12"/>
      <c r="L18" s="12"/>
      <c r="M18" s="12"/>
      <c r="N18" s="36">
        <f t="shared" si="1"/>
        <v>4.9859999999999998</v>
      </c>
      <c r="O18" s="36">
        <f t="shared" si="2"/>
        <v>0.10896311729703184</v>
      </c>
      <c r="P18" s="34">
        <v>8</v>
      </c>
      <c r="Q18" s="34">
        <v>10</v>
      </c>
      <c r="R18" s="34">
        <v>9</v>
      </c>
      <c r="S18" s="34">
        <v>9</v>
      </c>
      <c r="T18" s="34">
        <v>9</v>
      </c>
      <c r="U18" s="34">
        <v>9</v>
      </c>
      <c r="V18" s="34">
        <v>9</v>
      </c>
      <c r="W18" s="35" t="str">
        <f t="shared" si="6"/>
        <v>N</v>
      </c>
      <c r="X18" s="54">
        <f t="shared" si="7"/>
        <v>0</v>
      </c>
      <c r="Y18" s="54" t="str">
        <f t="shared" si="8"/>
        <v>0-4.9%</v>
      </c>
      <c r="Z18" s="8" t="s">
        <v>292</v>
      </c>
    </row>
    <row r="19" spans="1:26" ht="24" customHeight="1" x14ac:dyDescent="0.25">
      <c r="A19" s="10">
        <v>17</v>
      </c>
      <c r="B19" s="9">
        <v>0.45416666666666666</v>
      </c>
      <c r="C19" s="5"/>
      <c r="D19" s="5">
        <f t="shared" si="0"/>
        <v>7</v>
      </c>
      <c r="E19" s="14"/>
      <c r="F19" s="14" t="s">
        <v>48</v>
      </c>
      <c r="G19" s="12">
        <v>1.1200000000000001</v>
      </c>
      <c r="H19" s="12">
        <v>2.4</v>
      </c>
      <c r="I19" s="12"/>
      <c r="J19" s="12"/>
      <c r="K19" s="12"/>
      <c r="L19" s="12"/>
      <c r="M19" s="12"/>
      <c r="N19" s="36">
        <f t="shared" si="1"/>
        <v>3.52</v>
      </c>
      <c r="O19" s="36">
        <f t="shared" si="2"/>
        <v>2.2742398821594696E-2</v>
      </c>
      <c r="P19" s="34">
        <v>8</v>
      </c>
      <c r="Q19" s="34">
        <v>10</v>
      </c>
      <c r="R19" s="34">
        <v>9</v>
      </c>
      <c r="S19" s="34">
        <v>9</v>
      </c>
      <c r="T19" s="34">
        <v>9</v>
      </c>
      <c r="U19" s="34">
        <v>9</v>
      </c>
      <c r="V19" s="34">
        <v>9</v>
      </c>
      <c r="W19" s="35" t="str">
        <f t="shared" si="6"/>
        <v>N</v>
      </c>
      <c r="X19" s="54">
        <f t="shared" si="7"/>
        <v>0</v>
      </c>
      <c r="Y19" s="54" t="str">
        <f t="shared" si="8"/>
        <v>0-4.9%</v>
      </c>
      <c r="Z19" s="8" t="s">
        <v>292</v>
      </c>
    </row>
    <row r="20" spans="1:26" ht="24" customHeight="1" x14ac:dyDescent="0.25">
      <c r="A20" s="10">
        <v>20</v>
      </c>
      <c r="B20" s="9">
        <v>0.46527777777777773</v>
      </c>
      <c r="C20" s="5" t="s">
        <v>38</v>
      </c>
      <c r="D20" s="5">
        <f t="shared" si="0"/>
        <v>7</v>
      </c>
      <c r="E20" s="14"/>
      <c r="F20" s="14" t="s">
        <v>48</v>
      </c>
      <c r="G20" s="12">
        <v>2.7</v>
      </c>
      <c r="H20" s="12">
        <v>7.32</v>
      </c>
      <c r="I20" s="12"/>
      <c r="J20" s="12"/>
      <c r="K20" s="12"/>
      <c r="L20" s="12"/>
      <c r="M20" s="12"/>
      <c r="N20" s="36">
        <f t="shared" si="1"/>
        <v>10.02</v>
      </c>
      <c r="O20" s="36">
        <f t="shared" si="2"/>
        <v>2.5194110655493112</v>
      </c>
      <c r="P20" s="34">
        <v>8</v>
      </c>
      <c r="Q20" s="34">
        <v>10</v>
      </c>
      <c r="R20" s="34">
        <v>9</v>
      </c>
      <c r="S20" s="34">
        <v>9</v>
      </c>
      <c r="T20" s="34">
        <v>9</v>
      </c>
      <c r="U20" s="34">
        <v>9</v>
      </c>
      <c r="V20" s="34">
        <v>9</v>
      </c>
      <c r="W20" s="35" t="str">
        <f t="shared" si="6"/>
        <v>N</v>
      </c>
      <c r="X20" s="54">
        <f t="shared" si="7"/>
        <v>0</v>
      </c>
      <c r="Y20" s="54" t="str">
        <f t="shared" si="8"/>
        <v>0-4.9%</v>
      </c>
      <c r="Z20" s="8" t="s">
        <v>287</v>
      </c>
    </row>
    <row r="21" spans="1:26" ht="24" customHeight="1" x14ac:dyDescent="0.25">
      <c r="A21" s="10">
        <v>21</v>
      </c>
      <c r="B21" s="9">
        <v>0.47152777777777777</v>
      </c>
      <c r="C21" s="5" t="s">
        <v>39</v>
      </c>
      <c r="D21" s="5">
        <f t="shared" si="0"/>
        <v>7</v>
      </c>
      <c r="E21" s="14"/>
      <c r="F21" s="14" t="s">
        <v>48</v>
      </c>
      <c r="G21" s="12">
        <v>2.04</v>
      </c>
      <c r="H21" s="12">
        <v>2.46</v>
      </c>
      <c r="I21" s="12"/>
      <c r="J21" s="12"/>
      <c r="K21" s="12"/>
      <c r="L21" s="12"/>
      <c r="M21" s="12"/>
      <c r="N21" s="36">
        <f t="shared" si="1"/>
        <v>4.5</v>
      </c>
      <c r="O21" s="36">
        <f t="shared" si="2"/>
        <v>6.8683212105061855E-2</v>
      </c>
      <c r="P21" s="34">
        <v>8</v>
      </c>
      <c r="Q21" s="34">
        <v>10</v>
      </c>
      <c r="R21" s="34">
        <v>9</v>
      </c>
      <c r="S21" s="34">
        <v>9</v>
      </c>
      <c r="T21" s="34">
        <v>9</v>
      </c>
      <c r="U21" s="34">
        <v>9</v>
      </c>
      <c r="V21" s="34">
        <v>9</v>
      </c>
      <c r="W21" s="35" t="str">
        <f t="shared" si="6"/>
        <v>N</v>
      </c>
      <c r="X21" s="54">
        <f t="shared" si="7"/>
        <v>0</v>
      </c>
      <c r="Y21" s="54" t="str">
        <f t="shared" si="8"/>
        <v>0-4.9%</v>
      </c>
      <c r="Z21" s="8" t="s">
        <v>292</v>
      </c>
    </row>
    <row r="22" spans="1:26" ht="24" customHeight="1" x14ac:dyDescent="0.25">
      <c r="A22" s="10">
        <v>22</v>
      </c>
      <c r="B22" s="9">
        <v>0.49027777777777781</v>
      </c>
      <c r="C22" s="5" t="s">
        <v>40</v>
      </c>
      <c r="D22" s="5">
        <f t="shared" si="0"/>
        <v>7</v>
      </c>
      <c r="E22" s="14"/>
      <c r="F22" s="14" t="s">
        <v>48</v>
      </c>
      <c r="G22" s="12">
        <v>8.42</v>
      </c>
      <c r="H22" s="12">
        <v>11.3</v>
      </c>
      <c r="I22" s="12"/>
      <c r="J22" s="12"/>
      <c r="K22" s="12"/>
      <c r="L22" s="12"/>
      <c r="M22" s="12"/>
      <c r="N22" s="36">
        <f t="shared" si="1"/>
        <v>19.72</v>
      </c>
      <c r="O22" s="36">
        <f t="shared" si="2"/>
        <v>53.024353652646838</v>
      </c>
      <c r="P22" s="34">
        <v>8</v>
      </c>
      <c r="Q22" s="34">
        <v>10</v>
      </c>
      <c r="R22" s="34">
        <v>9</v>
      </c>
      <c r="S22" s="34">
        <v>9</v>
      </c>
      <c r="T22" s="34">
        <v>9</v>
      </c>
      <c r="U22" s="34">
        <v>9</v>
      </c>
      <c r="V22" s="34">
        <v>9</v>
      </c>
      <c r="W22" s="35" t="str">
        <f t="shared" si="6"/>
        <v>Y</v>
      </c>
      <c r="X22" s="54">
        <f t="shared" si="7"/>
        <v>0.13000000000000006</v>
      </c>
      <c r="Y22" s="54" t="str">
        <f t="shared" si="8"/>
        <v>5-25%</v>
      </c>
      <c r="Z22" s="8" t="s">
        <v>281</v>
      </c>
    </row>
    <row r="23" spans="1:26" ht="24" customHeight="1" x14ac:dyDescent="0.25">
      <c r="A23" s="10">
        <v>23</v>
      </c>
      <c r="B23" s="9">
        <v>0.5</v>
      </c>
      <c r="C23" s="5" t="s">
        <v>41</v>
      </c>
      <c r="D23" s="5">
        <f t="shared" si="0"/>
        <v>7</v>
      </c>
      <c r="E23" s="14"/>
      <c r="F23" s="14" t="s">
        <v>48</v>
      </c>
      <c r="G23" s="12">
        <v>1.45</v>
      </c>
      <c r="H23" s="12">
        <v>1.52</v>
      </c>
      <c r="I23" s="12"/>
      <c r="J23" s="12"/>
      <c r="K23" s="12"/>
      <c r="L23" s="12"/>
      <c r="M23" s="12"/>
      <c r="N23" s="36">
        <f t="shared" si="1"/>
        <v>2.9699999999999998</v>
      </c>
      <c r="O23" s="36">
        <f t="shared" si="2"/>
        <v>1.058761907063396E-2</v>
      </c>
      <c r="P23" s="34">
        <v>8</v>
      </c>
      <c r="Q23" s="34">
        <v>10</v>
      </c>
      <c r="R23" s="34">
        <v>9</v>
      </c>
      <c r="S23" s="34">
        <v>9</v>
      </c>
      <c r="T23" s="34">
        <v>9</v>
      </c>
      <c r="U23" s="34">
        <v>9</v>
      </c>
      <c r="V23" s="34">
        <v>9</v>
      </c>
      <c r="W23" s="35" t="str">
        <f t="shared" si="6"/>
        <v>N</v>
      </c>
      <c r="X23" s="54">
        <f t="shared" si="7"/>
        <v>0</v>
      </c>
      <c r="Y23" s="54" t="str">
        <f t="shared" si="8"/>
        <v>0-4.9%</v>
      </c>
      <c r="Z23" s="8" t="s">
        <v>292</v>
      </c>
    </row>
    <row r="24" spans="1:26" ht="24" customHeight="1" x14ac:dyDescent="0.25">
      <c r="A24" s="10">
        <v>24</v>
      </c>
      <c r="B24" s="9">
        <v>0.52083333333333337</v>
      </c>
      <c r="C24" s="5" t="s">
        <v>42</v>
      </c>
      <c r="D24" s="5">
        <f t="shared" si="0"/>
        <v>7</v>
      </c>
      <c r="E24" s="14"/>
      <c r="F24" s="14" t="s">
        <v>48</v>
      </c>
      <c r="G24" s="12">
        <v>2.206</v>
      </c>
      <c r="H24" s="12">
        <v>4.5119999999999996</v>
      </c>
      <c r="I24" s="12"/>
      <c r="J24" s="12"/>
      <c r="K24" s="12"/>
      <c r="L24" s="12"/>
      <c r="M24" s="12"/>
      <c r="N24" s="36">
        <f t="shared" si="1"/>
        <v>6.718</v>
      </c>
      <c r="O24" s="36">
        <f t="shared" si="2"/>
        <v>0.41684469940615837</v>
      </c>
      <c r="P24" s="34">
        <v>8</v>
      </c>
      <c r="Q24" s="34">
        <v>10</v>
      </c>
      <c r="R24" s="34">
        <v>9</v>
      </c>
      <c r="S24" s="34">
        <v>9</v>
      </c>
      <c r="T24" s="34">
        <v>9</v>
      </c>
      <c r="U24" s="34">
        <v>9</v>
      </c>
      <c r="V24" s="34">
        <v>9</v>
      </c>
      <c r="W24" s="35" t="str">
        <f t="shared" si="6"/>
        <v>N</v>
      </c>
      <c r="X24" s="54">
        <f t="shared" si="7"/>
        <v>0</v>
      </c>
      <c r="Y24" s="54" t="str">
        <f t="shared" si="8"/>
        <v>0-4.9%</v>
      </c>
      <c r="Z24" s="8" t="s">
        <v>281</v>
      </c>
    </row>
    <row r="25" spans="1:26" ht="24" customHeight="1" x14ac:dyDescent="0.25">
      <c r="A25" s="10">
        <v>25</v>
      </c>
      <c r="B25" s="9">
        <v>4.7916666666666663E-2</v>
      </c>
      <c r="C25" s="5" t="s">
        <v>43</v>
      </c>
      <c r="D25" s="5">
        <f t="shared" si="0"/>
        <v>7</v>
      </c>
      <c r="E25" s="14"/>
      <c r="F25" s="14" t="s">
        <v>48</v>
      </c>
      <c r="G25" s="12">
        <v>7.56</v>
      </c>
      <c r="H25" s="12">
        <v>9</v>
      </c>
      <c r="I25" s="12"/>
      <c r="J25" s="12"/>
      <c r="K25" s="12"/>
      <c r="L25" s="12"/>
      <c r="M25" s="12"/>
      <c r="N25" s="36">
        <f t="shared" si="1"/>
        <v>16.559999999999999</v>
      </c>
      <c r="O25" s="36">
        <f t="shared" si="2"/>
        <v>24.163830553889515</v>
      </c>
      <c r="P25" s="34">
        <v>8</v>
      </c>
      <c r="Q25" s="34">
        <v>10</v>
      </c>
      <c r="R25" s="34">
        <v>9</v>
      </c>
      <c r="S25" s="34">
        <v>9</v>
      </c>
      <c r="T25" s="34">
        <v>9</v>
      </c>
      <c r="U25" s="34">
        <v>9</v>
      </c>
      <c r="V25" s="34">
        <v>9</v>
      </c>
      <c r="W25" s="35" t="str">
        <f t="shared" si="6"/>
        <v>N</v>
      </c>
      <c r="X25" s="54">
        <f t="shared" si="7"/>
        <v>0</v>
      </c>
      <c r="Y25" s="54" t="str">
        <f t="shared" si="8"/>
        <v>0-4.9%</v>
      </c>
      <c r="Z25" s="8" t="s">
        <v>281</v>
      </c>
    </row>
    <row r="26" spans="1:26" ht="24" customHeight="1" x14ac:dyDescent="0.25">
      <c r="A26" s="10">
        <v>27</v>
      </c>
      <c r="B26" s="9">
        <v>0.125</v>
      </c>
      <c r="C26" s="5" t="s">
        <v>45</v>
      </c>
      <c r="D26" s="5">
        <f t="shared" si="0"/>
        <v>7</v>
      </c>
      <c r="E26" s="14"/>
      <c r="F26" s="14" t="s">
        <v>48</v>
      </c>
      <c r="G26" s="12">
        <v>1.4</v>
      </c>
      <c r="H26" s="12">
        <v>2.2999999999999998</v>
      </c>
      <c r="I26" s="12"/>
      <c r="J26" s="12"/>
      <c r="K26" s="12"/>
      <c r="L26" s="12"/>
      <c r="M26" s="12"/>
      <c r="N26" s="36">
        <f t="shared" si="1"/>
        <v>3.6999999999999997</v>
      </c>
      <c r="O26" s="36">
        <f t="shared" si="2"/>
        <v>2.8464400664713719E-2</v>
      </c>
      <c r="P26" s="34">
        <v>8</v>
      </c>
      <c r="Q26" s="34">
        <v>10</v>
      </c>
      <c r="R26" s="34">
        <v>9</v>
      </c>
      <c r="S26" s="34">
        <v>9</v>
      </c>
      <c r="T26" s="34">
        <v>9</v>
      </c>
      <c r="U26" s="34">
        <v>9</v>
      </c>
      <c r="V26" s="34">
        <v>9</v>
      </c>
      <c r="W26" s="35" t="str">
        <f t="shared" si="6"/>
        <v>N</v>
      </c>
      <c r="X26" s="54">
        <f t="shared" si="7"/>
        <v>0</v>
      </c>
      <c r="Y26" s="54" t="str">
        <f t="shared" si="8"/>
        <v>0-4.9%</v>
      </c>
      <c r="Z26" s="8" t="s">
        <v>292</v>
      </c>
    </row>
    <row r="27" spans="1:26" ht="24" customHeight="1" x14ac:dyDescent="0.25">
      <c r="A27" s="10">
        <v>28</v>
      </c>
      <c r="B27" s="9">
        <v>0.1388888888888889</v>
      </c>
      <c r="C27" s="5" t="s">
        <v>46</v>
      </c>
      <c r="D27" s="5">
        <f t="shared" si="0"/>
        <v>7</v>
      </c>
      <c r="E27" s="14"/>
      <c r="F27" s="14" t="s">
        <v>48</v>
      </c>
      <c r="G27" s="12">
        <v>2.2200000000000002</v>
      </c>
      <c r="H27" s="12">
        <v>1.5</v>
      </c>
      <c r="I27" s="12"/>
      <c r="J27" s="12"/>
      <c r="K27" s="12"/>
      <c r="L27" s="12"/>
      <c r="M27" s="12"/>
      <c r="N27" s="36">
        <f t="shared" si="1"/>
        <v>3.72</v>
      </c>
      <c r="O27" s="36">
        <f t="shared" si="2"/>
        <v>2.916335705546182E-2</v>
      </c>
      <c r="P27" s="34">
        <v>8</v>
      </c>
      <c r="Q27" s="34">
        <v>10</v>
      </c>
      <c r="R27" s="34">
        <v>9</v>
      </c>
      <c r="S27" s="34">
        <v>9</v>
      </c>
      <c r="T27" s="34">
        <v>9</v>
      </c>
      <c r="U27" s="34">
        <v>9</v>
      </c>
      <c r="V27" s="34">
        <v>9</v>
      </c>
      <c r="W27" s="35" t="str">
        <f t="shared" si="6"/>
        <v>N</v>
      </c>
      <c r="X27" s="54">
        <f t="shared" si="7"/>
        <v>0</v>
      </c>
      <c r="Y27" s="54" t="str">
        <f t="shared" si="8"/>
        <v>0-4.9%</v>
      </c>
      <c r="Z27" s="8" t="s">
        <v>292</v>
      </c>
    </row>
    <row r="28" spans="1:26" ht="24" customHeight="1" x14ac:dyDescent="0.25">
      <c r="A28" s="10">
        <v>29</v>
      </c>
      <c r="B28" s="9">
        <v>0.14722222222222223</v>
      </c>
      <c r="C28" s="5" t="s">
        <v>47</v>
      </c>
      <c r="D28" s="5">
        <f t="shared" si="0"/>
        <v>7</v>
      </c>
      <c r="E28" s="14"/>
      <c r="F28" s="14" t="s">
        <v>48</v>
      </c>
      <c r="G28" s="12">
        <v>6</v>
      </c>
      <c r="H28" s="12">
        <v>12.8</v>
      </c>
      <c r="I28" s="12"/>
      <c r="J28" s="12"/>
      <c r="K28" s="12"/>
      <c r="L28" s="12"/>
      <c r="M28" s="12"/>
      <c r="N28" s="36">
        <f t="shared" si="1"/>
        <v>18.8</v>
      </c>
      <c r="O28" s="36">
        <f t="shared" si="2"/>
        <v>42.766588442913125</v>
      </c>
      <c r="P28" s="34">
        <v>8</v>
      </c>
      <c r="Q28" s="34">
        <v>10</v>
      </c>
      <c r="R28" s="34">
        <v>9</v>
      </c>
      <c r="S28" s="34">
        <v>9</v>
      </c>
      <c r="T28" s="34">
        <v>9</v>
      </c>
      <c r="U28" s="34">
        <v>9</v>
      </c>
      <c r="V28" s="34">
        <v>9</v>
      </c>
      <c r="W28" s="35" t="str">
        <f t="shared" si="6"/>
        <v>Y</v>
      </c>
      <c r="X28" s="54">
        <f t="shared" si="7"/>
        <v>0.28000000000000008</v>
      </c>
      <c r="Y28" s="54" t="str">
        <f t="shared" si="8"/>
        <v>25-50%</v>
      </c>
      <c r="Z28" s="8" t="s">
        <v>281</v>
      </c>
    </row>
    <row r="29" spans="1:26" ht="24" customHeight="1" x14ac:dyDescent="0.25">
      <c r="A29" s="10">
        <v>1</v>
      </c>
      <c r="B29" s="9">
        <v>0.30833333333333335</v>
      </c>
      <c r="C29" s="5" t="s">
        <v>106</v>
      </c>
      <c r="D29" s="5">
        <f t="shared" si="0"/>
        <v>7</v>
      </c>
      <c r="E29" s="14"/>
      <c r="F29" s="14" t="s">
        <v>48</v>
      </c>
      <c r="G29" s="18">
        <v>3.4</v>
      </c>
      <c r="H29" s="18">
        <v>4.9000000000000004</v>
      </c>
      <c r="I29" s="18"/>
      <c r="J29" s="18"/>
      <c r="K29" s="18"/>
      <c r="L29" s="18"/>
      <c r="M29" s="18"/>
      <c r="N29" s="36">
        <f t="shared" si="1"/>
        <v>8.3000000000000007</v>
      </c>
      <c r="O29" s="36">
        <f t="shared" si="2"/>
        <v>1.0795573070448681</v>
      </c>
      <c r="P29" s="34">
        <v>8</v>
      </c>
      <c r="Q29" s="34">
        <v>10</v>
      </c>
      <c r="R29" s="34">
        <v>9</v>
      </c>
      <c r="S29" s="34">
        <v>9</v>
      </c>
      <c r="T29" s="34">
        <v>9</v>
      </c>
      <c r="U29" s="34">
        <v>9</v>
      </c>
      <c r="V29" s="34">
        <v>9</v>
      </c>
      <c r="W29" s="35" t="str">
        <f t="shared" si="6"/>
        <v>N</v>
      </c>
      <c r="X29" s="54">
        <f t="shared" si="7"/>
        <v>0</v>
      </c>
      <c r="Y29" s="54" t="str">
        <f t="shared" si="8"/>
        <v>0-4.9%</v>
      </c>
      <c r="Z29" s="8" t="s">
        <v>281</v>
      </c>
    </row>
    <row r="30" spans="1:26" ht="24" customHeight="1" x14ac:dyDescent="0.25">
      <c r="A30" s="10">
        <v>2</v>
      </c>
      <c r="B30" s="9">
        <v>0.31180555555555556</v>
      </c>
      <c r="C30" s="5" t="s">
        <v>107</v>
      </c>
      <c r="D30" s="5">
        <f t="shared" si="0"/>
        <v>7</v>
      </c>
      <c r="E30" s="14"/>
      <c r="F30" s="14" t="s">
        <v>48</v>
      </c>
      <c r="G30" s="18">
        <v>2.5099999999999998</v>
      </c>
      <c r="H30" s="18">
        <v>4.95</v>
      </c>
      <c r="I30" s="18"/>
      <c r="J30" s="18"/>
      <c r="K30" s="18"/>
      <c r="L30" s="18"/>
      <c r="M30" s="18"/>
      <c r="N30" s="36">
        <f t="shared" si="1"/>
        <v>7.46</v>
      </c>
      <c r="O30" s="36">
        <f t="shared" si="2"/>
        <v>0.66791163547303123</v>
      </c>
      <c r="P30" s="34">
        <v>8</v>
      </c>
      <c r="Q30" s="34">
        <v>10</v>
      </c>
      <c r="R30" s="34">
        <v>9</v>
      </c>
      <c r="S30" s="34">
        <v>9</v>
      </c>
      <c r="T30" s="34">
        <v>9</v>
      </c>
      <c r="U30" s="34">
        <v>9</v>
      </c>
      <c r="V30" s="34">
        <v>9</v>
      </c>
      <c r="W30" s="35" t="str">
        <f t="shared" si="6"/>
        <v>N</v>
      </c>
      <c r="X30" s="54">
        <f t="shared" si="7"/>
        <v>0</v>
      </c>
      <c r="Y30" s="54" t="str">
        <f t="shared" si="8"/>
        <v>0-4.9%</v>
      </c>
      <c r="Z30" s="8" t="s">
        <v>318</v>
      </c>
    </row>
    <row r="31" spans="1:26" ht="24" customHeight="1" x14ac:dyDescent="0.25">
      <c r="A31" s="10">
        <v>3</v>
      </c>
      <c r="B31" s="9">
        <v>0.3125</v>
      </c>
      <c r="C31" s="5" t="s">
        <v>108</v>
      </c>
      <c r="D31" s="5">
        <f t="shared" si="0"/>
        <v>7</v>
      </c>
      <c r="E31" s="14"/>
      <c r="F31" s="14" t="s">
        <v>48</v>
      </c>
      <c r="G31" s="18">
        <v>3.37</v>
      </c>
      <c r="H31" s="18">
        <v>5.71</v>
      </c>
      <c r="I31" s="18"/>
      <c r="J31" s="18"/>
      <c r="K31" s="18"/>
      <c r="L31" s="18"/>
      <c r="M31" s="18"/>
      <c r="N31" s="36">
        <f t="shared" si="1"/>
        <v>9.08</v>
      </c>
      <c r="O31" s="36">
        <f t="shared" si="2"/>
        <v>1.6172628255313029</v>
      </c>
      <c r="P31" s="34">
        <v>8</v>
      </c>
      <c r="Q31" s="34">
        <v>10</v>
      </c>
      <c r="R31" s="34">
        <v>9</v>
      </c>
      <c r="S31" s="34">
        <v>9</v>
      </c>
      <c r="T31" s="34">
        <v>9</v>
      </c>
      <c r="U31" s="34">
        <v>9</v>
      </c>
      <c r="V31" s="34">
        <v>9</v>
      </c>
      <c r="W31" s="35" t="str">
        <f t="shared" si="6"/>
        <v>N</v>
      </c>
      <c r="X31" s="54">
        <f t="shared" si="7"/>
        <v>0</v>
      </c>
      <c r="Y31" s="54" t="str">
        <f t="shared" si="8"/>
        <v>0-4.9%</v>
      </c>
      <c r="Z31" s="8" t="s">
        <v>292</v>
      </c>
    </row>
    <row r="32" spans="1:26" ht="24" customHeight="1" x14ac:dyDescent="0.25">
      <c r="A32" s="10">
        <v>4</v>
      </c>
      <c r="B32" s="9">
        <v>0.32777777777777778</v>
      </c>
      <c r="C32" s="5" t="s">
        <v>109</v>
      </c>
      <c r="D32" s="5">
        <f t="shared" si="0"/>
        <v>7</v>
      </c>
      <c r="E32" s="14"/>
      <c r="F32" s="14" t="s">
        <v>48</v>
      </c>
      <c r="G32" s="12">
        <v>2.83</v>
      </c>
      <c r="H32" s="12">
        <v>5.17</v>
      </c>
      <c r="I32" s="12"/>
      <c r="J32" s="12"/>
      <c r="K32" s="12"/>
      <c r="L32" s="12"/>
      <c r="M32" s="12"/>
      <c r="N32" s="36">
        <f t="shared" si="1"/>
        <v>8</v>
      </c>
      <c r="O32" s="36">
        <f t="shared" si="2"/>
        <v>0.91474327867039185</v>
      </c>
      <c r="P32" s="34">
        <v>8</v>
      </c>
      <c r="Q32" s="34">
        <v>10</v>
      </c>
      <c r="R32" s="34">
        <v>9</v>
      </c>
      <c r="S32" s="34">
        <v>9</v>
      </c>
      <c r="T32" s="34">
        <v>9</v>
      </c>
      <c r="U32" s="34">
        <v>9</v>
      </c>
      <c r="V32" s="34">
        <v>9</v>
      </c>
      <c r="W32" s="35" t="str">
        <f t="shared" si="6"/>
        <v>N</v>
      </c>
      <c r="X32" s="54">
        <f t="shared" si="7"/>
        <v>0</v>
      </c>
      <c r="Y32" s="54" t="str">
        <f t="shared" si="8"/>
        <v>0-4.9%</v>
      </c>
      <c r="Z32" s="8" t="s">
        <v>318</v>
      </c>
    </row>
    <row r="33" spans="1:26" ht="24" customHeight="1" x14ac:dyDescent="0.25">
      <c r="A33" s="10">
        <v>5</v>
      </c>
      <c r="B33" s="9">
        <v>0.34791666666666665</v>
      </c>
      <c r="C33" s="5" t="s">
        <v>110</v>
      </c>
      <c r="D33" s="5">
        <f t="shared" si="0"/>
        <v>7</v>
      </c>
      <c r="E33" s="14"/>
      <c r="F33" s="14" t="s">
        <v>48</v>
      </c>
      <c r="G33" s="12">
        <v>2.25</v>
      </c>
      <c r="H33" s="12">
        <v>5.94</v>
      </c>
      <c r="I33" s="12"/>
      <c r="J33" s="12"/>
      <c r="K33" s="12"/>
      <c r="L33" s="12"/>
      <c r="M33" s="12"/>
      <c r="N33" s="36">
        <f t="shared" si="1"/>
        <v>8.1900000000000013</v>
      </c>
      <c r="O33" s="36">
        <f t="shared" si="2"/>
        <v>1.0166508861390793</v>
      </c>
      <c r="P33" s="34">
        <v>8</v>
      </c>
      <c r="Q33" s="34">
        <v>10</v>
      </c>
      <c r="R33" s="34">
        <v>9</v>
      </c>
      <c r="S33" s="34">
        <v>9</v>
      </c>
      <c r="T33" s="34">
        <v>9</v>
      </c>
      <c r="U33" s="34">
        <v>9</v>
      </c>
      <c r="V33" s="34">
        <v>9</v>
      </c>
      <c r="W33" s="35" t="str">
        <f t="shared" si="6"/>
        <v>N</v>
      </c>
      <c r="X33" s="54">
        <f t="shared" si="7"/>
        <v>0</v>
      </c>
      <c r="Y33" s="54" t="str">
        <f t="shared" si="8"/>
        <v>0-4.9%</v>
      </c>
      <c r="Z33" s="8" t="s">
        <v>287</v>
      </c>
    </row>
    <row r="34" spans="1:26" ht="24" customHeight="1" x14ac:dyDescent="0.25">
      <c r="A34" s="10">
        <v>6</v>
      </c>
      <c r="B34" s="9">
        <v>0.34930555555555554</v>
      </c>
      <c r="C34" s="5" t="s">
        <v>111</v>
      </c>
      <c r="D34" s="5">
        <f t="shared" si="0"/>
        <v>7</v>
      </c>
      <c r="E34" s="14"/>
      <c r="F34" s="14" t="s">
        <v>48</v>
      </c>
      <c r="G34" s="12">
        <v>1</v>
      </c>
      <c r="H34" s="12">
        <v>1.19</v>
      </c>
      <c r="I34" s="12"/>
      <c r="J34" s="12"/>
      <c r="K34" s="12"/>
      <c r="L34" s="12"/>
      <c r="M34" s="12"/>
      <c r="N34" s="36">
        <f t="shared" si="1"/>
        <v>2.19</v>
      </c>
      <c r="O34" s="36">
        <f t="shared" si="2"/>
        <v>2.6877743334792902E-3</v>
      </c>
      <c r="P34" s="34">
        <v>8</v>
      </c>
      <c r="Q34" s="34">
        <v>10</v>
      </c>
      <c r="R34" s="34">
        <v>9</v>
      </c>
      <c r="S34" s="34">
        <v>9</v>
      </c>
      <c r="T34" s="34">
        <v>9</v>
      </c>
      <c r="U34" s="34">
        <v>9</v>
      </c>
      <c r="V34" s="34">
        <v>9</v>
      </c>
      <c r="W34" s="35" t="str">
        <f t="shared" si="6"/>
        <v>N</v>
      </c>
      <c r="X34" s="54">
        <f t="shared" si="7"/>
        <v>0</v>
      </c>
      <c r="Y34" s="54" t="str">
        <f t="shared" si="8"/>
        <v>0-4.9%</v>
      </c>
      <c r="Z34" s="8" t="s">
        <v>292</v>
      </c>
    </row>
    <row r="35" spans="1:26" ht="24" customHeight="1" x14ac:dyDescent="0.25">
      <c r="A35" s="10">
        <v>8</v>
      </c>
      <c r="B35" s="9">
        <v>0.37847222222222227</v>
      </c>
      <c r="C35" s="5" t="s">
        <v>113</v>
      </c>
      <c r="D35" s="5">
        <f t="shared" si="0"/>
        <v>7</v>
      </c>
      <c r="E35" s="14"/>
      <c r="F35" s="14" t="s">
        <v>48</v>
      </c>
      <c r="G35" s="12">
        <v>3</v>
      </c>
      <c r="H35" s="12">
        <v>7.4</v>
      </c>
      <c r="I35" s="12"/>
      <c r="J35" s="12"/>
      <c r="K35" s="12"/>
      <c r="L35" s="12"/>
      <c r="M35" s="12"/>
      <c r="N35" s="36">
        <f t="shared" si="1"/>
        <v>10.4</v>
      </c>
      <c r="O35" s="36">
        <f t="shared" si="2"/>
        <v>2.9788203524719394</v>
      </c>
      <c r="P35" s="34">
        <v>8</v>
      </c>
      <c r="Q35" s="34">
        <v>10</v>
      </c>
      <c r="R35" s="34">
        <v>9</v>
      </c>
      <c r="S35" s="34">
        <v>9</v>
      </c>
      <c r="T35" s="34">
        <v>9</v>
      </c>
      <c r="U35" s="34">
        <v>9</v>
      </c>
      <c r="V35" s="34">
        <v>9</v>
      </c>
      <c r="W35" s="35" t="str">
        <f t="shared" si="6"/>
        <v>N</v>
      </c>
      <c r="X35" s="54">
        <f t="shared" si="7"/>
        <v>0</v>
      </c>
      <c r="Y35" s="54" t="str">
        <f t="shared" si="8"/>
        <v>0-4.9%</v>
      </c>
      <c r="Z35" s="8" t="s">
        <v>318</v>
      </c>
    </row>
    <row r="36" spans="1:26" ht="24" customHeight="1" x14ac:dyDescent="0.25">
      <c r="A36" s="10">
        <v>9</v>
      </c>
      <c r="B36" s="9">
        <v>0.38125000000000003</v>
      </c>
      <c r="C36" s="5" t="s">
        <v>114</v>
      </c>
      <c r="D36" s="5">
        <f t="shared" si="0"/>
        <v>7</v>
      </c>
      <c r="E36" s="14"/>
      <c r="F36" s="14" t="s">
        <v>48</v>
      </c>
      <c r="G36" s="12">
        <v>1.1399999999999999</v>
      </c>
      <c r="H36" s="12">
        <v>1.75</v>
      </c>
      <c r="I36" s="12"/>
      <c r="J36" s="12"/>
      <c r="K36" s="12"/>
      <c r="L36" s="12"/>
      <c r="M36" s="12"/>
      <c r="N36" s="36">
        <f t="shared" si="1"/>
        <v>2.8899999999999997</v>
      </c>
      <c r="O36" s="36">
        <f t="shared" si="2"/>
        <v>9.363421589734848E-3</v>
      </c>
      <c r="P36" s="34">
        <v>8</v>
      </c>
      <c r="Q36" s="34">
        <v>10</v>
      </c>
      <c r="R36" s="34">
        <v>9</v>
      </c>
      <c r="S36" s="34">
        <v>9</v>
      </c>
      <c r="T36" s="34">
        <v>9</v>
      </c>
      <c r="U36" s="34">
        <v>9</v>
      </c>
      <c r="V36" s="34">
        <v>9</v>
      </c>
      <c r="W36" s="35" t="str">
        <f t="shared" si="6"/>
        <v>N</v>
      </c>
      <c r="X36" s="54">
        <f t="shared" si="7"/>
        <v>0</v>
      </c>
      <c r="Y36" s="54" t="str">
        <f t="shared" si="8"/>
        <v>0-4.9%</v>
      </c>
      <c r="Z36" s="8" t="s">
        <v>292</v>
      </c>
    </row>
    <row r="37" spans="1:26" ht="24" customHeight="1" x14ac:dyDescent="0.25">
      <c r="A37" s="10">
        <v>10</v>
      </c>
      <c r="B37" s="9">
        <v>0.38194444444444442</v>
      </c>
      <c r="C37" s="5" t="s">
        <v>115</v>
      </c>
      <c r="D37" s="5">
        <f t="shared" si="0"/>
        <v>7</v>
      </c>
      <c r="E37" s="14"/>
      <c r="F37" s="14" t="s">
        <v>48</v>
      </c>
      <c r="G37" s="12">
        <v>2.98</v>
      </c>
      <c r="H37" s="12">
        <v>2</v>
      </c>
      <c r="I37" s="12"/>
      <c r="J37" s="12"/>
      <c r="K37" s="12"/>
      <c r="L37" s="12"/>
      <c r="M37" s="12"/>
      <c r="N37" s="36">
        <f t="shared" si="1"/>
        <v>4.9800000000000004</v>
      </c>
      <c r="O37" s="36">
        <f t="shared" si="2"/>
        <v>0.10837430566027689</v>
      </c>
      <c r="P37" s="34">
        <v>8</v>
      </c>
      <c r="Q37" s="34">
        <v>10</v>
      </c>
      <c r="R37" s="34">
        <v>9</v>
      </c>
      <c r="S37" s="34">
        <v>9</v>
      </c>
      <c r="T37" s="34">
        <v>9</v>
      </c>
      <c r="U37" s="34">
        <v>9</v>
      </c>
      <c r="V37" s="34">
        <v>9</v>
      </c>
      <c r="W37" s="35" t="str">
        <f t="shared" si="6"/>
        <v>N</v>
      </c>
      <c r="X37" s="54">
        <f t="shared" si="7"/>
        <v>0</v>
      </c>
      <c r="Y37" s="54" t="str">
        <f t="shared" si="8"/>
        <v>0-4.9%</v>
      </c>
      <c r="Z37" s="8" t="s">
        <v>292</v>
      </c>
    </row>
    <row r="38" spans="1:26" ht="24" customHeight="1" x14ac:dyDescent="0.25">
      <c r="A38" s="10">
        <v>11</v>
      </c>
      <c r="B38" s="9">
        <v>0.41666666666666669</v>
      </c>
      <c r="C38" s="5" t="s">
        <v>116</v>
      </c>
      <c r="D38" s="5">
        <f t="shared" si="0"/>
        <v>7</v>
      </c>
      <c r="E38" s="14"/>
      <c r="F38" s="14" t="s">
        <v>48</v>
      </c>
      <c r="G38" s="12">
        <v>2.94</v>
      </c>
      <c r="H38" s="12">
        <v>1.76</v>
      </c>
      <c r="I38" s="12"/>
      <c r="J38" s="12"/>
      <c r="K38" s="12"/>
      <c r="L38" s="12"/>
      <c r="M38" s="12"/>
      <c r="N38" s="36">
        <f t="shared" si="1"/>
        <v>4.7</v>
      </c>
      <c r="O38" s="36">
        <f t="shared" si="2"/>
        <v>8.352849305256467E-2</v>
      </c>
      <c r="P38" s="34">
        <v>8</v>
      </c>
      <c r="Q38" s="34">
        <v>10</v>
      </c>
      <c r="R38" s="34">
        <v>9</v>
      </c>
      <c r="S38" s="34">
        <v>9</v>
      </c>
      <c r="T38" s="34">
        <v>9</v>
      </c>
      <c r="U38" s="34">
        <v>9</v>
      </c>
      <c r="V38" s="34">
        <v>9</v>
      </c>
      <c r="W38" s="35" t="str">
        <f t="shared" si="6"/>
        <v>N</v>
      </c>
      <c r="X38" s="54">
        <f t="shared" si="7"/>
        <v>0</v>
      </c>
      <c r="Y38" s="54" t="str">
        <f t="shared" si="8"/>
        <v>0-4.9%</v>
      </c>
      <c r="Z38" s="8" t="s">
        <v>292</v>
      </c>
    </row>
    <row r="39" spans="1:26" ht="24" customHeight="1" x14ac:dyDescent="0.25">
      <c r="A39" s="10">
        <v>12</v>
      </c>
      <c r="B39" s="9">
        <v>0.43402777777777773</v>
      </c>
      <c r="C39" s="5" t="s">
        <v>117</v>
      </c>
      <c r="D39" s="5">
        <f t="shared" ref="D39:D75" si="9">IF(COUNT(G39:M39)&gt;3,10,IF(COUNT(G39:M39)&gt;2,9,7))</f>
        <v>7</v>
      </c>
      <c r="E39" s="14"/>
      <c r="F39" s="14" t="s">
        <v>48</v>
      </c>
      <c r="G39" s="12">
        <v>4.3</v>
      </c>
      <c r="H39" s="12">
        <v>9</v>
      </c>
      <c r="I39" s="12"/>
      <c r="J39" s="12"/>
      <c r="K39" s="12"/>
      <c r="L39" s="12"/>
      <c r="M39" s="12"/>
      <c r="N39" s="36">
        <f t="shared" ref="N39:N70" si="10">SUM(G39:M39)</f>
        <v>13.3</v>
      </c>
      <c r="O39" s="36">
        <f t="shared" ref="O39:O70" si="11">(N39/8.16)^4.5</f>
        <v>9.0100389819607773</v>
      </c>
      <c r="P39" s="34">
        <v>8</v>
      </c>
      <c r="Q39" s="34">
        <v>10</v>
      </c>
      <c r="R39" s="34">
        <v>9</v>
      </c>
      <c r="S39" s="34">
        <v>9</v>
      </c>
      <c r="T39" s="34">
        <v>9</v>
      </c>
      <c r="U39" s="34">
        <v>9</v>
      </c>
      <c r="V39" s="34">
        <v>9</v>
      </c>
      <c r="W39" s="35" t="str">
        <f t="shared" si="6"/>
        <v>N</v>
      </c>
      <c r="X39" s="54">
        <f t="shared" si="7"/>
        <v>0</v>
      </c>
      <c r="Y39" s="54" t="str">
        <f t="shared" si="8"/>
        <v>0-4.9%</v>
      </c>
      <c r="Z39" s="8" t="s">
        <v>285</v>
      </c>
    </row>
    <row r="40" spans="1:26" ht="24" customHeight="1" x14ac:dyDescent="0.25">
      <c r="A40" s="10">
        <v>13</v>
      </c>
      <c r="B40" s="9">
        <v>0.46180555555555558</v>
      </c>
      <c r="C40" s="5" t="s">
        <v>118</v>
      </c>
      <c r="D40" s="5">
        <f t="shared" si="9"/>
        <v>7</v>
      </c>
      <c r="E40" s="14"/>
      <c r="F40" s="14" t="s">
        <v>48</v>
      </c>
      <c r="G40" s="12">
        <v>3.2</v>
      </c>
      <c r="H40" s="12">
        <v>7.9</v>
      </c>
      <c r="I40" s="12"/>
      <c r="J40" s="12"/>
      <c r="K40" s="12"/>
      <c r="L40" s="12"/>
      <c r="M40" s="12"/>
      <c r="N40" s="36">
        <f t="shared" si="10"/>
        <v>11.100000000000001</v>
      </c>
      <c r="O40" s="36">
        <f t="shared" si="11"/>
        <v>3.9934448408208021</v>
      </c>
      <c r="P40" s="34">
        <v>8</v>
      </c>
      <c r="Q40" s="34">
        <v>10</v>
      </c>
      <c r="R40" s="34">
        <v>9</v>
      </c>
      <c r="S40" s="34">
        <v>9</v>
      </c>
      <c r="T40" s="34">
        <v>9</v>
      </c>
      <c r="U40" s="34">
        <v>9</v>
      </c>
      <c r="V40" s="34">
        <v>9</v>
      </c>
      <c r="W40" s="35" t="str">
        <f t="shared" si="6"/>
        <v>N</v>
      </c>
      <c r="X40" s="54">
        <f t="shared" si="7"/>
        <v>0</v>
      </c>
      <c r="Y40" s="54" t="str">
        <f t="shared" si="8"/>
        <v>0-4.9%</v>
      </c>
      <c r="Z40" s="8" t="s">
        <v>281</v>
      </c>
    </row>
    <row r="41" spans="1:26" ht="24" customHeight="1" x14ac:dyDescent="0.25">
      <c r="A41" s="10">
        <v>14</v>
      </c>
      <c r="B41" s="9">
        <v>0.46527777777777773</v>
      </c>
      <c r="C41" s="5" t="s">
        <v>119</v>
      </c>
      <c r="D41" s="5">
        <f t="shared" si="9"/>
        <v>7</v>
      </c>
      <c r="E41" s="14"/>
      <c r="F41" s="14" t="s">
        <v>48</v>
      </c>
      <c r="G41" s="12">
        <v>1.96</v>
      </c>
      <c r="H41" s="12">
        <v>3.1</v>
      </c>
      <c r="I41" s="12"/>
      <c r="J41" s="12"/>
      <c r="K41" s="12"/>
      <c r="L41" s="12"/>
      <c r="M41" s="12"/>
      <c r="N41" s="36">
        <f t="shared" si="10"/>
        <v>5.0600000000000005</v>
      </c>
      <c r="O41" s="36">
        <f t="shared" si="11"/>
        <v>0.11643179995049582</v>
      </c>
      <c r="P41" s="34">
        <v>8</v>
      </c>
      <c r="Q41" s="34">
        <v>10</v>
      </c>
      <c r="R41" s="34">
        <v>9</v>
      </c>
      <c r="S41" s="34">
        <v>9</v>
      </c>
      <c r="T41" s="34">
        <v>9</v>
      </c>
      <c r="U41" s="34">
        <v>9</v>
      </c>
      <c r="V41" s="34">
        <v>9</v>
      </c>
      <c r="W41" s="35" t="str">
        <f t="shared" si="6"/>
        <v>N</v>
      </c>
      <c r="X41" s="54">
        <f t="shared" si="7"/>
        <v>0</v>
      </c>
      <c r="Y41" s="54" t="str">
        <f t="shared" si="8"/>
        <v>0-4.9%</v>
      </c>
      <c r="Z41" s="8" t="s">
        <v>318</v>
      </c>
    </row>
    <row r="42" spans="1:26" ht="24" customHeight="1" x14ac:dyDescent="0.25">
      <c r="A42" s="10">
        <v>15</v>
      </c>
      <c r="B42" s="9">
        <v>0.46736111111111112</v>
      </c>
      <c r="C42" s="5" t="s">
        <v>120</v>
      </c>
      <c r="D42" s="5">
        <f t="shared" si="9"/>
        <v>7</v>
      </c>
      <c r="E42" s="14"/>
      <c r="F42" s="14" t="s">
        <v>48</v>
      </c>
      <c r="G42" s="12">
        <v>2.94</v>
      </c>
      <c r="H42" s="12">
        <v>3.2</v>
      </c>
      <c r="I42" s="12"/>
      <c r="J42" s="12"/>
      <c r="K42" s="12"/>
      <c r="L42" s="12"/>
      <c r="M42" s="12"/>
      <c r="N42" s="36">
        <f t="shared" si="10"/>
        <v>6.1400000000000006</v>
      </c>
      <c r="O42" s="36">
        <f t="shared" si="11"/>
        <v>0.27806860346643436</v>
      </c>
      <c r="P42" s="34">
        <v>8</v>
      </c>
      <c r="Q42" s="34">
        <v>10</v>
      </c>
      <c r="R42" s="34">
        <v>9</v>
      </c>
      <c r="S42" s="34">
        <v>9</v>
      </c>
      <c r="T42" s="34">
        <v>9</v>
      </c>
      <c r="U42" s="34">
        <v>9</v>
      </c>
      <c r="V42" s="34">
        <v>9</v>
      </c>
      <c r="W42" s="35" t="str">
        <f t="shared" si="6"/>
        <v>N</v>
      </c>
      <c r="X42" s="54">
        <f t="shared" si="7"/>
        <v>0</v>
      </c>
      <c r="Y42" s="54" t="str">
        <f t="shared" si="8"/>
        <v>0-4.9%</v>
      </c>
      <c r="Z42" s="8" t="s">
        <v>287</v>
      </c>
    </row>
    <row r="43" spans="1:26" ht="24" customHeight="1" x14ac:dyDescent="0.25">
      <c r="A43" s="10">
        <v>16</v>
      </c>
      <c r="B43" s="9">
        <v>0.47916666666666669</v>
      </c>
      <c r="C43" s="5" t="s">
        <v>121</v>
      </c>
      <c r="D43" s="5">
        <f t="shared" si="9"/>
        <v>7</v>
      </c>
      <c r="E43" s="14"/>
      <c r="F43" s="14" t="s">
        <v>48</v>
      </c>
      <c r="G43" s="12">
        <v>1.4</v>
      </c>
      <c r="H43" s="12">
        <v>1.1100000000000001</v>
      </c>
      <c r="I43" s="12"/>
      <c r="J43" s="12"/>
      <c r="K43" s="12"/>
      <c r="L43" s="12"/>
      <c r="M43" s="12"/>
      <c r="N43" s="36">
        <f t="shared" si="10"/>
        <v>2.5099999999999998</v>
      </c>
      <c r="O43" s="36">
        <f t="shared" si="11"/>
        <v>4.9650775054442898E-3</v>
      </c>
      <c r="P43" s="34">
        <v>8</v>
      </c>
      <c r="Q43" s="34">
        <v>10</v>
      </c>
      <c r="R43" s="34">
        <v>9</v>
      </c>
      <c r="S43" s="34">
        <v>9</v>
      </c>
      <c r="T43" s="34">
        <v>9</v>
      </c>
      <c r="U43" s="34">
        <v>9</v>
      </c>
      <c r="V43" s="34">
        <v>9</v>
      </c>
      <c r="W43" s="35" t="str">
        <f t="shared" si="6"/>
        <v>N</v>
      </c>
      <c r="X43" s="54">
        <f t="shared" si="7"/>
        <v>0</v>
      </c>
      <c r="Y43" s="54" t="str">
        <f t="shared" si="8"/>
        <v>0-4.9%</v>
      </c>
      <c r="Z43" s="8" t="s">
        <v>292</v>
      </c>
    </row>
    <row r="44" spans="1:26" ht="24" customHeight="1" x14ac:dyDescent="0.25">
      <c r="A44" s="10">
        <v>17</v>
      </c>
      <c r="B44" s="9">
        <v>0.4826388888888889</v>
      </c>
      <c r="C44" s="5" t="s">
        <v>122</v>
      </c>
      <c r="D44" s="5">
        <f t="shared" si="9"/>
        <v>7</v>
      </c>
      <c r="E44" s="14"/>
      <c r="F44" s="14" t="s">
        <v>48</v>
      </c>
      <c r="G44" s="12">
        <v>2.04</v>
      </c>
      <c r="H44" s="12">
        <v>4.68</v>
      </c>
      <c r="I44" s="12"/>
      <c r="J44" s="12"/>
      <c r="K44" s="12"/>
      <c r="L44" s="12"/>
      <c r="M44" s="12"/>
      <c r="N44" s="36">
        <f t="shared" si="10"/>
        <v>6.72</v>
      </c>
      <c r="O44" s="36">
        <f t="shared" si="11"/>
        <v>0.41740343077276276</v>
      </c>
      <c r="P44" s="34">
        <v>8</v>
      </c>
      <c r="Q44" s="34">
        <v>10</v>
      </c>
      <c r="R44" s="34">
        <v>9</v>
      </c>
      <c r="S44" s="34">
        <v>9</v>
      </c>
      <c r="T44" s="34">
        <v>9</v>
      </c>
      <c r="U44" s="34">
        <v>9</v>
      </c>
      <c r="V44" s="34">
        <v>9</v>
      </c>
      <c r="W44" s="35" t="str">
        <f t="shared" si="6"/>
        <v>N</v>
      </c>
      <c r="X44" s="54">
        <f t="shared" si="7"/>
        <v>0</v>
      </c>
      <c r="Y44" s="54" t="str">
        <f t="shared" si="8"/>
        <v>0-4.9%</v>
      </c>
      <c r="Z44" s="8" t="s">
        <v>318</v>
      </c>
    </row>
    <row r="45" spans="1:26" ht="24" customHeight="1" x14ac:dyDescent="0.25">
      <c r="A45" s="10">
        <v>18</v>
      </c>
      <c r="B45" s="9">
        <v>0.48819444444444443</v>
      </c>
      <c r="C45" s="5" t="s">
        <v>123</v>
      </c>
      <c r="D45" s="5">
        <f t="shared" si="9"/>
        <v>7</v>
      </c>
      <c r="E45" s="14"/>
      <c r="F45" s="14" t="s">
        <v>48</v>
      </c>
      <c r="G45" s="12">
        <v>1.34</v>
      </c>
      <c r="H45" s="12">
        <v>1.99</v>
      </c>
      <c r="I45" s="12"/>
      <c r="J45" s="12"/>
      <c r="K45" s="12"/>
      <c r="L45" s="12"/>
      <c r="M45" s="12"/>
      <c r="N45" s="36">
        <f t="shared" si="10"/>
        <v>3.33</v>
      </c>
      <c r="O45" s="36">
        <f t="shared" si="11"/>
        <v>1.7717128553908456E-2</v>
      </c>
      <c r="P45" s="34">
        <v>8</v>
      </c>
      <c r="Q45" s="34">
        <v>10</v>
      </c>
      <c r="R45" s="34">
        <v>9</v>
      </c>
      <c r="S45" s="34">
        <v>9</v>
      </c>
      <c r="T45" s="34">
        <v>9</v>
      </c>
      <c r="U45" s="34">
        <v>9</v>
      </c>
      <c r="V45" s="34">
        <v>9</v>
      </c>
      <c r="W45" s="35" t="str">
        <f t="shared" si="6"/>
        <v>N</v>
      </c>
      <c r="X45" s="54">
        <f t="shared" si="7"/>
        <v>0</v>
      </c>
      <c r="Y45" s="54" t="str">
        <f t="shared" si="8"/>
        <v>0-4.9%</v>
      </c>
      <c r="Z45" s="8" t="s">
        <v>104</v>
      </c>
    </row>
    <row r="46" spans="1:26" ht="24" customHeight="1" x14ac:dyDescent="0.25">
      <c r="A46" s="10">
        <v>19</v>
      </c>
      <c r="B46" s="9">
        <v>0.53125</v>
      </c>
      <c r="C46" s="5" t="s">
        <v>124</v>
      </c>
      <c r="D46" s="5">
        <f t="shared" si="9"/>
        <v>7</v>
      </c>
      <c r="E46" s="14"/>
      <c r="F46" s="14" t="s">
        <v>48</v>
      </c>
      <c r="G46" s="12">
        <v>1.92</v>
      </c>
      <c r="H46" s="12">
        <v>2.9</v>
      </c>
      <c r="I46" s="12"/>
      <c r="J46" s="12"/>
      <c r="K46" s="12"/>
      <c r="L46" s="12"/>
      <c r="M46" s="12"/>
      <c r="N46" s="36">
        <f t="shared" si="10"/>
        <v>4.82</v>
      </c>
      <c r="O46" s="36">
        <f t="shared" si="11"/>
        <v>9.3563391906700516E-2</v>
      </c>
      <c r="P46" s="34">
        <v>8</v>
      </c>
      <c r="Q46" s="34">
        <v>10</v>
      </c>
      <c r="R46" s="34">
        <v>9</v>
      </c>
      <c r="S46" s="34">
        <v>9</v>
      </c>
      <c r="T46" s="34">
        <v>9</v>
      </c>
      <c r="U46" s="34">
        <v>9</v>
      </c>
      <c r="V46" s="34">
        <v>9</v>
      </c>
      <c r="W46" s="35" t="str">
        <f t="shared" si="6"/>
        <v>N</v>
      </c>
      <c r="X46" s="54">
        <f t="shared" si="7"/>
        <v>0</v>
      </c>
      <c r="Y46" s="54" t="str">
        <f t="shared" si="8"/>
        <v>0-4.9%</v>
      </c>
      <c r="Z46" s="8" t="s">
        <v>281</v>
      </c>
    </row>
    <row r="47" spans="1:26" ht="24" customHeight="1" x14ac:dyDescent="0.25">
      <c r="A47" s="10">
        <v>20</v>
      </c>
      <c r="B47" s="9">
        <v>5.2083333333333336E-2</v>
      </c>
      <c r="C47" s="5" t="s">
        <v>125</v>
      </c>
      <c r="D47" s="5">
        <f t="shared" si="9"/>
        <v>7</v>
      </c>
      <c r="E47" s="14"/>
      <c r="F47" s="22" t="s">
        <v>48</v>
      </c>
      <c r="G47" s="12">
        <v>3.8</v>
      </c>
      <c r="H47" s="12">
        <v>9.9</v>
      </c>
      <c r="I47" s="12"/>
      <c r="J47" s="12"/>
      <c r="K47" s="12"/>
      <c r="L47" s="12"/>
      <c r="M47" s="12"/>
      <c r="N47" s="36">
        <f t="shared" si="10"/>
        <v>13.7</v>
      </c>
      <c r="O47" s="36">
        <f t="shared" si="11"/>
        <v>10.295248595146765</v>
      </c>
      <c r="P47" s="34">
        <v>8</v>
      </c>
      <c r="Q47" s="34">
        <v>10</v>
      </c>
      <c r="R47" s="34">
        <v>9</v>
      </c>
      <c r="S47" s="34">
        <v>9</v>
      </c>
      <c r="T47" s="34">
        <v>9</v>
      </c>
      <c r="U47" s="34">
        <v>9</v>
      </c>
      <c r="V47" s="34">
        <v>9</v>
      </c>
      <c r="W47" s="35" t="str">
        <f t="shared" si="6"/>
        <v>N</v>
      </c>
      <c r="X47" s="54">
        <f t="shared" si="7"/>
        <v>0</v>
      </c>
      <c r="Y47" s="54" t="str">
        <f t="shared" si="8"/>
        <v>0-4.9%</v>
      </c>
      <c r="Z47" s="8" t="s">
        <v>281</v>
      </c>
    </row>
    <row r="48" spans="1:26" ht="24" customHeight="1" x14ac:dyDescent="0.25">
      <c r="A48" s="10">
        <v>21</v>
      </c>
      <c r="B48" s="9">
        <v>5.7638888888888885E-2</v>
      </c>
      <c r="C48" s="5" t="s">
        <v>126</v>
      </c>
      <c r="D48" s="5">
        <f t="shared" si="9"/>
        <v>7</v>
      </c>
      <c r="E48" s="14"/>
      <c r="F48" s="14" t="s">
        <v>48</v>
      </c>
      <c r="G48" s="12">
        <v>2.06</v>
      </c>
      <c r="H48" s="12">
        <v>2.1</v>
      </c>
      <c r="I48" s="12"/>
      <c r="J48" s="12"/>
      <c r="K48" s="12"/>
      <c r="L48" s="12"/>
      <c r="M48" s="12"/>
      <c r="N48" s="36">
        <f t="shared" si="10"/>
        <v>4.16</v>
      </c>
      <c r="O48" s="36">
        <f t="shared" si="11"/>
        <v>4.8229668117897785E-2</v>
      </c>
      <c r="P48" s="34">
        <v>8</v>
      </c>
      <c r="Q48" s="34">
        <v>10</v>
      </c>
      <c r="R48" s="34">
        <v>9</v>
      </c>
      <c r="S48" s="34">
        <v>9</v>
      </c>
      <c r="T48" s="34">
        <v>9</v>
      </c>
      <c r="U48" s="34">
        <v>9</v>
      </c>
      <c r="V48" s="34">
        <v>9</v>
      </c>
      <c r="W48" s="35" t="str">
        <f t="shared" si="6"/>
        <v>N</v>
      </c>
      <c r="X48" s="54">
        <f t="shared" si="7"/>
        <v>0</v>
      </c>
      <c r="Y48" s="54" t="str">
        <f t="shared" si="8"/>
        <v>0-4.9%</v>
      </c>
      <c r="Z48" s="8" t="s">
        <v>292</v>
      </c>
    </row>
    <row r="49" spans="1:26" ht="24" customHeight="1" x14ac:dyDescent="0.25">
      <c r="A49" s="10">
        <v>22</v>
      </c>
      <c r="B49" s="9">
        <v>0.15902777777777777</v>
      </c>
      <c r="C49" s="5" t="s">
        <v>127</v>
      </c>
      <c r="D49" s="5">
        <f t="shared" si="9"/>
        <v>7</v>
      </c>
      <c r="E49" s="14"/>
      <c r="F49" s="14" t="s">
        <v>48</v>
      </c>
      <c r="G49" s="12">
        <v>3.4</v>
      </c>
      <c r="H49" s="12">
        <v>8</v>
      </c>
      <c r="I49" s="12"/>
      <c r="J49" s="12"/>
      <c r="K49" s="12"/>
      <c r="L49" s="12"/>
      <c r="M49" s="12"/>
      <c r="N49" s="36">
        <f t="shared" si="10"/>
        <v>11.4</v>
      </c>
      <c r="O49" s="36">
        <f t="shared" si="11"/>
        <v>4.502628506974852</v>
      </c>
      <c r="P49" s="34">
        <v>8</v>
      </c>
      <c r="Q49" s="34">
        <v>10</v>
      </c>
      <c r="R49" s="34">
        <v>9</v>
      </c>
      <c r="S49" s="34">
        <v>9</v>
      </c>
      <c r="T49" s="34">
        <v>9</v>
      </c>
      <c r="U49" s="34">
        <v>9</v>
      </c>
      <c r="V49" s="34">
        <v>9</v>
      </c>
      <c r="W49" s="35" t="str">
        <f t="shared" si="6"/>
        <v>N</v>
      </c>
      <c r="X49" s="54">
        <f t="shared" si="7"/>
        <v>0</v>
      </c>
      <c r="Y49" s="54" t="str">
        <f t="shared" si="8"/>
        <v>0-4.9%</v>
      </c>
      <c r="Z49" s="8" t="s">
        <v>287</v>
      </c>
    </row>
    <row r="50" spans="1:26" ht="24" customHeight="1" x14ac:dyDescent="0.25">
      <c r="A50" s="10">
        <v>23</v>
      </c>
      <c r="B50" s="9">
        <v>0.22638888888888889</v>
      </c>
      <c r="C50" s="5" t="s">
        <v>128</v>
      </c>
      <c r="D50" s="5">
        <f t="shared" si="9"/>
        <v>7</v>
      </c>
      <c r="E50" s="14"/>
      <c r="F50" s="14" t="s">
        <v>48</v>
      </c>
      <c r="G50" s="12">
        <v>3.02</v>
      </c>
      <c r="H50" s="12">
        <v>7</v>
      </c>
      <c r="I50" s="12"/>
      <c r="J50" s="12"/>
      <c r="K50" s="12"/>
      <c r="L50" s="12"/>
      <c r="M50" s="12"/>
      <c r="N50" s="36">
        <f t="shared" si="10"/>
        <v>10.02</v>
      </c>
      <c r="O50" s="36">
        <f t="shared" si="11"/>
        <v>2.5194110655493112</v>
      </c>
      <c r="P50" s="34">
        <v>8</v>
      </c>
      <c r="Q50" s="34">
        <v>10</v>
      </c>
      <c r="R50" s="34">
        <v>9</v>
      </c>
      <c r="S50" s="34">
        <v>9</v>
      </c>
      <c r="T50" s="34">
        <v>9</v>
      </c>
      <c r="U50" s="34">
        <v>9</v>
      </c>
      <c r="V50" s="34">
        <v>9</v>
      </c>
      <c r="W50" s="35" t="str">
        <f t="shared" si="6"/>
        <v>N</v>
      </c>
      <c r="X50" s="54">
        <f t="shared" si="7"/>
        <v>0</v>
      </c>
      <c r="Y50" s="54" t="str">
        <f t="shared" si="8"/>
        <v>0-4.9%</v>
      </c>
      <c r="Z50" s="8" t="s">
        <v>318</v>
      </c>
    </row>
    <row r="51" spans="1:26" ht="24" customHeight="1" x14ac:dyDescent="0.25">
      <c r="A51" s="10">
        <v>1</v>
      </c>
      <c r="B51" s="9">
        <v>0.30208333333333331</v>
      </c>
      <c r="C51" s="5" t="s">
        <v>166</v>
      </c>
      <c r="D51" s="5">
        <f t="shared" si="9"/>
        <v>7</v>
      </c>
      <c r="E51" s="14"/>
      <c r="F51" s="14" t="s">
        <v>48</v>
      </c>
      <c r="G51" s="18">
        <v>1.56</v>
      </c>
      <c r="H51" s="18">
        <v>1.8</v>
      </c>
      <c r="I51" s="18"/>
      <c r="J51" s="18"/>
      <c r="K51" s="18"/>
      <c r="L51" s="18"/>
      <c r="M51" s="18"/>
      <c r="N51" s="36">
        <f t="shared" si="10"/>
        <v>3.3600000000000003</v>
      </c>
      <c r="O51" s="36">
        <f t="shared" si="11"/>
        <v>1.8446799774371896E-2</v>
      </c>
      <c r="P51" s="34">
        <v>8</v>
      </c>
      <c r="Q51" s="34">
        <v>10</v>
      </c>
      <c r="R51" s="34">
        <v>9</v>
      </c>
      <c r="S51" s="34">
        <v>9</v>
      </c>
      <c r="T51" s="34">
        <v>9</v>
      </c>
      <c r="U51" s="34">
        <v>9</v>
      </c>
      <c r="V51" s="34">
        <v>9</v>
      </c>
      <c r="W51" s="35" t="str">
        <f t="shared" si="6"/>
        <v>N</v>
      </c>
      <c r="X51" s="54">
        <f t="shared" si="7"/>
        <v>0</v>
      </c>
      <c r="Y51" s="54" t="str">
        <f t="shared" si="8"/>
        <v>0-4.9%</v>
      </c>
      <c r="Z51" s="8" t="s">
        <v>292</v>
      </c>
    </row>
    <row r="52" spans="1:26" ht="24" customHeight="1" x14ac:dyDescent="0.25">
      <c r="A52" s="10">
        <v>2</v>
      </c>
      <c r="B52" s="9">
        <v>0.3125</v>
      </c>
      <c r="C52" s="5" t="s">
        <v>167</v>
      </c>
      <c r="D52" s="5">
        <f t="shared" si="9"/>
        <v>7</v>
      </c>
      <c r="E52" s="14"/>
      <c r="F52" s="14" t="s">
        <v>48</v>
      </c>
      <c r="G52" s="18">
        <v>1.6</v>
      </c>
      <c r="H52" s="18">
        <v>1.81</v>
      </c>
      <c r="I52" s="18"/>
      <c r="J52" s="18"/>
      <c r="K52" s="18"/>
      <c r="L52" s="18"/>
      <c r="M52" s="18"/>
      <c r="N52" s="36">
        <f t="shared" si="10"/>
        <v>3.41</v>
      </c>
      <c r="O52" s="36">
        <f t="shared" si="11"/>
        <v>1.9714646357274015E-2</v>
      </c>
      <c r="P52" s="34">
        <v>8</v>
      </c>
      <c r="Q52" s="34">
        <v>10</v>
      </c>
      <c r="R52" s="34">
        <v>9</v>
      </c>
      <c r="S52" s="34">
        <v>9</v>
      </c>
      <c r="T52" s="34">
        <v>9</v>
      </c>
      <c r="U52" s="34">
        <v>9</v>
      </c>
      <c r="V52" s="34">
        <v>9</v>
      </c>
      <c r="W52" s="35" t="str">
        <f t="shared" si="6"/>
        <v>N</v>
      </c>
      <c r="X52" s="54">
        <f t="shared" si="7"/>
        <v>0</v>
      </c>
      <c r="Y52" s="54" t="str">
        <f t="shared" si="8"/>
        <v>0-4.9%</v>
      </c>
      <c r="Z52" s="8" t="s">
        <v>292</v>
      </c>
    </row>
    <row r="53" spans="1:26" ht="24" customHeight="1" x14ac:dyDescent="0.25">
      <c r="A53" s="10">
        <v>3</v>
      </c>
      <c r="B53" s="9">
        <v>0.31597222222222221</v>
      </c>
      <c r="C53" s="5" t="s">
        <v>168</v>
      </c>
      <c r="D53" s="5">
        <f t="shared" si="9"/>
        <v>7</v>
      </c>
      <c r="E53" s="14"/>
      <c r="F53" s="14" t="s">
        <v>48</v>
      </c>
      <c r="G53" s="18">
        <v>1.52</v>
      </c>
      <c r="H53" s="18">
        <v>1.96</v>
      </c>
      <c r="I53" s="18"/>
      <c r="J53" s="18"/>
      <c r="K53" s="18"/>
      <c r="L53" s="18"/>
      <c r="M53" s="18"/>
      <c r="N53" s="36">
        <f t="shared" si="10"/>
        <v>3.48</v>
      </c>
      <c r="O53" s="36">
        <f t="shared" si="11"/>
        <v>2.1602344287480986E-2</v>
      </c>
      <c r="P53" s="34">
        <v>8</v>
      </c>
      <c r="Q53" s="34">
        <v>10</v>
      </c>
      <c r="R53" s="34">
        <v>9</v>
      </c>
      <c r="S53" s="34">
        <v>9</v>
      </c>
      <c r="T53" s="34">
        <v>9</v>
      </c>
      <c r="U53" s="34">
        <v>9</v>
      </c>
      <c r="V53" s="34">
        <v>9</v>
      </c>
      <c r="W53" s="35" t="str">
        <f t="shared" si="6"/>
        <v>N</v>
      </c>
      <c r="X53" s="54">
        <f t="shared" si="7"/>
        <v>0</v>
      </c>
      <c r="Y53" s="54" t="str">
        <f t="shared" si="8"/>
        <v>0-4.9%</v>
      </c>
      <c r="Z53" s="8" t="s">
        <v>292</v>
      </c>
    </row>
    <row r="54" spans="1:26" ht="24" customHeight="1" x14ac:dyDescent="0.25">
      <c r="A54" s="10">
        <v>4</v>
      </c>
      <c r="B54" s="9">
        <v>0.32500000000000001</v>
      </c>
      <c r="C54" s="5" t="s">
        <v>169</v>
      </c>
      <c r="D54" s="5">
        <f t="shared" si="9"/>
        <v>7</v>
      </c>
      <c r="E54" s="14"/>
      <c r="F54" s="14" t="s">
        <v>48</v>
      </c>
      <c r="G54" s="12">
        <v>6</v>
      </c>
      <c r="H54" s="12">
        <v>14</v>
      </c>
      <c r="I54" s="12"/>
      <c r="J54" s="12"/>
      <c r="K54" s="12"/>
      <c r="L54" s="12"/>
      <c r="M54" s="12"/>
      <c r="N54" s="36">
        <f t="shared" si="10"/>
        <v>20</v>
      </c>
      <c r="O54" s="36">
        <f t="shared" si="11"/>
        <v>56.497504588448436</v>
      </c>
      <c r="P54" s="34">
        <v>8</v>
      </c>
      <c r="Q54" s="34">
        <v>10</v>
      </c>
      <c r="R54" s="34">
        <v>9</v>
      </c>
      <c r="S54" s="34">
        <v>9</v>
      </c>
      <c r="T54" s="34">
        <v>9</v>
      </c>
      <c r="U54" s="34">
        <v>9</v>
      </c>
      <c r="V54" s="34">
        <v>9</v>
      </c>
      <c r="W54" s="35" t="str">
        <f t="shared" si="6"/>
        <v>Y</v>
      </c>
      <c r="X54" s="54">
        <f t="shared" si="7"/>
        <v>0.4</v>
      </c>
      <c r="Y54" s="54" t="str">
        <f t="shared" si="8"/>
        <v>25-50%</v>
      </c>
      <c r="Z54" s="8" t="s">
        <v>287</v>
      </c>
    </row>
    <row r="55" spans="1:26" ht="24" customHeight="1" x14ac:dyDescent="0.25">
      <c r="A55" s="10">
        <v>5</v>
      </c>
      <c r="B55" s="9">
        <v>0.35347222222222219</v>
      </c>
      <c r="C55" s="5" t="s">
        <v>170</v>
      </c>
      <c r="D55" s="5">
        <f t="shared" si="9"/>
        <v>7</v>
      </c>
      <c r="E55" s="14"/>
      <c r="F55" s="14" t="s">
        <v>48</v>
      </c>
      <c r="G55" s="12">
        <v>2.8</v>
      </c>
      <c r="H55" s="12">
        <v>1.6</v>
      </c>
      <c r="I55" s="12"/>
      <c r="J55" s="12"/>
      <c r="K55" s="12"/>
      <c r="L55" s="12"/>
      <c r="M55" s="12"/>
      <c r="N55" s="36">
        <f t="shared" si="10"/>
        <v>4.4000000000000004</v>
      </c>
      <c r="O55" s="36">
        <f t="shared" si="11"/>
        <v>6.2077087080684643E-2</v>
      </c>
      <c r="P55" s="34">
        <v>8</v>
      </c>
      <c r="Q55" s="34">
        <v>10</v>
      </c>
      <c r="R55" s="34">
        <v>9</v>
      </c>
      <c r="S55" s="34">
        <v>9</v>
      </c>
      <c r="T55" s="34">
        <v>9</v>
      </c>
      <c r="U55" s="34">
        <v>9</v>
      </c>
      <c r="V55" s="34">
        <v>9</v>
      </c>
      <c r="W55" s="35" t="str">
        <f t="shared" si="6"/>
        <v>N</v>
      </c>
      <c r="X55" s="54">
        <f t="shared" si="7"/>
        <v>0</v>
      </c>
      <c r="Y55" s="54" t="str">
        <f t="shared" si="8"/>
        <v>0-4.9%</v>
      </c>
      <c r="Z55" s="8" t="s">
        <v>292</v>
      </c>
    </row>
    <row r="56" spans="1:26" ht="24" customHeight="1" x14ac:dyDescent="0.25">
      <c r="A56" s="10">
        <v>6</v>
      </c>
      <c r="B56" s="9">
        <v>0.35486111111111113</v>
      </c>
      <c r="C56" s="5" t="s">
        <v>171</v>
      </c>
      <c r="D56" s="5">
        <f t="shared" si="9"/>
        <v>7</v>
      </c>
      <c r="E56" s="14"/>
      <c r="F56" s="14" t="s">
        <v>48</v>
      </c>
      <c r="G56" s="12">
        <v>5</v>
      </c>
      <c r="H56" s="12">
        <v>9</v>
      </c>
      <c r="I56" s="12"/>
      <c r="J56" s="12"/>
      <c r="K56" s="12"/>
      <c r="L56" s="12"/>
      <c r="M56" s="12"/>
      <c r="N56" s="36">
        <f t="shared" si="10"/>
        <v>14</v>
      </c>
      <c r="O56" s="36">
        <f t="shared" si="11"/>
        <v>11.349335805508078</v>
      </c>
      <c r="P56" s="34">
        <v>8</v>
      </c>
      <c r="Q56" s="34">
        <v>10</v>
      </c>
      <c r="R56" s="34">
        <v>9</v>
      </c>
      <c r="S56" s="34">
        <v>9</v>
      </c>
      <c r="T56" s="34">
        <v>9</v>
      </c>
      <c r="U56" s="34">
        <v>9</v>
      </c>
      <c r="V56" s="34">
        <v>9</v>
      </c>
      <c r="W56" s="35" t="str">
        <f t="shared" si="6"/>
        <v>N</v>
      </c>
      <c r="X56" s="54">
        <f t="shared" si="7"/>
        <v>0</v>
      </c>
      <c r="Y56" s="54" t="str">
        <f t="shared" si="8"/>
        <v>0-4.9%</v>
      </c>
      <c r="Z56" s="8" t="s">
        <v>281</v>
      </c>
    </row>
    <row r="57" spans="1:26" ht="24" customHeight="1" x14ac:dyDescent="0.25">
      <c r="A57" s="10">
        <v>7</v>
      </c>
      <c r="B57" s="9">
        <v>0.36736111111111108</v>
      </c>
      <c r="C57" s="5" t="s">
        <v>172</v>
      </c>
      <c r="D57" s="5">
        <f t="shared" si="9"/>
        <v>7</v>
      </c>
      <c r="E57" s="14"/>
      <c r="F57" s="14" t="s">
        <v>48</v>
      </c>
      <c r="G57" s="12">
        <v>3.6</v>
      </c>
      <c r="H57" s="12">
        <v>7.07</v>
      </c>
      <c r="I57" s="12"/>
      <c r="J57" s="12"/>
      <c r="K57" s="12"/>
      <c r="L57" s="12"/>
      <c r="M57" s="12"/>
      <c r="N57" s="36">
        <f t="shared" si="10"/>
        <v>10.67</v>
      </c>
      <c r="O57" s="36">
        <f t="shared" si="11"/>
        <v>3.3429830379333105</v>
      </c>
      <c r="P57" s="34">
        <v>8</v>
      </c>
      <c r="Q57" s="34">
        <v>10</v>
      </c>
      <c r="R57" s="34">
        <v>9</v>
      </c>
      <c r="S57" s="34">
        <v>9</v>
      </c>
      <c r="T57" s="34">
        <v>9</v>
      </c>
      <c r="U57" s="34">
        <v>9</v>
      </c>
      <c r="V57" s="34">
        <v>9</v>
      </c>
      <c r="W57" s="35" t="str">
        <f t="shared" si="6"/>
        <v>N</v>
      </c>
      <c r="X57" s="54">
        <f t="shared" si="7"/>
        <v>0</v>
      </c>
      <c r="Y57" s="54" t="str">
        <f t="shared" si="8"/>
        <v>0-4.9%</v>
      </c>
      <c r="Z57" s="8" t="s">
        <v>281</v>
      </c>
    </row>
    <row r="58" spans="1:26" ht="24" customHeight="1" x14ac:dyDescent="0.25">
      <c r="A58" s="10">
        <v>8</v>
      </c>
      <c r="B58" s="9">
        <v>0.40833333333333338</v>
      </c>
      <c r="C58" s="5" t="s">
        <v>173</v>
      </c>
      <c r="D58" s="5">
        <f t="shared" si="9"/>
        <v>7</v>
      </c>
      <c r="E58" s="14"/>
      <c r="F58" s="14" t="s">
        <v>48</v>
      </c>
      <c r="G58" s="12">
        <v>9</v>
      </c>
      <c r="H58" s="12">
        <v>17</v>
      </c>
      <c r="I58" s="12"/>
      <c r="J58" s="12"/>
      <c r="K58" s="12"/>
      <c r="L58" s="12"/>
      <c r="M58" s="12"/>
      <c r="N58" s="36">
        <f t="shared" si="10"/>
        <v>26</v>
      </c>
      <c r="O58" s="36">
        <f t="shared" si="11"/>
        <v>183.98158309134593</v>
      </c>
      <c r="P58" s="34">
        <v>8</v>
      </c>
      <c r="Q58" s="34">
        <v>10</v>
      </c>
      <c r="R58" s="34">
        <v>9</v>
      </c>
      <c r="S58" s="34">
        <v>9</v>
      </c>
      <c r="T58" s="34">
        <v>9</v>
      </c>
      <c r="U58" s="34">
        <v>9</v>
      </c>
      <c r="V58" s="34">
        <v>9</v>
      </c>
      <c r="W58" s="35" t="str">
        <f t="shared" si="6"/>
        <v>Y</v>
      </c>
      <c r="X58" s="54">
        <f t="shared" si="7"/>
        <v>0.7</v>
      </c>
      <c r="Y58" s="54" t="str">
        <f t="shared" si="8"/>
        <v>Over 50%</v>
      </c>
      <c r="Z58" s="8" t="s">
        <v>287</v>
      </c>
    </row>
    <row r="59" spans="1:26" ht="24" customHeight="1" x14ac:dyDescent="0.25">
      <c r="A59" s="10">
        <v>9</v>
      </c>
      <c r="B59" s="9">
        <v>0.41319444444444442</v>
      </c>
      <c r="C59" s="5" t="s">
        <v>174</v>
      </c>
      <c r="D59" s="5">
        <f t="shared" si="9"/>
        <v>7</v>
      </c>
      <c r="E59" s="14"/>
      <c r="F59" s="14" t="s">
        <v>48</v>
      </c>
      <c r="G59" s="12">
        <v>7</v>
      </c>
      <c r="H59" s="12">
        <v>12</v>
      </c>
      <c r="I59" s="12"/>
      <c r="J59" s="12"/>
      <c r="K59" s="12"/>
      <c r="L59" s="12"/>
      <c r="M59" s="12"/>
      <c r="N59" s="36">
        <f t="shared" si="10"/>
        <v>19</v>
      </c>
      <c r="O59" s="36">
        <f t="shared" si="11"/>
        <v>44.852379685371339</v>
      </c>
      <c r="P59" s="34">
        <v>8</v>
      </c>
      <c r="Q59" s="34">
        <v>10</v>
      </c>
      <c r="R59" s="34">
        <v>9</v>
      </c>
      <c r="S59" s="34">
        <v>9</v>
      </c>
      <c r="T59" s="34">
        <v>9</v>
      </c>
      <c r="U59" s="34">
        <v>9</v>
      </c>
      <c r="V59" s="34">
        <v>9</v>
      </c>
      <c r="W59" s="35" t="str">
        <f t="shared" si="6"/>
        <v>Y</v>
      </c>
      <c r="X59" s="54">
        <f t="shared" si="7"/>
        <v>0.2</v>
      </c>
      <c r="Y59" s="54" t="str">
        <f t="shared" si="8"/>
        <v>5-25%</v>
      </c>
      <c r="Z59" s="8" t="s">
        <v>281</v>
      </c>
    </row>
    <row r="60" spans="1:26" ht="24" customHeight="1" x14ac:dyDescent="0.25">
      <c r="A60" s="10">
        <v>10</v>
      </c>
      <c r="B60" s="9">
        <v>0.4375</v>
      </c>
      <c r="C60" s="5" t="s">
        <v>174</v>
      </c>
      <c r="D60" s="5">
        <f t="shared" si="9"/>
        <v>7</v>
      </c>
      <c r="E60" s="14"/>
      <c r="F60" s="14" t="s">
        <v>48</v>
      </c>
      <c r="G60" s="12">
        <v>3.24</v>
      </c>
      <c r="H60" s="12">
        <v>4.26</v>
      </c>
      <c r="I60" s="12"/>
      <c r="J60" s="12"/>
      <c r="K60" s="12"/>
      <c r="L60" s="12"/>
      <c r="M60" s="12"/>
      <c r="N60" s="36">
        <f t="shared" si="10"/>
        <v>7.5</v>
      </c>
      <c r="O60" s="36">
        <f t="shared" si="11"/>
        <v>0.68417936380384781</v>
      </c>
      <c r="P60" s="34">
        <v>8</v>
      </c>
      <c r="Q60" s="34">
        <v>10</v>
      </c>
      <c r="R60" s="34">
        <v>9</v>
      </c>
      <c r="S60" s="34">
        <v>9</v>
      </c>
      <c r="T60" s="34">
        <v>9</v>
      </c>
      <c r="U60" s="34">
        <v>9</v>
      </c>
      <c r="V60" s="34">
        <v>9</v>
      </c>
      <c r="W60" s="35" t="str">
        <f t="shared" si="6"/>
        <v>N</v>
      </c>
      <c r="X60" s="54">
        <f t="shared" si="7"/>
        <v>0</v>
      </c>
      <c r="Y60" s="54" t="str">
        <f t="shared" si="8"/>
        <v>0-4.9%</v>
      </c>
      <c r="Z60" s="8" t="s">
        <v>281</v>
      </c>
    </row>
    <row r="61" spans="1:26" ht="24" customHeight="1" x14ac:dyDescent="0.25">
      <c r="A61" s="10">
        <v>11</v>
      </c>
      <c r="B61" s="9">
        <v>0.47916666666666669</v>
      </c>
      <c r="C61" s="5" t="s">
        <v>175</v>
      </c>
      <c r="D61" s="5">
        <f t="shared" si="9"/>
        <v>7</v>
      </c>
      <c r="E61" s="14"/>
      <c r="F61" s="14" t="s">
        <v>48</v>
      </c>
      <c r="G61" s="12">
        <v>1.98</v>
      </c>
      <c r="H61" s="12">
        <v>3.24</v>
      </c>
      <c r="I61" s="12"/>
      <c r="J61" s="12"/>
      <c r="K61" s="12"/>
      <c r="L61" s="12"/>
      <c r="M61" s="12"/>
      <c r="N61" s="36">
        <f t="shared" si="10"/>
        <v>5.2200000000000006</v>
      </c>
      <c r="O61" s="36">
        <f t="shared" si="11"/>
        <v>0.1339403869041467</v>
      </c>
      <c r="P61" s="34">
        <v>8</v>
      </c>
      <c r="Q61" s="34">
        <v>10</v>
      </c>
      <c r="R61" s="34">
        <v>9</v>
      </c>
      <c r="S61" s="34">
        <v>9</v>
      </c>
      <c r="T61" s="34">
        <v>9</v>
      </c>
      <c r="U61" s="34">
        <v>9</v>
      </c>
      <c r="V61" s="34">
        <v>9</v>
      </c>
      <c r="W61" s="35" t="str">
        <f t="shared" si="6"/>
        <v>N</v>
      </c>
      <c r="X61" s="54">
        <f t="shared" si="7"/>
        <v>0</v>
      </c>
      <c r="Y61" s="54" t="str">
        <f t="shared" si="8"/>
        <v>0-4.9%</v>
      </c>
      <c r="Z61" s="8" t="s">
        <v>287</v>
      </c>
    </row>
    <row r="62" spans="1:26" ht="24" customHeight="1" x14ac:dyDescent="0.25">
      <c r="A62" s="10">
        <v>12</v>
      </c>
      <c r="B62" s="9">
        <v>0.53125</v>
      </c>
      <c r="C62" s="5" t="s">
        <v>176</v>
      </c>
      <c r="D62" s="5">
        <f t="shared" si="9"/>
        <v>7</v>
      </c>
      <c r="E62" s="14"/>
      <c r="F62" s="14" t="s">
        <v>48</v>
      </c>
      <c r="G62" s="12">
        <v>5.7</v>
      </c>
      <c r="H62" s="12">
        <v>13</v>
      </c>
      <c r="I62" s="12"/>
      <c r="J62" s="12"/>
      <c r="K62" s="12"/>
      <c r="L62" s="12"/>
      <c r="M62" s="12"/>
      <c r="N62" s="36">
        <f t="shared" si="10"/>
        <v>18.7</v>
      </c>
      <c r="O62" s="36">
        <f t="shared" si="11"/>
        <v>41.752406776655548</v>
      </c>
      <c r="P62" s="34">
        <v>8</v>
      </c>
      <c r="Q62" s="34">
        <v>10</v>
      </c>
      <c r="R62" s="34">
        <v>9</v>
      </c>
      <c r="S62" s="34">
        <v>9</v>
      </c>
      <c r="T62" s="34">
        <v>9</v>
      </c>
      <c r="U62" s="34">
        <v>9</v>
      </c>
      <c r="V62" s="34">
        <v>9</v>
      </c>
      <c r="W62" s="35" t="str">
        <f t="shared" si="6"/>
        <v>Y</v>
      </c>
      <c r="X62" s="54">
        <f t="shared" si="7"/>
        <v>0.3</v>
      </c>
      <c r="Y62" s="54" t="str">
        <f t="shared" si="8"/>
        <v>25-50%</v>
      </c>
      <c r="Z62" s="8" t="s">
        <v>281</v>
      </c>
    </row>
    <row r="63" spans="1:26" ht="24" customHeight="1" x14ac:dyDescent="0.25">
      <c r="A63" s="10">
        <v>13</v>
      </c>
      <c r="B63" s="9">
        <v>8.7500000000000008E-2</v>
      </c>
      <c r="C63" s="5" t="s">
        <v>177</v>
      </c>
      <c r="D63" s="5">
        <f t="shared" si="9"/>
        <v>7</v>
      </c>
      <c r="E63" s="14"/>
      <c r="F63" s="14" t="s">
        <v>48</v>
      </c>
      <c r="G63" s="12">
        <v>2</v>
      </c>
      <c r="H63" s="12">
        <v>2.1</v>
      </c>
      <c r="I63" s="12"/>
      <c r="J63" s="12"/>
      <c r="K63" s="12"/>
      <c r="L63" s="12"/>
      <c r="M63" s="12"/>
      <c r="N63" s="36">
        <f t="shared" si="10"/>
        <v>4.0999999999999996</v>
      </c>
      <c r="O63" s="36">
        <f t="shared" si="11"/>
        <v>4.5177442398546395E-2</v>
      </c>
      <c r="P63" s="34">
        <v>8</v>
      </c>
      <c r="Q63" s="34">
        <v>10</v>
      </c>
      <c r="R63" s="34">
        <v>9</v>
      </c>
      <c r="S63" s="34">
        <v>9</v>
      </c>
      <c r="T63" s="34">
        <v>9</v>
      </c>
      <c r="U63" s="34">
        <v>9</v>
      </c>
      <c r="V63" s="34">
        <v>9</v>
      </c>
      <c r="W63" s="35" t="str">
        <f t="shared" si="6"/>
        <v>N</v>
      </c>
      <c r="X63" s="54">
        <f t="shared" si="7"/>
        <v>0</v>
      </c>
      <c r="Y63" s="54" t="str">
        <f t="shared" si="8"/>
        <v>0-4.9%</v>
      </c>
      <c r="Z63" s="8" t="s">
        <v>292</v>
      </c>
    </row>
    <row r="64" spans="1:26" ht="24" customHeight="1" x14ac:dyDescent="0.25">
      <c r="A64" s="10">
        <v>14</v>
      </c>
      <c r="B64" s="9">
        <v>0.11527777777777777</v>
      </c>
      <c r="C64" s="5" t="s">
        <v>178</v>
      </c>
      <c r="D64" s="5">
        <f t="shared" si="9"/>
        <v>7</v>
      </c>
      <c r="E64" s="14"/>
      <c r="F64" s="14" t="s">
        <v>48</v>
      </c>
      <c r="G64" s="12">
        <v>2.8</v>
      </c>
      <c r="H64" s="12">
        <v>3.8</v>
      </c>
      <c r="I64" s="12"/>
      <c r="J64" s="12"/>
      <c r="K64" s="12"/>
      <c r="L64" s="12"/>
      <c r="M64" s="12"/>
      <c r="N64" s="36">
        <f t="shared" si="10"/>
        <v>6.6</v>
      </c>
      <c r="O64" s="36">
        <f t="shared" si="11"/>
        <v>0.38489475729205003</v>
      </c>
      <c r="P64" s="34">
        <v>8</v>
      </c>
      <c r="Q64" s="34">
        <v>10</v>
      </c>
      <c r="R64" s="34">
        <v>9</v>
      </c>
      <c r="S64" s="34">
        <v>9</v>
      </c>
      <c r="T64" s="34">
        <v>9</v>
      </c>
      <c r="U64" s="34">
        <v>9</v>
      </c>
      <c r="V64" s="34">
        <v>9</v>
      </c>
      <c r="W64" s="35" t="str">
        <f t="shared" si="6"/>
        <v>N</v>
      </c>
      <c r="X64" s="54">
        <f t="shared" si="7"/>
        <v>0</v>
      </c>
      <c r="Y64" s="54" t="str">
        <f t="shared" si="8"/>
        <v>0-4.9%</v>
      </c>
      <c r="Z64" s="8" t="s">
        <v>318</v>
      </c>
    </row>
    <row r="65" spans="1:26" ht="24" customHeight="1" x14ac:dyDescent="0.25">
      <c r="A65" s="10">
        <v>15</v>
      </c>
      <c r="B65" s="9">
        <v>0.14861111111111111</v>
      </c>
      <c r="C65" s="5" t="s">
        <v>179</v>
      </c>
      <c r="D65" s="5">
        <f t="shared" si="9"/>
        <v>7</v>
      </c>
      <c r="E65" s="14"/>
      <c r="F65" s="14" t="s">
        <v>48</v>
      </c>
      <c r="G65" s="12">
        <v>4.5999999999999996</v>
      </c>
      <c r="H65" s="12">
        <v>8.24</v>
      </c>
      <c r="I65" s="12"/>
      <c r="J65" s="12"/>
      <c r="K65" s="12"/>
      <c r="L65" s="12"/>
      <c r="M65" s="12"/>
      <c r="N65" s="36">
        <f t="shared" si="10"/>
        <v>12.84</v>
      </c>
      <c r="O65" s="36">
        <f t="shared" si="11"/>
        <v>7.690186855955238</v>
      </c>
      <c r="P65" s="34">
        <v>8</v>
      </c>
      <c r="Q65" s="34">
        <v>10</v>
      </c>
      <c r="R65" s="34">
        <v>9</v>
      </c>
      <c r="S65" s="34">
        <v>9</v>
      </c>
      <c r="T65" s="34">
        <v>9</v>
      </c>
      <c r="U65" s="34">
        <v>9</v>
      </c>
      <c r="V65" s="34">
        <v>9</v>
      </c>
      <c r="W65" s="35" t="str">
        <f t="shared" si="6"/>
        <v>N</v>
      </c>
      <c r="X65" s="54">
        <f t="shared" si="7"/>
        <v>0</v>
      </c>
      <c r="Y65" s="54" t="str">
        <f t="shared" si="8"/>
        <v>0-4.9%</v>
      </c>
      <c r="Z65" s="8" t="s">
        <v>318</v>
      </c>
    </row>
    <row r="66" spans="1:26" ht="24" customHeight="1" x14ac:dyDescent="0.25">
      <c r="A66" s="10">
        <v>16</v>
      </c>
      <c r="B66" s="9">
        <v>0.18124999999999999</v>
      </c>
      <c r="C66" s="5" t="s">
        <v>180</v>
      </c>
      <c r="D66" s="5">
        <f t="shared" si="9"/>
        <v>7</v>
      </c>
      <c r="E66" s="14"/>
      <c r="F66" s="14" t="s">
        <v>48</v>
      </c>
      <c r="G66" s="12">
        <v>3.64</v>
      </c>
      <c r="H66" s="12">
        <v>9.34</v>
      </c>
      <c r="I66" s="12"/>
      <c r="J66" s="12"/>
      <c r="K66" s="12"/>
      <c r="L66" s="12"/>
      <c r="M66" s="12"/>
      <c r="N66" s="36">
        <f t="shared" si="10"/>
        <v>12.98</v>
      </c>
      <c r="O66" s="36">
        <f t="shared" si="11"/>
        <v>8.0747744784200126</v>
      </c>
      <c r="P66" s="34">
        <v>8</v>
      </c>
      <c r="Q66" s="34">
        <v>10</v>
      </c>
      <c r="R66" s="34">
        <v>9</v>
      </c>
      <c r="S66" s="34">
        <v>9</v>
      </c>
      <c r="T66" s="34">
        <v>9</v>
      </c>
      <c r="U66" s="34">
        <v>9</v>
      </c>
      <c r="V66" s="34">
        <v>9</v>
      </c>
      <c r="W66" s="35" t="str">
        <f t="shared" si="6"/>
        <v>N</v>
      </c>
      <c r="X66" s="54">
        <f t="shared" si="7"/>
        <v>0</v>
      </c>
      <c r="Y66" s="54" t="str">
        <f t="shared" si="8"/>
        <v>0-4.9%</v>
      </c>
      <c r="Z66" s="8" t="s">
        <v>289</v>
      </c>
    </row>
    <row r="67" spans="1:26" ht="24" customHeight="1" x14ac:dyDescent="0.25">
      <c r="A67" s="10">
        <v>7</v>
      </c>
      <c r="B67" s="9">
        <v>0.36874999999999997</v>
      </c>
      <c r="C67" s="5" t="s">
        <v>112</v>
      </c>
      <c r="D67" s="5">
        <f t="shared" si="9"/>
        <v>9</v>
      </c>
      <c r="E67" s="14"/>
      <c r="F67" s="14" t="s">
        <v>102</v>
      </c>
      <c r="G67" s="12">
        <v>7.36</v>
      </c>
      <c r="H67" s="12">
        <v>12.96</v>
      </c>
      <c r="I67" s="12">
        <v>11.12</v>
      </c>
      <c r="J67" s="12"/>
      <c r="K67" s="12"/>
      <c r="L67" s="12"/>
      <c r="M67" s="12"/>
      <c r="N67" s="36">
        <f t="shared" si="10"/>
        <v>31.439999999999998</v>
      </c>
      <c r="O67" s="36">
        <f t="shared" si="11"/>
        <v>432.57927035378395</v>
      </c>
      <c r="P67" s="34">
        <v>8</v>
      </c>
      <c r="Q67" s="34">
        <v>10</v>
      </c>
      <c r="R67" s="34">
        <v>9</v>
      </c>
      <c r="S67" s="34">
        <v>9</v>
      </c>
      <c r="T67" s="34">
        <v>9</v>
      </c>
      <c r="U67" s="34">
        <v>9</v>
      </c>
      <c r="V67" s="34">
        <v>9</v>
      </c>
      <c r="W67" s="35" t="str">
        <f t="shared" si="6"/>
        <v>Y</v>
      </c>
      <c r="X67" s="54">
        <f t="shared" si="7"/>
        <v>0.2960000000000001</v>
      </c>
      <c r="Y67" s="54" t="str">
        <f t="shared" si="8"/>
        <v>25-50%</v>
      </c>
      <c r="Z67" s="8" t="s">
        <v>318</v>
      </c>
    </row>
    <row r="68" spans="1:26" ht="24" customHeight="1" x14ac:dyDescent="0.25">
      <c r="A68" s="10">
        <v>17</v>
      </c>
      <c r="B68" s="9">
        <v>0.19444444444444445</v>
      </c>
      <c r="C68" s="5" t="s">
        <v>181</v>
      </c>
      <c r="D68" s="5">
        <f t="shared" si="9"/>
        <v>9</v>
      </c>
      <c r="E68" s="14"/>
      <c r="F68" s="14" t="s">
        <v>102</v>
      </c>
      <c r="G68" s="12">
        <v>3.75</v>
      </c>
      <c r="H68" s="12">
        <v>4.84</v>
      </c>
      <c r="I68" s="12">
        <v>4.9400000000000004</v>
      </c>
      <c r="J68" s="12"/>
      <c r="K68" s="12"/>
      <c r="L68" s="12"/>
      <c r="M68" s="12"/>
      <c r="N68" s="36">
        <f t="shared" si="10"/>
        <v>13.530000000000001</v>
      </c>
      <c r="O68" s="36">
        <f t="shared" si="11"/>
        <v>9.7327231583461611</v>
      </c>
      <c r="P68" s="34">
        <v>8</v>
      </c>
      <c r="Q68" s="34">
        <v>10</v>
      </c>
      <c r="R68" s="34">
        <v>9</v>
      </c>
      <c r="S68" s="34">
        <v>9</v>
      </c>
      <c r="T68" s="34">
        <v>9</v>
      </c>
      <c r="U68" s="34">
        <v>9</v>
      </c>
      <c r="V68" s="34">
        <v>9</v>
      </c>
      <c r="W68" s="35" t="str">
        <f t="shared" si="6"/>
        <v>N</v>
      </c>
      <c r="X68" s="54">
        <f t="shared" si="7"/>
        <v>0</v>
      </c>
      <c r="Y68" s="54" t="str">
        <f t="shared" si="8"/>
        <v>0-4.9%</v>
      </c>
      <c r="Z68" s="8" t="s">
        <v>281</v>
      </c>
    </row>
    <row r="69" spans="1:26" ht="24" customHeight="1" x14ac:dyDescent="0.25">
      <c r="A69" s="10">
        <v>4</v>
      </c>
      <c r="B69" s="9">
        <v>0.32500000000000001</v>
      </c>
      <c r="C69" s="5" t="s">
        <v>23</v>
      </c>
      <c r="D69" s="5">
        <f t="shared" si="9"/>
        <v>10</v>
      </c>
      <c r="E69" s="14"/>
      <c r="F69" s="14" t="s">
        <v>49</v>
      </c>
      <c r="G69" s="12">
        <v>4.7</v>
      </c>
      <c r="H69" s="12">
        <v>8</v>
      </c>
      <c r="I69" s="12">
        <v>4</v>
      </c>
      <c r="J69" s="12">
        <v>10.119999999999999</v>
      </c>
      <c r="K69" s="12">
        <v>10.1</v>
      </c>
      <c r="L69" s="12"/>
      <c r="M69" s="12"/>
      <c r="N69" s="36">
        <f t="shared" si="10"/>
        <v>36.92</v>
      </c>
      <c r="O69" s="36">
        <f t="shared" si="11"/>
        <v>891.39850463443679</v>
      </c>
      <c r="P69" s="34">
        <v>8</v>
      </c>
      <c r="Q69" s="34">
        <v>10</v>
      </c>
      <c r="R69" s="34">
        <v>9</v>
      </c>
      <c r="S69" s="34">
        <v>9</v>
      </c>
      <c r="T69" s="34">
        <v>9</v>
      </c>
      <c r="U69" s="34">
        <v>9</v>
      </c>
      <c r="V69" s="34">
        <v>9</v>
      </c>
      <c r="W69" s="35" t="str">
        <f t="shared" si="6"/>
        <v>Y</v>
      </c>
      <c r="X69" s="54">
        <f t="shared" si="7"/>
        <v>0.11199999999999992</v>
      </c>
      <c r="Y69" s="54" t="str">
        <f t="shared" si="8"/>
        <v>5-25%</v>
      </c>
      <c r="Z69" s="8" t="s">
        <v>281</v>
      </c>
    </row>
    <row r="70" spans="1:26" ht="24" customHeight="1" x14ac:dyDescent="0.25">
      <c r="A70" s="10">
        <v>9</v>
      </c>
      <c r="B70" s="9">
        <v>0.36458333333333331</v>
      </c>
      <c r="C70" s="5" t="s">
        <v>28</v>
      </c>
      <c r="D70" s="5">
        <f t="shared" si="9"/>
        <v>10</v>
      </c>
      <c r="E70" s="14"/>
      <c r="F70" s="22" t="s">
        <v>50</v>
      </c>
      <c r="G70" s="12">
        <v>5.74</v>
      </c>
      <c r="H70" s="12">
        <v>9.52</v>
      </c>
      <c r="I70" s="12">
        <v>8.2799999999999994</v>
      </c>
      <c r="J70" s="12">
        <v>6.04</v>
      </c>
      <c r="K70" s="12">
        <v>7.4</v>
      </c>
      <c r="L70" s="12">
        <v>6.98</v>
      </c>
      <c r="M70" s="12"/>
      <c r="N70" s="36">
        <f t="shared" si="10"/>
        <v>43.959999999999994</v>
      </c>
      <c r="O70" s="36">
        <f t="shared" si="11"/>
        <v>1955.0319647026195</v>
      </c>
      <c r="P70" s="34">
        <v>8</v>
      </c>
      <c r="Q70" s="34">
        <v>10</v>
      </c>
      <c r="R70" s="34">
        <v>9</v>
      </c>
      <c r="S70" s="34">
        <v>9</v>
      </c>
      <c r="T70" s="34">
        <v>9</v>
      </c>
      <c r="U70" s="34">
        <v>9</v>
      </c>
      <c r="V70" s="34">
        <v>9</v>
      </c>
      <c r="W70" s="35" t="str">
        <f t="shared" si="6"/>
        <v>N</v>
      </c>
      <c r="X70" s="54">
        <f t="shared" si="7"/>
        <v>0</v>
      </c>
      <c r="Y70" s="54" t="str">
        <f t="shared" si="8"/>
        <v>0-4.9%</v>
      </c>
      <c r="Z70" s="8" t="s">
        <v>285</v>
      </c>
    </row>
    <row r="71" spans="1:26" ht="24" customHeight="1" x14ac:dyDescent="0.25">
      <c r="A71" s="10">
        <v>14</v>
      </c>
      <c r="B71" s="9">
        <v>0.3840277777777778</v>
      </c>
      <c r="C71" s="5" t="s">
        <v>33</v>
      </c>
      <c r="D71" s="5">
        <f t="shared" si="9"/>
        <v>10</v>
      </c>
      <c r="E71" s="14"/>
      <c r="F71" s="14" t="s">
        <v>50</v>
      </c>
      <c r="G71" s="12">
        <v>5.8</v>
      </c>
      <c r="H71" s="12">
        <v>6</v>
      </c>
      <c r="I71" s="12">
        <v>9.8000000000000007</v>
      </c>
      <c r="J71" s="12">
        <v>10</v>
      </c>
      <c r="K71" s="12">
        <v>11</v>
      </c>
      <c r="L71" s="12">
        <v>7</v>
      </c>
      <c r="M71" s="12"/>
      <c r="N71" s="36">
        <f t="shared" ref="N71:N75" si="12">SUM(G71:M71)</f>
        <v>49.6</v>
      </c>
      <c r="O71" s="36">
        <f t="shared" ref="O71:O75" si="13">(N71/8.16)^4.5</f>
        <v>3365.5948140202395</v>
      </c>
      <c r="P71" s="34">
        <v>8</v>
      </c>
      <c r="Q71" s="34">
        <v>10</v>
      </c>
      <c r="R71" s="34">
        <v>9</v>
      </c>
      <c r="S71" s="34">
        <v>9</v>
      </c>
      <c r="T71" s="34">
        <v>9</v>
      </c>
      <c r="U71" s="34">
        <v>9</v>
      </c>
      <c r="V71" s="34">
        <v>9</v>
      </c>
      <c r="W71" s="35" t="str">
        <f t="shared" si="6"/>
        <v>Y</v>
      </c>
      <c r="X71" s="54">
        <f t="shared" si="7"/>
        <v>0.2</v>
      </c>
      <c r="Y71" s="54" t="str">
        <f t="shared" si="8"/>
        <v>5-25%</v>
      </c>
      <c r="Z71" s="8" t="s">
        <v>281</v>
      </c>
    </row>
    <row r="72" spans="1:26" ht="24" customHeight="1" x14ac:dyDescent="0.25">
      <c r="A72" s="10">
        <v>15</v>
      </c>
      <c r="B72" s="9">
        <v>0.41388888888888892</v>
      </c>
      <c r="C72" s="5" t="s">
        <v>34</v>
      </c>
      <c r="D72" s="5">
        <f t="shared" si="9"/>
        <v>10</v>
      </c>
      <c r="E72" s="14"/>
      <c r="F72" s="14" t="s">
        <v>50</v>
      </c>
      <c r="G72" s="12">
        <v>5.56</v>
      </c>
      <c r="H72" s="12">
        <v>12.96</v>
      </c>
      <c r="I72" s="12">
        <v>13.2</v>
      </c>
      <c r="J72" s="12">
        <v>8.1999999999999993</v>
      </c>
      <c r="K72" s="12">
        <v>4.5999999999999996</v>
      </c>
      <c r="L72" s="12">
        <v>4.4000000000000004</v>
      </c>
      <c r="M72" s="12"/>
      <c r="N72" s="36">
        <f t="shared" si="12"/>
        <v>48.92</v>
      </c>
      <c r="O72" s="36">
        <f t="shared" si="13"/>
        <v>3162.8842837226966</v>
      </c>
      <c r="P72" s="34">
        <v>8</v>
      </c>
      <c r="Q72" s="34">
        <v>10</v>
      </c>
      <c r="R72" s="34">
        <v>9</v>
      </c>
      <c r="S72" s="34">
        <v>9</v>
      </c>
      <c r="T72" s="34">
        <v>9</v>
      </c>
      <c r="U72" s="34">
        <v>9</v>
      </c>
      <c r="V72" s="34">
        <v>9</v>
      </c>
      <c r="W72" s="35" t="str">
        <f t="shared" si="6"/>
        <v>Y</v>
      </c>
      <c r="X72" s="54">
        <f t="shared" si="7"/>
        <v>0.41999999999999993</v>
      </c>
      <c r="Y72" s="54" t="str">
        <f t="shared" si="8"/>
        <v>25-50%</v>
      </c>
      <c r="Z72" s="8" t="s">
        <v>292</v>
      </c>
    </row>
    <row r="73" spans="1:26" ht="24" customHeight="1" x14ac:dyDescent="0.25">
      <c r="A73" s="10">
        <v>18</v>
      </c>
      <c r="B73" s="9">
        <v>0.45833333333333331</v>
      </c>
      <c r="C73" s="5" t="s">
        <v>36</v>
      </c>
      <c r="D73" s="5">
        <f t="shared" si="9"/>
        <v>10</v>
      </c>
      <c r="E73" s="14"/>
      <c r="F73" s="14" t="s">
        <v>50</v>
      </c>
      <c r="G73" s="12">
        <v>3.82</v>
      </c>
      <c r="H73" s="12">
        <v>4</v>
      </c>
      <c r="I73" s="12">
        <v>5.36</v>
      </c>
      <c r="J73" s="12">
        <v>6</v>
      </c>
      <c r="K73" s="12">
        <v>5.4</v>
      </c>
      <c r="L73" s="12">
        <v>5.57</v>
      </c>
      <c r="M73" s="12"/>
      <c r="N73" s="36">
        <f t="shared" si="12"/>
        <v>30.15</v>
      </c>
      <c r="O73" s="36">
        <f t="shared" si="13"/>
        <v>358.25083371285501</v>
      </c>
      <c r="P73" s="34">
        <v>8</v>
      </c>
      <c r="Q73" s="34">
        <v>10</v>
      </c>
      <c r="R73" s="34">
        <v>9</v>
      </c>
      <c r="S73" s="34">
        <v>9</v>
      </c>
      <c r="T73" s="34">
        <v>9</v>
      </c>
      <c r="U73" s="34">
        <v>9</v>
      </c>
      <c r="V73" s="34">
        <v>9</v>
      </c>
      <c r="W73" s="35" t="str">
        <f t="shared" si="6"/>
        <v>N</v>
      </c>
      <c r="X73" s="54">
        <f t="shared" si="7"/>
        <v>0</v>
      </c>
      <c r="Y73" s="54" t="str">
        <f t="shared" si="8"/>
        <v>0-4.9%</v>
      </c>
      <c r="Z73" s="8" t="s">
        <v>292</v>
      </c>
    </row>
    <row r="74" spans="1:26" ht="24" customHeight="1" x14ac:dyDescent="0.25">
      <c r="A74" s="10">
        <v>19</v>
      </c>
      <c r="B74" s="9">
        <v>0.46180555555555558</v>
      </c>
      <c r="C74" s="5" t="s">
        <v>37</v>
      </c>
      <c r="D74" s="5">
        <f t="shared" si="9"/>
        <v>10</v>
      </c>
      <c r="E74" s="14"/>
      <c r="F74" s="14" t="s">
        <v>50</v>
      </c>
      <c r="G74" s="12">
        <v>3.79</v>
      </c>
      <c r="H74" s="12">
        <v>3.01</v>
      </c>
      <c r="I74" s="12">
        <v>5.6</v>
      </c>
      <c r="J74" s="12">
        <v>5.36</v>
      </c>
      <c r="K74" s="12">
        <v>4.22</v>
      </c>
      <c r="L74" s="12">
        <v>5.0599999999999996</v>
      </c>
      <c r="M74" s="12"/>
      <c r="N74" s="36">
        <f t="shared" si="12"/>
        <v>27.039999999999996</v>
      </c>
      <c r="O74" s="36">
        <f t="shared" si="13"/>
        <v>219.49487196462323</v>
      </c>
      <c r="P74" s="34">
        <v>8</v>
      </c>
      <c r="Q74" s="34">
        <v>10</v>
      </c>
      <c r="R74" s="34">
        <v>9</v>
      </c>
      <c r="S74" s="34">
        <v>9</v>
      </c>
      <c r="T74" s="34">
        <v>9</v>
      </c>
      <c r="U74" s="34">
        <v>9</v>
      </c>
      <c r="V74" s="34">
        <v>9</v>
      </c>
      <c r="W74" s="35" t="str">
        <f t="shared" si="6"/>
        <v>N</v>
      </c>
      <c r="X74" s="54">
        <f t="shared" si="7"/>
        <v>0</v>
      </c>
      <c r="Y74" s="54" t="str">
        <f t="shared" si="8"/>
        <v>0-4.9%</v>
      </c>
      <c r="Z74" s="8" t="s">
        <v>281</v>
      </c>
    </row>
    <row r="75" spans="1:26" ht="24" customHeight="1" x14ac:dyDescent="0.25">
      <c r="A75" s="10">
        <v>26</v>
      </c>
      <c r="B75" s="9">
        <v>5.347222222222222E-2</v>
      </c>
      <c r="C75" s="5" t="s">
        <v>44</v>
      </c>
      <c r="D75" s="5">
        <f t="shared" si="9"/>
        <v>10</v>
      </c>
      <c r="E75" s="14"/>
      <c r="F75" s="14" t="s">
        <v>49</v>
      </c>
      <c r="G75" s="12">
        <v>5.14</v>
      </c>
      <c r="H75" s="12">
        <v>3.7</v>
      </c>
      <c r="I75" s="12">
        <v>7.7</v>
      </c>
      <c r="J75" s="12">
        <v>8.9</v>
      </c>
      <c r="K75" s="12">
        <v>9.9</v>
      </c>
      <c r="L75" s="12"/>
      <c r="M75" s="12"/>
      <c r="N75" s="36">
        <f t="shared" si="12"/>
        <v>35.339999999999996</v>
      </c>
      <c r="O75" s="36">
        <f t="shared" si="13"/>
        <v>732.13933237300273</v>
      </c>
      <c r="P75" s="34">
        <v>8</v>
      </c>
      <c r="Q75" s="34">
        <v>10</v>
      </c>
      <c r="R75" s="34">
        <v>9</v>
      </c>
      <c r="S75" s="34">
        <v>9</v>
      </c>
      <c r="T75" s="34">
        <v>9</v>
      </c>
      <c r="U75" s="34">
        <v>9</v>
      </c>
      <c r="V75" s="34">
        <v>9</v>
      </c>
      <c r="W75" s="35" t="str">
        <f t="shared" si="6"/>
        <v>Y</v>
      </c>
      <c r="X75" s="54">
        <f t="shared" si="7"/>
        <v>9.0000000000000038E-2</v>
      </c>
      <c r="Y75" s="54" t="str">
        <f t="shared" si="8"/>
        <v>5-25%</v>
      </c>
      <c r="Z75" s="8" t="s">
        <v>281</v>
      </c>
    </row>
  </sheetData>
  <sortState xmlns:xlrd2="http://schemas.microsoft.com/office/spreadsheetml/2017/richdata2" ref="A7:AA75">
    <sortCondition ref="D7:D75"/>
  </sortState>
  <mergeCells count="17">
    <mergeCell ref="W5:W6"/>
    <mergeCell ref="X5:X6"/>
    <mergeCell ref="Y5:Y6"/>
    <mergeCell ref="P5:V5"/>
    <mergeCell ref="A1:Z1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  <mergeCell ref="O5:O6"/>
    <mergeCell ref="Z5:Z6"/>
  </mergeCells>
  <printOptions horizontalCentered="1"/>
  <pageMargins left="0.7" right="0.7" top="0.75" bottom="0.75" header="0.3" footer="0.3"/>
  <pageSetup paperSize="9" scale="28" orientation="landscape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5C79-7953-4CA6-BF5D-3564C72FFF08}">
  <dimension ref="A1:Y60"/>
  <sheetViews>
    <sheetView tabSelected="1" view="pageBreakPreview" topLeftCell="A19" zoomScale="60" zoomScaleNormal="55" workbookViewId="0">
      <selection activeCell="N40" sqref="N40:O40"/>
    </sheetView>
  </sheetViews>
  <sheetFormatPr defaultRowHeight="15" x14ac:dyDescent="0.25"/>
  <cols>
    <col min="2" max="2" width="20" customWidth="1"/>
    <col min="3" max="3" width="13.7109375" customWidth="1"/>
    <col min="4" max="4" width="13.5703125" customWidth="1"/>
    <col min="5" max="5" width="9.85546875" customWidth="1"/>
    <col min="6" max="6" width="16.7109375" customWidth="1"/>
    <col min="8" max="8" width="20.28515625" bestFit="1" customWidth="1"/>
    <col min="9" max="10" width="16.85546875" bestFit="1" customWidth="1"/>
    <col min="11" max="11" width="6" customWidth="1"/>
    <col min="13" max="14" width="14.5703125" customWidth="1"/>
    <col min="15" max="15" width="10.7109375" customWidth="1"/>
    <col min="16" max="16" width="14.5703125" customWidth="1"/>
    <col min="17" max="22" width="10.7109375" customWidth="1"/>
  </cols>
  <sheetData>
    <row r="1" spans="1:25" ht="21" x14ac:dyDescent="0.35">
      <c r="B1" s="55" t="s">
        <v>317</v>
      </c>
    </row>
    <row r="3" spans="1:25" ht="15.75" x14ac:dyDescent="0.25">
      <c r="A3" s="40" t="s">
        <v>275</v>
      </c>
      <c r="L3" s="40" t="s">
        <v>276</v>
      </c>
    </row>
    <row r="4" spans="1:25" ht="36.75" customHeight="1" x14ac:dyDescent="0.25">
      <c r="B4" s="56" t="s">
        <v>277</v>
      </c>
      <c r="C4" s="57" t="s">
        <v>320</v>
      </c>
      <c r="D4" s="57" t="s">
        <v>321</v>
      </c>
      <c r="E4" s="58" t="s">
        <v>278</v>
      </c>
      <c r="L4" s="41" t="s">
        <v>279</v>
      </c>
      <c r="M4" s="57" t="s">
        <v>320</v>
      </c>
      <c r="N4" s="57" t="s">
        <v>321</v>
      </c>
      <c r="O4" s="44"/>
      <c r="P4" s="48"/>
      <c r="Q4" s="44"/>
      <c r="R4" s="44"/>
      <c r="S4" s="44"/>
      <c r="T4" s="44"/>
      <c r="U4" s="44"/>
      <c r="V4" s="44"/>
      <c r="W4" s="44"/>
      <c r="X4" s="44"/>
      <c r="Y4" s="59"/>
    </row>
    <row r="5" spans="1:25" ht="15.75" x14ac:dyDescent="0.25">
      <c r="A5">
        <v>7</v>
      </c>
      <c r="B5" s="42" t="s">
        <v>280</v>
      </c>
      <c r="C5" s="42">
        <f>COUNTIF('Kla-Hoima'!$D$7:$D$500,7)</f>
        <v>116</v>
      </c>
      <c r="D5" s="42">
        <f>COUNTIF('Hoima-Kla'!$D$7:$D$500,7)</f>
        <v>60</v>
      </c>
      <c r="E5" s="42">
        <f>SUM(C5:D5)</f>
        <v>176</v>
      </c>
      <c r="L5" s="60" t="s">
        <v>281</v>
      </c>
      <c r="M5" s="47">
        <f>COUNTIF('Kla-Hoima'!$Z$7:$Z$230,L5)/$M$16</f>
        <v>0.390625</v>
      </c>
      <c r="N5" s="47">
        <f>COUNTIF('Hoima-Kla'!$Z$7:$Z$187,L5)/$N$16</f>
        <v>0.33333333333333331</v>
      </c>
      <c r="Y5" s="41"/>
    </row>
    <row r="6" spans="1:25" ht="15.75" x14ac:dyDescent="0.25">
      <c r="A6">
        <v>9</v>
      </c>
      <c r="B6" s="42" t="s">
        <v>282</v>
      </c>
      <c r="C6" s="42">
        <f>COUNTIF('Kla-Hoima'!$D$7:$D$500,9)</f>
        <v>3</v>
      </c>
      <c r="D6" s="42">
        <f>COUNTIF('Hoima-Kla'!$D$7:$D$500,9)</f>
        <v>2</v>
      </c>
      <c r="E6" s="42">
        <f t="shared" ref="E6:E7" si="0">SUM(C6:D6)</f>
        <v>5</v>
      </c>
      <c r="L6" s="60" t="s">
        <v>283</v>
      </c>
      <c r="M6" s="47">
        <f>COUNTIF('Kla-Hoima'!$Z$7:$Z$230,L6)/$M$16</f>
        <v>0</v>
      </c>
      <c r="N6" s="47">
        <f>COUNTIF('Hoima-Kla'!$Z$7:$Z$187,L6)/$N$16</f>
        <v>0</v>
      </c>
      <c r="Y6" s="41"/>
    </row>
    <row r="7" spans="1:25" ht="15.75" x14ac:dyDescent="0.25">
      <c r="A7">
        <v>10</v>
      </c>
      <c r="B7" s="42" t="s">
        <v>284</v>
      </c>
      <c r="C7" s="42">
        <f>COUNTIF('Kla-Hoima'!$D$7:$D$500,10)</f>
        <v>9</v>
      </c>
      <c r="D7" s="42">
        <f>COUNTIF('Hoima-Kla'!$D$7:$D$500,10)</f>
        <v>7</v>
      </c>
      <c r="E7" s="42">
        <f t="shared" si="0"/>
        <v>16</v>
      </c>
      <c r="L7" s="60" t="s">
        <v>285</v>
      </c>
      <c r="M7" s="47">
        <f>COUNTIF('Kla-Hoima'!$Z$7:$Z$230,L7)/$M$16</f>
        <v>8.59375E-2</v>
      </c>
      <c r="N7" s="47">
        <f>COUNTIF('Hoima-Kla'!$Z$7:$Z$187,L7)/$N$16</f>
        <v>4.3478260869565216E-2</v>
      </c>
    </row>
    <row r="8" spans="1:25" ht="15.75" x14ac:dyDescent="0.25">
      <c r="B8" s="46" t="s">
        <v>286</v>
      </c>
      <c r="C8" s="46">
        <f>SUM(C5:C7)</f>
        <v>128</v>
      </c>
      <c r="D8" s="46">
        <f>SUM(D5:D7)</f>
        <v>69</v>
      </c>
      <c r="E8" s="46">
        <f>SUM(E5:E7)</f>
        <v>197</v>
      </c>
      <c r="L8" s="60" t="s">
        <v>287</v>
      </c>
      <c r="M8" s="47">
        <f>COUNTIF('Kla-Hoima'!$Z$7:$Z$230,L8)/$M$16</f>
        <v>0</v>
      </c>
      <c r="N8" s="47">
        <f>COUNTIF('Hoima-Kla'!$Z$7:$Z$187,L8)/$N$16</f>
        <v>0.11594202898550725</v>
      </c>
    </row>
    <row r="9" spans="1:25" ht="15.75" x14ac:dyDescent="0.25">
      <c r="L9" s="60" t="s">
        <v>288</v>
      </c>
      <c r="M9" s="47">
        <f>COUNTIF('Kla-Hoima'!$Z$7:$Z$230,L9)/$M$16</f>
        <v>0</v>
      </c>
      <c r="N9" s="47">
        <f>COUNTIF('Hoima-Kla'!$Z$7:$Z$187,L9)/$N$16</f>
        <v>0</v>
      </c>
    </row>
    <row r="10" spans="1:25" ht="15.75" x14ac:dyDescent="0.25">
      <c r="L10" s="60" t="s">
        <v>289</v>
      </c>
      <c r="M10" s="47">
        <f>COUNTIF('Kla-Hoima'!$Z$7:$Z$230,L10)/$M$16</f>
        <v>4.6875E-2</v>
      </c>
      <c r="N10" s="47">
        <f>COUNTIF('Hoima-Kla'!$Z$7:$Z$187,L10)/$N$16</f>
        <v>1.4492753623188406E-2</v>
      </c>
    </row>
    <row r="11" spans="1:25" ht="15.75" x14ac:dyDescent="0.25">
      <c r="L11" s="60" t="s">
        <v>290</v>
      </c>
      <c r="M11" s="47">
        <f>COUNTIF('Kla-Hoima'!$Z$7:$Z$230,L11)/$M$16</f>
        <v>0</v>
      </c>
      <c r="N11" s="47">
        <f>COUNTIF('Hoima-Kla'!$Z$7:$Z$187,L11)/$N$16</f>
        <v>0</v>
      </c>
    </row>
    <row r="12" spans="1:25" ht="15.75" x14ac:dyDescent="0.25">
      <c r="L12" s="60" t="s">
        <v>227</v>
      </c>
      <c r="M12" s="47">
        <f>COUNTIF('Kla-Hoima'!$Z$7:$Z$230,L12)/$M$16</f>
        <v>7.8125E-3</v>
      </c>
      <c r="N12" s="47">
        <f>COUNTIF('Hoima-Kla'!$Z$7:$Z$187,L12)/$N$16</f>
        <v>0</v>
      </c>
    </row>
    <row r="13" spans="1:25" ht="15.75" x14ac:dyDescent="0.25">
      <c r="L13" s="60" t="s">
        <v>318</v>
      </c>
      <c r="M13" s="47">
        <f>COUNTIF('Kla-Hoima'!$Z$7:$Z$230,L13)/$M$16</f>
        <v>0.109375</v>
      </c>
      <c r="N13" s="47">
        <f>COUNTIF('Hoima-Kla'!$Z$7:$Z$187,L13)/$N$16</f>
        <v>0.13043478260869565</v>
      </c>
    </row>
    <row r="14" spans="1:25" ht="15.75" x14ac:dyDescent="0.25">
      <c r="L14" s="60" t="s">
        <v>292</v>
      </c>
      <c r="M14" s="47">
        <f>COUNTIF('Kla-Hoima'!$Z$7:$Z$230,L14)/$M$16</f>
        <v>0.34375</v>
      </c>
      <c r="N14" s="47">
        <f>COUNTIF('Hoima-Kla'!$Z$7:$Z$187,L14)/$N$16</f>
        <v>0.34782608695652173</v>
      </c>
    </row>
    <row r="15" spans="1:25" ht="15.75" x14ac:dyDescent="0.25">
      <c r="L15" s="60" t="s">
        <v>104</v>
      </c>
      <c r="M15" s="47">
        <f>COUNTIF('Kla-Hoima'!$Z$7:$Z$230,L15)/$M$16</f>
        <v>1.5625E-2</v>
      </c>
      <c r="N15" s="47">
        <f>COUNTIF('Hoima-Kla'!$Z$7:$Z$187,L15)/$N$16</f>
        <v>1.4492753623188406E-2</v>
      </c>
    </row>
    <row r="16" spans="1:25" ht="15.75" x14ac:dyDescent="0.25">
      <c r="L16" s="61" t="s">
        <v>293</v>
      </c>
      <c r="M16" s="46">
        <f>C8</f>
        <v>128</v>
      </c>
      <c r="N16" s="46">
        <f>D8</f>
        <v>69</v>
      </c>
      <c r="S16" s="41"/>
      <c r="T16" s="41"/>
    </row>
    <row r="27" spans="1:15" ht="15.75" x14ac:dyDescent="0.25">
      <c r="A27" s="40" t="s">
        <v>310</v>
      </c>
    </row>
    <row r="28" spans="1:15" ht="15.75" x14ac:dyDescent="0.25">
      <c r="B28" s="41" t="s">
        <v>277</v>
      </c>
      <c r="C28" s="56" t="s">
        <v>320</v>
      </c>
      <c r="D28" s="56" t="s">
        <v>321</v>
      </c>
      <c r="E28" s="41" t="s">
        <v>278</v>
      </c>
      <c r="F28" s="41" t="s">
        <v>311</v>
      </c>
      <c r="L28" s="40"/>
    </row>
    <row r="29" spans="1:15" x14ac:dyDescent="0.25">
      <c r="A29">
        <v>7</v>
      </c>
      <c r="B29" s="42" t="s">
        <v>280</v>
      </c>
      <c r="C29" s="43">
        <f>AVERAGEIF('Kla-Hoima'!$D$7:$D$230,Graphs!A29,'Kla-Hoima'!$N$7:$N$230)</f>
        <v>10.007767241379312</v>
      </c>
      <c r="D29" s="43">
        <f>AVERAGEIF('Hoima-Kla'!$D$7:$D$187,Graphs!A29,'Hoima-Kla'!$N$7:$N$187)</f>
        <v>8.6332666666666658</v>
      </c>
      <c r="E29" s="43">
        <f>AVERAGE(C29:D29)</f>
        <v>9.3205169540229882</v>
      </c>
      <c r="F29" s="42">
        <v>18</v>
      </c>
      <c r="N29" s="56"/>
      <c r="O29" s="56"/>
    </row>
    <row r="30" spans="1:15" x14ac:dyDescent="0.25">
      <c r="A30">
        <v>9</v>
      </c>
      <c r="B30" s="42" t="s">
        <v>282</v>
      </c>
      <c r="C30" s="43">
        <f>AVERAGEIF('Kla-Hoima'!$D$7:$D$230,Graphs!A30,'Kla-Hoima'!$N$7:$N$230)</f>
        <v>7.6606666666666667</v>
      </c>
      <c r="D30" s="43">
        <f>AVERAGEIF('Hoima-Kla'!$D$7:$D$187,Graphs!A30,'Hoima-Kla'!$N$7:$N$187)</f>
        <v>22.484999999999999</v>
      </c>
      <c r="E30" s="43">
        <f>AVERAGE(C30:D30)</f>
        <v>15.072833333333334</v>
      </c>
      <c r="F30" s="42">
        <v>27</v>
      </c>
      <c r="N30" s="62"/>
      <c r="O30" s="62"/>
    </row>
    <row r="31" spans="1:15" x14ac:dyDescent="0.25">
      <c r="A31">
        <v>10</v>
      </c>
      <c r="B31" s="42" t="s">
        <v>284</v>
      </c>
      <c r="C31" s="43">
        <f>AVERAGEIF('Kla-Hoima'!$D$7:$D$230,Graphs!A31,'Kla-Hoima'!$N$7:$N$230)</f>
        <v>32.982999999999997</v>
      </c>
      <c r="D31" s="43">
        <f>AVERAGEIF('Hoima-Kla'!$D$7:$D$187,Graphs!A31,'Hoima-Kla'!$N$7:$N$187)</f>
        <v>38.847142857142849</v>
      </c>
      <c r="E31" s="43">
        <f>AVERAGE(C31:D31)</f>
        <v>35.915071428571423</v>
      </c>
      <c r="F31" s="42">
        <v>54</v>
      </c>
      <c r="N31" s="62"/>
      <c r="O31" s="62"/>
    </row>
    <row r="32" spans="1:15" x14ac:dyDescent="0.25">
      <c r="B32" s="46" t="s">
        <v>286</v>
      </c>
      <c r="C32" s="46"/>
      <c r="D32" s="46"/>
      <c r="E32" s="46"/>
      <c r="N32" s="62"/>
      <c r="O32" s="62"/>
    </row>
    <row r="35" spans="12:24" x14ac:dyDescent="0.25">
      <c r="U35" s="63"/>
      <c r="V35" s="63"/>
      <c r="W35" s="63"/>
      <c r="X35" s="63"/>
    </row>
    <row r="36" spans="12:24" x14ac:dyDescent="0.25">
      <c r="V36" s="64"/>
      <c r="W36" s="64"/>
      <c r="X36" s="64"/>
    </row>
    <row r="39" spans="12:24" x14ac:dyDescent="0.25">
      <c r="L39" s="41" t="s">
        <v>312</v>
      </c>
    </row>
    <row r="40" spans="12:24" x14ac:dyDescent="0.25">
      <c r="M40" s="41" t="s">
        <v>277</v>
      </c>
      <c r="N40" s="56" t="s">
        <v>320</v>
      </c>
      <c r="O40" s="56" t="s">
        <v>321</v>
      </c>
      <c r="P40" s="41" t="s">
        <v>278</v>
      </c>
    </row>
    <row r="41" spans="12:24" x14ac:dyDescent="0.25">
      <c r="M41" s="42" t="s">
        <v>313</v>
      </c>
      <c r="N41" s="47">
        <f>COUNTIF('Kla-Hoima'!$Y$7:$Y$230,M41)/$N$45</f>
        <v>0.734375</v>
      </c>
      <c r="O41" s="47">
        <f>COUNTIF('Hoima-Kla'!$Y$7:$Y$187,M41)/$O$45</f>
        <v>0.81159420289855078</v>
      </c>
      <c r="P41" s="47">
        <f>AVERAGE(N41:O41)</f>
        <v>0.77298460144927539</v>
      </c>
    </row>
    <row r="42" spans="12:24" x14ac:dyDescent="0.25">
      <c r="M42" s="42" t="s">
        <v>314</v>
      </c>
      <c r="N42" s="47">
        <f>COUNTIF('Kla-Hoima'!$Y$7:$Y$230,M42)/$N$45</f>
        <v>0.1015625</v>
      </c>
      <c r="O42" s="47">
        <f>COUNTIF('Hoima-Kla'!$Y$7:$Y$187,M42)/$O$45</f>
        <v>8.6956521739130432E-2</v>
      </c>
      <c r="P42" s="47">
        <f t="shared" ref="P42:P44" si="1">AVERAGE(N42:O42)</f>
        <v>9.4259510869565216E-2</v>
      </c>
    </row>
    <row r="43" spans="12:24" x14ac:dyDescent="0.25">
      <c r="M43" s="42" t="s">
        <v>315</v>
      </c>
      <c r="N43" s="47">
        <f>COUNTIF('Kla-Hoima'!$Y$7:$Y$230,M43)/$N$45</f>
        <v>0.109375</v>
      </c>
      <c r="O43" s="47">
        <f>COUNTIF('Hoima-Kla'!$Y$7:$Y$187,M43)/$O$45</f>
        <v>7.2463768115942032E-2</v>
      </c>
      <c r="P43" s="47">
        <f t="shared" si="1"/>
        <v>9.0919384057971009E-2</v>
      </c>
    </row>
    <row r="44" spans="12:24" x14ac:dyDescent="0.25">
      <c r="M44" s="42" t="s">
        <v>316</v>
      </c>
      <c r="N44" s="47">
        <f>COUNTIF('Kla-Hoima'!$Y$7:$Y$230,M44)/$N$45</f>
        <v>5.46875E-2</v>
      </c>
      <c r="O44" s="47">
        <f>COUNTIF('Hoima-Kla'!$Y$7:$Y$187,M44)/$O$45</f>
        <v>2.8985507246376812E-2</v>
      </c>
      <c r="P44" s="47">
        <f t="shared" si="1"/>
        <v>4.1836503623188408E-2</v>
      </c>
    </row>
    <row r="45" spans="12:24" x14ac:dyDescent="0.25">
      <c r="N45">
        <f>C8</f>
        <v>128</v>
      </c>
      <c r="O45">
        <f>D8</f>
        <v>69</v>
      </c>
    </row>
    <row r="55" spans="1:5" x14ac:dyDescent="0.25">
      <c r="A55" s="41" t="s">
        <v>312</v>
      </c>
    </row>
    <row r="56" spans="1:5" x14ac:dyDescent="0.25">
      <c r="B56" s="41" t="s">
        <v>277</v>
      </c>
      <c r="C56" s="56" t="s">
        <v>320</v>
      </c>
      <c r="D56" s="56" t="s">
        <v>321</v>
      </c>
      <c r="E56" s="41" t="s">
        <v>278</v>
      </c>
    </row>
    <row r="57" spans="1:5" x14ac:dyDescent="0.25">
      <c r="A57">
        <v>7</v>
      </c>
      <c r="B57" s="42" t="s">
        <v>280</v>
      </c>
      <c r="C57" s="47">
        <f>COUNTIF('Kla-Hoima'!W7:W122,"Y")/C5</f>
        <v>0.25</v>
      </c>
      <c r="D57" s="47">
        <f>COUNTIF('Hoima-Kla'!W7:W66,"Y")/D5</f>
        <v>0.13333333333333333</v>
      </c>
      <c r="E57" s="47">
        <f>AVERAGE(C57:D57)</f>
        <v>0.19166666666666665</v>
      </c>
    </row>
    <row r="58" spans="1:5" x14ac:dyDescent="0.25">
      <c r="A58">
        <v>9</v>
      </c>
      <c r="B58" s="42" t="s">
        <v>282</v>
      </c>
      <c r="C58" s="47">
        <f>COUNTIF('Kla-Hoima'!W123:W125,"Y")/C6</f>
        <v>0</v>
      </c>
      <c r="D58" s="47">
        <f>COUNTIF('Hoima-Kla'!W67:W68,"y")/D6</f>
        <v>0.5</v>
      </c>
      <c r="E58" s="47">
        <f t="shared" ref="E58:E59" si="2">AVERAGE(C58:D58)</f>
        <v>0.25</v>
      </c>
    </row>
    <row r="59" spans="1:5" x14ac:dyDescent="0.25">
      <c r="A59">
        <v>10</v>
      </c>
      <c r="B59" s="42" t="s">
        <v>284</v>
      </c>
      <c r="C59" s="47">
        <f>COUNTIF('Kla-Hoima'!W126:W230,"Y")/C7</f>
        <v>0.66666666666666663</v>
      </c>
      <c r="D59" s="47">
        <f>COUNTIF('Hoima-Kla'!W69:W75,"Y")/D7</f>
        <v>0.5714285714285714</v>
      </c>
      <c r="E59" s="47">
        <f t="shared" si="2"/>
        <v>0.61904761904761907</v>
      </c>
    </row>
    <row r="60" spans="1:5" x14ac:dyDescent="0.25">
      <c r="B60" s="46" t="s">
        <v>319</v>
      </c>
      <c r="C60" s="65">
        <f>COUNTIF('Kla-Hoima'!W7:W230,"Y")/C8</f>
        <v>0.2734375</v>
      </c>
      <c r="D60" s="65">
        <f>COUNTIF('Hoima-Kla'!W7:W75,"Y")/D8</f>
        <v>0.18840579710144928</v>
      </c>
    </row>
  </sheetData>
  <pageMargins left="0.25" right="0.25" top="0.75" bottom="0.75" header="0.3" footer="0.3"/>
  <pageSetup scale="43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topLeftCell="A22" zoomScale="84" zoomScaleNormal="84" workbookViewId="0">
      <selection activeCell="F42" sqref="F42"/>
    </sheetView>
  </sheetViews>
  <sheetFormatPr defaultRowHeight="12.75" x14ac:dyDescent="0.2"/>
  <cols>
    <col min="1" max="2" width="9.140625" style="37"/>
    <col min="3" max="3" width="12.7109375" style="37" customWidth="1"/>
    <col min="4" max="14" width="9.140625" style="37"/>
    <col min="15" max="15" width="11.140625" style="37" customWidth="1"/>
    <col min="16" max="16384" width="9.140625" style="37"/>
  </cols>
  <sheetData>
    <row r="1" spans="1:15" x14ac:dyDescent="0.2">
      <c r="I1" s="84" t="s">
        <v>7</v>
      </c>
      <c r="J1" s="84"/>
      <c r="K1" s="84"/>
      <c r="L1" s="84"/>
      <c r="M1" s="84"/>
      <c r="N1" s="84"/>
    </row>
    <row r="2" spans="1:15" x14ac:dyDescent="0.2">
      <c r="A2" s="37" t="s">
        <v>235</v>
      </c>
      <c r="I2" s="37" t="s">
        <v>236</v>
      </c>
      <c r="J2" s="37" t="s">
        <v>236</v>
      </c>
      <c r="K2" s="37" t="s">
        <v>237</v>
      </c>
      <c r="L2" s="37" t="s">
        <v>238</v>
      </c>
      <c r="M2" s="37" t="s">
        <v>239</v>
      </c>
      <c r="N2" s="37" t="s">
        <v>240</v>
      </c>
      <c r="O2" s="37" t="s">
        <v>241</v>
      </c>
    </row>
    <row r="4" spans="1:15" x14ac:dyDescent="0.2">
      <c r="A4" s="37">
        <v>7</v>
      </c>
      <c r="B4" s="37" t="s">
        <v>242</v>
      </c>
      <c r="I4" s="37">
        <v>1.1000000000000001</v>
      </c>
      <c r="J4" s="37">
        <v>1.2</v>
      </c>
    </row>
    <row r="5" spans="1:15" x14ac:dyDescent="0.2">
      <c r="A5" s="37">
        <v>8</v>
      </c>
      <c r="B5" s="37" t="s">
        <v>243</v>
      </c>
      <c r="K5" s="37">
        <v>1.22</v>
      </c>
    </row>
    <row r="6" spans="1:15" x14ac:dyDescent="0.2">
      <c r="A6" s="37">
        <v>9</v>
      </c>
      <c r="B6" s="37" t="s">
        <v>244</v>
      </c>
      <c r="L6" s="37" t="s">
        <v>245</v>
      </c>
    </row>
    <row r="7" spans="1:15" x14ac:dyDescent="0.2">
      <c r="L7" s="38">
        <v>1.222</v>
      </c>
    </row>
    <row r="10" spans="1:15" x14ac:dyDescent="0.2">
      <c r="A10" s="37">
        <v>10</v>
      </c>
      <c r="B10" s="37" t="s">
        <v>246</v>
      </c>
      <c r="M10" s="37" t="s">
        <v>247</v>
      </c>
    </row>
    <row r="11" spans="1:15" x14ac:dyDescent="0.2">
      <c r="M11" s="37" t="s">
        <v>248</v>
      </c>
    </row>
    <row r="12" spans="1:15" x14ac:dyDescent="0.2">
      <c r="M12" s="37" t="s">
        <v>249</v>
      </c>
    </row>
    <row r="13" spans="1:15" x14ac:dyDescent="0.2">
      <c r="A13" s="37">
        <v>11</v>
      </c>
      <c r="B13" s="37" t="s">
        <v>250</v>
      </c>
      <c r="N13" s="37" t="s">
        <v>251</v>
      </c>
    </row>
    <row r="14" spans="1:15" x14ac:dyDescent="0.2">
      <c r="N14" s="37" t="s">
        <v>252</v>
      </c>
    </row>
    <row r="15" spans="1:15" x14ac:dyDescent="0.2">
      <c r="N15" s="37" t="s">
        <v>253</v>
      </c>
    </row>
    <row r="16" spans="1:15" x14ac:dyDescent="0.2">
      <c r="N16" s="37" t="s">
        <v>254</v>
      </c>
    </row>
    <row r="17" spans="1:15" x14ac:dyDescent="0.2">
      <c r="N17" s="37" t="s">
        <v>255</v>
      </c>
    </row>
    <row r="18" spans="1:15" x14ac:dyDescent="0.2">
      <c r="N18" s="37" t="s">
        <v>256</v>
      </c>
    </row>
    <row r="19" spans="1:15" x14ac:dyDescent="0.2">
      <c r="A19" s="37">
        <v>12</v>
      </c>
      <c r="B19" s="37" t="s">
        <v>257</v>
      </c>
      <c r="O19" s="37" t="s">
        <v>258</v>
      </c>
    </row>
    <row r="20" spans="1:15" x14ac:dyDescent="0.2">
      <c r="O20" s="37" t="s">
        <v>259</v>
      </c>
    </row>
    <row r="21" spans="1:15" x14ac:dyDescent="0.2">
      <c r="O21" s="37" t="s">
        <v>260</v>
      </c>
    </row>
    <row r="29" spans="1:15" ht="15.75" x14ac:dyDescent="0.2">
      <c r="B29" s="39" t="s">
        <v>261</v>
      </c>
    </row>
    <row r="30" spans="1:15" ht="15.75" x14ac:dyDescent="0.2">
      <c r="B30" s="39" t="s">
        <v>262</v>
      </c>
    </row>
    <row r="31" spans="1:15" ht="15.75" x14ac:dyDescent="0.2">
      <c r="B31" s="39" t="s">
        <v>263</v>
      </c>
    </row>
    <row r="32" spans="1:15" ht="15.75" x14ac:dyDescent="0.2">
      <c r="B32" s="39" t="s">
        <v>264</v>
      </c>
    </row>
    <row r="35" spans="2:5" x14ac:dyDescent="0.2">
      <c r="B35" s="37" t="s">
        <v>265</v>
      </c>
      <c r="C35" s="37" t="s">
        <v>266</v>
      </c>
      <c r="D35" s="37">
        <v>7</v>
      </c>
      <c r="E35" s="37">
        <v>18</v>
      </c>
    </row>
    <row r="36" spans="2:5" x14ac:dyDescent="0.2">
      <c r="B36" s="37" t="s">
        <v>48</v>
      </c>
      <c r="C36" s="37" t="s">
        <v>266</v>
      </c>
      <c r="D36" s="37">
        <v>7</v>
      </c>
      <c r="E36" s="37">
        <v>18</v>
      </c>
    </row>
    <row r="37" spans="2:5" x14ac:dyDescent="0.2">
      <c r="B37" s="37" t="s">
        <v>226</v>
      </c>
      <c r="C37" s="37" t="s">
        <v>267</v>
      </c>
      <c r="D37" s="37">
        <v>8</v>
      </c>
      <c r="E37" s="37">
        <v>26</v>
      </c>
    </row>
    <row r="38" spans="2:5" x14ac:dyDescent="0.2">
      <c r="B38" s="37" t="s">
        <v>268</v>
      </c>
      <c r="C38" s="37" t="s">
        <v>269</v>
      </c>
      <c r="D38" s="37">
        <v>9</v>
      </c>
      <c r="E38" s="37">
        <v>26</v>
      </c>
    </row>
    <row r="39" spans="2:5" x14ac:dyDescent="0.2">
      <c r="B39" s="37" t="s">
        <v>102</v>
      </c>
      <c r="C39" s="37" t="s">
        <v>270</v>
      </c>
      <c r="D39" s="37">
        <v>10</v>
      </c>
      <c r="E39" s="37">
        <v>46</v>
      </c>
    </row>
    <row r="40" spans="2:5" x14ac:dyDescent="0.2">
      <c r="B40" s="37" t="s">
        <v>165</v>
      </c>
      <c r="C40" s="37" t="s">
        <v>270</v>
      </c>
      <c r="D40" s="37">
        <v>10</v>
      </c>
      <c r="E40" s="37">
        <v>46</v>
      </c>
    </row>
    <row r="41" spans="2:5" x14ac:dyDescent="0.2">
      <c r="B41" s="37" t="s">
        <v>271</v>
      </c>
      <c r="C41" s="37" t="s">
        <v>270</v>
      </c>
      <c r="D41" s="37">
        <v>10</v>
      </c>
      <c r="E41" s="37">
        <v>46</v>
      </c>
    </row>
    <row r="42" spans="2:5" x14ac:dyDescent="0.2">
      <c r="B42" s="37" t="s">
        <v>272</v>
      </c>
      <c r="C42" s="37" t="s">
        <v>270</v>
      </c>
      <c r="D42" s="37">
        <v>10</v>
      </c>
      <c r="E42" s="37">
        <v>46</v>
      </c>
    </row>
    <row r="43" spans="2:5" x14ac:dyDescent="0.2">
      <c r="B43" s="37" t="s">
        <v>273</v>
      </c>
      <c r="C43" s="37" t="s">
        <v>270</v>
      </c>
      <c r="D43" s="37">
        <v>10</v>
      </c>
      <c r="E43" s="37">
        <v>46</v>
      </c>
    </row>
    <row r="44" spans="2:5" x14ac:dyDescent="0.2">
      <c r="B44" s="37" t="s">
        <v>274</v>
      </c>
      <c r="C44" s="37" t="s">
        <v>269</v>
      </c>
      <c r="D44" s="37">
        <v>9</v>
      </c>
      <c r="E44" s="37">
        <v>34</v>
      </c>
    </row>
  </sheetData>
  <mergeCells count="1">
    <mergeCell ref="I1:N1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B5" sqref="B5"/>
    </sheetView>
  </sheetViews>
  <sheetFormatPr defaultRowHeight="15" x14ac:dyDescent="0.25"/>
  <cols>
    <col min="2" max="2" width="38.5703125" customWidth="1"/>
    <col min="3" max="3" width="36" customWidth="1"/>
  </cols>
  <sheetData>
    <row r="1" spans="1:4" x14ac:dyDescent="0.25">
      <c r="B1" t="s">
        <v>279</v>
      </c>
      <c r="C1" t="s">
        <v>294</v>
      </c>
    </row>
    <row r="2" spans="1:4" ht="15.75" x14ac:dyDescent="0.25">
      <c r="A2">
        <v>1</v>
      </c>
      <c r="B2" s="44" t="s">
        <v>295</v>
      </c>
      <c r="C2" s="44" t="s">
        <v>296</v>
      </c>
      <c r="D2" s="44"/>
    </row>
    <row r="3" spans="1:4" ht="15.75" x14ac:dyDescent="0.25">
      <c r="A3">
        <v>2</v>
      </c>
      <c r="B3" s="44" t="s">
        <v>297</v>
      </c>
      <c r="C3" s="44" t="s">
        <v>298</v>
      </c>
      <c r="D3" s="44"/>
    </row>
    <row r="4" spans="1:4" ht="15.75" x14ac:dyDescent="0.25">
      <c r="A4">
        <v>3</v>
      </c>
      <c r="B4" s="44" t="s">
        <v>283</v>
      </c>
      <c r="C4" s="44" t="s">
        <v>299</v>
      </c>
      <c r="D4" s="44"/>
    </row>
    <row r="5" spans="1:4" ht="21.75" customHeight="1" x14ac:dyDescent="0.25">
      <c r="A5">
        <v>4</v>
      </c>
      <c r="B5" s="45" t="s">
        <v>300</v>
      </c>
      <c r="C5" s="48" t="s">
        <v>301</v>
      </c>
      <c r="D5" s="49"/>
    </row>
    <row r="6" spans="1:4" ht="15.75" x14ac:dyDescent="0.25">
      <c r="A6">
        <v>5</v>
      </c>
      <c r="B6" s="44" t="s">
        <v>287</v>
      </c>
      <c r="C6" s="44"/>
      <c r="D6" s="44"/>
    </row>
    <row r="7" spans="1:4" ht="15.75" x14ac:dyDescent="0.25">
      <c r="A7">
        <v>6</v>
      </c>
      <c r="B7" s="44" t="s">
        <v>288</v>
      </c>
      <c r="C7" s="44" t="s">
        <v>302</v>
      </c>
      <c r="D7" s="44"/>
    </row>
    <row r="8" spans="1:4" ht="15.75" x14ac:dyDescent="0.25">
      <c r="A8">
        <v>7</v>
      </c>
      <c r="B8" s="44" t="s">
        <v>289</v>
      </c>
      <c r="C8" s="50" t="s">
        <v>303</v>
      </c>
      <c r="D8" s="50"/>
    </row>
    <row r="9" spans="1:4" ht="15.75" x14ac:dyDescent="0.25">
      <c r="A9">
        <v>8</v>
      </c>
      <c r="B9" s="44" t="s">
        <v>290</v>
      </c>
      <c r="C9" s="50" t="s">
        <v>304</v>
      </c>
      <c r="D9" s="50"/>
    </row>
    <row r="10" spans="1:4" ht="15.75" x14ac:dyDescent="0.25">
      <c r="A10">
        <v>9</v>
      </c>
      <c r="B10" s="44" t="s">
        <v>227</v>
      </c>
      <c r="C10" s="50" t="s">
        <v>305</v>
      </c>
      <c r="D10" s="50"/>
    </row>
    <row r="11" spans="1:4" ht="15.75" customHeight="1" x14ac:dyDescent="0.25">
      <c r="A11">
        <v>10</v>
      </c>
      <c r="B11" s="45" t="s">
        <v>291</v>
      </c>
      <c r="C11" s="48" t="s">
        <v>306</v>
      </c>
      <c r="D11" s="48"/>
    </row>
    <row r="12" spans="1:4" ht="15.75" x14ac:dyDescent="0.25">
      <c r="A12">
        <v>11</v>
      </c>
      <c r="B12" s="44" t="s">
        <v>292</v>
      </c>
      <c r="C12" s="50"/>
      <c r="D12" s="50"/>
    </row>
    <row r="13" spans="1:4" ht="15.75" x14ac:dyDescent="0.25">
      <c r="A13">
        <v>12</v>
      </c>
      <c r="B13" s="44" t="s">
        <v>307</v>
      </c>
      <c r="C13" s="50"/>
      <c r="D13" s="50"/>
    </row>
    <row r="14" spans="1:4" ht="15.75" x14ac:dyDescent="0.25">
      <c r="A14">
        <v>4</v>
      </c>
      <c r="B14" s="4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DAY1</vt:lpstr>
      <vt:lpstr>DAY2</vt:lpstr>
      <vt:lpstr>DAY3</vt:lpstr>
      <vt:lpstr>Kla-Hoima</vt:lpstr>
      <vt:lpstr>Hoima-Kla</vt:lpstr>
      <vt:lpstr>Graphs</vt:lpstr>
      <vt:lpstr>KEY</vt:lpstr>
      <vt:lpstr>Desc</vt:lpstr>
      <vt:lpstr>Graphs!Print_Area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 SAIDI</dc:creator>
  <cp:lastModifiedBy>USER</cp:lastModifiedBy>
  <cp:lastPrinted>2019-11-03T12:40:33Z</cp:lastPrinted>
  <dcterms:created xsi:type="dcterms:W3CDTF">2015-05-11T13:42:40Z</dcterms:created>
  <dcterms:modified xsi:type="dcterms:W3CDTF">2020-03-24T06:23:08Z</dcterms:modified>
</cp:coreProperties>
</file>