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JT, FERRY, AXLE Data\Analyed Data\Axle Load Data_ Analysed\"/>
    </mc:Choice>
  </mc:AlternateContent>
  <xr:revisionPtr revIDLastSave="0" documentId="13_ncr:1_{0FD28B63-5CFA-4896-B75B-4FCBCEC7A777}" xr6:coauthVersionLast="45" xr6:coauthVersionMax="45" xr10:uidLastSave="{00000000-0000-0000-0000-000000000000}"/>
  <bookViews>
    <workbookView xWindow="-120" yWindow="-120" windowWidth="20730" windowHeight="11160" firstSheet="4" activeTab="6" xr2:uid="{00000000-000D-0000-FFFF-FFFF00000000}"/>
  </bookViews>
  <sheets>
    <sheet name="Notes" sheetId="6" r:id="rId1"/>
    <sheet name="DAY1" sheetId="1" r:id="rId2"/>
    <sheet name="DAY2" sheetId="5" r:id="rId3"/>
    <sheet name="DAY3" sheetId="3" r:id="rId4"/>
    <sheet name="Tororo-Mbale" sheetId="11" r:id="rId5"/>
    <sheet name="Mbale-Tororo" sheetId="12" r:id="rId6"/>
    <sheet name="Graphs" sheetId="14" r:id="rId7"/>
    <sheet name="KEY" sheetId="10" r:id="rId8"/>
    <sheet name="Desc" sheetId="7" r:id="rId9"/>
  </sheets>
  <externalReferences>
    <externalReference r:id="rId10"/>
  </externalReferences>
  <definedNames>
    <definedName name="_xlnm.Print_Area" localSheetId="1">'DAY1'!$A$1:$W$216</definedName>
    <definedName name="_xlnm.Print_Area" localSheetId="2">'DAY2'!$A$1:$W$149</definedName>
    <definedName name="_xlnm.Print_Area" localSheetId="3">'DAY3'!$A$1:$W$150</definedName>
    <definedName name="_xlnm.Print_Area" localSheetId="6">Graphs!$A$1:$X$78</definedName>
    <definedName name="_xlnm.Print_Area" localSheetId="5">'Mbale-Tororo'!$A$1:$Z$126</definedName>
    <definedName name="_xlnm.Print_Area" localSheetId="4">'Tororo-Mbale'!$A$1:$Z$169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42" i="14" l="1"/>
  <c r="O43" i="14"/>
  <c r="O44" i="14"/>
  <c r="O41" i="14"/>
  <c r="N6" i="14"/>
  <c r="N7" i="14"/>
  <c r="N8" i="14"/>
  <c r="N9" i="14"/>
  <c r="N10" i="14"/>
  <c r="N11" i="14"/>
  <c r="N12" i="14"/>
  <c r="N13" i="14"/>
  <c r="N14" i="14"/>
  <c r="N15" i="14"/>
  <c r="N5" i="14"/>
  <c r="M6" i="14"/>
  <c r="M7" i="14"/>
  <c r="M8" i="14"/>
  <c r="M9" i="14"/>
  <c r="M10" i="14"/>
  <c r="M11" i="14"/>
  <c r="M12" i="14"/>
  <c r="M13" i="14"/>
  <c r="M14" i="14"/>
  <c r="M15" i="14"/>
  <c r="M5" i="14"/>
  <c r="D60" i="14"/>
  <c r="D59" i="14"/>
  <c r="D58" i="14"/>
  <c r="D57" i="14"/>
  <c r="D30" i="14"/>
  <c r="D31" i="14"/>
  <c r="D29" i="14"/>
  <c r="C30" i="14"/>
  <c r="C31" i="14"/>
  <c r="C29" i="14"/>
  <c r="D7" i="14"/>
  <c r="D6" i="14"/>
  <c r="D5" i="14"/>
  <c r="C6" i="14" l="1"/>
  <c r="C7" i="14"/>
  <c r="C5" i="14"/>
  <c r="E31" i="14" l="1"/>
  <c r="E30" i="14"/>
  <c r="E29" i="14"/>
  <c r="C8" i="14"/>
  <c r="G8" i="11"/>
  <c r="H8" i="11"/>
  <c r="I8" i="11"/>
  <c r="J8" i="11"/>
  <c r="K8" i="11"/>
  <c r="L8" i="11"/>
  <c r="M8" i="11"/>
  <c r="N8" i="11"/>
  <c r="G9" i="11"/>
  <c r="H9" i="11"/>
  <c r="I9" i="11"/>
  <c r="J9" i="11"/>
  <c r="K9" i="11"/>
  <c r="L9" i="11"/>
  <c r="M9" i="11"/>
  <c r="N9" i="11"/>
  <c r="G10" i="11"/>
  <c r="H10" i="11"/>
  <c r="I10" i="11"/>
  <c r="J10" i="11"/>
  <c r="K10" i="11"/>
  <c r="L10" i="11"/>
  <c r="M10" i="11"/>
  <c r="N10" i="11"/>
  <c r="G11" i="11"/>
  <c r="H11" i="11"/>
  <c r="I11" i="11"/>
  <c r="J11" i="11"/>
  <c r="K11" i="11"/>
  <c r="L11" i="11"/>
  <c r="M11" i="11"/>
  <c r="N11" i="11"/>
  <c r="G12" i="11"/>
  <c r="H12" i="11"/>
  <c r="I12" i="11"/>
  <c r="J12" i="11"/>
  <c r="K12" i="11"/>
  <c r="L12" i="11"/>
  <c r="M12" i="11"/>
  <c r="N12" i="11"/>
  <c r="G13" i="11"/>
  <c r="H13" i="11"/>
  <c r="I13" i="11"/>
  <c r="J13" i="11"/>
  <c r="K13" i="11"/>
  <c r="L13" i="11"/>
  <c r="M13" i="11"/>
  <c r="N13" i="11"/>
  <c r="G14" i="11"/>
  <c r="H14" i="11"/>
  <c r="I14" i="11"/>
  <c r="J14" i="11"/>
  <c r="K14" i="11"/>
  <c r="L14" i="11"/>
  <c r="M14" i="11"/>
  <c r="N14" i="11"/>
  <c r="G15" i="11"/>
  <c r="H15" i="11"/>
  <c r="I15" i="11"/>
  <c r="J15" i="11"/>
  <c r="K15" i="11"/>
  <c r="L15" i="11"/>
  <c r="M15" i="11"/>
  <c r="N15" i="11"/>
  <c r="G16" i="11"/>
  <c r="H16" i="11"/>
  <c r="I16" i="11"/>
  <c r="J16" i="11"/>
  <c r="K16" i="11"/>
  <c r="L16" i="11"/>
  <c r="M16" i="11"/>
  <c r="N16" i="11"/>
  <c r="G17" i="11"/>
  <c r="H17" i="11"/>
  <c r="I17" i="11"/>
  <c r="J17" i="11"/>
  <c r="K17" i="11"/>
  <c r="L17" i="11"/>
  <c r="M17" i="11"/>
  <c r="N17" i="11"/>
  <c r="G18" i="11"/>
  <c r="H18" i="11"/>
  <c r="I18" i="11"/>
  <c r="J18" i="11"/>
  <c r="K18" i="11"/>
  <c r="L18" i="11"/>
  <c r="M18" i="11"/>
  <c r="N18" i="11"/>
  <c r="G19" i="11"/>
  <c r="H19" i="11"/>
  <c r="I19" i="11"/>
  <c r="J19" i="11"/>
  <c r="K19" i="11"/>
  <c r="L19" i="11"/>
  <c r="M19" i="11"/>
  <c r="N19" i="11"/>
  <c r="G20" i="11"/>
  <c r="H20" i="11"/>
  <c r="I20" i="11"/>
  <c r="J20" i="11"/>
  <c r="K20" i="11"/>
  <c r="L20" i="11"/>
  <c r="M20" i="11"/>
  <c r="N20" i="11"/>
  <c r="G21" i="11"/>
  <c r="H21" i="11"/>
  <c r="I21" i="11"/>
  <c r="J21" i="11"/>
  <c r="K21" i="11"/>
  <c r="L21" i="11"/>
  <c r="M21" i="11"/>
  <c r="N21" i="11"/>
  <c r="G22" i="11"/>
  <c r="H22" i="11"/>
  <c r="I22" i="11"/>
  <c r="J22" i="11"/>
  <c r="K22" i="11"/>
  <c r="L22" i="11"/>
  <c r="M22" i="11"/>
  <c r="N22" i="11"/>
  <c r="G23" i="11"/>
  <c r="H23" i="11"/>
  <c r="I23" i="11"/>
  <c r="J23" i="11"/>
  <c r="K23" i="11"/>
  <c r="L23" i="11"/>
  <c r="M23" i="11"/>
  <c r="N23" i="11"/>
  <c r="G24" i="11"/>
  <c r="H24" i="11"/>
  <c r="I24" i="11"/>
  <c r="J24" i="11"/>
  <c r="K24" i="11"/>
  <c r="L24" i="11"/>
  <c r="M24" i="11"/>
  <c r="N24" i="11"/>
  <c r="G25" i="11"/>
  <c r="H25" i="11"/>
  <c r="I25" i="11"/>
  <c r="J25" i="11"/>
  <c r="K25" i="11"/>
  <c r="L25" i="11"/>
  <c r="M25" i="11"/>
  <c r="N25" i="11"/>
  <c r="G26" i="11"/>
  <c r="H26" i="11"/>
  <c r="I26" i="11"/>
  <c r="J26" i="11"/>
  <c r="K26" i="11"/>
  <c r="L26" i="11"/>
  <c r="M26" i="11"/>
  <c r="N26" i="11"/>
  <c r="G27" i="11"/>
  <c r="H27" i="11"/>
  <c r="I27" i="11"/>
  <c r="J27" i="11"/>
  <c r="K27" i="11"/>
  <c r="L27" i="11"/>
  <c r="M27" i="11"/>
  <c r="N27" i="11"/>
  <c r="G28" i="11"/>
  <c r="H28" i="11"/>
  <c r="I28" i="11"/>
  <c r="J28" i="11"/>
  <c r="K28" i="11"/>
  <c r="L28" i="11"/>
  <c r="M28" i="11"/>
  <c r="N28" i="11"/>
  <c r="G29" i="11"/>
  <c r="H29" i="11"/>
  <c r="I29" i="11"/>
  <c r="J29" i="11"/>
  <c r="K29" i="11"/>
  <c r="L29" i="11"/>
  <c r="M29" i="11"/>
  <c r="N29" i="11"/>
  <c r="G30" i="11"/>
  <c r="H30" i="11"/>
  <c r="I30" i="11"/>
  <c r="J30" i="11"/>
  <c r="K30" i="11"/>
  <c r="L30" i="11"/>
  <c r="M30" i="11"/>
  <c r="N30" i="11"/>
  <c r="G31" i="11"/>
  <c r="H31" i="11"/>
  <c r="I31" i="11"/>
  <c r="J31" i="11"/>
  <c r="K31" i="11"/>
  <c r="L31" i="11"/>
  <c r="M31" i="11"/>
  <c r="N31" i="11"/>
  <c r="G32" i="11"/>
  <c r="H32" i="11"/>
  <c r="I32" i="11"/>
  <c r="J32" i="11"/>
  <c r="K32" i="11"/>
  <c r="L32" i="11"/>
  <c r="M32" i="11"/>
  <c r="N32" i="11"/>
  <c r="G33" i="11"/>
  <c r="H33" i="11"/>
  <c r="I33" i="11"/>
  <c r="J33" i="11"/>
  <c r="K33" i="11"/>
  <c r="L33" i="11"/>
  <c r="M33" i="11"/>
  <c r="N33" i="11"/>
  <c r="G34" i="11"/>
  <c r="H34" i="11"/>
  <c r="I34" i="11"/>
  <c r="J34" i="11"/>
  <c r="K34" i="11"/>
  <c r="L34" i="11"/>
  <c r="M34" i="11"/>
  <c r="N34" i="11"/>
  <c r="G35" i="11"/>
  <c r="H35" i="11"/>
  <c r="I35" i="11"/>
  <c r="J35" i="11"/>
  <c r="K35" i="11"/>
  <c r="L35" i="11"/>
  <c r="M35" i="11"/>
  <c r="N35" i="11"/>
  <c r="G36" i="11"/>
  <c r="H36" i="11"/>
  <c r="I36" i="11"/>
  <c r="J36" i="11"/>
  <c r="K36" i="11"/>
  <c r="L36" i="11"/>
  <c r="M36" i="11"/>
  <c r="N36" i="11"/>
  <c r="G37" i="11"/>
  <c r="H37" i="11"/>
  <c r="I37" i="11"/>
  <c r="J37" i="11"/>
  <c r="K37" i="11"/>
  <c r="L37" i="11"/>
  <c r="M37" i="11"/>
  <c r="N37" i="11"/>
  <c r="G38" i="11"/>
  <c r="H38" i="11"/>
  <c r="I38" i="11"/>
  <c r="J38" i="11"/>
  <c r="K38" i="11"/>
  <c r="L38" i="11"/>
  <c r="M38" i="11"/>
  <c r="N38" i="11"/>
  <c r="G39" i="11"/>
  <c r="H39" i="11"/>
  <c r="I39" i="11"/>
  <c r="J39" i="11"/>
  <c r="K39" i="11"/>
  <c r="L39" i="11"/>
  <c r="M39" i="11"/>
  <c r="N39" i="11"/>
  <c r="G40" i="11"/>
  <c r="H40" i="11"/>
  <c r="I40" i="11"/>
  <c r="J40" i="11"/>
  <c r="K40" i="11"/>
  <c r="L40" i="11"/>
  <c r="M40" i="11"/>
  <c r="N40" i="11"/>
  <c r="G41" i="11"/>
  <c r="H41" i="11"/>
  <c r="I41" i="11"/>
  <c r="J41" i="11"/>
  <c r="K41" i="11"/>
  <c r="L41" i="11"/>
  <c r="M41" i="11"/>
  <c r="N41" i="11"/>
  <c r="G42" i="11"/>
  <c r="H42" i="11"/>
  <c r="I42" i="11"/>
  <c r="J42" i="11"/>
  <c r="K42" i="11"/>
  <c r="L42" i="11"/>
  <c r="M42" i="11"/>
  <c r="N42" i="11"/>
  <c r="G43" i="11"/>
  <c r="H43" i="11"/>
  <c r="I43" i="11"/>
  <c r="J43" i="11"/>
  <c r="K43" i="11"/>
  <c r="L43" i="11"/>
  <c r="M43" i="11"/>
  <c r="N43" i="11"/>
  <c r="G44" i="11"/>
  <c r="H44" i="11"/>
  <c r="I44" i="11"/>
  <c r="J44" i="11"/>
  <c r="K44" i="11"/>
  <c r="L44" i="11"/>
  <c r="M44" i="11"/>
  <c r="N44" i="11"/>
  <c r="G45" i="11"/>
  <c r="H45" i="11"/>
  <c r="I45" i="11"/>
  <c r="J45" i="11"/>
  <c r="K45" i="11"/>
  <c r="L45" i="11"/>
  <c r="M45" i="11"/>
  <c r="N45" i="11"/>
  <c r="G46" i="11"/>
  <c r="H46" i="11"/>
  <c r="I46" i="11"/>
  <c r="J46" i="11"/>
  <c r="K46" i="11"/>
  <c r="L46" i="11"/>
  <c r="M46" i="11"/>
  <c r="N46" i="11"/>
  <c r="G47" i="11"/>
  <c r="H47" i="11"/>
  <c r="I47" i="11"/>
  <c r="J47" i="11"/>
  <c r="K47" i="11"/>
  <c r="L47" i="11"/>
  <c r="M47" i="11"/>
  <c r="N47" i="11"/>
  <c r="G48" i="11"/>
  <c r="H48" i="11"/>
  <c r="I48" i="11"/>
  <c r="J48" i="11"/>
  <c r="K48" i="11"/>
  <c r="L48" i="11"/>
  <c r="M48" i="11"/>
  <c r="N48" i="11"/>
  <c r="G49" i="11"/>
  <c r="H49" i="11"/>
  <c r="I49" i="11"/>
  <c r="J49" i="11"/>
  <c r="K49" i="11"/>
  <c r="L49" i="11"/>
  <c r="M49" i="11"/>
  <c r="N49" i="11"/>
  <c r="G50" i="11"/>
  <c r="H50" i="11"/>
  <c r="I50" i="11"/>
  <c r="J50" i="11"/>
  <c r="K50" i="11"/>
  <c r="L50" i="11"/>
  <c r="M50" i="11"/>
  <c r="N50" i="11"/>
  <c r="G51" i="11"/>
  <c r="H51" i="11"/>
  <c r="I51" i="11"/>
  <c r="J51" i="11"/>
  <c r="K51" i="11"/>
  <c r="L51" i="11"/>
  <c r="M51" i="11"/>
  <c r="N51" i="11"/>
  <c r="G52" i="11"/>
  <c r="H52" i="11"/>
  <c r="I52" i="11"/>
  <c r="J52" i="11"/>
  <c r="K52" i="11"/>
  <c r="L52" i="11"/>
  <c r="M52" i="11"/>
  <c r="N52" i="11"/>
  <c r="G53" i="11"/>
  <c r="H53" i="11"/>
  <c r="I53" i="11"/>
  <c r="J53" i="11"/>
  <c r="K53" i="11"/>
  <c r="L53" i="11"/>
  <c r="M53" i="11"/>
  <c r="N53" i="11"/>
  <c r="G54" i="11"/>
  <c r="H54" i="11"/>
  <c r="I54" i="11"/>
  <c r="J54" i="11"/>
  <c r="K54" i="11"/>
  <c r="L54" i="11"/>
  <c r="M54" i="11"/>
  <c r="N54" i="11"/>
  <c r="G55" i="11"/>
  <c r="H55" i="11"/>
  <c r="I55" i="11"/>
  <c r="J55" i="11"/>
  <c r="K55" i="11"/>
  <c r="L55" i="11"/>
  <c r="M55" i="11"/>
  <c r="N55" i="11"/>
  <c r="G56" i="11"/>
  <c r="H56" i="11"/>
  <c r="I56" i="11"/>
  <c r="J56" i="11"/>
  <c r="K56" i="11"/>
  <c r="L56" i="11"/>
  <c r="M56" i="11"/>
  <c r="N56" i="11"/>
  <c r="G57" i="11"/>
  <c r="H57" i="11"/>
  <c r="I57" i="11"/>
  <c r="J57" i="11"/>
  <c r="K57" i="11"/>
  <c r="L57" i="11"/>
  <c r="M57" i="11"/>
  <c r="N57" i="11"/>
  <c r="G58" i="11"/>
  <c r="H58" i="11"/>
  <c r="J58" i="11"/>
  <c r="K58" i="11"/>
  <c r="L58" i="11"/>
  <c r="M58" i="11"/>
  <c r="N58" i="11"/>
  <c r="G59" i="11"/>
  <c r="H59" i="11"/>
  <c r="I59" i="11"/>
  <c r="J59" i="11"/>
  <c r="K59" i="11"/>
  <c r="L59" i="11"/>
  <c r="M59" i="11"/>
  <c r="N59" i="11"/>
  <c r="G60" i="11"/>
  <c r="H60" i="11"/>
  <c r="I60" i="11"/>
  <c r="J60" i="11"/>
  <c r="K60" i="11"/>
  <c r="L60" i="11"/>
  <c r="M60" i="11"/>
  <c r="N60" i="11"/>
  <c r="G61" i="11"/>
  <c r="H61" i="11"/>
  <c r="I61" i="11"/>
  <c r="J61" i="11"/>
  <c r="K61" i="11"/>
  <c r="L61" i="11"/>
  <c r="M61" i="11"/>
  <c r="N61" i="11"/>
  <c r="G62" i="11"/>
  <c r="H62" i="11"/>
  <c r="I62" i="11"/>
  <c r="J62" i="11"/>
  <c r="K62" i="11"/>
  <c r="L62" i="11"/>
  <c r="M62" i="11"/>
  <c r="N62" i="11"/>
  <c r="G63" i="11"/>
  <c r="H63" i="11"/>
  <c r="I63" i="11"/>
  <c r="J63" i="11"/>
  <c r="K63" i="11"/>
  <c r="L63" i="11"/>
  <c r="M63" i="11"/>
  <c r="N63" i="11"/>
  <c r="G64" i="11"/>
  <c r="H64" i="11"/>
  <c r="I64" i="11"/>
  <c r="J64" i="11"/>
  <c r="K64" i="11"/>
  <c r="L64" i="11"/>
  <c r="M64" i="11"/>
  <c r="N64" i="11"/>
  <c r="G65" i="11"/>
  <c r="H65" i="11"/>
  <c r="I65" i="11"/>
  <c r="J65" i="11"/>
  <c r="K65" i="11"/>
  <c r="L65" i="11"/>
  <c r="M65" i="11"/>
  <c r="N65" i="11"/>
  <c r="G66" i="11"/>
  <c r="H66" i="11"/>
  <c r="I66" i="11"/>
  <c r="J66" i="11"/>
  <c r="K66" i="11"/>
  <c r="L66" i="11"/>
  <c r="M66" i="11"/>
  <c r="N66" i="11"/>
  <c r="G67" i="11"/>
  <c r="H67" i="11"/>
  <c r="I67" i="11"/>
  <c r="J67" i="11"/>
  <c r="K67" i="11"/>
  <c r="L67" i="11"/>
  <c r="M67" i="11"/>
  <c r="N67" i="11"/>
  <c r="G68" i="11"/>
  <c r="H68" i="11"/>
  <c r="I68" i="11"/>
  <c r="J68" i="11"/>
  <c r="K68" i="11"/>
  <c r="L68" i="11"/>
  <c r="M68" i="11"/>
  <c r="N68" i="11"/>
  <c r="G69" i="11"/>
  <c r="H69" i="11"/>
  <c r="I69" i="11"/>
  <c r="J69" i="11"/>
  <c r="K69" i="11"/>
  <c r="L69" i="11"/>
  <c r="M69" i="11"/>
  <c r="N69" i="11"/>
  <c r="G70" i="11"/>
  <c r="H70" i="11"/>
  <c r="I70" i="11"/>
  <c r="J70" i="11"/>
  <c r="K70" i="11"/>
  <c r="L70" i="11"/>
  <c r="M70" i="11"/>
  <c r="N70" i="11"/>
  <c r="G71" i="11"/>
  <c r="H71" i="11"/>
  <c r="I71" i="11"/>
  <c r="J71" i="11"/>
  <c r="K71" i="11"/>
  <c r="L71" i="11"/>
  <c r="M71" i="11"/>
  <c r="N71" i="11"/>
  <c r="G72" i="11"/>
  <c r="H72" i="11"/>
  <c r="I72" i="11"/>
  <c r="J72" i="11"/>
  <c r="K72" i="11"/>
  <c r="L72" i="11"/>
  <c r="M72" i="11"/>
  <c r="N72" i="11"/>
  <c r="G73" i="11"/>
  <c r="H73" i="11"/>
  <c r="I73" i="11"/>
  <c r="J73" i="11"/>
  <c r="K73" i="11"/>
  <c r="L73" i="11"/>
  <c r="M73" i="11"/>
  <c r="N73" i="11"/>
  <c r="G74" i="11"/>
  <c r="H74" i="11"/>
  <c r="I74" i="11"/>
  <c r="J74" i="11"/>
  <c r="K74" i="11"/>
  <c r="L74" i="11"/>
  <c r="M74" i="11"/>
  <c r="N74" i="11"/>
  <c r="G75" i="11"/>
  <c r="H75" i="11"/>
  <c r="I75" i="11"/>
  <c r="J75" i="11"/>
  <c r="K75" i="11"/>
  <c r="L75" i="11"/>
  <c r="M75" i="11"/>
  <c r="N75" i="11"/>
  <c r="G76" i="11"/>
  <c r="H76" i="11"/>
  <c r="I76" i="11"/>
  <c r="J76" i="11"/>
  <c r="K76" i="11"/>
  <c r="L76" i="11"/>
  <c r="M76" i="11"/>
  <c r="N76" i="11"/>
  <c r="G77" i="11"/>
  <c r="H77" i="11"/>
  <c r="I77" i="11"/>
  <c r="J77" i="11"/>
  <c r="K77" i="11"/>
  <c r="L77" i="11"/>
  <c r="M77" i="11"/>
  <c r="N77" i="11"/>
  <c r="G78" i="11"/>
  <c r="H78" i="11"/>
  <c r="I78" i="11"/>
  <c r="J78" i="11"/>
  <c r="K78" i="11"/>
  <c r="L78" i="11"/>
  <c r="M78" i="11"/>
  <c r="N78" i="11"/>
  <c r="G79" i="11"/>
  <c r="H79" i="11"/>
  <c r="I79" i="11"/>
  <c r="J79" i="11"/>
  <c r="K79" i="11"/>
  <c r="L79" i="11"/>
  <c r="M79" i="11"/>
  <c r="N79" i="11"/>
  <c r="G80" i="11"/>
  <c r="H80" i="11"/>
  <c r="I80" i="11"/>
  <c r="J80" i="11"/>
  <c r="K80" i="11"/>
  <c r="L80" i="11"/>
  <c r="M80" i="11"/>
  <c r="N80" i="11"/>
  <c r="G81" i="11"/>
  <c r="H81" i="11"/>
  <c r="I81" i="11"/>
  <c r="J81" i="11"/>
  <c r="K81" i="11"/>
  <c r="L81" i="11"/>
  <c r="M81" i="11"/>
  <c r="N81" i="11"/>
  <c r="G82" i="11"/>
  <c r="H82" i="11"/>
  <c r="I82" i="11"/>
  <c r="J82" i="11"/>
  <c r="K82" i="11"/>
  <c r="L82" i="11"/>
  <c r="M82" i="11"/>
  <c r="N82" i="11"/>
  <c r="G83" i="11"/>
  <c r="H83" i="11"/>
  <c r="I83" i="11"/>
  <c r="J83" i="11"/>
  <c r="K83" i="11"/>
  <c r="L83" i="11"/>
  <c r="M83" i="11"/>
  <c r="N83" i="11"/>
  <c r="G84" i="11"/>
  <c r="H84" i="11"/>
  <c r="I84" i="11"/>
  <c r="J84" i="11"/>
  <c r="K84" i="11"/>
  <c r="L84" i="11"/>
  <c r="M84" i="11"/>
  <c r="N84" i="11"/>
  <c r="G85" i="11"/>
  <c r="H85" i="11"/>
  <c r="I85" i="11"/>
  <c r="J85" i="11"/>
  <c r="K85" i="11"/>
  <c r="L85" i="11"/>
  <c r="M85" i="11"/>
  <c r="N85" i="11"/>
  <c r="G86" i="11"/>
  <c r="H86" i="11"/>
  <c r="I86" i="11"/>
  <c r="J86" i="11"/>
  <c r="K86" i="11"/>
  <c r="L86" i="11"/>
  <c r="M86" i="11"/>
  <c r="N86" i="11"/>
  <c r="G87" i="11"/>
  <c r="H87" i="11"/>
  <c r="I87" i="11"/>
  <c r="J87" i="11"/>
  <c r="K87" i="11"/>
  <c r="L87" i="11"/>
  <c r="M87" i="11"/>
  <c r="N87" i="11"/>
  <c r="G88" i="11"/>
  <c r="H88" i="11"/>
  <c r="I88" i="11"/>
  <c r="J88" i="11"/>
  <c r="K88" i="11"/>
  <c r="L88" i="11"/>
  <c r="M88" i="11"/>
  <c r="N88" i="11"/>
  <c r="G89" i="11"/>
  <c r="H89" i="11"/>
  <c r="I89" i="11"/>
  <c r="J89" i="11"/>
  <c r="K89" i="11"/>
  <c r="L89" i="11"/>
  <c r="M89" i="11"/>
  <c r="N89" i="11"/>
  <c r="G90" i="11"/>
  <c r="H90" i="11"/>
  <c r="I90" i="11"/>
  <c r="J90" i="11"/>
  <c r="K90" i="11"/>
  <c r="L90" i="11"/>
  <c r="M90" i="11"/>
  <c r="N90" i="11"/>
  <c r="G91" i="11"/>
  <c r="H91" i="11"/>
  <c r="I91" i="11"/>
  <c r="J91" i="11"/>
  <c r="K91" i="11"/>
  <c r="L91" i="11"/>
  <c r="M91" i="11"/>
  <c r="N91" i="11"/>
  <c r="G92" i="11"/>
  <c r="H92" i="11"/>
  <c r="I92" i="11"/>
  <c r="J92" i="11"/>
  <c r="K92" i="11"/>
  <c r="L92" i="11"/>
  <c r="M92" i="11"/>
  <c r="N92" i="11"/>
  <c r="G93" i="11"/>
  <c r="H93" i="11"/>
  <c r="I93" i="11"/>
  <c r="J93" i="11"/>
  <c r="K93" i="11"/>
  <c r="L93" i="11"/>
  <c r="M93" i="11"/>
  <c r="N93" i="11"/>
  <c r="G94" i="11"/>
  <c r="H94" i="11"/>
  <c r="I94" i="11"/>
  <c r="J94" i="11"/>
  <c r="K94" i="11"/>
  <c r="L94" i="11"/>
  <c r="M94" i="11"/>
  <c r="N94" i="11"/>
  <c r="G95" i="11"/>
  <c r="H95" i="11"/>
  <c r="I95" i="11"/>
  <c r="J95" i="11"/>
  <c r="K95" i="11"/>
  <c r="L95" i="11"/>
  <c r="M95" i="11"/>
  <c r="N95" i="11"/>
  <c r="G96" i="11"/>
  <c r="H96" i="11"/>
  <c r="I96" i="11"/>
  <c r="J96" i="11"/>
  <c r="K96" i="11"/>
  <c r="L96" i="11"/>
  <c r="M96" i="11"/>
  <c r="N96" i="11"/>
  <c r="G97" i="11"/>
  <c r="H97" i="11"/>
  <c r="I97" i="11"/>
  <c r="J97" i="11"/>
  <c r="K97" i="11"/>
  <c r="L97" i="11"/>
  <c r="M97" i="11"/>
  <c r="N97" i="11"/>
  <c r="G98" i="11"/>
  <c r="H98" i="11"/>
  <c r="I98" i="11"/>
  <c r="J98" i="11"/>
  <c r="K98" i="11"/>
  <c r="L98" i="11"/>
  <c r="M98" i="11"/>
  <c r="N98" i="11"/>
  <c r="G99" i="11"/>
  <c r="H99" i="11"/>
  <c r="I99" i="11"/>
  <c r="J99" i="11"/>
  <c r="K99" i="11"/>
  <c r="L99" i="11"/>
  <c r="M99" i="11"/>
  <c r="N99" i="11"/>
  <c r="G100" i="11"/>
  <c r="H100" i="11"/>
  <c r="I100" i="11"/>
  <c r="J100" i="11"/>
  <c r="K100" i="11"/>
  <c r="L100" i="11"/>
  <c r="M100" i="11"/>
  <c r="N100" i="11"/>
  <c r="G101" i="11"/>
  <c r="H101" i="11"/>
  <c r="I101" i="11"/>
  <c r="J101" i="11"/>
  <c r="K101" i="11"/>
  <c r="L101" i="11"/>
  <c r="M101" i="11"/>
  <c r="N101" i="11"/>
  <c r="G102" i="11"/>
  <c r="H102" i="11"/>
  <c r="I102" i="11"/>
  <c r="J102" i="11"/>
  <c r="K102" i="11"/>
  <c r="L102" i="11"/>
  <c r="M102" i="11"/>
  <c r="N102" i="11"/>
  <c r="G103" i="11"/>
  <c r="H103" i="11"/>
  <c r="I103" i="11"/>
  <c r="J103" i="11"/>
  <c r="K103" i="11"/>
  <c r="L103" i="11"/>
  <c r="M103" i="11"/>
  <c r="N103" i="11"/>
  <c r="G104" i="11"/>
  <c r="H104" i="11"/>
  <c r="I104" i="11"/>
  <c r="J104" i="11"/>
  <c r="K104" i="11"/>
  <c r="L104" i="11"/>
  <c r="M104" i="11"/>
  <c r="N104" i="11"/>
  <c r="G105" i="11"/>
  <c r="H105" i="11"/>
  <c r="I105" i="11"/>
  <c r="J105" i="11"/>
  <c r="K105" i="11"/>
  <c r="L105" i="11"/>
  <c r="M105" i="11"/>
  <c r="N105" i="11"/>
  <c r="G106" i="11"/>
  <c r="H106" i="11"/>
  <c r="I106" i="11"/>
  <c r="J106" i="11"/>
  <c r="K106" i="11"/>
  <c r="L106" i="11"/>
  <c r="M106" i="11"/>
  <c r="N106" i="11"/>
  <c r="G107" i="11"/>
  <c r="H107" i="11"/>
  <c r="I107" i="11"/>
  <c r="J107" i="11"/>
  <c r="K107" i="11"/>
  <c r="L107" i="11"/>
  <c r="M107" i="11"/>
  <c r="N107" i="11"/>
  <c r="G108" i="11"/>
  <c r="H108" i="11"/>
  <c r="I108" i="11"/>
  <c r="J108" i="11"/>
  <c r="K108" i="11"/>
  <c r="L108" i="11"/>
  <c r="M108" i="11"/>
  <c r="N108" i="11"/>
  <c r="G109" i="11"/>
  <c r="H109" i="11"/>
  <c r="I109" i="11"/>
  <c r="J109" i="11"/>
  <c r="K109" i="11"/>
  <c r="L109" i="11"/>
  <c r="M109" i="11"/>
  <c r="N109" i="11"/>
  <c r="G110" i="11"/>
  <c r="H110" i="11"/>
  <c r="I110" i="11"/>
  <c r="J110" i="11"/>
  <c r="K110" i="11"/>
  <c r="L110" i="11"/>
  <c r="M110" i="11"/>
  <c r="N110" i="11"/>
  <c r="G111" i="11"/>
  <c r="H111" i="11"/>
  <c r="I111" i="11"/>
  <c r="J111" i="11"/>
  <c r="K111" i="11"/>
  <c r="L111" i="11"/>
  <c r="M111" i="11"/>
  <c r="N111" i="11"/>
  <c r="G112" i="11"/>
  <c r="H112" i="11"/>
  <c r="I112" i="11"/>
  <c r="J112" i="11"/>
  <c r="K112" i="11"/>
  <c r="L112" i="11"/>
  <c r="M112" i="11"/>
  <c r="N112" i="11"/>
  <c r="G113" i="11"/>
  <c r="H113" i="11"/>
  <c r="I113" i="11"/>
  <c r="J113" i="11"/>
  <c r="K113" i="11"/>
  <c r="L113" i="11"/>
  <c r="M113" i="11"/>
  <c r="N113" i="11"/>
  <c r="G114" i="11"/>
  <c r="H114" i="11"/>
  <c r="I114" i="11"/>
  <c r="J114" i="11"/>
  <c r="K114" i="11"/>
  <c r="L114" i="11"/>
  <c r="M114" i="11"/>
  <c r="N114" i="11"/>
  <c r="G115" i="11"/>
  <c r="H115" i="11"/>
  <c r="I115" i="11"/>
  <c r="J115" i="11"/>
  <c r="K115" i="11"/>
  <c r="L115" i="11"/>
  <c r="M115" i="11"/>
  <c r="N115" i="11"/>
  <c r="G116" i="11"/>
  <c r="H116" i="11"/>
  <c r="I116" i="11"/>
  <c r="J116" i="11"/>
  <c r="K116" i="11"/>
  <c r="L116" i="11"/>
  <c r="M116" i="11"/>
  <c r="N116" i="11"/>
  <c r="G117" i="11"/>
  <c r="H117" i="11"/>
  <c r="I117" i="11"/>
  <c r="J117" i="11"/>
  <c r="K117" i="11"/>
  <c r="L117" i="11"/>
  <c r="M117" i="11"/>
  <c r="N117" i="11"/>
  <c r="G118" i="11"/>
  <c r="H118" i="11"/>
  <c r="I118" i="11"/>
  <c r="J118" i="11"/>
  <c r="K118" i="11"/>
  <c r="L118" i="11"/>
  <c r="M118" i="11"/>
  <c r="N118" i="11"/>
  <c r="G119" i="11"/>
  <c r="H119" i="11"/>
  <c r="I119" i="11"/>
  <c r="J119" i="11"/>
  <c r="K119" i="11"/>
  <c r="L119" i="11"/>
  <c r="M119" i="11"/>
  <c r="N119" i="11"/>
  <c r="G120" i="11"/>
  <c r="H120" i="11"/>
  <c r="I120" i="11"/>
  <c r="J120" i="11"/>
  <c r="K120" i="11"/>
  <c r="L120" i="11"/>
  <c r="M120" i="11"/>
  <c r="N120" i="11"/>
  <c r="G121" i="11"/>
  <c r="H121" i="11"/>
  <c r="I121" i="11"/>
  <c r="J121" i="11"/>
  <c r="K121" i="11"/>
  <c r="L121" i="11"/>
  <c r="M121" i="11"/>
  <c r="N121" i="11"/>
  <c r="G122" i="11"/>
  <c r="H122" i="11"/>
  <c r="I122" i="11"/>
  <c r="J122" i="11"/>
  <c r="K122" i="11"/>
  <c r="L122" i="11"/>
  <c r="M122" i="11"/>
  <c r="N122" i="11"/>
  <c r="G123" i="11"/>
  <c r="H123" i="11"/>
  <c r="I123" i="11"/>
  <c r="J123" i="11"/>
  <c r="K123" i="11"/>
  <c r="L123" i="11"/>
  <c r="M123" i="11"/>
  <c r="N123" i="11"/>
  <c r="G124" i="11"/>
  <c r="H124" i="11"/>
  <c r="I124" i="11"/>
  <c r="J124" i="11"/>
  <c r="K124" i="11"/>
  <c r="L124" i="11"/>
  <c r="M124" i="11"/>
  <c r="N124" i="11"/>
  <c r="G125" i="11"/>
  <c r="H125" i="11"/>
  <c r="I125" i="11"/>
  <c r="J125" i="11"/>
  <c r="K125" i="11"/>
  <c r="L125" i="11"/>
  <c r="M125" i="11"/>
  <c r="N125" i="11"/>
  <c r="G126" i="11"/>
  <c r="H126" i="11"/>
  <c r="I126" i="11"/>
  <c r="J126" i="11"/>
  <c r="K126" i="11"/>
  <c r="L126" i="11"/>
  <c r="M126" i="11"/>
  <c r="N126" i="11"/>
  <c r="G127" i="11"/>
  <c r="H127" i="11"/>
  <c r="I127" i="11"/>
  <c r="J127" i="11"/>
  <c r="K127" i="11"/>
  <c r="L127" i="11"/>
  <c r="M127" i="11"/>
  <c r="N127" i="11"/>
  <c r="G128" i="11"/>
  <c r="H128" i="11"/>
  <c r="I128" i="11"/>
  <c r="J128" i="11"/>
  <c r="K128" i="11"/>
  <c r="L128" i="11"/>
  <c r="M128" i="11"/>
  <c r="N128" i="11"/>
  <c r="G129" i="11"/>
  <c r="H129" i="11"/>
  <c r="I129" i="11"/>
  <c r="J129" i="11"/>
  <c r="K129" i="11"/>
  <c r="L129" i="11"/>
  <c r="M129" i="11"/>
  <c r="N129" i="11"/>
  <c r="G130" i="11"/>
  <c r="H130" i="11"/>
  <c r="I130" i="11"/>
  <c r="J130" i="11"/>
  <c r="K130" i="11"/>
  <c r="L130" i="11"/>
  <c r="M130" i="11"/>
  <c r="N130" i="11"/>
  <c r="G131" i="11"/>
  <c r="H131" i="11"/>
  <c r="I131" i="11"/>
  <c r="J131" i="11"/>
  <c r="K131" i="11"/>
  <c r="L131" i="11"/>
  <c r="M131" i="11"/>
  <c r="N131" i="11"/>
  <c r="G132" i="11"/>
  <c r="H132" i="11"/>
  <c r="I132" i="11"/>
  <c r="J132" i="11"/>
  <c r="K132" i="11"/>
  <c r="L132" i="11"/>
  <c r="M132" i="11"/>
  <c r="N132" i="11"/>
  <c r="G133" i="11"/>
  <c r="H133" i="11"/>
  <c r="I133" i="11"/>
  <c r="J133" i="11"/>
  <c r="K133" i="11"/>
  <c r="L133" i="11"/>
  <c r="M133" i="11"/>
  <c r="N133" i="11"/>
  <c r="G134" i="11"/>
  <c r="H134" i="11"/>
  <c r="I134" i="11"/>
  <c r="J134" i="11"/>
  <c r="K134" i="11"/>
  <c r="L134" i="11"/>
  <c r="M134" i="11"/>
  <c r="N134" i="11"/>
  <c r="G135" i="11"/>
  <c r="H135" i="11"/>
  <c r="I135" i="11"/>
  <c r="J135" i="11"/>
  <c r="K135" i="11"/>
  <c r="L135" i="11"/>
  <c r="M135" i="11"/>
  <c r="N135" i="11"/>
  <c r="G136" i="11"/>
  <c r="H136" i="11"/>
  <c r="I136" i="11"/>
  <c r="J136" i="11"/>
  <c r="K136" i="11"/>
  <c r="L136" i="11"/>
  <c r="M136" i="11"/>
  <c r="N136" i="11"/>
  <c r="G137" i="11"/>
  <c r="H137" i="11"/>
  <c r="I137" i="11"/>
  <c r="J137" i="11"/>
  <c r="K137" i="11"/>
  <c r="L137" i="11"/>
  <c r="M137" i="11"/>
  <c r="N137" i="11"/>
  <c r="G138" i="11"/>
  <c r="H138" i="11"/>
  <c r="I138" i="11"/>
  <c r="J138" i="11"/>
  <c r="K138" i="11"/>
  <c r="L138" i="11"/>
  <c r="M138" i="11"/>
  <c r="N138" i="11"/>
  <c r="G139" i="11"/>
  <c r="H139" i="11"/>
  <c r="I139" i="11"/>
  <c r="J139" i="11"/>
  <c r="K139" i="11"/>
  <c r="L139" i="11"/>
  <c r="M139" i="11"/>
  <c r="N139" i="11"/>
  <c r="G140" i="11"/>
  <c r="H140" i="11"/>
  <c r="I140" i="11"/>
  <c r="J140" i="11"/>
  <c r="K140" i="11"/>
  <c r="L140" i="11"/>
  <c r="M140" i="11"/>
  <c r="N140" i="11"/>
  <c r="G141" i="11"/>
  <c r="H141" i="11"/>
  <c r="I141" i="11"/>
  <c r="J141" i="11"/>
  <c r="K141" i="11"/>
  <c r="L141" i="11"/>
  <c r="M141" i="11"/>
  <c r="N141" i="11"/>
  <c r="G142" i="11"/>
  <c r="H142" i="11"/>
  <c r="I142" i="11"/>
  <c r="J142" i="11"/>
  <c r="K142" i="11"/>
  <c r="L142" i="11"/>
  <c r="M142" i="11"/>
  <c r="N142" i="11"/>
  <c r="G143" i="11"/>
  <c r="H143" i="11"/>
  <c r="I143" i="11"/>
  <c r="J143" i="11"/>
  <c r="K143" i="11"/>
  <c r="L143" i="11"/>
  <c r="M143" i="11"/>
  <c r="N143" i="11"/>
  <c r="G144" i="11"/>
  <c r="H144" i="11"/>
  <c r="I144" i="11"/>
  <c r="J144" i="11"/>
  <c r="K144" i="11"/>
  <c r="L144" i="11"/>
  <c r="M144" i="11"/>
  <c r="N144" i="11"/>
  <c r="G145" i="11"/>
  <c r="H145" i="11"/>
  <c r="I145" i="11"/>
  <c r="J145" i="11"/>
  <c r="K145" i="11"/>
  <c r="L145" i="11"/>
  <c r="M145" i="11"/>
  <c r="N145" i="11"/>
  <c r="G146" i="11"/>
  <c r="H146" i="11"/>
  <c r="I146" i="11"/>
  <c r="J146" i="11"/>
  <c r="K146" i="11"/>
  <c r="L146" i="11"/>
  <c r="M146" i="11"/>
  <c r="N146" i="11"/>
  <c r="G147" i="11"/>
  <c r="H147" i="11"/>
  <c r="I147" i="11"/>
  <c r="J147" i="11"/>
  <c r="K147" i="11"/>
  <c r="L147" i="11"/>
  <c r="M147" i="11"/>
  <c r="N147" i="11"/>
  <c r="G148" i="11"/>
  <c r="H148" i="11"/>
  <c r="I148" i="11"/>
  <c r="J148" i="11"/>
  <c r="K148" i="11"/>
  <c r="L148" i="11"/>
  <c r="M148" i="11"/>
  <c r="N148" i="11"/>
  <c r="G149" i="11"/>
  <c r="H149" i="11"/>
  <c r="I149" i="11"/>
  <c r="J149" i="11"/>
  <c r="K149" i="11"/>
  <c r="L149" i="11"/>
  <c r="M149" i="11"/>
  <c r="N149" i="11"/>
  <c r="G150" i="11"/>
  <c r="H150" i="11"/>
  <c r="I150" i="11"/>
  <c r="J150" i="11"/>
  <c r="K150" i="11"/>
  <c r="L150" i="11"/>
  <c r="M150" i="11"/>
  <c r="N150" i="11"/>
  <c r="G151" i="11"/>
  <c r="H151" i="11"/>
  <c r="I151" i="11"/>
  <c r="J151" i="11"/>
  <c r="K151" i="11"/>
  <c r="L151" i="11"/>
  <c r="M151" i="11"/>
  <c r="N151" i="11"/>
  <c r="G152" i="11"/>
  <c r="H152" i="11"/>
  <c r="I152" i="11"/>
  <c r="J152" i="11"/>
  <c r="K152" i="11"/>
  <c r="L152" i="11"/>
  <c r="M152" i="11"/>
  <c r="N152" i="11"/>
  <c r="G153" i="11"/>
  <c r="H153" i="11"/>
  <c r="I153" i="11"/>
  <c r="J153" i="11"/>
  <c r="K153" i="11"/>
  <c r="L153" i="11"/>
  <c r="M153" i="11"/>
  <c r="N153" i="11"/>
  <c r="G154" i="11"/>
  <c r="H154" i="11"/>
  <c r="I154" i="11"/>
  <c r="J154" i="11"/>
  <c r="K154" i="11"/>
  <c r="L154" i="11"/>
  <c r="M154" i="11"/>
  <c r="N154" i="11"/>
  <c r="G155" i="11"/>
  <c r="H155" i="11"/>
  <c r="I155" i="11"/>
  <c r="J155" i="11"/>
  <c r="K155" i="11"/>
  <c r="L155" i="11"/>
  <c r="M155" i="11"/>
  <c r="N155" i="11"/>
  <c r="G156" i="11"/>
  <c r="H156" i="11"/>
  <c r="I156" i="11"/>
  <c r="J156" i="11"/>
  <c r="K156" i="11"/>
  <c r="L156" i="11"/>
  <c r="M156" i="11"/>
  <c r="N156" i="11"/>
  <c r="G157" i="11"/>
  <c r="H157" i="11"/>
  <c r="I157" i="11"/>
  <c r="J157" i="11"/>
  <c r="K157" i="11"/>
  <c r="L157" i="11"/>
  <c r="M157" i="11"/>
  <c r="N157" i="11"/>
  <c r="G158" i="11"/>
  <c r="H158" i="11"/>
  <c r="I158" i="11"/>
  <c r="J158" i="11"/>
  <c r="K158" i="11"/>
  <c r="L158" i="11"/>
  <c r="M158" i="11"/>
  <c r="N158" i="11"/>
  <c r="G159" i="11"/>
  <c r="H159" i="11"/>
  <c r="I159" i="11"/>
  <c r="J159" i="11"/>
  <c r="K159" i="11"/>
  <c r="L159" i="11"/>
  <c r="M159" i="11"/>
  <c r="N159" i="11"/>
  <c r="G160" i="11"/>
  <c r="H160" i="11"/>
  <c r="I160" i="11"/>
  <c r="J160" i="11"/>
  <c r="K160" i="11"/>
  <c r="L160" i="11"/>
  <c r="M160" i="11"/>
  <c r="N160" i="11"/>
  <c r="G161" i="11"/>
  <c r="H161" i="11"/>
  <c r="I161" i="11"/>
  <c r="J161" i="11"/>
  <c r="K161" i="11"/>
  <c r="L161" i="11"/>
  <c r="M161" i="11"/>
  <c r="N161" i="11"/>
  <c r="G162" i="11"/>
  <c r="H162" i="11"/>
  <c r="I162" i="11"/>
  <c r="J162" i="11"/>
  <c r="K162" i="11"/>
  <c r="L162" i="11"/>
  <c r="M162" i="11"/>
  <c r="N162" i="11"/>
  <c r="G163" i="11"/>
  <c r="H163" i="11"/>
  <c r="I163" i="11"/>
  <c r="J163" i="11"/>
  <c r="K163" i="11"/>
  <c r="L163" i="11"/>
  <c r="M163" i="11"/>
  <c r="N163" i="11"/>
  <c r="G164" i="11"/>
  <c r="H164" i="11"/>
  <c r="I164" i="11"/>
  <c r="J164" i="11"/>
  <c r="K164" i="11"/>
  <c r="L164" i="11"/>
  <c r="M164" i="11"/>
  <c r="N164" i="11"/>
  <c r="G165" i="11"/>
  <c r="H165" i="11"/>
  <c r="I165" i="11"/>
  <c r="J165" i="11"/>
  <c r="K165" i="11"/>
  <c r="L165" i="11"/>
  <c r="M165" i="11"/>
  <c r="N165" i="11"/>
  <c r="G166" i="11"/>
  <c r="H166" i="11"/>
  <c r="I166" i="11"/>
  <c r="J166" i="11"/>
  <c r="K166" i="11"/>
  <c r="L166" i="11"/>
  <c r="M166" i="11"/>
  <c r="N166" i="11"/>
  <c r="G167" i="11"/>
  <c r="H167" i="11"/>
  <c r="I167" i="11"/>
  <c r="J167" i="11"/>
  <c r="K167" i="11"/>
  <c r="L167" i="11"/>
  <c r="M167" i="11"/>
  <c r="N167" i="11"/>
  <c r="M7" i="11"/>
  <c r="L7" i="11"/>
  <c r="K7" i="11"/>
  <c r="J7" i="11"/>
  <c r="I7" i="11"/>
  <c r="H7" i="11"/>
  <c r="G7" i="11"/>
  <c r="N7" i="11" s="1"/>
  <c r="G8" i="12"/>
  <c r="N8" i="12" s="1"/>
  <c r="H8" i="12"/>
  <c r="I8" i="12"/>
  <c r="J8" i="12"/>
  <c r="K8" i="12"/>
  <c r="L8" i="12"/>
  <c r="M8" i="12"/>
  <c r="G9" i="12"/>
  <c r="N9" i="12" s="1"/>
  <c r="H9" i="12"/>
  <c r="I9" i="12"/>
  <c r="J9" i="12"/>
  <c r="K9" i="12"/>
  <c r="L9" i="12"/>
  <c r="M9" i="12"/>
  <c r="G10" i="12"/>
  <c r="N10" i="12" s="1"/>
  <c r="H10" i="12"/>
  <c r="I10" i="12"/>
  <c r="J10" i="12"/>
  <c r="K10" i="12"/>
  <c r="L10" i="12"/>
  <c r="M10" i="12"/>
  <c r="G11" i="12"/>
  <c r="N11" i="12" s="1"/>
  <c r="H11" i="12"/>
  <c r="I11" i="12"/>
  <c r="J11" i="12"/>
  <c r="K11" i="12"/>
  <c r="L11" i="12"/>
  <c r="M11" i="12"/>
  <c r="G12" i="12"/>
  <c r="N12" i="12" s="1"/>
  <c r="H12" i="12"/>
  <c r="I12" i="12"/>
  <c r="J12" i="12"/>
  <c r="K12" i="12"/>
  <c r="L12" i="12"/>
  <c r="M12" i="12"/>
  <c r="G13" i="12"/>
  <c r="N13" i="12" s="1"/>
  <c r="H13" i="12"/>
  <c r="I13" i="12"/>
  <c r="J13" i="12"/>
  <c r="K13" i="12"/>
  <c r="L13" i="12"/>
  <c r="M13" i="12"/>
  <c r="G14" i="12"/>
  <c r="N14" i="12" s="1"/>
  <c r="H14" i="12"/>
  <c r="I14" i="12"/>
  <c r="J14" i="12"/>
  <c r="K14" i="12"/>
  <c r="L14" i="12"/>
  <c r="M14" i="12"/>
  <c r="G15" i="12"/>
  <c r="N15" i="12" s="1"/>
  <c r="H15" i="12"/>
  <c r="I15" i="12"/>
  <c r="J15" i="12"/>
  <c r="K15" i="12"/>
  <c r="L15" i="12"/>
  <c r="M15" i="12"/>
  <c r="G16" i="12"/>
  <c r="N16" i="12" s="1"/>
  <c r="H16" i="12"/>
  <c r="I16" i="12"/>
  <c r="J16" i="12"/>
  <c r="K16" i="12"/>
  <c r="L16" i="12"/>
  <c r="M16" i="12"/>
  <c r="G17" i="12"/>
  <c r="N17" i="12" s="1"/>
  <c r="H17" i="12"/>
  <c r="I17" i="12"/>
  <c r="J17" i="12"/>
  <c r="K17" i="12"/>
  <c r="L17" i="12"/>
  <c r="M17" i="12"/>
  <c r="G18" i="12"/>
  <c r="N18" i="12" s="1"/>
  <c r="H18" i="12"/>
  <c r="I18" i="12"/>
  <c r="J18" i="12"/>
  <c r="K18" i="12"/>
  <c r="L18" i="12"/>
  <c r="M18" i="12"/>
  <c r="G19" i="12"/>
  <c r="N19" i="12" s="1"/>
  <c r="H19" i="12"/>
  <c r="I19" i="12"/>
  <c r="J19" i="12"/>
  <c r="K19" i="12"/>
  <c r="L19" i="12"/>
  <c r="M19" i="12"/>
  <c r="G20" i="12"/>
  <c r="N20" i="12" s="1"/>
  <c r="H20" i="12"/>
  <c r="I20" i="12"/>
  <c r="J20" i="12"/>
  <c r="K20" i="12"/>
  <c r="L20" i="12"/>
  <c r="M20" i="12"/>
  <c r="G21" i="12"/>
  <c r="N21" i="12" s="1"/>
  <c r="H21" i="12"/>
  <c r="I21" i="12"/>
  <c r="J21" i="12"/>
  <c r="K21" i="12"/>
  <c r="L21" i="12"/>
  <c r="M21" i="12"/>
  <c r="G22" i="12"/>
  <c r="N22" i="12" s="1"/>
  <c r="H22" i="12"/>
  <c r="I22" i="12"/>
  <c r="J22" i="12"/>
  <c r="K22" i="12"/>
  <c r="L22" i="12"/>
  <c r="M22" i="12"/>
  <c r="G23" i="12"/>
  <c r="N23" i="12" s="1"/>
  <c r="H23" i="12"/>
  <c r="I23" i="12"/>
  <c r="J23" i="12"/>
  <c r="K23" i="12"/>
  <c r="L23" i="12"/>
  <c r="M23" i="12"/>
  <c r="G24" i="12"/>
  <c r="N24" i="12" s="1"/>
  <c r="H24" i="12"/>
  <c r="I24" i="12"/>
  <c r="J24" i="12"/>
  <c r="K24" i="12"/>
  <c r="L24" i="12"/>
  <c r="M24" i="12"/>
  <c r="G25" i="12"/>
  <c r="N25" i="12" s="1"/>
  <c r="H25" i="12"/>
  <c r="I25" i="12"/>
  <c r="J25" i="12"/>
  <c r="K25" i="12"/>
  <c r="L25" i="12"/>
  <c r="M25" i="12"/>
  <c r="G26" i="12"/>
  <c r="N26" i="12" s="1"/>
  <c r="H26" i="12"/>
  <c r="I26" i="12"/>
  <c r="J26" i="12"/>
  <c r="K26" i="12"/>
  <c r="L26" i="12"/>
  <c r="M26" i="12"/>
  <c r="G27" i="12"/>
  <c r="N27" i="12" s="1"/>
  <c r="H27" i="12"/>
  <c r="I27" i="12"/>
  <c r="J27" i="12"/>
  <c r="K27" i="12"/>
  <c r="L27" i="12"/>
  <c r="M27" i="12"/>
  <c r="G28" i="12"/>
  <c r="N28" i="12" s="1"/>
  <c r="H28" i="12"/>
  <c r="I28" i="12"/>
  <c r="J28" i="12"/>
  <c r="K28" i="12"/>
  <c r="L28" i="12"/>
  <c r="M28" i="12"/>
  <c r="G29" i="12"/>
  <c r="N29" i="12" s="1"/>
  <c r="H29" i="12"/>
  <c r="I29" i="12"/>
  <c r="J29" i="12"/>
  <c r="K29" i="12"/>
  <c r="L29" i="12"/>
  <c r="M29" i="12"/>
  <c r="G30" i="12"/>
  <c r="N30" i="12" s="1"/>
  <c r="H30" i="12"/>
  <c r="I30" i="12"/>
  <c r="J30" i="12"/>
  <c r="K30" i="12"/>
  <c r="L30" i="12"/>
  <c r="M30" i="12"/>
  <c r="G31" i="12"/>
  <c r="N31" i="12" s="1"/>
  <c r="H31" i="12"/>
  <c r="I31" i="12"/>
  <c r="J31" i="12"/>
  <c r="K31" i="12"/>
  <c r="L31" i="12"/>
  <c r="M31" i="12"/>
  <c r="G32" i="12"/>
  <c r="N32" i="12" s="1"/>
  <c r="H32" i="12"/>
  <c r="I32" i="12"/>
  <c r="J32" i="12"/>
  <c r="K32" i="12"/>
  <c r="L32" i="12"/>
  <c r="M32" i="12"/>
  <c r="G33" i="12"/>
  <c r="N33" i="12" s="1"/>
  <c r="H33" i="12"/>
  <c r="I33" i="12"/>
  <c r="J33" i="12"/>
  <c r="K33" i="12"/>
  <c r="L33" i="12"/>
  <c r="M33" i="12"/>
  <c r="G34" i="12"/>
  <c r="N34" i="12" s="1"/>
  <c r="H34" i="12"/>
  <c r="I34" i="12"/>
  <c r="J34" i="12"/>
  <c r="K34" i="12"/>
  <c r="L34" i="12"/>
  <c r="M34" i="12"/>
  <c r="G35" i="12"/>
  <c r="N35" i="12" s="1"/>
  <c r="H35" i="12"/>
  <c r="I35" i="12"/>
  <c r="J35" i="12"/>
  <c r="K35" i="12"/>
  <c r="L35" i="12"/>
  <c r="M35" i="12"/>
  <c r="G36" i="12"/>
  <c r="N36" i="12" s="1"/>
  <c r="H36" i="12"/>
  <c r="I36" i="12"/>
  <c r="J36" i="12"/>
  <c r="K36" i="12"/>
  <c r="L36" i="12"/>
  <c r="M36" i="12"/>
  <c r="G37" i="12"/>
  <c r="N37" i="12" s="1"/>
  <c r="H37" i="12"/>
  <c r="I37" i="12"/>
  <c r="J37" i="12"/>
  <c r="K37" i="12"/>
  <c r="L37" i="12"/>
  <c r="M37" i="12"/>
  <c r="G38" i="12"/>
  <c r="N38" i="12" s="1"/>
  <c r="H38" i="12"/>
  <c r="I38" i="12"/>
  <c r="J38" i="12"/>
  <c r="K38" i="12"/>
  <c r="L38" i="12"/>
  <c r="M38" i="12"/>
  <c r="G39" i="12"/>
  <c r="N39" i="12" s="1"/>
  <c r="H39" i="12"/>
  <c r="I39" i="12"/>
  <c r="J39" i="12"/>
  <c r="K39" i="12"/>
  <c r="L39" i="12"/>
  <c r="M39" i="12"/>
  <c r="G40" i="12"/>
  <c r="N40" i="12" s="1"/>
  <c r="H40" i="12"/>
  <c r="I40" i="12"/>
  <c r="J40" i="12"/>
  <c r="K40" i="12"/>
  <c r="L40" i="12"/>
  <c r="M40" i="12"/>
  <c r="G41" i="12"/>
  <c r="N41" i="12" s="1"/>
  <c r="H41" i="12"/>
  <c r="I41" i="12"/>
  <c r="J41" i="12"/>
  <c r="K41" i="12"/>
  <c r="L41" i="12"/>
  <c r="M41" i="12"/>
  <c r="G42" i="12"/>
  <c r="N42" i="12" s="1"/>
  <c r="H42" i="12"/>
  <c r="I42" i="12"/>
  <c r="J42" i="12"/>
  <c r="K42" i="12"/>
  <c r="L42" i="12"/>
  <c r="M42" i="12"/>
  <c r="G43" i="12"/>
  <c r="N43" i="12" s="1"/>
  <c r="H43" i="12"/>
  <c r="I43" i="12"/>
  <c r="J43" i="12"/>
  <c r="K43" i="12"/>
  <c r="L43" i="12"/>
  <c r="M43" i="12"/>
  <c r="G44" i="12"/>
  <c r="N44" i="12" s="1"/>
  <c r="H44" i="12"/>
  <c r="I44" i="12"/>
  <c r="J44" i="12"/>
  <c r="K44" i="12"/>
  <c r="L44" i="12"/>
  <c r="M44" i="12"/>
  <c r="G45" i="12"/>
  <c r="N45" i="12" s="1"/>
  <c r="H45" i="12"/>
  <c r="I45" i="12"/>
  <c r="J45" i="12"/>
  <c r="K45" i="12"/>
  <c r="L45" i="12"/>
  <c r="M45" i="12"/>
  <c r="G46" i="12"/>
  <c r="N46" i="12" s="1"/>
  <c r="H46" i="12"/>
  <c r="I46" i="12"/>
  <c r="J46" i="12"/>
  <c r="K46" i="12"/>
  <c r="L46" i="12"/>
  <c r="M46" i="12"/>
  <c r="G47" i="12"/>
  <c r="N47" i="12" s="1"/>
  <c r="H47" i="12"/>
  <c r="I47" i="12"/>
  <c r="J47" i="12"/>
  <c r="K47" i="12"/>
  <c r="L47" i="12"/>
  <c r="M47" i="12"/>
  <c r="G48" i="12"/>
  <c r="N48" i="12" s="1"/>
  <c r="H48" i="12"/>
  <c r="I48" i="12"/>
  <c r="J48" i="12"/>
  <c r="K48" i="12"/>
  <c r="L48" i="12"/>
  <c r="M48" i="12"/>
  <c r="G49" i="12"/>
  <c r="N49" i="12" s="1"/>
  <c r="H49" i="12"/>
  <c r="I49" i="12"/>
  <c r="J49" i="12"/>
  <c r="K49" i="12"/>
  <c r="L49" i="12"/>
  <c r="M49" i="12"/>
  <c r="G50" i="12"/>
  <c r="N50" i="12" s="1"/>
  <c r="H50" i="12"/>
  <c r="I50" i="12"/>
  <c r="J50" i="12"/>
  <c r="K50" i="12"/>
  <c r="L50" i="12"/>
  <c r="M50" i="12"/>
  <c r="G51" i="12"/>
  <c r="N51" i="12" s="1"/>
  <c r="H51" i="12"/>
  <c r="I51" i="12"/>
  <c r="J51" i="12"/>
  <c r="K51" i="12"/>
  <c r="L51" i="12"/>
  <c r="M51" i="12"/>
  <c r="G52" i="12"/>
  <c r="N52" i="12" s="1"/>
  <c r="H52" i="12"/>
  <c r="I52" i="12"/>
  <c r="J52" i="12"/>
  <c r="K52" i="12"/>
  <c r="L52" i="12"/>
  <c r="M52" i="12"/>
  <c r="G53" i="12"/>
  <c r="N53" i="12" s="1"/>
  <c r="H53" i="12"/>
  <c r="I53" i="12"/>
  <c r="J53" i="12"/>
  <c r="K53" i="12"/>
  <c r="L53" i="12"/>
  <c r="M53" i="12"/>
  <c r="G54" i="12"/>
  <c r="N54" i="12" s="1"/>
  <c r="H54" i="12"/>
  <c r="I54" i="12"/>
  <c r="J54" i="12"/>
  <c r="K54" i="12"/>
  <c r="L54" i="12"/>
  <c r="M54" i="12"/>
  <c r="G55" i="12"/>
  <c r="N55" i="12" s="1"/>
  <c r="H55" i="12"/>
  <c r="I55" i="12"/>
  <c r="J55" i="12"/>
  <c r="K55" i="12"/>
  <c r="L55" i="12"/>
  <c r="M55" i="12"/>
  <c r="G56" i="12"/>
  <c r="N56" i="12" s="1"/>
  <c r="H56" i="12"/>
  <c r="I56" i="12"/>
  <c r="J56" i="12"/>
  <c r="K56" i="12"/>
  <c r="L56" i="12"/>
  <c r="M56" i="12"/>
  <c r="G57" i="12"/>
  <c r="N57" i="12" s="1"/>
  <c r="H57" i="12"/>
  <c r="I57" i="12"/>
  <c r="J57" i="12"/>
  <c r="K57" i="12"/>
  <c r="L57" i="12"/>
  <c r="M57" i="12"/>
  <c r="G58" i="12"/>
  <c r="N58" i="12" s="1"/>
  <c r="H58" i="12"/>
  <c r="I58" i="12"/>
  <c r="J58" i="12"/>
  <c r="K58" i="12"/>
  <c r="L58" i="12"/>
  <c r="M58" i="12"/>
  <c r="G59" i="12"/>
  <c r="N59" i="12" s="1"/>
  <c r="H59" i="12"/>
  <c r="I59" i="12"/>
  <c r="J59" i="12"/>
  <c r="K59" i="12"/>
  <c r="L59" i="12"/>
  <c r="M59" i="12"/>
  <c r="G60" i="12"/>
  <c r="N60" i="12" s="1"/>
  <c r="H60" i="12"/>
  <c r="I60" i="12"/>
  <c r="J60" i="12"/>
  <c r="K60" i="12"/>
  <c r="L60" i="12"/>
  <c r="M60" i="12"/>
  <c r="G61" i="12"/>
  <c r="N61" i="12" s="1"/>
  <c r="H61" i="12"/>
  <c r="I61" i="12"/>
  <c r="J61" i="12"/>
  <c r="K61" i="12"/>
  <c r="L61" i="12"/>
  <c r="M61" i="12"/>
  <c r="G62" i="12"/>
  <c r="N62" i="12" s="1"/>
  <c r="H62" i="12"/>
  <c r="I62" i="12"/>
  <c r="J62" i="12"/>
  <c r="K62" i="12"/>
  <c r="L62" i="12"/>
  <c r="M62" i="12"/>
  <c r="G63" i="12"/>
  <c r="N63" i="12" s="1"/>
  <c r="H63" i="12"/>
  <c r="I63" i="12"/>
  <c r="J63" i="12"/>
  <c r="K63" i="12"/>
  <c r="L63" i="12"/>
  <c r="M63" i="12"/>
  <c r="G64" i="12"/>
  <c r="N64" i="12" s="1"/>
  <c r="H64" i="12"/>
  <c r="I64" i="12"/>
  <c r="J64" i="12"/>
  <c r="K64" i="12"/>
  <c r="L64" i="12"/>
  <c r="M64" i="12"/>
  <c r="G65" i="12"/>
  <c r="N65" i="12" s="1"/>
  <c r="H65" i="12"/>
  <c r="I65" i="12"/>
  <c r="J65" i="12"/>
  <c r="K65" i="12"/>
  <c r="L65" i="12"/>
  <c r="M65" i="12"/>
  <c r="G66" i="12"/>
  <c r="N66" i="12" s="1"/>
  <c r="H66" i="12"/>
  <c r="I66" i="12"/>
  <c r="J66" i="12"/>
  <c r="K66" i="12"/>
  <c r="L66" i="12"/>
  <c r="M66" i="12"/>
  <c r="G67" i="12"/>
  <c r="N67" i="12" s="1"/>
  <c r="H67" i="12"/>
  <c r="I67" i="12"/>
  <c r="J67" i="12"/>
  <c r="K67" i="12"/>
  <c r="L67" i="12"/>
  <c r="M67" i="12"/>
  <c r="G68" i="12"/>
  <c r="N68" i="12" s="1"/>
  <c r="H68" i="12"/>
  <c r="I68" i="12"/>
  <c r="J68" i="12"/>
  <c r="K68" i="12"/>
  <c r="L68" i="12"/>
  <c r="M68" i="12"/>
  <c r="G69" i="12"/>
  <c r="N69" i="12" s="1"/>
  <c r="H69" i="12"/>
  <c r="I69" i="12"/>
  <c r="J69" i="12"/>
  <c r="K69" i="12"/>
  <c r="L69" i="12"/>
  <c r="M69" i="12"/>
  <c r="G70" i="12"/>
  <c r="N70" i="12" s="1"/>
  <c r="H70" i="12"/>
  <c r="I70" i="12"/>
  <c r="J70" i="12"/>
  <c r="K70" i="12"/>
  <c r="L70" i="12"/>
  <c r="M70" i="12"/>
  <c r="G71" i="12"/>
  <c r="N71" i="12" s="1"/>
  <c r="H71" i="12"/>
  <c r="I71" i="12"/>
  <c r="J71" i="12"/>
  <c r="K71" i="12"/>
  <c r="L71" i="12"/>
  <c r="M71" i="12"/>
  <c r="G72" i="12"/>
  <c r="N72" i="12" s="1"/>
  <c r="H72" i="12"/>
  <c r="I72" i="12"/>
  <c r="J72" i="12"/>
  <c r="K72" i="12"/>
  <c r="L72" i="12"/>
  <c r="M72" i="12"/>
  <c r="G73" i="12"/>
  <c r="N73" i="12" s="1"/>
  <c r="H73" i="12"/>
  <c r="I73" i="12"/>
  <c r="J73" i="12"/>
  <c r="K73" i="12"/>
  <c r="L73" i="12"/>
  <c r="M73" i="12"/>
  <c r="G74" i="12"/>
  <c r="N74" i="12" s="1"/>
  <c r="H74" i="12"/>
  <c r="I74" i="12"/>
  <c r="J74" i="12"/>
  <c r="K74" i="12"/>
  <c r="L74" i="12"/>
  <c r="M74" i="12"/>
  <c r="G75" i="12"/>
  <c r="N75" i="12" s="1"/>
  <c r="H75" i="12"/>
  <c r="I75" i="12"/>
  <c r="J75" i="12"/>
  <c r="K75" i="12"/>
  <c r="L75" i="12"/>
  <c r="M75" i="12"/>
  <c r="G76" i="12"/>
  <c r="N76" i="12" s="1"/>
  <c r="H76" i="12"/>
  <c r="I76" i="12"/>
  <c r="J76" i="12"/>
  <c r="K76" i="12"/>
  <c r="L76" i="12"/>
  <c r="M76" i="12"/>
  <c r="G77" i="12"/>
  <c r="N77" i="12" s="1"/>
  <c r="H77" i="12"/>
  <c r="I77" i="12"/>
  <c r="J77" i="12"/>
  <c r="K77" i="12"/>
  <c r="L77" i="12"/>
  <c r="M77" i="12"/>
  <c r="G78" i="12"/>
  <c r="N78" i="12" s="1"/>
  <c r="H78" i="12"/>
  <c r="I78" i="12"/>
  <c r="J78" i="12"/>
  <c r="K78" i="12"/>
  <c r="L78" i="12"/>
  <c r="M78" i="12"/>
  <c r="G79" i="12"/>
  <c r="N79" i="12" s="1"/>
  <c r="H79" i="12"/>
  <c r="I79" i="12"/>
  <c r="J79" i="12"/>
  <c r="K79" i="12"/>
  <c r="L79" i="12"/>
  <c r="M79" i="12"/>
  <c r="G80" i="12"/>
  <c r="N80" i="12" s="1"/>
  <c r="H80" i="12"/>
  <c r="I80" i="12"/>
  <c r="J80" i="12"/>
  <c r="K80" i="12"/>
  <c r="L80" i="12"/>
  <c r="M80" i="12"/>
  <c r="G81" i="12"/>
  <c r="N81" i="12" s="1"/>
  <c r="H81" i="12"/>
  <c r="I81" i="12"/>
  <c r="J81" i="12"/>
  <c r="K81" i="12"/>
  <c r="L81" i="12"/>
  <c r="M81" i="12"/>
  <c r="G82" i="12"/>
  <c r="N82" i="12" s="1"/>
  <c r="H82" i="12"/>
  <c r="I82" i="12"/>
  <c r="J82" i="12"/>
  <c r="K82" i="12"/>
  <c r="L82" i="12"/>
  <c r="M82" i="12"/>
  <c r="G83" i="12"/>
  <c r="N83" i="12" s="1"/>
  <c r="H83" i="12"/>
  <c r="I83" i="12"/>
  <c r="J83" i="12"/>
  <c r="K83" i="12"/>
  <c r="L83" i="12"/>
  <c r="M83" i="12"/>
  <c r="G84" i="12"/>
  <c r="N84" i="12" s="1"/>
  <c r="H84" i="12"/>
  <c r="I84" i="12"/>
  <c r="J84" i="12"/>
  <c r="K84" i="12"/>
  <c r="L84" i="12"/>
  <c r="M84" i="12"/>
  <c r="G85" i="12"/>
  <c r="N85" i="12" s="1"/>
  <c r="H85" i="12"/>
  <c r="I85" i="12"/>
  <c r="J85" i="12"/>
  <c r="K85" i="12"/>
  <c r="L85" i="12"/>
  <c r="M85" i="12"/>
  <c r="G86" i="12"/>
  <c r="N86" i="12" s="1"/>
  <c r="H86" i="12"/>
  <c r="I86" i="12"/>
  <c r="J86" i="12"/>
  <c r="K86" i="12"/>
  <c r="L86" i="12"/>
  <c r="M86" i="12"/>
  <c r="G87" i="12"/>
  <c r="N87" i="12" s="1"/>
  <c r="H87" i="12"/>
  <c r="I87" i="12"/>
  <c r="J87" i="12"/>
  <c r="K87" i="12"/>
  <c r="L87" i="12"/>
  <c r="M87" i="12"/>
  <c r="G88" i="12"/>
  <c r="N88" i="12" s="1"/>
  <c r="H88" i="12"/>
  <c r="I88" i="12"/>
  <c r="J88" i="12"/>
  <c r="K88" i="12"/>
  <c r="L88" i="12"/>
  <c r="M88" i="12"/>
  <c r="G89" i="12"/>
  <c r="N89" i="12" s="1"/>
  <c r="H89" i="12"/>
  <c r="I89" i="12"/>
  <c r="J89" i="12"/>
  <c r="K89" i="12"/>
  <c r="L89" i="12"/>
  <c r="M89" i="12"/>
  <c r="G90" i="12"/>
  <c r="N90" i="12" s="1"/>
  <c r="H90" i="12"/>
  <c r="I90" i="12"/>
  <c r="J90" i="12"/>
  <c r="K90" i="12"/>
  <c r="L90" i="12"/>
  <c r="M90" i="12"/>
  <c r="G91" i="12"/>
  <c r="N91" i="12" s="1"/>
  <c r="H91" i="12"/>
  <c r="I91" i="12"/>
  <c r="J91" i="12"/>
  <c r="K91" i="12"/>
  <c r="L91" i="12"/>
  <c r="M91" i="12"/>
  <c r="G92" i="12"/>
  <c r="N92" i="12" s="1"/>
  <c r="H92" i="12"/>
  <c r="I92" i="12"/>
  <c r="J92" i="12"/>
  <c r="K92" i="12"/>
  <c r="L92" i="12"/>
  <c r="M92" i="12"/>
  <c r="G93" i="12"/>
  <c r="N93" i="12" s="1"/>
  <c r="H93" i="12"/>
  <c r="I93" i="12"/>
  <c r="J93" i="12"/>
  <c r="K93" i="12"/>
  <c r="L93" i="12"/>
  <c r="M93" i="12"/>
  <c r="G94" i="12"/>
  <c r="N94" i="12" s="1"/>
  <c r="H94" i="12"/>
  <c r="I94" i="12"/>
  <c r="J94" i="12"/>
  <c r="K94" i="12"/>
  <c r="L94" i="12"/>
  <c r="M94" i="12"/>
  <c r="G95" i="12"/>
  <c r="N95" i="12" s="1"/>
  <c r="H95" i="12"/>
  <c r="I95" i="12"/>
  <c r="J95" i="12"/>
  <c r="K95" i="12"/>
  <c r="L95" i="12"/>
  <c r="M95" i="12"/>
  <c r="G96" i="12"/>
  <c r="N96" i="12" s="1"/>
  <c r="H96" i="12"/>
  <c r="I96" i="12"/>
  <c r="J96" i="12"/>
  <c r="K96" i="12"/>
  <c r="L96" i="12"/>
  <c r="M96" i="12"/>
  <c r="G97" i="12"/>
  <c r="N97" i="12" s="1"/>
  <c r="H97" i="12"/>
  <c r="I97" i="12"/>
  <c r="J97" i="12"/>
  <c r="K97" i="12"/>
  <c r="L97" i="12"/>
  <c r="M97" i="12"/>
  <c r="G98" i="12"/>
  <c r="N98" i="12" s="1"/>
  <c r="H98" i="12"/>
  <c r="I98" i="12"/>
  <c r="J98" i="12"/>
  <c r="K98" i="12"/>
  <c r="L98" i="12"/>
  <c r="M98" i="12"/>
  <c r="G99" i="12"/>
  <c r="N99" i="12" s="1"/>
  <c r="H99" i="12"/>
  <c r="I99" i="12"/>
  <c r="J99" i="12"/>
  <c r="K99" i="12"/>
  <c r="L99" i="12"/>
  <c r="M99" i="12"/>
  <c r="G100" i="12"/>
  <c r="N100" i="12" s="1"/>
  <c r="H100" i="12"/>
  <c r="I100" i="12"/>
  <c r="J100" i="12"/>
  <c r="K100" i="12"/>
  <c r="L100" i="12"/>
  <c r="M100" i="12"/>
  <c r="G101" i="12"/>
  <c r="N101" i="12" s="1"/>
  <c r="H101" i="12"/>
  <c r="I101" i="12"/>
  <c r="J101" i="12"/>
  <c r="K101" i="12"/>
  <c r="L101" i="12"/>
  <c r="M101" i="12"/>
  <c r="G102" i="12"/>
  <c r="N102" i="12" s="1"/>
  <c r="H102" i="12"/>
  <c r="I102" i="12"/>
  <c r="J102" i="12"/>
  <c r="K102" i="12"/>
  <c r="L102" i="12"/>
  <c r="M102" i="12"/>
  <c r="G103" i="12"/>
  <c r="N103" i="12" s="1"/>
  <c r="H103" i="12"/>
  <c r="I103" i="12"/>
  <c r="J103" i="12"/>
  <c r="K103" i="12"/>
  <c r="L103" i="12"/>
  <c r="M103" i="12"/>
  <c r="G104" i="12"/>
  <c r="N104" i="12" s="1"/>
  <c r="H104" i="12"/>
  <c r="I104" i="12"/>
  <c r="J104" i="12"/>
  <c r="K104" i="12"/>
  <c r="L104" i="12"/>
  <c r="M104" i="12"/>
  <c r="G105" i="12"/>
  <c r="N105" i="12" s="1"/>
  <c r="H105" i="12"/>
  <c r="I105" i="12"/>
  <c r="J105" i="12"/>
  <c r="K105" i="12"/>
  <c r="L105" i="12"/>
  <c r="M105" i="12"/>
  <c r="G106" i="12"/>
  <c r="N106" i="12" s="1"/>
  <c r="H106" i="12"/>
  <c r="I106" i="12"/>
  <c r="J106" i="12"/>
  <c r="K106" i="12"/>
  <c r="L106" i="12"/>
  <c r="M106" i="12"/>
  <c r="G107" i="12"/>
  <c r="N107" i="12" s="1"/>
  <c r="H107" i="12"/>
  <c r="I107" i="12"/>
  <c r="J107" i="12"/>
  <c r="K107" i="12"/>
  <c r="L107" i="12"/>
  <c r="M107" i="12"/>
  <c r="G108" i="12"/>
  <c r="N108" i="12" s="1"/>
  <c r="H108" i="12"/>
  <c r="I108" i="12"/>
  <c r="J108" i="12"/>
  <c r="K108" i="12"/>
  <c r="L108" i="12"/>
  <c r="M108" i="12"/>
  <c r="G109" i="12"/>
  <c r="N109" i="12" s="1"/>
  <c r="H109" i="12"/>
  <c r="I109" i="12"/>
  <c r="J109" i="12"/>
  <c r="K109" i="12"/>
  <c r="L109" i="12"/>
  <c r="M109" i="12"/>
  <c r="G110" i="12"/>
  <c r="N110" i="12" s="1"/>
  <c r="H110" i="12"/>
  <c r="I110" i="12"/>
  <c r="J110" i="12"/>
  <c r="K110" i="12"/>
  <c r="L110" i="12"/>
  <c r="M110" i="12"/>
  <c r="G111" i="12"/>
  <c r="N111" i="12" s="1"/>
  <c r="H111" i="12"/>
  <c r="I111" i="12"/>
  <c r="J111" i="12"/>
  <c r="K111" i="12"/>
  <c r="L111" i="12"/>
  <c r="M111" i="12"/>
  <c r="G112" i="12"/>
  <c r="N112" i="12" s="1"/>
  <c r="H112" i="12"/>
  <c r="I112" i="12"/>
  <c r="J112" i="12"/>
  <c r="K112" i="12"/>
  <c r="L112" i="12"/>
  <c r="M112" i="12"/>
  <c r="G113" i="12"/>
  <c r="N113" i="12" s="1"/>
  <c r="H113" i="12"/>
  <c r="I113" i="12"/>
  <c r="J113" i="12"/>
  <c r="K113" i="12"/>
  <c r="L113" i="12"/>
  <c r="M113" i="12"/>
  <c r="G114" i="12"/>
  <c r="N114" i="12" s="1"/>
  <c r="H114" i="12"/>
  <c r="I114" i="12"/>
  <c r="J114" i="12"/>
  <c r="K114" i="12"/>
  <c r="L114" i="12"/>
  <c r="M114" i="12"/>
  <c r="G115" i="12"/>
  <c r="N115" i="12" s="1"/>
  <c r="H115" i="12"/>
  <c r="I115" i="12"/>
  <c r="J115" i="12"/>
  <c r="K115" i="12"/>
  <c r="L115" i="12"/>
  <c r="M115" i="12"/>
  <c r="G116" i="12"/>
  <c r="N116" i="12" s="1"/>
  <c r="H116" i="12"/>
  <c r="I116" i="12"/>
  <c r="J116" i="12"/>
  <c r="K116" i="12"/>
  <c r="L116" i="12"/>
  <c r="M116" i="12"/>
  <c r="G117" i="12"/>
  <c r="N117" i="12" s="1"/>
  <c r="H117" i="12"/>
  <c r="I117" i="12"/>
  <c r="J117" i="12"/>
  <c r="K117" i="12"/>
  <c r="L117" i="12"/>
  <c r="M117" i="12"/>
  <c r="G118" i="12"/>
  <c r="N118" i="12" s="1"/>
  <c r="H118" i="12"/>
  <c r="I118" i="12"/>
  <c r="J118" i="12"/>
  <c r="K118" i="12"/>
  <c r="L118" i="12"/>
  <c r="M118" i="12"/>
  <c r="G119" i="12"/>
  <c r="N119" i="12" s="1"/>
  <c r="H119" i="12"/>
  <c r="I119" i="12"/>
  <c r="J119" i="12"/>
  <c r="K119" i="12"/>
  <c r="L119" i="12"/>
  <c r="M119" i="12"/>
  <c r="G120" i="12"/>
  <c r="N120" i="12" s="1"/>
  <c r="H120" i="12"/>
  <c r="I120" i="12"/>
  <c r="J120" i="12"/>
  <c r="K120" i="12"/>
  <c r="L120" i="12"/>
  <c r="M120" i="12"/>
  <c r="G121" i="12"/>
  <c r="N121" i="12" s="1"/>
  <c r="H121" i="12"/>
  <c r="I121" i="12"/>
  <c r="J121" i="12"/>
  <c r="K121" i="12"/>
  <c r="L121" i="12"/>
  <c r="M121" i="12"/>
  <c r="G122" i="12"/>
  <c r="N122" i="12" s="1"/>
  <c r="H122" i="12"/>
  <c r="I122" i="12"/>
  <c r="J122" i="12"/>
  <c r="K122" i="12"/>
  <c r="L122" i="12"/>
  <c r="M122" i="12"/>
  <c r="G123" i="12"/>
  <c r="N123" i="12" s="1"/>
  <c r="H123" i="12"/>
  <c r="I123" i="12"/>
  <c r="J123" i="12"/>
  <c r="K123" i="12"/>
  <c r="L123" i="12"/>
  <c r="M123" i="12"/>
  <c r="G124" i="12"/>
  <c r="N124" i="12" s="1"/>
  <c r="H124" i="12"/>
  <c r="I124" i="12"/>
  <c r="J124" i="12"/>
  <c r="K124" i="12"/>
  <c r="L124" i="12"/>
  <c r="M124" i="12"/>
  <c r="G125" i="12"/>
  <c r="N125" i="12" s="1"/>
  <c r="H125" i="12"/>
  <c r="I125" i="12"/>
  <c r="J125" i="12"/>
  <c r="K125" i="12"/>
  <c r="L125" i="12"/>
  <c r="M125" i="12"/>
  <c r="N7" i="12"/>
  <c r="H7" i="12"/>
  <c r="I7" i="12"/>
  <c r="J7" i="12"/>
  <c r="K7" i="12"/>
  <c r="L7" i="12"/>
  <c r="M7" i="12"/>
  <c r="G7" i="12"/>
  <c r="W7" i="12" s="1"/>
  <c r="X7" i="12" s="1"/>
  <c r="Y7" i="12" s="1"/>
  <c r="W7" i="11"/>
  <c r="X7" i="11" s="1"/>
  <c r="Y7" i="11" s="1"/>
  <c r="E7" i="14" l="1"/>
  <c r="E6" i="14"/>
  <c r="D8" i="14"/>
  <c r="N45" i="14"/>
  <c r="E5" i="14"/>
  <c r="M16" i="14"/>
  <c r="O53" i="11"/>
  <c r="O154" i="11"/>
  <c r="O155" i="11"/>
  <c r="O156" i="11"/>
  <c r="O157" i="11"/>
  <c r="O158" i="11"/>
  <c r="O54" i="11"/>
  <c r="O87" i="11"/>
  <c r="O88" i="11"/>
  <c r="O89" i="11"/>
  <c r="O55" i="11"/>
  <c r="O159" i="11"/>
  <c r="O160" i="11"/>
  <c r="O161" i="11"/>
  <c r="O56" i="11"/>
  <c r="O162" i="11"/>
  <c r="O57" i="11"/>
  <c r="O164" i="11"/>
  <c r="O90" i="11"/>
  <c r="O58" i="11"/>
  <c r="O59" i="11"/>
  <c r="O60" i="11"/>
  <c r="O61" i="11"/>
  <c r="O62" i="11"/>
  <c r="O165" i="11"/>
  <c r="O63" i="11"/>
  <c r="O91" i="11"/>
  <c r="O166" i="11"/>
  <c r="O167" i="11"/>
  <c r="O64" i="11"/>
  <c r="O8" i="11"/>
  <c r="O93" i="11"/>
  <c r="O9" i="11"/>
  <c r="O94" i="11"/>
  <c r="O95" i="11"/>
  <c r="O10" i="11"/>
  <c r="O11" i="11"/>
  <c r="O96" i="11"/>
  <c r="O12" i="11"/>
  <c r="O13" i="11"/>
  <c r="O97" i="11"/>
  <c r="O98" i="11"/>
  <c r="O66" i="11"/>
  <c r="O99" i="11"/>
  <c r="O100" i="11"/>
  <c r="O14" i="11"/>
  <c r="O101" i="11"/>
  <c r="O67" i="11"/>
  <c r="O15" i="11"/>
  <c r="O102" i="11"/>
  <c r="O68" i="11"/>
  <c r="O16" i="11"/>
  <c r="O17" i="11"/>
  <c r="O18" i="11"/>
  <c r="O19" i="11"/>
  <c r="O103" i="11"/>
  <c r="O20" i="11"/>
  <c r="O69" i="11"/>
  <c r="O21" i="11"/>
  <c r="O70" i="11"/>
  <c r="O71" i="11"/>
  <c r="O104" i="11"/>
  <c r="O72" i="11"/>
  <c r="O105" i="11"/>
  <c r="O73" i="11"/>
  <c r="O23" i="11"/>
  <c r="O106" i="11"/>
  <c r="O24" i="11"/>
  <c r="O74" i="11"/>
  <c r="O27" i="11"/>
  <c r="O107" i="11"/>
  <c r="O108" i="11"/>
  <c r="O109" i="11"/>
  <c r="O110" i="11"/>
  <c r="O112" i="11"/>
  <c r="O75" i="11"/>
  <c r="O113" i="11"/>
  <c r="O114" i="11"/>
  <c r="O76" i="11"/>
  <c r="O115" i="11"/>
  <c r="O28" i="11"/>
  <c r="O117" i="11"/>
  <c r="O77" i="11"/>
  <c r="O118" i="11"/>
  <c r="O29" i="11"/>
  <c r="O119" i="11"/>
  <c r="O120" i="11"/>
  <c r="O30" i="11"/>
  <c r="O31" i="11"/>
  <c r="O32" i="11"/>
  <c r="O79" i="11"/>
  <c r="O122" i="11"/>
  <c r="O123" i="11"/>
  <c r="O33" i="11"/>
  <c r="O126" i="11"/>
  <c r="O127" i="11"/>
  <c r="O34" i="11"/>
  <c r="O80" i="11"/>
  <c r="O128" i="11"/>
  <c r="O35" i="11"/>
  <c r="O129" i="11"/>
  <c r="O37" i="11"/>
  <c r="O130" i="11"/>
  <c r="O131" i="11"/>
  <c r="O132" i="11"/>
  <c r="O38" i="11"/>
  <c r="O133" i="11"/>
  <c r="O82" i="11"/>
  <c r="O39" i="11"/>
  <c r="O134" i="11"/>
  <c r="O135" i="11"/>
  <c r="O40" i="11"/>
  <c r="O41" i="11"/>
  <c r="O136" i="11"/>
  <c r="O43" i="11"/>
  <c r="O137" i="11"/>
  <c r="O138" i="11"/>
  <c r="O139" i="11"/>
  <c r="O140" i="11"/>
  <c r="O44" i="11"/>
  <c r="O45" i="11"/>
  <c r="O141" i="11"/>
  <c r="O143" i="11"/>
  <c r="O83" i="11"/>
  <c r="O47" i="11"/>
  <c r="O144" i="11"/>
  <c r="O48" i="11"/>
  <c r="O145" i="11"/>
  <c r="O49" i="11"/>
  <c r="O85" i="11"/>
  <c r="O86" i="11"/>
  <c r="O146" i="11"/>
  <c r="O50" i="11"/>
  <c r="O51" i="11"/>
  <c r="O52" i="11"/>
  <c r="O147" i="11"/>
  <c r="O148" i="11"/>
  <c r="O149" i="11"/>
  <c r="O150" i="11"/>
  <c r="O151" i="11"/>
  <c r="O152" i="11"/>
  <c r="O153" i="11"/>
  <c r="O8" i="12"/>
  <c r="O9" i="12"/>
  <c r="O70" i="12"/>
  <c r="O71" i="12"/>
  <c r="O72" i="12"/>
  <c r="O73" i="12"/>
  <c r="O74" i="12"/>
  <c r="O10" i="12"/>
  <c r="O75" i="12"/>
  <c r="O76" i="12"/>
  <c r="O77" i="12"/>
  <c r="O78" i="12"/>
  <c r="O79" i="12"/>
  <c r="O11" i="12"/>
  <c r="O80" i="12"/>
  <c r="O81" i="12"/>
  <c r="O82" i="12"/>
  <c r="O83" i="12"/>
  <c r="O54" i="12"/>
  <c r="O12" i="12"/>
  <c r="O84" i="12"/>
  <c r="O13" i="12"/>
  <c r="O85" i="12"/>
  <c r="O86" i="12"/>
  <c r="O14" i="12"/>
  <c r="O87" i="12"/>
  <c r="O15" i="12"/>
  <c r="O16" i="12"/>
  <c r="O88" i="12"/>
  <c r="O89" i="12"/>
  <c r="O91" i="12"/>
  <c r="O92" i="12"/>
  <c r="O17" i="12"/>
  <c r="O18" i="12"/>
  <c r="O19" i="12"/>
  <c r="O20" i="12"/>
  <c r="O21" i="12"/>
  <c r="O93" i="12"/>
  <c r="O56" i="12"/>
  <c r="O94" i="12"/>
  <c r="O22" i="12"/>
  <c r="O95" i="12"/>
  <c r="O23" i="12"/>
  <c r="O96" i="12"/>
  <c r="O97" i="12"/>
  <c r="O24" i="12"/>
  <c r="O98" i="12"/>
  <c r="O99" i="12"/>
  <c r="O100" i="12"/>
  <c r="O25" i="12"/>
  <c r="O101" i="12"/>
  <c r="O26" i="12"/>
  <c r="O27" i="12"/>
  <c r="O102" i="12"/>
  <c r="O57" i="12"/>
  <c r="O58" i="12"/>
  <c r="O103" i="12"/>
  <c r="O59" i="12"/>
  <c r="O60" i="12"/>
  <c r="O104" i="12"/>
  <c r="O105" i="12"/>
  <c r="O106" i="12"/>
  <c r="O107" i="12"/>
  <c r="O61" i="12"/>
  <c r="O108" i="12"/>
  <c r="O28" i="12"/>
  <c r="O29" i="12"/>
  <c r="O30" i="12"/>
  <c r="O62" i="12"/>
  <c r="O110" i="12"/>
  <c r="O31" i="12"/>
  <c r="O111" i="12"/>
  <c r="O112" i="12"/>
  <c r="O33" i="12"/>
  <c r="O34" i="12"/>
  <c r="O35" i="12"/>
  <c r="O36" i="12"/>
  <c r="O113" i="12"/>
  <c r="O37" i="12"/>
  <c r="O38" i="12"/>
  <c r="O39" i="12"/>
  <c r="O41" i="12"/>
  <c r="O63" i="12"/>
  <c r="O42" i="12"/>
  <c r="O43" i="12"/>
  <c r="O114" i="12"/>
  <c r="O115" i="12"/>
  <c r="O64" i="12"/>
  <c r="O116" i="12"/>
  <c r="O65" i="12"/>
  <c r="O117" i="12"/>
  <c r="O66" i="12"/>
  <c r="O44" i="12"/>
  <c r="O118" i="12"/>
  <c r="O119" i="12"/>
  <c r="O120" i="12"/>
  <c r="O121" i="12"/>
  <c r="O67" i="12"/>
  <c r="O45" i="12"/>
  <c r="O46" i="12"/>
  <c r="O47" i="12"/>
  <c r="O122" i="12"/>
  <c r="O123" i="12"/>
  <c r="O48" i="12"/>
  <c r="O49" i="12"/>
  <c r="O50" i="12"/>
  <c r="O68" i="12"/>
  <c r="O124" i="12"/>
  <c r="O51" i="12"/>
  <c r="O125" i="12"/>
  <c r="O52" i="12"/>
  <c r="D69" i="12"/>
  <c r="W8" i="12"/>
  <c r="W9" i="12"/>
  <c r="D70" i="12"/>
  <c r="W70" i="12" s="1"/>
  <c r="D71" i="12"/>
  <c r="W71" i="12" s="1"/>
  <c r="D72" i="12"/>
  <c r="W72" i="12" s="1"/>
  <c r="D73" i="12"/>
  <c r="W73" i="12" s="1"/>
  <c r="D74" i="12"/>
  <c r="W74" i="12" s="1"/>
  <c r="X74" i="12" s="1"/>
  <c r="Y74" i="12" s="1"/>
  <c r="W10" i="12"/>
  <c r="D75" i="12"/>
  <c r="W75" i="12" s="1"/>
  <c r="D76" i="12"/>
  <c r="W76" i="12" s="1"/>
  <c r="D77" i="12"/>
  <c r="W77" i="12" s="1"/>
  <c r="D78" i="12"/>
  <c r="W78" i="12" s="1"/>
  <c r="D79" i="12"/>
  <c r="W79" i="12" s="1"/>
  <c r="X79" i="12" s="1"/>
  <c r="Y79" i="12" s="1"/>
  <c r="W11" i="12"/>
  <c r="D80" i="12"/>
  <c r="W80" i="12" s="1"/>
  <c r="D81" i="12"/>
  <c r="W81" i="12" s="1"/>
  <c r="D82" i="12"/>
  <c r="W82" i="12" s="1"/>
  <c r="D83" i="12"/>
  <c r="W83" i="12" s="1"/>
  <c r="W54" i="12"/>
  <c r="W12" i="12"/>
  <c r="D84" i="12"/>
  <c r="W84" i="12" s="1"/>
  <c r="W13" i="12"/>
  <c r="D85" i="12"/>
  <c r="W85" i="12" s="1"/>
  <c r="D86" i="12"/>
  <c r="W86" i="12" s="1"/>
  <c r="W14" i="12"/>
  <c r="D87" i="12"/>
  <c r="W87" i="12" s="1"/>
  <c r="W15" i="12"/>
  <c r="X15" i="12" s="1"/>
  <c r="Y15" i="12" s="1"/>
  <c r="W16" i="12"/>
  <c r="W55" i="12"/>
  <c r="D88" i="12"/>
  <c r="W88" i="12" s="1"/>
  <c r="D89" i="12"/>
  <c r="W89" i="12" s="1"/>
  <c r="D90" i="12"/>
  <c r="W90" i="12" s="1"/>
  <c r="D91" i="12"/>
  <c r="W91" i="12" s="1"/>
  <c r="D92" i="12"/>
  <c r="W92" i="12" s="1"/>
  <c r="W17" i="12"/>
  <c r="X17" i="12" s="1"/>
  <c r="Y17" i="12" s="1"/>
  <c r="W18" i="12"/>
  <c r="X18" i="12" s="1"/>
  <c r="Y18" i="12" s="1"/>
  <c r="W19" i="12"/>
  <c r="W20" i="12"/>
  <c r="W21" i="12"/>
  <c r="D93" i="12"/>
  <c r="W93" i="12" s="1"/>
  <c r="W56" i="12"/>
  <c r="D94" i="12"/>
  <c r="W94" i="12" s="1"/>
  <c r="W22" i="12"/>
  <c r="D95" i="12"/>
  <c r="W95" i="12" s="1"/>
  <c r="W23" i="12"/>
  <c r="D96" i="12"/>
  <c r="W96" i="12" s="1"/>
  <c r="D97" i="12"/>
  <c r="W97" i="12" s="1"/>
  <c r="W24" i="12"/>
  <c r="D98" i="12"/>
  <c r="W98" i="12" s="1"/>
  <c r="D99" i="12"/>
  <c r="W99" i="12" s="1"/>
  <c r="D100" i="12"/>
  <c r="W100" i="12" s="1"/>
  <c r="W25" i="12"/>
  <c r="D101" i="12"/>
  <c r="W101" i="12" s="1"/>
  <c r="W26" i="12"/>
  <c r="X26" i="12" s="1"/>
  <c r="Y26" i="12" s="1"/>
  <c r="W27" i="12"/>
  <c r="D102" i="12"/>
  <c r="W102" i="12" s="1"/>
  <c r="W57" i="12"/>
  <c r="W58" i="12"/>
  <c r="D103" i="12"/>
  <c r="W103" i="12" s="1"/>
  <c r="W59" i="12"/>
  <c r="W60" i="12"/>
  <c r="D104" i="12"/>
  <c r="W104" i="12" s="1"/>
  <c r="D105" i="12"/>
  <c r="W105" i="12" s="1"/>
  <c r="X105" i="12" s="1"/>
  <c r="Y105" i="12" s="1"/>
  <c r="D106" i="12"/>
  <c r="W106" i="12" s="1"/>
  <c r="D107" i="12"/>
  <c r="W107" i="12" s="1"/>
  <c r="W61" i="12"/>
  <c r="D108" i="12"/>
  <c r="W108" i="12" s="1"/>
  <c r="W28" i="12"/>
  <c r="W29" i="12"/>
  <c r="W30" i="12"/>
  <c r="D109" i="12"/>
  <c r="W109" i="12" s="1"/>
  <c r="X109" i="12" s="1"/>
  <c r="Y109" i="12" s="1"/>
  <c r="W62" i="12"/>
  <c r="D110" i="12"/>
  <c r="W110" i="12" s="1"/>
  <c r="W31" i="12"/>
  <c r="D111" i="12"/>
  <c r="W111" i="12" s="1"/>
  <c r="D112" i="12"/>
  <c r="W112" i="12" s="1"/>
  <c r="W32" i="12"/>
  <c r="X32" i="12" s="1"/>
  <c r="Y32" i="12" s="1"/>
  <c r="W33" i="12"/>
  <c r="W34" i="12"/>
  <c r="W35" i="12"/>
  <c r="W36" i="12"/>
  <c r="D113" i="12"/>
  <c r="W113" i="12" s="1"/>
  <c r="W37" i="12"/>
  <c r="W38" i="12"/>
  <c r="W39" i="12"/>
  <c r="W40" i="12"/>
  <c r="W41" i="12"/>
  <c r="W63" i="12"/>
  <c r="W42" i="12"/>
  <c r="W43" i="12"/>
  <c r="D114" i="12"/>
  <c r="W114" i="12" s="1"/>
  <c r="D115" i="12"/>
  <c r="W115" i="12" s="1"/>
  <c r="W64" i="12"/>
  <c r="D116" i="12"/>
  <c r="W116" i="12" s="1"/>
  <c r="W65" i="12"/>
  <c r="D117" i="12"/>
  <c r="W117" i="12" s="1"/>
  <c r="W66" i="12"/>
  <c r="W44" i="12"/>
  <c r="D118" i="12"/>
  <c r="W118" i="12" s="1"/>
  <c r="D119" i="12"/>
  <c r="W119" i="12" s="1"/>
  <c r="D120" i="12"/>
  <c r="W120" i="12" s="1"/>
  <c r="D121" i="12"/>
  <c r="W121" i="12" s="1"/>
  <c r="W67" i="12"/>
  <c r="W45" i="12"/>
  <c r="W46" i="12"/>
  <c r="W47" i="12"/>
  <c r="D122" i="12"/>
  <c r="W122" i="12" s="1"/>
  <c r="D123" i="12"/>
  <c r="W123" i="12" s="1"/>
  <c r="W48" i="12"/>
  <c r="W49" i="12"/>
  <c r="X49" i="12" s="1"/>
  <c r="Y49" i="12" s="1"/>
  <c r="W50" i="12"/>
  <c r="W68" i="12"/>
  <c r="D124" i="12"/>
  <c r="W124" i="12" s="1"/>
  <c r="W51" i="12"/>
  <c r="D125" i="12"/>
  <c r="W125" i="12" s="1"/>
  <c r="W52" i="12"/>
  <c r="X52" i="12" s="1"/>
  <c r="Y52" i="12" s="1"/>
  <c r="A123" i="12"/>
  <c r="A121" i="12"/>
  <c r="D92" i="11"/>
  <c r="W8" i="11"/>
  <c r="D93" i="11"/>
  <c r="W93" i="11" s="1"/>
  <c r="W9" i="11"/>
  <c r="D94" i="11"/>
  <c r="W94" i="11" s="1"/>
  <c r="X94" i="11" s="1"/>
  <c r="Y94" i="11" s="1"/>
  <c r="D95" i="11"/>
  <c r="W95" i="11" s="1"/>
  <c r="W10" i="11"/>
  <c r="X10" i="11" s="1"/>
  <c r="Y10" i="11" s="1"/>
  <c r="W11" i="11"/>
  <c r="D96" i="11"/>
  <c r="W96" i="11" s="1"/>
  <c r="W12" i="11"/>
  <c r="W13" i="11"/>
  <c r="D97" i="11"/>
  <c r="W97" i="11" s="1"/>
  <c r="D98" i="11"/>
  <c r="W98" i="11" s="1"/>
  <c r="W66" i="11"/>
  <c r="X66" i="11" s="1"/>
  <c r="Y66" i="11" s="1"/>
  <c r="D99" i="11"/>
  <c r="W99" i="11" s="1"/>
  <c r="D100" i="11"/>
  <c r="W100" i="11" s="1"/>
  <c r="W14" i="11"/>
  <c r="D101" i="11"/>
  <c r="W101" i="11" s="1"/>
  <c r="X101" i="11" s="1"/>
  <c r="Y101" i="11" s="1"/>
  <c r="W67" i="11"/>
  <c r="W15" i="11"/>
  <c r="X15" i="11" s="1"/>
  <c r="Y15" i="11" s="1"/>
  <c r="D102" i="11"/>
  <c r="W102" i="11" s="1"/>
  <c r="W68" i="11"/>
  <c r="W16" i="11"/>
  <c r="W17" i="11"/>
  <c r="W18" i="11"/>
  <c r="W19" i="11"/>
  <c r="X19" i="11" s="1"/>
  <c r="Y19" i="11" s="1"/>
  <c r="D103" i="11"/>
  <c r="W103" i="11" s="1"/>
  <c r="W20" i="11"/>
  <c r="X20" i="11" s="1"/>
  <c r="Y20" i="11" s="1"/>
  <c r="W69" i="11"/>
  <c r="W21" i="11"/>
  <c r="W70" i="11"/>
  <c r="W71" i="11"/>
  <c r="W22" i="11"/>
  <c r="D104" i="11"/>
  <c r="W104" i="11" s="1"/>
  <c r="W72" i="11"/>
  <c r="D105" i="11"/>
  <c r="W105" i="11" s="1"/>
  <c r="W73" i="11"/>
  <c r="W23" i="11"/>
  <c r="X23" i="11" s="1"/>
  <c r="Y23" i="11" s="1"/>
  <c r="D106" i="11"/>
  <c r="W106" i="11" s="1"/>
  <c r="W24" i="11"/>
  <c r="W25" i="11"/>
  <c r="W74" i="11"/>
  <c r="X74" i="11" s="1"/>
  <c r="Y74" i="11" s="1"/>
  <c r="W26" i="11"/>
  <c r="W27" i="11"/>
  <c r="D107" i="11"/>
  <c r="W107" i="11" s="1"/>
  <c r="D108" i="11"/>
  <c r="W108" i="11" s="1"/>
  <c r="X108" i="11" s="1"/>
  <c r="Y108" i="11" s="1"/>
  <c r="D109" i="11"/>
  <c r="W109" i="11" s="1"/>
  <c r="D110" i="11"/>
  <c r="W110" i="11" s="1"/>
  <c r="D111" i="11"/>
  <c r="W111" i="11" s="1"/>
  <c r="D112" i="11"/>
  <c r="W112" i="11" s="1"/>
  <c r="W75" i="11"/>
  <c r="D113" i="11"/>
  <c r="W113" i="11" s="1"/>
  <c r="D114" i="11"/>
  <c r="W114" i="11" s="1"/>
  <c r="W76" i="11"/>
  <c r="D115" i="11"/>
  <c r="W115" i="11" s="1"/>
  <c r="W28" i="11"/>
  <c r="D116" i="11"/>
  <c r="W116" i="11" s="1"/>
  <c r="D117" i="11"/>
  <c r="W117" i="11" s="1"/>
  <c r="W77" i="11"/>
  <c r="D118" i="11"/>
  <c r="W118" i="11" s="1"/>
  <c r="X118" i="11" s="1"/>
  <c r="Y118" i="11" s="1"/>
  <c r="W29" i="11"/>
  <c r="D119" i="11"/>
  <c r="W119" i="11" s="1"/>
  <c r="D120" i="11"/>
  <c r="W120" i="11" s="1"/>
  <c r="W30" i="11"/>
  <c r="W78" i="11"/>
  <c r="W31" i="11"/>
  <c r="W32" i="11"/>
  <c r="D121" i="11"/>
  <c r="W121" i="11" s="1"/>
  <c r="W79" i="11"/>
  <c r="D122" i="11"/>
  <c r="W122" i="11" s="1"/>
  <c r="X122" i="11" s="1"/>
  <c r="Y122" i="11" s="1"/>
  <c r="D123" i="11"/>
  <c r="W123" i="11" s="1"/>
  <c r="W33" i="11"/>
  <c r="D124" i="11"/>
  <c r="W124" i="11" s="1"/>
  <c r="D125" i="11"/>
  <c r="W125" i="11" s="1"/>
  <c r="D126" i="11"/>
  <c r="W126" i="11" s="1"/>
  <c r="D127" i="11"/>
  <c r="W127" i="11" s="1"/>
  <c r="W34" i="11"/>
  <c r="W80" i="11"/>
  <c r="D128" i="11"/>
  <c r="W128" i="11" s="1"/>
  <c r="W35" i="11"/>
  <c r="W36" i="11"/>
  <c r="D129" i="11"/>
  <c r="W129" i="11" s="1"/>
  <c r="W37" i="11"/>
  <c r="D130" i="11"/>
  <c r="W130" i="11" s="1"/>
  <c r="D131" i="11"/>
  <c r="W131" i="11" s="1"/>
  <c r="D132" i="11"/>
  <c r="W132" i="11" s="1"/>
  <c r="X132" i="11" s="1"/>
  <c r="Y132" i="11" s="1"/>
  <c r="W38" i="11"/>
  <c r="D133" i="11"/>
  <c r="W133" i="11" s="1"/>
  <c r="W81" i="11"/>
  <c r="W82" i="11"/>
  <c r="W39" i="11"/>
  <c r="D134" i="11"/>
  <c r="W134" i="11" s="1"/>
  <c r="X134" i="11" s="1"/>
  <c r="Y134" i="11" s="1"/>
  <c r="D135" i="11"/>
  <c r="W135" i="11" s="1"/>
  <c r="W40" i="11"/>
  <c r="W41" i="11"/>
  <c r="D136" i="11"/>
  <c r="W136" i="11" s="1"/>
  <c r="W42" i="11"/>
  <c r="W43" i="11"/>
  <c r="D137" i="11"/>
  <c r="W137" i="11" s="1"/>
  <c r="D138" i="11"/>
  <c r="W138" i="11" s="1"/>
  <c r="X138" i="11" s="1"/>
  <c r="Y138" i="11" s="1"/>
  <c r="D139" i="11"/>
  <c r="W139" i="11" s="1"/>
  <c r="D140" i="11"/>
  <c r="W140" i="11" s="1"/>
  <c r="X140" i="11" s="1"/>
  <c r="Y140" i="11" s="1"/>
  <c r="W44" i="11"/>
  <c r="W45" i="11"/>
  <c r="W46" i="11"/>
  <c r="D141" i="11"/>
  <c r="W141" i="11" s="1"/>
  <c r="D142" i="11"/>
  <c r="W142" i="11" s="1"/>
  <c r="D143" i="11"/>
  <c r="W143" i="11" s="1"/>
  <c r="W83" i="11"/>
  <c r="W47" i="11"/>
  <c r="X47" i="11" s="1"/>
  <c r="Y47" i="11" s="1"/>
  <c r="D144" i="11"/>
  <c r="W144" i="11" s="1"/>
  <c r="W48" i="11"/>
  <c r="W84" i="11"/>
  <c r="D145" i="11"/>
  <c r="W145" i="11" s="1"/>
  <c r="W49" i="11"/>
  <c r="W85" i="11"/>
  <c r="X85" i="11" s="1"/>
  <c r="Y85" i="11" s="1"/>
  <c r="W86" i="11"/>
  <c r="D146" i="11"/>
  <c r="W146" i="11" s="1"/>
  <c r="W50" i="11"/>
  <c r="W51" i="11"/>
  <c r="W52" i="11"/>
  <c r="D147" i="11"/>
  <c r="W147" i="11" s="1"/>
  <c r="D148" i="11"/>
  <c r="W148" i="11" s="1"/>
  <c r="D149" i="11"/>
  <c r="W149" i="11" s="1"/>
  <c r="X149" i="11" s="1"/>
  <c r="Y149" i="11" s="1"/>
  <c r="D150" i="11"/>
  <c r="W150" i="11" s="1"/>
  <c r="D151" i="11"/>
  <c r="W151" i="11" s="1"/>
  <c r="D152" i="11"/>
  <c r="W152" i="11" s="1"/>
  <c r="D153" i="11"/>
  <c r="W153" i="11" s="1"/>
  <c r="W53" i="11"/>
  <c r="D154" i="11"/>
  <c r="W154" i="11" s="1"/>
  <c r="X154" i="11" s="1"/>
  <c r="Y154" i="11" s="1"/>
  <c r="D155" i="11"/>
  <c r="W155" i="11" s="1"/>
  <c r="D156" i="11"/>
  <c r="W156" i="11" s="1"/>
  <c r="D157" i="11"/>
  <c r="W157" i="11" s="1"/>
  <c r="X157" i="11" s="1"/>
  <c r="Y157" i="11" s="1"/>
  <c r="D158" i="11"/>
  <c r="W158" i="11" s="1"/>
  <c r="W54" i="11"/>
  <c r="W87" i="11"/>
  <c r="W88" i="11"/>
  <c r="X88" i="11" s="1"/>
  <c r="Y88" i="11" s="1"/>
  <c r="W89" i="11"/>
  <c r="W55" i="11"/>
  <c r="D159" i="11"/>
  <c r="W159" i="11" s="1"/>
  <c r="D160" i="11"/>
  <c r="W160" i="11" s="1"/>
  <c r="D161" i="11"/>
  <c r="W161" i="11" s="1"/>
  <c r="W56" i="11"/>
  <c r="D162" i="11"/>
  <c r="W162" i="11" s="1"/>
  <c r="D163" i="11"/>
  <c r="W163" i="11" s="1"/>
  <c r="W57" i="11"/>
  <c r="D164" i="11"/>
  <c r="W164" i="11" s="1"/>
  <c r="W90" i="11"/>
  <c r="W58" i="11"/>
  <c r="W59" i="11"/>
  <c r="W60" i="11"/>
  <c r="W61" i="11"/>
  <c r="W62" i="11"/>
  <c r="D165" i="11"/>
  <c r="W165" i="11" s="1"/>
  <c r="W63" i="11"/>
  <c r="W91" i="11"/>
  <c r="D166" i="11"/>
  <c r="W166" i="11" s="1"/>
  <c r="D167" i="11"/>
  <c r="W167" i="11" s="1"/>
  <c r="W64" i="11"/>
  <c r="A59" i="11"/>
  <c r="A60" i="11" s="1"/>
  <c r="A61" i="11" s="1"/>
  <c r="A62" i="11" s="1"/>
  <c r="A54" i="11"/>
  <c r="A156" i="11"/>
  <c r="X8" i="11" l="1"/>
  <c r="Y8" i="11" s="1"/>
  <c r="C57" i="14"/>
  <c r="E57" i="14" s="1"/>
  <c r="E8" i="14"/>
  <c r="N16" i="14"/>
  <c r="O45" i="14"/>
  <c r="X55" i="12"/>
  <c r="Y55" i="12" s="1"/>
  <c r="X21" i="11"/>
  <c r="Y21" i="11" s="1"/>
  <c r="X54" i="11"/>
  <c r="Y54" i="11" s="1"/>
  <c r="X105" i="11"/>
  <c r="Y105" i="11" s="1"/>
  <c r="X38" i="12"/>
  <c r="Y38" i="12" s="1"/>
  <c r="X95" i="12"/>
  <c r="Y95" i="12" s="1"/>
  <c r="X121" i="12"/>
  <c r="Y121" i="12" s="1"/>
  <c r="X118" i="12"/>
  <c r="Y118" i="12" s="1"/>
  <c r="X114" i="12"/>
  <c r="Y114" i="12" s="1"/>
  <c r="X34" i="12"/>
  <c r="Y34" i="12" s="1"/>
  <c r="X147" i="11"/>
  <c r="Y147" i="11" s="1"/>
  <c r="X141" i="11"/>
  <c r="Y141" i="11" s="1"/>
  <c r="X43" i="11"/>
  <c r="Y43" i="11" s="1"/>
  <c r="X117" i="11"/>
  <c r="Y117" i="11" s="1"/>
  <c r="X13" i="11"/>
  <c r="Y13" i="11" s="1"/>
  <c r="X116" i="12"/>
  <c r="Y116" i="12" s="1"/>
  <c r="X40" i="12"/>
  <c r="Y40" i="12" s="1"/>
  <c r="X163" i="11"/>
  <c r="Y163" i="11" s="1"/>
  <c r="X59" i="12"/>
  <c r="Y59" i="12" s="1"/>
  <c r="W92" i="11"/>
  <c r="C59" i="14" s="1"/>
  <c r="E59" i="14" s="1"/>
  <c r="W53" i="12"/>
  <c r="X53" i="12" s="1"/>
  <c r="Y53" i="12" s="1"/>
  <c r="O53" i="12"/>
  <c r="O92" i="11"/>
  <c r="X78" i="12"/>
  <c r="Y78" i="12" s="1"/>
  <c r="W69" i="12"/>
  <c r="X69" i="12" s="1"/>
  <c r="Y69" i="12" s="1"/>
  <c r="X28" i="12"/>
  <c r="Y28" i="12" s="1"/>
  <c r="X20" i="12"/>
  <c r="Y20" i="12" s="1"/>
  <c r="X96" i="12"/>
  <c r="Y96" i="12" s="1"/>
  <c r="X21" i="12"/>
  <c r="Y21" i="12" s="1"/>
  <c r="X72" i="12"/>
  <c r="Y72" i="12" s="1"/>
  <c r="O69" i="12"/>
  <c r="X151" i="11"/>
  <c r="Y151" i="11" s="1"/>
  <c r="X146" i="11"/>
  <c r="Y146" i="11" s="1"/>
  <c r="X40" i="11"/>
  <c r="Y40" i="11" s="1"/>
  <c r="X80" i="11"/>
  <c r="Y80" i="11" s="1"/>
  <c r="X31" i="11"/>
  <c r="Y31" i="11" s="1"/>
  <c r="X119" i="11"/>
  <c r="Y119" i="11" s="1"/>
  <c r="X76" i="11"/>
  <c r="Y76" i="11" s="1"/>
  <c r="X104" i="11"/>
  <c r="Y104" i="11" s="1"/>
  <c r="X68" i="11"/>
  <c r="Y68" i="11" s="1"/>
  <c r="X53" i="11"/>
  <c r="Y53" i="11" s="1"/>
  <c r="W65" i="11"/>
  <c r="O40" i="12"/>
  <c r="O109" i="12"/>
  <c r="X100" i="12"/>
  <c r="Y100" i="12" s="1"/>
  <c r="X71" i="12"/>
  <c r="Y71" i="12" s="1"/>
  <c r="O65" i="11"/>
  <c r="O163" i="11"/>
  <c r="X130" i="11"/>
  <c r="Y130" i="11" s="1"/>
  <c r="X98" i="11"/>
  <c r="Y98" i="11" s="1"/>
  <c r="X89" i="11"/>
  <c r="Y89" i="11" s="1"/>
  <c r="X82" i="11"/>
  <c r="Y82" i="11" s="1"/>
  <c r="X9" i="11"/>
  <c r="Y9" i="11" s="1"/>
  <c r="X125" i="11"/>
  <c r="Y125" i="11" s="1"/>
  <c r="X165" i="11"/>
  <c r="Y165" i="11" s="1"/>
  <c r="X62" i="11"/>
  <c r="Y62" i="11" s="1"/>
  <c r="X57" i="11"/>
  <c r="Y57" i="11" s="1"/>
  <c r="X166" i="11"/>
  <c r="Y166" i="11" s="1"/>
  <c r="X58" i="11"/>
  <c r="Y58" i="11" s="1"/>
  <c r="X160" i="11"/>
  <c r="Y160" i="11" s="1"/>
  <c r="X64" i="11"/>
  <c r="Y64" i="11" s="1"/>
  <c r="X63" i="11"/>
  <c r="Y63" i="11" s="1"/>
  <c r="X60" i="11"/>
  <c r="Y60" i="11" s="1"/>
  <c r="X164" i="11"/>
  <c r="Y164" i="11" s="1"/>
  <c r="X56" i="11"/>
  <c r="Y56" i="11" s="1"/>
  <c r="X55" i="11"/>
  <c r="Y55" i="11" s="1"/>
  <c r="X112" i="12"/>
  <c r="Y112" i="12" s="1"/>
  <c r="X62" i="12"/>
  <c r="Y62" i="12" s="1"/>
  <c r="X29" i="12"/>
  <c r="Y29" i="12" s="1"/>
  <c r="X89" i="12"/>
  <c r="Y89" i="12" s="1"/>
  <c r="X16" i="12"/>
  <c r="Y16" i="12" s="1"/>
  <c r="X86" i="12"/>
  <c r="Y86" i="12" s="1"/>
  <c r="X84" i="12"/>
  <c r="Y84" i="12" s="1"/>
  <c r="X37" i="12"/>
  <c r="Y37" i="12" s="1"/>
  <c r="X106" i="12"/>
  <c r="Y106" i="12" s="1"/>
  <c r="X60" i="12"/>
  <c r="Y60" i="12" s="1"/>
  <c r="X22" i="12"/>
  <c r="Y22" i="12" s="1"/>
  <c r="X12" i="12"/>
  <c r="Y12" i="12" s="1"/>
  <c r="X11" i="12"/>
  <c r="Y11" i="12" s="1"/>
  <c r="X73" i="12"/>
  <c r="Y73" i="12" s="1"/>
  <c r="X70" i="12"/>
  <c r="Y70" i="12" s="1"/>
  <c r="X68" i="12"/>
  <c r="Y68" i="12" s="1"/>
  <c r="X48" i="12"/>
  <c r="Y48" i="12" s="1"/>
  <c r="X102" i="12"/>
  <c r="Y102" i="12" s="1"/>
  <c r="X85" i="12"/>
  <c r="Y85" i="12" s="1"/>
  <c r="X75" i="12"/>
  <c r="Y75" i="12" s="1"/>
  <c r="X50" i="12"/>
  <c r="Y50" i="12" s="1"/>
  <c r="X123" i="12"/>
  <c r="Y123" i="12" s="1"/>
  <c r="X45" i="12"/>
  <c r="Y45" i="12" s="1"/>
  <c r="X120" i="12"/>
  <c r="Y120" i="12" s="1"/>
  <c r="X64" i="12"/>
  <c r="Y64" i="12" s="1"/>
  <c r="X33" i="12"/>
  <c r="Y33" i="12" s="1"/>
  <c r="X111" i="12"/>
  <c r="Y111" i="12" s="1"/>
  <c r="X27" i="12"/>
  <c r="Y27" i="12" s="1"/>
  <c r="X101" i="12"/>
  <c r="Y101" i="12" s="1"/>
  <c r="X88" i="12"/>
  <c r="Y88" i="12" s="1"/>
  <c r="X119" i="12"/>
  <c r="Y119" i="12" s="1"/>
  <c r="X117" i="12"/>
  <c r="Y117" i="12" s="1"/>
  <c r="X115" i="12"/>
  <c r="Y115" i="12" s="1"/>
  <c r="X63" i="12"/>
  <c r="Y63" i="12" s="1"/>
  <c r="X30" i="12"/>
  <c r="Y30" i="12" s="1"/>
  <c r="X108" i="12"/>
  <c r="Y108" i="12" s="1"/>
  <c r="X25" i="12"/>
  <c r="Y25" i="12" s="1"/>
  <c r="X24" i="12"/>
  <c r="Y24" i="12" s="1"/>
  <c r="X13" i="12"/>
  <c r="Y13" i="12" s="1"/>
  <c r="X54" i="12"/>
  <c r="Y54" i="12" s="1"/>
  <c r="X81" i="12"/>
  <c r="Y81" i="12" s="1"/>
  <c r="X10" i="12"/>
  <c r="Y10" i="12" s="1"/>
  <c r="X8" i="12"/>
  <c r="Y8" i="12" s="1"/>
  <c r="X125" i="12"/>
  <c r="Y125" i="12" s="1"/>
  <c r="X67" i="12"/>
  <c r="Y67" i="12" s="1"/>
  <c r="X41" i="12"/>
  <c r="Y41" i="12" s="1"/>
  <c r="X39" i="12"/>
  <c r="Y39" i="12" s="1"/>
  <c r="X104" i="12"/>
  <c r="Y104" i="12" s="1"/>
  <c r="X103" i="12"/>
  <c r="Y103" i="12" s="1"/>
  <c r="X97" i="12"/>
  <c r="Y97" i="12" s="1"/>
  <c r="X23" i="12"/>
  <c r="Y23" i="12" s="1"/>
  <c r="X80" i="12"/>
  <c r="Y80" i="12" s="1"/>
  <c r="X90" i="12"/>
  <c r="Y90" i="12" s="1"/>
  <c r="X122" i="12"/>
  <c r="Y122" i="12" s="1"/>
  <c r="X65" i="12"/>
  <c r="Y65" i="12" s="1"/>
  <c r="X35" i="12"/>
  <c r="Y35" i="12" s="1"/>
  <c r="O32" i="12"/>
  <c r="X93" i="12"/>
  <c r="Y93" i="12" s="1"/>
  <c r="X19" i="12"/>
  <c r="Y19" i="12" s="1"/>
  <c r="O90" i="12"/>
  <c r="O55" i="12"/>
  <c r="X155" i="11"/>
  <c r="Y155" i="11" s="1"/>
  <c r="X121" i="11"/>
  <c r="Y121" i="11" s="1"/>
  <c r="X129" i="11"/>
  <c r="Y129" i="11" s="1"/>
  <c r="X61" i="11"/>
  <c r="Y61" i="11" s="1"/>
  <c r="X162" i="11"/>
  <c r="Y162" i="11" s="1"/>
  <c r="X87" i="11"/>
  <c r="Y87" i="11" s="1"/>
  <c r="X167" i="11"/>
  <c r="Y167" i="11" s="1"/>
  <c r="X59" i="11"/>
  <c r="Y59" i="11" s="1"/>
  <c r="X161" i="11"/>
  <c r="Y161" i="11" s="1"/>
  <c r="X158" i="11"/>
  <c r="Y158" i="11" s="1"/>
  <c r="X91" i="11"/>
  <c r="Y91" i="11" s="1"/>
  <c r="X90" i="11"/>
  <c r="Y90" i="11" s="1"/>
  <c r="X159" i="11"/>
  <c r="Y159" i="11" s="1"/>
  <c r="X156" i="11"/>
  <c r="Y156" i="11" s="1"/>
  <c r="X113" i="11"/>
  <c r="Y113" i="11" s="1"/>
  <c r="X127" i="11"/>
  <c r="Y127" i="11" s="1"/>
  <c r="X142" i="11"/>
  <c r="Y142" i="11" s="1"/>
  <c r="X26" i="11"/>
  <c r="Y26" i="11" s="1"/>
  <c r="X25" i="11"/>
  <c r="Y25" i="11" s="1"/>
  <c r="X84" i="11"/>
  <c r="Y84" i="11" s="1"/>
  <c r="O142" i="11"/>
  <c r="X137" i="11"/>
  <c r="Y137" i="11" s="1"/>
  <c r="O125" i="11"/>
  <c r="O121" i="11"/>
  <c r="X111" i="11"/>
  <c r="Y111" i="11" s="1"/>
  <c r="O26" i="11"/>
  <c r="X72" i="11"/>
  <c r="Y72" i="11" s="1"/>
  <c r="X93" i="11"/>
  <c r="Y93" i="11" s="1"/>
  <c r="X49" i="11"/>
  <c r="Y49" i="11" s="1"/>
  <c r="X78" i="11"/>
  <c r="Y78" i="11" s="1"/>
  <c r="X75" i="11"/>
  <c r="Y75" i="11" s="1"/>
  <c r="X148" i="11"/>
  <c r="Y148" i="11" s="1"/>
  <c r="X145" i="11"/>
  <c r="Y145" i="11" s="1"/>
  <c r="X143" i="11"/>
  <c r="Y143" i="11" s="1"/>
  <c r="X124" i="11"/>
  <c r="Y124" i="11" s="1"/>
  <c r="X77" i="11"/>
  <c r="Y77" i="11" s="1"/>
  <c r="X112" i="11"/>
  <c r="Y112" i="11" s="1"/>
  <c r="X27" i="11"/>
  <c r="Y27" i="11" s="1"/>
  <c r="X116" i="11"/>
  <c r="Y116" i="11" s="1"/>
  <c r="X36" i="11"/>
  <c r="Y36" i="11" s="1"/>
  <c r="X32" i="11"/>
  <c r="Y32" i="11" s="1"/>
  <c r="X18" i="11"/>
  <c r="Y18" i="11" s="1"/>
  <c r="X14" i="11"/>
  <c r="Y14" i="11" s="1"/>
  <c r="X12" i="11"/>
  <c r="Y12" i="11" s="1"/>
  <c r="X81" i="11"/>
  <c r="Y81" i="11" s="1"/>
  <c r="X126" i="11"/>
  <c r="Y126" i="11" s="1"/>
  <c r="X42" i="11"/>
  <c r="Y42" i="11" s="1"/>
  <c r="X37" i="11"/>
  <c r="Y37" i="11" s="1"/>
  <c r="X22" i="11"/>
  <c r="Y22" i="11" s="1"/>
  <c r="X46" i="11"/>
  <c r="Y46" i="11" s="1"/>
  <c r="X39" i="11"/>
  <c r="Y39" i="11" s="1"/>
  <c r="X103" i="11"/>
  <c r="Y103" i="11" s="1"/>
  <c r="X67" i="11"/>
  <c r="Y67" i="11" s="1"/>
  <c r="X97" i="11"/>
  <c r="Y97" i="11" s="1"/>
  <c r="X52" i="11"/>
  <c r="Y52" i="11" s="1"/>
  <c r="X152" i="11"/>
  <c r="Y152" i="11" s="1"/>
  <c r="X50" i="11"/>
  <c r="Y50" i="11" s="1"/>
  <c r="O84" i="11"/>
  <c r="X144" i="11"/>
  <c r="Y144" i="11" s="1"/>
  <c r="O46" i="11"/>
  <c r="X44" i="11"/>
  <c r="Y44" i="11" s="1"/>
  <c r="O42" i="11"/>
  <c r="X41" i="11"/>
  <c r="Y41" i="11" s="1"/>
  <c r="O81" i="11"/>
  <c r="X38" i="11"/>
  <c r="Y38" i="11" s="1"/>
  <c r="O36" i="11"/>
  <c r="X128" i="11"/>
  <c r="Y128" i="11" s="1"/>
  <c r="O124" i="11"/>
  <c r="X123" i="11"/>
  <c r="Y123" i="11" s="1"/>
  <c r="O78" i="11"/>
  <c r="X120" i="11"/>
  <c r="Y120" i="11" s="1"/>
  <c r="O116" i="11"/>
  <c r="X115" i="11"/>
  <c r="Y115" i="11" s="1"/>
  <c r="O111" i="11"/>
  <c r="X109" i="11"/>
  <c r="Y109" i="11" s="1"/>
  <c r="O25" i="11"/>
  <c r="X106" i="11"/>
  <c r="Y106" i="11" s="1"/>
  <c r="O22" i="11"/>
  <c r="X70" i="11"/>
  <c r="Y70" i="11" s="1"/>
  <c r="X16" i="11"/>
  <c r="Y16" i="11" s="1"/>
  <c r="X99" i="11"/>
  <c r="Y99" i="11" s="1"/>
  <c r="X11" i="11"/>
  <c r="Y11" i="11" s="1"/>
  <c r="X150" i="11"/>
  <c r="Y150" i="11" s="1"/>
  <c r="X86" i="11"/>
  <c r="Y86" i="11" s="1"/>
  <c r="X83" i="11"/>
  <c r="Y83" i="11" s="1"/>
  <c r="X139" i="11"/>
  <c r="Y139" i="11" s="1"/>
  <c r="X135" i="11"/>
  <c r="Y135" i="11" s="1"/>
  <c r="X131" i="11"/>
  <c r="Y131" i="11" s="1"/>
  <c r="X34" i="11"/>
  <c r="Y34" i="11" s="1"/>
  <c r="X79" i="11"/>
  <c r="Y79" i="11" s="1"/>
  <c r="X29" i="11"/>
  <c r="Y29" i="11" s="1"/>
  <c r="X114" i="11"/>
  <c r="Y114" i="11" s="1"/>
  <c r="X107" i="11"/>
  <c r="Y107" i="11" s="1"/>
  <c r="X73" i="11"/>
  <c r="Y73" i="11" s="1"/>
  <c r="X69" i="11"/>
  <c r="Y69" i="11" s="1"/>
  <c r="X102" i="11"/>
  <c r="Y102" i="11" s="1"/>
  <c r="X95" i="11"/>
  <c r="Y95" i="11" s="1"/>
  <c r="X153" i="11"/>
  <c r="Y153" i="11" s="1"/>
  <c r="X51" i="11"/>
  <c r="Y51" i="11" s="1"/>
  <c r="X48" i="11"/>
  <c r="Y48" i="11" s="1"/>
  <c r="X45" i="11"/>
  <c r="Y45" i="11" s="1"/>
  <c r="X136" i="11"/>
  <c r="Y136" i="11" s="1"/>
  <c r="X133" i="11"/>
  <c r="Y133" i="11" s="1"/>
  <c r="X35" i="11"/>
  <c r="Y35" i="11" s="1"/>
  <c r="X33" i="11"/>
  <c r="Y33" i="11" s="1"/>
  <c r="X30" i="11"/>
  <c r="Y30" i="11" s="1"/>
  <c r="X28" i="11"/>
  <c r="Y28" i="11" s="1"/>
  <c r="X110" i="11"/>
  <c r="Y110" i="11" s="1"/>
  <c r="X24" i="11"/>
  <c r="Y24" i="11" s="1"/>
  <c r="X71" i="11"/>
  <c r="Y71" i="11" s="1"/>
  <c r="X17" i="11"/>
  <c r="Y17" i="11" s="1"/>
  <c r="X100" i="11"/>
  <c r="Y100" i="11" s="1"/>
  <c r="X96" i="11"/>
  <c r="Y96" i="11" s="1"/>
  <c r="X92" i="11"/>
  <c r="Y92" i="11" s="1"/>
  <c r="O7" i="11"/>
  <c r="X124" i="12"/>
  <c r="Y124" i="12" s="1"/>
  <c r="X46" i="12"/>
  <c r="Y46" i="12" s="1"/>
  <c r="X66" i="12"/>
  <c r="Y66" i="12" s="1"/>
  <c r="X42" i="12"/>
  <c r="Y42" i="12" s="1"/>
  <c r="X36" i="12"/>
  <c r="Y36" i="12" s="1"/>
  <c r="X110" i="12"/>
  <c r="Y110" i="12" s="1"/>
  <c r="X107" i="12"/>
  <c r="Y107" i="12" s="1"/>
  <c r="X57" i="12"/>
  <c r="Y57" i="12" s="1"/>
  <c r="X98" i="12"/>
  <c r="Y98" i="12" s="1"/>
  <c r="X56" i="12"/>
  <c r="Y56" i="12" s="1"/>
  <c r="X91" i="12"/>
  <c r="Y91" i="12" s="1"/>
  <c r="X14" i="12"/>
  <c r="Y14" i="12" s="1"/>
  <c r="X82" i="12"/>
  <c r="Y82" i="12" s="1"/>
  <c r="X76" i="12"/>
  <c r="Y76" i="12" s="1"/>
  <c r="X9" i="12"/>
  <c r="Y9" i="12" s="1"/>
  <c r="X47" i="12"/>
  <c r="Y47" i="12" s="1"/>
  <c r="X44" i="12"/>
  <c r="Y44" i="12" s="1"/>
  <c r="X43" i="12"/>
  <c r="Y43" i="12" s="1"/>
  <c r="X113" i="12"/>
  <c r="Y113" i="12" s="1"/>
  <c r="X31" i="12"/>
  <c r="Y31" i="12" s="1"/>
  <c r="X61" i="12"/>
  <c r="Y61" i="12" s="1"/>
  <c r="X58" i="12"/>
  <c r="Y58" i="12" s="1"/>
  <c r="X99" i="12"/>
  <c r="Y99" i="12" s="1"/>
  <c r="X94" i="12"/>
  <c r="Y94" i="12" s="1"/>
  <c r="X92" i="12"/>
  <c r="Y92" i="12" s="1"/>
  <c r="X87" i="12"/>
  <c r="Y87" i="12" s="1"/>
  <c r="X83" i="12"/>
  <c r="Y83" i="12" s="1"/>
  <c r="X77" i="12"/>
  <c r="Y77" i="12" s="1"/>
  <c r="X51" i="12"/>
  <c r="Y51" i="12" s="1"/>
  <c r="O7" i="12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X65" i="11" l="1"/>
  <c r="Y65" i="11" s="1"/>
  <c r="N41" i="14" s="1"/>
  <c r="P41" i="14" s="1"/>
  <c r="C58" i="14"/>
  <c r="E58" i="14" s="1"/>
  <c r="C60" i="14"/>
  <c r="N44" i="14"/>
  <c r="P44" i="14" s="1"/>
  <c r="N42" i="14"/>
  <c r="P42" i="14" s="1"/>
  <c r="A30" i="5"/>
  <c r="A48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17" i="5"/>
  <c r="A18" i="5" s="1"/>
  <c r="A19" i="5" s="1"/>
  <c r="A20" i="5" s="1"/>
  <c r="A21" i="5" s="1"/>
  <c r="A22" i="5" s="1"/>
  <c r="A23" i="5" s="1"/>
  <c r="A24" i="5" s="1"/>
  <c r="A25" i="5" s="1"/>
  <c r="A34" i="5"/>
  <c r="A9" i="5" s="1"/>
  <c r="A10" i="5" s="1"/>
  <c r="A11" i="5" s="1"/>
  <c r="A35" i="5" s="1"/>
  <c r="A36" i="5" s="1"/>
  <c r="A37" i="5" s="1"/>
  <c r="A38" i="5" s="1"/>
  <c r="A39" i="5" s="1"/>
  <c r="A40" i="5" s="1"/>
  <c r="A12" i="5" s="1"/>
  <c r="A42" i="5" s="1"/>
  <c r="A43" i="5" s="1"/>
  <c r="A13" i="5" s="1"/>
  <c r="A14" i="5" s="1"/>
  <c r="A15" i="5" s="1"/>
  <c r="N43" i="14" l="1"/>
  <c r="P43" i="14" s="1"/>
  <c r="A44" i="5"/>
  <c r="A45" i="5" s="1"/>
  <c r="A9" i="1" l="1"/>
  <c r="A9" i="3" l="1"/>
  <c r="A10" i="3" s="1"/>
  <c r="A11" i="3" s="1"/>
  <c r="A12" i="3" s="1"/>
  <c r="A13" i="3" s="1"/>
  <c r="A36" i="3" s="1"/>
  <c r="A37" i="3" s="1"/>
  <c r="A14" i="3" s="1"/>
  <c r="A15" i="3" s="1"/>
  <c r="A16" i="3" s="1"/>
  <c r="A38" i="3" s="1"/>
  <c r="A17" i="3" s="1"/>
  <c r="A39" i="3" s="1"/>
  <c r="A18" i="3" s="1"/>
  <c r="A19" i="3" s="1"/>
  <c r="A20" i="3" s="1"/>
  <c r="A21" i="3" s="1"/>
  <c r="A22" i="3" s="1"/>
  <c r="A24" i="3" s="1"/>
  <c r="A25" i="3" s="1"/>
  <c r="A26" i="3" s="1"/>
  <c r="A40" i="3" s="1"/>
  <c r="A41" i="3" s="1"/>
  <c r="A27" i="3" s="1"/>
  <c r="A28" i="3" s="1"/>
  <c r="A29" i="3" s="1"/>
  <c r="A30" i="3" s="1"/>
  <c r="A31" i="3" s="1"/>
  <c r="A32" i="3" s="1"/>
  <c r="A121" i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53" i="12" l="1"/>
  <c r="A54" i="12"/>
  <c r="A55" i="12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8" i="12"/>
  <c r="A9" i="12"/>
  <c r="A10" i="12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9" i="12" s="1"/>
  <c r="A50" i="12" s="1"/>
  <c r="A51" i="12" s="1"/>
  <c r="A124" i="12"/>
  <c r="A125" i="12"/>
  <c r="A159" i="11"/>
  <c r="A160" i="11" s="1"/>
  <c r="A161" i="11" s="1"/>
  <c r="A162" i="11" s="1"/>
  <c r="A163" i="11" s="1"/>
  <c r="A164" i="11" s="1"/>
  <c r="A165" i="11" s="1"/>
  <c r="A166" i="11" s="1"/>
  <c r="A167" i="11" s="1"/>
  <c r="A63" i="11"/>
  <c r="A55" i="11"/>
  <c r="A56" i="11" s="1"/>
  <c r="A57" i="11" s="1"/>
  <c r="A65" i="11"/>
  <c r="A66" i="1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48" i="11"/>
  <c r="A49" i="11" s="1"/>
  <c r="A50" i="11" s="1"/>
  <c r="A51" i="11" s="1"/>
  <c r="A52" i="11"/>
  <c r="A147" i="11"/>
  <c r="A148" i="11" s="1"/>
  <c r="A149" i="11" s="1"/>
  <c r="A150" i="11" s="1"/>
  <c r="A151" i="11" s="1"/>
  <c r="A152" i="11" s="1"/>
  <c r="A9" i="11"/>
  <c r="A10" i="11" s="1"/>
  <c r="A11" i="1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114" i="12" l="1"/>
  <c r="A115" i="12" s="1"/>
  <c r="A116" i="12"/>
  <c r="A117" i="12" s="1"/>
  <c r="A118" i="12" s="1"/>
  <c r="A119" i="12" s="1"/>
</calcChain>
</file>

<file path=xl/sharedStrings.xml><?xml version="1.0" encoding="utf-8"?>
<sst xmlns="http://schemas.openxmlformats.org/spreadsheetml/2006/main" count="1991" uniqueCount="450">
  <si>
    <t>AXLE LOAD SURVEY FORM</t>
  </si>
  <si>
    <t>Date:</t>
  </si>
  <si>
    <t>Station Name:</t>
  </si>
  <si>
    <t>Weather:</t>
  </si>
  <si>
    <t>S/No.</t>
  </si>
  <si>
    <t>Time</t>
  </si>
  <si>
    <t>Reg. Number</t>
  </si>
  <si>
    <t>Number of Axles</t>
  </si>
  <si>
    <t>Axle Configuration</t>
  </si>
  <si>
    <t>Axle Load (Tonnes)</t>
  </si>
  <si>
    <t>Axle 1</t>
  </si>
  <si>
    <t>Axle 2</t>
  </si>
  <si>
    <t>Axle 3</t>
  </si>
  <si>
    <t>Axle 4</t>
  </si>
  <si>
    <t>Axle 5</t>
  </si>
  <si>
    <t>Axle 6</t>
  </si>
  <si>
    <t>Axle 7</t>
  </si>
  <si>
    <t>Total (Tonnes)</t>
  </si>
  <si>
    <t>……………………………………………..</t>
  </si>
  <si>
    <t>Vehicle Type</t>
  </si>
  <si>
    <t>Front</t>
  </si>
  <si>
    <t>Rear</t>
  </si>
  <si>
    <t>Equivalence Factor =</t>
  </si>
  <si>
    <t>Total (ESA's)</t>
  </si>
  <si>
    <t>COMMENTS</t>
  </si>
  <si>
    <t>Direction:</t>
  </si>
  <si>
    <t>AXLE LOAD SURVEY DATA</t>
  </si>
  <si>
    <t>Busoba</t>
  </si>
  <si>
    <t>UBB 663Y</t>
  </si>
  <si>
    <t>1*22-222</t>
  </si>
  <si>
    <t>UAP 996H</t>
  </si>
  <si>
    <t>UBB 286R</t>
  </si>
  <si>
    <t>UBE 309B</t>
  </si>
  <si>
    <t>UAW 653</t>
  </si>
  <si>
    <t>UAX 016U</t>
  </si>
  <si>
    <t>UAX 934G</t>
  </si>
  <si>
    <t>UAY 956H</t>
  </si>
  <si>
    <t>KBU 457J</t>
  </si>
  <si>
    <t>KBW 910A</t>
  </si>
  <si>
    <t>KBW 909A</t>
  </si>
  <si>
    <t>UBA 001K</t>
  </si>
  <si>
    <t>KBM 469P</t>
  </si>
  <si>
    <t>UAX 393N</t>
  </si>
  <si>
    <t>UAX 163S</t>
  </si>
  <si>
    <t>KCP 685X</t>
  </si>
  <si>
    <t>KBZ 098B</t>
  </si>
  <si>
    <t>UAU 183A</t>
  </si>
  <si>
    <t>UAW 823W</t>
  </si>
  <si>
    <t>KCC 778W</t>
  </si>
  <si>
    <t>KCK 024Y</t>
  </si>
  <si>
    <t>UAZ 791G</t>
  </si>
  <si>
    <t>SSD 269G</t>
  </si>
  <si>
    <t>UBC 126D</t>
  </si>
  <si>
    <t>Axle Load (Kgs)</t>
  </si>
  <si>
    <t>KBV 326K</t>
  </si>
  <si>
    <t>UAT 331Q</t>
  </si>
  <si>
    <t>UBB 696Q</t>
  </si>
  <si>
    <t>UAS 925Y</t>
  </si>
  <si>
    <t>1*2</t>
  </si>
  <si>
    <t>UBA 362K</t>
  </si>
  <si>
    <t>1*22</t>
  </si>
  <si>
    <t>KAV 873R</t>
  </si>
  <si>
    <t>UAX 779V</t>
  </si>
  <si>
    <t>UAW 329Y</t>
  </si>
  <si>
    <t>UAW 653K</t>
  </si>
  <si>
    <t>FUEL</t>
  </si>
  <si>
    <t>COFFEE</t>
  </si>
  <si>
    <t>CEMENT</t>
  </si>
  <si>
    <t>PRODUCE</t>
  </si>
  <si>
    <t>CHARCOAL</t>
  </si>
  <si>
    <t>GOODS</t>
  </si>
  <si>
    <t>POZO</t>
  </si>
  <si>
    <t>EMPTY</t>
  </si>
  <si>
    <t>SALT</t>
  </si>
  <si>
    <t>ONIONS</t>
  </si>
  <si>
    <t>SAND</t>
  </si>
  <si>
    <t>FERTILIZER</t>
  </si>
  <si>
    <t>MATOOKE</t>
  </si>
  <si>
    <t>BEANS</t>
  </si>
  <si>
    <t>BEVERAGES</t>
  </si>
  <si>
    <t>MAIZE</t>
  </si>
  <si>
    <t>UBB 723Q</t>
  </si>
  <si>
    <t>UAU 231Q</t>
  </si>
  <si>
    <t>ALUMINIUM</t>
  </si>
  <si>
    <t>UAY 361R</t>
  </si>
  <si>
    <t>UBB 74O</t>
  </si>
  <si>
    <t>UAN 868Z</t>
  </si>
  <si>
    <t>UBA 109D</t>
  </si>
  <si>
    <t>UAY 499B</t>
  </si>
  <si>
    <t>UBB 727Y</t>
  </si>
  <si>
    <t>UBD 125L</t>
  </si>
  <si>
    <t>UAT 7950Q</t>
  </si>
  <si>
    <t>KCQ 560S</t>
  </si>
  <si>
    <t>UBD 373L</t>
  </si>
  <si>
    <t>UAH 103R</t>
  </si>
  <si>
    <t>UAV 087E</t>
  </si>
  <si>
    <t>UAW 396P</t>
  </si>
  <si>
    <t>UAS 347N</t>
  </si>
  <si>
    <t>UAZ 735A</t>
  </si>
  <si>
    <t>UAT 454U</t>
  </si>
  <si>
    <t>UBC 132A</t>
  </si>
  <si>
    <t>UAR 019M</t>
  </si>
  <si>
    <t>UAN 096Z</t>
  </si>
  <si>
    <t>SSD 726C</t>
  </si>
  <si>
    <t>KCA 358Z</t>
  </si>
  <si>
    <t>UAU 344N</t>
  </si>
  <si>
    <t>UAT 879P</t>
  </si>
  <si>
    <t>UAR 557M</t>
  </si>
  <si>
    <t>1*22-111</t>
  </si>
  <si>
    <t>KBT 868Z</t>
  </si>
  <si>
    <t>1*12-222</t>
  </si>
  <si>
    <t>KCF 190X</t>
  </si>
  <si>
    <t>UBB 040V</t>
  </si>
  <si>
    <t>UAT 032R</t>
  </si>
  <si>
    <t>UAX 943Y</t>
  </si>
  <si>
    <t>KBQ 314T</t>
  </si>
  <si>
    <t>KBU 596J</t>
  </si>
  <si>
    <t>KBX 088W</t>
  </si>
  <si>
    <t>3172AA25</t>
  </si>
  <si>
    <t>RAB 834Z</t>
  </si>
  <si>
    <t>1:22+22:22</t>
  </si>
  <si>
    <t>KCN 915Z</t>
  </si>
  <si>
    <t>UAQ 234R</t>
  </si>
  <si>
    <t>1*22+22:22</t>
  </si>
  <si>
    <t>IRON SHEETS</t>
  </si>
  <si>
    <t>MIXED GOODS</t>
  </si>
  <si>
    <t>1*22+22*22</t>
  </si>
  <si>
    <t>UAS 199W</t>
  </si>
  <si>
    <t>sand</t>
  </si>
  <si>
    <t>empty</t>
  </si>
  <si>
    <t>murralo</t>
  </si>
  <si>
    <t>UAU 041G</t>
  </si>
  <si>
    <t>P0ZO</t>
  </si>
  <si>
    <t>UAR 079C</t>
  </si>
  <si>
    <t>UAT 343U</t>
  </si>
  <si>
    <t>UBD 832L</t>
  </si>
  <si>
    <t>KCG 677X</t>
  </si>
  <si>
    <t>KBZ 454Y</t>
  </si>
  <si>
    <t>UBA 253U</t>
  </si>
  <si>
    <t>KCB 956M</t>
  </si>
  <si>
    <t>KBT 035X</t>
  </si>
  <si>
    <t>UBD 149D</t>
  </si>
  <si>
    <t>UBD 947K</t>
  </si>
  <si>
    <t>UAY 599K</t>
  </si>
  <si>
    <t>SODA</t>
  </si>
  <si>
    <t>UBB 680X</t>
  </si>
  <si>
    <t>UAY 860N</t>
  </si>
  <si>
    <t>UAX 375N</t>
  </si>
  <si>
    <t>UBA 253G</t>
  </si>
  <si>
    <t>UAW 806W</t>
  </si>
  <si>
    <t>HARDCORE</t>
  </si>
  <si>
    <t>KAR 845F</t>
  </si>
  <si>
    <t>UBA 045B</t>
  </si>
  <si>
    <t>UAY 640K</t>
  </si>
  <si>
    <t>UBD 157H</t>
  </si>
  <si>
    <t>UAZ 491F</t>
  </si>
  <si>
    <t>UAS 816L</t>
  </si>
  <si>
    <t>UAX 750V</t>
  </si>
  <si>
    <t>UBD 922C</t>
  </si>
  <si>
    <t>UBA 041L</t>
  </si>
  <si>
    <t>COSMETICS</t>
  </si>
  <si>
    <t>UBD 747S</t>
  </si>
  <si>
    <t>UAT 583N</t>
  </si>
  <si>
    <t>UAY 061T</t>
  </si>
  <si>
    <t>ORANGES</t>
  </si>
  <si>
    <t>UAW 350C</t>
  </si>
  <si>
    <t>UBD 158H</t>
  </si>
  <si>
    <t>UBD 240D</t>
  </si>
  <si>
    <t>UAX 225N</t>
  </si>
  <si>
    <t>8241 AA07</t>
  </si>
  <si>
    <t>UAZ 019G</t>
  </si>
  <si>
    <t>UBA 801D</t>
  </si>
  <si>
    <t>UAZ 142A</t>
  </si>
  <si>
    <t>UBB 785T</t>
  </si>
  <si>
    <t>UBD 007J</t>
  </si>
  <si>
    <t>UBA 169L</t>
  </si>
  <si>
    <t>UAL 491F</t>
  </si>
  <si>
    <t>UAV 041G</t>
  </si>
  <si>
    <t>UAR 573R</t>
  </si>
  <si>
    <t>UBB 883V</t>
  </si>
  <si>
    <t>UAY 428E</t>
  </si>
  <si>
    <t>UAS 626V</t>
  </si>
  <si>
    <t>UBB 722Q</t>
  </si>
  <si>
    <t>UAL 948Z</t>
  </si>
  <si>
    <t>UAR 998H</t>
  </si>
  <si>
    <t>KCL 874D</t>
  </si>
  <si>
    <t>WHEAT FLOUR</t>
  </si>
  <si>
    <t>KCN 704D</t>
  </si>
  <si>
    <t>UAT 732E</t>
  </si>
  <si>
    <t>UAV 650K</t>
  </si>
  <si>
    <t>UBA 594I</t>
  </si>
  <si>
    <t>UAY 857C</t>
  </si>
  <si>
    <t>KCG 197L</t>
  </si>
  <si>
    <t>KBN 230N</t>
  </si>
  <si>
    <t>UAZ 628L</t>
  </si>
  <si>
    <t>MATTRESSES</t>
  </si>
  <si>
    <t>UAX 398N</t>
  </si>
  <si>
    <t>UAM 072F</t>
  </si>
  <si>
    <t>UAT 156S</t>
  </si>
  <si>
    <t>UAN 952X</t>
  </si>
  <si>
    <t>STONE DUST</t>
  </si>
  <si>
    <t>KCR 072Z</t>
  </si>
  <si>
    <t>MAIZE FLOUR</t>
  </si>
  <si>
    <t>UBB 042M</t>
  </si>
  <si>
    <t>UAT 140D</t>
  </si>
  <si>
    <t>BEER</t>
  </si>
  <si>
    <t>UBB 307N</t>
  </si>
  <si>
    <t>UAL 849D</t>
  </si>
  <si>
    <t>UAP 441L</t>
  </si>
  <si>
    <t xml:space="preserve">UBB 679X </t>
  </si>
  <si>
    <t>UAH 845R</t>
  </si>
  <si>
    <t>UAT 382B</t>
  </si>
  <si>
    <t>CASSAVA</t>
  </si>
  <si>
    <t>UAM 809V</t>
  </si>
  <si>
    <t>11*222</t>
  </si>
  <si>
    <t>UAF 813L</t>
  </si>
  <si>
    <t>UAY 140W</t>
  </si>
  <si>
    <t>WARAGI</t>
  </si>
  <si>
    <t>UBE 380E</t>
  </si>
  <si>
    <t>UBD 938A</t>
  </si>
  <si>
    <t>UAT 870P</t>
  </si>
  <si>
    <t>UAP 770U</t>
  </si>
  <si>
    <t>UAY 589T</t>
  </si>
  <si>
    <t>UAY 047C</t>
  </si>
  <si>
    <t>UAZ 830M</t>
  </si>
  <si>
    <t>1*222</t>
  </si>
  <si>
    <t>UAY 764R</t>
  </si>
  <si>
    <t>UBB 825P</t>
  </si>
  <si>
    <t>PIPES</t>
  </si>
  <si>
    <t>UAZ 035E</t>
  </si>
  <si>
    <t>UAX 319O</t>
  </si>
  <si>
    <t>UAT 292K</t>
  </si>
  <si>
    <t>UBA 743Y</t>
  </si>
  <si>
    <t>KBJ 014E</t>
  </si>
  <si>
    <t>UAN 874X</t>
  </si>
  <si>
    <t>UBC 637C</t>
  </si>
  <si>
    <t>11*22</t>
  </si>
  <si>
    <t>1*12-111</t>
  </si>
  <si>
    <t>POZZOLANA</t>
  </si>
  <si>
    <t>1*12--111</t>
  </si>
  <si>
    <t>1:12-111</t>
  </si>
  <si>
    <t>KBJ 759L</t>
  </si>
  <si>
    <t>SSD 306E</t>
  </si>
  <si>
    <t>KBT 470R</t>
  </si>
  <si>
    <t>UAS 917A</t>
  </si>
  <si>
    <t>UBB 329X</t>
  </si>
  <si>
    <t>UAX 877A</t>
  </si>
  <si>
    <t>UAU 208U</t>
  </si>
  <si>
    <t>UAW 166N</t>
  </si>
  <si>
    <t>UBD 914N</t>
  </si>
  <si>
    <t>UAQ 984Q</t>
  </si>
  <si>
    <t>UAY 937M</t>
  </si>
  <si>
    <t>KBU 823S</t>
  </si>
  <si>
    <t>UAQ 403H</t>
  </si>
  <si>
    <t>UBB 766G</t>
  </si>
  <si>
    <t>UAT 173Y</t>
  </si>
  <si>
    <t>UBA 101N</t>
  </si>
  <si>
    <t>1*21</t>
  </si>
  <si>
    <t>MEDICINE</t>
  </si>
  <si>
    <t>BASKETS</t>
  </si>
  <si>
    <t>KBT 636W</t>
  </si>
  <si>
    <t>UAN 874Z</t>
  </si>
  <si>
    <t>UBA 600O</t>
  </si>
  <si>
    <t>KBU 345L</t>
  </si>
  <si>
    <t>SSD 571F</t>
  </si>
  <si>
    <t>KCC 781J</t>
  </si>
  <si>
    <t>UAW 039S</t>
  </si>
  <si>
    <t>KBT 458S</t>
  </si>
  <si>
    <t>UAS 470B</t>
  </si>
  <si>
    <t>KBH 004Q</t>
  </si>
  <si>
    <t>UAL 614H</t>
  </si>
  <si>
    <t>UAX 823L</t>
  </si>
  <si>
    <t>KCJ 404K</t>
  </si>
  <si>
    <t>UBA 331M</t>
  </si>
  <si>
    <t>UBA 515F</t>
  </si>
  <si>
    <t>UAY 434J</t>
  </si>
  <si>
    <t>BITUMEN</t>
  </si>
  <si>
    <t xml:space="preserve">MAIZE </t>
  </si>
  <si>
    <t>UAK 980X</t>
  </si>
  <si>
    <t>UAU 807R</t>
  </si>
  <si>
    <t>KBH 631Y</t>
  </si>
  <si>
    <t>KAU 170U</t>
  </si>
  <si>
    <t>UBC 777A</t>
  </si>
  <si>
    <t>KBR 372K</t>
  </si>
  <si>
    <t>UBA 328F</t>
  </si>
  <si>
    <t>KBA 520F</t>
  </si>
  <si>
    <t>1:12-222</t>
  </si>
  <si>
    <t>UAP 930V</t>
  </si>
  <si>
    <t>UAL 992Z</t>
  </si>
  <si>
    <t>UAH 612P</t>
  </si>
  <si>
    <t>SSD 180A</t>
  </si>
  <si>
    <t>UAV 157R</t>
  </si>
  <si>
    <t>KAR 288S</t>
  </si>
  <si>
    <t>UAZ 944Y</t>
  </si>
  <si>
    <t>UAY 549W</t>
  </si>
  <si>
    <t>UAN 053A</t>
  </si>
  <si>
    <t>KCC 366G</t>
  </si>
  <si>
    <t>MAIZE BRAND</t>
  </si>
  <si>
    <t>FOOD STUFF</t>
  </si>
  <si>
    <t>SORGHUM</t>
  </si>
  <si>
    <t>KCE 745Z</t>
  </si>
  <si>
    <t>KCG 358N</t>
  </si>
  <si>
    <t>UAQ 859H</t>
  </si>
  <si>
    <t>KBN 024N</t>
  </si>
  <si>
    <t>UAT 202S</t>
  </si>
  <si>
    <t>KCL 971S</t>
  </si>
  <si>
    <t>KBJ 471H</t>
  </si>
  <si>
    <t>UAZ 714T</t>
  </si>
  <si>
    <t>UBA  698F</t>
  </si>
  <si>
    <t>KBK 608B</t>
  </si>
  <si>
    <t>KCN 541M</t>
  </si>
  <si>
    <t>KBG 991N</t>
  </si>
  <si>
    <t>UAY 465Q</t>
  </si>
  <si>
    <t>UAX 232H</t>
  </si>
  <si>
    <t>UAP 972P</t>
  </si>
  <si>
    <t>UAM 672Y</t>
  </si>
  <si>
    <t>UAL 959H</t>
  </si>
  <si>
    <t>UAY 791D</t>
  </si>
  <si>
    <t>UAT 581H</t>
  </si>
  <si>
    <t>UAT 589Z</t>
  </si>
  <si>
    <t>KBG 681V</t>
  </si>
  <si>
    <t>UAM 678C</t>
  </si>
  <si>
    <t>UAP 514X</t>
  </si>
  <si>
    <t>KCP 033T</t>
  </si>
  <si>
    <t>UAV 971F</t>
  </si>
  <si>
    <t>4992AC19</t>
  </si>
  <si>
    <t>ROCKS</t>
  </si>
  <si>
    <t>LEMON</t>
  </si>
  <si>
    <t>SWEET POTATOES</t>
  </si>
  <si>
    <t>1*21-222</t>
  </si>
  <si>
    <t xml:space="preserve">STONE </t>
  </si>
  <si>
    <t>KCL 403C</t>
  </si>
  <si>
    <t>UAQ 962L</t>
  </si>
  <si>
    <t>UAX 397N</t>
  </si>
  <si>
    <t>UAB 489E</t>
  </si>
  <si>
    <t>UBA 252G</t>
  </si>
  <si>
    <t>UBA 250G</t>
  </si>
  <si>
    <t>UAZ 261A</t>
  </si>
  <si>
    <t>UAX 813U</t>
  </si>
  <si>
    <t>UAV 388E</t>
  </si>
  <si>
    <t>UAW 144Q</t>
  </si>
  <si>
    <t>UAT 526N</t>
  </si>
  <si>
    <t>KBY 466V</t>
  </si>
  <si>
    <t>UBA 248G</t>
  </si>
  <si>
    <t>KBX 402X</t>
  </si>
  <si>
    <t>UAQ 334E</t>
  </si>
  <si>
    <t>KBV 829L</t>
  </si>
  <si>
    <t>TORORO-Mbale &amp; Mbale-Tororo</t>
  </si>
  <si>
    <t>NOTES:</t>
  </si>
  <si>
    <t>1. Thursday sample (between 7am-6pm) is significantly bigger than for Friday and Saturday for the following reasons</t>
  </si>
  <si>
    <t>a. For the direction Mbale - Tororo, the main goods carried is Pozzolana or rock from Kapchorwa and Moroto to the cement factories in Tororo</t>
  </si>
  <si>
    <t xml:space="preserve">     There are mainly two trcuk companies that do this; Yalfa and Roche. On Thursday being first day, they obliged to stop but on the follow up days Friday and Saturday, they did not.</t>
  </si>
  <si>
    <t>b. For the direction from Tororo to Mbale, one of the key goods carried is Cement. There are specific days when cement is loaded for delivery in the Mbale direction</t>
  </si>
  <si>
    <t xml:space="preserve">     Unfortunately, Friday and Saturday are not days when cement is loaded for Mbale direction.</t>
  </si>
  <si>
    <t>The above resulted in small samples on Friday and Saturday. However, Thursday has a rich sample and can be used in the analysis.</t>
  </si>
  <si>
    <t>DIRECTION:</t>
  </si>
  <si>
    <t>MBALE - TORORO</t>
  </si>
  <si>
    <t>TORORO - MBALE</t>
  </si>
  <si>
    <t xml:space="preserve">MBALE - TORORO 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</si>
  <si>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</si>
  <si>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</si>
  <si>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</si>
  <si>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</si>
  <si>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</si>
  <si>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</si>
  <si>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</si>
  <si>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</si>
  <si>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</si>
  <si>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</si>
  <si>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</si>
  <si>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</si>
  <si>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GOODS TYPE</t>
  </si>
  <si>
    <t>Consultancy services for Preparation of Expressway Development Master Plan (EDMP) for Uganda</t>
  </si>
  <si>
    <t xml:space="preserve"> TRUCK TYPES</t>
  </si>
  <si>
    <t>2-Axles</t>
  </si>
  <si>
    <t>3-Axle</t>
  </si>
  <si>
    <t>4-Axle</t>
  </si>
  <si>
    <t>5-Axle</t>
  </si>
  <si>
    <t>6-Axle</t>
  </si>
  <si>
    <t>7-Axle</t>
  </si>
  <si>
    <t xml:space="preserve">LIGHT SINGLE UNIT TRUCK-DYNAS AND TRACTORS(2 axles) </t>
  </si>
  <si>
    <t xml:space="preserve">LIGHT/MEDIUM SINGLE UNIT TRUCKS (3 axles) </t>
  </si>
  <si>
    <t>MEDIUM - SINGLE UNIT TRUCKS-LORRIES, FUSOS (4 axles)</t>
  </si>
  <si>
    <t>1.1-22</t>
  </si>
  <si>
    <t>HEAVY TRUCK RIGID (5 axles)</t>
  </si>
  <si>
    <t>1.1-222</t>
  </si>
  <si>
    <t>1.2-222</t>
  </si>
  <si>
    <t>1.22-22</t>
  </si>
  <si>
    <t>TRUCK TRAILER AND SEMI TRAILER (6 axles)</t>
  </si>
  <si>
    <t>1.12-222</t>
  </si>
  <si>
    <t>1.22-222</t>
  </si>
  <si>
    <t>1.22+1-22</t>
  </si>
  <si>
    <t>1.22+2-22</t>
  </si>
  <si>
    <t>1.21-222</t>
  </si>
  <si>
    <t>1.22-111</t>
  </si>
  <si>
    <t>TRUCK TRAILER  TYPE 2 (7 axles)</t>
  </si>
  <si>
    <t>1.11+11-11</t>
  </si>
  <si>
    <t>1.22+22-22</t>
  </si>
  <si>
    <t>1.12+11-22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</si>
  <si>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</si>
  <si>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</si>
  <si>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</si>
  <si>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</si>
  <si>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1*1</t>
  </si>
  <si>
    <t>Light Truck</t>
  </si>
  <si>
    <t>Medium Truck</t>
  </si>
  <si>
    <t>Heavy Truck</t>
  </si>
  <si>
    <t>1*2*2</t>
  </si>
  <si>
    <t>Truck Trailer</t>
  </si>
  <si>
    <t>1*2*22</t>
  </si>
  <si>
    <t>1*22-22</t>
  </si>
  <si>
    <t>1*2*2*2</t>
  </si>
  <si>
    <t>1*22*2*22</t>
  </si>
  <si>
    <t xml:space="preserve"> </t>
  </si>
  <si>
    <t>OVERLOADED?</t>
  </si>
  <si>
    <t>Overloaded by?</t>
  </si>
  <si>
    <t>Vehicle Categories</t>
  </si>
  <si>
    <t>Load Description</t>
  </si>
  <si>
    <t>Truck Type</t>
  </si>
  <si>
    <t>Both Directions</t>
  </si>
  <si>
    <t>Category</t>
  </si>
  <si>
    <t>Light/Medium Trucks</t>
  </si>
  <si>
    <t>Agricultural produce</t>
  </si>
  <si>
    <t>Heavy Trucks</t>
  </si>
  <si>
    <t>Perishable</t>
  </si>
  <si>
    <t>Truck/Trailer</t>
  </si>
  <si>
    <t>Construction Material</t>
  </si>
  <si>
    <t>Totals</t>
  </si>
  <si>
    <t>Forestry products</t>
  </si>
  <si>
    <t>Fuels</t>
  </si>
  <si>
    <t>Chemical Products</t>
  </si>
  <si>
    <t>Livestock</t>
  </si>
  <si>
    <t>Others</t>
  </si>
  <si>
    <t>Total</t>
  </si>
  <si>
    <t>Mbale-Tororo</t>
  </si>
  <si>
    <t>Tororo-Mbale</t>
  </si>
  <si>
    <t>Household retail products</t>
  </si>
  <si>
    <t>Load limit (Tonnes)</t>
  </si>
  <si>
    <t>Overload Bands</t>
  </si>
  <si>
    <t>1*12</t>
  </si>
  <si>
    <t>Average Total Loading (Tonnes)</t>
  </si>
  <si>
    <t>Limit</t>
  </si>
  <si>
    <t>Proportion of Overloaded Trucks</t>
  </si>
  <si>
    <t>0-4.9%</t>
  </si>
  <si>
    <t>5-25%</t>
  </si>
  <si>
    <t>25-50%</t>
  </si>
  <si>
    <t>Over 50%</t>
  </si>
  <si>
    <t>Overall</t>
  </si>
  <si>
    <t>AXLE LOAD DATA ANALYSIS (MBALE - TORORO HIGHWAY)</t>
  </si>
  <si>
    <t>Percentage by Which Trucks are Overloaded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</si>
</sst>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64" formatCode="h:mm;@"/>
    <numFmt numFmtId="165" formatCode="0.000"/>
    <numFmt numFmtId="166" formatCode="[$]hh:mm;@" x16r2:formatCode16="[$-en-UG,1]hh:mm;@"/>
    <numFmt numFmtId="167" formatCode="0.0"/>
    <numFmt numFmtId="168" formatCode="0.0%"/>
    <numFmt numFmtId="169" formatCode="_-* #,##0.0_-;\-* #,##0.0_-;_-* &quot;-&quot;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/>
    <xf numFmtId="0" fontId="6" fillId="0" borderId="0" applyNumberFormat="0" applyFill="0" applyBorder="0" applyAlignment="0" applyProtection="0"/>
    <xf numFmtId="0" fontId="10" fillId="0" borderId="0"/>
    <xf numFmtId="9" fontId="13" fillId="0" borderId="0" applyFont="0" applyFill="0" applyBorder="0" applyAlignment="0" applyProtection="0"/>
    <xf numFmtId="0" fontId="14" fillId="0" borderId="0"/>
    <xf numFmtId="0" fontId="10" fillId="0" borderId="0"/>
    <xf numFmtId="41" fontId="13" fillId="0" borderId="0" applyFont="0" applyFill="0" applyBorder="0" applyAlignment="0" applyProtection="0"/>
  </cellStyleXfs>
  <cellXfs count="30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Border="1"/>
    <xf numFmtId="0" fontId="2" fillId="0" borderId="0" xfId="0" applyFont="1"/>
    <xf numFmtId="0" fontId="3" fillId="0" borderId="0" xfId="0" applyFont="1" applyBorder="1" applyAlignment="1"/>
    <xf numFmtId="0" fontId="2" fillId="0" borderId="1" xfId="0" applyFont="1" applyBorder="1"/>
    <xf numFmtId="0" fontId="1" fillId="0" borderId="0" xfId="0" applyFont="1" applyAlignment="1">
      <alignment horizontal="right"/>
    </xf>
    <xf numFmtId="0" fontId="4" fillId="0" borderId="0" xfId="0" applyFont="1" applyBorder="1"/>
    <xf numFmtId="0" fontId="1" fillId="0" borderId="4" xfId="0" applyFont="1" applyBorder="1" applyAlignment="1">
      <alignment vertical="top" wrapText="1"/>
    </xf>
    <xf numFmtId="0" fontId="0" fillId="0" borderId="6" xfId="0" applyBorder="1"/>
    <xf numFmtId="164" fontId="2" fillId="0" borderId="2" xfId="0" applyNumberFormat="1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3" xfId="0" applyFont="1" applyBorder="1"/>
    <xf numFmtId="0" fontId="0" fillId="0" borderId="16" xfId="0" applyBorder="1"/>
    <xf numFmtId="165" fontId="2" fillId="0" borderId="3" xfId="0" applyNumberFormat="1" applyFont="1" applyBorder="1"/>
    <xf numFmtId="165" fontId="2" fillId="0" borderId="1" xfId="0" applyNumberFormat="1" applyFont="1" applyBorder="1"/>
    <xf numFmtId="0" fontId="2" fillId="0" borderId="14" xfId="0" applyFont="1" applyFill="1" applyBorder="1"/>
    <xf numFmtId="0" fontId="2" fillId="0" borderId="3" xfId="0" applyFont="1" applyFill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165" fontId="2" fillId="0" borderId="3" xfId="0" applyNumberFormat="1" applyFont="1" applyFill="1" applyBorder="1"/>
    <xf numFmtId="164" fontId="2" fillId="0" borderId="15" xfId="0" applyNumberFormat="1" applyFont="1" applyFill="1" applyBorder="1"/>
    <xf numFmtId="0" fontId="0" fillId="0" borderId="16" xfId="0" applyFill="1" applyBorder="1"/>
    <xf numFmtId="0" fontId="2" fillId="0" borderId="2" xfId="0" applyFont="1" applyBorder="1"/>
    <xf numFmtId="164" fontId="2" fillId="0" borderId="17" xfId="0" applyNumberFormat="1" applyFont="1" applyBorder="1"/>
    <xf numFmtId="164" fontId="2" fillId="0" borderId="2" xfId="0" applyNumberFormat="1" applyFont="1" applyBorder="1" applyAlignment="1">
      <alignment horizontal="right"/>
    </xf>
    <xf numFmtId="14" fontId="1" fillId="0" borderId="0" xfId="0" applyNumberFormat="1" applyFont="1" applyBorder="1"/>
    <xf numFmtId="0" fontId="2" fillId="0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20" fontId="2" fillId="0" borderId="1" xfId="0" applyNumberFormat="1" applyFont="1" applyBorder="1"/>
    <xf numFmtId="165" fontId="2" fillId="0" borderId="19" xfId="0" applyNumberFormat="1" applyFont="1" applyFill="1" applyBorder="1"/>
    <xf numFmtId="164" fontId="2" fillId="0" borderId="15" xfId="0" applyNumberFormat="1" applyFont="1" applyBorder="1"/>
    <xf numFmtId="164" fontId="2" fillId="0" borderId="20" xfId="0" applyNumberFormat="1" applyFont="1" applyBorder="1"/>
    <xf numFmtId="165" fontId="2" fillId="0" borderId="7" xfId="0" applyNumberFormat="1" applyFont="1" applyBorder="1"/>
    <xf numFmtId="165" fontId="2" fillId="0" borderId="7" xfId="0" applyNumberFormat="1" applyFont="1" applyFill="1" applyBorder="1"/>
    <xf numFmtId="0" fontId="0" fillId="0" borderId="1" xfId="0" applyBorder="1"/>
    <xf numFmtId="0" fontId="2" fillId="0" borderId="3" xfId="0" applyNumberFormat="1" applyFont="1" applyFill="1" applyBorder="1" applyAlignment="1">
      <alignment horizontal="left"/>
    </xf>
    <xf numFmtId="0" fontId="2" fillId="0" borderId="1" xfId="0" applyNumberFormat="1" applyFont="1" applyBorder="1" applyAlignment="1">
      <alignment horizontal="left"/>
    </xf>
    <xf numFmtId="0" fontId="2" fillId="0" borderId="3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  <xf numFmtId="0" fontId="2" fillId="0" borderId="3" xfId="0" applyNumberFormat="1" applyFont="1" applyFill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0" fontId="2" fillId="0" borderId="3" xfId="0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  <xf numFmtId="164" fontId="2" fillId="0" borderId="22" xfId="0" applyNumberFormat="1" applyFont="1" applyBorder="1"/>
    <xf numFmtId="0" fontId="2" fillId="0" borderId="23" xfId="0" applyFont="1" applyBorder="1"/>
    <xf numFmtId="0" fontId="2" fillId="0" borderId="23" xfId="0" applyFont="1" applyBorder="1" applyAlignment="1">
      <alignment horizontal="center"/>
    </xf>
    <xf numFmtId="0" fontId="2" fillId="0" borderId="23" xfId="0" applyNumberFormat="1" applyFont="1" applyBorder="1" applyAlignment="1">
      <alignment horizontal="center"/>
    </xf>
    <xf numFmtId="0" fontId="2" fillId="0" borderId="23" xfId="0" applyNumberFormat="1" applyFont="1" applyFill="1" applyBorder="1" applyAlignment="1">
      <alignment horizontal="left"/>
    </xf>
    <xf numFmtId="165" fontId="2" fillId="0" borderId="23" xfId="0" applyNumberFormat="1" applyFont="1" applyBorder="1"/>
    <xf numFmtId="165" fontId="2" fillId="0" borderId="23" xfId="0" applyNumberFormat="1" applyFont="1" applyFill="1" applyBorder="1"/>
    <xf numFmtId="0" fontId="0" fillId="0" borderId="24" xfId="0" applyBorder="1"/>
    <xf numFmtId="164" fontId="2" fillId="0" borderId="25" xfId="0" applyNumberFormat="1" applyFont="1" applyBorder="1"/>
    <xf numFmtId="0" fontId="2" fillId="0" borderId="26" xfId="0" applyFont="1" applyBorder="1"/>
    <xf numFmtId="0" fontId="2" fillId="0" borderId="26" xfId="0" applyFont="1" applyBorder="1" applyAlignment="1">
      <alignment horizontal="center"/>
    </xf>
    <xf numFmtId="0" fontId="2" fillId="0" borderId="26" xfId="0" applyNumberFormat="1" applyFont="1" applyBorder="1" applyAlignment="1">
      <alignment horizontal="center"/>
    </xf>
    <xf numFmtId="0" fontId="2" fillId="0" borderId="26" xfId="0" applyNumberFormat="1" applyFont="1" applyFill="1" applyBorder="1" applyAlignment="1">
      <alignment horizontal="left"/>
    </xf>
    <xf numFmtId="165" fontId="2" fillId="0" borderId="26" xfId="0" applyNumberFormat="1" applyFont="1" applyBorder="1"/>
    <xf numFmtId="0" fontId="0" fillId="0" borderId="27" xfId="0" applyBorder="1"/>
    <xf numFmtId="1" fontId="2" fillId="0" borderId="3" xfId="0" applyNumberFormat="1" applyFont="1" applyFill="1" applyBorder="1"/>
    <xf numFmtId="1" fontId="2" fillId="0" borderId="1" xfId="0" applyNumberFormat="1" applyFont="1" applyBorder="1"/>
    <xf numFmtId="1" fontId="2" fillId="0" borderId="19" xfId="0" applyNumberFormat="1" applyFont="1" applyFill="1" applyBorder="1"/>
    <xf numFmtId="1" fontId="2" fillId="0" borderId="3" xfId="0" applyNumberFormat="1" applyFont="1" applyBorder="1"/>
    <xf numFmtId="1" fontId="0" fillId="0" borderId="1" xfId="0" applyNumberFormat="1" applyBorder="1"/>
    <xf numFmtId="0" fontId="1" fillId="0" borderId="0" xfId="0" applyNumberFormat="1" applyFont="1" applyBorder="1"/>
    <xf numFmtId="0" fontId="4" fillId="0" borderId="0" xfId="0" applyNumberFormat="1" applyFont="1" applyBorder="1"/>
    <xf numFmtId="0" fontId="2" fillId="0" borderId="1" xfId="0" applyNumberFormat="1" applyFont="1" applyBorder="1"/>
    <xf numFmtId="0" fontId="0" fillId="0" borderId="0" xfId="0" applyNumberFormat="1"/>
    <xf numFmtId="1" fontId="2" fillId="0" borderId="23" xfId="0" applyNumberFormat="1" applyFont="1" applyBorder="1"/>
    <xf numFmtId="0" fontId="2" fillId="0" borderId="28" xfId="0" applyFont="1" applyFill="1" applyBorder="1"/>
    <xf numFmtId="164" fontId="2" fillId="0" borderId="29" xfId="0" applyNumberFormat="1" applyFont="1" applyBorder="1"/>
    <xf numFmtId="164" fontId="2" fillId="0" borderId="30" xfId="0" applyNumberFormat="1" applyFont="1" applyBorder="1"/>
    <xf numFmtId="165" fontId="2" fillId="0" borderId="19" xfId="0" applyNumberFormat="1" applyFont="1" applyBorder="1"/>
    <xf numFmtId="165" fontId="2" fillId="0" borderId="1" xfId="0" applyNumberFormat="1" applyFont="1" applyFill="1" applyBorder="1"/>
    <xf numFmtId="0" fontId="2" fillId="0" borderId="1" xfId="0" applyNumberFormat="1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1" fontId="2" fillId="0" borderId="1" xfId="0" applyNumberFormat="1" applyFont="1" applyFill="1" applyBorder="1"/>
    <xf numFmtId="0" fontId="2" fillId="0" borderId="7" xfId="0" applyFont="1" applyBorder="1"/>
    <xf numFmtId="0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7" xfId="0" applyFont="1" applyFill="1" applyBorder="1"/>
    <xf numFmtId="1" fontId="2" fillId="0" borderId="7" xfId="0" applyNumberFormat="1" applyFont="1" applyBorder="1"/>
    <xf numFmtId="0" fontId="0" fillId="0" borderId="8" xfId="0" applyBorder="1"/>
    <xf numFmtId="0" fontId="0" fillId="2" borderId="0" xfId="0" applyFill="1"/>
    <xf numFmtId="0" fontId="0" fillId="0" borderId="6" xfId="0" quotePrefix="1" applyFont="1" applyBorder="1"/>
    <xf numFmtId="0" fontId="0" fillId="0" borderId="0" xfId="0" applyFill="1"/>
    <xf numFmtId="0" fontId="0" fillId="0" borderId="0" xfId="0" applyFont="1"/>
    <xf numFmtId="0" fontId="5" fillId="0" borderId="0" xfId="0" applyFont="1" applyBorder="1"/>
    <xf numFmtId="14" fontId="5" fillId="0" borderId="0" xfId="0" applyNumberFormat="1" applyFont="1" applyBorder="1"/>
    <xf numFmtId="0" fontId="5" fillId="0" borderId="0" xfId="0" applyNumberFormat="1" applyFont="1" applyBorder="1" applyAlignment="1">
      <alignment horizontal="center"/>
    </xf>
    <xf numFmtId="0" fontId="0" fillId="0" borderId="0" xfId="0" applyNumberFormat="1" applyFont="1" applyAlignment="1">
      <alignment horizontal="center"/>
    </xf>
    <xf numFmtId="0" fontId="5" fillId="0" borderId="0" xfId="0" applyNumberFormat="1" applyFont="1" applyBorder="1" applyAlignment="1">
      <alignment horizontal="left"/>
    </xf>
    <xf numFmtId="0" fontId="5" fillId="0" borderId="0" xfId="0" applyFont="1" applyAlignment="1">
      <alignment horizontal="right"/>
    </xf>
    <xf numFmtId="0" fontId="8" fillId="0" borderId="0" xfId="0" applyFont="1" applyBorder="1" applyAlignment="1"/>
    <xf numFmtId="0" fontId="7" fillId="0" borderId="0" xfId="0" applyNumberFormat="1" applyFont="1" applyBorder="1" applyAlignment="1">
      <alignment horizontal="center"/>
    </xf>
    <xf numFmtId="0" fontId="0" fillId="0" borderId="0" xfId="0" applyFont="1" applyBorder="1"/>
    <xf numFmtId="0" fontId="5" fillId="0" borderId="4" xfId="0" applyFont="1" applyBorder="1" applyAlignment="1">
      <alignment vertical="top" wrapText="1"/>
    </xf>
    <xf numFmtId="164" fontId="0" fillId="0" borderId="4" xfId="0" applyNumberFormat="1" applyFont="1" applyFill="1" applyBorder="1"/>
    <xf numFmtId="0" fontId="0" fillId="0" borderId="4" xfId="0" applyFont="1" applyFill="1" applyBorder="1"/>
    <xf numFmtId="0" fontId="0" fillId="0" borderId="4" xfId="0" applyNumberFormat="1" applyFont="1" applyFill="1" applyBorder="1" applyAlignment="1">
      <alignment horizontal="center"/>
    </xf>
    <xf numFmtId="0" fontId="0" fillId="0" borderId="4" xfId="0" applyNumberFormat="1" applyFont="1" applyFill="1" applyBorder="1" applyAlignment="1">
      <alignment horizontal="left"/>
    </xf>
    <xf numFmtId="1" fontId="0" fillId="0" borderId="4" xfId="0" applyNumberFormat="1" applyFont="1" applyFill="1" applyBorder="1"/>
    <xf numFmtId="165" fontId="0" fillId="0" borderId="4" xfId="0" applyNumberFormat="1" applyFont="1" applyFill="1" applyBorder="1"/>
    <xf numFmtId="165" fontId="0" fillId="0" borderId="4" xfId="0" applyNumberFormat="1" applyFont="1" applyBorder="1"/>
    <xf numFmtId="0" fontId="0" fillId="0" borderId="5" xfId="0" applyFont="1" applyFill="1" applyBorder="1"/>
    <xf numFmtId="0" fontId="0" fillId="0" borderId="17" xfId="0" applyFont="1" applyFill="1" applyBorder="1"/>
    <xf numFmtId="164" fontId="0" fillId="0" borderId="1" xfId="0" applyNumberFormat="1" applyFont="1" applyBorder="1"/>
    <xf numFmtId="0" fontId="0" fillId="0" borderId="1" xfId="0" applyFont="1" applyFill="1" applyBorder="1"/>
    <xf numFmtId="0" fontId="0" fillId="0" borderId="1" xfId="0" applyNumberFormat="1" applyFont="1" applyBorder="1" applyAlignment="1">
      <alignment horizontal="center"/>
    </xf>
    <xf numFmtId="0" fontId="0" fillId="0" borderId="1" xfId="0" applyNumberFormat="1" applyFont="1" applyBorder="1" applyAlignment="1">
      <alignment horizontal="left"/>
    </xf>
    <xf numFmtId="1" fontId="0" fillId="0" borderId="1" xfId="0" applyNumberFormat="1" applyFont="1" applyBorder="1"/>
    <xf numFmtId="165" fontId="0" fillId="0" borderId="1" xfId="0" applyNumberFormat="1" applyFont="1" applyFill="1" applyBorder="1"/>
    <xf numFmtId="165" fontId="0" fillId="0" borderId="1" xfId="0" applyNumberFormat="1" applyFont="1" applyBorder="1"/>
    <xf numFmtId="0" fontId="0" fillId="0" borderId="6" xfId="0" applyFont="1" applyBorder="1"/>
    <xf numFmtId="0" fontId="0" fillId="0" borderId="1" xfId="0" applyNumberFormat="1" applyFont="1" applyFill="1" applyBorder="1" applyAlignment="1">
      <alignment horizontal="center"/>
    </xf>
    <xf numFmtId="0" fontId="0" fillId="0" borderId="1" xfId="0" applyNumberFormat="1" applyFont="1" applyFill="1" applyBorder="1" applyAlignment="1">
      <alignment horizontal="left"/>
    </xf>
    <xf numFmtId="1" fontId="0" fillId="0" borderId="1" xfId="0" applyNumberFormat="1" applyFont="1" applyFill="1" applyBorder="1"/>
    <xf numFmtId="20" fontId="0" fillId="0" borderId="1" xfId="0" applyNumberFormat="1" applyFont="1" applyBorder="1"/>
    <xf numFmtId="0" fontId="0" fillId="0" borderId="1" xfId="0" applyFont="1" applyBorder="1"/>
    <xf numFmtId="164" fontId="0" fillId="0" borderId="1" xfId="0" applyNumberFormat="1" applyFont="1" applyBorder="1" applyAlignment="1">
      <alignment horizontal="right"/>
    </xf>
    <xf numFmtId="0" fontId="0" fillId="0" borderId="1" xfId="0" applyFont="1" applyFill="1" applyBorder="1" applyAlignment="1">
      <alignment horizontal="center"/>
    </xf>
    <xf numFmtId="0" fontId="0" fillId="0" borderId="6" xfId="0" applyFont="1" applyFill="1" applyBorder="1"/>
    <xf numFmtId="0" fontId="0" fillId="0" borderId="1" xfId="0" applyFont="1" applyBorder="1" applyAlignment="1">
      <alignment horizontal="center"/>
    </xf>
    <xf numFmtId="164" fontId="0" fillId="0" borderId="1" xfId="0" applyNumberFormat="1" applyFont="1" applyFill="1" applyBorder="1"/>
    <xf numFmtId="0" fontId="0" fillId="0" borderId="6" xfId="1" applyFont="1" applyBorder="1"/>
    <xf numFmtId="165" fontId="0" fillId="0" borderId="6" xfId="0" applyNumberFormat="1" applyFont="1" applyBorder="1"/>
    <xf numFmtId="0" fontId="0" fillId="2" borderId="17" xfId="0" applyFont="1" applyFill="1" applyBorder="1"/>
    <xf numFmtId="20" fontId="0" fillId="2" borderId="1" xfId="0" applyNumberFormat="1" applyFont="1" applyFill="1" applyBorder="1"/>
    <xf numFmtId="0" fontId="9" fillId="2" borderId="1" xfId="0" applyFont="1" applyFill="1" applyBorder="1"/>
    <xf numFmtId="0" fontId="9" fillId="2" borderId="1" xfId="0" applyNumberFormat="1" applyFont="1" applyFill="1" applyBorder="1" applyAlignment="1">
      <alignment horizontal="left"/>
    </xf>
    <xf numFmtId="0" fontId="0" fillId="2" borderId="1" xfId="0" applyNumberFormat="1" applyFont="1" applyFill="1" applyBorder="1" applyAlignment="1">
      <alignment horizontal="center"/>
    </xf>
    <xf numFmtId="0" fontId="0" fillId="2" borderId="1" xfId="0" applyNumberFormat="1" applyFont="1" applyFill="1" applyBorder="1" applyAlignment="1">
      <alignment horizontal="left"/>
    </xf>
    <xf numFmtId="0" fontId="5" fillId="0" borderId="31" xfId="0" applyFont="1" applyBorder="1" applyAlignment="1">
      <alignment horizontal="center" vertical="top" wrapText="1"/>
    </xf>
    <xf numFmtId="0" fontId="5" fillId="0" borderId="19" xfId="0" applyFont="1" applyBorder="1" applyAlignment="1">
      <alignment horizontal="center" vertical="top" wrapText="1"/>
    </xf>
    <xf numFmtId="0" fontId="5" fillId="0" borderId="19" xfId="0" applyFont="1" applyBorder="1" applyAlignment="1">
      <alignment horizontal="center"/>
    </xf>
    <xf numFmtId="0" fontId="5" fillId="0" borderId="33" xfId="0" applyFont="1" applyBorder="1" applyAlignment="1">
      <alignment horizontal="center" vertical="top" wrapText="1"/>
    </xf>
    <xf numFmtId="20" fontId="2" fillId="0" borderId="2" xfId="0" applyNumberFormat="1" applyFont="1" applyFill="1" applyBorder="1"/>
    <xf numFmtId="164" fontId="2" fillId="0" borderId="14" xfId="0" applyNumberFormat="1" applyFont="1" applyBorder="1"/>
    <xf numFmtId="164" fontId="2" fillId="0" borderId="17" xfId="0" applyNumberFormat="1" applyFont="1" applyBorder="1" applyAlignment="1">
      <alignment horizontal="right"/>
    </xf>
    <xf numFmtId="0" fontId="2" fillId="0" borderId="1" xfId="0" applyFont="1" applyFill="1" applyBorder="1"/>
    <xf numFmtId="0" fontId="2" fillId="0" borderId="19" xfId="0" applyFont="1" applyBorder="1"/>
    <xf numFmtId="0" fontId="0" fillId="0" borderId="3" xfId="0" applyNumberFormat="1" applyBorder="1" applyAlignment="1">
      <alignment horizontal="center"/>
    </xf>
    <xf numFmtId="0" fontId="2" fillId="0" borderId="23" xfId="0" applyNumberFormat="1" applyFont="1" applyBorder="1" applyAlignment="1">
      <alignment horizontal="left"/>
    </xf>
    <xf numFmtId="0" fontId="0" fillId="0" borderId="3" xfId="0" applyNumberFormat="1" applyBorder="1" applyAlignment="1">
      <alignment horizontal="left"/>
    </xf>
    <xf numFmtId="1" fontId="2" fillId="0" borderId="19" xfId="0" applyNumberFormat="1" applyFont="1" applyBorder="1"/>
    <xf numFmtId="0" fontId="1" fillId="0" borderId="28" xfId="0" applyFont="1" applyBorder="1" applyAlignment="1">
      <alignment horizontal="center" vertical="top" wrapText="1"/>
    </xf>
    <xf numFmtId="0" fontId="1" fillId="0" borderId="32" xfId="0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 vertical="top" wrapText="1"/>
    </xf>
    <xf numFmtId="0" fontId="1" fillId="0" borderId="19" xfId="0" applyNumberFormat="1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/>
    </xf>
    <xf numFmtId="0" fontId="0" fillId="2" borderId="1" xfId="0" applyFill="1" applyBorder="1"/>
    <xf numFmtId="20" fontId="0" fillId="0" borderId="2" xfId="0" applyNumberFormat="1" applyBorder="1"/>
    <xf numFmtId="164" fontId="2" fillId="0" borderId="21" xfId="0" applyNumberFormat="1" applyFont="1" applyBorder="1"/>
    <xf numFmtId="166" fontId="2" fillId="0" borderId="17" xfId="0" applyNumberFormat="1" applyFont="1" applyBorder="1"/>
    <xf numFmtId="164" fontId="2" fillId="0" borderId="1" xfId="0" applyNumberFormat="1" applyFont="1" applyBorder="1"/>
    <xf numFmtId="0" fontId="2" fillId="0" borderId="2" xfId="0" applyFont="1" applyFill="1" applyBorder="1"/>
    <xf numFmtId="20" fontId="2" fillId="0" borderId="19" xfId="0" applyNumberFormat="1" applyFont="1" applyBorder="1"/>
    <xf numFmtId="0" fontId="2" fillId="0" borderId="19" xfId="0" applyNumberFormat="1" applyFont="1" applyBorder="1" applyAlignment="1">
      <alignment horizontal="left"/>
    </xf>
    <xf numFmtId="1" fontId="0" fillId="0" borderId="19" xfId="0" applyNumberFormat="1" applyBorder="1"/>
    <xf numFmtId="0" fontId="11" fillId="0" borderId="0" xfId="2" applyFont="1" applyAlignment="1">
      <alignment vertical="center"/>
    </xf>
    <xf numFmtId="0" fontId="11" fillId="0" borderId="0" xfId="2" applyFont="1"/>
    <xf numFmtId="0" fontId="11" fillId="0" borderId="0" xfId="2" applyFont="1" applyFill="1" applyAlignment="1">
      <alignment vertical="center"/>
    </xf>
    <xf numFmtId="0" fontId="5" fillId="0" borderId="0" xfId="0" applyFont="1" applyBorder="1" applyAlignment="1">
      <alignment horizontal="center"/>
    </xf>
    <xf numFmtId="0" fontId="14" fillId="0" borderId="0" xfId="4"/>
    <xf numFmtId="0" fontId="14" fillId="0" borderId="0" xfId="4" applyAlignment="1">
      <alignment horizontal="left"/>
    </xf>
    <xf numFmtId="0" fontId="15" fillId="0" borderId="1" xfId="0" applyFont="1" applyBorder="1" applyAlignment="1">
      <alignment horizontal="left" vertical="center"/>
    </xf>
    <xf numFmtId="0" fontId="5" fillId="0" borderId="7" xfId="0" applyFont="1" applyBorder="1" applyAlignment="1"/>
    <xf numFmtId="0" fontId="5" fillId="0" borderId="23" xfId="0" applyFont="1" applyBorder="1" applyAlignment="1"/>
    <xf numFmtId="167" fontId="2" fillId="0" borderId="3" xfId="0" applyNumberFormat="1" applyFont="1" applyBorder="1"/>
    <xf numFmtId="167" fontId="2" fillId="0" borderId="35" xfId="0" applyNumberFormat="1" applyFont="1" applyBorder="1"/>
    <xf numFmtId="167" fontId="2" fillId="0" borderId="35" xfId="0" applyNumberFormat="1" applyFont="1" applyBorder="1" applyAlignment="1">
      <alignment horizontal="center"/>
    </xf>
    <xf numFmtId="168" fontId="2" fillId="0" borderId="35" xfId="3" applyNumberFormat="1" applyFont="1" applyBorder="1" applyAlignment="1">
      <alignment horizontal="center"/>
    </xf>
    <xf numFmtId="0" fontId="2" fillId="0" borderId="17" xfId="0" applyFont="1" applyFill="1" applyBorder="1"/>
    <xf numFmtId="0" fontId="0" fillId="0" borderId="14" xfId="0" applyFont="1" applyFill="1" applyBorder="1"/>
    <xf numFmtId="164" fontId="0" fillId="0" borderId="17" xfId="0" applyNumberFormat="1" applyFont="1" applyBorder="1"/>
    <xf numFmtId="164" fontId="0" fillId="0" borderId="2" xfId="0" applyNumberFormat="1" applyFont="1" applyBorder="1"/>
    <xf numFmtId="20" fontId="2" fillId="0" borderId="1" xfId="0" applyNumberFormat="1" applyFont="1" applyFill="1" applyBorder="1"/>
    <xf numFmtId="20" fontId="0" fillId="0" borderId="22" xfId="0" applyNumberFormat="1" applyFont="1" applyBorder="1"/>
    <xf numFmtId="20" fontId="0" fillId="0" borderId="2" xfId="0" applyNumberFormat="1" applyFont="1" applyBorder="1"/>
    <xf numFmtId="0" fontId="0" fillId="0" borderId="2" xfId="0" applyFont="1" applyBorder="1"/>
    <xf numFmtId="0" fontId="0" fillId="0" borderId="23" xfId="0" applyFont="1" applyFill="1" applyBorder="1"/>
    <xf numFmtId="0" fontId="0" fillId="0" borderId="3" xfId="0" applyFont="1" applyBorder="1"/>
    <xf numFmtId="0" fontId="0" fillId="0" borderId="19" xfId="0" applyFont="1" applyBorder="1"/>
    <xf numFmtId="0" fontId="0" fillId="0" borderId="23" xfId="0" applyNumberFormat="1" applyFont="1" applyBorder="1" applyAlignment="1">
      <alignment horizontal="center"/>
    </xf>
    <xf numFmtId="0" fontId="0" fillId="0" borderId="3" xfId="0" applyNumberFormat="1" applyFont="1" applyBorder="1" applyAlignment="1">
      <alignment horizontal="center"/>
    </xf>
    <xf numFmtId="0" fontId="0" fillId="0" borderId="3" xfId="0" applyNumberFormat="1" applyFont="1" applyBorder="1" applyAlignment="1">
      <alignment horizontal="left"/>
    </xf>
    <xf numFmtId="0" fontId="2" fillId="0" borderId="7" xfId="0" applyNumberFormat="1" applyFont="1" applyBorder="1" applyAlignment="1">
      <alignment horizontal="left"/>
    </xf>
    <xf numFmtId="0" fontId="0" fillId="0" borderId="3" xfId="0" applyNumberFormat="1" applyFont="1" applyFill="1" applyBorder="1" applyAlignment="1">
      <alignment horizontal="left"/>
    </xf>
    <xf numFmtId="0" fontId="0" fillId="0" borderId="23" xfId="0" applyNumberFormat="1" applyFont="1" applyBorder="1" applyAlignment="1">
      <alignment horizontal="left"/>
    </xf>
    <xf numFmtId="1" fontId="0" fillId="0" borderId="23" xfId="0" applyNumberFormat="1" applyFont="1" applyBorder="1"/>
    <xf numFmtId="0" fontId="0" fillId="0" borderId="24" xfId="0" applyFont="1" applyBorder="1"/>
    <xf numFmtId="0" fontId="0" fillId="0" borderId="16" xfId="0" applyFont="1" applyBorder="1"/>
    <xf numFmtId="20" fontId="0" fillId="0" borderId="15" xfId="0" applyNumberFormat="1" applyFont="1" applyBorder="1"/>
    <xf numFmtId="20" fontId="0" fillId="0" borderId="17" xfId="0" applyNumberFormat="1" applyFont="1" applyBorder="1"/>
    <xf numFmtId="164" fontId="0" fillId="0" borderId="29" xfId="0" applyNumberFormat="1" applyFont="1" applyBorder="1"/>
    <xf numFmtId="164" fontId="0" fillId="0" borderId="30" xfId="0" applyNumberFormat="1" applyFont="1" applyBorder="1"/>
    <xf numFmtId="164" fontId="2" fillId="0" borderId="29" xfId="0" applyNumberFormat="1" applyFont="1" applyFill="1" applyBorder="1"/>
    <xf numFmtId="166" fontId="2" fillId="0" borderId="1" xfId="0" applyNumberFormat="1" applyFont="1" applyBorder="1"/>
    <xf numFmtId="164" fontId="2" fillId="0" borderId="1" xfId="0" applyNumberFormat="1" applyFont="1" applyFill="1" applyBorder="1"/>
    <xf numFmtId="164" fontId="0" fillId="0" borderId="15" xfId="0" applyNumberFormat="1" applyFont="1" applyBorder="1"/>
    <xf numFmtId="0" fontId="0" fillId="0" borderId="3" xfId="0" applyFont="1" applyFill="1" applyBorder="1"/>
    <xf numFmtId="0" fontId="0" fillId="0" borderId="23" xfId="0" applyFont="1" applyBorder="1"/>
    <xf numFmtId="0" fontId="2" fillId="0" borderId="1" xfId="0" applyNumberFormat="1" applyFont="1" applyFill="1" applyBorder="1" applyAlignment="1">
      <alignment horizontal="center"/>
    </xf>
    <xf numFmtId="0" fontId="2" fillId="0" borderId="19" xfId="0" applyFont="1" applyFill="1" applyBorder="1"/>
    <xf numFmtId="1" fontId="0" fillId="0" borderId="3" xfId="0" applyNumberFormat="1" applyFont="1" applyFill="1" applyBorder="1"/>
    <xf numFmtId="1" fontId="0" fillId="0" borderId="3" xfId="0" applyNumberFormat="1" applyFont="1" applyBorder="1"/>
    <xf numFmtId="0" fontId="0" fillId="0" borderId="6" xfId="0" applyFill="1" applyBorder="1"/>
    <xf numFmtId="0" fontId="9" fillId="0" borderId="0" xfId="0" applyFont="1"/>
    <xf numFmtId="0" fontId="5" fillId="0" borderId="0" xfId="0" applyFont="1"/>
    <xf numFmtId="167" fontId="0" fillId="0" borderId="1" xfId="0" applyNumberFormat="1" applyBorder="1"/>
    <xf numFmtId="0" fontId="11" fillId="0" borderId="0" xfId="5" applyFont="1" applyAlignment="1">
      <alignment vertical="center"/>
    </xf>
    <xf numFmtId="0" fontId="5" fillId="0" borderId="1" xfId="0" applyFont="1" applyBorder="1"/>
    <xf numFmtId="168" fontId="0" fillId="0" borderId="1" xfId="3" applyNumberFormat="1" applyFont="1" applyBorder="1"/>
    <xf numFmtId="0" fontId="5" fillId="0" borderId="0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167" fontId="2" fillId="0" borderId="3" xfId="0" applyNumberFormat="1" applyFont="1" applyFill="1" applyBorder="1"/>
    <xf numFmtId="167" fontId="2" fillId="0" borderId="35" xfId="0" applyNumberFormat="1" applyFont="1" applyFill="1" applyBorder="1"/>
    <xf numFmtId="167" fontId="2" fillId="0" borderId="35" xfId="0" applyNumberFormat="1" applyFont="1" applyFill="1" applyBorder="1" applyAlignment="1">
      <alignment horizontal="center"/>
    </xf>
    <xf numFmtId="168" fontId="2" fillId="0" borderId="35" xfId="3" applyNumberFormat="1" applyFont="1" applyFill="1" applyBorder="1" applyAlignment="1">
      <alignment horizontal="center"/>
    </xf>
    <xf numFmtId="20" fontId="0" fillId="0" borderId="1" xfId="0" applyNumberFormat="1" applyFont="1" applyFill="1" applyBorder="1"/>
    <xf numFmtId="0" fontId="0" fillId="0" borderId="1" xfId="0" applyFill="1" applyBorder="1"/>
    <xf numFmtId="0" fontId="0" fillId="0" borderId="1" xfId="0" applyNumberFormat="1" applyFill="1" applyBorder="1" applyAlignment="1">
      <alignment horizontal="center"/>
    </xf>
    <xf numFmtId="0" fontId="0" fillId="0" borderId="1" xfId="0" applyNumberFormat="1" applyFill="1" applyBorder="1" applyAlignment="1">
      <alignment horizontal="left"/>
    </xf>
    <xf numFmtId="20" fontId="0" fillId="0" borderId="1" xfId="0" applyNumberFormat="1" applyFill="1" applyBorder="1"/>
    <xf numFmtId="0" fontId="2" fillId="0" borderId="37" xfId="0" applyFont="1" applyFill="1" applyBorder="1"/>
    <xf numFmtId="164" fontId="2" fillId="0" borderId="23" xfId="0" applyNumberFormat="1" applyFont="1" applyBorder="1"/>
    <xf numFmtId="167" fontId="2" fillId="0" borderId="19" xfId="0" applyNumberFormat="1" applyFont="1" applyBorder="1"/>
    <xf numFmtId="167" fontId="2" fillId="0" borderId="34" xfId="0" applyNumberFormat="1" applyFont="1" applyBorder="1"/>
    <xf numFmtId="167" fontId="2" fillId="0" borderId="34" xfId="0" applyNumberFormat="1" applyFont="1" applyBorder="1" applyAlignment="1">
      <alignment horizontal="center"/>
    </xf>
    <xf numFmtId="168" fontId="2" fillId="0" borderId="34" xfId="3" applyNumberFormat="1" applyFont="1" applyBorder="1" applyAlignment="1">
      <alignment horizontal="center"/>
    </xf>
    <xf numFmtId="0" fontId="0" fillId="0" borderId="38" xfId="0" applyFont="1" applyFill="1" applyBorder="1"/>
    <xf numFmtId="164" fontId="0" fillId="0" borderId="3" xfId="0" applyNumberFormat="1" applyFont="1" applyBorder="1"/>
    <xf numFmtId="0" fontId="0" fillId="0" borderId="0" xfId="0" applyFont="1" applyFill="1" applyBorder="1"/>
    <xf numFmtId="164" fontId="0" fillId="0" borderId="0" xfId="0" applyNumberFormat="1" applyFont="1" applyBorder="1"/>
    <xf numFmtId="0" fontId="2" fillId="0" borderId="0" xfId="0" applyFont="1" applyBorder="1"/>
    <xf numFmtId="0" fontId="0" fillId="0" borderId="0" xfId="0" applyNumberFormat="1" applyFont="1" applyBorder="1" applyAlignment="1">
      <alignment horizontal="center"/>
    </xf>
    <xf numFmtId="0" fontId="0" fillId="0" borderId="0" xfId="0" applyNumberFormat="1" applyFont="1" applyBorder="1" applyAlignment="1">
      <alignment horizontal="left"/>
    </xf>
    <xf numFmtId="1" fontId="0" fillId="0" borderId="0" xfId="0" applyNumberFormat="1" applyFont="1" applyBorder="1"/>
    <xf numFmtId="167" fontId="2" fillId="0" borderId="0" xfId="0" applyNumberFormat="1" applyFont="1" applyBorder="1"/>
    <xf numFmtId="167" fontId="2" fillId="0" borderId="0" xfId="0" applyNumberFormat="1" applyFont="1" applyBorder="1" applyAlignment="1">
      <alignment horizontal="center"/>
    </xf>
    <xf numFmtId="168" fontId="2" fillId="0" borderId="0" xfId="3" applyNumberFormat="1" applyFont="1" applyBorder="1" applyAlignment="1">
      <alignment horizontal="center"/>
    </xf>
    <xf numFmtId="0" fontId="0" fillId="0" borderId="0" xfId="0" applyBorder="1"/>
    <xf numFmtId="167" fontId="2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168" fontId="2" fillId="0" borderId="1" xfId="3" applyNumberFormat="1" applyFont="1" applyBorder="1" applyAlignment="1">
      <alignment horizontal="center"/>
    </xf>
    <xf numFmtId="0" fontId="1" fillId="0" borderId="26" xfId="0" applyFont="1" applyBorder="1" applyAlignment="1">
      <alignment vertical="top" wrapText="1"/>
    </xf>
    <xf numFmtId="168" fontId="2" fillId="0" borderId="35" xfId="3" applyNumberFormat="1" applyFont="1" applyBorder="1"/>
    <xf numFmtId="2" fontId="0" fillId="0" borderId="1" xfId="0" applyNumberFormat="1" applyFont="1" applyBorder="1"/>
    <xf numFmtId="0" fontId="17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1" fillId="0" borderId="0" xfId="5" applyFont="1" applyAlignment="1">
      <alignment vertical="center" wrapText="1"/>
    </xf>
    <xf numFmtId="0" fontId="16" fillId="0" borderId="0" xfId="5" applyFont="1" applyAlignment="1">
      <alignment vertical="center"/>
    </xf>
    <xf numFmtId="0" fontId="11" fillId="0" borderId="1" xfId="5" applyFont="1" applyBorder="1" applyAlignment="1">
      <alignment vertical="center"/>
    </xf>
    <xf numFmtId="0" fontId="16" fillId="0" borderId="1" xfId="5" applyFont="1" applyBorder="1" applyAlignment="1">
      <alignment vertical="center"/>
    </xf>
    <xf numFmtId="169" fontId="0" fillId="0" borderId="0" xfId="6" applyNumberFormat="1" applyFont="1" applyBorder="1"/>
    <xf numFmtId="41" fontId="0" fillId="0" borderId="0" xfId="6" applyFont="1"/>
    <xf numFmtId="41" fontId="0" fillId="0" borderId="0" xfId="0" applyNumberFormat="1"/>
    <xf numFmtId="168" fontId="5" fillId="0" borderId="1" xfId="3" applyNumberFormat="1" applyFont="1" applyBorder="1"/>
    <xf numFmtId="0" fontId="12" fillId="0" borderId="0" xfId="0" applyFont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4" xfId="0" applyFont="1" applyBorder="1" applyAlignment="1">
      <alignment horizontal="center" vertical="top" wrapText="1"/>
    </xf>
    <xf numFmtId="0" fontId="5" fillId="0" borderId="11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4" xfId="0" applyNumberFormat="1" applyFont="1" applyBorder="1" applyAlignment="1">
      <alignment horizontal="center" vertical="top" wrapText="1"/>
    </xf>
    <xf numFmtId="0" fontId="5" fillId="0" borderId="7" xfId="0" applyNumberFormat="1" applyFont="1" applyBorder="1" applyAlignment="1">
      <alignment horizontal="center" vertical="top" wrapText="1"/>
    </xf>
    <xf numFmtId="0" fontId="5" fillId="0" borderId="4" xfId="0" applyNumberFormat="1" applyFont="1" applyBorder="1" applyAlignment="1">
      <alignment horizontal="left" vertical="top" wrapText="1"/>
    </xf>
    <xf numFmtId="0" fontId="5" fillId="0" borderId="7" xfId="0" applyNumberFormat="1" applyFont="1" applyBorder="1" applyAlignment="1">
      <alignment horizontal="left" vertical="top" wrapText="1"/>
    </xf>
    <xf numFmtId="15" fontId="7" fillId="0" borderId="1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5" fontId="4" fillId="0" borderId="18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4" xfId="0" applyNumberFormat="1" applyFont="1" applyBorder="1" applyAlignment="1">
      <alignment horizontal="center" vertical="top" wrapText="1"/>
    </xf>
    <xf numFmtId="0" fontId="1" fillId="0" borderId="7" xfId="0" applyNumberFormat="1" applyFont="1" applyBorder="1" applyAlignment="1">
      <alignment horizontal="center" vertical="top" wrapText="1"/>
    </xf>
    <xf numFmtId="0" fontId="1" fillId="0" borderId="23" xfId="0" applyFont="1" applyBorder="1" applyAlignment="1">
      <alignment horizontal="center"/>
    </xf>
    <xf numFmtId="0" fontId="1" fillId="0" borderId="36" xfId="0" applyFont="1" applyBorder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39" xfId="0" applyFont="1" applyBorder="1" applyAlignment="1">
      <alignment horizontal="center" vertical="top" wrapText="1"/>
    </xf>
    <xf numFmtId="0" fontId="1" fillId="0" borderId="40" xfId="0" applyFont="1" applyBorder="1" applyAlignment="1">
      <alignment horizontal="center" vertical="top" wrapText="1"/>
    </xf>
    <xf numFmtId="0" fontId="1" fillId="0" borderId="41" xfId="0" applyFont="1" applyBorder="1" applyAlignment="1">
      <alignment horizontal="center" vertical="top" wrapText="1"/>
    </xf>
    <xf numFmtId="0" fontId="14" fillId="0" borderId="0" xfId="4" applyAlignment="1">
      <alignment horizontal="center"/>
    </xf>
    <xf numFmtId="0" fontId="11" fillId="0" borderId="34" xfId="2" applyFont="1" applyBorder="1" applyAlignment="1">
      <alignment horizontal="left" vertical="center" wrapText="1"/>
    </xf>
    <xf numFmtId="0" fontId="11" fillId="0" borderId="0" xfId="2" applyFont="1" applyAlignment="1">
      <alignment horizontal="left" vertical="center"/>
    </xf>
    <xf numFmtId="0" fontId="11" fillId="0" borderId="32" xfId="2" applyFont="1" applyBorder="1" applyAlignment="1">
      <alignment horizontal="left" vertical="center"/>
    </xf>
    <xf numFmtId="0" fontId="11" fillId="0" borderId="0" xfId="2" applyFont="1" applyAlignment="1">
      <alignment horizontal="left" vertical="center" wrapText="1"/>
    </xf>
  </cellXfs>
  <cellStyles count="7">
    <cellStyle name="Comma [0]" xfId="6" builtinId="6"/>
    <cellStyle name="Hyperlink" xfId="1" builtinId="8"/>
    <cellStyle name="Normal" xfId="0" builtinId="0"/>
    <cellStyle name="Normal 2" xfId="2" xr:uid="{00000000-0005-0000-0000-000002000000}"/>
    <cellStyle name="Normal 2 2" xfId="4" xr:uid="{00000000-0005-0000-0000-000003000000}"/>
    <cellStyle name="Normal 2 2 2" xfId="5" xr:uid="{00000000-0005-0000-0000-000004000000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/>
              <a:t>Truck Composition for Tororo-Mbale </a:t>
            </a:r>
            <a:r>
              <a:rPr lang="en-US" sz="1400" b="1" baseline="0"/>
              <a:t>Highway</a:t>
            </a:r>
            <a:endParaRPr lang="en-US" sz="1400" b="1"/>
          </a:p>
        </c:rich>
      </c:tx>
      <c:layout>
        <c:manualLayout>
          <c:xMode val="edge"/>
          <c:yMode val="edge"/>
          <c:x val="0.18979532600532667"/>
          <c:y val="4.5644252760869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374999999999999"/>
          <c:y val="0.13726649305555555"/>
          <c:w val="0.8525880758807588"/>
          <c:h val="0.71693148153192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Graphs!$C$4</c:f>
              <c:strCache>
                <c:ptCount val="1"/>
                <c:pt idx="0">
                  <c:v>Tororo-Mbale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plosion val="4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BC7-464B-BD7E-3005D370515C}"/>
              </c:ext>
            </c:extLst>
          </c:dPt>
          <c:dPt>
            <c:idx val="1"/>
            <c:invertIfNegative val="0"/>
            <c:bubble3D val="0"/>
            <c:explosion val="16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C7-464B-BD7E-3005D370515C}"/>
              </c:ext>
            </c:extLst>
          </c:dPt>
          <c:dPt>
            <c:idx val="2"/>
            <c:invertIfNegative val="0"/>
            <c:bubble3D val="0"/>
            <c:explosion val="19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BC7-464B-BD7E-3005D370515C}"/>
              </c:ext>
            </c:extLst>
          </c:dPt>
          <c:cat>
            <c:strRef>
              <c:f>Graphs!$B$5:$B$7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Graphs!$C$5:$C$7</c:f>
              <c:numCache>
                <c:formatCode>General</c:formatCode>
                <c:ptCount val="3"/>
                <c:pt idx="0">
                  <c:v>58</c:v>
                </c:pt>
                <c:pt idx="1">
                  <c:v>27</c:v>
                </c:pt>
                <c:pt idx="2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C7-464B-BD7E-3005D370515C}"/>
            </c:ext>
          </c:extLst>
        </c:ser>
        <c:ser>
          <c:idx val="1"/>
          <c:order val="1"/>
          <c:tx>
            <c:strRef>
              <c:f>Graphs!$D$4</c:f>
              <c:strCache>
                <c:ptCount val="1"/>
                <c:pt idx="0">
                  <c:v>Mbale-Tororo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Graphs!$D$5:$D$7</c:f>
              <c:numCache>
                <c:formatCode>General</c:formatCode>
                <c:ptCount val="3"/>
                <c:pt idx="0">
                  <c:v>46</c:v>
                </c:pt>
                <c:pt idx="1">
                  <c:v>16</c:v>
                </c:pt>
                <c:pt idx="2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BC7-464B-BD7E-3005D3705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5989920"/>
        <c:axId val="624706576"/>
      </c:barChart>
      <c:catAx>
        <c:axId val="735989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4706576"/>
        <c:crosses val="autoZero"/>
        <c:auto val="1"/>
        <c:lblAlgn val="ctr"/>
        <c:lblOffset val="100"/>
        <c:noMultiLvlLbl val="0"/>
      </c:catAx>
      <c:valAx>
        <c:axId val="6247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</a:rPr>
                  <a:t>Truck</a:t>
                </a:r>
                <a:r>
                  <a:rPr lang="en-US" sz="1200" b="1" baseline="0">
                    <a:solidFill>
                      <a:sysClr val="windowText" lastClr="000000"/>
                    </a:solidFill>
                  </a:rPr>
                  <a:t> Composition</a:t>
                </a:r>
                <a:endParaRPr lang="en-US" sz="120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7359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Average Truck Loading (Tororo-Mbale Higwhay)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512271286194127"/>
          <c:y val="9.9059863139177751E-2"/>
          <c:w val="0.85110884788232899"/>
          <c:h val="0.738430734414569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Tororo-Mbale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Graphs!$C$29:$C$31</c:f>
              <c:numCache>
                <c:formatCode>0.0</c:formatCode>
                <c:ptCount val="3"/>
                <c:pt idx="0">
                  <c:v>6.0539655172413802</c:v>
                </c:pt>
                <c:pt idx="1">
                  <c:v>16.610962962962962</c:v>
                </c:pt>
                <c:pt idx="2">
                  <c:v>34.943236842105271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F-427D-8836-290624EDE1FE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Mbale-Tororo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Graphs!$D$29:$D$31</c:f>
              <c:numCache>
                <c:formatCode>0.0</c:formatCode>
                <c:ptCount val="3"/>
                <c:pt idx="0">
                  <c:v>8.799130434782608</c:v>
                </c:pt>
                <c:pt idx="1">
                  <c:v>19.743749999999999</c:v>
                </c:pt>
                <c:pt idx="2">
                  <c:v>35.67487719298245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F-427D-8836-290624EDE1FE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Graphs!$E$29:$E$31</c:f>
              <c:numCache>
                <c:formatCode>0.0</c:formatCode>
                <c:ptCount val="3"/>
                <c:pt idx="0">
                  <c:v>7.4265479760119941</c:v>
                </c:pt>
                <c:pt idx="1">
                  <c:v>18.177356481481482</c:v>
                </c:pt>
                <c:pt idx="2">
                  <c:v>35.309057017543864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9F-427D-8836-290624EDE1FE}"/>
            </c:ext>
          </c:extLst>
        </c:ser>
        <c:ser>
          <c:idx val="3"/>
          <c:order val="3"/>
          <c:tx>
            <c:strRef>
              <c:f>Graphs!$F$28</c:f>
              <c:strCache>
                <c:ptCount val="1"/>
                <c:pt idx="0">
                  <c:v>Limit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Graphs!$F$29:$F$31</c:f>
              <c:numCache>
                <c:formatCode>General</c:formatCode>
                <c:ptCount val="3"/>
                <c:pt idx="0">
                  <c:v>18</c:v>
                </c:pt>
                <c:pt idx="1">
                  <c:v>27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9F-427D-8836-290624EDE1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Truck Loading (Ton)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Average Proportion of Overloaded Trucks (Tororo-Mbale)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Tororo-Mbale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Graphs!$C$57:$C$59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C9-423F-B2D9-D041C41E9072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Mbale-Tororo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Graphs!$D$57:$D$59</c:f>
              <c:numCache>
                <c:formatCode>0.0%</c:formatCode>
                <c:ptCount val="3"/>
                <c:pt idx="0">
                  <c:v>2.1739130434782608E-2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C9-423F-B2D9-D041C41E9072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Graphs!$E$57:$E$59</c:f>
              <c:numCache>
                <c:formatCode>0.0%</c:formatCode>
                <c:ptCount val="3"/>
                <c:pt idx="0">
                  <c:v>1.0869565217391304E-2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C9-423F-B2D9-D041C41E90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of Overloading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Percentage By Which Vehicles Are</a:t>
            </a:r>
            <a:r>
              <a:rPr lang="en-US" sz="1400" b="1" baseline="0">
                <a:solidFill>
                  <a:sysClr val="windowText" lastClr="000000"/>
                </a:solidFill>
              </a:rPr>
              <a:t> Overloaded (Tororo-Mbale)</a:t>
            </a:r>
            <a:endParaRPr lang="en-US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413569001226599"/>
          <c:y val="9.7963675213675216E-2"/>
          <c:w val="0.82436564718183825"/>
          <c:h val="0.673894017094017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Graphs!$N$40</c:f>
              <c:strCache>
                <c:ptCount val="1"/>
                <c:pt idx="0">
                  <c:v>Tororo-Mbale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Graphs!$N$41:$N$44</c:f>
              <c:numCache>
                <c:formatCode>0.0%</c:formatCode>
                <c:ptCount val="4"/>
                <c:pt idx="0">
                  <c:v>6.2111801242236021E-3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A6-4492-9C4B-CC5D1887CA9F}"/>
            </c:ext>
          </c:extLst>
        </c:ser>
        <c:ser>
          <c:idx val="1"/>
          <c:order val="1"/>
          <c:tx>
            <c:strRef>
              <c:f>Graphs!$O$40</c:f>
              <c:strCache>
                <c:ptCount val="1"/>
                <c:pt idx="0">
                  <c:v>Mbale-Tororo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Graphs!$O$41:$O$44</c:f>
              <c:numCache>
                <c:formatCode>0.0%</c:formatCode>
                <c:ptCount val="4"/>
                <c:pt idx="0">
                  <c:v>0</c:v>
                </c:pt>
                <c:pt idx="1">
                  <c:v>8.4033613445378148E-3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A6-4492-9C4B-CC5D1887C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9"/>
        <c:axId val="620641328"/>
        <c:axId val="620643624"/>
      </c:barChart>
      <c:catAx>
        <c:axId val="620641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3624"/>
        <c:crosses val="autoZero"/>
        <c:auto val="1"/>
        <c:lblAlgn val="ctr"/>
        <c:lblOffset val="100"/>
        <c:noMultiLvlLbl val="0"/>
      </c:catAx>
      <c:valAx>
        <c:axId val="620643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Percentage By Which Overloaded</a:t>
                </a:r>
              </a:p>
            </c:rich>
          </c:tx>
          <c:layout>
            <c:manualLayout>
              <c:xMode val="edge"/>
              <c:yMode val="edge"/>
              <c:x val="0.36296796766604333"/>
              <c:y val="0.848972222222222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Load Description (Tororo-Mbale Highway)</a:t>
            </a:r>
          </a:p>
        </c:rich>
      </c:tx>
      <c:layout>
        <c:manualLayout>
          <c:xMode val="edge"/>
          <c:yMode val="edge"/>
          <c:x val="0.32064069134850776"/>
          <c:y val="1.6836638994111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Graphs!$M$4</c:f>
              <c:strCache>
                <c:ptCount val="1"/>
                <c:pt idx="0">
                  <c:v>Tororo-Mbale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Graphs!$M$5:$M$15</c:f>
              <c:numCache>
                <c:formatCode>0.0%</c:formatCode>
                <c:ptCount val="11"/>
                <c:pt idx="0">
                  <c:v>0.2236024844720497</c:v>
                </c:pt>
                <c:pt idx="1">
                  <c:v>6.2111801242236021E-3</c:v>
                </c:pt>
                <c:pt idx="2">
                  <c:v>0.49068322981366458</c:v>
                </c:pt>
                <c:pt idx="3">
                  <c:v>6.2111801242236021E-3</c:v>
                </c:pt>
                <c:pt idx="4">
                  <c:v>6.2111801242236021E-3</c:v>
                </c:pt>
                <c:pt idx="5">
                  <c:v>6.2111801242236024E-2</c:v>
                </c:pt>
                <c:pt idx="6">
                  <c:v>4.3478260869565216E-2</c:v>
                </c:pt>
                <c:pt idx="7">
                  <c:v>0</c:v>
                </c:pt>
                <c:pt idx="8">
                  <c:v>6.8322981366459631E-2</c:v>
                </c:pt>
                <c:pt idx="9">
                  <c:v>8.0745341614906832E-2</c:v>
                </c:pt>
                <c:pt idx="10">
                  <c:v>1.2422360248447204E-2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B7-4F59-8373-1C7FFAAAE298}"/>
            </c:ext>
          </c:extLst>
        </c:ser>
        <c:ser>
          <c:idx val="1"/>
          <c:order val="1"/>
          <c:tx>
            <c:strRef>
              <c:f>Graphs!$N$4</c:f>
              <c:strCache>
                <c:ptCount val="1"/>
                <c:pt idx="0">
                  <c:v>Mbale-Tororo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Graphs!$N$5:$N$15</c:f>
              <c:numCache>
                <c:formatCode>0.0%</c:formatCode>
                <c:ptCount val="11"/>
                <c:pt idx="0">
                  <c:v>0.19327731092436976</c:v>
                </c:pt>
                <c:pt idx="1">
                  <c:v>4.2016806722689079E-2</c:v>
                </c:pt>
                <c:pt idx="2">
                  <c:v>5.0420168067226892E-2</c:v>
                </c:pt>
                <c:pt idx="3">
                  <c:v>0</c:v>
                </c:pt>
                <c:pt idx="4">
                  <c:v>5.0420168067226892E-2</c:v>
                </c:pt>
                <c:pt idx="5">
                  <c:v>0</c:v>
                </c:pt>
                <c:pt idx="6">
                  <c:v>0.38655462184873951</c:v>
                </c:pt>
                <c:pt idx="7">
                  <c:v>0</c:v>
                </c:pt>
                <c:pt idx="8">
                  <c:v>0.1092436974789916</c:v>
                </c:pt>
                <c:pt idx="9">
                  <c:v>0.15966386554621848</c:v>
                </c:pt>
                <c:pt idx="10">
                  <c:v>8.4033613445378148E-3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B7-4F59-8373-1C7FFAAAE2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2"/>
        <c:axId val="619720880"/>
        <c:axId val="619721536"/>
      </c:barChart>
      <c:catAx>
        <c:axId val="6197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1536"/>
        <c:crosses val="autoZero"/>
        <c:auto val="1"/>
        <c:lblAlgn val="ctr"/>
        <c:lblOffset val="100"/>
        <c:noMultiLvlLbl val="0"/>
      </c:catAx>
      <c:valAx>
        <c:axId val="6197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0</xdr:rowOff>
    </xdr:from>
    <xdr:to>
      <xdr:col>20</xdr:col>
      <xdr:colOff>297180</xdr:colOff>
      <xdr:row>4</xdr:row>
      <xdr:rowOff>15240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77700" y="182880"/>
          <a:ext cx="1516380" cy="381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0</xdr:rowOff>
    </xdr:from>
    <xdr:to>
      <xdr:col>20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D3244D-B423-4384-9FAF-B5DDABC7E4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592050" y="190500"/>
          <a:ext cx="1478280" cy="40576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0</xdr:rowOff>
    </xdr:from>
    <xdr:to>
      <xdr:col>20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33C1A7-D46A-4925-BF24-AB5D15CE5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39600" y="190500"/>
          <a:ext cx="1478280" cy="40576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A2E89E-06D1-445F-B1A8-0D45BB5397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734925" y="428625"/>
          <a:ext cx="1478280" cy="40576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8D257A-1507-47FC-9E3A-E4B5493E8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734925" y="428625"/>
          <a:ext cx="1478280" cy="40576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12314</xdr:colOff>
      <xdr:row>2</xdr:row>
      <xdr:rowOff>165870</xdr:rowOff>
    </xdr:from>
    <xdr:to>
      <xdr:col>9</xdr:col>
      <xdr:colOff>1047981</xdr:colOff>
      <xdr:row>25</xdr:row>
      <xdr:rowOff>117203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A7EB9B-AD01-4E79-8900-F955D60DE8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14429</xdr:colOff>
      <xdr:row>26</xdr:row>
      <xdr:rowOff>160095</xdr:rowOff>
    </xdr:from>
    <xdr:to>
      <xdr:col>9</xdr:col>
      <xdr:colOff>1050096</xdr:colOff>
      <xdr:row>51</xdr:row>
      <xdr:rowOff>5595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13E6A1-F855-4FE4-BAD2-2478F5D923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14622</xdr:colOff>
      <xdr:row>53</xdr:row>
      <xdr:rowOff>61672</xdr:rowOff>
    </xdr:from>
    <xdr:to>
      <xdr:col>9</xdr:col>
      <xdr:colOff>1063144</xdr:colOff>
      <xdr:row>77</xdr:row>
      <xdr:rowOff>127480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1E0030-15FA-4739-9CB8-924EA5248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602287</xdr:colOff>
      <xdr:row>44</xdr:row>
      <xdr:rowOff>188096</xdr:rowOff>
    </xdr:from>
    <xdr:to>
      <xdr:col>21</xdr:col>
      <xdr:colOff>444500</xdr:colOff>
      <xdr:row>68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40FE32-31DB-44FC-BA49-BB1ABC876F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69273</xdr:colOff>
      <xdr:row>1</xdr:row>
      <xdr:rowOff>65806</xdr:rowOff>
    </xdr:from>
    <xdr:to>
      <xdr:col>23</xdr:col>
      <xdr:colOff>398318</xdr:colOff>
      <xdr:row>36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2BEB2DB-F92B-4519-853D-56F203CA5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421821</xdr:colOff>
      <xdr:row>1</xdr:row>
      <xdr:rowOff>149678</xdr:rowOff>
    </xdr:from>
    <xdr:to>
      <xdr:col>20</xdr:col>
      <xdr:colOff>555170</xdr:colOff>
      <xdr:row>28</xdr:row>
      <xdr:rowOff>62593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B3F9A33-9D68-4222-B3E1-54EF75CCF4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296" y="311603"/>
          <a:ext cx="3181349" cy="42848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22</xdr:col>
      <xdr:colOff>485775</xdr:colOff>
      <xdr:row>1</xdr:row>
      <xdr:rowOff>57149</xdr:rowOff>
    </xdr:from>
    <xdr:to>
      <xdr:col>31</xdr:col>
      <xdr:colOff>464910</xdr:colOff>
      <xdr:row>44</xdr:row>
      <xdr:rowOff>52887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F4626C-0A2A-49AC-B140-BB35D39835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8450" y="219074"/>
          <a:ext cx="5465535" cy="7110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3-MITYAN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Y1"/>
      <sheetName val="DAY2"/>
      <sheetName val="DAY3"/>
      <sheetName val="Kla-Mityana"/>
      <sheetName val="Mityana-Kla"/>
      <sheetName val="Graphs"/>
      <sheetName val="KEY"/>
      <sheetName val="Desc"/>
    </sheetNames>
    <sheetDataSet>
      <sheetData sheetId="0" refreshError="1"/>
      <sheetData sheetId="1" refreshError="1"/>
      <sheetData sheetId="2" refreshError="1"/>
      <sheetData sheetId="3">
        <row r="7">
          <cell r="D7">
            <v>7</v>
          </cell>
        </row>
      </sheetData>
      <sheetData sheetId="4">
        <row r="7">
          <cell r="D7">
            <v>7</v>
          </cell>
        </row>
      </sheetData>
      <sheetData sheetId="5">
        <row r="4">
          <cell r="C4" t="str">
            <v>Kampala-Mityana</v>
          </cell>
        </row>
      </sheetData>
      <sheetData sheetId="6">
        <row r="35">
          <cell r="D35">
            <v>7</v>
          </cell>
          <cell r="E35">
            <v>18</v>
          </cell>
        </row>
        <row r="36">
          <cell r="D36">
            <v>7</v>
          </cell>
          <cell r="E36">
            <v>18</v>
          </cell>
        </row>
        <row r="37">
          <cell r="D37">
            <v>8</v>
          </cell>
          <cell r="E37">
            <v>26</v>
          </cell>
        </row>
        <row r="38">
          <cell r="D38">
            <v>9</v>
          </cell>
          <cell r="E38">
            <v>26</v>
          </cell>
        </row>
        <row r="39">
          <cell r="D39">
            <v>10</v>
          </cell>
          <cell r="E39">
            <v>46</v>
          </cell>
        </row>
        <row r="40">
          <cell r="D40">
            <v>10</v>
          </cell>
          <cell r="E40">
            <v>46</v>
          </cell>
        </row>
        <row r="41">
          <cell r="D41">
            <v>10</v>
          </cell>
          <cell r="E41">
            <v>46</v>
          </cell>
        </row>
        <row r="42">
          <cell r="D42">
            <v>10</v>
          </cell>
          <cell r="E42">
            <v>46</v>
          </cell>
        </row>
        <row r="43">
          <cell r="D43">
            <v>10</v>
          </cell>
          <cell r="E43">
            <v>46</v>
          </cell>
        </row>
        <row r="44">
          <cell r="D44">
            <v>9</v>
          </cell>
          <cell r="E44">
            <v>34</v>
          </cell>
        </row>
      </sheetData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\" TargetMode="External"/><Relationship Id="rId2" Type="http://schemas.openxmlformats.org/officeDocument/2006/relationships/hyperlink" Target="\" TargetMode="External"/><Relationship Id="rId1" Type="http://schemas.openxmlformats.org/officeDocument/2006/relationships/hyperlink" Target="\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\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\" TargetMode="External"/><Relationship Id="rId1" Type="http://schemas.openxmlformats.org/officeDocument/2006/relationships/hyperlink" Target="\" TargetMode="Externa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E14" sqref="E14"/>
    </sheetView>
  </sheetViews>
  <sheetFormatPr defaultRowHeight="15" x14ac:dyDescent="0.25"/>
  <cols>
    <col min="1" max="1" width="3.85546875" customWidth="1"/>
    <col min="2" max="2" width="5" customWidth="1"/>
  </cols>
  <sheetData>
    <row r="1" spans="1:3" x14ac:dyDescent="0.25">
      <c r="A1" t="s">
        <v>348</v>
      </c>
    </row>
    <row r="2" spans="1:3" x14ac:dyDescent="0.25">
      <c r="B2" t="s">
        <v>349</v>
      </c>
    </row>
    <row r="3" spans="1:3" x14ac:dyDescent="0.25">
      <c r="C3" t="s">
        <v>350</v>
      </c>
    </row>
    <row r="4" spans="1:3" x14ac:dyDescent="0.25">
      <c r="C4" t="s">
        <v>351</v>
      </c>
    </row>
    <row r="5" spans="1:3" x14ac:dyDescent="0.25">
      <c r="C5" t="s">
        <v>352</v>
      </c>
    </row>
    <row r="6" spans="1:3" x14ac:dyDescent="0.25">
      <c r="C6" t="s">
        <v>353</v>
      </c>
    </row>
    <row r="7" spans="1:3" x14ac:dyDescent="0.25">
      <c r="B7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216"/>
  <sheetViews>
    <sheetView view="pageBreakPreview" zoomScale="75" zoomScaleNormal="100" zoomScaleSheetLayoutView="75" workbookViewId="0">
      <pane xSplit="1" ySplit="6" topLeftCell="B7" activePane="bottomRight" state="frozen"/>
      <selection pane="topRight" activeCell="B1" sqref="B1"/>
      <selection pane="bottomLeft" activeCell="A6" sqref="A6"/>
      <selection pane="bottomRight" sqref="A1:W1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style="45" customWidth="1"/>
    <col min="5" max="5" width="11" style="45" customWidth="1"/>
    <col min="6" max="6" width="15.140625" style="41" customWidth="1"/>
    <col min="7" max="7" width="10.7109375" bestFit="1" customWidth="1"/>
    <col min="8" max="10" width="9.5703125" bestFit="1" customWidth="1"/>
    <col min="11" max="18" width="9.85546875" bestFit="1" customWidth="1"/>
    <col min="19" max="20" width="8.85546875" customWidth="1"/>
    <col min="21" max="21" width="13.140625" customWidth="1"/>
    <col min="22" max="22" width="12.42578125" customWidth="1"/>
    <col min="23" max="23" width="15.28515625" customWidth="1"/>
  </cols>
  <sheetData>
    <row r="1" spans="1:23" ht="18.75" x14ac:dyDescent="0.3">
      <c r="A1" s="263" t="s">
        <v>372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</row>
    <row r="2" spans="1:23" x14ac:dyDescent="0.25">
      <c r="A2" s="264" t="s">
        <v>0</v>
      </c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89"/>
    </row>
    <row r="3" spans="1:23" x14ac:dyDescent="0.25">
      <c r="A3" s="90" t="s">
        <v>1</v>
      </c>
      <c r="B3" s="90"/>
      <c r="C3" s="91">
        <v>43763</v>
      </c>
      <c r="D3" s="92" t="s">
        <v>2</v>
      </c>
      <c r="E3" s="93"/>
      <c r="F3" s="94"/>
      <c r="G3" s="90"/>
      <c r="H3" s="90" t="s">
        <v>25</v>
      </c>
      <c r="I3" s="89"/>
      <c r="J3" s="90"/>
      <c r="K3" s="90"/>
      <c r="L3" s="90" t="s">
        <v>3</v>
      </c>
      <c r="M3" s="90"/>
      <c r="N3" s="90"/>
      <c r="O3" s="90"/>
      <c r="P3" s="89"/>
      <c r="Q3" s="90"/>
      <c r="R3" s="95" t="s">
        <v>22</v>
      </c>
      <c r="S3" s="89"/>
      <c r="T3" s="96"/>
      <c r="U3" s="96"/>
      <c r="V3" s="90"/>
      <c r="W3" s="89"/>
    </row>
    <row r="4" spans="1:23" ht="15.75" thickBot="1" x14ac:dyDescent="0.3">
      <c r="A4" s="276"/>
      <c r="B4" s="276"/>
      <c r="C4" s="90"/>
      <c r="D4" s="97" t="s">
        <v>27</v>
      </c>
      <c r="E4" s="93"/>
      <c r="F4" s="94"/>
      <c r="G4" s="90"/>
      <c r="H4" s="98" t="s">
        <v>347</v>
      </c>
      <c r="I4" s="89"/>
      <c r="J4" s="90"/>
      <c r="K4" s="90"/>
      <c r="L4" s="90" t="s">
        <v>18</v>
      </c>
      <c r="M4" s="90"/>
      <c r="N4" s="90"/>
      <c r="O4" s="90"/>
      <c r="P4" s="89"/>
      <c r="Q4" s="90"/>
      <c r="R4" s="90"/>
      <c r="S4" s="96"/>
      <c r="T4" s="96"/>
      <c r="U4" s="96"/>
      <c r="V4" s="90"/>
      <c r="W4" s="89"/>
    </row>
    <row r="5" spans="1:23" s="1" customFormat="1" ht="14.45" customHeight="1" x14ac:dyDescent="0.25">
      <c r="A5" s="267" t="s">
        <v>4</v>
      </c>
      <c r="B5" s="269" t="s">
        <v>5</v>
      </c>
      <c r="C5" s="266" t="s">
        <v>6</v>
      </c>
      <c r="D5" s="272" t="s">
        <v>19</v>
      </c>
      <c r="E5" s="272" t="s">
        <v>7</v>
      </c>
      <c r="F5" s="274" t="s">
        <v>8</v>
      </c>
      <c r="G5" s="99" t="s">
        <v>20</v>
      </c>
      <c r="H5" s="266" t="s">
        <v>53</v>
      </c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99" t="s">
        <v>21</v>
      </c>
      <c r="U5" s="266" t="s">
        <v>17</v>
      </c>
      <c r="V5" s="266" t="s">
        <v>23</v>
      </c>
      <c r="W5" s="277" t="s">
        <v>24</v>
      </c>
    </row>
    <row r="6" spans="1:23" ht="13.9" customHeight="1" thickBot="1" x14ac:dyDescent="0.3">
      <c r="A6" s="268"/>
      <c r="B6" s="270"/>
      <c r="C6" s="271"/>
      <c r="D6" s="273"/>
      <c r="E6" s="273"/>
      <c r="F6" s="275"/>
      <c r="G6" s="265" t="s">
        <v>10</v>
      </c>
      <c r="H6" s="265"/>
      <c r="I6" s="265" t="s">
        <v>11</v>
      </c>
      <c r="J6" s="265"/>
      <c r="K6" s="265" t="s">
        <v>12</v>
      </c>
      <c r="L6" s="265"/>
      <c r="M6" s="265" t="s">
        <v>13</v>
      </c>
      <c r="N6" s="265"/>
      <c r="O6" s="265" t="s">
        <v>14</v>
      </c>
      <c r="P6" s="265"/>
      <c r="Q6" s="265" t="s">
        <v>15</v>
      </c>
      <c r="R6" s="265"/>
      <c r="S6" s="265" t="s">
        <v>16</v>
      </c>
      <c r="T6" s="265"/>
      <c r="U6" s="271"/>
      <c r="V6" s="271"/>
      <c r="W6" s="278"/>
    </row>
    <row r="7" spans="1:23" ht="31.5" customHeight="1" thickBot="1" x14ac:dyDescent="0.3">
      <c r="A7" s="135"/>
      <c r="B7" s="129"/>
      <c r="C7" s="130"/>
      <c r="D7" s="131" t="s">
        <v>355</v>
      </c>
      <c r="E7" s="132" t="s">
        <v>357</v>
      </c>
      <c r="F7" s="133"/>
      <c r="G7" s="134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6"/>
      <c r="V7" s="136"/>
      <c r="W7" s="138" t="s">
        <v>371</v>
      </c>
    </row>
    <row r="8" spans="1:23" ht="20.100000000000001" customHeight="1" x14ac:dyDescent="0.25">
      <c r="A8" s="110">
        <v>1</v>
      </c>
      <c r="B8" s="100">
        <v>0.30555555555555552</v>
      </c>
      <c r="C8" s="101" t="s">
        <v>127</v>
      </c>
      <c r="D8" s="102">
        <v>7</v>
      </c>
      <c r="E8" s="102">
        <v>2</v>
      </c>
      <c r="F8" s="103" t="s">
        <v>58</v>
      </c>
      <c r="G8" s="104">
        <v>2750</v>
      </c>
      <c r="H8" s="104">
        <v>2600</v>
      </c>
      <c r="I8" s="104">
        <v>4500</v>
      </c>
      <c r="J8" s="104">
        <v>4750</v>
      </c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6"/>
      <c r="W8" s="107" t="s">
        <v>67</v>
      </c>
    </row>
    <row r="9" spans="1:23" ht="20.100000000000001" customHeight="1" x14ac:dyDescent="0.25">
      <c r="A9" s="110">
        <f>A8+1</f>
        <v>2</v>
      </c>
      <c r="B9" s="109">
        <v>0.30624999999999997</v>
      </c>
      <c r="C9" s="110" t="s">
        <v>331</v>
      </c>
      <c r="D9" s="111">
        <v>11</v>
      </c>
      <c r="E9" s="111">
        <v>6</v>
      </c>
      <c r="F9" s="112" t="s">
        <v>29</v>
      </c>
      <c r="G9" s="113">
        <v>3630</v>
      </c>
      <c r="H9" s="113">
        <v>3050</v>
      </c>
      <c r="I9" s="113">
        <v>4290</v>
      </c>
      <c r="J9" s="113">
        <v>3600</v>
      </c>
      <c r="K9" s="113">
        <v>3850</v>
      </c>
      <c r="L9" s="113">
        <v>4200</v>
      </c>
      <c r="M9" s="113">
        <v>8850</v>
      </c>
      <c r="N9" s="113">
        <v>3350</v>
      </c>
      <c r="O9" s="113">
        <v>3840</v>
      </c>
      <c r="P9" s="113">
        <v>3550</v>
      </c>
      <c r="Q9" s="113">
        <v>4840</v>
      </c>
      <c r="R9" s="113">
        <v>3600</v>
      </c>
      <c r="S9" s="113"/>
      <c r="T9" s="113"/>
      <c r="U9" s="114"/>
      <c r="V9" s="115"/>
      <c r="W9" s="116" t="s">
        <v>65</v>
      </c>
    </row>
    <row r="10" spans="1:23" ht="20.100000000000001" customHeight="1" x14ac:dyDescent="0.25">
      <c r="A10" s="110">
        <v>3</v>
      </c>
      <c r="B10" s="109">
        <v>0.31041666666666667</v>
      </c>
      <c r="C10" s="110" t="s">
        <v>332</v>
      </c>
      <c r="D10" s="111">
        <v>7</v>
      </c>
      <c r="E10" s="117">
        <v>2</v>
      </c>
      <c r="F10" s="118" t="s">
        <v>58</v>
      </c>
      <c r="G10" s="113">
        <v>1430</v>
      </c>
      <c r="H10" s="113">
        <v>1350</v>
      </c>
      <c r="I10" s="113">
        <v>3630</v>
      </c>
      <c r="J10" s="113">
        <v>3050</v>
      </c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4"/>
      <c r="V10" s="115"/>
      <c r="W10" s="116" t="s">
        <v>128</v>
      </c>
    </row>
    <row r="11" spans="1:23" ht="20.100000000000001" customHeight="1" x14ac:dyDescent="0.25">
      <c r="A11" s="110">
        <f>A10+1</f>
        <v>4</v>
      </c>
      <c r="B11" s="109">
        <v>0.30902777777777779</v>
      </c>
      <c r="C11" s="110" t="s">
        <v>346</v>
      </c>
      <c r="D11" s="111">
        <v>11</v>
      </c>
      <c r="E11" s="111">
        <v>6</v>
      </c>
      <c r="F11" s="112" t="s">
        <v>29</v>
      </c>
      <c r="G11" s="113">
        <v>3630</v>
      </c>
      <c r="H11" s="113">
        <v>3000</v>
      </c>
      <c r="I11" s="113">
        <v>4840</v>
      </c>
      <c r="J11" s="113">
        <v>3860</v>
      </c>
      <c r="K11" s="113">
        <v>4840</v>
      </c>
      <c r="L11" s="113">
        <v>3400</v>
      </c>
      <c r="M11" s="113">
        <v>3960</v>
      </c>
      <c r="N11" s="113">
        <v>3350</v>
      </c>
      <c r="O11" s="113">
        <v>3520</v>
      </c>
      <c r="P11" s="113">
        <v>3500</v>
      </c>
      <c r="Q11" s="113">
        <v>4620</v>
      </c>
      <c r="R11" s="113">
        <v>3300</v>
      </c>
      <c r="S11" s="113"/>
      <c r="T11" s="113"/>
      <c r="U11" s="114"/>
      <c r="V11" s="115"/>
      <c r="W11" s="116" t="s">
        <v>67</v>
      </c>
    </row>
    <row r="12" spans="1:23" ht="20.100000000000001" customHeight="1" x14ac:dyDescent="0.25">
      <c r="A12" s="110">
        <f t="shared" ref="A12:A75" si="0">A11+1</f>
        <v>5</v>
      </c>
      <c r="B12" s="109">
        <v>0.31319444444444444</v>
      </c>
      <c r="C12" s="110" t="s">
        <v>345</v>
      </c>
      <c r="D12" s="111">
        <v>7</v>
      </c>
      <c r="E12" s="117">
        <v>2</v>
      </c>
      <c r="F12" s="118" t="s">
        <v>58</v>
      </c>
      <c r="G12" s="113">
        <v>3080</v>
      </c>
      <c r="H12" s="113">
        <v>3050</v>
      </c>
      <c r="I12" s="113">
        <v>3740</v>
      </c>
      <c r="J12" s="113">
        <v>4500</v>
      </c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4"/>
      <c r="V12" s="115"/>
      <c r="W12" s="116" t="s">
        <v>67</v>
      </c>
    </row>
    <row r="13" spans="1:23" ht="20.100000000000001" customHeight="1" x14ac:dyDescent="0.25">
      <c r="A13" s="110">
        <f t="shared" si="0"/>
        <v>6</v>
      </c>
      <c r="B13" s="109">
        <v>0.31458333333333333</v>
      </c>
      <c r="C13" s="110" t="s">
        <v>344</v>
      </c>
      <c r="D13" s="111">
        <v>11</v>
      </c>
      <c r="E13" s="111">
        <v>6</v>
      </c>
      <c r="F13" s="112" t="s">
        <v>29</v>
      </c>
      <c r="G13" s="113">
        <v>4290</v>
      </c>
      <c r="H13" s="113">
        <v>3300</v>
      </c>
      <c r="I13" s="113">
        <v>5060</v>
      </c>
      <c r="J13" s="113">
        <v>3440</v>
      </c>
      <c r="K13" s="113">
        <v>3300</v>
      </c>
      <c r="L13" s="113">
        <v>2700</v>
      </c>
      <c r="M13" s="113">
        <v>5060</v>
      </c>
      <c r="N13" s="113">
        <v>3200</v>
      </c>
      <c r="O13" s="113">
        <v>3520</v>
      </c>
      <c r="P13" s="113">
        <v>3450</v>
      </c>
      <c r="Q13" s="113">
        <v>4400</v>
      </c>
      <c r="R13" s="113">
        <v>3400</v>
      </c>
      <c r="S13" s="113"/>
      <c r="T13" s="113"/>
      <c r="U13" s="114"/>
      <c r="V13" s="115"/>
      <c r="W13" s="116" t="s">
        <v>65</v>
      </c>
    </row>
    <row r="14" spans="1:23" ht="20.100000000000001" customHeight="1" x14ac:dyDescent="0.25">
      <c r="A14" s="110">
        <f t="shared" si="0"/>
        <v>7</v>
      </c>
      <c r="B14" s="109">
        <v>0.31875000000000003</v>
      </c>
      <c r="C14" s="110" t="s">
        <v>342</v>
      </c>
      <c r="D14" s="111">
        <v>11</v>
      </c>
      <c r="E14" s="111">
        <v>6</v>
      </c>
      <c r="F14" s="112" t="s">
        <v>29</v>
      </c>
      <c r="G14" s="113">
        <v>2860</v>
      </c>
      <c r="H14" s="113">
        <v>3000</v>
      </c>
      <c r="I14" s="113">
        <v>4400</v>
      </c>
      <c r="J14" s="113">
        <v>3450</v>
      </c>
      <c r="K14" s="113">
        <v>4400</v>
      </c>
      <c r="L14" s="113">
        <v>3650</v>
      </c>
      <c r="M14" s="113">
        <v>2640</v>
      </c>
      <c r="N14" s="113">
        <v>3200</v>
      </c>
      <c r="O14" s="113">
        <v>3630</v>
      </c>
      <c r="P14" s="113">
        <v>3600</v>
      </c>
      <c r="Q14" s="113">
        <v>4290</v>
      </c>
      <c r="R14" s="113">
        <v>2300</v>
      </c>
      <c r="S14" s="113"/>
      <c r="T14" s="113"/>
      <c r="U14" s="114"/>
      <c r="V14" s="115"/>
      <c r="W14" s="116" t="s">
        <v>65</v>
      </c>
    </row>
    <row r="15" spans="1:23" ht="20.100000000000001" customHeight="1" x14ac:dyDescent="0.25">
      <c r="A15" s="110">
        <f t="shared" si="0"/>
        <v>8</v>
      </c>
      <c r="B15" s="109">
        <v>0.32013888888888892</v>
      </c>
      <c r="C15" s="110" t="s">
        <v>341</v>
      </c>
      <c r="D15" s="111">
        <v>7</v>
      </c>
      <c r="E15" s="117">
        <v>2</v>
      </c>
      <c r="F15" s="118" t="s">
        <v>58</v>
      </c>
      <c r="G15" s="113">
        <v>1980</v>
      </c>
      <c r="H15" s="113">
        <v>2300</v>
      </c>
      <c r="I15" s="113">
        <v>2750</v>
      </c>
      <c r="J15" s="113">
        <v>5400</v>
      </c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4"/>
      <c r="V15" s="115"/>
      <c r="W15" s="116" t="s">
        <v>67</v>
      </c>
    </row>
    <row r="16" spans="1:23" ht="20.100000000000001" customHeight="1" x14ac:dyDescent="0.25">
      <c r="A16" s="110">
        <f t="shared" si="0"/>
        <v>9</v>
      </c>
      <c r="B16" s="109">
        <v>0.33194444444444443</v>
      </c>
      <c r="C16" s="110" t="s">
        <v>133</v>
      </c>
      <c r="D16" s="111">
        <v>7</v>
      </c>
      <c r="E16" s="117">
        <v>2</v>
      </c>
      <c r="F16" s="118" t="s">
        <v>58</v>
      </c>
      <c r="G16" s="113">
        <v>4070</v>
      </c>
      <c r="H16" s="113">
        <v>3300</v>
      </c>
      <c r="I16" s="113">
        <v>3960</v>
      </c>
      <c r="J16" s="113">
        <v>4200</v>
      </c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4"/>
      <c r="V16" s="115"/>
      <c r="W16" s="116" t="s">
        <v>67</v>
      </c>
    </row>
    <row r="17" spans="1:23" ht="20.100000000000001" customHeight="1" x14ac:dyDescent="0.25">
      <c r="A17" s="110">
        <f t="shared" si="0"/>
        <v>10</v>
      </c>
      <c r="B17" s="109">
        <v>0.33819444444444446</v>
      </c>
      <c r="C17" s="110" t="s">
        <v>136</v>
      </c>
      <c r="D17" s="111">
        <v>11</v>
      </c>
      <c r="E17" s="111">
        <v>6</v>
      </c>
      <c r="F17" s="112" t="s">
        <v>29</v>
      </c>
      <c r="G17" s="113">
        <v>3520</v>
      </c>
      <c r="H17" s="113">
        <v>33000</v>
      </c>
      <c r="I17" s="113">
        <v>4730</v>
      </c>
      <c r="J17" s="113">
        <v>2850</v>
      </c>
      <c r="K17" s="113">
        <v>3850</v>
      </c>
      <c r="L17" s="113">
        <v>2600</v>
      </c>
      <c r="M17" s="113">
        <v>2860</v>
      </c>
      <c r="N17" s="113">
        <v>3300</v>
      </c>
      <c r="O17" s="113">
        <v>4290</v>
      </c>
      <c r="P17" s="113">
        <v>3450</v>
      </c>
      <c r="Q17" s="113">
        <v>4180</v>
      </c>
      <c r="R17" s="113">
        <v>3150</v>
      </c>
      <c r="S17" s="113"/>
      <c r="T17" s="113"/>
      <c r="U17" s="114"/>
      <c r="V17" s="115"/>
      <c r="W17" s="116" t="s">
        <v>65</v>
      </c>
    </row>
    <row r="18" spans="1:23" ht="20.100000000000001" customHeight="1" x14ac:dyDescent="0.25">
      <c r="A18" s="110">
        <f t="shared" si="0"/>
        <v>11</v>
      </c>
      <c r="B18" s="109">
        <v>0.33888888888888885</v>
      </c>
      <c r="C18" s="110" t="s">
        <v>137</v>
      </c>
      <c r="D18" s="111">
        <v>7</v>
      </c>
      <c r="E18" s="117">
        <v>2</v>
      </c>
      <c r="F18" s="118" t="s">
        <v>58</v>
      </c>
      <c r="G18" s="113">
        <v>2200</v>
      </c>
      <c r="H18" s="113">
        <v>2300</v>
      </c>
      <c r="I18" s="113">
        <v>6490</v>
      </c>
      <c r="J18" s="113">
        <v>4850</v>
      </c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4"/>
      <c r="V18" s="115"/>
      <c r="W18" s="116" t="s">
        <v>70</v>
      </c>
    </row>
    <row r="19" spans="1:23" ht="20.100000000000001" customHeight="1" x14ac:dyDescent="0.25">
      <c r="A19" s="110">
        <f t="shared" si="0"/>
        <v>12</v>
      </c>
      <c r="B19" s="109">
        <v>0.34513888888888888</v>
      </c>
      <c r="C19" s="110" t="s">
        <v>138</v>
      </c>
      <c r="D19" s="111">
        <v>7</v>
      </c>
      <c r="E19" s="117">
        <v>2</v>
      </c>
      <c r="F19" s="118" t="s">
        <v>58</v>
      </c>
      <c r="G19" s="113">
        <v>550</v>
      </c>
      <c r="H19" s="113">
        <v>650</v>
      </c>
      <c r="I19" s="113">
        <v>330</v>
      </c>
      <c r="J19" s="113">
        <v>450</v>
      </c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4"/>
      <c r="V19" s="115"/>
      <c r="W19" s="116" t="s">
        <v>129</v>
      </c>
    </row>
    <row r="20" spans="1:23" ht="20.100000000000001" customHeight="1" x14ac:dyDescent="0.25">
      <c r="A20" s="110">
        <f t="shared" si="0"/>
        <v>13</v>
      </c>
      <c r="B20" s="109">
        <v>0.34652777777777777</v>
      </c>
      <c r="C20" s="110" t="s">
        <v>139</v>
      </c>
      <c r="D20" s="111">
        <v>11</v>
      </c>
      <c r="E20" s="111">
        <v>6</v>
      </c>
      <c r="F20" s="118" t="s">
        <v>237</v>
      </c>
      <c r="G20" s="113">
        <v>2530</v>
      </c>
      <c r="H20" s="113">
        <v>2750</v>
      </c>
      <c r="I20" s="113">
        <v>2090</v>
      </c>
      <c r="J20" s="113">
        <v>3050</v>
      </c>
      <c r="K20" s="113">
        <v>3300</v>
      </c>
      <c r="L20" s="113">
        <v>4100</v>
      </c>
      <c r="M20" s="113">
        <v>4290</v>
      </c>
      <c r="N20" s="113">
        <v>2900</v>
      </c>
      <c r="O20" s="113">
        <v>4180</v>
      </c>
      <c r="P20" s="113">
        <v>2850</v>
      </c>
      <c r="Q20" s="113">
        <v>3630</v>
      </c>
      <c r="R20" s="113">
        <v>3830</v>
      </c>
      <c r="S20" s="113"/>
      <c r="T20" s="113"/>
      <c r="U20" s="114"/>
      <c r="V20" s="115"/>
      <c r="W20" s="116" t="s">
        <v>65</v>
      </c>
    </row>
    <row r="21" spans="1:23" ht="20.100000000000001" customHeight="1" x14ac:dyDescent="0.25">
      <c r="A21" s="110">
        <f t="shared" si="0"/>
        <v>14</v>
      </c>
      <c r="B21" s="120">
        <v>0.34791666666666665</v>
      </c>
      <c r="C21" s="110" t="s">
        <v>140</v>
      </c>
      <c r="D21" s="111">
        <v>11</v>
      </c>
      <c r="E21" s="111">
        <v>6</v>
      </c>
      <c r="F21" s="118" t="s">
        <v>110</v>
      </c>
      <c r="G21" s="113">
        <v>2420</v>
      </c>
      <c r="H21" s="113">
        <v>2350</v>
      </c>
      <c r="I21" s="113">
        <v>2970</v>
      </c>
      <c r="J21" s="113">
        <v>2950</v>
      </c>
      <c r="K21" s="113">
        <v>5170</v>
      </c>
      <c r="L21" s="113">
        <v>3100</v>
      </c>
      <c r="M21" s="113">
        <v>4400</v>
      </c>
      <c r="N21" s="113">
        <v>2800</v>
      </c>
      <c r="O21" s="113">
        <v>5390</v>
      </c>
      <c r="P21" s="113">
        <v>2800</v>
      </c>
      <c r="Q21" s="113">
        <v>4400</v>
      </c>
      <c r="R21" s="113">
        <v>2850</v>
      </c>
      <c r="S21" s="113"/>
      <c r="T21" s="113"/>
      <c r="U21" s="114"/>
      <c r="V21" s="115"/>
      <c r="W21" s="116" t="s">
        <v>65</v>
      </c>
    </row>
    <row r="22" spans="1:23" ht="20.100000000000001" customHeight="1" x14ac:dyDescent="0.25">
      <c r="A22" s="110">
        <f t="shared" si="0"/>
        <v>15</v>
      </c>
      <c r="B22" s="109">
        <v>0.35000000000000003</v>
      </c>
      <c r="C22" s="121" t="s">
        <v>86</v>
      </c>
      <c r="D22" s="111">
        <v>8</v>
      </c>
      <c r="E22" s="111">
        <v>3</v>
      </c>
      <c r="F22" s="118" t="s">
        <v>60</v>
      </c>
      <c r="G22" s="113">
        <v>2420</v>
      </c>
      <c r="H22" s="113">
        <v>2700</v>
      </c>
      <c r="I22" s="113">
        <v>3900</v>
      </c>
      <c r="J22" s="113">
        <v>4100</v>
      </c>
      <c r="K22" s="113">
        <v>4950</v>
      </c>
      <c r="L22" s="113">
        <v>4200</v>
      </c>
      <c r="M22" s="113"/>
      <c r="N22" s="113"/>
      <c r="O22" s="113"/>
      <c r="P22" s="113"/>
      <c r="Q22" s="113"/>
      <c r="R22" s="113"/>
      <c r="S22" s="113"/>
      <c r="T22" s="113"/>
      <c r="U22" s="114"/>
      <c r="V22" s="115"/>
      <c r="W22" s="116" t="s">
        <v>67</v>
      </c>
    </row>
    <row r="23" spans="1:23" ht="20.100000000000001" customHeight="1" x14ac:dyDescent="0.25">
      <c r="A23" s="110">
        <f t="shared" si="0"/>
        <v>16</v>
      </c>
      <c r="B23" s="109">
        <v>0.35138888888888892</v>
      </c>
      <c r="C23" s="121" t="s">
        <v>141</v>
      </c>
      <c r="D23" s="111">
        <v>11</v>
      </c>
      <c r="E23" s="111">
        <v>6</v>
      </c>
      <c r="F23" s="118" t="s">
        <v>110</v>
      </c>
      <c r="G23" s="113">
        <v>2310</v>
      </c>
      <c r="H23" s="113">
        <v>3100</v>
      </c>
      <c r="I23" s="113">
        <v>4576</v>
      </c>
      <c r="J23" s="113">
        <v>2090</v>
      </c>
      <c r="K23" s="113">
        <v>5390</v>
      </c>
      <c r="L23" s="113">
        <v>3850</v>
      </c>
      <c r="M23" s="113"/>
      <c r="N23" s="113"/>
      <c r="O23" s="113"/>
      <c r="P23" s="113"/>
      <c r="Q23" s="113"/>
      <c r="R23" s="113"/>
      <c r="S23" s="113"/>
      <c r="T23" s="113"/>
      <c r="U23" s="114"/>
      <c r="V23" s="115"/>
      <c r="W23" s="116" t="s">
        <v>72</v>
      </c>
    </row>
    <row r="24" spans="1:23" ht="20.100000000000001" customHeight="1" x14ac:dyDescent="0.25">
      <c r="A24" s="110">
        <f t="shared" si="0"/>
        <v>17</v>
      </c>
      <c r="B24" s="109">
        <v>0.3756944444444445</v>
      </c>
      <c r="C24" s="121" t="s">
        <v>151</v>
      </c>
      <c r="D24" s="111">
        <v>11</v>
      </c>
      <c r="E24" s="111">
        <v>6</v>
      </c>
      <c r="F24" s="112" t="s">
        <v>29</v>
      </c>
      <c r="G24" s="113">
        <v>3300</v>
      </c>
      <c r="H24" s="113">
        <v>2800</v>
      </c>
      <c r="I24" s="113">
        <v>4840</v>
      </c>
      <c r="J24" s="113">
        <v>3350</v>
      </c>
      <c r="K24" s="113">
        <v>4510</v>
      </c>
      <c r="L24" s="113">
        <v>3300</v>
      </c>
      <c r="M24" s="113">
        <v>4070</v>
      </c>
      <c r="N24" s="113">
        <v>2800</v>
      </c>
      <c r="O24" s="113">
        <v>4730</v>
      </c>
      <c r="P24" s="113">
        <v>2800</v>
      </c>
      <c r="Q24" s="113">
        <v>3300</v>
      </c>
      <c r="R24" s="113">
        <v>3200</v>
      </c>
      <c r="S24" s="113"/>
      <c r="T24" s="113"/>
      <c r="U24" s="114"/>
      <c r="V24" s="115"/>
      <c r="W24" s="116" t="s">
        <v>70</v>
      </c>
    </row>
    <row r="25" spans="1:23" ht="20.100000000000001" customHeight="1" x14ac:dyDescent="0.25">
      <c r="A25" s="110">
        <f t="shared" si="0"/>
        <v>18</v>
      </c>
      <c r="B25" s="109">
        <v>0.37777777777777777</v>
      </c>
      <c r="C25" s="121" t="s">
        <v>152</v>
      </c>
      <c r="D25" s="111">
        <v>11</v>
      </c>
      <c r="E25" s="111">
        <v>6</v>
      </c>
      <c r="F25" s="118" t="s">
        <v>110</v>
      </c>
      <c r="G25" s="113">
        <v>2750</v>
      </c>
      <c r="H25" s="113">
        <v>2500</v>
      </c>
      <c r="I25" s="113">
        <v>3740</v>
      </c>
      <c r="J25" s="113">
        <v>3200</v>
      </c>
      <c r="K25" s="113">
        <v>5500</v>
      </c>
      <c r="L25" s="113">
        <v>3150</v>
      </c>
      <c r="M25" s="113">
        <v>4180</v>
      </c>
      <c r="N25" s="113">
        <v>3850</v>
      </c>
      <c r="O25" s="113">
        <v>3410</v>
      </c>
      <c r="P25" s="113">
        <v>3300</v>
      </c>
      <c r="Q25" s="113">
        <v>5170</v>
      </c>
      <c r="R25" s="113">
        <v>3100</v>
      </c>
      <c r="S25" s="113"/>
      <c r="T25" s="113"/>
      <c r="U25" s="114"/>
      <c r="V25" s="115"/>
      <c r="W25" s="116" t="s">
        <v>67</v>
      </c>
    </row>
    <row r="26" spans="1:23" ht="20.100000000000001" customHeight="1" x14ac:dyDescent="0.25">
      <c r="A26" s="110">
        <f t="shared" si="0"/>
        <v>19</v>
      </c>
      <c r="B26" s="109">
        <v>0.3833333333333333</v>
      </c>
      <c r="C26" s="121" t="s">
        <v>156</v>
      </c>
      <c r="D26" s="111">
        <v>7</v>
      </c>
      <c r="E26" s="117">
        <v>2</v>
      </c>
      <c r="F26" s="118" t="s">
        <v>58</v>
      </c>
      <c r="G26" s="113">
        <v>880</v>
      </c>
      <c r="H26" s="113">
        <v>800</v>
      </c>
      <c r="I26" s="113">
        <v>440</v>
      </c>
      <c r="J26" s="113">
        <v>700</v>
      </c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4"/>
      <c r="V26" s="115"/>
      <c r="W26" s="116" t="s">
        <v>72</v>
      </c>
    </row>
    <row r="27" spans="1:23" ht="20.100000000000001" customHeight="1" x14ac:dyDescent="0.25">
      <c r="A27" s="110">
        <f t="shared" si="0"/>
        <v>20</v>
      </c>
      <c r="B27" s="109">
        <v>0.4145833333333333</v>
      </c>
      <c r="C27" s="121" t="s">
        <v>169</v>
      </c>
      <c r="D27" s="111">
        <v>12</v>
      </c>
      <c r="E27" s="111">
        <v>7</v>
      </c>
      <c r="F27" s="118" t="s">
        <v>123</v>
      </c>
      <c r="G27" s="113">
        <v>2650</v>
      </c>
      <c r="H27" s="113">
        <v>2970</v>
      </c>
      <c r="I27" s="113">
        <v>2950</v>
      </c>
      <c r="J27" s="113">
        <v>4510</v>
      </c>
      <c r="K27" s="113">
        <v>3000</v>
      </c>
      <c r="L27" s="113">
        <v>4290</v>
      </c>
      <c r="M27" s="113">
        <v>3250</v>
      </c>
      <c r="N27" s="113">
        <v>3740</v>
      </c>
      <c r="O27" s="113">
        <v>3200</v>
      </c>
      <c r="P27" s="113">
        <v>3850</v>
      </c>
      <c r="Q27" s="113">
        <v>3000</v>
      </c>
      <c r="R27" s="113">
        <v>3080</v>
      </c>
      <c r="S27" s="113">
        <v>3200</v>
      </c>
      <c r="T27" s="113">
        <v>3300</v>
      </c>
      <c r="U27" s="114"/>
      <c r="V27" s="115"/>
      <c r="W27" s="116" t="s">
        <v>65</v>
      </c>
    </row>
    <row r="28" spans="1:23" ht="20.100000000000001" customHeight="1" x14ac:dyDescent="0.25">
      <c r="A28" s="110">
        <f t="shared" si="0"/>
        <v>21</v>
      </c>
      <c r="B28" s="109">
        <v>0.42222222222222222</v>
      </c>
      <c r="C28" s="121" t="s">
        <v>95</v>
      </c>
      <c r="D28" s="111">
        <v>8</v>
      </c>
      <c r="E28" s="111">
        <v>3</v>
      </c>
      <c r="F28" s="118" t="s">
        <v>60</v>
      </c>
      <c r="G28" s="113">
        <v>3300</v>
      </c>
      <c r="H28" s="113">
        <v>3000</v>
      </c>
      <c r="I28" s="113">
        <v>4950</v>
      </c>
      <c r="J28" s="113">
        <v>3400</v>
      </c>
      <c r="K28" s="113">
        <v>5390</v>
      </c>
      <c r="L28" s="113">
        <v>3200</v>
      </c>
      <c r="M28" s="113"/>
      <c r="N28" s="113"/>
      <c r="O28" s="113"/>
      <c r="P28" s="113"/>
      <c r="Q28" s="113"/>
      <c r="R28" s="113"/>
      <c r="S28" s="113"/>
      <c r="T28" s="113"/>
      <c r="U28" s="114"/>
      <c r="V28" s="115"/>
      <c r="W28" s="116" t="s">
        <v>67</v>
      </c>
    </row>
    <row r="29" spans="1:23" ht="20.100000000000001" customHeight="1" x14ac:dyDescent="0.25">
      <c r="A29" s="110">
        <f t="shared" si="0"/>
        <v>22</v>
      </c>
      <c r="B29" s="109">
        <v>0.4236111111111111</v>
      </c>
      <c r="C29" s="109" t="s">
        <v>171</v>
      </c>
      <c r="D29" s="111">
        <v>7</v>
      </c>
      <c r="E29" s="117">
        <v>2</v>
      </c>
      <c r="F29" s="118" t="s">
        <v>58</v>
      </c>
      <c r="G29" s="113">
        <v>1430</v>
      </c>
      <c r="H29" s="113">
        <v>12000</v>
      </c>
      <c r="I29" s="113">
        <v>2750</v>
      </c>
      <c r="J29" s="113">
        <v>3550</v>
      </c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4"/>
      <c r="V29" s="115"/>
      <c r="W29" s="116" t="s">
        <v>75</v>
      </c>
    </row>
    <row r="30" spans="1:23" ht="20.100000000000001" customHeight="1" x14ac:dyDescent="0.25">
      <c r="A30" s="110">
        <f t="shared" si="0"/>
        <v>23</v>
      </c>
      <c r="B30" s="109">
        <v>0.43194444444444446</v>
      </c>
      <c r="C30" s="121" t="s">
        <v>173</v>
      </c>
      <c r="D30" s="111">
        <v>11</v>
      </c>
      <c r="E30" s="111">
        <v>6</v>
      </c>
      <c r="F30" s="118" t="s">
        <v>110</v>
      </c>
      <c r="G30" s="113">
        <v>3400</v>
      </c>
      <c r="H30" s="113">
        <v>2650</v>
      </c>
      <c r="I30" s="113">
        <v>3750</v>
      </c>
      <c r="J30" s="113">
        <v>3050</v>
      </c>
      <c r="K30" s="113">
        <v>3450</v>
      </c>
      <c r="L30" s="113">
        <v>4500</v>
      </c>
      <c r="M30" s="113">
        <v>3250</v>
      </c>
      <c r="N30" s="113">
        <v>3750</v>
      </c>
      <c r="O30" s="113">
        <v>3200</v>
      </c>
      <c r="P30" s="113">
        <v>3900</v>
      </c>
      <c r="Q30" s="113">
        <v>3450</v>
      </c>
      <c r="R30" s="113">
        <v>3850</v>
      </c>
      <c r="S30" s="113"/>
      <c r="T30" s="113"/>
      <c r="U30" s="114"/>
      <c r="V30" s="115"/>
      <c r="W30" s="116" t="s">
        <v>67</v>
      </c>
    </row>
    <row r="31" spans="1:23" ht="20.100000000000001" customHeight="1" x14ac:dyDescent="0.25">
      <c r="A31" s="110">
        <f t="shared" si="0"/>
        <v>24</v>
      </c>
      <c r="B31" s="109">
        <v>0.43263888888888885</v>
      </c>
      <c r="C31" s="110" t="s">
        <v>98</v>
      </c>
      <c r="D31" s="123">
        <v>8</v>
      </c>
      <c r="E31" s="117">
        <v>3</v>
      </c>
      <c r="F31" s="118" t="s">
        <v>60</v>
      </c>
      <c r="G31" s="119">
        <v>3190</v>
      </c>
      <c r="H31" s="119">
        <v>2600</v>
      </c>
      <c r="I31" s="119">
        <v>5170</v>
      </c>
      <c r="J31" s="119">
        <v>3500</v>
      </c>
      <c r="K31" s="119">
        <v>5390</v>
      </c>
      <c r="L31" s="119">
        <v>3300</v>
      </c>
      <c r="M31" s="119"/>
      <c r="N31" s="119"/>
      <c r="O31" s="119"/>
      <c r="P31" s="119"/>
      <c r="Q31" s="119"/>
      <c r="R31" s="119"/>
      <c r="S31" s="119"/>
      <c r="T31" s="119"/>
      <c r="U31" s="114"/>
      <c r="V31" s="115"/>
      <c r="W31" s="124" t="s">
        <v>67</v>
      </c>
    </row>
    <row r="32" spans="1:23" ht="20.100000000000001" customHeight="1" x14ac:dyDescent="0.25">
      <c r="A32" s="110">
        <f t="shared" si="0"/>
        <v>25</v>
      </c>
      <c r="B32" s="109">
        <v>0.43333333333333335</v>
      </c>
      <c r="C32" s="109" t="s">
        <v>192</v>
      </c>
      <c r="D32" s="125">
        <v>7</v>
      </c>
      <c r="E32" s="111">
        <v>2</v>
      </c>
      <c r="F32" s="112" t="s">
        <v>58</v>
      </c>
      <c r="G32" s="113">
        <v>2640</v>
      </c>
      <c r="H32" s="113">
        <v>2400</v>
      </c>
      <c r="I32" s="113">
        <v>5720</v>
      </c>
      <c r="J32" s="113">
        <v>4350</v>
      </c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4"/>
      <c r="V32" s="115"/>
      <c r="W32" s="116" t="s">
        <v>76</v>
      </c>
    </row>
    <row r="33" spans="1:23" ht="20.100000000000001" customHeight="1" x14ac:dyDescent="0.25">
      <c r="A33" s="110">
        <f t="shared" si="0"/>
        <v>26</v>
      </c>
      <c r="B33" s="109">
        <v>0.43402777777777773</v>
      </c>
      <c r="C33" s="121" t="s">
        <v>193</v>
      </c>
      <c r="D33" s="125">
        <v>7</v>
      </c>
      <c r="E33" s="111">
        <v>2</v>
      </c>
      <c r="F33" s="118" t="s">
        <v>58</v>
      </c>
      <c r="G33" s="113">
        <v>2640</v>
      </c>
      <c r="H33" s="113">
        <v>2400</v>
      </c>
      <c r="I33" s="113">
        <v>1430</v>
      </c>
      <c r="J33" s="113">
        <v>3700</v>
      </c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4"/>
      <c r="V33" s="115"/>
      <c r="W33" s="116" t="s">
        <v>76</v>
      </c>
    </row>
    <row r="34" spans="1:23" ht="20.100000000000001" customHeight="1" x14ac:dyDescent="0.25">
      <c r="A34" s="110">
        <f t="shared" si="0"/>
        <v>27</v>
      </c>
      <c r="B34" s="109">
        <v>0.43541666666666662</v>
      </c>
      <c r="C34" s="121" t="s">
        <v>194</v>
      </c>
      <c r="D34" s="125">
        <v>7</v>
      </c>
      <c r="E34" s="111">
        <v>2</v>
      </c>
      <c r="F34" s="118" t="s">
        <v>58</v>
      </c>
      <c r="G34" s="113">
        <v>880</v>
      </c>
      <c r="H34" s="113">
        <v>1050</v>
      </c>
      <c r="I34" s="113">
        <v>1760</v>
      </c>
      <c r="J34" s="113">
        <v>1200</v>
      </c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4"/>
      <c r="V34" s="115"/>
      <c r="W34" s="116" t="s">
        <v>195</v>
      </c>
    </row>
    <row r="35" spans="1:23" ht="20.100000000000001" customHeight="1" x14ac:dyDescent="0.25">
      <c r="A35" s="110">
        <f t="shared" si="0"/>
        <v>28</v>
      </c>
      <c r="B35" s="109">
        <v>0.44027777777777777</v>
      </c>
      <c r="C35" s="121" t="s">
        <v>48</v>
      </c>
      <c r="D35" s="125">
        <v>7</v>
      </c>
      <c r="E35" s="111">
        <v>2</v>
      </c>
      <c r="F35" s="118" t="s">
        <v>58</v>
      </c>
      <c r="G35" s="113">
        <v>3190</v>
      </c>
      <c r="H35" s="113">
        <v>2500</v>
      </c>
      <c r="I35" s="113">
        <v>5830</v>
      </c>
      <c r="J35" s="113">
        <v>3400</v>
      </c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4"/>
      <c r="V35" s="115"/>
      <c r="W35" s="116" t="s">
        <v>76</v>
      </c>
    </row>
    <row r="36" spans="1:23" ht="20.100000000000001" customHeight="1" x14ac:dyDescent="0.25">
      <c r="A36" s="110">
        <f t="shared" si="0"/>
        <v>29</v>
      </c>
      <c r="B36" s="109">
        <v>0.44375000000000003</v>
      </c>
      <c r="C36" s="121" t="s">
        <v>196</v>
      </c>
      <c r="D36" s="125">
        <v>11</v>
      </c>
      <c r="E36" s="111">
        <v>6</v>
      </c>
      <c r="F36" s="118" t="s">
        <v>29</v>
      </c>
      <c r="G36" s="113">
        <v>1650</v>
      </c>
      <c r="H36" s="113">
        <v>2300</v>
      </c>
      <c r="I36" s="113">
        <v>1650</v>
      </c>
      <c r="J36" s="113">
        <v>1400</v>
      </c>
      <c r="K36" s="113">
        <v>1540</v>
      </c>
      <c r="L36" s="113">
        <v>1300</v>
      </c>
      <c r="M36" s="113">
        <v>550</v>
      </c>
      <c r="N36" s="113">
        <v>800</v>
      </c>
      <c r="O36" s="113">
        <v>770</v>
      </c>
      <c r="P36" s="113">
        <v>900</v>
      </c>
      <c r="Q36" s="113">
        <v>1320</v>
      </c>
      <c r="R36" s="113">
        <v>1150</v>
      </c>
      <c r="S36" s="113"/>
      <c r="T36" s="113"/>
      <c r="U36" s="114"/>
      <c r="V36" s="115"/>
      <c r="W36" s="116" t="s">
        <v>72</v>
      </c>
    </row>
    <row r="37" spans="1:23" ht="20.100000000000001" customHeight="1" x14ac:dyDescent="0.25">
      <c r="A37" s="110">
        <f t="shared" si="0"/>
        <v>30</v>
      </c>
      <c r="B37" s="109">
        <v>0.44444444444444442</v>
      </c>
      <c r="C37" s="121" t="s">
        <v>159</v>
      </c>
      <c r="D37" s="125">
        <v>7</v>
      </c>
      <c r="E37" s="111">
        <v>2</v>
      </c>
      <c r="F37" s="118" t="s">
        <v>58</v>
      </c>
      <c r="G37" s="113">
        <v>880</v>
      </c>
      <c r="H37" s="113">
        <v>1050</v>
      </c>
      <c r="I37" s="113">
        <v>1210</v>
      </c>
      <c r="J37" s="113">
        <v>1150</v>
      </c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4"/>
      <c r="V37" s="115"/>
      <c r="W37" s="116" t="s">
        <v>160</v>
      </c>
    </row>
    <row r="38" spans="1:23" ht="20.100000000000001" customHeight="1" x14ac:dyDescent="0.25">
      <c r="A38" s="110">
        <f t="shared" si="0"/>
        <v>31</v>
      </c>
      <c r="B38" s="109">
        <v>0.4465277777777778</v>
      </c>
      <c r="C38" s="120" t="s">
        <v>197</v>
      </c>
      <c r="D38" s="125">
        <v>8</v>
      </c>
      <c r="E38" s="111">
        <v>3</v>
      </c>
      <c r="F38" s="118" t="s">
        <v>60</v>
      </c>
      <c r="G38" s="113">
        <v>2750</v>
      </c>
      <c r="H38" s="113">
        <v>2300</v>
      </c>
      <c r="I38" s="113">
        <v>5060</v>
      </c>
      <c r="J38" s="113">
        <v>4100</v>
      </c>
      <c r="K38" s="113">
        <v>5280</v>
      </c>
      <c r="L38" s="113">
        <v>4250</v>
      </c>
      <c r="M38" s="113"/>
      <c r="N38" s="113"/>
      <c r="O38" s="113"/>
      <c r="P38" s="113"/>
      <c r="Q38" s="113"/>
      <c r="R38" s="113"/>
      <c r="S38" s="113"/>
      <c r="T38" s="113"/>
      <c r="U38" s="114"/>
      <c r="V38" s="115"/>
      <c r="W38" s="116" t="s">
        <v>75</v>
      </c>
    </row>
    <row r="39" spans="1:23" ht="20.100000000000001" customHeight="1" x14ac:dyDescent="0.25">
      <c r="A39" s="110">
        <f t="shared" si="0"/>
        <v>32</v>
      </c>
      <c r="B39" s="109">
        <v>0.44791666666666669</v>
      </c>
      <c r="C39" s="121" t="s">
        <v>198</v>
      </c>
      <c r="D39" s="125">
        <v>7</v>
      </c>
      <c r="E39" s="111">
        <v>2</v>
      </c>
      <c r="F39" s="118" t="s">
        <v>58</v>
      </c>
      <c r="G39" s="113">
        <v>2420</v>
      </c>
      <c r="H39" s="113">
        <v>2450</v>
      </c>
      <c r="I39" s="113">
        <v>6490</v>
      </c>
      <c r="J39" s="113">
        <v>4950</v>
      </c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4"/>
      <c r="V39" s="115"/>
      <c r="W39" s="116" t="s">
        <v>67</v>
      </c>
    </row>
    <row r="40" spans="1:23" ht="20.100000000000001" customHeight="1" x14ac:dyDescent="0.25">
      <c r="A40" s="110">
        <f t="shared" si="0"/>
        <v>33</v>
      </c>
      <c r="B40" s="109">
        <v>0.44861111111111113</v>
      </c>
      <c r="C40" s="121" t="s">
        <v>199</v>
      </c>
      <c r="D40" s="125">
        <v>8</v>
      </c>
      <c r="E40" s="111">
        <v>3</v>
      </c>
      <c r="F40" s="118" t="s">
        <v>60</v>
      </c>
      <c r="G40" s="113">
        <v>2530</v>
      </c>
      <c r="H40" s="113">
        <v>2500</v>
      </c>
      <c r="I40" s="113">
        <v>5500</v>
      </c>
      <c r="J40" s="113">
        <v>3650</v>
      </c>
      <c r="K40" s="113">
        <v>4950</v>
      </c>
      <c r="L40" s="113">
        <v>3500</v>
      </c>
      <c r="M40" s="113"/>
      <c r="N40" s="113"/>
      <c r="O40" s="113"/>
      <c r="P40" s="113"/>
      <c r="Q40" s="113"/>
      <c r="R40" s="113"/>
      <c r="S40" s="113"/>
      <c r="T40" s="113"/>
      <c r="U40" s="114"/>
      <c r="V40" s="115"/>
      <c r="W40" s="116" t="s">
        <v>200</v>
      </c>
    </row>
    <row r="41" spans="1:23" ht="20.100000000000001" customHeight="1" x14ac:dyDescent="0.25">
      <c r="A41" s="110">
        <f t="shared" si="0"/>
        <v>34</v>
      </c>
      <c r="B41" s="120">
        <v>0.47430555555555554</v>
      </c>
      <c r="C41" s="110" t="s">
        <v>221</v>
      </c>
      <c r="D41" s="125">
        <v>8</v>
      </c>
      <c r="E41" s="111">
        <v>3</v>
      </c>
      <c r="F41" s="118" t="s">
        <v>60</v>
      </c>
      <c r="G41" s="113">
        <v>3410</v>
      </c>
      <c r="H41" s="113">
        <v>2750</v>
      </c>
      <c r="I41" s="113">
        <v>4290</v>
      </c>
      <c r="J41" s="113">
        <v>3550</v>
      </c>
      <c r="K41" s="113">
        <v>5500</v>
      </c>
      <c r="L41" s="113">
        <v>3450</v>
      </c>
      <c r="M41" s="113"/>
      <c r="N41" s="113"/>
      <c r="O41" s="113"/>
      <c r="P41" s="113"/>
      <c r="Q41" s="113"/>
      <c r="R41" s="113"/>
      <c r="S41" s="113"/>
      <c r="T41" s="113"/>
      <c r="U41" s="114"/>
      <c r="V41" s="115"/>
      <c r="W41" s="116" t="s">
        <v>67</v>
      </c>
    </row>
    <row r="42" spans="1:23" ht="20.100000000000001" customHeight="1" x14ac:dyDescent="0.25">
      <c r="A42" s="110">
        <f t="shared" si="0"/>
        <v>35</v>
      </c>
      <c r="B42" s="109">
        <v>0.47916666666666669</v>
      </c>
      <c r="C42" s="121" t="s">
        <v>222</v>
      </c>
      <c r="D42" s="125">
        <v>7</v>
      </c>
      <c r="E42" s="111">
        <v>2</v>
      </c>
      <c r="F42" s="118" t="s">
        <v>58</v>
      </c>
      <c r="G42" s="113">
        <v>2860</v>
      </c>
      <c r="H42" s="113">
        <v>2500</v>
      </c>
      <c r="I42" s="113">
        <v>5500</v>
      </c>
      <c r="J42" s="113">
        <v>4750</v>
      </c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4"/>
      <c r="V42" s="115"/>
      <c r="W42" s="116" t="s">
        <v>67</v>
      </c>
    </row>
    <row r="43" spans="1:23" ht="20.100000000000001" customHeight="1" x14ac:dyDescent="0.25">
      <c r="A43" s="110">
        <f t="shared" si="0"/>
        <v>36</v>
      </c>
      <c r="B43" s="109">
        <v>0.49374999999999997</v>
      </c>
      <c r="C43" s="121" t="s">
        <v>224</v>
      </c>
      <c r="D43" s="125">
        <v>9</v>
      </c>
      <c r="E43" s="111">
        <v>4</v>
      </c>
      <c r="F43" s="118" t="s">
        <v>225</v>
      </c>
      <c r="G43" s="113">
        <v>1980</v>
      </c>
      <c r="H43" s="113">
        <v>1850</v>
      </c>
      <c r="I43" s="113">
        <v>1540</v>
      </c>
      <c r="J43" s="113">
        <v>1800</v>
      </c>
      <c r="K43" s="113">
        <v>1650</v>
      </c>
      <c r="L43" s="113">
        <v>1750</v>
      </c>
      <c r="M43" s="113">
        <v>330</v>
      </c>
      <c r="N43" s="113">
        <v>350</v>
      </c>
      <c r="O43" s="113"/>
      <c r="P43" s="113"/>
      <c r="Q43" s="113"/>
      <c r="R43" s="113"/>
      <c r="S43" s="113"/>
      <c r="T43" s="113"/>
      <c r="U43" s="114"/>
      <c r="V43" s="115"/>
      <c r="W43" s="116" t="s">
        <v>72</v>
      </c>
    </row>
    <row r="44" spans="1:23" ht="20.100000000000001" customHeight="1" x14ac:dyDescent="0.25">
      <c r="A44" s="110">
        <f t="shared" si="0"/>
        <v>37</v>
      </c>
      <c r="B44" s="109">
        <v>0.5</v>
      </c>
      <c r="C44" s="121" t="s">
        <v>226</v>
      </c>
      <c r="D44" s="125">
        <v>8</v>
      </c>
      <c r="E44" s="111">
        <v>3</v>
      </c>
      <c r="F44" s="118" t="s">
        <v>60</v>
      </c>
      <c r="G44" s="113">
        <v>2250</v>
      </c>
      <c r="H44" s="113">
        <v>3650</v>
      </c>
      <c r="I44" s="113">
        <v>3650</v>
      </c>
      <c r="J44" s="113">
        <v>5060</v>
      </c>
      <c r="K44" s="113">
        <v>4050</v>
      </c>
      <c r="L44" s="113">
        <v>4950</v>
      </c>
      <c r="M44" s="113"/>
      <c r="N44" s="113"/>
      <c r="O44" s="113"/>
      <c r="P44" s="113"/>
      <c r="Q44" s="113"/>
      <c r="R44" s="113"/>
      <c r="S44" s="113"/>
      <c r="T44" s="113"/>
      <c r="U44" s="114"/>
      <c r="V44" s="115"/>
      <c r="W44" s="116" t="s">
        <v>75</v>
      </c>
    </row>
    <row r="45" spans="1:23" ht="20.100000000000001" customHeight="1" x14ac:dyDescent="0.25">
      <c r="A45" s="110">
        <f t="shared" si="0"/>
        <v>38</v>
      </c>
      <c r="B45" s="109">
        <v>0.50486111111111109</v>
      </c>
      <c r="C45" s="121" t="s">
        <v>227</v>
      </c>
      <c r="D45" s="125">
        <v>11</v>
      </c>
      <c r="E45" s="111">
        <v>6</v>
      </c>
      <c r="F45" s="118" t="s">
        <v>29</v>
      </c>
      <c r="G45" s="113">
        <v>2750</v>
      </c>
      <c r="H45" s="113">
        <v>2600</v>
      </c>
      <c r="I45" s="113">
        <v>4180</v>
      </c>
      <c r="J45" s="113">
        <v>3150</v>
      </c>
      <c r="K45" s="113">
        <v>4070</v>
      </c>
      <c r="L45" s="113">
        <v>2650</v>
      </c>
      <c r="M45" s="113">
        <v>7480</v>
      </c>
      <c r="N45" s="113">
        <v>3400</v>
      </c>
      <c r="O45" s="113">
        <v>7040</v>
      </c>
      <c r="P45" s="113">
        <v>3200</v>
      </c>
      <c r="Q45" s="113">
        <v>6710</v>
      </c>
      <c r="R45" s="113">
        <v>3050</v>
      </c>
      <c r="S45" s="113"/>
      <c r="T45" s="113"/>
      <c r="U45" s="114"/>
      <c r="V45" s="115"/>
      <c r="W45" s="116" t="s">
        <v>228</v>
      </c>
    </row>
    <row r="46" spans="1:23" ht="20.100000000000001" customHeight="1" x14ac:dyDescent="0.25">
      <c r="A46" s="110">
        <f t="shared" si="0"/>
        <v>39</v>
      </c>
      <c r="B46" s="109">
        <v>0.51527777777777783</v>
      </c>
      <c r="C46" s="121" t="s">
        <v>232</v>
      </c>
      <c r="D46" s="125">
        <v>8</v>
      </c>
      <c r="E46" s="111">
        <v>3</v>
      </c>
      <c r="F46" s="118" t="s">
        <v>60</v>
      </c>
      <c r="G46" s="113">
        <v>2420</v>
      </c>
      <c r="H46" s="113">
        <v>2100</v>
      </c>
      <c r="I46" s="113">
        <v>1100</v>
      </c>
      <c r="J46" s="113">
        <v>1050</v>
      </c>
      <c r="K46" s="113">
        <v>1540</v>
      </c>
      <c r="L46" s="113">
        <v>1000</v>
      </c>
      <c r="M46" s="113"/>
      <c r="N46" s="113"/>
      <c r="O46" s="113"/>
      <c r="P46" s="113"/>
      <c r="Q46" s="113"/>
      <c r="R46" s="113"/>
      <c r="S46" s="113"/>
      <c r="T46" s="113"/>
      <c r="U46" s="114"/>
      <c r="V46" s="115"/>
      <c r="W46" s="116" t="s">
        <v>72</v>
      </c>
    </row>
    <row r="47" spans="1:23" ht="20.100000000000001" customHeight="1" x14ac:dyDescent="0.25">
      <c r="A47" s="110">
        <f t="shared" si="0"/>
        <v>40</v>
      </c>
      <c r="B47" s="109">
        <v>0.52430555555555558</v>
      </c>
      <c r="C47" s="121" t="s">
        <v>235</v>
      </c>
      <c r="D47" s="125">
        <v>7</v>
      </c>
      <c r="E47" s="111">
        <v>2</v>
      </c>
      <c r="F47" s="118" t="s">
        <v>58</v>
      </c>
      <c r="G47" s="113">
        <v>1210</v>
      </c>
      <c r="H47" s="113">
        <v>1450</v>
      </c>
      <c r="I47" s="113">
        <v>1320</v>
      </c>
      <c r="J47" s="113">
        <v>1350</v>
      </c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4"/>
      <c r="V47" s="115"/>
      <c r="W47" s="116" t="s">
        <v>70</v>
      </c>
    </row>
    <row r="48" spans="1:23" ht="20.100000000000001" customHeight="1" x14ac:dyDescent="0.25">
      <c r="A48" s="110">
        <f t="shared" si="0"/>
        <v>41</v>
      </c>
      <c r="B48" s="126">
        <v>0.52777777777777779</v>
      </c>
      <c r="C48" s="110" t="s">
        <v>174</v>
      </c>
      <c r="D48" s="117">
        <v>11</v>
      </c>
      <c r="E48" s="117">
        <v>6</v>
      </c>
      <c r="F48" s="118" t="s">
        <v>240</v>
      </c>
      <c r="G48" s="119">
        <v>3740</v>
      </c>
      <c r="H48" s="119">
        <v>3300</v>
      </c>
      <c r="I48" s="119">
        <v>2000</v>
      </c>
      <c r="J48" s="119">
        <v>6600</v>
      </c>
      <c r="K48" s="119">
        <v>3850</v>
      </c>
      <c r="L48" s="119">
        <v>4550</v>
      </c>
      <c r="M48" s="119">
        <v>3740</v>
      </c>
      <c r="N48" s="119">
        <v>4250</v>
      </c>
      <c r="O48" s="119">
        <v>3740</v>
      </c>
      <c r="P48" s="119">
        <v>3600</v>
      </c>
      <c r="Q48" s="119">
        <v>4400</v>
      </c>
      <c r="R48" s="119">
        <v>3550</v>
      </c>
      <c r="S48" s="119"/>
      <c r="T48" s="119"/>
      <c r="U48" s="114"/>
      <c r="V48" s="114"/>
      <c r="W48" s="124" t="s">
        <v>67</v>
      </c>
    </row>
    <row r="49" spans="1:23" ht="20.100000000000001" customHeight="1" x14ac:dyDescent="0.25">
      <c r="A49" s="110">
        <f t="shared" si="0"/>
        <v>42</v>
      </c>
      <c r="B49" s="109">
        <v>0.52916666666666667</v>
      </c>
      <c r="C49" s="121" t="s">
        <v>175</v>
      </c>
      <c r="D49" s="111">
        <v>7</v>
      </c>
      <c r="E49" s="117">
        <v>2</v>
      </c>
      <c r="F49" s="118" t="s">
        <v>58</v>
      </c>
      <c r="G49" s="113">
        <v>3520</v>
      </c>
      <c r="H49" s="113">
        <v>2800</v>
      </c>
      <c r="I49" s="113">
        <v>5170</v>
      </c>
      <c r="J49" s="113">
        <v>4000</v>
      </c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4"/>
      <c r="V49" s="115"/>
      <c r="W49" s="116" t="s">
        <v>67</v>
      </c>
    </row>
    <row r="50" spans="1:23" ht="20.100000000000001" customHeight="1" x14ac:dyDescent="0.25">
      <c r="A50" s="110">
        <f t="shared" si="0"/>
        <v>43</v>
      </c>
      <c r="B50" s="109">
        <v>0.53472222222222221</v>
      </c>
      <c r="C50" s="121" t="s">
        <v>176</v>
      </c>
      <c r="D50" s="111">
        <v>7</v>
      </c>
      <c r="E50" s="117">
        <v>2</v>
      </c>
      <c r="F50" s="118" t="s">
        <v>58</v>
      </c>
      <c r="G50" s="113">
        <v>2970</v>
      </c>
      <c r="H50" s="113">
        <v>2750</v>
      </c>
      <c r="I50" s="113">
        <v>5170</v>
      </c>
      <c r="J50" s="113">
        <v>4800</v>
      </c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4"/>
      <c r="V50" s="115"/>
      <c r="W50" s="127" t="s">
        <v>67</v>
      </c>
    </row>
    <row r="51" spans="1:23" ht="20.100000000000001" customHeight="1" x14ac:dyDescent="0.25">
      <c r="A51" s="110">
        <f t="shared" si="0"/>
        <v>44</v>
      </c>
      <c r="B51" s="109">
        <v>0.55555555555555558</v>
      </c>
      <c r="C51" s="121" t="s">
        <v>179</v>
      </c>
      <c r="D51" s="111">
        <v>8</v>
      </c>
      <c r="E51" s="111">
        <v>3</v>
      </c>
      <c r="F51" s="118" t="s">
        <v>60</v>
      </c>
      <c r="G51" s="113">
        <v>5280</v>
      </c>
      <c r="H51" s="113">
        <v>2400</v>
      </c>
      <c r="I51" s="113">
        <v>9020</v>
      </c>
      <c r="J51" s="113">
        <v>4000</v>
      </c>
      <c r="K51" s="113">
        <v>4070</v>
      </c>
      <c r="L51" s="113">
        <v>1850</v>
      </c>
      <c r="M51" s="113"/>
      <c r="N51" s="113"/>
      <c r="O51" s="113"/>
      <c r="P51" s="113"/>
      <c r="Q51" s="113"/>
      <c r="R51" s="113"/>
      <c r="S51" s="113"/>
      <c r="T51" s="113"/>
      <c r="U51" s="114"/>
      <c r="V51" s="115"/>
      <c r="W51" s="116" t="s">
        <v>75</v>
      </c>
    </row>
    <row r="52" spans="1:23" ht="20.100000000000001" customHeight="1" x14ac:dyDescent="0.25">
      <c r="A52" s="110">
        <f t="shared" si="0"/>
        <v>45</v>
      </c>
      <c r="B52" s="109">
        <v>0.55625000000000002</v>
      </c>
      <c r="C52" s="121" t="s">
        <v>180</v>
      </c>
      <c r="D52" s="111">
        <v>7</v>
      </c>
      <c r="E52" s="117">
        <v>2</v>
      </c>
      <c r="F52" s="118" t="s">
        <v>58</v>
      </c>
      <c r="G52" s="113">
        <v>1430</v>
      </c>
      <c r="H52" s="113">
        <v>1300</v>
      </c>
      <c r="I52" s="113">
        <v>3300</v>
      </c>
      <c r="J52" s="113">
        <v>2600</v>
      </c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4"/>
      <c r="V52" s="115"/>
      <c r="W52" s="116" t="s">
        <v>75</v>
      </c>
    </row>
    <row r="53" spans="1:23" ht="20.100000000000001" customHeight="1" x14ac:dyDescent="0.25">
      <c r="A53" s="110">
        <f t="shared" si="0"/>
        <v>46</v>
      </c>
      <c r="B53" s="109">
        <v>0.5625</v>
      </c>
      <c r="C53" s="121" t="s">
        <v>181</v>
      </c>
      <c r="D53" s="111">
        <v>7</v>
      </c>
      <c r="E53" s="117">
        <v>2</v>
      </c>
      <c r="F53" s="118" t="s">
        <v>58</v>
      </c>
      <c r="G53" s="113">
        <v>1210</v>
      </c>
      <c r="H53" s="113">
        <v>1100</v>
      </c>
      <c r="I53" s="113">
        <v>1210</v>
      </c>
      <c r="J53" s="113">
        <v>850</v>
      </c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4"/>
      <c r="V53" s="115"/>
      <c r="W53" s="116" t="s">
        <v>72</v>
      </c>
    </row>
    <row r="54" spans="1:23" ht="20.100000000000001" customHeight="1" x14ac:dyDescent="0.25">
      <c r="A54" s="110">
        <f t="shared" si="0"/>
        <v>47</v>
      </c>
      <c r="B54" s="109">
        <v>0.56458333333333333</v>
      </c>
      <c r="C54" s="121" t="s">
        <v>182</v>
      </c>
      <c r="D54" s="111">
        <v>11</v>
      </c>
      <c r="E54" s="111">
        <v>6</v>
      </c>
      <c r="F54" s="118" t="s">
        <v>29</v>
      </c>
      <c r="G54" s="113">
        <v>2600</v>
      </c>
      <c r="H54" s="113">
        <v>3080</v>
      </c>
      <c r="I54" s="113">
        <v>3750</v>
      </c>
      <c r="J54" s="113">
        <v>3630</v>
      </c>
      <c r="K54" s="113">
        <v>3700</v>
      </c>
      <c r="L54" s="113">
        <v>5280</v>
      </c>
      <c r="M54" s="113">
        <v>3450</v>
      </c>
      <c r="N54" s="113">
        <v>4180</v>
      </c>
      <c r="O54" s="113">
        <v>3300</v>
      </c>
      <c r="P54" s="113">
        <v>4070</v>
      </c>
      <c r="Q54" s="113">
        <v>3150</v>
      </c>
      <c r="R54" s="113">
        <v>3960</v>
      </c>
      <c r="S54" s="113"/>
      <c r="T54" s="113"/>
      <c r="U54" s="114"/>
      <c r="V54" s="115"/>
      <c r="W54" s="116" t="s">
        <v>72</v>
      </c>
    </row>
    <row r="55" spans="1:23" ht="20.100000000000001" customHeight="1" x14ac:dyDescent="0.25">
      <c r="A55" s="110">
        <f t="shared" si="0"/>
        <v>48</v>
      </c>
      <c r="B55" s="109">
        <v>0.57638888888888895</v>
      </c>
      <c r="C55" s="121" t="s">
        <v>185</v>
      </c>
      <c r="D55" s="111">
        <v>11</v>
      </c>
      <c r="E55" s="111">
        <v>6</v>
      </c>
      <c r="F55" s="118" t="s">
        <v>110</v>
      </c>
      <c r="G55" s="113">
        <v>2530</v>
      </c>
      <c r="H55" s="113">
        <v>2300</v>
      </c>
      <c r="I55" s="113">
        <v>1320</v>
      </c>
      <c r="J55" s="113">
        <v>2300</v>
      </c>
      <c r="K55" s="113">
        <v>4730</v>
      </c>
      <c r="L55" s="113">
        <v>3100</v>
      </c>
      <c r="M55" s="113">
        <v>3190</v>
      </c>
      <c r="N55" s="113">
        <v>2800</v>
      </c>
      <c r="O55" s="113">
        <v>3190</v>
      </c>
      <c r="P55" s="113">
        <v>2750</v>
      </c>
      <c r="Q55" s="113">
        <v>4180</v>
      </c>
      <c r="R55" s="113">
        <v>3450</v>
      </c>
      <c r="S55" s="113"/>
      <c r="T55" s="113"/>
      <c r="U55" s="114"/>
      <c r="V55" s="115"/>
      <c r="W55" s="116" t="s">
        <v>186</v>
      </c>
    </row>
    <row r="56" spans="1:23" ht="20.100000000000001" customHeight="1" x14ac:dyDescent="0.25">
      <c r="A56" s="110">
        <f t="shared" si="0"/>
        <v>49</v>
      </c>
      <c r="B56" s="109">
        <v>0.57777777777777783</v>
      </c>
      <c r="C56" s="121" t="s">
        <v>187</v>
      </c>
      <c r="D56" s="111">
        <v>11</v>
      </c>
      <c r="E56" s="111">
        <v>6</v>
      </c>
      <c r="F56" s="118" t="s">
        <v>110</v>
      </c>
      <c r="G56" s="113">
        <v>3410</v>
      </c>
      <c r="H56" s="113">
        <v>2900</v>
      </c>
      <c r="I56" s="113">
        <v>1760</v>
      </c>
      <c r="J56" s="113">
        <v>1500</v>
      </c>
      <c r="K56" s="113">
        <v>4730</v>
      </c>
      <c r="L56" s="113">
        <v>4000</v>
      </c>
      <c r="M56" s="113">
        <v>3190</v>
      </c>
      <c r="N56" s="113">
        <v>3350</v>
      </c>
      <c r="O56" s="113">
        <v>3190</v>
      </c>
      <c r="P56" s="113">
        <v>3100</v>
      </c>
      <c r="Q56" s="113">
        <v>2970</v>
      </c>
      <c r="R56" s="113">
        <v>2900</v>
      </c>
      <c r="S56" s="113"/>
      <c r="T56" s="113"/>
      <c r="U56" s="114"/>
      <c r="V56" s="115"/>
      <c r="W56" s="128" t="s">
        <v>186</v>
      </c>
    </row>
    <row r="57" spans="1:23" ht="20.100000000000001" customHeight="1" x14ac:dyDescent="0.25">
      <c r="A57" s="110">
        <f t="shared" si="0"/>
        <v>50</v>
      </c>
      <c r="B57" s="109">
        <v>0.57986111111111105</v>
      </c>
      <c r="C57" s="121" t="s">
        <v>188</v>
      </c>
      <c r="D57" s="111">
        <v>11</v>
      </c>
      <c r="E57" s="111">
        <v>6</v>
      </c>
      <c r="F57" s="118" t="s">
        <v>29</v>
      </c>
      <c r="G57" s="113">
        <v>3630</v>
      </c>
      <c r="H57" s="113">
        <v>2600</v>
      </c>
      <c r="I57" s="113">
        <v>2750</v>
      </c>
      <c r="J57" s="113">
        <v>2050</v>
      </c>
      <c r="K57" s="113">
        <v>2970</v>
      </c>
      <c r="L57" s="113">
        <v>2200</v>
      </c>
      <c r="M57" s="113">
        <v>2970</v>
      </c>
      <c r="N57" s="113">
        <v>2100</v>
      </c>
      <c r="O57" s="113">
        <v>3410</v>
      </c>
      <c r="P57" s="113">
        <v>2400</v>
      </c>
      <c r="Q57" s="113">
        <v>3740</v>
      </c>
      <c r="R57" s="113">
        <v>2850</v>
      </c>
      <c r="S57" s="113"/>
      <c r="T57" s="113"/>
      <c r="U57" s="114"/>
      <c r="V57" s="115"/>
      <c r="W57" s="128" t="s">
        <v>70</v>
      </c>
    </row>
    <row r="58" spans="1:23" ht="20.100000000000001" customHeight="1" x14ac:dyDescent="0.25">
      <c r="A58" s="110">
        <f t="shared" si="0"/>
        <v>51</v>
      </c>
      <c r="B58" s="109">
        <v>0.58333333333333337</v>
      </c>
      <c r="C58" s="121" t="s">
        <v>189</v>
      </c>
      <c r="D58" s="111">
        <v>12</v>
      </c>
      <c r="E58" s="111">
        <v>7</v>
      </c>
      <c r="F58" s="112" t="s">
        <v>126</v>
      </c>
      <c r="G58" s="113">
        <v>4290</v>
      </c>
      <c r="H58" s="113">
        <v>3750</v>
      </c>
      <c r="I58" s="113">
        <v>4400</v>
      </c>
      <c r="J58" s="113">
        <v>3300</v>
      </c>
      <c r="K58" s="113">
        <v>3630</v>
      </c>
      <c r="L58" s="113">
        <v>2500</v>
      </c>
      <c r="M58" s="113">
        <v>3630</v>
      </c>
      <c r="N58" s="113">
        <v>3100</v>
      </c>
      <c r="O58" s="113">
        <v>2310</v>
      </c>
      <c r="P58" s="113">
        <v>3050</v>
      </c>
      <c r="Q58" s="113">
        <v>3916</v>
      </c>
      <c r="R58" s="113">
        <v>3350</v>
      </c>
      <c r="S58" s="113">
        <v>3960</v>
      </c>
      <c r="T58" s="113">
        <v>3300</v>
      </c>
      <c r="U58" s="114"/>
      <c r="V58" s="115"/>
      <c r="W58" s="116" t="s">
        <v>70</v>
      </c>
    </row>
    <row r="59" spans="1:23" ht="20.100000000000001" customHeight="1" x14ac:dyDescent="0.25">
      <c r="A59" s="110">
        <f t="shared" si="0"/>
        <v>52</v>
      </c>
      <c r="B59" s="109">
        <v>0.60069444444444442</v>
      </c>
      <c r="C59" s="121" t="s">
        <v>190</v>
      </c>
      <c r="D59" s="111">
        <v>12</v>
      </c>
      <c r="E59" s="111">
        <v>7</v>
      </c>
      <c r="F59" s="112" t="s">
        <v>126</v>
      </c>
      <c r="G59" s="113">
        <v>3190</v>
      </c>
      <c r="H59" s="113">
        <v>3000</v>
      </c>
      <c r="I59" s="113">
        <v>4840</v>
      </c>
      <c r="J59" s="113">
        <v>4300</v>
      </c>
      <c r="K59" s="113">
        <v>4070</v>
      </c>
      <c r="L59" s="113">
        <v>2500</v>
      </c>
      <c r="M59" s="113">
        <v>2970</v>
      </c>
      <c r="N59" s="113">
        <v>2650</v>
      </c>
      <c r="O59" s="113">
        <v>2970</v>
      </c>
      <c r="P59" s="113">
        <v>3300</v>
      </c>
      <c r="Q59" s="113">
        <v>4070</v>
      </c>
      <c r="R59" s="113">
        <v>2900</v>
      </c>
      <c r="S59" s="113">
        <v>3850</v>
      </c>
      <c r="T59" s="113">
        <v>2650</v>
      </c>
      <c r="U59" s="114"/>
      <c r="V59" s="115"/>
      <c r="W59" s="116" t="s">
        <v>70</v>
      </c>
    </row>
    <row r="60" spans="1:23" ht="20.100000000000001" customHeight="1" x14ac:dyDescent="0.25">
      <c r="A60" s="110">
        <f t="shared" si="0"/>
        <v>53</v>
      </c>
      <c r="B60" s="109">
        <v>0.60416666666666663</v>
      </c>
      <c r="C60" s="121" t="s">
        <v>191</v>
      </c>
      <c r="D60" s="111">
        <v>8</v>
      </c>
      <c r="E60" s="111">
        <v>3</v>
      </c>
      <c r="F60" s="118" t="s">
        <v>60</v>
      </c>
      <c r="G60" s="113">
        <v>4070</v>
      </c>
      <c r="H60" s="113">
        <v>3700</v>
      </c>
      <c r="I60" s="113">
        <v>7700</v>
      </c>
      <c r="J60" s="113">
        <v>6450</v>
      </c>
      <c r="K60" s="113">
        <v>7700</v>
      </c>
      <c r="L60" s="113">
        <v>5600</v>
      </c>
      <c r="M60" s="113"/>
      <c r="N60" s="113"/>
      <c r="O60" s="113"/>
      <c r="P60" s="113"/>
      <c r="Q60" s="113"/>
      <c r="R60" s="113"/>
      <c r="S60" s="113"/>
      <c r="T60" s="113"/>
      <c r="U60" s="114"/>
      <c r="V60" s="115"/>
      <c r="W60" s="116" t="s">
        <v>75</v>
      </c>
    </row>
    <row r="61" spans="1:23" ht="20.100000000000001" customHeight="1" x14ac:dyDescent="0.25">
      <c r="A61" s="110">
        <f t="shared" si="0"/>
        <v>54</v>
      </c>
      <c r="B61" s="109">
        <v>0.60972222222222217</v>
      </c>
      <c r="C61" s="121" t="s">
        <v>241</v>
      </c>
      <c r="D61" s="111">
        <v>11</v>
      </c>
      <c r="E61" s="111">
        <v>6</v>
      </c>
      <c r="F61" s="118" t="s">
        <v>110</v>
      </c>
      <c r="G61" s="113">
        <v>1980</v>
      </c>
      <c r="H61" s="113">
        <v>2900</v>
      </c>
      <c r="I61" s="113">
        <v>2640</v>
      </c>
      <c r="J61" s="113">
        <v>2400</v>
      </c>
      <c r="K61" s="113">
        <v>2860</v>
      </c>
      <c r="L61" s="113">
        <v>3500</v>
      </c>
      <c r="M61" s="113">
        <v>3190</v>
      </c>
      <c r="N61" s="113">
        <v>2100</v>
      </c>
      <c r="O61" s="113">
        <v>3190</v>
      </c>
      <c r="P61" s="113">
        <v>2900</v>
      </c>
      <c r="Q61" s="113">
        <v>2750</v>
      </c>
      <c r="R61" s="113">
        <v>3000</v>
      </c>
      <c r="S61" s="113"/>
      <c r="T61" s="113"/>
      <c r="U61" s="114"/>
      <c r="V61" s="115"/>
      <c r="W61" s="116" t="s">
        <v>70</v>
      </c>
    </row>
    <row r="62" spans="1:23" ht="20.100000000000001" customHeight="1" x14ac:dyDescent="0.25">
      <c r="A62" s="110">
        <f t="shared" si="0"/>
        <v>55</v>
      </c>
      <c r="B62" s="109">
        <v>0.6166666666666667</v>
      </c>
      <c r="C62" s="121" t="s">
        <v>243</v>
      </c>
      <c r="D62" s="111">
        <v>11</v>
      </c>
      <c r="E62" s="111">
        <v>6</v>
      </c>
      <c r="F62" s="118" t="s">
        <v>29</v>
      </c>
      <c r="G62" s="113">
        <v>2090</v>
      </c>
      <c r="H62" s="113">
        <v>2200</v>
      </c>
      <c r="I62" s="113">
        <v>4730</v>
      </c>
      <c r="J62" s="113">
        <v>3500</v>
      </c>
      <c r="K62" s="113">
        <v>3740</v>
      </c>
      <c r="L62" s="113">
        <v>3950</v>
      </c>
      <c r="M62" s="113">
        <v>3850</v>
      </c>
      <c r="N62" s="113">
        <v>4400</v>
      </c>
      <c r="O62" s="113">
        <v>3190</v>
      </c>
      <c r="P62" s="113">
        <v>3650</v>
      </c>
      <c r="Q62" s="113">
        <v>3190</v>
      </c>
      <c r="R62" s="113">
        <v>2700</v>
      </c>
      <c r="S62" s="113"/>
      <c r="T62" s="113"/>
      <c r="U62" s="114"/>
      <c r="V62" s="115"/>
      <c r="W62" s="116" t="s">
        <v>73</v>
      </c>
    </row>
    <row r="63" spans="1:23" ht="20.100000000000001" customHeight="1" x14ac:dyDescent="0.25">
      <c r="A63" s="110">
        <f t="shared" si="0"/>
        <v>56</v>
      </c>
      <c r="B63" s="109">
        <v>0.62361111111111112</v>
      </c>
      <c r="C63" s="121" t="s">
        <v>244</v>
      </c>
      <c r="D63" s="111">
        <v>8</v>
      </c>
      <c r="E63" s="111">
        <v>3</v>
      </c>
      <c r="F63" s="112" t="s">
        <v>60</v>
      </c>
      <c r="G63" s="113">
        <v>2750</v>
      </c>
      <c r="H63" s="113">
        <v>2600</v>
      </c>
      <c r="I63" s="113">
        <v>5830</v>
      </c>
      <c r="J63" s="113">
        <v>4500</v>
      </c>
      <c r="K63" s="113">
        <v>3410</v>
      </c>
      <c r="L63" s="113">
        <v>1430</v>
      </c>
      <c r="M63" s="113"/>
      <c r="N63" s="113"/>
      <c r="O63" s="113"/>
      <c r="P63" s="113"/>
      <c r="Q63" s="113"/>
      <c r="R63" s="113"/>
      <c r="S63" s="113"/>
      <c r="T63" s="113"/>
      <c r="U63" s="114"/>
      <c r="V63" s="115"/>
      <c r="W63" s="116" t="s">
        <v>67</v>
      </c>
    </row>
    <row r="64" spans="1:23" ht="20.100000000000001" customHeight="1" x14ac:dyDescent="0.25">
      <c r="A64" s="110">
        <f t="shared" si="0"/>
        <v>57</v>
      </c>
      <c r="B64" s="109">
        <v>0.63194444444444442</v>
      </c>
      <c r="C64" s="121" t="s">
        <v>246</v>
      </c>
      <c r="D64" s="111">
        <v>11</v>
      </c>
      <c r="E64" s="111">
        <v>6</v>
      </c>
      <c r="F64" s="118" t="s">
        <v>29</v>
      </c>
      <c r="G64" s="113">
        <v>2530</v>
      </c>
      <c r="H64" s="113">
        <v>2550</v>
      </c>
      <c r="I64" s="113">
        <v>3850</v>
      </c>
      <c r="J64" s="113">
        <v>4300</v>
      </c>
      <c r="K64" s="113">
        <v>3410</v>
      </c>
      <c r="L64" s="113">
        <v>2650</v>
      </c>
      <c r="M64" s="113">
        <v>4730</v>
      </c>
      <c r="N64" s="113">
        <v>3550</v>
      </c>
      <c r="O64" s="113">
        <v>4180</v>
      </c>
      <c r="P64" s="113">
        <v>3400</v>
      </c>
      <c r="Q64" s="113">
        <v>3850</v>
      </c>
      <c r="R64" s="113">
        <v>3750</v>
      </c>
      <c r="S64" s="113"/>
      <c r="T64" s="113"/>
      <c r="U64" s="114"/>
      <c r="V64" s="115"/>
      <c r="W64" s="116" t="s">
        <v>67</v>
      </c>
    </row>
    <row r="65" spans="1:23" ht="20.100000000000001" customHeight="1" x14ac:dyDescent="0.25">
      <c r="A65" s="110">
        <f t="shared" si="0"/>
        <v>58</v>
      </c>
      <c r="B65" s="109">
        <v>0.63541666666666663</v>
      </c>
      <c r="C65" s="121" t="s">
        <v>247</v>
      </c>
      <c r="D65" s="111">
        <v>7</v>
      </c>
      <c r="E65" s="111">
        <v>2</v>
      </c>
      <c r="F65" s="112" t="s">
        <v>58</v>
      </c>
      <c r="G65" s="113">
        <v>1850</v>
      </c>
      <c r="H65" s="113">
        <v>2530</v>
      </c>
      <c r="I65" s="113">
        <v>4150</v>
      </c>
      <c r="J65" s="113">
        <v>5720</v>
      </c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4"/>
      <c r="V65" s="115"/>
      <c r="W65" s="116" t="s">
        <v>67</v>
      </c>
    </row>
    <row r="66" spans="1:23" ht="20.100000000000001" customHeight="1" x14ac:dyDescent="0.25">
      <c r="A66" s="110">
        <f t="shared" si="0"/>
        <v>59</v>
      </c>
      <c r="B66" s="109">
        <v>0.64097222222222217</v>
      </c>
      <c r="C66" s="121" t="s">
        <v>161</v>
      </c>
      <c r="D66" s="111">
        <v>11</v>
      </c>
      <c r="E66" s="111">
        <v>6</v>
      </c>
      <c r="F66" s="118" t="s">
        <v>29</v>
      </c>
      <c r="G66" s="113">
        <v>3250</v>
      </c>
      <c r="H66" s="113">
        <v>4400</v>
      </c>
      <c r="I66" s="113">
        <v>3000</v>
      </c>
      <c r="J66" s="113">
        <v>4400</v>
      </c>
      <c r="K66" s="113">
        <v>3200</v>
      </c>
      <c r="L66" s="113">
        <v>5830</v>
      </c>
      <c r="M66" s="113">
        <v>3000</v>
      </c>
      <c r="N66" s="113">
        <v>3630</v>
      </c>
      <c r="O66" s="113">
        <v>3650</v>
      </c>
      <c r="P66" s="113">
        <v>5830</v>
      </c>
      <c r="Q66" s="113">
        <v>3800</v>
      </c>
      <c r="R66" s="113">
        <v>3630</v>
      </c>
      <c r="S66" s="113"/>
      <c r="T66" s="113"/>
      <c r="U66" s="114"/>
      <c r="V66" s="115"/>
      <c r="W66" s="116" t="s">
        <v>67</v>
      </c>
    </row>
    <row r="67" spans="1:23" ht="20.100000000000001" customHeight="1" x14ac:dyDescent="0.25">
      <c r="A67" s="110">
        <f t="shared" si="0"/>
        <v>60</v>
      </c>
      <c r="B67" s="109">
        <v>0.64583333333333337</v>
      </c>
      <c r="C67" s="121" t="s">
        <v>248</v>
      </c>
      <c r="D67" s="111">
        <v>12</v>
      </c>
      <c r="E67" s="111">
        <v>7</v>
      </c>
      <c r="F67" s="112" t="s">
        <v>58</v>
      </c>
      <c r="G67" s="113">
        <v>3850</v>
      </c>
      <c r="H67" s="113">
        <v>2750</v>
      </c>
      <c r="I67" s="113">
        <v>2970</v>
      </c>
      <c r="J67" s="113">
        <v>3350</v>
      </c>
      <c r="K67" s="113">
        <v>2640</v>
      </c>
      <c r="L67" s="113">
        <v>3050</v>
      </c>
      <c r="M67" s="113">
        <v>2640</v>
      </c>
      <c r="N67" s="113">
        <v>3000</v>
      </c>
      <c r="O67" s="113">
        <v>4730</v>
      </c>
      <c r="P67" s="113">
        <v>3550</v>
      </c>
      <c r="Q67" s="113">
        <v>3630</v>
      </c>
      <c r="R67" s="113">
        <v>2350</v>
      </c>
      <c r="S67" s="113">
        <v>3850</v>
      </c>
      <c r="T67" s="113">
        <v>3850</v>
      </c>
      <c r="U67" s="114"/>
      <c r="V67" s="115"/>
      <c r="W67" s="116" t="s">
        <v>67</v>
      </c>
    </row>
    <row r="68" spans="1:23" s="86" customFormat="1" ht="20.100000000000001" customHeight="1" x14ac:dyDescent="0.25">
      <c r="A68" s="110">
        <f t="shared" si="0"/>
        <v>61</v>
      </c>
      <c r="B68" s="109">
        <v>0.66111111111111109</v>
      </c>
      <c r="C68" s="121" t="s">
        <v>249</v>
      </c>
      <c r="D68" s="111">
        <v>8</v>
      </c>
      <c r="E68" s="111">
        <v>3</v>
      </c>
      <c r="F68" s="112" t="s">
        <v>60</v>
      </c>
      <c r="G68" s="113">
        <v>3410</v>
      </c>
      <c r="H68" s="113">
        <v>2800</v>
      </c>
      <c r="I68" s="113">
        <v>5390</v>
      </c>
      <c r="J68" s="113">
        <v>3500</v>
      </c>
      <c r="K68" s="113">
        <v>3960</v>
      </c>
      <c r="L68" s="113">
        <v>3400</v>
      </c>
      <c r="M68" s="113"/>
      <c r="N68" s="113"/>
      <c r="O68" s="113"/>
      <c r="P68" s="113"/>
      <c r="Q68" s="113"/>
      <c r="R68" s="113"/>
      <c r="S68" s="113"/>
      <c r="T68" s="113"/>
      <c r="U68" s="114"/>
      <c r="V68" s="115"/>
      <c r="W68" s="116" t="s">
        <v>67</v>
      </c>
    </row>
    <row r="69" spans="1:23" ht="20.100000000000001" customHeight="1" x14ac:dyDescent="0.25">
      <c r="A69" s="110">
        <f t="shared" si="0"/>
        <v>62</v>
      </c>
      <c r="B69" s="109">
        <v>0.67291666666666661</v>
      </c>
      <c r="C69" s="121" t="s">
        <v>250</v>
      </c>
      <c r="D69" s="111">
        <v>11</v>
      </c>
      <c r="E69" s="111">
        <v>6</v>
      </c>
      <c r="F69" s="118" t="s">
        <v>29</v>
      </c>
      <c r="G69" s="113">
        <v>2970</v>
      </c>
      <c r="H69" s="113">
        <v>2750</v>
      </c>
      <c r="I69" s="113">
        <v>4180</v>
      </c>
      <c r="J69" s="113">
        <v>3000</v>
      </c>
      <c r="K69" s="113">
        <v>4950</v>
      </c>
      <c r="L69" s="113">
        <v>2800</v>
      </c>
      <c r="M69" s="113">
        <v>3300</v>
      </c>
      <c r="N69" s="113">
        <v>3800</v>
      </c>
      <c r="O69" s="113">
        <v>4290</v>
      </c>
      <c r="P69" s="113">
        <v>3300</v>
      </c>
      <c r="Q69" s="113">
        <v>3960</v>
      </c>
      <c r="R69" s="113">
        <v>3750</v>
      </c>
      <c r="S69" s="113"/>
      <c r="T69" s="113"/>
      <c r="U69" s="114"/>
      <c r="V69" s="115"/>
      <c r="W69" s="116" t="s">
        <v>67</v>
      </c>
    </row>
    <row r="70" spans="1:23" ht="20.100000000000001" customHeight="1" x14ac:dyDescent="0.25">
      <c r="A70" s="110">
        <f t="shared" si="0"/>
        <v>63</v>
      </c>
      <c r="B70" s="109">
        <v>0.67708333333333337</v>
      </c>
      <c r="C70" s="121" t="s">
        <v>251</v>
      </c>
      <c r="D70" s="111">
        <v>7</v>
      </c>
      <c r="E70" s="111">
        <v>2</v>
      </c>
      <c r="F70" s="112" t="s">
        <v>58</v>
      </c>
      <c r="G70" s="113">
        <v>1540</v>
      </c>
      <c r="H70" s="113">
        <v>1450</v>
      </c>
      <c r="I70" s="113">
        <v>1210</v>
      </c>
      <c r="J70" s="113">
        <v>1350</v>
      </c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4"/>
      <c r="V70" s="115"/>
      <c r="W70" s="116" t="s">
        <v>258</v>
      </c>
    </row>
    <row r="71" spans="1:23" ht="20.100000000000001" customHeight="1" x14ac:dyDescent="0.25">
      <c r="A71" s="110">
        <f t="shared" si="0"/>
        <v>64</v>
      </c>
      <c r="B71" s="109">
        <v>0.67986111111111114</v>
      </c>
      <c r="C71" s="121" t="s">
        <v>252</v>
      </c>
      <c r="D71" s="111">
        <v>11</v>
      </c>
      <c r="E71" s="111">
        <v>6</v>
      </c>
      <c r="F71" s="118" t="s">
        <v>110</v>
      </c>
      <c r="G71" s="113">
        <v>3190</v>
      </c>
      <c r="H71" s="113">
        <v>2650</v>
      </c>
      <c r="I71" s="113">
        <v>2200</v>
      </c>
      <c r="J71" s="113">
        <v>3000</v>
      </c>
      <c r="K71" s="113">
        <v>4620</v>
      </c>
      <c r="L71" s="113">
        <v>3450</v>
      </c>
      <c r="M71" s="113">
        <v>3300</v>
      </c>
      <c r="N71" s="113">
        <v>2400</v>
      </c>
      <c r="O71" s="113">
        <v>3960</v>
      </c>
      <c r="P71" s="113">
        <v>3200</v>
      </c>
      <c r="Q71" s="113">
        <v>3960</v>
      </c>
      <c r="R71" s="113">
        <v>4100</v>
      </c>
      <c r="S71" s="113"/>
      <c r="T71" s="113"/>
      <c r="U71" s="114"/>
      <c r="V71" s="115"/>
      <c r="W71" s="116" t="s">
        <v>70</v>
      </c>
    </row>
    <row r="72" spans="1:23" ht="20.100000000000001" customHeight="1" x14ac:dyDescent="0.25">
      <c r="A72" s="110">
        <f t="shared" si="0"/>
        <v>65</v>
      </c>
      <c r="B72" s="109">
        <v>0.68194444444444446</v>
      </c>
      <c r="C72" s="121" t="s">
        <v>253</v>
      </c>
      <c r="D72" s="111">
        <v>11</v>
      </c>
      <c r="E72" s="111">
        <v>6</v>
      </c>
      <c r="F72" s="118" t="s">
        <v>29</v>
      </c>
      <c r="G72" s="113">
        <v>2860</v>
      </c>
      <c r="H72" s="113">
        <v>2700</v>
      </c>
      <c r="I72" s="113">
        <v>3960</v>
      </c>
      <c r="J72" s="113">
        <v>3050</v>
      </c>
      <c r="K72" s="113">
        <v>2970</v>
      </c>
      <c r="L72" s="113">
        <v>2800</v>
      </c>
      <c r="M72" s="113">
        <v>4510</v>
      </c>
      <c r="N72" s="113">
        <v>3050</v>
      </c>
      <c r="O72" s="113">
        <v>4840</v>
      </c>
      <c r="P72" s="113">
        <v>2650</v>
      </c>
      <c r="Q72" s="113">
        <v>3960</v>
      </c>
      <c r="R72" s="113">
        <v>2900</v>
      </c>
      <c r="S72" s="113"/>
      <c r="T72" s="113"/>
      <c r="U72" s="114"/>
      <c r="V72" s="115"/>
      <c r="W72" s="116" t="s">
        <v>67</v>
      </c>
    </row>
    <row r="73" spans="1:23" ht="20.100000000000001" customHeight="1" x14ac:dyDescent="0.25">
      <c r="A73" s="110">
        <f t="shared" si="0"/>
        <v>66</v>
      </c>
      <c r="B73" s="109">
        <v>0.68263888888888891</v>
      </c>
      <c r="C73" s="121" t="s">
        <v>254</v>
      </c>
      <c r="D73" s="111">
        <v>7</v>
      </c>
      <c r="E73" s="111">
        <v>2</v>
      </c>
      <c r="F73" s="112" t="s">
        <v>58</v>
      </c>
      <c r="G73" s="113">
        <v>2420</v>
      </c>
      <c r="H73" s="113">
        <v>2100</v>
      </c>
      <c r="I73" s="113">
        <v>5060</v>
      </c>
      <c r="J73" s="113">
        <v>4300</v>
      </c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4"/>
      <c r="V73" s="115"/>
      <c r="W73" s="116" t="s">
        <v>67</v>
      </c>
    </row>
    <row r="74" spans="1:23" ht="20.100000000000001" customHeight="1" x14ac:dyDescent="0.25">
      <c r="A74" s="110">
        <f t="shared" si="0"/>
        <v>67</v>
      </c>
      <c r="B74" s="109">
        <v>0.68680555555555556</v>
      </c>
      <c r="C74" s="121" t="s">
        <v>208</v>
      </c>
      <c r="D74" s="111">
        <v>8</v>
      </c>
      <c r="E74" s="111">
        <v>3</v>
      </c>
      <c r="F74" s="112" t="s">
        <v>60</v>
      </c>
      <c r="G74" s="113">
        <v>2420</v>
      </c>
      <c r="H74" s="113">
        <v>2300</v>
      </c>
      <c r="I74" s="113">
        <v>5280</v>
      </c>
      <c r="J74" s="113">
        <v>3850</v>
      </c>
      <c r="K74" s="113">
        <v>5500</v>
      </c>
      <c r="L74" s="113">
        <v>4000</v>
      </c>
      <c r="M74" s="113"/>
      <c r="N74" s="113"/>
      <c r="O74" s="113"/>
      <c r="P74" s="113"/>
      <c r="Q74" s="113"/>
      <c r="R74" s="113"/>
      <c r="S74" s="113"/>
      <c r="T74" s="113"/>
      <c r="U74" s="114"/>
      <c r="V74" s="115"/>
      <c r="W74" s="116" t="s">
        <v>75</v>
      </c>
    </row>
    <row r="75" spans="1:23" ht="20.100000000000001" customHeight="1" x14ac:dyDescent="0.25">
      <c r="A75" s="110">
        <f t="shared" si="0"/>
        <v>68</v>
      </c>
      <c r="B75" s="109">
        <v>0.69236111111111109</v>
      </c>
      <c r="C75" s="121" t="s">
        <v>255</v>
      </c>
      <c r="D75" s="111">
        <v>7</v>
      </c>
      <c r="E75" s="111">
        <v>2</v>
      </c>
      <c r="F75" s="112" t="s">
        <v>58</v>
      </c>
      <c r="G75" s="113">
        <v>2860</v>
      </c>
      <c r="H75" s="113">
        <v>2700</v>
      </c>
      <c r="I75" s="113">
        <v>5170</v>
      </c>
      <c r="J75" s="113">
        <v>4200</v>
      </c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4"/>
      <c r="V75" s="115"/>
      <c r="W75" s="116" t="s">
        <v>67</v>
      </c>
    </row>
    <row r="76" spans="1:23" ht="20.100000000000001" customHeight="1" x14ac:dyDescent="0.25">
      <c r="A76" s="110">
        <f t="shared" ref="A76:A118" si="1">A75+1</f>
        <v>69</v>
      </c>
      <c r="B76" s="109">
        <v>0.69791666666666663</v>
      </c>
      <c r="C76" s="121" t="s">
        <v>57</v>
      </c>
      <c r="D76" s="111">
        <v>7</v>
      </c>
      <c r="E76" s="111">
        <v>2</v>
      </c>
      <c r="F76" s="112" t="s">
        <v>58</v>
      </c>
      <c r="G76" s="113">
        <v>1430</v>
      </c>
      <c r="H76" s="113">
        <v>1350</v>
      </c>
      <c r="I76" s="113">
        <v>2860</v>
      </c>
      <c r="J76" s="113">
        <v>2400</v>
      </c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4"/>
      <c r="V76" s="115"/>
      <c r="W76" s="116" t="s">
        <v>259</v>
      </c>
    </row>
    <row r="77" spans="1:23" ht="20.100000000000001" customHeight="1" x14ac:dyDescent="0.25">
      <c r="A77" s="110">
        <f t="shared" si="1"/>
        <v>70</v>
      </c>
      <c r="B77" s="109">
        <v>0.70138888888888884</v>
      </c>
      <c r="C77" s="121" t="s">
        <v>260</v>
      </c>
      <c r="D77" s="111">
        <v>11</v>
      </c>
      <c r="E77" s="111">
        <v>6</v>
      </c>
      <c r="F77" s="112" t="s">
        <v>110</v>
      </c>
      <c r="G77" s="113">
        <v>2420</v>
      </c>
      <c r="H77" s="113">
        <v>2350</v>
      </c>
      <c r="I77" s="113">
        <v>3520</v>
      </c>
      <c r="J77" s="113">
        <v>3100</v>
      </c>
      <c r="K77" s="113">
        <v>5720</v>
      </c>
      <c r="L77" s="113">
        <v>4200</v>
      </c>
      <c r="M77" s="113">
        <v>3740</v>
      </c>
      <c r="N77" s="113">
        <v>3400</v>
      </c>
      <c r="O77" s="113">
        <v>3630</v>
      </c>
      <c r="P77" s="113">
        <v>3450</v>
      </c>
      <c r="Q77" s="113">
        <v>3960</v>
      </c>
      <c r="R77" s="113">
        <v>3100</v>
      </c>
      <c r="S77" s="113"/>
      <c r="T77" s="113"/>
      <c r="U77" s="114"/>
      <c r="V77" s="115"/>
      <c r="W77" s="116" t="s">
        <v>67</v>
      </c>
    </row>
    <row r="78" spans="1:23" ht="20.100000000000001" customHeight="1" x14ac:dyDescent="0.25">
      <c r="A78" s="110">
        <f t="shared" si="1"/>
        <v>71</v>
      </c>
      <c r="B78" s="109">
        <v>0.70694444444444438</v>
      </c>
      <c r="C78" s="121" t="s">
        <v>261</v>
      </c>
      <c r="D78" s="111">
        <v>8</v>
      </c>
      <c r="E78" s="111">
        <v>3</v>
      </c>
      <c r="F78" s="112" t="s">
        <v>60</v>
      </c>
      <c r="G78" s="113">
        <v>3410</v>
      </c>
      <c r="H78" s="113">
        <v>2650</v>
      </c>
      <c r="I78" s="113">
        <v>4400</v>
      </c>
      <c r="J78" s="113">
        <v>3500</v>
      </c>
      <c r="K78" s="113">
        <v>4070</v>
      </c>
      <c r="L78" s="113">
        <v>3650</v>
      </c>
      <c r="M78" s="113"/>
      <c r="N78" s="113"/>
      <c r="O78" s="113"/>
      <c r="P78" s="113"/>
      <c r="Q78" s="113"/>
      <c r="R78" s="113"/>
      <c r="S78" s="113"/>
      <c r="T78" s="113"/>
      <c r="U78" s="114"/>
      <c r="V78" s="115"/>
      <c r="W78" s="116" t="s">
        <v>67</v>
      </c>
    </row>
    <row r="79" spans="1:23" ht="20.100000000000001" customHeight="1" x14ac:dyDescent="0.25">
      <c r="A79" s="110">
        <f t="shared" si="1"/>
        <v>72</v>
      </c>
      <c r="B79" s="109">
        <v>0.71388888888888891</v>
      </c>
      <c r="C79" s="121" t="s">
        <v>263</v>
      </c>
      <c r="D79" s="111">
        <v>11</v>
      </c>
      <c r="E79" s="111">
        <v>6</v>
      </c>
      <c r="F79" s="118" t="s">
        <v>29</v>
      </c>
      <c r="G79" s="113">
        <v>2860</v>
      </c>
      <c r="H79" s="113">
        <v>2600</v>
      </c>
      <c r="I79" s="113">
        <v>2200</v>
      </c>
      <c r="J79" s="113">
        <v>3500</v>
      </c>
      <c r="K79" s="113">
        <v>5170</v>
      </c>
      <c r="L79" s="113">
        <v>3550</v>
      </c>
      <c r="M79" s="113">
        <v>3740</v>
      </c>
      <c r="N79" s="113">
        <v>2300</v>
      </c>
      <c r="O79" s="113">
        <v>3960</v>
      </c>
      <c r="P79" s="113">
        <v>2200</v>
      </c>
      <c r="Q79" s="113">
        <v>2640</v>
      </c>
      <c r="R79" s="113">
        <v>1550</v>
      </c>
      <c r="S79" s="113"/>
      <c r="T79" s="113"/>
      <c r="U79" s="114"/>
      <c r="V79" s="115"/>
      <c r="W79" s="116" t="s">
        <v>67</v>
      </c>
    </row>
    <row r="80" spans="1:23" ht="20.100000000000001" customHeight="1" x14ac:dyDescent="0.25">
      <c r="A80" s="110">
        <f t="shared" si="1"/>
        <v>73</v>
      </c>
      <c r="B80" s="109">
        <v>0.71527777777777779</v>
      </c>
      <c r="C80" s="121" t="s">
        <v>264</v>
      </c>
      <c r="D80" s="111">
        <v>11</v>
      </c>
      <c r="E80" s="111">
        <v>6</v>
      </c>
      <c r="F80" s="112" t="s">
        <v>29</v>
      </c>
      <c r="G80" s="113">
        <v>2970</v>
      </c>
      <c r="H80" s="113">
        <v>2650</v>
      </c>
      <c r="I80" s="113">
        <v>3960</v>
      </c>
      <c r="J80" s="113">
        <v>3300</v>
      </c>
      <c r="K80" s="113">
        <v>3960</v>
      </c>
      <c r="L80" s="113">
        <v>3300</v>
      </c>
      <c r="M80" s="113">
        <v>5170</v>
      </c>
      <c r="N80" s="113">
        <v>3700</v>
      </c>
      <c r="O80" s="113">
        <v>3190</v>
      </c>
      <c r="P80" s="113">
        <v>2700</v>
      </c>
      <c r="Q80" s="113">
        <v>4730</v>
      </c>
      <c r="R80" s="113">
        <v>3350</v>
      </c>
      <c r="S80" s="113"/>
      <c r="T80" s="113"/>
      <c r="U80" s="114"/>
      <c r="V80" s="115"/>
      <c r="W80" s="116" t="s">
        <v>67</v>
      </c>
    </row>
    <row r="81" spans="1:23" ht="20.100000000000001" customHeight="1" x14ac:dyDescent="0.25">
      <c r="A81" s="110">
        <f t="shared" si="1"/>
        <v>74</v>
      </c>
      <c r="B81" s="109">
        <v>0.72569444444444453</v>
      </c>
      <c r="C81" s="121" t="s">
        <v>266</v>
      </c>
      <c r="D81" s="111">
        <v>7</v>
      </c>
      <c r="E81" s="111">
        <v>2</v>
      </c>
      <c r="F81" s="112" t="s">
        <v>60</v>
      </c>
      <c r="G81" s="113">
        <v>3190</v>
      </c>
      <c r="H81" s="113">
        <v>2850</v>
      </c>
      <c r="I81" s="113">
        <v>4510</v>
      </c>
      <c r="J81" s="113">
        <v>4550</v>
      </c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4"/>
      <c r="V81" s="115"/>
      <c r="W81" s="116" t="s">
        <v>67</v>
      </c>
    </row>
    <row r="82" spans="1:23" ht="20.100000000000001" customHeight="1" x14ac:dyDescent="0.25">
      <c r="A82" s="110">
        <f t="shared" si="1"/>
        <v>75</v>
      </c>
      <c r="B82" s="109">
        <v>0.73611111111111116</v>
      </c>
      <c r="C82" s="121" t="s">
        <v>267</v>
      </c>
      <c r="D82" s="111">
        <v>11</v>
      </c>
      <c r="E82" s="111">
        <v>6</v>
      </c>
      <c r="F82" s="112" t="s">
        <v>29</v>
      </c>
      <c r="G82" s="113">
        <v>2750</v>
      </c>
      <c r="H82" s="113">
        <v>2800</v>
      </c>
      <c r="I82" s="113">
        <v>3300</v>
      </c>
      <c r="J82" s="113">
        <v>3200</v>
      </c>
      <c r="K82" s="113">
        <v>3300</v>
      </c>
      <c r="L82" s="113">
        <v>2400</v>
      </c>
      <c r="M82" s="113">
        <v>3850</v>
      </c>
      <c r="N82" s="113">
        <v>2600</v>
      </c>
      <c r="O82" s="113">
        <v>3740</v>
      </c>
      <c r="P82" s="113">
        <v>2950</v>
      </c>
      <c r="Q82" s="113">
        <v>4620</v>
      </c>
      <c r="R82" s="113">
        <v>2900</v>
      </c>
      <c r="S82" s="113"/>
      <c r="T82" s="113"/>
      <c r="U82" s="114"/>
      <c r="V82" s="115"/>
      <c r="W82" s="116" t="s">
        <v>70</v>
      </c>
    </row>
    <row r="83" spans="1:23" ht="20.100000000000001" customHeight="1" x14ac:dyDescent="0.25">
      <c r="A83" s="110">
        <f t="shared" si="1"/>
        <v>76</v>
      </c>
      <c r="B83" s="109">
        <v>0.74097222222222225</v>
      </c>
      <c r="C83" s="121" t="s">
        <v>268</v>
      </c>
      <c r="D83" s="111">
        <v>11</v>
      </c>
      <c r="E83" s="111">
        <v>6</v>
      </c>
      <c r="F83" s="112" t="s">
        <v>29</v>
      </c>
      <c r="G83" s="113">
        <v>3080</v>
      </c>
      <c r="H83" s="113">
        <v>2800</v>
      </c>
      <c r="I83" s="113">
        <v>4730</v>
      </c>
      <c r="J83" s="113">
        <v>3750</v>
      </c>
      <c r="K83" s="113">
        <v>5170</v>
      </c>
      <c r="L83" s="113">
        <v>3600</v>
      </c>
      <c r="M83" s="113">
        <v>3520</v>
      </c>
      <c r="N83" s="113">
        <v>3200</v>
      </c>
      <c r="O83" s="113">
        <v>3960</v>
      </c>
      <c r="P83" s="113">
        <v>2950</v>
      </c>
      <c r="Q83" s="113">
        <v>4180</v>
      </c>
      <c r="R83" s="113">
        <v>3250</v>
      </c>
      <c r="S83" s="113"/>
      <c r="T83" s="113"/>
      <c r="U83" s="114"/>
      <c r="V83" s="115"/>
      <c r="W83" s="116" t="s">
        <v>70</v>
      </c>
    </row>
    <row r="84" spans="1:23" ht="20.100000000000001" customHeight="1" x14ac:dyDescent="0.25">
      <c r="A84" s="110">
        <f t="shared" si="1"/>
        <v>77</v>
      </c>
      <c r="B84" s="109">
        <v>0.75347222222222221</v>
      </c>
      <c r="C84" s="121" t="s">
        <v>270</v>
      </c>
      <c r="D84" s="111">
        <v>11</v>
      </c>
      <c r="E84" s="111">
        <v>6</v>
      </c>
      <c r="F84" s="112" t="s">
        <v>29</v>
      </c>
      <c r="G84" s="113">
        <v>3410</v>
      </c>
      <c r="H84" s="113">
        <v>2900</v>
      </c>
      <c r="I84" s="113">
        <v>4180</v>
      </c>
      <c r="J84" s="113">
        <v>2550</v>
      </c>
      <c r="K84" s="113">
        <v>4290</v>
      </c>
      <c r="L84" s="113">
        <v>2750</v>
      </c>
      <c r="M84" s="113">
        <v>5280</v>
      </c>
      <c r="N84" s="113">
        <v>2750</v>
      </c>
      <c r="O84" s="113">
        <v>4950</v>
      </c>
      <c r="P84" s="113">
        <v>3950</v>
      </c>
      <c r="Q84" s="113">
        <v>5280</v>
      </c>
      <c r="R84" s="113">
        <v>3100</v>
      </c>
      <c r="S84" s="113"/>
      <c r="T84" s="113"/>
      <c r="U84" s="114"/>
      <c r="V84" s="115"/>
      <c r="W84" s="116" t="s">
        <v>67</v>
      </c>
    </row>
    <row r="85" spans="1:23" ht="20.100000000000001" customHeight="1" x14ac:dyDescent="0.25">
      <c r="A85" s="110">
        <f t="shared" si="1"/>
        <v>78</v>
      </c>
      <c r="B85" s="109">
        <v>0.76041666666666663</v>
      </c>
      <c r="C85" s="121" t="s">
        <v>93</v>
      </c>
      <c r="D85" s="111">
        <v>11</v>
      </c>
      <c r="E85" s="111">
        <v>6</v>
      </c>
      <c r="F85" s="112" t="s">
        <v>29</v>
      </c>
      <c r="G85" s="113">
        <v>2600</v>
      </c>
      <c r="H85" s="113">
        <v>3410</v>
      </c>
      <c r="I85" s="113">
        <v>3600</v>
      </c>
      <c r="J85" s="113">
        <v>3300</v>
      </c>
      <c r="K85" s="113">
        <v>4200</v>
      </c>
      <c r="L85" s="113">
        <v>5500</v>
      </c>
      <c r="M85" s="113">
        <v>4500</v>
      </c>
      <c r="N85" s="113">
        <v>4620</v>
      </c>
      <c r="O85" s="113">
        <v>4200</v>
      </c>
      <c r="P85" s="113">
        <v>4400</v>
      </c>
      <c r="Q85" s="113">
        <v>4500</v>
      </c>
      <c r="R85" s="113">
        <v>2860</v>
      </c>
      <c r="S85" s="113"/>
      <c r="T85" s="113"/>
      <c r="U85" s="114"/>
      <c r="V85" s="115"/>
      <c r="W85" s="116" t="s">
        <v>67</v>
      </c>
    </row>
    <row r="86" spans="1:23" ht="20.100000000000001" customHeight="1" x14ac:dyDescent="0.25">
      <c r="A86" s="110">
        <f t="shared" si="1"/>
        <v>79</v>
      </c>
      <c r="B86" s="109">
        <v>0.76736111111111116</v>
      </c>
      <c r="C86" s="121" t="s">
        <v>271</v>
      </c>
      <c r="D86" s="111">
        <v>7</v>
      </c>
      <c r="E86" s="111">
        <v>2</v>
      </c>
      <c r="F86" s="112" t="s">
        <v>58</v>
      </c>
      <c r="G86" s="113">
        <v>3300</v>
      </c>
      <c r="H86" s="113">
        <v>1500</v>
      </c>
      <c r="I86" s="113">
        <v>5170</v>
      </c>
      <c r="J86" s="113">
        <v>3000</v>
      </c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4"/>
      <c r="V86" s="115"/>
      <c r="W86" s="116" t="s">
        <v>67</v>
      </c>
    </row>
    <row r="87" spans="1:23" ht="20.100000000000001" customHeight="1" x14ac:dyDescent="0.25">
      <c r="A87" s="110">
        <f t="shared" si="1"/>
        <v>80</v>
      </c>
      <c r="B87" s="109">
        <v>0.78749999999999998</v>
      </c>
      <c r="C87" s="121" t="s">
        <v>178</v>
      </c>
      <c r="D87" s="111">
        <v>8</v>
      </c>
      <c r="E87" s="111">
        <v>3</v>
      </c>
      <c r="F87" s="112" t="s">
        <v>60</v>
      </c>
      <c r="G87" s="113">
        <v>2970</v>
      </c>
      <c r="H87" s="113">
        <v>2970</v>
      </c>
      <c r="I87" s="113">
        <v>3960</v>
      </c>
      <c r="J87" s="113">
        <v>3960</v>
      </c>
      <c r="K87" s="113">
        <v>4180</v>
      </c>
      <c r="L87" s="113">
        <v>4180</v>
      </c>
      <c r="M87" s="113"/>
      <c r="N87" s="113"/>
      <c r="O87" s="113"/>
      <c r="P87" s="113"/>
      <c r="Q87" s="113"/>
      <c r="R87" s="113"/>
      <c r="S87" s="113"/>
      <c r="T87" s="113"/>
      <c r="U87" s="114"/>
      <c r="V87" s="115"/>
      <c r="W87" s="116" t="s">
        <v>72</v>
      </c>
    </row>
    <row r="88" spans="1:23" ht="20.100000000000001" customHeight="1" x14ac:dyDescent="0.25">
      <c r="A88" s="110">
        <f t="shared" si="1"/>
        <v>81</v>
      </c>
      <c r="B88" s="109">
        <v>0.79166666666666663</v>
      </c>
      <c r="C88" s="121" t="s">
        <v>272</v>
      </c>
      <c r="D88" s="111">
        <v>11</v>
      </c>
      <c r="E88" s="111">
        <v>6</v>
      </c>
      <c r="F88" s="112" t="s">
        <v>29</v>
      </c>
      <c r="G88" s="113">
        <v>2640</v>
      </c>
      <c r="H88" s="113">
        <v>2640</v>
      </c>
      <c r="I88" s="113">
        <v>3960</v>
      </c>
      <c r="J88" s="113">
        <v>3960</v>
      </c>
      <c r="K88" s="113">
        <v>3850</v>
      </c>
      <c r="L88" s="113">
        <v>3850</v>
      </c>
      <c r="M88" s="113">
        <v>2860</v>
      </c>
      <c r="N88" s="113">
        <v>2860</v>
      </c>
      <c r="O88" s="113">
        <v>2860</v>
      </c>
      <c r="P88" s="113">
        <v>4290</v>
      </c>
      <c r="Q88" s="113">
        <v>4290</v>
      </c>
      <c r="R88" s="113">
        <v>3630</v>
      </c>
      <c r="S88" s="113"/>
      <c r="T88" s="113"/>
      <c r="U88" s="114"/>
      <c r="V88" s="115"/>
      <c r="W88" s="116" t="s">
        <v>65</v>
      </c>
    </row>
    <row r="89" spans="1:23" ht="20.100000000000001" customHeight="1" x14ac:dyDescent="0.25">
      <c r="A89" s="110">
        <f t="shared" si="1"/>
        <v>82</v>
      </c>
      <c r="B89" s="109">
        <v>0.80208333333333337</v>
      </c>
      <c r="C89" s="121" t="s">
        <v>273</v>
      </c>
      <c r="D89" s="111">
        <v>7</v>
      </c>
      <c r="E89" s="111">
        <v>2</v>
      </c>
      <c r="F89" s="112" t="s">
        <v>58</v>
      </c>
      <c r="G89" s="113">
        <v>1400</v>
      </c>
      <c r="H89" s="113">
        <v>1430</v>
      </c>
      <c r="I89" s="113">
        <v>3100</v>
      </c>
      <c r="J89" s="113">
        <v>2420</v>
      </c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4"/>
      <c r="V89" s="115"/>
      <c r="W89" s="116" t="s">
        <v>75</v>
      </c>
    </row>
    <row r="90" spans="1:23" ht="20.100000000000001" customHeight="1" x14ac:dyDescent="0.25">
      <c r="A90" s="110">
        <f t="shared" si="1"/>
        <v>83</v>
      </c>
      <c r="B90" s="109">
        <v>0.8208333333333333</v>
      </c>
      <c r="C90" s="121" t="s">
        <v>279</v>
      </c>
      <c r="D90" s="111">
        <v>7</v>
      </c>
      <c r="E90" s="111">
        <v>2</v>
      </c>
      <c r="F90" s="112" t="s">
        <v>58</v>
      </c>
      <c r="G90" s="113">
        <v>3050</v>
      </c>
      <c r="H90" s="113">
        <v>3190</v>
      </c>
      <c r="I90" s="113">
        <v>4000</v>
      </c>
      <c r="J90" s="113">
        <v>5720</v>
      </c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4"/>
      <c r="V90" s="115"/>
      <c r="W90" s="116" t="s">
        <v>75</v>
      </c>
    </row>
    <row r="91" spans="1:23" ht="20.100000000000001" customHeight="1" x14ac:dyDescent="0.25">
      <c r="A91" s="110">
        <f t="shared" si="1"/>
        <v>84</v>
      </c>
      <c r="B91" s="109">
        <v>0.82638888888888884</v>
      </c>
      <c r="C91" s="121" t="s">
        <v>280</v>
      </c>
      <c r="D91" s="111">
        <v>11</v>
      </c>
      <c r="E91" s="111">
        <v>6</v>
      </c>
      <c r="F91" s="112" t="s">
        <v>29</v>
      </c>
      <c r="G91" s="113">
        <v>2310</v>
      </c>
      <c r="H91" s="113">
        <v>2800</v>
      </c>
      <c r="I91" s="113">
        <v>4730</v>
      </c>
      <c r="J91" s="113">
        <v>3850</v>
      </c>
      <c r="K91" s="113">
        <v>4950</v>
      </c>
      <c r="L91" s="113">
        <v>3850</v>
      </c>
      <c r="M91" s="113">
        <v>3520</v>
      </c>
      <c r="N91" s="113">
        <v>3630</v>
      </c>
      <c r="O91" s="113">
        <v>3150</v>
      </c>
      <c r="P91" s="113">
        <v>4070</v>
      </c>
      <c r="Q91" s="113">
        <v>3100</v>
      </c>
      <c r="R91" s="113">
        <v>4290</v>
      </c>
      <c r="S91" s="113"/>
      <c r="T91" s="113"/>
      <c r="U91" s="114"/>
      <c r="V91" s="115"/>
      <c r="W91" s="116" t="s">
        <v>70</v>
      </c>
    </row>
    <row r="92" spans="1:23" ht="20.100000000000001" customHeight="1" x14ac:dyDescent="0.25">
      <c r="A92" s="110">
        <f t="shared" si="1"/>
        <v>85</v>
      </c>
      <c r="B92" s="109">
        <v>0.85069444444444453</v>
      </c>
      <c r="C92" s="121" t="s">
        <v>283</v>
      </c>
      <c r="D92" s="111">
        <v>7</v>
      </c>
      <c r="E92" s="111">
        <v>2</v>
      </c>
      <c r="F92" s="112" t="s">
        <v>58</v>
      </c>
      <c r="G92" s="113">
        <v>1050</v>
      </c>
      <c r="H92" s="113">
        <v>1980</v>
      </c>
      <c r="I92" s="113">
        <v>650</v>
      </c>
      <c r="J92" s="113">
        <v>880</v>
      </c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4"/>
      <c r="V92" s="115"/>
      <c r="W92" s="116" t="s">
        <v>70</v>
      </c>
    </row>
    <row r="93" spans="1:23" ht="20.100000000000001" customHeight="1" x14ac:dyDescent="0.25">
      <c r="A93" s="110">
        <f t="shared" si="1"/>
        <v>86</v>
      </c>
      <c r="B93" s="109">
        <v>0.85416666666666663</v>
      </c>
      <c r="C93" s="121" t="s">
        <v>284</v>
      </c>
      <c r="D93" s="111">
        <v>11</v>
      </c>
      <c r="E93" s="111">
        <v>6</v>
      </c>
      <c r="F93" s="112" t="s">
        <v>29</v>
      </c>
      <c r="G93" s="113">
        <v>3740</v>
      </c>
      <c r="H93" s="113">
        <v>3100</v>
      </c>
      <c r="I93" s="113">
        <v>3630</v>
      </c>
      <c r="J93" s="113">
        <v>3050</v>
      </c>
      <c r="K93" s="113">
        <v>4730</v>
      </c>
      <c r="L93" s="113">
        <v>2450</v>
      </c>
      <c r="M93" s="113">
        <v>5500</v>
      </c>
      <c r="N93" s="113">
        <v>3550</v>
      </c>
      <c r="O93" s="113">
        <v>5060</v>
      </c>
      <c r="P93" s="113">
        <v>3850</v>
      </c>
      <c r="Q93" s="113">
        <v>4840</v>
      </c>
      <c r="R93" s="113">
        <v>2550</v>
      </c>
      <c r="S93" s="113"/>
      <c r="T93" s="113"/>
      <c r="U93" s="114"/>
      <c r="V93" s="115"/>
      <c r="W93" s="116" t="s">
        <v>67</v>
      </c>
    </row>
    <row r="94" spans="1:23" ht="20.100000000000001" customHeight="1" x14ac:dyDescent="0.25">
      <c r="A94" s="110">
        <f t="shared" si="1"/>
        <v>87</v>
      </c>
      <c r="B94" s="109">
        <v>0.86319444444444438</v>
      </c>
      <c r="C94" s="121" t="s">
        <v>285</v>
      </c>
      <c r="D94" s="111">
        <v>11</v>
      </c>
      <c r="E94" s="111">
        <v>6</v>
      </c>
      <c r="F94" s="112" t="s">
        <v>286</v>
      </c>
      <c r="G94" s="113">
        <v>2750</v>
      </c>
      <c r="H94" s="113">
        <v>2700</v>
      </c>
      <c r="I94" s="113">
        <v>2750</v>
      </c>
      <c r="J94" s="113">
        <v>2300</v>
      </c>
      <c r="K94" s="113">
        <v>5720</v>
      </c>
      <c r="L94" s="113">
        <v>2800</v>
      </c>
      <c r="M94" s="113">
        <v>3410</v>
      </c>
      <c r="N94" s="113">
        <v>3650</v>
      </c>
      <c r="O94" s="113">
        <v>3410</v>
      </c>
      <c r="P94" s="113">
        <v>3700</v>
      </c>
      <c r="Q94" s="113">
        <v>5610</v>
      </c>
      <c r="R94" s="113">
        <v>3500</v>
      </c>
      <c r="S94" s="113"/>
      <c r="T94" s="113"/>
      <c r="U94" s="114"/>
      <c r="V94" s="115"/>
      <c r="W94" s="116" t="s">
        <v>70</v>
      </c>
    </row>
    <row r="95" spans="1:23" ht="20.100000000000001" customHeight="1" x14ac:dyDescent="0.25">
      <c r="A95" s="110">
        <f t="shared" si="1"/>
        <v>88</v>
      </c>
      <c r="B95" s="109">
        <v>0.88541666666666663</v>
      </c>
      <c r="C95" s="121" t="s">
        <v>288</v>
      </c>
      <c r="D95" s="111">
        <v>10</v>
      </c>
      <c r="E95" s="111">
        <v>5</v>
      </c>
      <c r="F95" s="112" t="s">
        <v>214</v>
      </c>
      <c r="G95" s="113">
        <v>3080</v>
      </c>
      <c r="H95" s="113">
        <v>2700</v>
      </c>
      <c r="I95" s="113">
        <v>5390</v>
      </c>
      <c r="J95" s="113">
        <v>5300</v>
      </c>
      <c r="K95" s="113">
        <v>5060</v>
      </c>
      <c r="L95" s="113">
        <v>4200</v>
      </c>
      <c r="M95" s="113">
        <v>3410</v>
      </c>
      <c r="N95" s="113">
        <v>4300</v>
      </c>
      <c r="O95" s="113">
        <v>1210</v>
      </c>
      <c r="P95" s="113">
        <v>1400</v>
      </c>
      <c r="Q95" s="113"/>
      <c r="R95" s="113"/>
      <c r="S95" s="113"/>
      <c r="T95" s="113"/>
      <c r="U95" s="114"/>
      <c r="V95" s="115"/>
      <c r="W95" s="116" t="s">
        <v>67</v>
      </c>
    </row>
    <row r="96" spans="1:23" ht="20.100000000000001" customHeight="1" x14ac:dyDescent="0.25">
      <c r="A96" s="110">
        <f t="shared" si="1"/>
        <v>89</v>
      </c>
      <c r="B96" s="109">
        <v>0.89444444444444438</v>
      </c>
      <c r="C96" s="121" t="s">
        <v>289</v>
      </c>
      <c r="D96" s="111">
        <v>7</v>
      </c>
      <c r="E96" s="111">
        <v>2</v>
      </c>
      <c r="F96" s="112" t="s">
        <v>58</v>
      </c>
      <c r="G96" s="113">
        <v>1870</v>
      </c>
      <c r="H96" s="113">
        <v>2400</v>
      </c>
      <c r="I96" s="113">
        <v>3520</v>
      </c>
      <c r="J96" s="113">
        <v>4400</v>
      </c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4"/>
      <c r="V96" s="115"/>
      <c r="W96" s="116" t="s">
        <v>67</v>
      </c>
    </row>
    <row r="97" spans="1:23" ht="20.100000000000001" customHeight="1" x14ac:dyDescent="0.25">
      <c r="A97" s="110">
        <f t="shared" si="1"/>
        <v>90</v>
      </c>
      <c r="B97" s="109">
        <v>0.90416666666666667</v>
      </c>
      <c r="C97" s="121" t="s">
        <v>290</v>
      </c>
      <c r="D97" s="111">
        <v>11</v>
      </c>
      <c r="E97" s="111">
        <v>6</v>
      </c>
      <c r="F97" s="112" t="s">
        <v>29</v>
      </c>
      <c r="G97" s="113">
        <v>2970</v>
      </c>
      <c r="H97" s="113">
        <v>2850</v>
      </c>
      <c r="I97" s="113">
        <v>3630</v>
      </c>
      <c r="J97" s="113">
        <v>3750</v>
      </c>
      <c r="K97" s="113">
        <v>3740</v>
      </c>
      <c r="L97" s="113">
        <v>3550</v>
      </c>
      <c r="M97" s="113">
        <v>4400</v>
      </c>
      <c r="N97" s="113">
        <v>3250</v>
      </c>
      <c r="O97" s="113">
        <v>3960</v>
      </c>
      <c r="P97" s="113">
        <v>4200</v>
      </c>
      <c r="Q97" s="113">
        <v>4510</v>
      </c>
      <c r="R97" s="113">
        <v>5000</v>
      </c>
      <c r="S97" s="113"/>
      <c r="T97" s="113"/>
      <c r="U97" s="114"/>
      <c r="V97" s="115"/>
      <c r="W97" s="116" t="s">
        <v>67</v>
      </c>
    </row>
    <row r="98" spans="1:23" ht="20.100000000000001" customHeight="1" x14ac:dyDescent="0.25">
      <c r="A98" s="110">
        <f t="shared" si="1"/>
        <v>91</v>
      </c>
      <c r="B98" s="109">
        <v>0.93194444444444446</v>
      </c>
      <c r="C98" s="121" t="s">
        <v>292</v>
      </c>
      <c r="D98" s="111">
        <v>8</v>
      </c>
      <c r="E98" s="111">
        <v>3</v>
      </c>
      <c r="F98" s="112" t="s">
        <v>60</v>
      </c>
      <c r="G98" s="113">
        <v>3190</v>
      </c>
      <c r="H98" s="113">
        <v>3150</v>
      </c>
      <c r="I98" s="113">
        <v>4840</v>
      </c>
      <c r="J98" s="113">
        <v>3500</v>
      </c>
      <c r="K98" s="113">
        <v>4290</v>
      </c>
      <c r="L98" s="113">
        <v>3500</v>
      </c>
      <c r="M98" s="113"/>
      <c r="N98" s="113"/>
      <c r="O98" s="113"/>
      <c r="P98" s="113"/>
      <c r="Q98" s="113"/>
      <c r="R98" s="113"/>
      <c r="S98" s="113"/>
      <c r="T98" s="113"/>
      <c r="U98" s="114"/>
      <c r="V98" s="115"/>
      <c r="W98" s="116" t="s">
        <v>298</v>
      </c>
    </row>
    <row r="99" spans="1:23" ht="20.100000000000001" customHeight="1" x14ac:dyDescent="0.25">
      <c r="A99" s="110">
        <f t="shared" si="1"/>
        <v>92</v>
      </c>
      <c r="B99" s="109">
        <v>0.9458333333333333</v>
      </c>
      <c r="C99" s="121" t="s">
        <v>293</v>
      </c>
      <c r="D99" s="111">
        <v>8</v>
      </c>
      <c r="E99" s="111">
        <v>3</v>
      </c>
      <c r="F99" s="112" t="s">
        <v>60</v>
      </c>
      <c r="G99" s="113">
        <v>3080</v>
      </c>
      <c r="H99" s="113">
        <v>2300</v>
      </c>
      <c r="I99" s="113">
        <v>5390</v>
      </c>
      <c r="J99" s="113">
        <v>4050</v>
      </c>
      <c r="K99" s="113">
        <v>5280</v>
      </c>
      <c r="L99" s="113">
        <v>5000</v>
      </c>
      <c r="M99" s="113"/>
      <c r="N99" s="113"/>
      <c r="O99" s="113"/>
      <c r="P99" s="113"/>
      <c r="Q99" s="113"/>
      <c r="R99" s="113"/>
      <c r="S99" s="113"/>
      <c r="T99" s="113"/>
      <c r="U99" s="114"/>
      <c r="V99" s="115"/>
      <c r="W99" s="116" t="s">
        <v>67</v>
      </c>
    </row>
    <row r="100" spans="1:23" ht="20.100000000000001" customHeight="1" x14ac:dyDescent="0.25">
      <c r="A100" s="110">
        <f t="shared" si="1"/>
        <v>93</v>
      </c>
      <c r="B100" s="109">
        <v>0.9506944444444444</v>
      </c>
      <c r="C100" s="121" t="s">
        <v>294</v>
      </c>
      <c r="D100" s="111">
        <v>7</v>
      </c>
      <c r="E100" s="111">
        <v>2</v>
      </c>
      <c r="F100" s="112" t="s">
        <v>58</v>
      </c>
      <c r="G100" s="113">
        <v>2200</v>
      </c>
      <c r="H100" s="113">
        <v>2350</v>
      </c>
      <c r="I100" s="113">
        <v>5720</v>
      </c>
      <c r="J100" s="113">
        <v>4300</v>
      </c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4"/>
      <c r="V100" s="115"/>
      <c r="W100" s="116" t="s">
        <v>67</v>
      </c>
    </row>
    <row r="101" spans="1:23" ht="20.100000000000001" customHeight="1" x14ac:dyDescent="0.25">
      <c r="A101" s="110">
        <f t="shared" si="1"/>
        <v>94</v>
      </c>
      <c r="B101" s="109">
        <v>0.95624999999999993</v>
      </c>
      <c r="C101" s="121" t="s">
        <v>296</v>
      </c>
      <c r="D101" s="111">
        <v>11</v>
      </c>
      <c r="E101" s="111">
        <v>6</v>
      </c>
      <c r="F101" s="112" t="s">
        <v>29</v>
      </c>
      <c r="G101" s="113">
        <v>2970</v>
      </c>
      <c r="H101" s="113">
        <v>2900</v>
      </c>
      <c r="I101" s="113">
        <v>2530</v>
      </c>
      <c r="J101" s="113">
        <v>2310</v>
      </c>
      <c r="K101" s="113">
        <v>4950</v>
      </c>
      <c r="L101" s="113">
        <v>4450</v>
      </c>
      <c r="M101" s="113">
        <v>4290</v>
      </c>
      <c r="N101" s="113">
        <v>3450</v>
      </c>
      <c r="O101" s="113">
        <v>4400</v>
      </c>
      <c r="P101" s="113">
        <v>2420</v>
      </c>
      <c r="Q101" s="113">
        <v>4510</v>
      </c>
      <c r="R101" s="113">
        <v>3630</v>
      </c>
      <c r="S101" s="113"/>
      <c r="T101" s="113"/>
      <c r="U101" s="114"/>
      <c r="V101" s="115"/>
      <c r="W101" s="116" t="s">
        <v>73</v>
      </c>
    </row>
    <row r="102" spans="1:23" ht="20.100000000000001" customHeight="1" x14ac:dyDescent="0.25">
      <c r="A102" s="110">
        <f t="shared" si="1"/>
        <v>95</v>
      </c>
      <c r="B102" s="109">
        <v>0.95833333333333337</v>
      </c>
      <c r="C102" s="121" t="s">
        <v>300</v>
      </c>
      <c r="D102" s="111">
        <v>11</v>
      </c>
      <c r="E102" s="111">
        <v>6</v>
      </c>
      <c r="F102" s="112" t="s">
        <v>29</v>
      </c>
      <c r="G102" s="113">
        <v>1980</v>
      </c>
      <c r="H102" s="113">
        <v>2000</v>
      </c>
      <c r="I102" s="113">
        <v>2310</v>
      </c>
      <c r="J102" s="113">
        <v>2150</v>
      </c>
      <c r="K102" s="113">
        <v>3300</v>
      </c>
      <c r="L102" s="113">
        <v>2950</v>
      </c>
      <c r="M102" s="113">
        <v>4290</v>
      </c>
      <c r="N102" s="113">
        <v>1700</v>
      </c>
      <c r="O102" s="113">
        <v>4400</v>
      </c>
      <c r="P102" s="113">
        <v>2050</v>
      </c>
      <c r="Q102" s="113">
        <v>4510</v>
      </c>
      <c r="R102" s="113">
        <v>1750</v>
      </c>
      <c r="S102" s="113"/>
      <c r="T102" s="113"/>
      <c r="U102" s="114"/>
      <c r="V102" s="115"/>
      <c r="W102" s="116" t="s">
        <v>67</v>
      </c>
    </row>
    <row r="103" spans="1:23" ht="20.100000000000001" customHeight="1" x14ac:dyDescent="0.25">
      <c r="A103" s="110">
        <f t="shared" si="1"/>
        <v>96</v>
      </c>
      <c r="B103" s="109">
        <v>0.96111111111111114</v>
      </c>
      <c r="C103" s="121" t="s">
        <v>301</v>
      </c>
      <c r="D103" s="111">
        <v>7</v>
      </c>
      <c r="E103" s="111">
        <v>2</v>
      </c>
      <c r="F103" s="112" t="s">
        <v>58</v>
      </c>
      <c r="G103" s="113">
        <v>660</v>
      </c>
      <c r="H103" s="113">
        <v>900</v>
      </c>
      <c r="I103" s="113">
        <v>880</v>
      </c>
      <c r="J103" s="113">
        <v>900</v>
      </c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4"/>
      <c r="V103" s="115"/>
      <c r="W103" s="116" t="s">
        <v>72</v>
      </c>
    </row>
    <row r="104" spans="1:23" ht="20.100000000000001" customHeight="1" x14ac:dyDescent="0.25">
      <c r="A104" s="110">
        <f t="shared" si="1"/>
        <v>97</v>
      </c>
      <c r="B104" s="120">
        <v>3.472222222222222E-3</v>
      </c>
      <c r="C104" s="110" t="s">
        <v>305</v>
      </c>
      <c r="D104" s="111">
        <v>7</v>
      </c>
      <c r="E104" s="111">
        <v>2</v>
      </c>
      <c r="F104" s="112" t="s">
        <v>58</v>
      </c>
      <c r="G104" s="119">
        <v>880</v>
      </c>
      <c r="H104" s="119">
        <v>1350</v>
      </c>
      <c r="I104" s="119">
        <v>1430</v>
      </c>
      <c r="J104" s="119">
        <v>1400</v>
      </c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14"/>
      <c r="V104" s="115"/>
      <c r="W104" s="116" t="s">
        <v>72</v>
      </c>
    </row>
    <row r="105" spans="1:23" ht="20.100000000000001" customHeight="1" x14ac:dyDescent="0.25">
      <c r="A105" s="110">
        <f t="shared" si="1"/>
        <v>98</v>
      </c>
      <c r="B105" s="120">
        <v>1.1111111111111112E-2</v>
      </c>
      <c r="C105" s="110" t="s">
        <v>306</v>
      </c>
      <c r="D105" s="111">
        <v>11</v>
      </c>
      <c r="E105" s="111">
        <v>6</v>
      </c>
      <c r="F105" s="112" t="s">
        <v>29</v>
      </c>
      <c r="G105" s="119">
        <v>3080</v>
      </c>
      <c r="H105" s="119">
        <v>2850</v>
      </c>
      <c r="I105" s="119">
        <v>2860</v>
      </c>
      <c r="J105" s="119">
        <v>3000</v>
      </c>
      <c r="K105" s="119">
        <v>4620</v>
      </c>
      <c r="L105" s="119">
        <v>2900</v>
      </c>
      <c r="M105" s="119">
        <v>3630</v>
      </c>
      <c r="N105" s="119">
        <v>2900</v>
      </c>
      <c r="O105" s="119">
        <v>4510</v>
      </c>
      <c r="P105" s="119">
        <v>3100</v>
      </c>
      <c r="Q105" s="119">
        <v>4400</v>
      </c>
      <c r="R105" s="119">
        <v>2900</v>
      </c>
      <c r="S105" s="121"/>
      <c r="T105" s="121"/>
      <c r="U105" s="114"/>
      <c r="V105" s="115"/>
      <c r="W105" s="116" t="s">
        <v>70</v>
      </c>
    </row>
    <row r="106" spans="1:23" ht="20.100000000000001" customHeight="1" x14ac:dyDescent="0.25">
      <c r="A106" s="110">
        <f t="shared" si="1"/>
        <v>99</v>
      </c>
      <c r="B106" s="120">
        <v>4.7916666666666663E-2</v>
      </c>
      <c r="C106" s="110" t="s">
        <v>307</v>
      </c>
      <c r="D106" s="111">
        <v>7</v>
      </c>
      <c r="E106" s="111">
        <v>2</v>
      </c>
      <c r="F106" s="112" t="s">
        <v>58</v>
      </c>
      <c r="G106" s="119">
        <v>1300</v>
      </c>
      <c r="H106" s="119">
        <v>1540</v>
      </c>
      <c r="I106" s="119">
        <v>3050</v>
      </c>
      <c r="J106" s="119">
        <v>4070</v>
      </c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14"/>
      <c r="V106" s="115"/>
      <c r="W106" s="116" t="s">
        <v>164</v>
      </c>
    </row>
    <row r="107" spans="1:23" ht="20.100000000000001" customHeight="1" x14ac:dyDescent="0.25">
      <c r="A107" s="110">
        <f t="shared" si="1"/>
        <v>100</v>
      </c>
      <c r="B107" s="120">
        <v>4.9305555555555554E-2</v>
      </c>
      <c r="C107" s="121" t="s">
        <v>308</v>
      </c>
      <c r="D107" s="111">
        <v>7</v>
      </c>
      <c r="E107" s="111">
        <v>2</v>
      </c>
      <c r="F107" s="112" t="s">
        <v>58</v>
      </c>
      <c r="G107" s="121">
        <v>2050</v>
      </c>
      <c r="H107" s="121">
        <v>2200</v>
      </c>
      <c r="I107" s="121">
        <v>4200</v>
      </c>
      <c r="J107" s="121">
        <v>6930</v>
      </c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14"/>
      <c r="V107" s="115"/>
      <c r="W107" s="116" t="s">
        <v>69</v>
      </c>
    </row>
    <row r="108" spans="1:23" s="88" customFormat="1" ht="20.100000000000001" customHeight="1" x14ac:dyDescent="0.25">
      <c r="A108" s="110">
        <f t="shared" si="1"/>
        <v>101</v>
      </c>
      <c r="B108" s="120">
        <v>6.1805555555555558E-2</v>
      </c>
      <c r="C108" s="121" t="s">
        <v>309</v>
      </c>
      <c r="D108" s="111">
        <v>11</v>
      </c>
      <c r="E108" s="111">
        <v>6</v>
      </c>
      <c r="F108" s="112" t="s">
        <v>329</v>
      </c>
      <c r="G108" s="121">
        <v>2860</v>
      </c>
      <c r="H108" s="121">
        <v>2650</v>
      </c>
      <c r="I108" s="121">
        <v>5720</v>
      </c>
      <c r="J108" s="121">
        <v>5250</v>
      </c>
      <c r="K108" s="121">
        <v>1870</v>
      </c>
      <c r="L108" s="121">
        <v>1750</v>
      </c>
      <c r="M108" s="121">
        <v>4180</v>
      </c>
      <c r="N108" s="121">
        <v>2650</v>
      </c>
      <c r="O108" s="121">
        <v>4730</v>
      </c>
      <c r="P108" s="121">
        <v>3050</v>
      </c>
      <c r="Q108" s="121">
        <v>4730</v>
      </c>
      <c r="R108" s="121">
        <v>3400</v>
      </c>
      <c r="S108" s="121"/>
      <c r="T108" s="121"/>
      <c r="U108" s="114"/>
      <c r="V108" s="115"/>
      <c r="W108" s="116" t="s">
        <v>65</v>
      </c>
    </row>
    <row r="109" spans="1:23" ht="20.100000000000001" customHeight="1" x14ac:dyDescent="0.25">
      <c r="A109" s="110">
        <f t="shared" si="1"/>
        <v>102</v>
      </c>
      <c r="B109" s="120">
        <v>7.6388888888888895E-2</v>
      </c>
      <c r="C109" s="121" t="s">
        <v>310</v>
      </c>
      <c r="D109" s="111">
        <v>11</v>
      </c>
      <c r="E109" s="111">
        <v>6</v>
      </c>
      <c r="F109" s="112" t="s">
        <v>110</v>
      </c>
      <c r="G109" s="121">
        <v>2860</v>
      </c>
      <c r="H109" s="121">
        <v>2550</v>
      </c>
      <c r="I109" s="121">
        <v>2200</v>
      </c>
      <c r="J109" s="121">
        <v>2150</v>
      </c>
      <c r="K109" s="121">
        <v>3300</v>
      </c>
      <c r="L109" s="121">
        <v>2200</v>
      </c>
      <c r="M109" s="121">
        <v>2420</v>
      </c>
      <c r="N109" s="121">
        <v>2600</v>
      </c>
      <c r="O109" s="121">
        <v>3410</v>
      </c>
      <c r="P109" s="121">
        <v>2400</v>
      </c>
      <c r="Q109" s="121">
        <v>4180</v>
      </c>
      <c r="R109" s="121">
        <v>2400</v>
      </c>
      <c r="S109" s="121"/>
      <c r="T109" s="121"/>
      <c r="U109" s="114"/>
      <c r="V109" s="115"/>
      <c r="W109" s="116" t="s">
        <v>70</v>
      </c>
    </row>
    <row r="110" spans="1:23" ht="20.100000000000001" customHeight="1" x14ac:dyDescent="0.25">
      <c r="A110" s="110">
        <f t="shared" si="1"/>
        <v>103</v>
      </c>
      <c r="B110" s="120">
        <v>9.7222222222222224E-2</v>
      </c>
      <c r="C110" s="121" t="s">
        <v>311</v>
      </c>
      <c r="D110" s="111">
        <v>11</v>
      </c>
      <c r="E110" s="111">
        <v>6</v>
      </c>
      <c r="F110" s="112" t="s">
        <v>110</v>
      </c>
      <c r="G110" s="121">
        <v>2530</v>
      </c>
      <c r="H110" s="121">
        <v>2300</v>
      </c>
      <c r="I110" s="121">
        <v>1980</v>
      </c>
      <c r="J110" s="121">
        <v>1750</v>
      </c>
      <c r="K110" s="121">
        <v>3740</v>
      </c>
      <c r="L110" s="121">
        <v>2150</v>
      </c>
      <c r="M110" s="121">
        <v>2640</v>
      </c>
      <c r="N110" s="121">
        <v>2100</v>
      </c>
      <c r="O110" s="121">
        <v>3740</v>
      </c>
      <c r="P110" s="121">
        <v>2050</v>
      </c>
      <c r="Q110" s="121">
        <v>3960</v>
      </c>
      <c r="R110" s="121">
        <v>2300</v>
      </c>
      <c r="S110" s="121"/>
      <c r="T110" s="121"/>
      <c r="U110" s="114"/>
      <c r="V110" s="115"/>
      <c r="W110" s="116" t="s">
        <v>70</v>
      </c>
    </row>
    <row r="111" spans="1:23" ht="20.100000000000001" customHeight="1" x14ac:dyDescent="0.25">
      <c r="A111" s="110">
        <f t="shared" si="1"/>
        <v>104</v>
      </c>
      <c r="B111" s="120">
        <v>0.26458333333333334</v>
      </c>
      <c r="C111" s="121" t="s">
        <v>320</v>
      </c>
      <c r="D111" s="111">
        <v>11</v>
      </c>
      <c r="E111" s="111">
        <v>6</v>
      </c>
      <c r="F111" s="112" t="s">
        <v>29</v>
      </c>
      <c r="G111" s="121">
        <v>2970</v>
      </c>
      <c r="H111" s="121">
        <v>2600</v>
      </c>
      <c r="I111" s="121">
        <v>2420</v>
      </c>
      <c r="J111" s="121">
        <v>2350</v>
      </c>
      <c r="K111" s="121">
        <v>3080</v>
      </c>
      <c r="L111" s="121">
        <v>4100</v>
      </c>
      <c r="M111" s="121">
        <v>3520</v>
      </c>
      <c r="N111" s="121">
        <v>2500</v>
      </c>
      <c r="O111" s="121">
        <v>4180</v>
      </c>
      <c r="P111" s="121">
        <v>2850</v>
      </c>
      <c r="Q111" s="121">
        <v>5280</v>
      </c>
      <c r="R111" s="121">
        <v>4000</v>
      </c>
      <c r="S111" s="121"/>
      <c r="T111" s="121"/>
      <c r="U111" s="114"/>
      <c r="V111" s="115"/>
      <c r="W111" s="116" t="s">
        <v>70</v>
      </c>
    </row>
    <row r="112" spans="1:23" ht="20.100000000000001" customHeight="1" x14ac:dyDescent="0.25">
      <c r="A112" s="110">
        <f t="shared" si="1"/>
        <v>105</v>
      </c>
      <c r="B112" s="120">
        <v>0.2673611111111111</v>
      </c>
      <c r="C112" s="121" t="s">
        <v>210</v>
      </c>
      <c r="D112" s="111">
        <v>7</v>
      </c>
      <c r="E112" s="111">
        <v>2</v>
      </c>
      <c r="F112" s="112" t="s">
        <v>58</v>
      </c>
      <c r="G112" s="121">
        <v>3080</v>
      </c>
      <c r="H112" s="121">
        <v>2600</v>
      </c>
      <c r="I112" s="121">
        <v>1870</v>
      </c>
      <c r="J112" s="121">
        <v>4900</v>
      </c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14"/>
      <c r="V112" s="115"/>
      <c r="W112" s="116" t="s">
        <v>70</v>
      </c>
    </row>
    <row r="113" spans="1:23" ht="20.100000000000001" customHeight="1" x14ac:dyDescent="0.25">
      <c r="A113" s="110">
        <f t="shared" si="1"/>
        <v>106</v>
      </c>
      <c r="B113" s="120">
        <v>0.26944444444444443</v>
      </c>
      <c r="C113" s="121" t="s">
        <v>64</v>
      </c>
      <c r="D113" s="111">
        <v>7</v>
      </c>
      <c r="E113" s="111">
        <v>2</v>
      </c>
      <c r="F113" s="112" t="s">
        <v>58</v>
      </c>
      <c r="G113" s="121">
        <v>2530</v>
      </c>
      <c r="H113" s="121">
        <v>2400</v>
      </c>
      <c r="I113" s="121">
        <v>5940</v>
      </c>
      <c r="J113" s="121">
        <v>4150</v>
      </c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14"/>
      <c r="V113" s="115"/>
      <c r="W113" s="116" t="s">
        <v>67</v>
      </c>
    </row>
    <row r="114" spans="1:23" ht="20.100000000000001" customHeight="1" x14ac:dyDescent="0.25">
      <c r="A114" s="110">
        <f t="shared" si="1"/>
        <v>107</v>
      </c>
      <c r="B114" s="120">
        <v>0.27083333333333331</v>
      </c>
      <c r="C114" s="121" t="s">
        <v>322</v>
      </c>
      <c r="D114" s="111">
        <v>7</v>
      </c>
      <c r="E114" s="111">
        <v>2</v>
      </c>
      <c r="F114" s="112" t="s">
        <v>58</v>
      </c>
      <c r="G114" s="121">
        <v>2640</v>
      </c>
      <c r="H114" s="121">
        <v>2350</v>
      </c>
      <c r="I114" s="121">
        <v>3300</v>
      </c>
      <c r="J114" s="121">
        <v>4600</v>
      </c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14"/>
      <c r="V114" s="115"/>
      <c r="W114" s="116" t="s">
        <v>67</v>
      </c>
    </row>
    <row r="115" spans="1:23" ht="20.100000000000001" customHeight="1" x14ac:dyDescent="0.25">
      <c r="A115" s="110">
        <f t="shared" si="1"/>
        <v>108</v>
      </c>
      <c r="B115" s="120">
        <v>0.27361111111111108</v>
      </c>
      <c r="C115" s="121" t="s">
        <v>323</v>
      </c>
      <c r="D115" s="111">
        <v>11</v>
      </c>
      <c r="E115" s="111">
        <v>6</v>
      </c>
      <c r="F115" s="112" t="s">
        <v>110</v>
      </c>
      <c r="G115" s="121">
        <v>3740</v>
      </c>
      <c r="H115" s="121">
        <v>3200</v>
      </c>
      <c r="I115" s="121">
        <v>990</v>
      </c>
      <c r="J115" s="121">
        <v>1350</v>
      </c>
      <c r="K115" s="121">
        <v>6930</v>
      </c>
      <c r="L115" s="121">
        <v>4450</v>
      </c>
      <c r="M115" s="121">
        <v>4620</v>
      </c>
      <c r="N115" s="121">
        <v>2650</v>
      </c>
      <c r="O115" s="121">
        <v>4620</v>
      </c>
      <c r="P115" s="121">
        <v>2200</v>
      </c>
      <c r="Q115" s="121">
        <v>3190</v>
      </c>
      <c r="R115" s="121">
        <v>1700</v>
      </c>
      <c r="S115" s="121"/>
      <c r="T115" s="121"/>
      <c r="U115" s="114"/>
      <c r="V115" s="115"/>
      <c r="W115" s="116" t="s">
        <v>66</v>
      </c>
    </row>
    <row r="116" spans="1:23" ht="20.100000000000001" customHeight="1" x14ac:dyDescent="0.25">
      <c r="A116" s="110">
        <f t="shared" si="1"/>
        <v>109</v>
      </c>
      <c r="B116" s="120">
        <v>0.28125</v>
      </c>
      <c r="C116" s="121" t="s">
        <v>324</v>
      </c>
      <c r="D116" s="111">
        <v>11</v>
      </c>
      <c r="E116" s="111">
        <v>6</v>
      </c>
      <c r="F116" s="112" t="s">
        <v>29</v>
      </c>
      <c r="G116" s="121">
        <v>2400</v>
      </c>
      <c r="H116" s="121">
        <v>2970</v>
      </c>
      <c r="I116" s="121">
        <v>3700</v>
      </c>
      <c r="J116" s="121">
        <v>4180</v>
      </c>
      <c r="K116" s="121">
        <v>3450</v>
      </c>
      <c r="L116" s="121">
        <v>4290</v>
      </c>
      <c r="M116" s="121">
        <v>2600</v>
      </c>
      <c r="N116" s="121">
        <v>2420</v>
      </c>
      <c r="O116" s="121">
        <v>4250</v>
      </c>
      <c r="P116" s="121">
        <v>4510</v>
      </c>
      <c r="Q116" s="121">
        <v>3450</v>
      </c>
      <c r="R116" s="121">
        <v>3520</v>
      </c>
      <c r="S116" s="121"/>
      <c r="T116" s="121"/>
      <c r="U116" s="114"/>
      <c r="V116" s="115"/>
      <c r="W116" s="116" t="s">
        <v>67</v>
      </c>
    </row>
    <row r="117" spans="1:23" ht="20.100000000000001" customHeight="1" x14ac:dyDescent="0.25">
      <c r="A117" s="110">
        <f t="shared" si="1"/>
        <v>110</v>
      </c>
      <c r="B117" s="120">
        <v>0.28472222222222221</v>
      </c>
      <c r="C117" s="121" t="s">
        <v>325</v>
      </c>
      <c r="D117" s="111">
        <v>11</v>
      </c>
      <c r="E117" s="111">
        <v>6</v>
      </c>
      <c r="F117" s="112" t="s">
        <v>29</v>
      </c>
      <c r="G117" s="121">
        <v>2860</v>
      </c>
      <c r="H117" s="121">
        <v>2400</v>
      </c>
      <c r="I117" s="121">
        <v>3630</v>
      </c>
      <c r="J117" s="121">
        <v>2900</v>
      </c>
      <c r="K117" s="121">
        <v>3190</v>
      </c>
      <c r="L117" s="121">
        <v>2900</v>
      </c>
      <c r="M117" s="121">
        <v>4510</v>
      </c>
      <c r="N117" s="121">
        <v>3000</v>
      </c>
      <c r="O117" s="121">
        <v>4290</v>
      </c>
      <c r="P117" s="121">
        <v>3650</v>
      </c>
      <c r="Q117" s="121">
        <v>4070</v>
      </c>
      <c r="R117" s="121">
        <v>3550</v>
      </c>
      <c r="S117" s="121"/>
      <c r="T117" s="121"/>
      <c r="U117" s="114"/>
      <c r="V117" s="115"/>
      <c r="W117" s="116" t="s">
        <v>73</v>
      </c>
    </row>
    <row r="118" spans="1:23" ht="20.100000000000001" customHeight="1" x14ac:dyDescent="0.25">
      <c r="A118" s="110">
        <f t="shared" si="1"/>
        <v>111</v>
      </c>
      <c r="B118" s="120">
        <v>0.28750000000000003</v>
      </c>
      <c r="C118" s="121" t="s">
        <v>31</v>
      </c>
      <c r="D118" s="111">
        <v>8</v>
      </c>
      <c r="E118" s="111">
        <v>3</v>
      </c>
      <c r="F118" s="112" t="s">
        <v>60</v>
      </c>
      <c r="G118" s="121">
        <v>3300</v>
      </c>
      <c r="H118" s="121">
        <v>3000</v>
      </c>
      <c r="I118" s="121">
        <v>3630</v>
      </c>
      <c r="J118" s="121">
        <v>3600</v>
      </c>
      <c r="K118" s="121">
        <v>4950</v>
      </c>
      <c r="L118" s="121">
        <v>3200</v>
      </c>
      <c r="M118" s="121"/>
      <c r="N118" s="121"/>
      <c r="O118" s="121"/>
      <c r="P118" s="121"/>
      <c r="Q118" s="121"/>
      <c r="R118" s="121"/>
      <c r="S118" s="121"/>
      <c r="T118" s="121"/>
      <c r="U118" s="114"/>
      <c r="V118" s="115"/>
      <c r="W118" s="116" t="s">
        <v>70</v>
      </c>
    </row>
    <row r="119" spans="1:23" ht="20.100000000000001" customHeight="1" x14ac:dyDescent="0.25">
      <c r="A119" s="108"/>
      <c r="B119" s="120"/>
      <c r="C119" s="121"/>
      <c r="D119" s="111"/>
      <c r="E119" s="111"/>
      <c r="F119" s="112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14"/>
      <c r="V119" s="115"/>
      <c r="W119" s="116"/>
    </row>
    <row r="120" spans="1:23" ht="20.100000000000001" customHeight="1" x14ac:dyDescent="0.25">
      <c r="A120" s="129"/>
      <c r="B120" s="130"/>
      <c r="C120" s="131" t="s">
        <v>355</v>
      </c>
      <c r="D120" s="132" t="s">
        <v>356</v>
      </c>
      <c r="E120" s="133"/>
      <c r="F120" s="134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14"/>
      <c r="V120" s="115"/>
      <c r="W120" s="116"/>
    </row>
    <row r="121" spans="1:23" ht="20.100000000000001" customHeight="1" x14ac:dyDescent="0.25">
      <c r="A121" s="108">
        <f>A118+1</f>
        <v>112</v>
      </c>
      <c r="B121" s="109">
        <v>0.30902777777777779</v>
      </c>
      <c r="C121" s="110" t="s">
        <v>36</v>
      </c>
      <c r="D121" s="111">
        <v>7</v>
      </c>
      <c r="E121" s="117">
        <v>2</v>
      </c>
      <c r="F121" s="118" t="s">
        <v>58</v>
      </c>
      <c r="G121" s="113">
        <v>2050</v>
      </c>
      <c r="H121" s="113">
        <v>2200</v>
      </c>
      <c r="I121" s="113">
        <v>6160</v>
      </c>
      <c r="J121" s="113">
        <v>4900</v>
      </c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4"/>
      <c r="V121" s="115"/>
      <c r="W121" s="116" t="s">
        <v>68</v>
      </c>
    </row>
    <row r="122" spans="1:23" ht="20.100000000000001" customHeight="1" x14ac:dyDescent="0.25">
      <c r="A122" s="108">
        <f t="shared" ref="A122:A153" si="2">A121+1</f>
        <v>113</v>
      </c>
      <c r="B122" s="109">
        <v>0.31736111111111115</v>
      </c>
      <c r="C122" s="110" t="s">
        <v>343</v>
      </c>
      <c r="D122" s="111">
        <v>11</v>
      </c>
      <c r="E122" s="111">
        <v>6</v>
      </c>
      <c r="F122" s="112" t="s">
        <v>29</v>
      </c>
      <c r="G122" s="113">
        <v>2650</v>
      </c>
      <c r="H122" s="113">
        <v>220</v>
      </c>
      <c r="I122" s="113">
        <v>3050</v>
      </c>
      <c r="J122" s="113">
        <v>3410</v>
      </c>
      <c r="K122" s="113">
        <v>3300</v>
      </c>
      <c r="L122" s="113">
        <v>2750</v>
      </c>
      <c r="M122" s="113">
        <v>3000</v>
      </c>
      <c r="N122" s="113">
        <v>4400</v>
      </c>
      <c r="O122" s="113">
        <v>4150</v>
      </c>
      <c r="P122" s="113">
        <v>4400</v>
      </c>
      <c r="Q122" s="113">
        <v>3400</v>
      </c>
      <c r="R122" s="113">
        <v>4180</v>
      </c>
      <c r="S122" s="113"/>
      <c r="T122" s="113"/>
      <c r="U122" s="114"/>
      <c r="V122" s="115"/>
      <c r="W122" s="116" t="s">
        <v>238</v>
      </c>
    </row>
    <row r="123" spans="1:23" ht="20.100000000000001" customHeight="1" x14ac:dyDescent="0.25">
      <c r="A123" s="108">
        <f t="shared" si="2"/>
        <v>114</v>
      </c>
      <c r="B123" s="109">
        <v>0.31805555555555554</v>
      </c>
      <c r="C123" s="110" t="s">
        <v>222</v>
      </c>
      <c r="D123" s="111">
        <v>7</v>
      </c>
      <c r="E123" s="117">
        <v>2</v>
      </c>
      <c r="F123" s="118" t="s">
        <v>58</v>
      </c>
      <c r="G123" s="113">
        <v>1500</v>
      </c>
      <c r="H123" s="113">
        <v>1430</v>
      </c>
      <c r="I123" s="113">
        <v>1600</v>
      </c>
      <c r="J123" s="113">
        <v>1800</v>
      </c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4"/>
      <c r="V123" s="115"/>
      <c r="W123" s="116" t="s">
        <v>72</v>
      </c>
    </row>
    <row r="124" spans="1:23" ht="20.100000000000001" customHeight="1" x14ac:dyDescent="0.25">
      <c r="A124" s="108">
        <f t="shared" si="2"/>
        <v>115</v>
      </c>
      <c r="B124" s="109">
        <v>0.3215277777777778</v>
      </c>
      <c r="C124" s="110" t="s">
        <v>340</v>
      </c>
      <c r="D124" s="111">
        <v>7</v>
      </c>
      <c r="E124" s="117">
        <v>2</v>
      </c>
      <c r="F124" s="118" t="s">
        <v>58</v>
      </c>
      <c r="G124" s="113">
        <v>2000</v>
      </c>
      <c r="H124" s="113">
        <v>2640</v>
      </c>
      <c r="I124" s="113">
        <v>4400</v>
      </c>
      <c r="J124" s="113">
        <v>3000</v>
      </c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4"/>
      <c r="V124" s="115"/>
      <c r="W124" s="116" t="s">
        <v>129</v>
      </c>
    </row>
    <row r="125" spans="1:23" ht="20.100000000000001" customHeight="1" x14ac:dyDescent="0.25">
      <c r="A125" s="108">
        <f t="shared" si="2"/>
        <v>116</v>
      </c>
      <c r="B125" s="109">
        <v>0.32291666666666669</v>
      </c>
      <c r="C125" s="110" t="s">
        <v>339</v>
      </c>
      <c r="D125" s="111">
        <v>9</v>
      </c>
      <c r="E125" s="111">
        <v>4</v>
      </c>
      <c r="F125" s="118" t="s">
        <v>236</v>
      </c>
      <c r="G125" s="113">
        <v>4100</v>
      </c>
      <c r="H125" s="113">
        <v>4180</v>
      </c>
      <c r="I125" s="113">
        <v>3000</v>
      </c>
      <c r="J125" s="113">
        <v>3410</v>
      </c>
      <c r="K125" s="113">
        <v>4200</v>
      </c>
      <c r="L125" s="113">
        <v>4400</v>
      </c>
      <c r="M125" s="113">
        <v>3800</v>
      </c>
      <c r="N125" s="113">
        <v>4290</v>
      </c>
      <c r="O125" s="113"/>
      <c r="P125" s="113"/>
      <c r="Q125" s="113"/>
      <c r="R125" s="113"/>
      <c r="S125" s="113"/>
      <c r="T125" s="113"/>
      <c r="U125" s="114"/>
      <c r="V125" s="115"/>
      <c r="W125" s="116" t="s">
        <v>238</v>
      </c>
    </row>
    <row r="126" spans="1:23" ht="20.100000000000001" customHeight="1" x14ac:dyDescent="0.25">
      <c r="A126" s="108">
        <f t="shared" si="2"/>
        <v>117</v>
      </c>
      <c r="B126" s="109">
        <v>0.32361111111111113</v>
      </c>
      <c r="C126" s="110" t="s">
        <v>338</v>
      </c>
      <c r="D126" s="111">
        <v>11</v>
      </c>
      <c r="E126" s="111">
        <v>6</v>
      </c>
      <c r="F126" s="112" t="s">
        <v>29</v>
      </c>
      <c r="G126" s="113">
        <v>2600</v>
      </c>
      <c r="H126" s="113">
        <v>2640</v>
      </c>
      <c r="I126" s="113">
        <v>3400</v>
      </c>
      <c r="J126" s="113">
        <v>5280</v>
      </c>
      <c r="K126" s="113">
        <v>4500</v>
      </c>
      <c r="L126" s="113">
        <v>2860</v>
      </c>
      <c r="M126" s="113">
        <v>3300</v>
      </c>
      <c r="N126" s="113">
        <v>3850</v>
      </c>
      <c r="O126" s="113">
        <v>3400</v>
      </c>
      <c r="P126" s="113">
        <v>4290</v>
      </c>
      <c r="Q126" s="113">
        <v>4300</v>
      </c>
      <c r="R126" s="113"/>
      <c r="S126" s="113"/>
      <c r="T126" s="113"/>
      <c r="U126" s="114"/>
      <c r="V126" s="115"/>
      <c r="W126" s="116" t="s">
        <v>238</v>
      </c>
    </row>
    <row r="127" spans="1:23" ht="20.100000000000001" customHeight="1" x14ac:dyDescent="0.25">
      <c r="A127" s="108">
        <f t="shared" si="2"/>
        <v>118</v>
      </c>
      <c r="B127" s="109">
        <v>0.32500000000000001</v>
      </c>
      <c r="C127" s="110" t="s">
        <v>337</v>
      </c>
      <c r="D127" s="111">
        <v>11</v>
      </c>
      <c r="E127" s="111">
        <v>6</v>
      </c>
      <c r="F127" s="112" t="s">
        <v>29</v>
      </c>
      <c r="G127" s="113">
        <v>2750</v>
      </c>
      <c r="H127" s="113">
        <v>2530</v>
      </c>
      <c r="I127" s="113">
        <v>3700</v>
      </c>
      <c r="J127" s="119">
        <v>3740</v>
      </c>
      <c r="K127" s="119">
        <v>4400</v>
      </c>
      <c r="L127" s="119">
        <v>3190</v>
      </c>
      <c r="M127" s="119">
        <v>4300</v>
      </c>
      <c r="N127" s="119">
        <v>4950</v>
      </c>
      <c r="O127" s="119">
        <v>3900</v>
      </c>
      <c r="P127" s="119">
        <v>4950</v>
      </c>
      <c r="Q127" s="119">
        <v>4200</v>
      </c>
      <c r="R127" s="119">
        <v>3850</v>
      </c>
      <c r="S127" s="113"/>
      <c r="T127" s="113"/>
      <c r="U127" s="114"/>
      <c r="V127" s="115"/>
      <c r="W127" s="116" t="s">
        <v>238</v>
      </c>
    </row>
    <row r="128" spans="1:23" ht="20.100000000000001" customHeight="1" x14ac:dyDescent="0.25">
      <c r="A128" s="108">
        <f t="shared" si="2"/>
        <v>119</v>
      </c>
      <c r="B128" s="109">
        <v>0.32569444444444445</v>
      </c>
      <c r="C128" s="110" t="s">
        <v>336</v>
      </c>
      <c r="D128" s="111">
        <v>11</v>
      </c>
      <c r="E128" s="111">
        <v>6</v>
      </c>
      <c r="F128" s="112" t="s">
        <v>29</v>
      </c>
      <c r="G128" s="113">
        <v>2800</v>
      </c>
      <c r="H128" s="113">
        <v>3190</v>
      </c>
      <c r="I128" s="113">
        <v>3900</v>
      </c>
      <c r="J128" s="113">
        <v>3300</v>
      </c>
      <c r="K128" s="113">
        <v>3050</v>
      </c>
      <c r="L128" s="113">
        <v>2970</v>
      </c>
      <c r="M128" s="113">
        <v>2700</v>
      </c>
      <c r="N128" s="113">
        <v>4840</v>
      </c>
      <c r="O128" s="113">
        <v>3000</v>
      </c>
      <c r="P128" s="113">
        <v>3190</v>
      </c>
      <c r="Q128" s="113">
        <v>3150</v>
      </c>
      <c r="R128" s="113">
        <v>2970</v>
      </c>
      <c r="S128" s="113"/>
      <c r="T128" s="113"/>
      <c r="U128" s="114"/>
      <c r="V128" s="115"/>
      <c r="W128" s="116" t="s">
        <v>238</v>
      </c>
    </row>
    <row r="129" spans="1:23" ht="20.100000000000001" customHeight="1" x14ac:dyDescent="0.25">
      <c r="A129" s="108">
        <f t="shared" si="2"/>
        <v>120</v>
      </c>
      <c r="B129" s="109">
        <v>0.32708333333333334</v>
      </c>
      <c r="C129" s="110" t="s">
        <v>335</v>
      </c>
      <c r="D129" s="111">
        <v>11</v>
      </c>
      <c r="E129" s="111">
        <v>6</v>
      </c>
      <c r="F129" s="112" t="s">
        <v>29</v>
      </c>
      <c r="G129" s="113">
        <v>2700</v>
      </c>
      <c r="H129" s="113">
        <v>2750</v>
      </c>
      <c r="I129" s="113">
        <v>3100</v>
      </c>
      <c r="J129" s="113">
        <v>4070</v>
      </c>
      <c r="K129" s="113">
        <v>3900</v>
      </c>
      <c r="L129" s="113">
        <v>4400</v>
      </c>
      <c r="M129" s="113">
        <v>2650</v>
      </c>
      <c r="N129" s="113">
        <v>2310</v>
      </c>
      <c r="O129" s="113">
        <v>3600</v>
      </c>
      <c r="P129" s="113">
        <v>4840</v>
      </c>
      <c r="Q129" s="113">
        <v>3200</v>
      </c>
      <c r="R129" s="113">
        <v>4730</v>
      </c>
      <c r="S129" s="113"/>
      <c r="T129" s="113"/>
      <c r="U129" s="114"/>
      <c r="V129" s="115"/>
      <c r="W129" s="116" t="s">
        <v>238</v>
      </c>
    </row>
    <row r="130" spans="1:23" ht="20.100000000000001" customHeight="1" x14ac:dyDescent="0.25">
      <c r="A130" s="108">
        <f t="shared" si="2"/>
        <v>121</v>
      </c>
      <c r="B130" s="109">
        <v>0.32916666666666666</v>
      </c>
      <c r="C130" s="110" t="s">
        <v>334</v>
      </c>
      <c r="D130" s="111">
        <v>7</v>
      </c>
      <c r="E130" s="117">
        <v>2</v>
      </c>
      <c r="F130" s="118" t="s">
        <v>58</v>
      </c>
      <c r="G130" s="113">
        <v>1400</v>
      </c>
      <c r="H130" s="113">
        <v>1540</v>
      </c>
      <c r="I130" s="113">
        <v>2800</v>
      </c>
      <c r="J130" s="113">
        <v>3190</v>
      </c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4"/>
      <c r="V130" s="115"/>
      <c r="W130" s="116" t="s">
        <v>130</v>
      </c>
    </row>
    <row r="131" spans="1:23" ht="20.100000000000001" customHeight="1" x14ac:dyDescent="0.25">
      <c r="A131" s="108">
        <f t="shared" si="2"/>
        <v>122</v>
      </c>
      <c r="B131" s="109">
        <v>0.33055555555555555</v>
      </c>
      <c r="C131" s="110" t="s">
        <v>333</v>
      </c>
      <c r="D131" s="111">
        <v>11</v>
      </c>
      <c r="E131" s="111">
        <v>6</v>
      </c>
      <c r="F131" s="112" t="s">
        <v>29</v>
      </c>
      <c r="G131" s="119">
        <v>2800</v>
      </c>
      <c r="H131" s="113">
        <v>2750</v>
      </c>
      <c r="I131" s="119">
        <v>4360</v>
      </c>
      <c r="J131" s="119">
        <v>3850</v>
      </c>
      <c r="K131" s="113">
        <v>4600</v>
      </c>
      <c r="L131" s="119">
        <v>2860</v>
      </c>
      <c r="M131" s="113">
        <v>3500</v>
      </c>
      <c r="N131" s="113">
        <v>4400</v>
      </c>
      <c r="O131" s="113">
        <v>3450</v>
      </c>
      <c r="P131" s="113">
        <v>4290</v>
      </c>
      <c r="Q131" s="113">
        <v>4000</v>
      </c>
      <c r="R131" s="113"/>
      <c r="S131" s="113"/>
      <c r="T131" s="113"/>
      <c r="U131" s="114"/>
      <c r="V131" s="115"/>
      <c r="W131" s="116" t="s">
        <v>238</v>
      </c>
    </row>
    <row r="132" spans="1:23" ht="20.100000000000001" customHeight="1" x14ac:dyDescent="0.25">
      <c r="A132" s="108">
        <f t="shared" si="2"/>
        <v>123</v>
      </c>
      <c r="B132" s="109">
        <v>0.33124999999999999</v>
      </c>
      <c r="C132" s="110" t="s">
        <v>131</v>
      </c>
      <c r="D132" s="111">
        <v>11</v>
      </c>
      <c r="E132" s="111">
        <v>6</v>
      </c>
      <c r="F132" s="112" t="s">
        <v>29</v>
      </c>
      <c r="G132" s="113">
        <v>3000</v>
      </c>
      <c r="H132" s="113">
        <v>2750</v>
      </c>
      <c r="I132" s="113">
        <v>3900</v>
      </c>
      <c r="J132" s="113">
        <v>2860</v>
      </c>
      <c r="K132" s="113">
        <v>3750</v>
      </c>
      <c r="L132" s="113">
        <v>4400</v>
      </c>
      <c r="M132" s="113">
        <v>3950</v>
      </c>
      <c r="N132" s="113">
        <v>4620</v>
      </c>
      <c r="O132" s="113">
        <v>4700</v>
      </c>
      <c r="P132" s="113">
        <v>5500</v>
      </c>
      <c r="Q132" s="113">
        <v>4700</v>
      </c>
      <c r="R132" s="113">
        <v>4610</v>
      </c>
      <c r="S132" s="113"/>
      <c r="T132" s="113"/>
      <c r="U132" s="114"/>
      <c r="V132" s="115"/>
      <c r="W132" s="116" t="s">
        <v>132</v>
      </c>
    </row>
    <row r="133" spans="1:23" ht="20.100000000000001" customHeight="1" x14ac:dyDescent="0.25">
      <c r="A133" s="108">
        <f t="shared" si="2"/>
        <v>124</v>
      </c>
      <c r="B133" s="109">
        <v>0.33333333333333331</v>
      </c>
      <c r="C133" s="110" t="s">
        <v>134</v>
      </c>
      <c r="D133" s="111">
        <v>11</v>
      </c>
      <c r="E133" s="111">
        <v>6</v>
      </c>
      <c r="F133" s="112" t="s">
        <v>29</v>
      </c>
      <c r="G133" s="113">
        <v>2530</v>
      </c>
      <c r="H133" s="113">
        <v>2450</v>
      </c>
      <c r="I133" s="113">
        <v>4180</v>
      </c>
      <c r="J133" s="113">
        <v>1350</v>
      </c>
      <c r="K133" s="113">
        <v>1100</v>
      </c>
      <c r="L133" s="113">
        <v>1400</v>
      </c>
      <c r="M133" s="113">
        <v>1210</v>
      </c>
      <c r="N133" s="113">
        <v>1150</v>
      </c>
      <c r="O133" s="113">
        <v>330</v>
      </c>
      <c r="P133" s="113">
        <v>1000</v>
      </c>
      <c r="Q133" s="113">
        <v>770</v>
      </c>
      <c r="R133" s="113">
        <v>1750</v>
      </c>
      <c r="S133" s="113"/>
      <c r="T133" s="113"/>
      <c r="U133" s="114"/>
      <c r="V133" s="115"/>
      <c r="W133" s="116" t="s">
        <v>129</v>
      </c>
    </row>
    <row r="134" spans="1:23" ht="20.100000000000001" customHeight="1" x14ac:dyDescent="0.25">
      <c r="A134" s="108">
        <f t="shared" si="2"/>
        <v>125</v>
      </c>
      <c r="B134" s="109">
        <v>0.3347222222222222</v>
      </c>
      <c r="C134" s="110" t="s">
        <v>135</v>
      </c>
      <c r="D134" s="111">
        <v>11</v>
      </c>
      <c r="E134" s="111">
        <v>6</v>
      </c>
      <c r="F134" s="112" t="s">
        <v>29</v>
      </c>
      <c r="G134" s="113">
        <v>1900</v>
      </c>
      <c r="H134" s="113">
        <v>5200</v>
      </c>
      <c r="I134" s="113">
        <v>1870</v>
      </c>
      <c r="J134" s="113">
        <v>4000</v>
      </c>
      <c r="K134" s="113">
        <v>5830</v>
      </c>
      <c r="L134" s="113">
        <v>4850</v>
      </c>
      <c r="M134" s="113">
        <v>2530</v>
      </c>
      <c r="N134" s="113">
        <v>3900</v>
      </c>
      <c r="O134" s="113">
        <v>5830</v>
      </c>
      <c r="P134" s="113">
        <v>27000</v>
      </c>
      <c r="Q134" s="113">
        <v>4510</v>
      </c>
      <c r="R134" s="113">
        <v>4400</v>
      </c>
      <c r="S134" s="113"/>
      <c r="T134" s="113"/>
      <c r="U134" s="114"/>
      <c r="V134" s="115"/>
      <c r="W134" s="116" t="s">
        <v>238</v>
      </c>
    </row>
    <row r="135" spans="1:23" ht="20.100000000000001" customHeight="1" x14ac:dyDescent="0.25">
      <c r="A135" s="108">
        <f t="shared" si="2"/>
        <v>126</v>
      </c>
      <c r="B135" s="109">
        <v>0.31041666666666667</v>
      </c>
      <c r="C135" s="121" t="s">
        <v>142</v>
      </c>
      <c r="D135" s="111">
        <v>11</v>
      </c>
      <c r="E135" s="111">
        <v>6</v>
      </c>
      <c r="F135" s="112" t="s">
        <v>29</v>
      </c>
      <c r="G135" s="113">
        <v>2310</v>
      </c>
      <c r="H135" s="113">
        <v>2000</v>
      </c>
      <c r="I135" s="113">
        <v>4576</v>
      </c>
      <c r="J135" s="113">
        <v>5300</v>
      </c>
      <c r="K135" s="113">
        <v>5390</v>
      </c>
      <c r="L135" s="113">
        <v>1300</v>
      </c>
      <c r="M135" s="113">
        <v>3850</v>
      </c>
      <c r="N135" s="113">
        <v>3400</v>
      </c>
      <c r="O135" s="113">
        <v>4400</v>
      </c>
      <c r="P135" s="113">
        <v>3000</v>
      </c>
      <c r="Q135" s="113">
        <v>2420</v>
      </c>
      <c r="R135" s="113">
        <v>2400</v>
      </c>
      <c r="S135" s="113"/>
      <c r="T135" s="113"/>
      <c r="U135" s="114"/>
      <c r="V135" s="115"/>
      <c r="W135" s="116" t="s">
        <v>238</v>
      </c>
    </row>
    <row r="136" spans="1:23" ht="20.100000000000001" customHeight="1" x14ac:dyDescent="0.25">
      <c r="A136" s="108">
        <f t="shared" si="2"/>
        <v>127</v>
      </c>
      <c r="B136" s="109">
        <v>0.31180555555555556</v>
      </c>
      <c r="C136" s="121" t="s">
        <v>143</v>
      </c>
      <c r="D136" s="111">
        <v>7</v>
      </c>
      <c r="E136" s="117">
        <v>2</v>
      </c>
      <c r="F136" s="118" t="s">
        <v>58</v>
      </c>
      <c r="G136" s="113">
        <v>2860</v>
      </c>
      <c r="H136" s="113">
        <v>2400</v>
      </c>
      <c r="I136" s="113">
        <v>4070</v>
      </c>
      <c r="J136" s="113">
        <v>3850</v>
      </c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4"/>
      <c r="V136" s="115"/>
      <c r="W136" s="116" t="s">
        <v>144</v>
      </c>
    </row>
    <row r="137" spans="1:23" ht="20.100000000000001" customHeight="1" x14ac:dyDescent="0.25">
      <c r="A137" s="108">
        <f t="shared" si="2"/>
        <v>128</v>
      </c>
      <c r="B137" s="109">
        <v>0.35486111111111113</v>
      </c>
      <c r="C137" s="121" t="s">
        <v>90</v>
      </c>
      <c r="D137" s="111">
        <v>11</v>
      </c>
      <c r="E137" s="111">
        <v>6</v>
      </c>
      <c r="F137" s="112" t="s">
        <v>29</v>
      </c>
      <c r="G137" s="113">
        <v>1650</v>
      </c>
      <c r="H137" s="113">
        <v>2050</v>
      </c>
      <c r="I137" s="113">
        <v>4180</v>
      </c>
      <c r="J137" s="113">
        <v>6150</v>
      </c>
      <c r="K137" s="113">
        <v>2860</v>
      </c>
      <c r="L137" s="113">
        <v>2500</v>
      </c>
      <c r="M137" s="113">
        <v>5500</v>
      </c>
      <c r="N137" s="113">
        <v>4400</v>
      </c>
      <c r="O137" s="113">
        <v>4510</v>
      </c>
      <c r="P137" s="113">
        <v>3750</v>
      </c>
      <c r="Q137" s="113">
        <v>3080</v>
      </c>
      <c r="R137" s="113">
        <v>3550</v>
      </c>
      <c r="S137" s="113"/>
      <c r="T137" s="113"/>
      <c r="U137" s="114"/>
      <c r="V137" s="115"/>
      <c r="W137" s="116" t="s">
        <v>238</v>
      </c>
    </row>
    <row r="138" spans="1:23" ht="20.100000000000001" customHeight="1" x14ac:dyDescent="0.25">
      <c r="A138" s="108">
        <f t="shared" si="2"/>
        <v>129</v>
      </c>
      <c r="B138" s="109">
        <v>0.27361111111111108</v>
      </c>
      <c r="C138" s="121" t="s">
        <v>145</v>
      </c>
      <c r="D138" s="111">
        <v>11</v>
      </c>
      <c r="E138" s="111">
        <v>6</v>
      </c>
      <c r="F138" s="112" t="s">
        <v>29</v>
      </c>
      <c r="G138" s="113">
        <v>2200</v>
      </c>
      <c r="H138" s="113">
        <v>2650</v>
      </c>
      <c r="I138" s="113">
        <v>3300</v>
      </c>
      <c r="J138" s="113">
        <v>3050</v>
      </c>
      <c r="K138" s="113">
        <v>2750</v>
      </c>
      <c r="L138" s="113">
        <v>3800</v>
      </c>
      <c r="M138" s="113">
        <v>3850</v>
      </c>
      <c r="N138" s="113">
        <v>3000</v>
      </c>
      <c r="O138" s="113">
        <v>2750</v>
      </c>
      <c r="P138" s="113">
        <v>3250</v>
      </c>
      <c r="Q138" s="113">
        <v>1870</v>
      </c>
      <c r="R138" s="113">
        <v>3150</v>
      </c>
      <c r="S138" s="113"/>
      <c r="T138" s="113"/>
      <c r="U138" s="114"/>
      <c r="V138" s="115"/>
      <c r="W138" s="116" t="s">
        <v>238</v>
      </c>
    </row>
    <row r="139" spans="1:23" ht="20.100000000000001" customHeight="1" x14ac:dyDescent="0.25">
      <c r="A139" s="108">
        <f t="shared" si="2"/>
        <v>130</v>
      </c>
      <c r="B139" s="109">
        <v>0.56527777777777777</v>
      </c>
      <c r="C139" s="121" t="s">
        <v>146</v>
      </c>
      <c r="D139" s="111">
        <v>8</v>
      </c>
      <c r="E139" s="111">
        <v>3</v>
      </c>
      <c r="F139" s="118" t="s">
        <v>60</v>
      </c>
      <c r="G139" s="113">
        <v>3960</v>
      </c>
      <c r="H139" s="113">
        <v>3400</v>
      </c>
      <c r="I139" s="113">
        <v>8250</v>
      </c>
      <c r="J139" s="113">
        <v>6600</v>
      </c>
      <c r="K139" s="113">
        <v>6270</v>
      </c>
      <c r="L139" s="113">
        <v>6100</v>
      </c>
      <c r="M139" s="113"/>
      <c r="N139" s="113"/>
      <c r="O139" s="113"/>
      <c r="P139" s="113"/>
      <c r="Q139" s="113"/>
      <c r="R139" s="113"/>
      <c r="S139" s="113"/>
      <c r="T139" s="113"/>
      <c r="U139" s="114"/>
      <c r="V139" s="115"/>
      <c r="W139" s="116" t="s">
        <v>238</v>
      </c>
    </row>
    <row r="140" spans="1:23" ht="20.100000000000001" customHeight="1" x14ac:dyDescent="0.25">
      <c r="A140" s="108">
        <f t="shared" si="2"/>
        <v>131</v>
      </c>
      <c r="B140" s="109">
        <v>0.3611111111111111</v>
      </c>
      <c r="C140" s="121" t="s">
        <v>147</v>
      </c>
      <c r="D140" s="111">
        <v>11</v>
      </c>
      <c r="E140" s="111">
        <v>6</v>
      </c>
      <c r="F140" s="112" t="s">
        <v>29</v>
      </c>
      <c r="G140" s="113">
        <v>2200</v>
      </c>
      <c r="H140" s="113">
        <v>2600</v>
      </c>
      <c r="I140" s="113">
        <v>4620</v>
      </c>
      <c r="J140" s="113">
        <v>3800</v>
      </c>
      <c r="K140" s="113">
        <v>4730</v>
      </c>
      <c r="L140" s="113">
        <v>3750</v>
      </c>
      <c r="M140" s="113">
        <v>3740</v>
      </c>
      <c r="N140" s="113">
        <v>2900</v>
      </c>
      <c r="O140" s="113">
        <v>4290</v>
      </c>
      <c r="P140" s="113">
        <v>3900</v>
      </c>
      <c r="Q140" s="113">
        <v>5390</v>
      </c>
      <c r="R140" s="113">
        <v>3750</v>
      </c>
      <c r="S140" s="113"/>
      <c r="T140" s="113"/>
      <c r="U140" s="114"/>
      <c r="V140" s="115"/>
      <c r="W140" s="116" t="s">
        <v>238</v>
      </c>
    </row>
    <row r="141" spans="1:23" ht="20.100000000000001" customHeight="1" x14ac:dyDescent="0.25">
      <c r="A141" s="108">
        <f t="shared" si="2"/>
        <v>132</v>
      </c>
      <c r="B141" s="109">
        <v>0.36249999999999999</v>
      </c>
      <c r="C141" s="121" t="s">
        <v>148</v>
      </c>
      <c r="D141" s="111">
        <v>11</v>
      </c>
      <c r="E141" s="111">
        <v>6</v>
      </c>
      <c r="F141" s="112" t="s">
        <v>29</v>
      </c>
      <c r="G141" s="113">
        <v>2860</v>
      </c>
      <c r="H141" s="113">
        <v>3100</v>
      </c>
      <c r="I141" s="113">
        <v>4620</v>
      </c>
      <c r="J141" s="113">
        <v>3450</v>
      </c>
      <c r="K141" s="113">
        <v>4840</v>
      </c>
      <c r="L141" s="113">
        <v>3300</v>
      </c>
      <c r="M141" s="113">
        <v>5060</v>
      </c>
      <c r="N141" s="113">
        <v>3650</v>
      </c>
      <c r="O141" s="113">
        <v>4180</v>
      </c>
      <c r="P141" s="113">
        <v>4000</v>
      </c>
      <c r="Q141" s="113">
        <v>3630</v>
      </c>
      <c r="R141" s="113">
        <v>3650</v>
      </c>
      <c r="S141" s="113"/>
      <c r="T141" s="113"/>
      <c r="U141" s="114"/>
      <c r="V141" s="115"/>
      <c r="W141" s="116" t="s">
        <v>238</v>
      </c>
    </row>
    <row r="142" spans="1:23" ht="20.100000000000001" customHeight="1" x14ac:dyDescent="0.25">
      <c r="A142" s="108">
        <f t="shared" si="2"/>
        <v>133</v>
      </c>
      <c r="B142" s="122">
        <v>0.3666666666666667</v>
      </c>
      <c r="C142" s="121" t="s">
        <v>149</v>
      </c>
      <c r="D142" s="111">
        <v>8</v>
      </c>
      <c r="E142" s="111">
        <v>3</v>
      </c>
      <c r="F142" s="118" t="s">
        <v>60</v>
      </c>
      <c r="G142" s="113">
        <v>2750</v>
      </c>
      <c r="H142" s="113">
        <v>3250</v>
      </c>
      <c r="I142" s="113">
        <v>7260</v>
      </c>
      <c r="J142" s="113">
        <v>6600</v>
      </c>
      <c r="K142" s="113">
        <v>8250</v>
      </c>
      <c r="L142" s="113">
        <v>8000</v>
      </c>
      <c r="M142" s="113"/>
      <c r="N142" s="113"/>
      <c r="O142" s="113"/>
      <c r="P142" s="113"/>
      <c r="Q142" s="113"/>
      <c r="R142" s="113"/>
      <c r="S142" s="113"/>
      <c r="T142" s="113"/>
      <c r="U142" s="114"/>
      <c r="V142" s="115"/>
      <c r="W142" s="116" t="s">
        <v>150</v>
      </c>
    </row>
    <row r="143" spans="1:23" ht="20.100000000000001" customHeight="1" x14ac:dyDescent="0.25">
      <c r="A143" s="108">
        <f t="shared" si="2"/>
        <v>134</v>
      </c>
      <c r="B143" s="109">
        <v>0.37986111111111115</v>
      </c>
      <c r="C143" s="121" t="s">
        <v>153</v>
      </c>
      <c r="D143" s="111">
        <v>7</v>
      </c>
      <c r="E143" s="117">
        <v>2</v>
      </c>
      <c r="F143" s="118" t="s">
        <v>58</v>
      </c>
      <c r="G143" s="113">
        <v>2000</v>
      </c>
      <c r="H143" s="113">
        <v>2090</v>
      </c>
      <c r="I143" s="113">
        <v>2600</v>
      </c>
      <c r="J143" s="113">
        <v>2310</v>
      </c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4"/>
      <c r="V143" s="115"/>
      <c r="W143" s="116" t="s">
        <v>238</v>
      </c>
    </row>
    <row r="144" spans="1:23" ht="20.100000000000001" customHeight="1" x14ac:dyDescent="0.25">
      <c r="A144" s="108">
        <f t="shared" si="2"/>
        <v>135</v>
      </c>
      <c r="B144" s="109">
        <v>0.38194444444444442</v>
      </c>
      <c r="C144" s="121" t="s">
        <v>154</v>
      </c>
      <c r="D144" s="111">
        <v>11</v>
      </c>
      <c r="E144" s="111">
        <v>6</v>
      </c>
      <c r="F144" s="118" t="s">
        <v>110</v>
      </c>
      <c r="G144" s="113">
        <v>2700</v>
      </c>
      <c r="H144" s="113">
        <v>2420</v>
      </c>
      <c r="I144" s="113">
        <v>4000</v>
      </c>
      <c r="J144" s="113">
        <v>2530</v>
      </c>
      <c r="K144" s="113">
        <v>3900</v>
      </c>
      <c r="L144" s="113">
        <v>3520</v>
      </c>
      <c r="M144" s="113">
        <v>3200</v>
      </c>
      <c r="N144" s="113">
        <v>4840</v>
      </c>
      <c r="O144" s="113">
        <v>3000</v>
      </c>
      <c r="P144" s="113">
        <v>4620</v>
      </c>
      <c r="Q144" s="113">
        <v>2950</v>
      </c>
      <c r="R144" s="113">
        <v>4290</v>
      </c>
      <c r="S144" s="113"/>
      <c r="T144" s="113"/>
      <c r="U144" s="114"/>
      <c r="V144" s="115"/>
      <c r="W144" s="116" t="s">
        <v>238</v>
      </c>
    </row>
    <row r="145" spans="1:23" ht="20.100000000000001" customHeight="1" x14ac:dyDescent="0.25">
      <c r="A145" s="108">
        <f t="shared" si="2"/>
        <v>136</v>
      </c>
      <c r="B145" s="109">
        <v>0.38263888888888892</v>
      </c>
      <c r="C145" s="121" t="s">
        <v>155</v>
      </c>
      <c r="D145" s="111">
        <v>7</v>
      </c>
      <c r="E145" s="117">
        <v>2</v>
      </c>
      <c r="F145" s="118" t="s">
        <v>58</v>
      </c>
      <c r="G145" s="113">
        <v>1500</v>
      </c>
      <c r="H145" s="113">
        <v>880</v>
      </c>
      <c r="I145" s="113">
        <v>1200</v>
      </c>
      <c r="J145" s="113">
        <v>440</v>
      </c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4"/>
      <c r="V145" s="115"/>
      <c r="W145" s="116" t="s">
        <v>72</v>
      </c>
    </row>
    <row r="146" spans="1:23" ht="20.100000000000001" customHeight="1" x14ac:dyDescent="0.25">
      <c r="A146" s="108">
        <f t="shared" si="2"/>
        <v>137</v>
      </c>
      <c r="B146" s="109">
        <v>0.3840277777777778</v>
      </c>
      <c r="C146" s="121" t="s">
        <v>157</v>
      </c>
      <c r="D146" s="111">
        <v>9</v>
      </c>
      <c r="E146" s="111">
        <v>4</v>
      </c>
      <c r="F146" s="118" t="s">
        <v>236</v>
      </c>
      <c r="G146" s="113">
        <v>4400</v>
      </c>
      <c r="H146" s="113">
        <v>9950</v>
      </c>
      <c r="I146" s="113">
        <v>3300</v>
      </c>
      <c r="J146" s="113">
        <v>5740</v>
      </c>
      <c r="K146" s="113">
        <v>5300</v>
      </c>
      <c r="L146" s="113">
        <v>5060</v>
      </c>
      <c r="M146" s="113">
        <v>4300</v>
      </c>
      <c r="N146" s="113">
        <v>6270</v>
      </c>
      <c r="O146" s="113"/>
      <c r="P146" s="113"/>
      <c r="Q146" s="113"/>
      <c r="R146" s="113"/>
      <c r="S146" s="113"/>
      <c r="T146" s="113"/>
      <c r="U146" s="114"/>
      <c r="V146" s="115"/>
      <c r="W146" s="116" t="s">
        <v>238</v>
      </c>
    </row>
    <row r="147" spans="1:23" ht="20.100000000000001" customHeight="1" x14ac:dyDescent="0.25">
      <c r="A147" s="108">
        <f t="shared" si="2"/>
        <v>138</v>
      </c>
      <c r="B147" s="109">
        <v>0.38680555555555557</v>
      </c>
      <c r="C147" s="121" t="s">
        <v>158</v>
      </c>
      <c r="D147" s="111">
        <v>11</v>
      </c>
      <c r="E147" s="111">
        <v>6</v>
      </c>
      <c r="F147" s="118" t="s">
        <v>110</v>
      </c>
      <c r="G147" s="113">
        <v>2650</v>
      </c>
      <c r="H147" s="113">
        <v>2970</v>
      </c>
      <c r="I147" s="113">
        <v>3250</v>
      </c>
      <c r="J147" s="113">
        <v>2750</v>
      </c>
      <c r="K147" s="113">
        <v>3300</v>
      </c>
      <c r="L147" s="113">
        <v>4070</v>
      </c>
      <c r="M147" s="113">
        <v>3300</v>
      </c>
      <c r="N147" s="113">
        <v>5720</v>
      </c>
      <c r="O147" s="113">
        <v>3300</v>
      </c>
      <c r="P147" s="113">
        <v>3740</v>
      </c>
      <c r="Q147" s="113">
        <v>3200</v>
      </c>
      <c r="R147" s="113">
        <v>3520</v>
      </c>
      <c r="S147" s="113"/>
      <c r="T147" s="113"/>
      <c r="U147" s="114"/>
      <c r="V147" s="115"/>
      <c r="W147" s="116" t="s">
        <v>238</v>
      </c>
    </row>
    <row r="148" spans="1:23" ht="20.100000000000001" customHeight="1" x14ac:dyDescent="0.25">
      <c r="A148" s="108">
        <f t="shared" si="2"/>
        <v>139</v>
      </c>
      <c r="B148" s="109">
        <v>0.3888888888888889</v>
      </c>
      <c r="C148" s="121" t="s">
        <v>159</v>
      </c>
      <c r="D148" s="111">
        <v>7</v>
      </c>
      <c r="E148" s="117">
        <v>2</v>
      </c>
      <c r="F148" s="118" t="s">
        <v>58</v>
      </c>
      <c r="G148" s="113">
        <v>1100</v>
      </c>
      <c r="H148" s="113">
        <v>1100</v>
      </c>
      <c r="I148" s="113">
        <v>1300</v>
      </c>
      <c r="J148" s="113">
        <v>1320</v>
      </c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4"/>
      <c r="V148" s="115"/>
      <c r="W148" s="116" t="s">
        <v>160</v>
      </c>
    </row>
    <row r="149" spans="1:23" ht="20.100000000000001" customHeight="1" x14ac:dyDescent="0.25">
      <c r="A149" s="108">
        <f t="shared" si="2"/>
        <v>140</v>
      </c>
      <c r="B149" s="109">
        <v>0.39097222222222222</v>
      </c>
      <c r="C149" s="121" t="s">
        <v>161</v>
      </c>
      <c r="D149" s="111">
        <v>11</v>
      </c>
      <c r="E149" s="111">
        <v>6</v>
      </c>
      <c r="F149" s="112" t="s">
        <v>29</v>
      </c>
      <c r="G149" s="113">
        <v>3400</v>
      </c>
      <c r="H149" s="113">
        <v>2750</v>
      </c>
      <c r="I149" s="113">
        <v>3700</v>
      </c>
      <c r="J149" s="113">
        <v>3960</v>
      </c>
      <c r="K149" s="113">
        <v>3550</v>
      </c>
      <c r="L149" s="113">
        <v>3190</v>
      </c>
      <c r="M149" s="113">
        <v>2800</v>
      </c>
      <c r="N149" s="113">
        <v>5390</v>
      </c>
      <c r="O149" s="113">
        <v>3700</v>
      </c>
      <c r="P149" s="113">
        <v>4950</v>
      </c>
      <c r="Q149" s="113">
        <v>4150</v>
      </c>
      <c r="R149" s="113">
        <v>2750</v>
      </c>
      <c r="S149" s="113"/>
      <c r="T149" s="113"/>
      <c r="U149" s="114"/>
      <c r="V149" s="115"/>
      <c r="W149" s="116" t="s">
        <v>238</v>
      </c>
    </row>
    <row r="150" spans="1:23" ht="20.100000000000001" customHeight="1" x14ac:dyDescent="0.25">
      <c r="A150" s="108">
        <f t="shared" si="2"/>
        <v>141</v>
      </c>
      <c r="B150" s="109">
        <v>0.3923611111111111</v>
      </c>
      <c r="C150" s="121" t="s">
        <v>162</v>
      </c>
      <c r="D150" s="111">
        <v>7</v>
      </c>
      <c r="E150" s="117">
        <v>2</v>
      </c>
      <c r="F150" s="118" t="s">
        <v>58</v>
      </c>
      <c r="G150" s="113">
        <v>1700</v>
      </c>
      <c r="H150" s="113">
        <v>1980</v>
      </c>
      <c r="I150" s="113">
        <v>5300</v>
      </c>
      <c r="J150" s="113">
        <v>7150</v>
      </c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4"/>
      <c r="V150" s="115"/>
      <c r="W150" s="116" t="s">
        <v>69</v>
      </c>
    </row>
    <row r="151" spans="1:23" ht="20.100000000000001" customHeight="1" x14ac:dyDescent="0.25">
      <c r="A151" s="108">
        <f t="shared" si="2"/>
        <v>142</v>
      </c>
      <c r="B151" s="109">
        <v>0.39444444444444443</v>
      </c>
      <c r="C151" s="121" t="s">
        <v>163</v>
      </c>
      <c r="D151" s="111">
        <v>7</v>
      </c>
      <c r="E151" s="117">
        <v>2</v>
      </c>
      <c r="F151" s="118" t="s">
        <v>58</v>
      </c>
      <c r="G151" s="113">
        <v>950</v>
      </c>
      <c r="H151" s="113">
        <v>990</v>
      </c>
      <c r="I151" s="113">
        <v>1650</v>
      </c>
      <c r="J151" s="113">
        <v>2090</v>
      </c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4"/>
      <c r="V151" s="115"/>
      <c r="W151" s="116" t="s">
        <v>164</v>
      </c>
    </row>
    <row r="152" spans="1:23" ht="20.100000000000001" customHeight="1" x14ac:dyDescent="0.25">
      <c r="A152" s="108">
        <f t="shared" si="2"/>
        <v>143</v>
      </c>
      <c r="B152" s="109">
        <v>0.3972222222222222</v>
      </c>
      <c r="C152" s="121" t="s">
        <v>165</v>
      </c>
      <c r="D152" s="111">
        <v>8</v>
      </c>
      <c r="E152" s="111">
        <v>3</v>
      </c>
      <c r="F152" s="118" t="s">
        <v>60</v>
      </c>
      <c r="G152" s="113">
        <v>1350</v>
      </c>
      <c r="H152" s="113">
        <v>1870</v>
      </c>
      <c r="I152" s="113">
        <v>1450</v>
      </c>
      <c r="J152" s="113">
        <v>1320</v>
      </c>
      <c r="K152" s="113">
        <v>1850</v>
      </c>
      <c r="L152" s="113">
        <v>1100</v>
      </c>
      <c r="M152" s="113"/>
      <c r="N152" s="113"/>
      <c r="O152" s="113"/>
      <c r="P152" s="113"/>
      <c r="Q152" s="113"/>
      <c r="R152" s="113"/>
      <c r="S152" s="113"/>
      <c r="T152" s="113"/>
      <c r="U152" s="114"/>
      <c r="V152" s="115"/>
      <c r="W152" s="116" t="s">
        <v>72</v>
      </c>
    </row>
    <row r="153" spans="1:23" ht="20.100000000000001" customHeight="1" x14ac:dyDescent="0.25">
      <c r="A153" s="108">
        <f t="shared" si="2"/>
        <v>144</v>
      </c>
      <c r="B153" s="109">
        <v>0.39861111111111108</v>
      </c>
      <c r="C153" s="121" t="s">
        <v>166</v>
      </c>
      <c r="D153" s="111">
        <v>11</v>
      </c>
      <c r="E153" s="111">
        <v>6</v>
      </c>
      <c r="F153" s="118" t="s">
        <v>110</v>
      </c>
      <c r="G153" s="113">
        <v>2700</v>
      </c>
      <c r="H153" s="113">
        <v>2860</v>
      </c>
      <c r="I153" s="113">
        <v>2300</v>
      </c>
      <c r="J153" s="113">
        <v>2970</v>
      </c>
      <c r="K153" s="113">
        <v>3250</v>
      </c>
      <c r="L153" s="113">
        <v>5830</v>
      </c>
      <c r="M153" s="113">
        <v>2400</v>
      </c>
      <c r="N153" s="113">
        <v>3520</v>
      </c>
      <c r="O153" s="113">
        <v>3000</v>
      </c>
      <c r="P153" s="113">
        <v>4070</v>
      </c>
      <c r="Q153" s="113">
        <v>3500</v>
      </c>
      <c r="R153" s="113">
        <v>4180</v>
      </c>
      <c r="S153" s="113"/>
      <c r="T153" s="113"/>
      <c r="U153" s="114"/>
      <c r="V153" s="115"/>
      <c r="W153" s="116" t="s">
        <v>238</v>
      </c>
    </row>
    <row r="154" spans="1:23" ht="20.100000000000001" customHeight="1" x14ac:dyDescent="0.25">
      <c r="A154" s="108">
        <f t="shared" ref="A154:A185" si="3">A153+1</f>
        <v>145</v>
      </c>
      <c r="B154" s="109">
        <v>0.40208333333333335</v>
      </c>
      <c r="C154" s="121" t="s">
        <v>167</v>
      </c>
      <c r="D154" s="111">
        <v>11</v>
      </c>
      <c r="E154" s="111">
        <v>6</v>
      </c>
      <c r="F154" s="118" t="s">
        <v>110</v>
      </c>
      <c r="G154" s="113">
        <v>2650</v>
      </c>
      <c r="H154" s="113">
        <v>3080</v>
      </c>
      <c r="I154" s="113">
        <v>2850</v>
      </c>
      <c r="J154" s="113">
        <v>3520</v>
      </c>
      <c r="K154" s="113">
        <v>4000</v>
      </c>
      <c r="L154" s="113">
        <v>4950</v>
      </c>
      <c r="M154" s="113">
        <v>3000</v>
      </c>
      <c r="N154" s="113">
        <v>4950</v>
      </c>
      <c r="O154" s="113">
        <v>2650</v>
      </c>
      <c r="P154" s="113">
        <v>5390</v>
      </c>
      <c r="Q154" s="113">
        <v>2350</v>
      </c>
      <c r="R154" s="113">
        <v>4950</v>
      </c>
      <c r="S154" s="113"/>
      <c r="T154" s="113"/>
      <c r="U154" s="114"/>
      <c r="V154" s="115"/>
      <c r="W154" s="116" t="s">
        <v>238</v>
      </c>
    </row>
    <row r="155" spans="1:23" ht="20.100000000000001" customHeight="1" x14ac:dyDescent="0.25">
      <c r="A155" s="108">
        <f t="shared" si="3"/>
        <v>146</v>
      </c>
      <c r="B155" s="109">
        <v>0.40625</v>
      </c>
      <c r="C155" s="121" t="s">
        <v>168</v>
      </c>
      <c r="D155" s="111">
        <v>11</v>
      </c>
      <c r="E155" s="111">
        <v>6</v>
      </c>
      <c r="F155" s="118" t="s">
        <v>239</v>
      </c>
      <c r="G155" s="113">
        <v>2800</v>
      </c>
      <c r="H155" s="113">
        <v>3410</v>
      </c>
      <c r="I155" s="113">
        <v>1400</v>
      </c>
      <c r="J155" s="113">
        <v>1210</v>
      </c>
      <c r="K155" s="113">
        <v>3450</v>
      </c>
      <c r="L155" s="113">
        <v>5500</v>
      </c>
      <c r="M155" s="113">
        <v>3950</v>
      </c>
      <c r="N155" s="113">
        <v>4620</v>
      </c>
      <c r="O155" s="113">
        <v>3500</v>
      </c>
      <c r="P155" s="113">
        <v>4510</v>
      </c>
      <c r="Q155" s="113">
        <v>3550</v>
      </c>
      <c r="R155" s="113">
        <v>4510</v>
      </c>
      <c r="S155" s="113"/>
      <c r="T155" s="113"/>
      <c r="U155" s="114"/>
      <c r="V155" s="115"/>
      <c r="W155" s="116" t="s">
        <v>238</v>
      </c>
    </row>
    <row r="156" spans="1:23" ht="20.100000000000001" customHeight="1" x14ac:dyDescent="0.25">
      <c r="A156" s="108">
        <f t="shared" si="3"/>
        <v>147</v>
      </c>
      <c r="B156" s="109">
        <v>0.41736111111111113</v>
      </c>
      <c r="C156" s="121" t="s">
        <v>170</v>
      </c>
      <c r="D156" s="111">
        <v>11</v>
      </c>
      <c r="E156" s="111">
        <v>6</v>
      </c>
      <c r="F156" s="118" t="s">
        <v>108</v>
      </c>
      <c r="G156" s="113">
        <v>3100</v>
      </c>
      <c r="H156" s="113">
        <v>3080</v>
      </c>
      <c r="I156" s="113">
        <v>3500</v>
      </c>
      <c r="J156" s="113">
        <v>3520</v>
      </c>
      <c r="K156" s="113">
        <v>3800</v>
      </c>
      <c r="L156" s="113">
        <v>3190</v>
      </c>
      <c r="M156" s="113">
        <v>3200</v>
      </c>
      <c r="N156" s="113">
        <v>3520</v>
      </c>
      <c r="O156" s="113">
        <v>2950</v>
      </c>
      <c r="P156" s="113">
        <v>4180</v>
      </c>
      <c r="Q156" s="113">
        <v>3450</v>
      </c>
      <c r="R156" s="113">
        <v>3960</v>
      </c>
      <c r="S156" s="113"/>
      <c r="T156" s="113"/>
      <c r="U156" s="114"/>
      <c r="V156" s="115"/>
      <c r="W156" s="116" t="s">
        <v>238</v>
      </c>
    </row>
    <row r="157" spans="1:23" ht="20.100000000000001" customHeight="1" x14ac:dyDescent="0.25">
      <c r="A157" s="108">
        <f t="shared" si="3"/>
        <v>148</v>
      </c>
      <c r="B157" s="109">
        <v>0.42499999999999999</v>
      </c>
      <c r="C157" s="121" t="s">
        <v>172</v>
      </c>
      <c r="D157" s="111">
        <v>9</v>
      </c>
      <c r="E157" s="111">
        <v>4</v>
      </c>
      <c r="F157" s="118" t="s">
        <v>236</v>
      </c>
      <c r="G157" s="113">
        <v>2000</v>
      </c>
      <c r="H157" s="113">
        <v>2310</v>
      </c>
      <c r="I157" s="113">
        <v>2300</v>
      </c>
      <c r="J157" s="113">
        <v>2200</v>
      </c>
      <c r="K157" s="113">
        <v>2000</v>
      </c>
      <c r="L157" s="113">
        <v>1650</v>
      </c>
      <c r="M157" s="113">
        <v>1850</v>
      </c>
      <c r="N157" s="113">
        <v>2420</v>
      </c>
      <c r="O157" s="113"/>
      <c r="P157" s="113"/>
      <c r="Q157" s="113"/>
      <c r="R157" s="113"/>
      <c r="S157" s="113"/>
      <c r="T157" s="113"/>
      <c r="U157" s="114"/>
      <c r="V157" s="115"/>
      <c r="W157" s="116" t="s">
        <v>72</v>
      </c>
    </row>
    <row r="158" spans="1:23" ht="20.100000000000001" customHeight="1" x14ac:dyDescent="0.25">
      <c r="A158" s="108">
        <f t="shared" si="3"/>
        <v>149</v>
      </c>
      <c r="B158" s="109">
        <v>0.44930555555555557</v>
      </c>
      <c r="C158" s="121" t="s">
        <v>201</v>
      </c>
      <c r="D158" s="125">
        <v>7</v>
      </c>
      <c r="E158" s="111">
        <v>2</v>
      </c>
      <c r="F158" s="118" t="s">
        <v>58</v>
      </c>
      <c r="G158" s="113">
        <v>2800</v>
      </c>
      <c r="H158" s="113">
        <v>2750</v>
      </c>
      <c r="I158" s="113">
        <v>3300</v>
      </c>
      <c r="J158" s="113">
        <v>5060</v>
      </c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4"/>
      <c r="V158" s="115"/>
      <c r="W158" s="116" t="s">
        <v>164</v>
      </c>
    </row>
    <row r="159" spans="1:23" ht="20.100000000000001" customHeight="1" x14ac:dyDescent="0.25">
      <c r="A159" s="108">
        <f t="shared" si="3"/>
        <v>150</v>
      </c>
      <c r="B159" s="109">
        <v>0.45069444444444445</v>
      </c>
      <c r="C159" s="121" t="s">
        <v>96</v>
      </c>
      <c r="D159" s="125">
        <v>7</v>
      </c>
      <c r="E159" s="111">
        <v>2</v>
      </c>
      <c r="F159" s="118" t="s">
        <v>58</v>
      </c>
      <c r="G159" s="113">
        <v>2200</v>
      </c>
      <c r="H159" s="113">
        <v>2530</v>
      </c>
      <c r="I159" s="113">
        <v>3400</v>
      </c>
      <c r="J159" s="113">
        <v>3960</v>
      </c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4"/>
      <c r="V159" s="115"/>
      <c r="W159" s="116" t="s">
        <v>202</v>
      </c>
    </row>
    <row r="160" spans="1:23" ht="20.100000000000001" customHeight="1" x14ac:dyDescent="0.25">
      <c r="A160" s="108">
        <f t="shared" si="3"/>
        <v>151</v>
      </c>
      <c r="B160" s="109">
        <v>0.45208333333333334</v>
      </c>
      <c r="C160" s="121" t="s">
        <v>203</v>
      </c>
      <c r="D160" s="125">
        <v>7</v>
      </c>
      <c r="E160" s="111">
        <v>2</v>
      </c>
      <c r="F160" s="118" t="s">
        <v>58</v>
      </c>
      <c r="G160" s="113">
        <v>950</v>
      </c>
      <c r="H160" s="113">
        <v>880</v>
      </c>
      <c r="I160" s="113">
        <v>1700</v>
      </c>
      <c r="J160" s="113">
        <v>1650</v>
      </c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4"/>
      <c r="V160" s="115"/>
      <c r="W160" s="116" t="s">
        <v>70</v>
      </c>
    </row>
    <row r="161" spans="1:23" ht="20.100000000000001" customHeight="1" x14ac:dyDescent="0.25">
      <c r="A161" s="108">
        <f t="shared" si="3"/>
        <v>152</v>
      </c>
      <c r="B161" s="109">
        <v>0.45277777777777778</v>
      </c>
      <c r="C161" s="121" t="s">
        <v>204</v>
      </c>
      <c r="D161" s="125">
        <v>7</v>
      </c>
      <c r="E161" s="111">
        <v>2</v>
      </c>
      <c r="F161" s="118" t="s">
        <v>58</v>
      </c>
      <c r="G161" s="113">
        <v>2000</v>
      </c>
      <c r="H161" s="113">
        <v>1980</v>
      </c>
      <c r="I161" s="113">
        <v>3950</v>
      </c>
      <c r="J161" s="113">
        <v>5170</v>
      </c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4"/>
      <c r="V161" s="115"/>
      <c r="W161" s="116" t="s">
        <v>205</v>
      </c>
    </row>
    <row r="162" spans="1:23" ht="20.100000000000001" customHeight="1" x14ac:dyDescent="0.25">
      <c r="A162" s="108">
        <f t="shared" si="3"/>
        <v>153</v>
      </c>
      <c r="B162" s="109">
        <v>0.45416666666666666</v>
      </c>
      <c r="C162" s="121" t="s">
        <v>206</v>
      </c>
      <c r="D162" s="125">
        <v>7</v>
      </c>
      <c r="E162" s="111">
        <v>2</v>
      </c>
      <c r="F162" s="118" t="s">
        <v>58</v>
      </c>
      <c r="G162" s="113">
        <v>1150</v>
      </c>
      <c r="H162" s="113">
        <v>1210</v>
      </c>
      <c r="I162" s="113">
        <v>1400</v>
      </c>
      <c r="J162" s="119">
        <v>1320</v>
      </c>
      <c r="K162" s="119"/>
      <c r="L162" s="119"/>
      <c r="M162" s="119"/>
      <c r="N162" s="119"/>
      <c r="O162" s="119"/>
      <c r="P162" s="119"/>
      <c r="Q162" s="119"/>
      <c r="R162" s="119"/>
      <c r="S162" s="113"/>
      <c r="T162" s="113"/>
      <c r="U162" s="114"/>
      <c r="V162" s="115"/>
      <c r="W162" s="116" t="s">
        <v>72</v>
      </c>
    </row>
    <row r="163" spans="1:23" ht="20.100000000000001" customHeight="1" x14ac:dyDescent="0.25">
      <c r="A163" s="108">
        <f t="shared" si="3"/>
        <v>154</v>
      </c>
      <c r="B163" s="109">
        <v>0.4548611111111111</v>
      </c>
      <c r="C163" s="121" t="s">
        <v>207</v>
      </c>
      <c r="D163" s="125">
        <v>11</v>
      </c>
      <c r="E163" s="111">
        <v>6</v>
      </c>
      <c r="F163" s="118" t="s">
        <v>29</v>
      </c>
      <c r="G163" s="113">
        <v>3100</v>
      </c>
      <c r="H163" s="113">
        <v>1980</v>
      </c>
      <c r="I163" s="113">
        <v>4350</v>
      </c>
      <c r="J163" s="113">
        <v>3960</v>
      </c>
      <c r="K163" s="113">
        <v>3300</v>
      </c>
      <c r="L163" s="113">
        <v>2200</v>
      </c>
      <c r="M163" s="113">
        <v>2200</v>
      </c>
      <c r="N163" s="113">
        <v>4730</v>
      </c>
      <c r="O163" s="113">
        <v>2700</v>
      </c>
      <c r="P163" s="113">
        <v>4620</v>
      </c>
      <c r="Q163" s="113">
        <v>2900</v>
      </c>
      <c r="R163" s="113">
        <v>4510</v>
      </c>
      <c r="S163" s="113"/>
      <c r="T163" s="113"/>
      <c r="U163" s="114"/>
      <c r="V163" s="115"/>
      <c r="W163" s="116" t="s">
        <v>238</v>
      </c>
    </row>
    <row r="164" spans="1:23" ht="20.100000000000001" customHeight="1" x14ac:dyDescent="0.25">
      <c r="A164" s="108">
        <f t="shared" si="3"/>
        <v>155</v>
      </c>
      <c r="B164" s="109">
        <v>0.45555555555555555</v>
      </c>
      <c r="C164" s="121" t="s">
        <v>208</v>
      </c>
      <c r="D164" s="125">
        <v>8</v>
      </c>
      <c r="E164" s="111">
        <v>3</v>
      </c>
      <c r="F164" s="118" t="s">
        <v>60</v>
      </c>
      <c r="G164" s="113">
        <v>2400</v>
      </c>
      <c r="H164" s="113">
        <v>3080</v>
      </c>
      <c r="I164" s="113">
        <v>5600</v>
      </c>
      <c r="J164" s="113">
        <v>6600</v>
      </c>
      <c r="K164" s="113">
        <v>5550</v>
      </c>
      <c r="L164" s="113">
        <v>6050</v>
      </c>
      <c r="M164" s="113"/>
      <c r="N164" s="113"/>
      <c r="O164" s="113"/>
      <c r="P164" s="113"/>
      <c r="Q164" s="113"/>
      <c r="R164" s="113"/>
      <c r="S164" s="113"/>
      <c r="T164" s="113"/>
      <c r="U164" s="114"/>
      <c r="V164" s="115"/>
      <c r="W164" s="116" t="s">
        <v>238</v>
      </c>
    </row>
    <row r="165" spans="1:23" ht="20.100000000000001" customHeight="1" x14ac:dyDescent="0.25">
      <c r="A165" s="108">
        <f t="shared" si="3"/>
        <v>156</v>
      </c>
      <c r="B165" s="109">
        <v>0.45624999999999999</v>
      </c>
      <c r="C165" s="121" t="s">
        <v>209</v>
      </c>
      <c r="D165" s="125">
        <v>11</v>
      </c>
      <c r="E165" s="111">
        <v>6</v>
      </c>
      <c r="F165" s="118" t="s">
        <v>29</v>
      </c>
      <c r="G165" s="113">
        <v>2550</v>
      </c>
      <c r="H165" s="113">
        <v>2750</v>
      </c>
      <c r="I165" s="113">
        <v>3200</v>
      </c>
      <c r="J165" s="113">
        <v>4400</v>
      </c>
      <c r="K165" s="113">
        <v>2450</v>
      </c>
      <c r="L165" s="113">
        <v>4400</v>
      </c>
      <c r="M165" s="113">
        <v>3450</v>
      </c>
      <c r="N165" s="113">
        <v>2200</v>
      </c>
      <c r="O165" s="113">
        <v>3550</v>
      </c>
      <c r="P165" s="113">
        <v>3520</v>
      </c>
      <c r="Q165" s="113">
        <v>3100</v>
      </c>
      <c r="R165" s="113">
        <v>3960</v>
      </c>
      <c r="S165" s="113"/>
      <c r="T165" s="113"/>
      <c r="U165" s="114"/>
      <c r="V165" s="115"/>
      <c r="W165" s="116" t="s">
        <v>238</v>
      </c>
    </row>
    <row r="166" spans="1:23" ht="20.100000000000001" customHeight="1" x14ac:dyDescent="0.25">
      <c r="A166" s="108">
        <f t="shared" si="3"/>
        <v>157</v>
      </c>
      <c r="B166" s="120">
        <v>0.45833333333333331</v>
      </c>
      <c r="C166" s="121" t="s">
        <v>210</v>
      </c>
      <c r="D166" s="125">
        <v>7</v>
      </c>
      <c r="E166" s="111">
        <v>2</v>
      </c>
      <c r="F166" s="118" t="s">
        <v>58</v>
      </c>
      <c r="G166" s="113">
        <v>1100</v>
      </c>
      <c r="H166" s="113">
        <v>1210</v>
      </c>
      <c r="I166" s="113">
        <v>1200</v>
      </c>
      <c r="J166" s="113">
        <v>1210</v>
      </c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4"/>
      <c r="V166" s="115"/>
      <c r="W166" s="116" t="s">
        <v>72</v>
      </c>
    </row>
    <row r="167" spans="1:23" ht="20.100000000000001" customHeight="1" x14ac:dyDescent="0.25">
      <c r="A167" s="108">
        <f t="shared" si="3"/>
        <v>158</v>
      </c>
      <c r="B167" s="109">
        <v>0.4604166666666667</v>
      </c>
      <c r="C167" s="121" t="s">
        <v>93</v>
      </c>
      <c r="D167" s="125">
        <v>11</v>
      </c>
      <c r="E167" s="111">
        <v>6</v>
      </c>
      <c r="F167" s="118" t="s">
        <v>110</v>
      </c>
      <c r="G167" s="113">
        <v>2450</v>
      </c>
      <c r="H167" s="113">
        <v>2970</v>
      </c>
      <c r="I167" s="113">
        <v>3000</v>
      </c>
      <c r="J167" s="113">
        <v>3300</v>
      </c>
      <c r="K167" s="113">
        <v>4300</v>
      </c>
      <c r="L167" s="113">
        <v>2750</v>
      </c>
      <c r="M167" s="113">
        <v>3400</v>
      </c>
      <c r="N167" s="113">
        <v>5500</v>
      </c>
      <c r="O167" s="113">
        <v>3450</v>
      </c>
      <c r="P167" s="113">
        <v>4180</v>
      </c>
      <c r="Q167" s="113">
        <v>3000</v>
      </c>
      <c r="R167" s="113">
        <v>4510</v>
      </c>
      <c r="S167" s="113"/>
      <c r="T167" s="113"/>
      <c r="U167" s="114"/>
      <c r="V167" s="115"/>
      <c r="W167" s="116" t="s">
        <v>238</v>
      </c>
    </row>
    <row r="168" spans="1:23" ht="20.100000000000001" customHeight="1" x14ac:dyDescent="0.25">
      <c r="A168" s="108">
        <f t="shared" si="3"/>
        <v>159</v>
      </c>
      <c r="B168" s="109">
        <v>0.46249999999999997</v>
      </c>
      <c r="C168" s="121" t="s">
        <v>211</v>
      </c>
      <c r="D168" s="125">
        <v>7</v>
      </c>
      <c r="E168" s="111">
        <v>2</v>
      </c>
      <c r="F168" s="118" t="s">
        <v>58</v>
      </c>
      <c r="G168" s="113">
        <v>1350</v>
      </c>
      <c r="H168" s="113">
        <v>1430</v>
      </c>
      <c r="I168" s="113">
        <v>1800</v>
      </c>
      <c r="J168" s="113">
        <v>2640</v>
      </c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4"/>
      <c r="V168" s="115"/>
      <c r="W168" s="116" t="s">
        <v>212</v>
      </c>
    </row>
    <row r="169" spans="1:23" ht="20.100000000000001" customHeight="1" x14ac:dyDescent="0.25">
      <c r="A169" s="108">
        <f t="shared" si="3"/>
        <v>160</v>
      </c>
      <c r="B169" s="109">
        <v>0.46319444444444446</v>
      </c>
      <c r="C169" s="121" t="s">
        <v>213</v>
      </c>
      <c r="D169" s="125">
        <v>10</v>
      </c>
      <c r="E169" s="111">
        <v>5</v>
      </c>
      <c r="F169" s="118" t="s">
        <v>214</v>
      </c>
      <c r="G169" s="113">
        <v>2050</v>
      </c>
      <c r="H169" s="113">
        <v>1650</v>
      </c>
      <c r="I169" s="113">
        <v>3200</v>
      </c>
      <c r="J169" s="113">
        <v>4510</v>
      </c>
      <c r="K169" s="113">
        <v>5400</v>
      </c>
      <c r="L169" s="113">
        <v>6930</v>
      </c>
      <c r="M169" s="113">
        <v>5750</v>
      </c>
      <c r="N169" s="113">
        <v>5720</v>
      </c>
      <c r="O169" s="113">
        <v>700</v>
      </c>
      <c r="P169" s="113">
        <v>440</v>
      </c>
      <c r="Q169" s="113"/>
      <c r="R169" s="113"/>
      <c r="S169" s="113"/>
      <c r="T169" s="113"/>
      <c r="U169" s="114"/>
      <c r="V169" s="115"/>
      <c r="W169" s="116" t="s">
        <v>68</v>
      </c>
    </row>
    <row r="170" spans="1:23" ht="20.100000000000001" customHeight="1" x14ac:dyDescent="0.25">
      <c r="A170" s="108">
        <f t="shared" si="3"/>
        <v>161</v>
      </c>
      <c r="B170" s="109">
        <v>0.46527777777777773</v>
      </c>
      <c r="C170" s="121" t="s">
        <v>215</v>
      </c>
      <c r="D170" s="125">
        <v>10</v>
      </c>
      <c r="E170" s="111">
        <v>5</v>
      </c>
      <c r="F170" s="118" t="s">
        <v>214</v>
      </c>
      <c r="G170" s="113">
        <v>2400</v>
      </c>
      <c r="H170" s="113">
        <v>1650</v>
      </c>
      <c r="I170" s="113">
        <v>2700</v>
      </c>
      <c r="J170" s="113">
        <v>4510</v>
      </c>
      <c r="K170" s="113">
        <v>4500</v>
      </c>
      <c r="L170" s="113">
        <v>6930</v>
      </c>
      <c r="M170" s="113">
        <v>4850</v>
      </c>
      <c r="N170" s="113">
        <v>5720</v>
      </c>
      <c r="O170" s="113">
        <v>450</v>
      </c>
      <c r="P170" s="113">
        <v>440</v>
      </c>
      <c r="Q170" s="113"/>
      <c r="R170" s="113"/>
      <c r="S170" s="113"/>
      <c r="T170" s="113"/>
      <c r="U170" s="114"/>
      <c r="V170" s="115"/>
      <c r="W170" s="116" t="s">
        <v>68</v>
      </c>
    </row>
    <row r="171" spans="1:23" ht="20.100000000000001" customHeight="1" x14ac:dyDescent="0.25">
      <c r="A171" s="108">
        <f t="shared" si="3"/>
        <v>162</v>
      </c>
      <c r="B171" s="109">
        <v>0.46666666666666662</v>
      </c>
      <c r="C171" s="121" t="s">
        <v>216</v>
      </c>
      <c r="D171" s="125">
        <v>7</v>
      </c>
      <c r="E171" s="111">
        <v>2</v>
      </c>
      <c r="F171" s="118" t="s">
        <v>58</v>
      </c>
      <c r="G171" s="113">
        <v>1150</v>
      </c>
      <c r="H171" s="113">
        <v>1210</v>
      </c>
      <c r="I171" s="113">
        <v>1500</v>
      </c>
      <c r="J171" s="113">
        <v>1210</v>
      </c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4"/>
      <c r="V171" s="115"/>
      <c r="W171" s="116" t="s">
        <v>217</v>
      </c>
    </row>
    <row r="172" spans="1:23" ht="20.100000000000001" customHeight="1" x14ac:dyDescent="0.25">
      <c r="A172" s="108">
        <f t="shared" si="3"/>
        <v>163</v>
      </c>
      <c r="B172" s="109">
        <v>0.47013888888888888</v>
      </c>
      <c r="C172" s="121" t="s">
        <v>218</v>
      </c>
      <c r="D172" s="125">
        <v>11</v>
      </c>
      <c r="E172" s="111">
        <v>6</v>
      </c>
      <c r="F172" s="118" t="s">
        <v>110</v>
      </c>
      <c r="G172" s="113">
        <v>2000</v>
      </c>
      <c r="H172" s="113">
        <v>2200</v>
      </c>
      <c r="I172" s="113">
        <v>2750</v>
      </c>
      <c r="J172" s="113">
        <v>2750</v>
      </c>
      <c r="K172" s="113">
        <v>2900</v>
      </c>
      <c r="L172" s="113">
        <v>1870</v>
      </c>
      <c r="M172" s="113">
        <v>4100</v>
      </c>
      <c r="N172" s="113">
        <v>3960</v>
      </c>
      <c r="O172" s="113">
        <v>3900</v>
      </c>
      <c r="P172" s="113">
        <v>3960</v>
      </c>
      <c r="Q172" s="113">
        <v>4650</v>
      </c>
      <c r="R172" s="113">
        <v>4290</v>
      </c>
      <c r="S172" s="113"/>
      <c r="T172" s="113"/>
      <c r="U172" s="114"/>
      <c r="V172" s="115"/>
      <c r="W172" s="116" t="s">
        <v>238</v>
      </c>
    </row>
    <row r="173" spans="1:23" ht="20.100000000000001" customHeight="1" x14ac:dyDescent="0.25">
      <c r="A173" s="108">
        <f t="shared" si="3"/>
        <v>164</v>
      </c>
      <c r="B173" s="109">
        <v>0.47291666666666665</v>
      </c>
      <c r="C173" s="121" t="s">
        <v>219</v>
      </c>
      <c r="D173" s="125">
        <v>12</v>
      </c>
      <c r="E173" s="111">
        <v>7</v>
      </c>
      <c r="F173" s="118" t="s">
        <v>58</v>
      </c>
      <c r="G173" s="113">
        <v>2100</v>
      </c>
      <c r="H173" s="113">
        <v>2310</v>
      </c>
      <c r="I173" s="113">
        <v>1650</v>
      </c>
      <c r="J173" s="113">
        <v>2090</v>
      </c>
      <c r="K173" s="113">
        <v>1700</v>
      </c>
      <c r="L173" s="113">
        <v>2090</v>
      </c>
      <c r="M173" s="113">
        <v>1200</v>
      </c>
      <c r="N173" s="113">
        <v>1210</v>
      </c>
      <c r="O173" s="113">
        <v>1100</v>
      </c>
      <c r="P173" s="113">
        <v>3960</v>
      </c>
      <c r="Q173" s="113">
        <v>1250</v>
      </c>
      <c r="R173" s="113">
        <v>3960</v>
      </c>
      <c r="S173" s="113">
        <v>1200</v>
      </c>
      <c r="T173" s="113">
        <v>1540</v>
      </c>
      <c r="U173" s="114"/>
      <c r="V173" s="115"/>
      <c r="W173" s="116" t="s">
        <v>72</v>
      </c>
    </row>
    <row r="174" spans="1:23" ht="20.100000000000001" customHeight="1" x14ac:dyDescent="0.25">
      <c r="A174" s="108">
        <f t="shared" si="3"/>
        <v>165</v>
      </c>
      <c r="B174" s="109">
        <v>0.47361111111111115</v>
      </c>
      <c r="C174" s="121" t="s">
        <v>220</v>
      </c>
      <c r="D174" s="125">
        <v>10</v>
      </c>
      <c r="E174" s="111">
        <v>5</v>
      </c>
      <c r="F174" s="118" t="s">
        <v>214</v>
      </c>
      <c r="G174" s="113">
        <v>2300</v>
      </c>
      <c r="H174" s="113">
        <v>2530</v>
      </c>
      <c r="I174" s="113">
        <v>1850</v>
      </c>
      <c r="J174" s="113">
        <v>1870</v>
      </c>
      <c r="K174" s="113">
        <v>1550</v>
      </c>
      <c r="L174" s="113">
        <v>1760</v>
      </c>
      <c r="M174" s="113">
        <v>850</v>
      </c>
      <c r="N174" s="113">
        <v>1320</v>
      </c>
      <c r="O174" s="113">
        <v>1200</v>
      </c>
      <c r="P174" s="113">
        <v>1100</v>
      </c>
      <c r="Q174" s="113"/>
      <c r="R174" s="113"/>
      <c r="S174" s="113"/>
      <c r="T174" s="113"/>
      <c r="U174" s="114"/>
      <c r="V174" s="115"/>
      <c r="W174" s="116" t="s">
        <v>72</v>
      </c>
    </row>
    <row r="175" spans="1:23" ht="20.100000000000001" customHeight="1" x14ac:dyDescent="0.25">
      <c r="A175" s="108">
        <f t="shared" si="3"/>
        <v>166</v>
      </c>
      <c r="B175" s="109">
        <v>0.4916666666666667</v>
      </c>
      <c r="C175" s="121" t="s">
        <v>223</v>
      </c>
      <c r="D175" s="125">
        <v>7</v>
      </c>
      <c r="E175" s="111">
        <v>2</v>
      </c>
      <c r="F175" s="118" t="s">
        <v>58</v>
      </c>
      <c r="G175" s="113">
        <v>1350</v>
      </c>
      <c r="H175" s="113">
        <v>2970</v>
      </c>
      <c r="I175" s="113">
        <v>1250</v>
      </c>
      <c r="J175" s="113">
        <v>2750</v>
      </c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4"/>
      <c r="V175" s="115"/>
      <c r="W175" s="116" t="s">
        <v>72</v>
      </c>
    </row>
    <row r="176" spans="1:23" ht="20.100000000000001" customHeight="1" x14ac:dyDescent="0.25">
      <c r="A176" s="108">
        <f t="shared" si="3"/>
        <v>167</v>
      </c>
      <c r="B176" s="109">
        <v>0.50972222222222219</v>
      </c>
      <c r="C176" s="121" t="s">
        <v>229</v>
      </c>
      <c r="D176" s="125">
        <v>11</v>
      </c>
      <c r="E176" s="111">
        <v>6</v>
      </c>
      <c r="F176" s="118" t="s">
        <v>29</v>
      </c>
      <c r="G176" s="113">
        <v>2750</v>
      </c>
      <c r="H176" s="113">
        <v>2640</v>
      </c>
      <c r="I176" s="113">
        <v>3900</v>
      </c>
      <c r="J176" s="113">
        <v>4950</v>
      </c>
      <c r="K176" s="113">
        <v>3600</v>
      </c>
      <c r="L176" s="113">
        <v>3520</v>
      </c>
      <c r="M176" s="113">
        <v>2550</v>
      </c>
      <c r="N176" s="113">
        <v>3460</v>
      </c>
      <c r="O176" s="113">
        <v>3050</v>
      </c>
      <c r="P176" s="113">
        <v>4290</v>
      </c>
      <c r="Q176" s="113">
        <v>3700</v>
      </c>
      <c r="R176" s="113">
        <v>2640</v>
      </c>
      <c r="S176" s="113"/>
      <c r="T176" s="113"/>
      <c r="U176" s="114"/>
      <c r="V176" s="115"/>
      <c r="W176" s="116" t="s">
        <v>238</v>
      </c>
    </row>
    <row r="177" spans="1:23" ht="20.100000000000001" customHeight="1" x14ac:dyDescent="0.25">
      <c r="A177" s="108">
        <f t="shared" si="3"/>
        <v>168</v>
      </c>
      <c r="B177" s="109">
        <v>0.51180555555555551</v>
      </c>
      <c r="C177" s="121" t="s">
        <v>230</v>
      </c>
      <c r="D177" s="125">
        <v>7</v>
      </c>
      <c r="E177" s="111">
        <v>2</v>
      </c>
      <c r="F177" s="118" t="s">
        <v>58</v>
      </c>
      <c r="G177" s="113">
        <v>2860</v>
      </c>
      <c r="H177" s="113">
        <v>2450</v>
      </c>
      <c r="I177" s="113">
        <v>4400</v>
      </c>
      <c r="J177" s="113">
        <v>3150</v>
      </c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4"/>
      <c r="V177" s="115"/>
      <c r="W177" s="116" t="s">
        <v>125</v>
      </c>
    </row>
    <row r="178" spans="1:23" ht="20.100000000000001" customHeight="1" x14ac:dyDescent="0.25">
      <c r="A178" s="108">
        <f t="shared" si="3"/>
        <v>169</v>
      </c>
      <c r="B178" s="109">
        <v>0.51458333333333328</v>
      </c>
      <c r="C178" s="121" t="s">
        <v>231</v>
      </c>
      <c r="D178" s="125">
        <v>7</v>
      </c>
      <c r="E178" s="111">
        <v>2</v>
      </c>
      <c r="F178" s="118" t="s">
        <v>58</v>
      </c>
      <c r="G178" s="113">
        <v>3080</v>
      </c>
      <c r="H178" s="113">
        <v>2500</v>
      </c>
      <c r="I178" s="113">
        <v>4950</v>
      </c>
      <c r="J178" s="113">
        <v>3350</v>
      </c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4"/>
      <c r="V178" s="115"/>
      <c r="W178" s="116" t="s">
        <v>125</v>
      </c>
    </row>
    <row r="179" spans="1:23" ht="20.100000000000001" customHeight="1" x14ac:dyDescent="0.25">
      <c r="A179" s="108">
        <f t="shared" si="3"/>
        <v>170</v>
      </c>
      <c r="B179" s="122">
        <v>0.52083333333333337</v>
      </c>
      <c r="C179" s="121" t="s">
        <v>233</v>
      </c>
      <c r="D179" s="125">
        <v>11</v>
      </c>
      <c r="E179" s="111">
        <v>6</v>
      </c>
      <c r="F179" s="118" t="s">
        <v>29</v>
      </c>
      <c r="G179" s="113">
        <v>2000</v>
      </c>
      <c r="H179" s="113">
        <v>2530</v>
      </c>
      <c r="I179" s="113">
        <v>1150</v>
      </c>
      <c r="J179" s="113">
        <v>1540</v>
      </c>
      <c r="K179" s="113">
        <v>1550</v>
      </c>
      <c r="L179" s="113">
        <v>1430</v>
      </c>
      <c r="M179" s="113">
        <v>850</v>
      </c>
      <c r="N179" s="113">
        <v>1100</v>
      </c>
      <c r="O179" s="113">
        <v>1050</v>
      </c>
      <c r="P179" s="113">
        <v>1100</v>
      </c>
      <c r="Q179" s="113">
        <v>1200</v>
      </c>
      <c r="R179" s="113">
        <v>1320</v>
      </c>
      <c r="S179" s="113"/>
      <c r="T179" s="113"/>
      <c r="U179" s="114"/>
      <c r="V179" s="115"/>
      <c r="W179" s="116" t="s">
        <v>72</v>
      </c>
    </row>
    <row r="180" spans="1:23" ht="20.100000000000001" customHeight="1" x14ac:dyDescent="0.25">
      <c r="A180" s="108">
        <f t="shared" si="3"/>
        <v>171</v>
      </c>
      <c r="B180" s="109">
        <v>0.56388888888888888</v>
      </c>
      <c r="C180" s="121" t="s">
        <v>234</v>
      </c>
      <c r="D180" s="125">
        <v>8</v>
      </c>
      <c r="E180" s="111">
        <v>3</v>
      </c>
      <c r="F180" s="118" t="s">
        <v>60</v>
      </c>
      <c r="G180" s="113">
        <v>1000</v>
      </c>
      <c r="H180" s="113">
        <v>1540</v>
      </c>
      <c r="I180" s="113">
        <v>1150</v>
      </c>
      <c r="J180" s="113">
        <v>1100</v>
      </c>
      <c r="K180" s="113">
        <v>800</v>
      </c>
      <c r="L180" s="113">
        <v>1320</v>
      </c>
      <c r="M180" s="113"/>
      <c r="N180" s="113"/>
      <c r="O180" s="113"/>
      <c r="P180" s="113"/>
      <c r="Q180" s="113"/>
      <c r="R180" s="113"/>
      <c r="S180" s="113"/>
      <c r="T180" s="113"/>
      <c r="U180" s="114"/>
      <c r="V180" s="115"/>
      <c r="W180" s="116" t="s">
        <v>72</v>
      </c>
    </row>
    <row r="181" spans="1:23" ht="20.100000000000001" customHeight="1" x14ac:dyDescent="0.25">
      <c r="A181" s="108">
        <f t="shared" si="3"/>
        <v>172</v>
      </c>
      <c r="B181" s="109">
        <v>0.54236111111111118</v>
      </c>
      <c r="C181" s="121" t="s">
        <v>87</v>
      </c>
      <c r="D181" s="111">
        <v>8</v>
      </c>
      <c r="E181" s="111">
        <v>3</v>
      </c>
      <c r="F181" s="118" t="s">
        <v>60</v>
      </c>
      <c r="G181" s="113">
        <v>2750</v>
      </c>
      <c r="H181" s="113">
        <v>1430</v>
      </c>
      <c r="I181" s="113">
        <v>1100</v>
      </c>
      <c r="J181" s="113">
        <v>1430</v>
      </c>
      <c r="K181" s="113">
        <v>1200</v>
      </c>
      <c r="L181" s="113">
        <v>1430</v>
      </c>
      <c r="M181" s="113"/>
      <c r="N181" s="113"/>
      <c r="O181" s="113"/>
      <c r="P181" s="113"/>
      <c r="Q181" s="113"/>
      <c r="R181" s="113"/>
      <c r="S181" s="113"/>
      <c r="T181" s="113"/>
      <c r="U181" s="114"/>
      <c r="V181" s="115"/>
      <c r="W181" s="116" t="s">
        <v>72</v>
      </c>
    </row>
    <row r="182" spans="1:23" ht="20.100000000000001" customHeight="1" x14ac:dyDescent="0.25">
      <c r="A182" s="108">
        <f t="shared" si="3"/>
        <v>173</v>
      </c>
      <c r="B182" s="109">
        <v>0.54722222222222217</v>
      </c>
      <c r="C182" s="121" t="s">
        <v>177</v>
      </c>
      <c r="D182" s="111">
        <v>11</v>
      </c>
      <c r="E182" s="111">
        <v>6</v>
      </c>
      <c r="F182" s="118" t="s">
        <v>29</v>
      </c>
      <c r="G182" s="113">
        <v>2900</v>
      </c>
      <c r="H182" s="113">
        <v>3190</v>
      </c>
      <c r="I182" s="113">
        <v>4000</v>
      </c>
      <c r="J182" s="113">
        <v>2530</v>
      </c>
      <c r="K182" s="113">
        <v>3750</v>
      </c>
      <c r="L182" s="113">
        <v>3300</v>
      </c>
      <c r="M182" s="113">
        <v>3800</v>
      </c>
      <c r="N182" s="113">
        <v>2640</v>
      </c>
      <c r="O182" s="113">
        <v>4100</v>
      </c>
      <c r="P182" s="113">
        <v>3850</v>
      </c>
      <c r="Q182" s="113">
        <v>4450</v>
      </c>
      <c r="R182" s="113">
        <v>5170</v>
      </c>
      <c r="S182" s="113"/>
      <c r="T182" s="113"/>
      <c r="U182" s="114"/>
      <c r="V182" s="115"/>
      <c r="W182" s="116" t="s">
        <v>238</v>
      </c>
    </row>
    <row r="183" spans="1:23" ht="20.100000000000001" customHeight="1" x14ac:dyDescent="0.25">
      <c r="A183" s="108">
        <f t="shared" si="3"/>
        <v>174</v>
      </c>
      <c r="B183" s="109">
        <v>0.5493055555555556</v>
      </c>
      <c r="C183" s="121" t="s">
        <v>178</v>
      </c>
      <c r="D183" s="111">
        <v>8</v>
      </c>
      <c r="E183" s="111">
        <v>3</v>
      </c>
      <c r="F183" s="118" t="s">
        <v>60</v>
      </c>
      <c r="G183" s="113">
        <v>2700</v>
      </c>
      <c r="H183" s="113">
        <v>2750</v>
      </c>
      <c r="I183" s="113">
        <v>2300</v>
      </c>
      <c r="J183" s="113">
        <v>5830</v>
      </c>
      <c r="K183" s="113">
        <v>4600</v>
      </c>
      <c r="L183" s="113">
        <v>5500</v>
      </c>
      <c r="M183" s="113"/>
      <c r="N183" s="113"/>
      <c r="O183" s="113"/>
      <c r="P183" s="113"/>
      <c r="Q183" s="113"/>
      <c r="R183" s="113"/>
      <c r="S183" s="113"/>
      <c r="T183" s="113"/>
      <c r="U183" s="114"/>
      <c r="V183" s="115"/>
      <c r="W183" s="116" t="s">
        <v>238</v>
      </c>
    </row>
    <row r="184" spans="1:23" ht="20.100000000000001" customHeight="1" x14ac:dyDescent="0.25">
      <c r="A184" s="108">
        <f t="shared" si="3"/>
        <v>175</v>
      </c>
      <c r="B184" s="109">
        <v>0.56597222222222221</v>
      </c>
      <c r="C184" s="121" t="s">
        <v>183</v>
      </c>
      <c r="D184" s="111">
        <v>8</v>
      </c>
      <c r="E184" s="117">
        <v>3</v>
      </c>
      <c r="F184" s="118" t="s">
        <v>60</v>
      </c>
      <c r="G184" s="113">
        <v>1650</v>
      </c>
      <c r="H184" s="113">
        <v>2970</v>
      </c>
      <c r="I184" s="113">
        <v>1350</v>
      </c>
      <c r="J184" s="113">
        <v>2970</v>
      </c>
      <c r="K184" s="113">
        <v>1650</v>
      </c>
      <c r="L184" s="113">
        <v>3630</v>
      </c>
      <c r="M184" s="113"/>
      <c r="N184" s="113"/>
      <c r="O184" s="113"/>
      <c r="P184" s="113"/>
      <c r="Q184" s="113"/>
      <c r="R184" s="113"/>
      <c r="S184" s="113"/>
      <c r="T184" s="113"/>
      <c r="U184" s="114"/>
      <c r="V184" s="115"/>
      <c r="W184" s="87" t="s">
        <v>72</v>
      </c>
    </row>
    <row r="185" spans="1:23" ht="20.100000000000001" customHeight="1" x14ac:dyDescent="0.25">
      <c r="A185" s="108">
        <f t="shared" si="3"/>
        <v>176</v>
      </c>
      <c r="B185" s="109">
        <v>0.57361111111111118</v>
      </c>
      <c r="C185" s="121" t="s">
        <v>184</v>
      </c>
      <c r="D185" s="111">
        <v>11</v>
      </c>
      <c r="E185" s="111">
        <v>6</v>
      </c>
      <c r="F185" s="118" t="s">
        <v>110</v>
      </c>
      <c r="G185" s="113">
        <v>2700</v>
      </c>
      <c r="H185" s="113">
        <v>2970</v>
      </c>
      <c r="I185" s="113">
        <v>500</v>
      </c>
      <c r="J185" s="113">
        <v>440</v>
      </c>
      <c r="K185" s="113">
        <v>1950</v>
      </c>
      <c r="L185" s="113">
        <v>880</v>
      </c>
      <c r="M185" s="113">
        <v>1100</v>
      </c>
      <c r="N185" s="113">
        <v>660</v>
      </c>
      <c r="O185" s="113">
        <v>1150</v>
      </c>
      <c r="P185" s="113">
        <v>1320</v>
      </c>
      <c r="Q185" s="113">
        <v>1250</v>
      </c>
      <c r="R185" s="113">
        <v>2750</v>
      </c>
      <c r="S185" s="113"/>
      <c r="T185" s="113"/>
      <c r="U185" s="114"/>
      <c r="V185" s="115"/>
      <c r="W185" s="127" t="s">
        <v>72</v>
      </c>
    </row>
    <row r="186" spans="1:23" ht="20.100000000000001" customHeight="1" x14ac:dyDescent="0.25">
      <c r="A186" s="108">
        <f t="shared" ref="A186:A216" si="4">A185+1</f>
        <v>177</v>
      </c>
      <c r="B186" s="109">
        <v>0.59305555555555556</v>
      </c>
      <c r="C186" s="121" t="s">
        <v>168</v>
      </c>
      <c r="D186" s="111">
        <v>11</v>
      </c>
      <c r="E186" s="111">
        <v>6</v>
      </c>
      <c r="F186" s="118" t="s">
        <v>29</v>
      </c>
      <c r="G186" s="113">
        <v>3850</v>
      </c>
      <c r="H186" s="113">
        <v>3350</v>
      </c>
      <c r="I186" s="113">
        <v>3740</v>
      </c>
      <c r="J186" s="113">
        <v>3000</v>
      </c>
      <c r="K186" s="113">
        <v>3740</v>
      </c>
      <c r="L186" s="113">
        <v>5000</v>
      </c>
      <c r="M186" s="113">
        <v>3520</v>
      </c>
      <c r="N186" s="113">
        <v>3700</v>
      </c>
      <c r="O186" s="113">
        <v>3740</v>
      </c>
      <c r="P186" s="113">
        <v>3850</v>
      </c>
      <c r="Q186" s="113">
        <v>7370</v>
      </c>
      <c r="R186" s="113">
        <v>4100</v>
      </c>
      <c r="S186" s="113"/>
      <c r="T186" s="113"/>
      <c r="U186" s="114"/>
      <c r="V186" s="115"/>
      <c r="W186" s="116" t="s">
        <v>238</v>
      </c>
    </row>
    <row r="187" spans="1:23" ht="20.100000000000001" customHeight="1" x14ac:dyDescent="0.25">
      <c r="A187" s="108">
        <f t="shared" si="4"/>
        <v>178</v>
      </c>
      <c r="B187" s="109">
        <v>0.60555555555555551</v>
      </c>
      <c r="C187" s="121" t="s">
        <v>90</v>
      </c>
      <c r="D187" s="111">
        <v>11</v>
      </c>
      <c r="E187" s="111">
        <v>6</v>
      </c>
      <c r="F187" s="112" t="s">
        <v>29</v>
      </c>
      <c r="G187" s="113">
        <v>1800</v>
      </c>
      <c r="H187" s="113">
        <v>2090</v>
      </c>
      <c r="I187" s="113">
        <v>6600</v>
      </c>
      <c r="J187" s="113">
        <v>4730</v>
      </c>
      <c r="K187" s="113">
        <v>2350</v>
      </c>
      <c r="L187" s="113">
        <v>2860</v>
      </c>
      <c r="M187" s="113">
        <v>4550</v>
      </c>
      <c r="N187" s="113">
        <v>2860</v>
      </c>
      <c r="O187" s="113">
        <v>4000</v>
      </c>
      <c r="P187" s="113">
        <v>3080</v>
      </c>
      <c r="Q187" s="113">
        <v>3350</v>
      </c>
      <c r="R187" s="113">
        <v>3740</v>
      </c>
      <c r="S187" s="113"/>
      <c r="T187" s="113"/>
      <c r="U187" s="114"/>
      <c r="V187" s="115"/>
      <c r="W187" s="116" t="s">
        <v>238</v>
      </c>
    </row>
    <row r="188" spans="1:23" ht="20.100000000000001" customHeight="1" x14ac:dyDescent="0.25">
      <c r="A188" s="108">
        <f t="shared" si="4"/>
        <v>179</v>
      </c>
      <c r="B188" s="109">
        <v>0.61597222222222225</v>
      </c>
      <c r="C188" s="121" t="s">
        <v>242</v>
      </c>
      <c r="D188" s="111">
        <v>11</v>
      </c>
      <c r="E188" s="111">
        <v>6</v>
      </c>
      <c r="F188" s="112" t="s">
        <v>108</v>
      </c>
      <c r="G188" s="113">
        <v>1980</v>
      </c>
      <c r="H188" s="113">
        <v>2300</v>
      </c>
      <c r="I188" s="113">
        <v>1100</v>
      </c>
      <c r="J188" s="113">
        <v>1650</v>
      </c>
      <c r="K188" s="113">
        <v>1320</v>
      </c>
      <c r="L188" s="113">
        <v>1250</v>
      </c>
      <c r="M188" s="113">
        <v>2310</v>
      </c>
      <c r="N188" s="113">
        <v>2200</v>
      </c>
      <c r="O188" s="113">
        <v>2200</v>
      </c>
      <c r="P188" s="113">
        <v>1250</v>
      </c>
      <c r="Q188" s="113">
        <v>440</v>
      </c>
      <c r="R188" s="113">
        <v>800</v>
      </c>
      <c r="S188" s="113"/>
      <c r="T188" s="113"/>
      <c r="U188" s="114"/>
      <c r="V188" s="115"/>
      <c r="W188" s="116" t="s">
        <v>72</v>
      </c>
    </row>
    <row r="189" spans="1:23" ht="20.100000000000001" customHeight="1" x14ac:dyDescent="0.25">
      <c r="A189" s="108">
        <f t="shared" si="4"/>
        <v>180</v>
      </c>
      <c r="B189" s="109">
        <v>0.62569444444444444</v>
      </c>
      <c r="C189" s="121" t="s">
        <v>245</v>
      </c>
      <c r="D189" s="111">
        <v>8</v>
      </c>
      <c r="E189" s="111">
        <v>3</v>
      </c>
      <c r="F189" s="112" t="s">
        <v>257</v>
      </c>
      <c r="G189" s="113">
        <v>3400</v>
      </c>
      <c r="H189" s="113">
        <v>2530</v>
      </c>
      <c r="I189" s="113">
        <v>4800</v>
      </c>
      <c r="J189" s="113">
        <v>3300</v>
      </c>
      <c r="K189" s="113">
        <v>2700</v>
      </c>
      <c r="L189" s="113">
        <v>1430</v>
      </c>
      <c r="M189" s="113"/>
      <c r="N189" s="113"/>
      <c r="O189" s="113"/>
      <c r="P189" s="113"/>
      <c r="Q189" s="113"/>
      <c r="R189" s="113"/>
      <c r="S189" s="113"/>
      <c r="T189" s="113"/>
      <c r="U189" s="114"/>
      <c r="V189" s="115"/>
      <c r="W189" s="116" t="s">
        <v>68</v>
      </c>
    </row>
    <row r="190" spans="1:23" ht="20.100000000000001" customHeight="1" x14ac:dyDescent="0.25">
      <c r="A190" s="108">
        <f t="shared" si="4"/>
        <v>181</v>
      </c>
      <c r="B190" s="109">
        <v>0.64930555555555558</v>
      </c>
      <c r="C190" s="121" t="s">
        <v>42</v>
      </c>
      <c r="D190" s="111">
        <v>11</v>
      </c>
      <c r="E190" s="111">
        <v>6</v>
      </c>
      <c r="F190" s="118" t="s">
        <v>29</v>
      </c>
      <c r="G190" s="113">
        <v>2500</v>
      </c>
      <c r="H190" s="113">
        <v>2860</v>
      </c>
      <c r="I190" s="113">
        <v>3400</v>
      </c>
      <c r="J190" s="113">
        <v>5390</v>
      </c>
      <c r="K190" s="113">
        <v>3650</v>
      </c>
      <c r="L190" s="113">
        <v>4950</v>
      </c>
      <c r="M190" s="113">
        <v>2300</v>
      </c>
      <c r="N190" s="113">
        <v>4950</v>
      </c>
      <c r="O190" s="113">
        <v>2400</v>
      </c>
      <c r="P190" s="113">
        <v>5390</v>
      </c>
      <c r="Q190" s="113">
        <v>2250</v>
      </c>
      <c r="R190" s="113">
        <v>4510</v>
      </c>
      <c r="S190" s="113"/>
      <c r="T190" s="113"/>
      <c r="U190" s="114"/>
      <c r="V190" s="115"/>
      <c r="W190" s="116" t="s">
        <v>68</v>
      </c>
    </row>
    <row r="191" spans="1:23" ht="20.100000000000001" customHeight="1" x14ac:dyDescent="0.25">
      <c r="A191" s="108">
        <f t="shared" si="4"/>
        <v>182</v>
      </c>
      <c r="B191" s="109">
        <v>0.69374999999999998</v>
      </c>
      <c r="C191" s="121" t="s">
        <v>256</v>
      </c>
      <c r="D191" s="111">
        <v>7</v>
      </c>
      <c r="E191" s="111">
        <v>2</v>
      </c>
      <c r="F191" s="112" t="s">
        <v>58</v>
      </c>
      <c r="G191" s="113">
        <v>1540</v>
      </c>
      <c r="H191" s="113">
        <v>2500</v>
      </c>
      <c r="I191" s="113">
        <v>2860</v>
      </c>
      <c r="J191" s="113">
        <v>4250</v>
      </c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4"/>
      <c r="V191" s="115"/>
      <c r="W191" s="116" t="s">
        <v>77</v>
      </c>
    </row>
    <row r="192" spans="1:23" ht="20.100000000000001" customHeight="1" x14ac:dyDescent="0.25">
      <c r="A192" s="108">
        <f t="shared" si="4"/>
        <v>183</v>
      </c>
      <c r="B192" s="109">
        <v>0.71180555555555547</v>
      </c>
      <c r="C192" s="121" t="s">
        <v>262</v>
      </c>
      <c r="D192" s="111">
        <v>7</v>
      </c>
      <c r="E192" s="111">
        <v>2</v>
      </c>
      <c r="F192" s="112" t="s">
        <v>58</v>
      </c>
      <c r="G192" s="113">
        <v>3410</v>
      </c>
      <c r="H192" s="113">
        <v>2900</v>
      </c>
      <c r="I192" s="113">
        <v>5060</v>
      </c>
      <c r="J192" s="113">
        <v>3850</v>
      </c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4"/>
      <c r="V192" s="115"/>
      <c r="W192" s="116" t="s">
        <v>276</v>
      </c>
    </row>
    <row r="193" spans="1:23" ht="20.100000000000001" customHeight="1" x14ac:dyDescent="0.25">
      <c r="A193" s="108">
        <f t="shared" si="4"/>
        <v>184</v>
      </c>
      <c r="B193" s="109">
        <v>0.72222222222222221</v>
      </c>
      <c r="C193" s="121" t="s">
        <v>265</v>
      </c>
      <c r="D193" s="111">
        <v>7</v>
      </c>
      <c r="E193" s="111">
        <v>2</v>
      </c>
      <c r="F193" s="112" t="s">
        <v>58</v>
      </c>
      <c r="G193" s="113">
        <v>2750</v>
      </c>
      <c r="H193" s="113">
        <v>3190</v>
      </c>
      <c r="I193" s="113">
        <v>4150</v>
      </c>
      <c r="J193" s="113">
        <v>5170</v>
      </c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4"/>
      <c r="V193" s="115"/>
      <c r="W193" s="116" t="s">
        <v>70</v>
      </c>
    </row>
    <row r="194" spans="1:23" ht="20.100000000000001" customHeight="1" x14ac:dyDescent="0.25">
      <c r="A194" s="108">
        <f t="shared" si="4"/>
        <v>185</v>
      </c>
      <c r="B194" s="109">
        <v>0.74652777777777779</v>
      </c>
      <c r="C194" s="121" t="s">
        <v>269</v>
      </c>
      <c r="D194" s="111">
        <v>11</v>
      </c>
      <c r="E194" s="111">
        <v>6</v>
      </c>
      <c r="F194" s="112" t="s">
        <v>29</v>
      </c>
      <c r="G194" s="113">
        <v>2900</v>
      </c>
      <c r="H194" s="113">
        <v>2860</v>
      </c>
      <c r="I194" s="113">
        <v>2600</v>
      </c>
      <c r="J194" s="113">
        <v>3300</v>
      </c>
      <c r="K194" s="113">
        <v>3500</v>
      </c>
      <c r="L194" s="113">
        <v>2420</v>
      </c>
      <c r="M194" s="113">
        <v>2700</v>
      </c>
      <c r="N194" s="113">
        <v>2530</v>
      </c>
      <c r="O194" s="113">
        <v>2400</v>
      </c>
      <c r="P194" s="113">
        <v>2310</v>
      </c>
      <c r="Q194" s="113">
        <v>3200</v>
      </c>
      <c r="R194" s="113">
        <v>2500</v>
      </c>
      <c r="S194" s="113"/>
      <c r="T194" s="113"/>
      <c r="U194" s="114"/>
      <c r="V194" s="115"/>
      <c r="W194" s="116" t="s">
        <v>70</v>
      </c>
    </row>
    <row r="195" spans="1:23" ht="20.100000000000001" customHeight="1" x14ac:dyDescent="0.25">
      <c r="A195" s="108">
        <f t="shared" si="4"/>
        <v>186</v>
      </c>
      <c r="B195" s="109">
        <v>0.75</v>
      </c>
      <c r="C195" s="121" t="s">
        <v>192</v>
      </c>
      <c r="D195" s="111">
        <v>8</v>
      </c>
      <c r="E195" s="111">
        <v>3</v>
      </c>
      <c r="F195" s="112" t="s">
        <v>60</v>
      </c>
      <c r="G195" s="113">
        <v>2650</v>
      </c>
      <c r="H195" s="113">
        <v>3080</v>
      </c>
      <c r="I195" s="113">
        <v>2600</v>
      </c>
      <c r="J195" s="113">
        <v>5830</v>
      </c>
      <c r="K195" s="113">
        <v>4300</v>
      </c>
      <c r="L195" s="113">
        <v>4200</v>
      </c>
      <c r="M195" s="113"/>
      <c r="N195" s="113"/>
      <c r="O195" s="113"/>
      <c r="P195" s="113"/>
      <c r="Q195" s="113"/>
      <c r="R195" s="113"/>
      <c r="S195" s="113"/>
      <c r="T195" s="113"/>
      <c r="U195" s="114"/>
      <c r="V195" s="115"/>
      <c r="W195" s="116" t="s">
        <v>277</v>
      </c>
    </row>
    <row r="196" spans="1:23" ht="20.100000000000001" customHeight="1" x14ac:dyDescent="0.25">
      <c r="A196" s="108">
        <f t="shared" si="4"/>
        <v>187</v>
      </c>
      <c r="B196" s="109">
        <v>0.80555555555555547</v>
      </c>
      <c r="C196" s="121" t="s">
        <v>274</v>
      </c>
      <c r="D196" s="111">
        <v>11</v>
      </c>
      <c r="E196" s="111">
        <v>6</v>
      </c>
      <c r="F196" s="112" t="s">
        <v>29</v>
      </c>
      <c r="G196" s="113">
        <v>1200</v>
      </c>
      <c r="H196" s="113">
        <v>2970</v>
      </c>
      <c r="I196" s="113">
        <v>1250</v>
      </c>
      <c r="J196" s="113">
        <v>1980</v>
      </c>
      <c r="K196" s="113">
        <v>1400</v>
      </c>
      <c r="L196" s="113">
        <v>1760</v>
      </c>
      <c r="M196" s="113">
        <v>4000</v>
      </c>
      <c r="N196" s="113">
        <v>4510</v>
      </c>
      <c r="O196" s="113">
        <v>1150</v>
      </c>
      <c r="P196" s="113">
        <v>990</v>
      </c>
      <c r="Q196" s="113">
        <v>1200</v>
      </c>
      <c r="R196" s="113">
        <v>1320</v>
      </c>
      <c r="S196" s="113"/>
      <c r="T196" s="113"/>
      <c r="U196" s="114"/>
      <c r="V196" s="115"/>
      <c r="W196" s="116" t="s">
        <v>69</v>
      </c>
    </row>
    <row r="197" spans="1:23" ht="20.100000000000001" customHeight="1" x14ac:dyDescent="0.25">
      <c r="A197" s="108">
        <f t="shared" si="4"/>
        <v>188</v>
      </c>
      <c r="B197" s="109">
        <v>0.80902777777777779</v>
      </c>
      <c r="C197" s="121" t="s">
        <v>275</v>
      </c>
      <c r="D197" s="111">
        <v>7</v>
      </c>
      <c r="E197" s="111">
        <v>2</v>
      </c>
      <c r="F197" s="112" t="s">
        <v>58</v>
      </c>
      <c r="G197" s="113">
        <v>1250</v>
      </c>
      <c r="H197" s="113">
        <v>1540</v>
      </c>
      <c r="I197" s="113">
        <v>1400</v>
      </c>
      <c r="J197" s="113">
        <v>1430</v>
      </c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4"/>
      <c r="V197" s="115"/>
      <c r="W197" s="116" t="s">
        <v>70</v>
      </c>
    </row>
    <row r="198" spans="1:23" ht="20.100000000000001" customHeight="1" x14ac:dyDescent="0.25">
      <c r="A198" s="108">
        <f t="shared" si="4"/>
        <v>189</v>
      </c>
      <c r="B198" s="109">
        <v>0.8125</v>
      </c>
      <c r="C198" s="121" t="s">
        <v>278</v>
      </c>
      <c r="D198" s="111">
        <v>11</v>
      </c>
      <c r="E198" s="111">
        <v>6</v>
      </c>
      <c r="F198" s="112" t="s">
        <v>29</v>
      </c>
      <c r="G198" s="113">
        <v>2450</v>
      </c>
      <c r="H198" s="113">
        <v>2530</v>
      </c>
      <c r="I198" s="113">
        <v>1900</v>
      </c>
      <c r="J198" s="113">
        <v>3190</v>
      </c>
      <c r="K198" s="113">
        <v>2600</v>
      </c>
      <c r="L198" s="113">
        <v>3080</v>
      </c>
      <c r="M198" s="113">
        <v>3100</v>
      </c>
      <c r="N198" s="113">
        <v>4290</v>
      </c>
      <c r="O198" s="113">
        <v>2100</v>
      </c>
      <c r="P198" s="113">
        <v>4510</v>
      </c>
      <c r="Q198" s="113">
        <v>3000</v>
      </c>
      <c r="R198" s="113">
        <v>3960</v>
      </c>
      <c r="S198" s="113"/>
      <c r="T198" s="113"/>
      <c r="U198" s="114"/>
      <c r="V198" s="115"/>
      <c r="W198" s="116" t="s">
        <v>68</v>
      </c>
    </row>
    <row r="199" spans="1:23" ht="20.100000000000001" customHeight="1" x14ac:dyDescent="0.25">
      <c r="A199" s="108">
        <f t="shared" si="4"/>
        <v>190</v>
      </c>
      <c r="B199" s="109">
        <v>0.83611111111111114</v>
      </c>
      <c r="C199" s="121" t="s">
        <v>281</v>
      </c>
      <c r="D199" s="111">
        <v>11</v>
      </c>
      <c r="E199" s="111">
        <v>6</v>
      </c>
      <c r="F199" s="112" t="s">
        <v>29</v>
      </c>
      <c r="G199" s="113">
        <v>2400</v>
      </c>
      <c r="H199" s="113">
        <v>2750</v>
      </c>
      <c r="I199" s="113">
        <v>4350</v>
      </c>
      <c r="J199" s="113">
        <v>5060</v>
      </c>
      <c r="K199" s="113">
        <v>2600</v>
      </c>
      <c r="L199" s="113">
        <v>3410</v>
      </c>
      <c r="M199" s="113">
        <v>3250</v>
      </c>
      <c r="N199" s="113">
        <v>3630</v>
      </c>
      <c r="O199" s="113">
        <v>3150</v>
      </c>
      <c r="P199" s="113">
        <v>4070</v>
      </c>
      <c r="Q199" s="113">
        <v>3100</v>
      </c>
      <c r="R199" s="113">
        <v>4290</v>
      </c>
      <c r="S199" s="113"/>
      <c r="T199" s="113"/>
      <c r="U199" s="114"/>
      <c r="V199" s="115"/>
      <c r="W199" s="116" t="s">
        <v>297</v>
      </c>
    </row>
    <row r="200" spans="1:23" ht="20.100000000000001" customHeight="1" x14ac:dyDescent="0.25">
      <c r="A200" s="108">
        <f t="shared" si="4"/>
        <v>191</v>
      </c>
      <c r="B200" s="109">
        <v>0.84444444444444444</v>
      </c>
      <c r="C200" s="121" t="s">
        <v>282</v>
      </c>
      <c r="D200" s="111">
        <v>7</v>
      </c>
      <c r="E200" s="111">
        <v>2</v>
      </c>
      <c r="F200" s="112" t="s">
        <v>58</v>
      </c>
      <c r="G200" s="113">
        <v>1750</v>
      </c>
      <c r="H200" s="113">
        <v>1760</v>
      </c>
      <c r="I200" s="113">
        <v>2000</v>
      </c>
      <c r="J200" s="113">
        <v>2530</v>
      </c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4"/>
      <c r="V200" s="115"/>
      <c r="W200" s="116" t="s">
        <v>70</v>
      </c>
    </row>
    <row r="201" spans="1:23" ht="20.100000000000001" customHeight="1" x14ac:dyDescent="0.25">
      <c r="A201" s="108">
        <f t="shared" si="4"/>
        <v>192</v>
      </c>
      <c r="B201" s="109">
        <v>0.875</v>
      </c>
      <c r="C201" s="121" t="s">
        <v>287</v>
      </c>
      <c r="D201" s="111">
        <v>7</v>
      </c>
      <c r="E201" s="111">
        <v>2</v>
      </c>
      <c r="F201" s="112" t="s">
        <v>58</v>
      </c>
      <c r="G201" s="113">
        <v>2150</v>
      </c>
      <c r="H201" s="113">
        <v>2640</v>
      </c>
      <c r="I201" s="113">
        <v>5050</v>
      </c>
      <c r="J201" s="113">
        <v>7040</v>
      </c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4"/>
      <c r="V201" s="115"/>
      <c r="W201" s="116" t="s">
        <v>238</v>
      </c>
    </row>
    <row r="202" spans="1:23" ht="20.100000000000001" customHeight="1" x14ac:dyDescent="0.25">
      <c r="A202" s="108">
        <f t="shared" si="4"/>
        <v>193</v>
      </c>
      <c r="B202" s="109">
        <v>0.92638888888888893</v>
      </c>
      <c r="C202" s="121" t="s">
        <v>291</v>
      </c>
      <c r="D202" s="111">
        <v>7</v>
      </c>
      <c r="E202" s="111">
        <v>2</v>
      </c>
      <c r="F202" s="112" t="s">
        <v>58</v>
      </c>
      <c r="G202" s="113">
        <v>1550</v>
      </c>
      <c r="H202" s="113">
        <v>1540</v>
      </c>
      <c r="I202" s="113">
        <v>3900</v>
      </c>
      <c r="J202" s="113">
        <v>3520</v>
      </c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4"/>
      <c r="V202" s="115"/>
      <c r="W202" s="116" t="s">
        <v>164</v>
      </c>
    </row>
    <row r="203" spans="1:23" ht="20.100000000000001" customHeight="1" x14ac:dyDescent="0.25">
      <c r="A203" s="108">
        <f t="shared" si="4"/>
        <v>194</v>
      </c>
      <c r="B203" s="109">
        <v>0.95486111111111116</v>
      </c>
      <c r="C203" s="121" t="s">
        <v>295</v>
      </c>
      <c r="D203" s="111">
        <v>7</v>
      </c>
      <c r="E203" s="111">
        <v>2</v>
      </c>
      <c r="F203" s="112" t="s">
        <v>58</v>
      </c>
      <c r="G203" s="113">
        <v>2350</v>
      </c>
      <c r="H203" s="113">
        <v>2970</v>
      </c>
      <c r="I203" s="113">
        <v>5350</v>
      </c>
      <c r="J203" s="113">
        <v>4950</v>
      </c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4"/>
      <c r="V203" s="115"/>
      <c r="W203" s="116" t="s">
        <v>299</v>
      </c>
    </row>
    <row r="204" spans="1:23" ht="20.100000000000001" customHeight="1" x14ac:dyDescent="0.25">
      <c r="A204" s="108">
        <f t="shared" si="4"/>
        <v>195</v>
      </c>
      <c r="B204" s="109">
        <v>0.97222222222222221</v>
      </c>
      <c r="C204" s="121" t="s">
        <v>302</v>
      </c>
      <c r="D204" s="111">
        <v>7</v>
      </c>
      <c r="E204" s="111">
        <v>2</v>
      </c>
      <c r="F204" s="112" t="s">
        <v>58</v>
      </c>
      <c r="G204" s="113">
        <v>2050</v>
      </c>
      <c r="H204" s="113">
        <v>2530</v>
      </c>
      <c r="I204" s="113">
        <v>3950</v>
      </c>
      <c r="J204" s="113">
        <v>4510</v>
      </c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4"/>
      <c r="V204" s="115"/>
      <c r="W204" s="116" t="s">
        <v>68</v>
      </c>
    </row>
    <row r="205" spans="1:23" ht="20.100000000000001" customHeight="1" x14ac:dyDescent="0.25">
      <c r="A205" s="108">
        <f t="shared" si="4"/>
        <v>196</v>
      </c>
      <c r="B205" s="120">
        <v>0.97569444444444453</v>
      </c>
      <c r="C205" s="110" t="s">
        <v>303</v>
      </c>
      <c r="D205" s="111">
        <v>11</v>
      </c>
      <c r="E205" s="111">
        <v>6</v>
      </c>
      <c r="F205" s="112" t="s">
        <v>29</v>
      </c>
      <c r="G205" s="113">
        <v>1850</v>
      </c>
      <c r="H205" s="113">
        <v>3300</v>
      </c>
      <c r="I205" s="113">
        <v>2350</v>
      </c>
      <c r="J205" s="113">
        <v>3630</v>
      </c>
      <c r="K205" s="113">
        <v>4450</v>
      </c>
      <c r="L205" s="113">
        <v>5280</v>
      </c>
      <c r="M205" s="113">
        <v>2800</v>
      </c>
      <c r="N205" s="113">
        <v>3630</v>
      </c>
      <c r="O205" s="113">
        <v>2950</v>
      </c>
      <c r="P205" s="113">
        <v>3850</v>
      </c>
      <c r="Q205" s="113">
        <v>3750</v>
      </c>
      <c r="R205" s="113">
        <v>4180</v>
      </c>
      <c r="S205" s="113"/>
      <c r="T205" s="113"/>
      <c r="U205" s="114"/>
      <c r="V205" s="115"/>
      <c r="W205" s="116" t="s">
        <v>68</v>
      </c>
    </row>
    <row r="206" spans="1:23" ht="20.100000000000001" customHeight="1" x14ac:dyDescent="0.25">
      <c r="A206" s="108">
        <f t="shared" si="4"/>
        <v>197</v>
      </c>
      <c r="B206" s="120">
        <v>0.99375000000000002</v>
      </c>
      <c r="C206" s="110" t="s">
        <v>304</v>
      </c>
      <c r="D206" s="111">
        <v>7</v>
      </c>
      <c r="E206" s="111">
        <v>2</v>
      </c>
      <c r="F206" s="112" t="s">
        <v>58</v>
      </c>
      <c r="G206" s="119">
        <v>1400</v>
      </c>
      <c r="H206" s="119">
        <v>1650</v>
      </c>
      <c r="I206" s="119">
        <v>2000</v>
      </c>
      <c r="J206" s="119">
        <v>2640</v>
      </c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14"/>
      <c r="V206" s="115"/>
      <c r="W206" s="116" t="s">
        <v>212</v>
      </c>
    </row>
    <row r="207" spans="1:23" ht="20.100000000000001" customHeight="1" x14ac:dyDescent="0.25">
      <c r="A207" s="108">
        <f t="shared" si="4"/>
        <v>198</v>
      </c>
      <c r="B207" s="120">
        <v>0.1277777777777778</v>
      </c>
      <c r="C207" s="121" t="s">
        <v>312</v>
      </c>
      <c r="D207" s="111">
        <v>7</v>
      </c>
      <c r="E207" s="111">
        <v>2</v>
      </c>
      <c r="F207" s="112" t="s">
        <v>58</v>
      </c>
      <c r="G207" s="121">
        <v>850</v>
      </c>
      <c r="H207" s="121">
        <v>660</v>
      </c>
      <c r="I207" s="121">
        <v>1650</v>
      </c>
      <c r="J207" s="121">
        <v>2200</v>
      </c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14"/>
      <c r="V207" s="115"/>
      <c r="W207" s="116" t="s">
        <v>327</v>
      </c>
    </row>
    <row r="208" spans="1:23" ht="20.100000000000001" customHeight="1" x14ac:dyDescent="0.25">
      <c r="A208" s="108">
        <f t="shared" si="4"/>
        <v>199</v>
      </c>
      <c r="B208" s="120">
        <v>0.13194444444444445</v>
      </c>
      <c r="C208" s="121" t="s">
        <v>313</v>
      </c>
      <c r="D208" s="111">
        <v>7</v>
      </c>
      <c r="E208" s="111">
        <v>2</v>
      </c>
      <c r="F208" s="112" t="s">
        <v>58</v>
      </c>
      <c r="G208" s="121">
        <v>1000</v>
      </c>
      <c r="H208" s="121">
        <v>1100</v>
      </c>
      <c r="I208" s="121">
        <v>2200</v>
      </c>
      <c r="J208" s="121">
        <v>2750</v>
      </c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14"/>
      <c r="V208" s="115"/>
      <c r="W208" s="116" t="s">
        <v>328</v>
      </c>
    </row>
    <row r="209" spans="1:23" ht="20.100000000000001" customHeight="1" x14ac:dyDescent="0.25">
      <c r="A209" s="108">
        <f t="shared" si="4"/>
        <v>200</v>
      </c>
      <c r="B209" s="120">
        <v>0.14027777777777778</v>
      </c>
      <c r="C209" s="121" t="s">
        <v>314</v>
      </c>
      <c r="D209" s="111">
        <v>7</v>
      </c>
      <c r="E209" s="111">
        <v>2</v>
      </c>
      <c r="F209" s="112" t="s">
        <v>58</v>
      </c>
      <c r="G209" s="121">
        <v>1250</v>
      </c>
      <c r="H209" s="121">
        <v>1980</v>
      </c>
      <c r="I209" s="121">
        <v>5450</v>
      </c>
      <c r="J209" s="121">
        <v>5830</v>
      </c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14"/>
      <c r="V209" s="115"/>
      <c r="W209" s="116" t="s">
        <v>68</v>
      </c>
    </row>
    <row r="210" spans="1:23" ht="20.100000000000001" customHeight="1" x14ac:dyDescent="0.25">
      <c r="A210" s="108">
        <f t="shared" si="4"/>
        <v>201</v>
      </c>
      <c r="B210" s="120">
        <v>0.1451388888888889</v>
      </c>
      <c r="C210" s="121" t="s">
        <v>315</v>
      </c>
      <c r="D210" s="111">
        <v>7</v>
      </c>
      <c r="E210" s="111">
        <v>2</v>
      </c>
      <c r="F210" s="112" t="s">
        <v>58</v>
      </c>
      <c r="G210" s="121">
        <v>2450</v>
      </c>
      <c r="H210" s="121">
        <v>2640</v>
      </c>
      <c r="I210" s="121">
        <v>4300</v>
      </c>
      <c r="J210" s="121">
        <v>4510</v>
      </c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14"/>
      <c r="V210" s="115"/>
      <c r="W210" s="116" t="s">
        <v>68</v>
      </c>
    </row>
    <row r="211" spans="1:23" ht="20.100000000000001" customHeight="1" x14ac:dyDescent="0.25">
      <c r="A211" s="108">
        <f t="shared" si="4"/>
        <v>202</v>
      </c>
      <c r="B211" s="120">
        <v>0.16041666666666668</v>
      </c>
      <c r="C211" s="121" t="s">
        <v>316</v>
      </c>
      <c r="D211" s="111">
        <v>8</v>
      </c>
      <c r="E211" s="111">
        <v>3</v>
      </c>
      <c r="F211" s="112" t="s">
        <v>60</v>
      </c>
      <c r="G211" s="121">
        <v>2050</v>
      </c>
      <c r="H211" s="121">
        <v>2530</v>
      </c>
      <c r="I211" s="121">
        <v>4800</v>
      </c>
      <c r="J211" s="121">
        <v>6050</v>
      </c>
      <c r="K211" s="121">
        <v>4800</v>
      </c>
      <c r="L211" s="121">
        <v>5500</v>
      </c>
      <c r="M211" s="121"/>
      <c r="N211" s="121"/>
      <c r="O211" s="121"/>
      <c r="P211" s="121"/>
      <c r="Q211" s="121"/>
      <c r="R211" s="121"/>
      <c r="S211" s="121"/>
      <c r="T211" s="121"/>
      <c r="U211" s="114"/>
      <c r="V211" s="115"/>
      <c r="W211" s="116" t="s">
        <v>330</v>
      </c>
    </row>
    <row r="212" spans="1:23" ht="20.100000000000001" customHeight="1" x14ac:dyDescent="0.25">
      <c r="A212" s="108">
        <f t="shared" si="4"/>
        <v>203</v>
      </c>
      <c r="B212" s="120">
        <v>0.24236111111111111</v>
      </c>
      <c r="C212" s="121" t="s">
        <v>317</v>
      </c>
      <c r="D212" s="111">
        <v>7</v>
      </c>
      <c r="E212" s="111">
        <v>2</v>
      </c>
      <c r="F212" s="112" t="s">
        <v>58</v>
      </c>
      <c r="G212" s="121">
        <v>900</v>
      </c>
      <c r="H212" s="121">
        <v>880</v>
      </c>
      <c r="I212" s="121">
        <v>2200</v>
      </c>
      <c r="J212" s="121">
        <v>1600</v>
      </c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14"/>
      <c r="V212" s="115"/>
      <c r="W212" s="116" t="s">
        <v>327</v>
      </c>
    </row>
    <row r="213" spans="1:23" ht="20.100000000000001" customHeight="1" x14ac:dyDescent="0.25">
      <c r="A213" s="108">
        <f t="shared" si="4"/>
        <v>204</v>
      </c>
      <c r="B213" s="120">
        <v>0.24374999999999999</v>
      </c>
      <c r="C213" s="121" t="s">
        <v>318</v>
      </c>
      <c r="D213" s="111">
        <v>7</v>
      </c>
      <c r="E213" s="111">
        <v>2</v>
      </c>
      <c r="F213" s="112" t="s">
        <v>58</v>
      </c>
      <c r="G213" s="121">
        <v>2000</v>
      </c>
      <c r="H213" s="121">
        <v>1870</v>
      </c>
      <c r="I213" s="121">
        <v>4700</v>
      </c>
      <c r="J213" s="121">
        <v>6050</v>
      </c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14"/>
      <c r="V213" s="115"/>
      <c r="W213" s="116" t="s">
        <v>69</v>
      </c>
    </row>
    <row r="214" spans="1:23" ht="20.100000000000001" customHeight="1" x14ac:dyDescent="0.25">
      <c r="A214" s="108">
        <f t="shared" si="4"/>
        <v>205</v>
      </c>
      <c r="B214" s="120">
        <v>0.25694444444444448</v>
      </c>
      <c r="C214" s="121" t="s">
        <v>319</v>
      </c>
      <c r="D214" s="111">
        <v>11</v>
      </c>
      <c r="E214" s="111">
        <v>6</v>
      </c>
      <c r="F214" s="112" t="s">
        <v>110</v>
      </c>
      <c r="G214" s="121">
        <v>2600</v>
      </c>
      <c r="H214" s="121">
        <v>3190</v>
      </c>
      <c r="I214" s="121">
        <v>3600</v>
      </c>
      <c r="J214" s="121">
        <v>4422</v>
      </c>
      <c r="K214" s="121">
        <v>4000</v>
      </c>
      <c r="L214" s="121">
        <v>5720</v>
      </c>
      <c r="M214" s="121">
        <v>4050</v>
      </c>
      <c r="N214" s="121">
        <v>2970</v>
      </c>
      <c r="O214" s="121">
        <v>3450</v>
      </c>
      <c r="P214" s="121">
        <v>3740</v>
      </c>
      <c r="Q214" s="121">
        <v>1850</v>
      </c>
      <c r="R214" s="121">
        <v>4070</v>
      </c>
      <c r="S214" s="121"/>
      <c r="T214" s="121"/>
      <c r="U214" s="114"/>
      <c r="V214" s="115"/>
      <c r="W214" s="116" t="s">
        <v>326</v>
      </c>
    </row>
    <row r="215" spans="1:23" ht="20.100000000000001" customHeight="1" x14ac:dyDescent="0.25">
      <c r="A215" s="108">
        <f t="shared" si="4"/>
        <v>206</v>
      </c>
      <c r="B215" s="120">
        <v>0.26597222222222222</v>
      </c>
      <c r="C215" s="121" t="s">
        <v>321</v>
      </c>
      <c r="D215" s="111">
        <v>11</v>
      </c>
      <c r="E215" s="111">
        <v>6</v>
      </c>
      <c r="F215" s="112" t="s">
        <v>29</v>
      </c>
      <c r="G215" s="121">
        <v>2750</v>
      </c>
      <c r="H215" s="121">
        <v>2700</v>
      </c>
      <c r="I215" s="121">
        <v>2750</v>
      </c>
      <c r="J215" s="121">
        <v>4700</v>
      </c>
      <c r="K215" s="121">
        <v>2640</v>
      </c>
      <c r="L215" s="121">
        <v>4350</v>
      </c>
      <c r="M215" s="121">
        <v>4400</v>
      </c>
      <c r="N215" s="121">
        <v>3100</v>
      </c>
      <c r="O215" s="121">
        <v>4510</v>
      </c>
      <c r="P215" s="121">
        <v>3350</v>
      </c>
      <c r="Q215" s="121">
        <v>4070</v>
      </c>
      <c r="R215" s="121">
        <v>3950</v>
      </c>
      <c r="S215" s="121"/>
      <c r="T215" s="121"/>
      <c r="U215" s="114"/>
      <c r="V215" s="115"/>
      <c r="W215" s="116" t="s">
        <v>326</v>
      </c>
    </row>
    <row r="216" spans="1:23" ht="20.100000000000001" customHeight="1" x14ac:dyDescent="0.25">
      <c r="A216" s="108">
        <f t="shared" si="4"/>
        <v>207</v>
      </c>
      <c r="B216" s="120">
        <v>0.28611111111111115</v>
      </c>
      <c r="C216" s="121" t="s">
        <v>32</v>
      </c>
      <c r="D216" s="111">
        <v>8</v>
      </c>
      <c r="E216" s="111">
        <v>3</v>
      </c>
      <c r="F216" s="112" t="s">
        <v>60</v>
      </c>
      <c r="G216" s="121">
        <v>2750</v>
      </c>
      <c r="H216" s="121">
        <v>2800</v>
      </c>
      <c r="I216" s="121">
        <v>5060</v>
      </c>
      <c r="J216" s="121">
        <v>3850</v>
      </c>
      <c r="K216" s="121">
        <v>5060</v>
      </c>
      <c r="L216" s="121">
        <v>3800</v>
      </c>
      <c r="M216" s="121"/>
      <c r="N216" s="121"/>
      <c r="O216" s="121"/>
      <c r="P216" s="121"/>
      <c r="Q216" s="121"/>
      <c r="R216" s="121"/>
      <c r="S216" s="121"/>
      <c r="T216" s="121"/>
      <c r="U216" s="114"/>
      <c r="V216" s="115"/>
      <c r="W216" s="116" t="s">
        <v>238</v>
      </c>
    </row>
  </sheetData>
  <mergeCells count="20">
    <mergeCell ref="V5:V6"/>
    <mergeCell ref="A4:B4"/>
    <mergeCell ref="S6:T6"/>
    <mergeCell ref="W5:W6"/>
    <mergeCell ref="A1:W1"/>
    <mergeCell ref="A2:V2"/>
    <mergeCell ref="G6:H6"/>
    <mergeCell ref="I6:J6"/>
    <mergeCell ref="K6:L6"/>
    <mergeCell ref="M6:N6"/>
    <mergeCell ref="O6:P6"/>
    <mergeCell ref="Q6:R6"/>
    <mergeCell ref="H5:S5"/>
    <mergeCell ref="A5:A6"/>
    <mergeCell ref="B5:B6"/>
    <mergeCell ref="C5:C6"/>
    <mergeCell ref="D5:D6"/>
    <mergeCell ref="E5:E6"/>
    <mergeCell ref="F5:F6"/>
    <mergeCell ref="U5:U6"/>
  </mergeCells>
  <hyperlinks>
    <hyperlink ref="W204" r:id="rId1" display="\\" xr:uid="{00000000-0004-0000-0100-000000000000}"/>
    <hyperlink ref="W205" r:id="rId2" display="\\" xr:uid="{00000000-0004-0000-0100-000001000000}"/>
    <hyperlink ref="W104" r:id="rId3" display="\\" xr:uid="{00000000-0004-0000-0100-000002000000}"/>
  </hyperlinks>
  <printOptions horizontalCentered="1"/>
  <pageMargins left="0.7" right="0.7" top="0.75" bottom="0.75" header="0.3" footer="0.3"/>
  <pageSetup paperSize="9" scale="12" orientation="landscape" horizontalDpi="30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151"/>
  <sheetViews>
    <sheetView view="pageBreakPreview" zoomScale="75" zoomScaleNormal="100" zoomScaleSheetLayoutView="75" workbookViewId="0">
      <pane xSplit="1" ySplit="6" topLeftCell="D46" activePane="bottomRight" state="frozen"/>
      <selection pane="topRight" activeCell="B1" sqref="B1"/>
      <selection pane="bottomLeft" activeCell="A6" sqref="A6"/>
      <selection pane="bottomRight" activeCell="A34" sqref="A34:XFD49"/>
    </sheetView>
  </sheetViews>
  <sheetFormatPr defaultRowHeight="15" x14ac:dyDescent="0.25"/>
  <cols>
    <col min="1" max="1" width="6.140625" customWidth="1"/>
    <col min="2" max="2" width="10.5703125" customWidth="1"/>
    <col min="3" max="3" width="15.5703125" customWidth="1"/>
    <col min="4" max="4" width="15.7109375" style="69" customWidth="1"/>
    <col min="5" max="5" width="9.140625" customWidth="1"/>
    <col min="6" max="6" width="15.140625" customWidth="1"/>
    <col min="7" max="8" width="9.85546875" bestFit="1" customWidth="1"/>
    <col min="9" max="9" width="11" bestFit="1" customWidth="1"/>
    <col min="10" max="14" width="9.85546875" bestFit="1" customWidth="1"/>
    <col min="15" max="15" width="13.28515625" bestFit="1" customWidth="1"/>
    <col min="16" max="18" width="9.85546875" bestFit="1" customWidth="1"/>
    <col min="19" max="20" width="8.85546875" customWidth="1"/>
    <col min="21" max="21" width="13.140625" customWidth="1"/>
    <col min="22" max="22" width="13.28515625" customWidth="1"/>
    <col min="23" max="23" width="13.7109375" customWidth="1"/>
  </cols>
  <sheetData>
    <row r="1" spans="1:23" ht="18.75" x14ac:dyDescent="0.3">
      <c r="A1" s="263" t="s">
        <v>372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</row>
    <row r="2" spans="1:23" x14ac:dyDescent="0.25">
      <c r="A2" s="280" t="s">
        <v>26</v>
      </c>
      <c r="B2" s="280"/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</row>
    <row r="3" spans="1:23" x14ac:dyDescent="0.25">
      <c r="A3" s="2" t="s">
        <v>1</v>
      </c>
      <c r="B3" s="2"/>
      <c r="C3" s="27">
        <v>43399</v>
      </c>
      <c r="D3" s="66" t="s">
        <v>2</v>
      </c>
      <c r="E3" s="3"/>
      <c r="F3" s="2"/>
      <c r="G3" s="2"/>
      <c r="H3" s="2" t="s">
        <v>25</v>
      </c>
      <c r="I3" s="3"/>
      <c r="J3" s="2"/>
      <c r="K3" s="2"/>
      <c r="L3" s="2" t="s">
        <v>3</v>
      </c>
      <c r="M3" s="2"/>
      <c r="N3" s="2"/>
      <c r="O3" s="2"/>
      <c r="Q3" s="2"/>
      <c r="R3" s="6" t="s">
        <v>22</v>
      </c>
      <c r="S3" s="3"/>
      <c r="T3" s="4"/>
      <c r="U3" s="4"/>
      <c r="V3" s="2"/>
    </row>
    <row r="4" spans="1:23" ht="15.75" thickBot="1" x14ac:dyDescent="0.3">
      <c r="A4" s="281"/>
      <c r="B4" s="281"/>
      <c r="C4" s="2"/>
      <c r="D4" s="67" t="s">
        <v>27</v>
      </c>
      <c r="E4" s="3"/>
      <c r="F4" s="2"/>
      <c r="G4" s="2"/>
      <c r="H4" s="98" t="s">
        <v>347</v>
      </c>
      <c r="I4" s="3"/>
      <c r="J4" s="2"/>
      <c r="K4" s="2"/>
      <c r="L4" s="2" t="s">
        <v>18</v>
      </c>
      <c r="M4" s="2"/>
      <c r="N4" s="2"/>
      <c r="O4" s="2"/>
      <c r="P4" s="3"/>
      <c r="Q4" s="2"/>
      <c r="R4" s="2"/>
      <c r="S4" s="4"/>
      <c r="T4" s="4"/>
      <c r="U4" s="4"/>
      <c r="V4" s="2"/>
    </row>
    <row r="5" spans="1:23" s="1" customFormat="1" ht="14.45" customHeight="1" x14ac:dyDescent="0.25">
      <c r="A5" s="282" t="s">
        <v>4</v>
      </c>
      <c r="B5" s="284" t="s">
        <v>5</v>
      </c>
      <c r="C5" s="286" t="s">
        <v>6</v>
      </c>
      <c r="D5" s="288" t="s">
        <v>19</v>
      </c>
      <c r="E5" s="286" t="s">
        <v>7</v>
      </c>
      <c r="F5" s="286" t="s">
        <v>8</v>
      </c>
      <c r="G5" s="8" t="s">
        <v>20</v>
      </c>
      <c r="H5" s="286" t="s">
        <v>9</v>
      </c>
      <c r="I5" s="286"/>
      <c r="J5" s="286"/>
      <c r="K5" s="286"/>
      <c r="L5" s="286"/>
      <c r="M5" s="286"/>
      <c r="N5" s="286"/>
      <c r="O5" s="286"/>
      <c r="P5" s="286"/>
      <c r="Q5" s="286"/>
      <c r="R5" s="286"/>
      <c r="S5" s="286"/>
      <c r="T5" s="8" t="s">
        <v>21</v>
      </c>
      <c r="U5" s="286" t="s">
        <v>17</v>
      </c>
      <c r="V5" s="286" t="s">
        <v>23</v>
      </c>
      <c r="W5" s="277" t="s">
        <v>24</v>
      </c>
    </row>
    <row r="6" spans="1:23" ht="39.75" customHeight="1" thickBot="1" x14ac:dyDescent="0.3">
      <c r="A6" s="283"/>
      <c r="B6" s="285"/>
      <c r="C6" s="287"/>
      <c r="D6" s="289"/>
      <c r="E6" s="287"/>
      <c r="F6" s="287"/>
      <c r="G6" s="279" t="s">
        <v>10</v>
      </c>
      <c r="H6" s="279"/>
      <c r="I6" s="290" t="s">
        <v>11</v>
      </c>
      <c r="J6" s="279"/>
      <c r="K6" s="279" t="s">
        <v>12</v>
      </c>
      <c r="L6" s="279"/>
      <c r="M6" s="279" t="s">
        <v>13</v>
      </c>
      <c r="N6" s="279"/>
      <c r="O6" s="279" t="s">
        <v>14</v>
      </c>
      <c r="P6" s="279"/>
      <c r="Q6" s="279" t="s">
        <v>15</v>
      </c>
      <c r="R6" s="279"/>
      <c r="S6" s="279" t="s">
        <v>16</v>
      </c>
      <c r="T6" s="279"/>
      <c r="U6" s="287"/>
      <c r="V6" s="287"/>
      <c r="W6" s="278"/>
    </row>
    <row r="7" spans="1:23" ht="33" customHeight="1" x14ac:dyDescent="0.25">
      <c r="A7" s="148"/>
      <c r="B7" s="149"/>
      <c r="C7" s="150"/>
      <c r="D7" s="151"/>
      <c r="E7" s="150"/>
      <c r="F7" s="150"/>
      <c r="G7" s="129"/>
      <c r="H7" s="131" t="s">
        <v>355</v>
      </c>
      <c r="I7" s="153"/>
      <c r="J7" s="132" t="s">
        <v>357</v>
      </c>
      <c r="K7" s="133"/>
      <c r="L7" s="134"/>
      <c r="M7" s="152"/>
      <c r="N7" s="152"/>
      <c r="O7" s="152"/>
      <c r="P7" s="152"/>
      <c r="Q7" s="152"/>
      <c r="R7" s="152"/>
      <c r="S7" s="152"/>
      <c r="T7" s="152"/>
      <c r="U7" s="150"/>
      <c r="V7" s="150"/>
      <c r="W7" s="138" t="s">
        <v>371</v>
      </c>
    </row>
    <row r="8" spans="1:23" ht="24" customHeight="1" x14ac:dyDescent="0.25">
      <c r="A8" s="17">
        <v>1</v>
      </c>
      <c r="B8" s="22">
        <v>0.3</v>
      </c>
      <c r="C8" s="18" t="s">
        <v>82</v>
      </c>
      <c r="D8" s="42">
        <v>7</v>
      </c>
      <c r="E8" s="42">
        <v>2</v>
      </c>
      <c r="F8" s="38" t="s">
        <v>58</v>
      </c>
      <c r="G8" s="61">
        <v>1210</v>
      </c>
      <c r="H8" s="61">
        <v>1350</v>
      </c>
      <c r="I8" s="61">
        <v>990</v>
      </c>
      <c r="J8" s="61">
        <v>1400</v>
      </c>
      <c r="K8" s="61"/>
      <c r="L8" s="61"/>
      <c r="M8" s="61"/>
      <c r="N8" s="61"/>
      <c r="O8" s="61"/>
      <c r="P8" s="61"/>
      <c r="Q8" s="61"/>
      <c r="R8" s="61"/>
      <c r="S8" s="61"/>
      <c r="T8" s="61"/>
      <c r="U8" s="21"/>
      <c r="V8" s="15"/>
      <c r="W8" s="23" t="s">
        <v>83</v>
      </c>
    </row>
    <row r="9" spans="1:23" ht="24" customHeight="1" x14ac:dyDescent="0.25">
      <c r="A9" s="17">
        <f t="shared" ref="A9:A15" si="0">A8+1</f>
        <v>2</v>
      </c>
      <c r="B9" s="10">
        <v>0.31666666666666665</v>
      </c>
      <c r="C9" s="5" t="s">
        <v>84</v>
      </c>
      <c r="D9" s="43">
        <v>11</v>
      </c>
      <c r="E9" s="43">
        <v>6</v>
      </c>
      <c r="F9" s="76" t="s">
        <v>110</v>
      </c>
      <c r="G9" s="62">
        <v>3740</v>
      </c>
      <c r="H9" s="62">
        <v>3500</v>
      </c>
      <c r="I9" s="62">
        <v>1100</v>
      </c>
      <c r="J9" s="62">
        <v>500</v>
      </c>
      <c r="K9" s="62">
        <v>6600</v>
      </c>
      <c r="L9" s="62">
        <v>6550</v>
      </c>
      <c r="M9" s="62">
        <v>4730</v>
      </c>
      <c r="N9" s="62">
        <v>3400</v>
      </c>
      <c r="O9" s="62">
        <v>4180</v>
      </c>
      <c r="P9" s="62">
        <v>3150</v>
      </c>
      <c r="Q9" s="62">
        <v>3410</v>
      </c>
      <c r="R9" s="62">
        <v>2700</v>
      </c>
      <c r="S9" s="62"/>
      <c r="T9" s="62"/>
      <c r="U9" s="21"/>
      <c r="V9" s="15"/>
      <c r="W9" s="14" t="s">
        <v>67</v>
      </c>
    </row>
    <row r="10" spans="1:23" ht="24" customHeight="1" x14ac:dyDescent="0.25">
      <c r="A10" s="17">
        <f t="shared" si="0"/>
        <v>3</v>
      </c>
      <c r="B10" s="10">
        <v>0.32013888888888892</v>
      </c>
      <c r="C10" s="5" t="s">
        <v>85</v>
      </c>
      <c r="D10" s="44">
        <v>7</v>
      </c>
      <c r="E10" s="43">
        <v>2</v>
      </c>
      <c r="F10" s="38" t="s">
        <v>58</v>
      </c>
      <c r="G10" s="62">
        <v>2530</v>
      </c>
      <c r="H10" s="62">
        <v>2000</v>
      </c>
      <c r="I10" s="62">
        <v>5610</v>
      </c>
      <c r="J10" s="62">
        <v>3450</v>
      </c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21"/>
      <c r="V10" s="15"/>
      <c r="W10" s="9" t="s">
        <v>66</v>
      </c>
    </row>
    <row r="11" spans="1:23" ht="24" customHeight="1" x14ac:dyDescent="0.25">
      <c r="A11" s="17">
        <f t="shared" si="0"/>
        <v>4</v>
      </c>
      <c r="B11" s="10">
        <v>0.32361111111111113</v>
      </c>
      <c r="C11" s="5" t="s">
        <v>86</v>
      </c>
      <c r="D11" s="44">
        <v>8</v>
      </c>
      <c r="E11" s="43">
        <v>3</v>
      </c>
      <c r="F11" s="38" t="s">
        <v>60</v>
      </c>
      <c r="G11" s="62">
        <v>2420</v>
      </c>
      <c r="H11" s="62">
        <v>2250</v>
      </c>
      <c r="I11" s="62">
        <v>4180</v>
      </c>
      <c r="J11" s="62">
        <v>3250</v>
      </c>
      <c r="K11" s="62">
        <v>4400</v>
      </c>
      <c r="L11" s="62">
        <v>3900</v>
      </c>
      <c r="M11" s="62"/>
      <c r="N11" s="62"/>
      <c r="O11" s="62"/>
      <c r="P11" s="62"/>
      <c r="Q11" s="62"/>
      <c r="R11" s="62"/>
      <c r="S11" s="62"/>
      <c r="T11" s="62"/>
      <c r="U11" s="21"/>
      <c r="V11" s="15"/>
      <c r="W11" s="9" t="s">
        <v>67</v>
      </c>
    </row>
    <row r="12" spans="1:23" ht="24" customHeight="1" x14ac:dyDescent="0.25">
      <c r="A12" s="17">
        <f t="shared" si="0"/>
        <v>5</v>
      </c>
      <c r="B12" s="10">
        <v>0.36805555555555558</v>
      </c>
      <c r="C12" s="5" t="s">
        <v>92</v>
      </c>
      <c r="D12" s="44">
        <v>11</v>
      </c>
      <c r="E12" s="43">
        <v>6</v>
      </c>
      <c r="F12" s="40" t="s">
        <v>29</v>
      </c>
      <c r="G12" s="62">
        <v>3410</v>
      </c>
      <c r="H12" s="62">
        <v>3000</v>
      </c>
      <c r="I12" s="62">
        <v>4950</v>
      </c>
      <c r="J12" s="62">
        <v>2950</v>
      </c>
      <c r="K12" s="62">
        <v>5170</v>
      </c>
      <c r="L12" s="62">
        <v>2900</v>
      </c>
      <c r="M12" s="62">
        <v>3520</v>
      </c>
      <c r="N12" s="62">
        <v>2550</v>
      </c>
      <c r="O12" s="62">
        <v>3960</v>
      </c>
      <c r="P12" s="62">
        <v>2550</v>
      </c>
      <c r="Q12" s="62">
        <v>4180</v>
      </c>
      <c r="R12" s="62">
        <v>2450</v>
      </c>
      <c r="S12" s="62"/>
      <c r="T12" s="62"/>
      <c r="U12" s="21"/>
      <c r="V12" s="15"/>
      <c r="W12" s="14" t="s">
        <v>67</v>
      </c>
    </row>
    <row r="13" spans="1:23" ht="24" customHeight="1" x14ac:dyDescent="0.25">
      <c r="A13" s="17">
        <f t="shared" si="0"/>
        <v>6</v>
      </c>
      <c r="B13" s="10">
        <v>0.4375</v>
      </c>
      <c r="C13" s="5" t="s">
        <v>96</v>
      </c>
      <c r="D13" s="44">
        <v>7</v>
      </c>
      <c r="E13" s="43">
        <v>2</v>
      </c>
      <c r="F13" s="38" t="s">
        <v>58</v>
      </c>
      <c r="G13" s="62">
        <v>3300</v>
      </c>
      <c r="H13" s="62">
        <v>2800</v>
      </c>
      <c r="I13" s="62">
        <v>5280</v>
      </c>
      <c r="J13" s="62">
        <v>3650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21"/>
      <c r="V13" s="15"/>
      <c r="W13" s="14" t="s">
        <v>67</v>
      </c>
    </row>
    <row r="14" spans="1:23" ht="24" customHeight="1" x14ac:dyDescent="0.25">
      <c r="A14" s="17">
        <f t="shared" si="0"/>
        <v>7</v>
      </c>
      <c r="B14" s="10">
        <v>0.43958333333333338</v>
      </c>
      <c r="C14" s="5" t="s">
        <v>97</v>
      </c>
      <c r="D14" s="44">
        <v>8</v>
      </c>
      <c r="E14" s="43">
        <v>3</v>
      </c>
      <c r="F14" s="76" t="s">
        <v>60</v>
      </c>
      <c r="G14" s="62">
        <v>2200</v>
      </c>
      <c r="H14" s="65">
        <v>1700</v>
      </c>
      <c r="I14" s="62">
        <v>5500</v>
      </c>
      <c r="J14" s="62">
        <v>3400</v>
      </c>
      <c r="K14" s="62">
        <v>4840</v>
      </c>
      <c r="L14" s="62">
        <v>4200</v>
      </c>
      <c r="M14" s="62"/>
      <c r="N14" s="62"/>
      <c r="O14" s="62"/>
      <c r="P14" s="62"/>
      <c r="Q14" s="62"/>
      <c r="R14" s="62"/>
      <c r="S14" s="62"/>
      <c r="T14" s="62"/>
      <c r="U14" s="21"/>
      <c r="V14" s="15"/>
      <c r="W14" s="14" t="s">
        <v>67</v>
      </c>
    </row>
    <row r="15" spans="1:23" ht="24" customHeight="1" x14ac:dyDescent="0.25">
      <c r="A15" s="17">
        <f t="shared" si="0"/>
        <v>8</v>
      </c>
      <c r="B15" s="10">
        <v>0.44513888888888892</v>
      </c>
      <c r="C15" s="37" t="s">
        <v>98</v>
      </c>
      <c r="D15" s="144">
        <v>8</v>
      </c>
      <c r="E15" s="78">
        <v>3</v>
      </c>
      <c r="F15" s="146" t="s">
        <v>60</v>
      </c>
      <c r="G15" s="79">
        <v>2860</v>
      </c>
      <c r="H15" s="62">
        <v>2700</v>
      </c>
      <c r="I15" s="79">
        <v>5390</v>
      </c>
      <c r="J15" s="79">
        <v>4000</v>
      </c>
      <c r="K15" s="65">
        <v>4730</v>
      </c>
      <c r="L15" s="79">
        <v>3800</v>
      </c>
      <c r="M15" s="65"/>
      <c r="N15" s="65"/>
      <c r="O15" s="65"/>
      <c r="P15" s="65"/>
      <c r="Q15" s="65"/>
      <c r="R15" s="65"/>
      <c r="S15" s="62"/>
      <c r="T15" s="62"/>
      <c r="U15" s="21"/>
      <c r="V15" s="15"/>
      <c r="W15" s="14" t="s">
        <v>67</v>
      </c>
    </row>
    <row r="16" spans="1:23" ht="24" customHeight="1" x14ac:dyDescent="0.25">
      <c r="A16" s="17">
        <v>19</v>
      </c>
      <c r="B16" s="10">
        <v>0.46458333333333335</v>
      </c>
      <c r="C16" s="5" t="s">
        <v>99</v>
      </c>
      <c r="D16" s="44">
        <v>11</v>
      </c>
      <c r="E16" s="43">
        <v>6</v>
      </c>
      <c r="F16" s="38" t="s">
        <v>110</v>
      </c>
      <c r="G16" s="62">
        <v>2640</v>
      </c>
      <c r="H16" s="62">
        <v>2800</v>
      </c>
      <c r="I16" s="62">
        <v>3300</v>
      </c>
      <c r="J16" s="62">
        <v>3100</v>
      </c>
      <c r="K16" s="62">
        <v>5500</v>
      </c>
      <c r="L16" s="62">
        <v>3100</v>
      </c>
      <c r="M16" s="62">
        <v>4290</v>
      </c>
      <c r="N16" s="62">
        <v>3800</v>
      </c>
      <c r="O16" s="62">
        <v>5280</v>
      </c>
      <c r="P16" s="62">
        <v>3750</v>
      </c>
      <c r="Q16" s="62">
        <v>5280</v>
      </c>
      <c r="R16" s="62">
        <v>2700</v>
      </c>
      <c r="S16" s="62"/>
      <c r="T16" s="62"/>
      <c r="U16" s="21"/>
      <c r="V16" s="15"/>
      <c r="W16" s="9" t="s">
        <v>124</v>
      </c>
    </row>
    <row r="17" spans="1:23" ht="24" customHeight="1" x14ac:dyDescent="0.25">
      <c r="A17" s="17">
        <f t="shared" ref="A17:A25" si="1">A16+1</f>
        <v>20</v>
      </c>
      <c r="B17" s="10">
        <v>0.50694444444444442</v>
      </c>
      <c r="C17" s="5" t="s">
        <v>100</v>
      </c>
      <c r="D17" s="44">
        <v>7</v>
      </c>
      <c r="E17" s="43">
        <v>2</v>
      </c>
      <c r="F17" s="76" t="s">
        <v>58</v>
      </c>
      <c r="G17" s="62">
        <v>1870</v>
      </c>
      <c r="H17" s="62">
        <v>2100</v>
      </c>
      <c r="I17" s="62">
        <v>5060</v>
      </c>
      <c r="J17" s="62">
        <v>4150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1"/>
      <c r="V17" s="15"/>
      <c r="W17" s="9" t="s">
        <v>67</v>
      </c>
    </row>
    <row r="18" spans="1:23" ht="24" customHeight="1" x14ac:dyDescent="0.25">
      <c r="A18" s="17">
        <f t="shared" si="1"/>
        <v>21</v>
      </c>
      <c r="B18" s="10">
        <v>0.52083333333333337</v>
      </c>
      <c r="C18" s="5" t="s">
        <v>101</v>
      </c>
      <c r="D18" s="44">
        <v>7</v>
      </c>
      <c r="E18" s="43">
        <v>2</v>
      </c>
      <c r="F18" s="38" t="s">
        <v>58</v>
      </c>
      <c r="G18" s="62">
        <v>2970</v>
      </c>
      <c r="H18" s="62">
        <v>2000</v>
      </c>
      <c r="I18" s="62">
        <v>6380</v>
      </c>
      <c r="J18" s="62">
        <v>4300</v>
      </c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21"/>
      <c r="V18" s="15"/>
      <c r="W18" s="9" t="s">
        <v>73</v>
      </c>
    </row>
    <row r="19" spans="1:23" ht="24" customHeight="1" x14ac:dyDescent="0.25">
      <c r="A19" s="17">
        <f t="shared" si="1"/>
        <v>22</v>
      </c>
      <c r="B19" s="10">
        <v>0.52777777777777779</v>
      </c>
      <c r="C19" s="5" t="s">
        <v>102</v>
      </c>
      <c r="D19" s="44">
        <v>7</v>
      </c>
      <c r="E19" s="43">
        <v>2</v>
      </c>
      <c r="F19" s="76" t="s">
        <v>58</v>
      </c>
      <c r="G19" s="62">
        <v>2860</v>
      </c>
      <c r="H19" s="62">
        <v>2800</v>
      </c>
      <c r="I19" s="62">
        <v>6050</v>
      </c>
      <c r="J19" s="62">
        <v>4850</v>
      </c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21"/>
      <c r="V19" s="15"/>
      <c r="W19" s="9" t="s">
        <v>73</v>
      </c>
    </row>
    <row r="20" spans="1:23" ht="24" customHeight="1" x14ac:dyDescent="0.25">
      <c r="A20" s="17">
        <f t="shared" si="1"/>
        <v>23</v>
      </c>
      <c r="B20" s="10">
        <v>0.53125</v>
      </c>
      <c r="C20" s="5" t="s">
        <v>103</v>
      </c>
      <c r="D20" s="44">
        <v>11</v>
      </c>
      <c r="E20" s="43">
        <v>6</v>
      </c>
      <c r="F20" s="38" t="s">
        <v>110</v>
      </c>
      <c r="G20" s="62">
        <v>2960</v>
      </c>
      <c r="H20" s="62">
        <v>2500</v>
      </c>
      <c r="I20" s="62">
        <v>2850</v>
      </c>
      <c r="J20" s="62">
        <v>2150</v>
      </c>
      <c r="K20" s="62">
        <v>3960</v>
      </c>
      <c r="L20" s="62">
        <v>2750</v>
      </c>
      <c r="M20" s="62">
        <v>1980</v>
      </c>
      <c r="N20" s="62">
        <v>1850</v>
      </c>
      <c r="O20" s="62">
        <v>2640</v>
      </c>
      <c r="P20" s="62">
        <v>2300</v>
      </c>
      <c r="Q20" s="62">
        <v>2970</v>
      </c>
      <c r="R20" s="62">
        <v>2600</v>
      </c>
      <c r="S20" s="62"/>
      <c r="T20" s="62"/>
      <c r="U20" s="21"/>
      <c r="V20" s="15"/>
      <c r="W20" s="9" t="s">
        <v>70</v>
      </c>
    </row>
    <row r="21" spans="1:23" ht="24" customHeight="1" x14ac:dyDescent="0.25">
      <c r="A21" s="17">
        <f t="shared" si="1"/>
        <v>24</v>
      </c>
      <c r="B21" s="10">
        <v>0.54097222222222219</v>
      </c>
      <c r="C21" s="5" t="s">
        <v>104</v>
      </c>
      <c r="D21" s="43">
        <v>11</v>
      </c>
      <c r="E21" s="43">
        <v>6</v>
      </c>
      <c r="F21" s="76" t="s">
        <v>110</v>
      </c>
      <c r="G21" s="62">
        <v>2970</v>
      </c>
      <c r="H21" s="62">
        <v>2800</v>
      </c>
      <c r="I21" s="62">
        <v>3410</v>
      </c>
      <c r="J21" s="147">
        <v>2600</v>
      </c>
      <c r="K21" s="147">
        <v>4950</v>
      </c>
      <c r="L21" s="147">
        <v>3300</v>
      </c>
      <c r="M21" s="147">
        <v>3740</v>
      </c>
      <c r="N21" s="147">
        <v>2350</v>
      </c>
      <c r="O21" s="147">
        <v>4070</v>
      </c>
      <c r="P21" s="147">
        <v>2550</v>
      </c>
      <c r="Q21" s="147">
        <v>4730</v>
      </c>
      <c r="R21" s="147">
        <v>2850</v>
      </c>
      <c r="S21" s="62"/>
      <c r="T21" s="62"/>
      <c r="U21" s="21"/>
      <c r="V21" s="15"/>
      <c r="W21" s="9" t="s">
        <v>70</v>
      </c>
    </row>
    <row r="22" spans="1:23" ht="24" customHeight="1" x14ac:dyDescent="0.25">
      <c r="A22" s="17">
        <f t="shared" si="1"/>
        <v>25</v>
      </c>
      <c r="B22" s="10">
        <v>0.5625</v>
      </c>
      <c r="C22" s="47" t="s">
        <v>105</v>
      </c>
      <c r="D22" s="49">
        <v>11</v>
      </c>
      <c r="E22" s="49">
        <v>6</v>
      </c>
      <c r="F22" s="145" t="s">
        <v>29</v>
      </c>
      <c r="G22" s="70">
        <v>2860</v>
      </c>
      <c r="H22" s="70">
        <v>2600</v>
      </c>
      <c r="I22" s="70">
        <v>3630</v>
      </c>
      <c r="J22" s="70">
        <v>4350</v>
      </c>
      <c r="K22" s="70">
        <v>3740</v>
      </c>
      <c r="L22" s="70">
        <v>3600</v>
      </c>
      <c r="M22" s="70">
        <v>4510</v>
      </c>
      <c r="N22" s="70">
        <v>3700</v>
      </c>
      <c r="O22" s="70">
        <v>3850</v>
      </c>
      <c r="P22" s="70">
        <v>3850</v>
      </c>
      <c r="Q22" s="70">
        <v>4290</v>
      </c>
      <c r="R22" s="70">
        <v>3850</v>
      </c>
      <c r="S22" s="70"/>
      <c r="T22" s="70"/>
      <c r="U22" s="32"/>
      <c r="V22" s="74"/>
      <c r="W22" s="53" t="s">
        <v>70</v>
      </c>
    </row>
    <row r="23" spans="1:23" ht="24" customHeight="1" x14ac:dyDescent="0.25">
      <c r="A23" s="17">
        <f t="shared" si="1"/>
        <v>26</v>
      </c>
      <c r="B23" s="72">
        <v>0.59027777777777779</v>
      </c>
      <c r="C23" s="5" t="s">
        <v>106</v>
      </c>
      <c r="D23" s="43">
        <v>11</v>
      </c>
      <c r="E23" s="43">
        <v>6</v>
      </c>
      <c r="F23" s="39" t="s">
        <v>29</v>
      </c>
      <c r="G23" s="62">
        <v>3740</v>
      </c>
      <c r="H23" s="62">
        <v>2000</v>
      </c>
      <c r="I23" s="62">
        <v>5500</v>
      </c>
      <c r="J23" s="62">
        <v>4650</v>
      </c>
      <c r="K23" s="62">
        <v>4840</v>
      </c>
      <c r="L23" s="62">
        <v>3700</v>
      </c>
      <c r="M23" s="62">
        <v>5280</v>
      </c>
      <c r="N23" s="62">
        <v>2500</v>
      </c>
      <c r="O23" s="62">
        <v>4840</v>
      </c>
      <c r="P23" s="62">
        <v>3500</v>
      </c>
      <c r="Q23" s="62">
        <v>3850</v>
      </c>
      <c r="R23" s="62">
        <v>3500</v>
      </c>
      <c r="S23" s="62"/>
      <c r="T23" s="62"/>
      <c r="U23" s="75"/>
      <c r="V23" s="16"/>
      <c r="W23" s="9" t="s">
        <v>67</v>
      </c>
    </row>
    <row r="24" spans="1:23" ht="24" customHeight="1" x14ac:dyDescent="0.25">
      <c r="A24" s="17">
        <f t="shared" si="1"/>
        <v>27</v>
      </c>
      <c r="B24" s="73">
        <v>0.60138888888888886</v>
      </c>
      <c r="C24" s="142" t="s">
        <v>107</v>
      </c>
      <c r="D24" s="43">
        <v>11</v>
      </c>
      <c r="E24" s="43">
        <v>6</v>
      </c>
      <c r="F24" s="76" t="s">
        <v>108</v>
      </c>
      <c r="G24" s="62">
        <v>2970</v>
      </c>
      <c r="H24" s="62">
        <v>2550</v>
      </c>
      <c r="I24" s="62">
        <v>4840</v>
      </c>
      <c r="J24" s="62">
        <v>4900</v>
      </c>
      <c r="K24" s="62">
        <v>2750</v>
      </c>
      <c r="L24" s="62">
        <v>1750</v>
      </c>
      <c r="M24" s="62">
        <v>5060</v>
      </c>
      <c r="N24" s="62">
        <v>2900</v>
      </c>
      <c r="O24" s="62">
        <v>4400</v>
      </c>
      <c r="P24" s="62">
        <v>3550</v>
      </c>
      <c r="Q24" s="62">
        <v>4620</v>
      </c>
      <c r="R24" s="62">
        <v>3700</v>
      </c>
      <c r="S24" s="62"/>
      <c r="T24" s="62"/>
      <c r="U24" s="75"/>
      <c r="V24" s="16"/>
      <c r="W24" s="9" t="s">
        <v>67</v>
      </c>
    </row>
    <row r="25" spans="1:23" ht="24" customHeight="1" x14ac:dyDescent="0.25">
      <c r="A25" s="17">
        <f t="shared" si="1"/>
        <v>28</v>
      </c>
      <c r="B25" s="72">
        <v>0.60277777777777775</v>
      </c>
      <c r="C25" s="5" t="s">
        <v>109</v>
      </c>
      <c r="D25" s="43">
        <v>11</v>
      </c>
      <c r="E25" s="43">
        <v>6</v>
      </c>
      <c r="F25" s="76" t="s">
        <v>110</v>
      </c>
      <c r="G25" s="62">
        <v>2530</v>
      </c>
      <c r="H25" s="62">
        <v>2550</v>
      </c>
      <c r="I25" s="62">
        <v>2970</v>
      </c>
      <c r="J25" s="62">
        <v>2950</v>
      </c>
      <c r="K25" s="62">
        <v>4620</v>
      </c>
      <c r="L25" s="62">
        <v>2850</v>
      </c>
      <c r="M25" s="62">
        <v>4840</v>
      </c>
      <c r="N25" s="62">
        <v>3550</v>
      </c>
      <c r="O25" s="62">
        <v>5060</v>
      </c>
      <c r="P25" s="62">
        <v>3200</v>
      </c>
      <c r="Q25" s="62">
        <v>4620</v>
      </c>
      <c r="R25" s="62">
        <v>3500</v>
      </c>
      <c r="S25" s="62"/>
      <c r="T25" s="62"/>
      <c r="U25" s="75"/>
      <c r="V25" s="16"/>
      <c r="W25" s="9" t="s">
        <v>67</v>
      </c>
    </row>
    <row r="26" spans="1:23" ht="24" customHeight="1" x14ac:dyDescent="0.25">
      <c r="A26" s="17">
        <v>33</v>
      </c>
      <c r="B26" s="33">
        <v>0.65972222222222221</v>
      </c>
      <c r="C26" s="13" t="s">
        <v>115</v>
      </c>
      <c r="D26" s="44">
        <v>11</v>
      </c>
      <c r="E26" s="44">
        <v>6</v>
      </c>
      <c r="F26" s="40" t="s">
        <v>110</v>
      </c>
      <c r="G26" s="64">
        <v>2300</v>
      </c>
      <c r="H26" s="64">
        <v>2450</v>
      </c>
      <c r="I26" s="64">
        <v>1210</v>
      </c>
      <c r="J26" s="64">
        <v>1100</v>
      </c>
      <c r="K26" s="64">
        <v>7150</v>
      </c>
      <c r="L26" s="64">
        <v>4350</v>
      </c>
      <c r="M26" s="64">
        <v>5280</v>
      </c>
      <c r="N26" s="64">
        <v>3650</v>
      </c>
      <c r="O26" s="64">
        <v>3850</v>
      </c>
      <c r="P26" s="64">
        <v>2650</v>
      </c>
      <c r="Q26" s="64">
        <v>4290</v>
      </c>
      <c r="R26" s="64">
        <v>2650</v>
      </c>
      <c r="S26" s="64"/>
      <c r="T26" s="64"/>
      <c r="U26" s="21"/>
      <c r="V26" s="15"/>
      <c r="W26" s="14" t="s">
        <v>73</v>
      </c>
    </row>
    <row r="27" spans="1:23" ht="24" customHeight="1" x14ac:dyDescent="0.25">
      <c r="A27" s="17">
        <v>34</v>
      </c>
      <c r="B27" s="10">
        <v>0.68055555555555547</v>
      </c>
      <c r="C27" s="5" t="s">
        <v>30</v>
      </c>
      <c r="D27" s="43">
        <v>7</v>
      </c>
      <c r="E27" s="43">
        <v>2</v>
      </c>
      <c r="F27" s="38" t="s">
        <v>58</v>
      </c>
      <c r="G27" s="62">
        <v>1980</v>
      </c>
      <c r="H27" s="62">
        <v>1900</v>
      </c>
      <c r="I27" s="62">
        <v>6600</v>
      </c>
      <c r="J27" s="62">
        <v>6000</v>
      </c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21"/>
      <c r="V27" s="15"/>
      <c r="W27" s="9" t="s">
        <v>70</v>
      </c>
    </row>
    <row r="28" spans="1:23" ht="24" customHeight="1" x14ac:dyDescent="0.25">
      <c r="A28" s="17">
        <v>35</v>
      </c>
      <c r="B28" s="25">
        <v>0.68402777777777779</v>
      </c>
      <c r="C28" s="24" t="s">
        <v>116</v>
      </c>
      <c r="D28" s="44">
        <v>11</v>
      </c>
      <c r="E28" s="43">
        <v>6</v>
      </c>
      <c r="F28" s="38" t="s">
        <v>29</v>
      </c>
      <c r="G28" s="62">
        <v>2640</v>
      </c>
      <c r="H28" s="62">
        <v>2350</v>
      </c>
      <c r="I28" s="62">
        <v>3960</v>
      </c>
      <c r="J28" s="62">
        <v>3150</v>
      </c>
      <c r="K28" s="62">
        <v>4180</v>
      </c>
      <c r="L28" s="62">
        <v>2850</v>
      </c>
      <c r="M28" s="62">
        <v>4620</v>
      </c>
      <c r="N28" s="62">
        <v>2500</v>
      </c>
      <c r="O28" s="62">
        <v>3740</v>
      </c>
      <c r="P28" s="62">
        <v>2750</v>
      </c>
      <c r="Q28" s="62">
        <v>3190</v>
      </c>
      <c r="R28" s="62">
        <v>2900</v>
      </c>
      <c r="S28" s="62"/>
      <c r="T28" s="62"/>
      <c r="U28" s="21"/>
      <c r="V28" s="15"/>
      <c r="W28" s="9" t="s">
        <v>67</v>
      </c>
    </row>
    <row r="29" spans="1:23" ht="24" customHeight="1" x14ac:dyDescent="0.25">
      <c r="A29" s="17">
        <v>36</v>
      </c>
      <c r="B29" s="25">
        <v>0.6875</v>
      </c>
      <c r="C29" s="24" t="s">
        <v>117</v>
      </c>
      <c r="D29" s="44">
        <v>11</v>
      </c>
      <c r="E29" s="43">
        <v>6</v>
      </c>
      <c r="F29" s="38" t="s">
        <v>29</v>
      </c>
      <c r="G29" s="62">
        <v>2860</v>
      </c>
      <c r="H29" s="62">
        <v>2400</v>
      </c>
      <c r="I29" s="62">
        <v>3520</v>
      </c>
      <c r="J29" s="62">
        <v>3200</v>
      </c>
      <c r="K29" s="62">
        <v>3190</v>
      </c>
      <c r="L29" s="62">
        <v>2050</v>
      </c>
      <c r="M29" s="62">
        <v>1650</v>
      </c>
      <c r="N29" s="62">
        <v>3850</v>
      </c>
      <c r="O29" s="62">
        <v>2310</v>
      </c>
      <c r="P29" s="62">
        <v>2850</v>
      </c>
      <c r="Q29" s="62">
        <v>5060</v>
      </c>
      <c r="R29" s="62">
        <v>3150</v>
      </c>
      <c r="S29" s="62"/>
      <c r="T29" s="62"/>
      <c r="U29" s="21"/>
      <c r="V29" s="15"/>
      <c r="W29" s="9" t="s">
        <v>70</v>
      </c>
    </row>
    <row r="30" spans="1:23" ht="24" customHeight="1" x14ac:dyDescent="0.25">
      <c r="A30" s="17">
        <f>A29+1</f>
        <v>37</v>
      </c>
      <c r="B30" s="141">
        <v>0.69097222222222221</v>
      </c>
      <c r="C30" s="24" t="s">
        <v>118</v>
      </c>
      <c r="D30" s="44">
        <v>11</v>
      </c>
      <c r="E30" s="29">
        <v>6</v>
      </c>
      <c r="F30" s="38" t="s">
        <v>29</v>
      </c>
      <c r="G30" s="62">
        <v>1320</v>
      </c>
      <c r="H30" s="62">
        <v>2250</v>
      </c>
      <c r="I30" s="62">
        <v>4180</v>
      </c>
      <c r="J30" s="62">
        <v>3200</v>
      </c>
      <c r="K30" s="62">
        <v>4070</v>
      </c>
      <c r="L30" s="62">
        <v>2950</v>
      </c>
      <c r="M30" s="62">
        <v>3520</v>
      </c>
      <c r="N30" s="62">
        <v>2550</v>
      </c>
      <c r="O30" s="62">
        <v>2750</v>
      </c>
      <c r="P30" s="62">
        <v>3150</v>
      </c>
      <c r="Q30" s="62">
        <v>3410</v>
      </c>
      <c r="R30" s="62">
        <v>3650</v>
      </c>
      <c r="S30" s="62"/>
      <c r="T30" s="62"/>
      <c r="U30" s="21"/>
      <c r="V30" s="15"/>
      <c r="W30" s="9" t="s">
        <v>70</v>
      </c>
    </row>
    <row r="31" spans="1:23" ht="24" customHeight="1" x14ac:dyDescent="0.25">
      <c r="A31" s="17">
        <v>40</v>
      </c>
      <c r="B31" s="25">
        <v>0.75</v>
      </c>
      <c r="C31" s="24" t="s">
        <v>122</v>
      </c>
      <c r="D31" s="43">
        <v>11</v>
      </c>
      <c r="E31" s="29">
        <v>6</v>
      </c>
      <c r="F31" s="18" t="s">
        <v>110</v>
      </c>
      <c r="G31" s="62">
        <v>3410</v>
      </c>
      <c r="H31" s="62">
        <v>2700</v>
      </c>
      <c r="I31" s="62">
        <v>3410</v>
      </c>
      <c r="J31" s="62">
        <v>2900</v>
      </c>
      <c r="K31" s="62">
        <v>4950</v>
      </c>
      <c r="L31" s="62">
        <v>3800</v>
      </c>
      <c r="M31" s="62">
        <v>5170</v>
      </c>
      <c r="N31" s="62">
        <v>4100</v>
      </c>
      <c r="O31" s="62">
        <v>3080</v>
      </c>
      <c r="P31" s="62">
        <v>3500</v>
      </c>
      <c r="Q31" s="62">
        <v>3850</v>
      </c>
      <c r="R31" s="62">
        <v>3300</v>
      </c>
      <c r="S31" s="62"/>
      <c r="T31" s="62"/>
      <c r="U31" s="21"/>
      <c r="V31" s="15"/>
      <c r="W31" s="9" t="s">
        <v>67</v>
      </c>
    </row>
    <row r="32" spans="1:23" ht="24" customHeight="1" x14ac:dyDescent="0.25">
      <c r="A32" s="17"/>
      <c r="B32" s="25"/>
      <c r="C32" s="24"/>
      <c r="D32" s="44"/>
      <c r="E32" s="29"/>
      <c r="F32" s="18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21"/>
      <c r="V32" s="15"/>
      <c r="W32" s="9"/>
    </row>
    <row r="33" spans="1:23" ht="24" customHeight="1" x14ac:dyDescent="0.25">
      <c r="A33" s="17"/>
      <c r="B33" s="25"/>
      <c r="C33" s="24"/>
      <c r="D33" s="44"/>
      <c r="E33" s="29"/>
      <c r="F33" s="18"/>
      <c r="G33" s="129"/>
      <c r="H33" s="131" t="s">
        <v>355</v>
      </c>
      <c r="I33" s="153"/>
      <c r="J33" s="132" t="s">
        <v>358</v>
      </c>
      <c r="K33" s="133"/>
      <c r="L33" s="134"/>
      <c r="M33" s="62"/>
      <c r="N33" s="62"/>
      <c r="O33" s="62"/>
      <c r="P33" s="62"/>
      <c r="Q33" s="62"/>
      <c r="R33" s="62"/>
      <c r="S33" s="62"/>
      <c r="T33" s="62"/>
      <c r="U33" s="21"/>
      <c r="V33" s="15"/>
      <c r="W33" s="9"/>
    </row>
    <row r="34" spans="1:23" ht="24" customHeight="1" x14ac:dyDescent="0.25">
      <c r="A34" s="17">
        <f>A31+1</f>
        <v>41</v>
      </c>
      <c r="B34" s="25">
        <v>0.30624999999999997</v>
      </c>
      <c r="C34" s="24" t="s">
        <v>81</v>
      </c>
      <c r="D34" s="44">
        <v>11</v>
      </c>
      <c r="E34" s="43">
        <v>6</v>
      </c>
      <c r="F34" s="39" t="s">
        <v>29</v>
      </c>
      <c r="G34" s="62">
        <v>2000</v>
      </c>
      <c r="H34" s="62">
        <v>2970</v>
      </c>
      <c r="I34" s="62">
        <v>3600</v>
      </c>
      <c r="J34" s="62">
        <v>4620</v>
      </c>
      <c r="K34" s="62">
        <v>3700</v>
      </c>
      <c r="L34" s="62">
        <v>4180</v>
      </c>
      <c r="M34" s="62">
        <v>4000</v>
      </c>
      <c r="N34" s="62">
        <v>4730</v>
      </c>
      <c r="O34" s="62">
        <v>3900</v>
      </c>
      <c r="P34" s="62">
        <v>4400</v>
      </c>
      <c r="Q34" s="62">
        <v>2900</v>
      </c>
      <c r="R34" s="62">
        <v>3520</v>
      </c>
      <c r="S34" s="62"/>
      <c r="T34" s="62"/>
      <c r="U34" s="21"/>
      <c r="V34" s="15"/>
      <c r="W34" s="9" t="s">
        <v>71</v>
      </c>
    </row>
    <row r="35" spans="1:23" ht="24" customHeight="1" x14ac:dyDescent="0.25">
      <c r="A35" s="17">
        <f t="shared" ref="A35:A40" si="2">A34+1</f>
        <v>42</v>
      </c>
      <c r="B35" s="10">
        <v>0.32500000000000001</v>
      </c>
      <c r="C35" s="5" t="s">
        <v>87</v>
      </c>
      <c r="D35" s="44">
        <v>8</v>
      </c>
      <c r="E35" s="43">
        <v>3</v>
      </c>
      <c r="F35" s="76" t="s">
        <v>60</v>
      </c>
      <c r="G35" s="62">
        <v>2530</v>
      </c>
      <c r="H35" s="62">
        <v>2650</v>
      </c>
      <c r="I35" s="62">
        <v>5610</v>
      </c>
      <c r="J35" s="62">
        <v>3700</v>
      </c>
      <c r="K35" s="62">
        <v>5280</v>
      </c>
      <c r="L35" s="62">
        <v>3300</v>
      </c>
      <c r="M35" s="62"/>
      <c r="N35" s="62"/>
      <c r="O35" s="62"/>
      <c r="P35" s="62"/>
      <c r="Q35" s="62"/>
      <c r="R35" s="62"/>
      <c r="S35" s="62"/>
      <c r="T35" s="62"/>
      <c r="U35" s="21"/>
      <c r="V35" s="15"/>
      <c r="W35" s="9" t="s">
        <v>67</v>
      </c>
    </row>
    <row r="36" spans="1:23" ht="24" customHeight="1" x14ac:dyDescent="0.25">
      <c r="A36" s="17">
        <f t="shared" si="2"/>
        <v>43</v>
      </c>
      <c r="B36" s="10">
        <v>0.3298611111111111</v>
      </c>
      <c r="C36" s="143" t="s">
        <v>88</v>
      </c>
      <c r="D36" s="44">
        <v>11</v>
      </c>
      <c r="E36" s="43">
        <v>6</v>
      </c>
      <c r="F36" s="40" t="s">
        <v>29</v>
      </c>
      <c r="G36" s="62">
        <v>2900</v>
      </c>
      <c r="H36" s="62">
        <v>3080</v>
      </c>
      <c r="I36" s="62">
        <v>4100</v>
      </c>
      <c r="J36" s="62">
        <v>5280</v>
      </c>
      <c r="K36" s="62">
        <v>4050</v>
      </c>
      <c r="L36" s="62">
        <v>4950</v>
      </c>
      <c r="M36" s="62">
        <v>3300</v>
      </c>
      <c r="N36" s="62">
        <v>3410</v>
      </c>
      <c r="O36" s="62">
        <v>3450</v>
      </c>
      <c r="P36" s="62">
        <v>4070</v>
      </c>
      <c r="Q36" s="62">
        <v>3300</v>
      </c>
      <c r="R36" s="62">
        <v>5060</v>
      </c>
      <c r="S36" s="62"/>
      <c r="T36" s="62"/>
      <c r="U36" s="21"/>
      <c r="V36" s="15"/>
      <c r="W36" s="9" t="s">
        <v>71</v>
      </c>
    </row>
    <row r="37" spans="1:23" ht="24" customHeight="1" x14ac:dyDescent="0.25">
      <c r="A37" s="17">
        <f t="shared" si="2"/>
        <v>44</v>
      </c>
      <c r="B37" s="10">
        <v>0.3444444444444445</v>
      </c>
      <c r="C37" s="31" t="s">
        <v>89</v>
      </c>
      <c r="D37" s="44">
        <v>8</v>
      </c>
      <c r="E37" s="43">
        <v>3</v>
      </c>
      <c r="F37" s="38" t="s">
        <v>60</v>
      </c>
      <c r="G37" s="62">
        <v>2300</v>
      </c>
      <c r="H37" s="62">
        <v>2750</v>
      </c>
      <c r="I37" s="62">
        <v>5350</v>
      </c>
      <c r="J37" s="62">
        <v>6820</v>
      </c>
      <c r="K37" s="62">
        <v>5350</v>
      </c>
      <c r="L37" s="62">
        <v>6600</v>
      </c>
      <c r="M37" s="62"/>
      <c r="N37" s="62"/>
      <c r="O37" s="62"/>
      <c r="P37" s="62"/>
      <c r="Q37" s="62"/>
      <c r="R37" s="62"/>
      <c r="S37" s="62"/>
      <c r="T37" s="62"/>
      <c r="U37" s="21"/>
      <c r="V37" s="15"/>
      <c r="W37" s="9" t="s">
        <v>71</v>
      </c>
    </row>
    <row r="38" spans="1:23" ht="24" customHeight="1" x14ac:dyDescent="0.25">
      <c r="A38" s="17">
        <f t="shared" si="2"/>
        <v>45</v>
      </c>
      <c r="B38" s="10">
        <v>0.35000000000000003</v>
      </c>
      <c r="C38" s="5" t="s">
        <v>36</v>
      </c>
      <c r="D38" s="43">
        <v>7</v>
      </c>
      <c r="E38" s="43">
        <v>2</v>
      </c>
      <c r="F38" s="38" t="s">
        <v>58</v>
      </c>
      <c r="G38" s="62">
        <v>1750</v>
      </c>
      <c r="H38" s="62">
        <v>2090</v>
      </c>
      <c r="I38" s="62">
        <v>3650</v>
      </c>
      <c r="J38" s="62">
        <v>5390</v>
      </c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21"/>
      <c r="V38" s="15"/>
      <c r="W38" s="9" t="s">
        <v>69</v>
      </c>
    </row>
    <row r="39" spans="1:23" ht="24" customHeight="1" x14ac:dyDescent="0.25">
      <c r="A39" s="17">
        <f t="shared" si="2"/>
        <v>46</v>
      </c>
      <c r="B39" s="10">
        <v>0.3520833333333333</v>
      </c>
      <c r="C39" s="5" t="s">
        <v>90</v>
      </c>
      <c r="D39" s="44">
        <v>11</v>
      </c>
      <c r="E39" s="43">
        <v>6</v>
      </c>
      <c r="F39" s="40" t="s">
        <v>29</v>
      </c>
      <c r="G39" s="62">
        <v>2050</v>
      </c>
      <c r="H39" s="62">
        <v>2420</v>
      </c>
      <c r="I39" s="62">
        <v>5500</v>
      </c>
      <c r="J39" s="62">
        <v>5170</v>
      </c>
      <c r="K39" s="62">
        <v>2550</v>
      </c>
      <c r="L39" s="62">
        <v>3520</v>
      </c>
      <c r="M39" s="62">
        <v>4000</v>
      </c>
      <c r="N39" s="62">
        <v>6270</v>
      </c>
      <c r="O39" s="62">
        <v>3100</v>
      </c>
      <c r="P39" s="62">
        <v>4620</v>
      </c>
      <c r="Q39" s="62">
        <v>3300</v>
      </c>
      <c r="R39" s="62">
        <v>3520</v>
      </c>
      <c r="S39" s="62"/>
      <c r="T39" s="62"/>
      <c r="U39" s="21"/>
      <c r="V39" s="15"/>
      <c r="W39" s="9" t="s">
        <v>71</v>
      </c>
    </row>
    <row r="40" spans="1:23" ht="24" customHeight="1" x14ac:dyDescent="0.25">
      <c r="A40" s="17">
        <f t="shared" si="2"/>
        <v>47</v>
      </c>
      <c r="B40" s="10">
        <v>0.36458333333333331</v>
      </c>
      <c r="C40" s="5" t="s">
        <v>91</v>
      </c>
      <c r="D40" s="44">
        <v>12</v>
      </c>
      <c r="E40" s="43">
        <v>7</v>
      </c>
      <c r="F40" s="38" t="s">
        <v>123</v>
      </c>
      <c r="G40" s="62">
        <v>2250</v>
      </c>
      <c r="H40" s="62">
        <v>2420</v>
      </c>
      <c r="I40" s="62">
        <v>400</v>
      </c>
      <c r="J40" s="62">
        <v>2090</v>
      </c>
      <c r="K40" s="62">
        <v>1250</v>
      </c>
      <c r="L40" s="62">
        <v>1100</v>
      </c>
      <c r="M40" s="62">
        <v>800</v>
      </c>
      <c r="N40" s="62">
        <v>1210</v>
      </c>
      <c r="O40" s="62">
        <v>900</v>
      </c>
      <c r="P40" s="62">
        <v>1870</v>
      </c>
      <c r="Q40" s="62">
        <v>1500</v>
      </c>
      <c r="R40" s="62">
        <v>1100</v>
      </c>
      <c r="S40" s="62">
        <v>1050</v>
      </c>
      <c r="T40" s="62">
        <v>990</v>
      </c>
      <c r="U40" s="21"/>
      <c r="V40" s="15"/>
      <c r="W40" s="9" t="s">
        <v>72</v>
      </c>
    </row>
    <row r="41" spans="1:23" ht="24" customHeight="1" x14ac:dyDescent="0.25">
      <c r="A41" s="17">
        <v>13</v>
      </c>
      <c r="B41" s="10">
        <v>0.38750000000000001</v>
      </c>
      <c r="C41" s="5" t="s">
        <v>93</v>
      </c>
      <c r="D41" s="44">
        <v>11</v>
      </c>
      <c r="E41" s="43">
        <v>6</v>
      </c>
      <c r="F41" s="38" t="s">
        <v>110</v>
      </c>
      <c r="G41" s="62">
        <v>2450</v>
      </c>
      <c r="H41" s="62">
        <v>3050</v>
      </c>
      <c r="I41" s="62">
        <v>2500</v>
      </c>
      <c r="J41" s="62">
        <v>3520</v>
      </c>
      <c r="K41" s="62">
        <v>2600</v>
      </c>
      <c r="L41" s="62">
        <v>5610</v>
      </c>
      <c r="M41" s="62">
        <v>3900</v>
      </c>
      <c r="N41" s="62">
        <v>6270</v>
      </c>
      <c r="O41" s="62">
        <v>2900</v>
      </c>
      <c r="P41" s="62">
        <v>5500</v>
      </c>
      <c r="Q41" s="62">
        <v>3250</v>
      </c>
      <c r="R41" s="62">
        <v>4730</v>
      </c>
      <c r="S41" s="62"/>
      <c r="T41" s="62"/>
      <c r="U41" s="21"/>
      <c r="V41" s="15"/>
      <c r="W41" s="9" t="s">
        <v>71</v>
      </c>
    </row>
    <row r="42" spans="1:23" ht="24" customHeight="1" x14ac:dyDescent="0.25">
      <c r="A42" s="17">
        <f>A41+1</f>
        <v>14</v>
      </c>
      <c r="B42" s="10">
        <v>0.41388888888888892</v>
      </c>
      <c r="C42" s="5" t="s">
        <v>94</v>
      </c>
      <c r="D42" s="44">
        <v>11</v>
      </c>
      <c r="E42" s="43">
        <v>6</v>
      </c>
      <c r="F42" s="40" t="s">
        <v>29</v>
      </c>
      <c r="G42" s="62">
        <v>2800</v>
      </c>
      <c r="H42" s="62">
        <v>3630</v>
      </c>
      <c r="I42" s="62">
        <v>3900</v>
      </c>
      <c r="J42" s="79">
        <v>4400</v>
      </c>
      <c r="K42" s="79">
        <v>3950</v>
      </c>
      <c r="L42" s="79">
        <v>3850</v>
      </c>
      <c r="M42" s="79">
        <v>2350</v>
      </c>
      <c r="N42" s="79">
        <v>4620</v>
      </c>
      <c r="O42" s="79">
        <v>2350</v>
      </c>
      <c r="P42" s="79">
        <v>3630</v>
      </c>
      <c r="Q42" s="79">
        <v>1750</v>
      </c>
      <c r="R42" s="79">
        <v>2530</v>
      </c>
      <c r="S42" s="62"/>
      <c r="T42" s="62"/>
      <c r="U42" s="21"/>
      <c r="V42" s="15"/>
      <c r="W42" s="9" t="s">
        <v>71</v>
      </c>
    </row>
    <row r="43" spans="1:23" ht="24" customHeight="1" x14ac:dyDescent="0.25">
      <c r="A43" s="17">
        <f>A42+1</f>
        <v>15</v>
      </c>
      <c r="B43" s="10">
        <v>0.43263888888888885</v>
      </c>
      <c r="C43" s="5" t="s">
        <v>95</v>
      </c>
      <c r="D43" s="44">
        <v>8</v>
      </c>
      <c r="E43" s="43">
        <v>3</v>
      </c>
      <c r="F43" s="38" t="s">
        <v>60</v>
      </c>
      <c r="G43" s="62">
        <v>3190</v>
      </c>
      <c r="H43" s="62">
        <v>3000</v>
      </c>
      <c r="I43" s="62">
        <v>4950</v>
      </c>
      <c r="J43" s="62">
        <v>3850</v>
      </c>
      <c r="K43" s="62">
        <v>5390</v>
      </c>
      <c r="L43" s="62">
        <v>3850</v>
      </c>
      <c r="M43" s="62"/>
      <c r="N43" s="62"/>
      <c r="O43" s="62"/>
      <c r="P43" s="62"/>
      <c r="Q43" s="62"/>
      <c r="R43" s="62"/>
      <c r="S43" s="62"/>
      <c r="T43" s="62"/>
      <c r="U43" s="21"/>
      <c r="V43" s="15"/>
      <c r="W43" s="9" t="s">
        <v>80</v>
      </c>
    </row>
    <row r="44" spans="1:23" ht="24" customHeight="1" x14ac:dyDescent="0.25">
      <c r="A44" s="17">
        <f>A43+1</f>
        <v>16</v>
      </c>
      <c r="B44" s="46">
        <v>0.60555555555555551</v>
      </c>
      <c r="C44" s="47" t="s">
        <v>111</v>
      </c>
      <c r="D44" s="49">
        <v>7</v>
      </c>
      <c r="E44" s="49">
        <v>2</v>
      </c>
      <c r="F44" s="50" t="s">
        <v>58</v>
      </c>
      <c r="G44" s="70">
        <v>1700</v>
      </c>
      <c r="H44" s="70">
        <v>2070</v>
      </c>
      <c r="I44" s="70">
        <v>3850</v>
      </c>
      <c r="J44" s="70">
        <v>5060</v>
      </c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32"/>
      <c r="V44" s="74"/>
      <c r="W44" s="53" t="s">
        <v>77</v>
      </c>
    </row>
    <row r="45" spans="1:23" ht="24" customHeight="1" x14ac:dyDescent="0.25">
      <c r="A45" s="17">
        <f>A44+1</f>
        <v>17</v>
      </c>
      <c r="B45" s="10">
        <v>0.64930555555555558</v>
      </c>
      <c r="C45" s="5" t="s">
        <v>112</v>
      </c>
      <c r="D45" s="43">
        <v>7</v>
      </c>
      <c r="E45" s="43">
        <v>2</v>
      </c>
      <c r="F45" s="76" t="s">
        <v>58</v>
      </c>
      <c r="G45" s="62">
        <v>1450</v>
      </c>
      <c r="H45" s="62">
        <v>1650</v>
      </c>
      <c r="I45" s="62">
        <v>2400</v>
      </c>
      <c r="J45" s="62">
        <v>4090</v>
      </c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75"/>
      <c r="V45" s="16"/>
      <c r="W45" s="9" t="s">
        <v>125</v>
      </c>
    </row>
    <row r="46" spans="1:23" ht="24" customHeight="1" x14ac:dyDescent="0.25">
      <c r="A46" s="17">
        <v>31</v>
      </c>
      <c r="B46" s="10">
        <v>0.65486111111111112</v>
      </c>
      <c r="C46" s="13" t="s">
        <v>113</v>
      </c>
      <c r="D46" s="44">
        <v>7</v>
      </c>
      <c r="E46" s="44">
        <v>2</v>
      </c>
      <c r="F46" s="76" t="s">
        <v>58</v>
      </c>
      <c r="G46" s="64">
        <v>900</v>
      </c>
      <c r="H46" s="64">
        <v>770</v>
      </c>
      <c r="I46" s="64">
        <v>1550</v>
      </c>
      <c r="J46" s="64">
        <v>1760</v>
      </c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21"/>
      <c r="V46" s="15"/>
      <c r="W46" s="14" t="s">
        <v>69</v>
      </c>
    </row>
    <row r="47" spans="1:23" ht="24" customHeight="1" x14ac:dyDescent="0.25">
      <c r="A47" s="17">
        <v>32</v>
      </c>
      <c r="B47" s="10">
        <v>0.65763888888888888</v>
      </c>
      <c r="C47" s="5" t="s">
        <v>114</v>
      </c>
      <c r="D47" s="44">
        <v>11</v>
      </c>
      <c r="E47" s="43">
        <v>6</v>
      </c>
      <c r="F47" s="38" t="s">
        <v>108</v>
      </c>
      <c r="G47" s="62">
        <v>2300</v>
      </c>
      <c r="H47" s="62">
        <v>2530</v>
      </c>
      <c r="I47" s="62">
        <v>3700</v>
      </c>
      <c r="J47" s="62">
        <v>4400</v>
      </c>
      <c r="K47" s="62">
        <v>3450</v>
      </c>
      <c r="L47" s="62">
        <v>3630</v>
      </c>
      <c r="M47" s="62">
        <v>3650</v>
      </c>
      <c r="N47" s="62">
        <v>4290</v>
      </c>
      <c r="O47" s="62">
        <v>4300</v>
      </c>
      <c r="P47" s="62">
        <v>4400</v>
      </c>
      <c r="Q47" s="62">
        <v>4350</v>
      </c>
      <c r="R47" s="62">
        <v>4400</v>
      </c>
      <c r="S47" s="62"/>
      <c r="T47" s="62"/>
      <c r="U47" s="21"/>
      <c r="V47" s="15"/>
      <c r="W47" s="9" t="s">
        <v>71</v>
      </c>
    </row>
    <row r="48" spans="1:23" ht="24" customHeight="1" x14ac:dyDescent="0.25">
      <c r="A48" s="71">
        <f>A47+1</f>
        <v>33</v>
      </c>
      <c r="B48" s="140">
        <v>0.6958333333333333</v>
      </c>
      <c r="C48" s="5" t="s">
        <v>119</v>
      </c>
      <c r="D48" s="44">
        <v>12</v>
      </c>
      <c r="E48" s="29">
        <v>7</v>
      </c>
      <c r="F48" s="18" t="s">
        <v>120</v>
      </c>
      <c r="G48" s="62">
        <v>2700</v>
      </c>
      <c r="H48" s="62">
        <v>2860</v>
      </c>
      <c r="I48" s="62">
        <v>1500</v>
      </c>
      <c r="J48" s="62">
        <v>1760</v>
      </c>
      <c r="K48" s="62">
        <v>1450</v>
      </c>
      <c r="L48" s="62">
        <v>1540</v>
      </c>
      <c r="M48" s="62">
        <v>1300</v>
      </c>
      <c r="N48" s="62">
        <v>1100</v>
      </c>
      <c r="O48" s="62">
        <v>1150</v>
      </c>
      <c r="P48" s="62">
        <v>880</v>
      </c>
      <c r="Q48" s="62">
        <v>1200</v>
      </c>
      <c r="R48" s="62">
        <v>1650</v>
      </c>
      <c r="S48" s="62">
        <v>1000</v>
      </c>
      <c r="T48" s="62">
        <v>1540</v>
      </c>
      <c r="U48" s="21"/>
      <c r="V48" s="15"/>
      <c r="W48" s="9" t="s">
        <v>72</v>
      </c>
    </row>
    <row r="49" spans="1:23" ht="24" customHeight="1" thickBot="1" x14ac:dyDescent="0.3">
      <c r="A49" s="17">
        <v>39</v>
      </c>
      <c r="B49" s="139">
        <v>0.71944444444444444</v>
      </c>
      <c r="C49" s="80" t="s">
        <v>121</v>
      </c>
      <c r="D49" s="81">
        <v>7</v>
      </c>
      <c r="E49" s="82">
        <v>2</v>
      </c>
      <c r="F49" s="83" t="s">
        <v>58</v>
      </c>
      <c r="G49" s="84">
        <v>2100</v>
      </c>
      <c r="H49" s="84">
        <v>2310</v>
      </c>
      <c r="I49" s="84">
        <v>3850</v>
      </c>
      <c r="J49" s="84">
        <v>5170</v>
      </c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36"/>
      <c r="V49" s="35"/>
      <c r="W49" s="85" t="s">
        <v>70</v>
      </c>
    </row>
    <row r="50" spans="1:23" ht="24" customHeight="1" x14ac:dyDescent="0.25">
      <c r="A50" s="17">
        <f t="shared" ref="A50:A74" si="3">A49+1</f>
        <v>40</v>
      </c>
      <c r="B50" s="10"/>
      <c r="C50" s="13"/>
      <c r="D50" s="40"/>
      <c r="E50" s="13"/>
      <c r="F50" s="18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21"/>
      <c r="V50" s="15"/>
      <c r="W50" s="14"/>
    </row>
    <row r="51" spans="1:23" ht="24" customHeight="1" x14ac:dyDescent="0.25">
      <c r="A51" s="17">
        <f t="shared" si="3"/>
        <v>41</v>
      </c>
      <c r="B51" s="10"/>
      <c r="C51" s="5"/>
      <c r="D51" s="40"/>
      <c r="E51" s="5"/>
      <c r="F51" s="18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21"/>
      <c r="V51" s="15"/>
      <c r="W51" s="9"/>
    </row>
    <row r="52" spans="1:23" ht="24" customHeight="1" x14ac:dyDescent="0.25">
      <c r="A52" s="17">
        <f t="shared" si="3"/>
        <v>42</v>
      </c>
      <c r="B52" s="10"/>
      <c r="C52" s="5"/>
      <c r="D52" s="40"/>
      <c r="E52" s="5"/>
      <c r="F52" s="18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21"/>
      <c r="V52" s="15"/>
      <c r="W52" s="9"/>
    </row>
    <row r="53" spans="1:23" ht="24" customHeight="1" x14ac:dyDescent="0.25">
      <c r="A53" s="17">
        <f t="shared" si="3"/>
        <v>43</v>
      </c>
      <c r="B53" s="10"/>
      <c r="C53" s="5"/>
      <c r="D53" s="40"/>
      <c r="E53" s="5"/>
      <c r="F53" s="1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21"/>
      <c r="V53" s="15"/>
      <c r="W53" s="9"/>
    </row>
    <row r="54" spans="1:23" ht="24" customHeight="1" x14ac:dyDescent="0.25">
      <c r="A54" s="17">
        <f t="shared" si="3"/>
        <v>44</v>
      </c>
      <c r="B54" s="10"/>
      <c r="C54" s="5"/>
      <c r="D54" s="39"/>
      <c r="E54" s="5"/>
      <c r="F54" s="13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21"/>
      <c r="V54" s="15"/>
      <c r="W54" s="9"/>
    </row>
    <row r="55" spans="1:23" ht="24" customHeight="1" x14ac:dyDescent="0.25">
      <c r="A55" s="17">
        <f t="shared" si="3"/>
        <v>45</v>
      </c>
      <c r="B55" s="10"/>
      <c r="C55" s="5"/>
      <c r="D55" s="40"/>
      <c r="E55" s="5"/>
      <c r="F55" s="1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21"/>
      <c r="V55" s="15"/>
      <c r="W55" s="9"/>
    </row>
    <row r="56" spans="1:23" ht="24" customHeight="1" x14ac:dyDescent="0.25">
      <c r="A56" s="17">
        <f t="shared" si="3"/>
        <v>46</v>
      </c>
      <c r="B56" s="10"/>
      <c r="C56" s="5"/>
      <c r="D56" s="40"/>
      <c r="E56" s="5"/>
      <c r="F56" s="1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21"/>
      <c r="V56" s="15"/>
      <c r="W56" s="9"/>
    </row>
    <row r="57" spans="1:23" ht="24" customHeight="1" x14ac:dyDescent="0.25">
      <c r="A57" s="17">
        <f t="shared" si="3"/>
        <v>47</v>
      </c>
      <c r="B57" s="10"/>
      <c r="C57" s="5"/>
      <c r="D57" s="40"/>
      <c r="E57" s="5"/>
      <c r="F57" s="1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21"/>
      <c r="V57" s="15"/>
      <c r="W57" s="9"/>
    </row>
    <row r="58" spans="1:23" ht="24" customHeight="1" x14ac:dyDescent="0.25">
      <c r="A58" s="17">
        <f t="shared" si="3"/>
        <v>48</v>
      </c>
      <c r="B58" s="10"/>
      <c r="C58" s="5"/>
      <c r="D58" s="40"/>
      <c r="E58" s="5"/>
      <c r="F58" s="1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21"/>
      <c r="V58" s="15"/>
      <c r="W58" s="9"/>
    </row>
    <row r="59" spans="1:23" ht="24" customHeight="1" x14ac:dyDescent="0.25">
      <c r="A59" s="17">
        <f t="shared" si="3"/>
        <v>49</v>
      </c>
      <c r="B59" s="10"/>
      <c r="C59" s="5"/>
      <c r="D59" s="40"/>
      <c r="E59" s="5"/>
      <c r="F59" s="1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21"/>
      <c r="V59" s="15"/>
      <c r="W59" s="9"/>
    </row>
    <row r="60" spans="1:23" ht="24" customHeight="1" x14ac:dyDescent="0.25">
      <c r="A60" s="17">
        <f t="shared" si="3"/>
        <v>50</v>
      </c>
      <c r="B60" s="10"/>
      <c r="C60" s="5"/>
      <c r="D60" s="40"/>
      <c r="E60" s="5"/>
      <c r="F60" s="1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21"/>
      <c r="V60" s="15"/>
      <c r="W60" s="9"/>
    </row>
    <row r="61" spans="1:23" ht="24" customHeight="1" x14ac:dyDescent="0.25">
      <c r="A61" s="17">
        <f t="shared" si="3"/>
        <v>51</v>
      </c>
      <c r="B61" s="10"/>
      <c r="C61" s="5"/>
      <c r="D61" s="40"/>
      <c r="E61" s="5"/>
      <c r="F61" s="1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21"/>
      <c r="V61" s="15"/>
      <c r="W61" s="9"/>
    </row>
    <row r="62" spans="1:23" ht="24" customHeight="1" x14ac:dyDescent="0.25">
      <c r="A62" s="17">
        <f t="shared" si="3"/>
        <v>52</v>
      </c>
      <c r="B62" s="10"/>
      <c r="C62" s="5"/>
      <c r="D62" s="40"/>
      <c r="E62" s="5"/>
      <c r="F62" s="1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21"/>
      <c r="V62" s="15"/>
      <c r="W62" s="9"/>
    </row>
    <row r="63" spans="1:23" ht="24" customHeight="1" x14ac:dyDescent="0.25">
      <c r="A63" s="17">
        <f t="shared" si="3"/>
        <v>53</v>
      </c>
      <c r="B63" s="10"/>
      <c r="C63" s="5"/>
      <c r="D63" s="40"/>
      <c r="E63" s="5"/>
      <c r="F63" s="1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21"/>
      <c r="V63" s="15"/>
      <c r="W63" s="9"/>
    </row>
    <row r="64" spans="1:23" ht="24" customHeight="1" x14ac:dyDescent="0.25">
      <c r="A64" s="17">
        <f t="shared" si="3"/>
        <v>54</v>
      </c>
      <c r="B64" s="10"/>
      <c r="C64" s="5"/>
      <c r="D64" s="40"/>
      <c r="E64" s="5"/>
      <c r="F64" s="1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21"/>
      <c r="V64" s="15"/>
      <c r="W64" s="9"/>
    </row>
    <row r="65" spans="1:23" ht="24" customHeight="1" x14ac:dyDescent="0.25">
      <c r="A65" s="17">
        <f t="shared" si="3"/>
        <v>55</v>
      </c>
      <c r="B65" s="10"/>
      <c r="C65" s="5"/>
      <c r="D65" s="39"/>
      <c r="E65" s="5"/>
      <c r="F65" s="1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21"/>
      <c r="V65" s="15"/>
      <c r="W65" s="9"/>
    </row>
    <row r="66" spans="1:23" ht="24" customHeight="1" x14ac:dyDescent="0.25">
      <c r="A66" s="17">
        <f t="shared" si="3"/>
        <v>56</v>
      </c>
      <c r="B66" s="10"/>
      <c r="C66" s="10"/>
      <c r="D66" s="39"/>
      <c r="E66" s="5"/>
      <c r="F66" s="1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21"/>
      <c r="V66" s="15"/>
      <c r="W66" s="9"/>
    </row>
    <row r="67" spans="1:23" ht="24" customHeight="1" x14ac:dyDescent="0.25">
      <c r="A67" s="17">
        <f t="shared" si="3"/>
        <v>57</v>
      </c>
      <c r="B67" s="10"/>
      <c r="C67" s="5"/>
      <c r="D67" s="39"/>
      <c r="E67" s="5"/>
      <c r="F67" s="1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21"/>
      <c r="V67" s="15"/>
      <c r="W67" s="9"/>
    </row>
    <row r="68" spans="1:23" ht="24" customHeight="1" x14ac:dyDescent="0.25">
      <c r="A68" s="17">
        <f t="shared" si="3"/>
        <v>58</v>
      </c>
      <c r="B68" s="10"/>
      <c r="C68" s="5"/>
      <c r="D68" s="39"/>
      <c r="E68" s="5"/>
      <c r="F68" s="1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21"/>
      <c r="V68" s="15"/>
      <c r="W68" s="9"/>
    </row>
    <row r="69" spans="1:23" ht="24" customHeight="1" x14ac:dyDescent="0.25">
      <c r="A69" s="17">
        <f t="shared" si="3"/>
        <v>59</v>
      </c>
      <c r="B69" s="10"/>
      <c r="C69" s="5"/>
      <c r="D69" s="39"/>
      <c r="E69" s="5"/>
      <c r="F69" s="1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21"/>
      <c r="V69" s="15"/>
      <c r="W69" s="9"/>
    </row>
    <row r="70" spans="1:23" ht="24" customHeight="1" x14ac:dyDescent="0.25">
      <c r="A70" s="17">
        <f t="shared" si="3"/>
        <v>60</v>
      </c>
      <c r="B70" s="10"/>
      <c r="C70" s="5"/>
      <c r="D70" s="39"/>
      <c r="E70" s="5"/>
      <c r="F70" s="1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21"/>
      <c r="V70" s="15"/>
      <c r="W70" s="9"/>
    </row>
    <row r="71" spans="1:23" ht="24" customHeight="1" x14ac:dyDescent="0.25">
      <c r="A71" s="17">
        <f t="shared" si="3"/>
        <v>61</v>
      </c>
      <c r="B71" s="10"/>
      <c r="C71" s="5"/>
      <c r="D71" s="39"/>
      <c r="E71" s="5"/>
      <c r="F71" s="1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21"/>
      <c r="V71" s="15"/>
      <c r="W71" s="9"/>
    </row>
    <row r="72" spans="1:23" ht="24" customHeight="1" x14ac:dyDescent="0.25">
      <c r="A72" s="17">
        <f t="shared" si="3"/>
        <v>62</v>
      </c>
      <c r="B72" s="10"/>
      <c r="C72" s="5"/>
      <c r="D72" s="68"/>
      <c r="E72" s="5"/>
      <c r="F72" s="5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21"/>
      <c r="V72" s="15"/>
      <c r="W72" s="9"/>
    </row>
    <row r="73" spans="1:23" ht="24" customHeight="1" x14ac:dyDescent="0.25">
      <c r="A73" s="17">
        <f t="shared" si="3"/>
        <v>63</v>
      </c>
      <c r="B73" s="10"/>
      <c r="C73" s="5"/>
      <c r="D73" s="39"/>
      <c r="E73" s="5"/>
      <c r="F73" s="1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5"/>
      <c r="V73" s="15"/>
      <c r="W73" s="9"/>
    </row>
    <row r="74" spans="1:23" ht="24" customHeight="1" x14ac:dyDescent="0.25">
      <c r="A74" s="17">
        <f t="shared" si="3"/>
        <v>64</v>
      </c>
      <c r="B74" s="10"/>
      <c r="C74" s="5"/>
      <c r="D74" s="39"/>
      <c r="E74" s="5"/>
      <c r="F74" s="1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5"/>
      <c r="V74" s="15"/>
      <c r="W74" s="9"/>
    </row>
    <row r="75" spans="1:23" ht="24" customHeight="1" x14ac:dyDescent="0.25">
      <c r="A75" s="17">
        <f t="shared" ref="A75:A79" si="4">A74+1</f>
        <v>65</v>
      </c>
      <c r="B75" s="10"/>
      <c r="C75" s="5"/>
      <c r="D75" s="39"/>
      <c r="E75" s="5"/>
      <c r="F75" s="1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5"/>
      <c r="V75" s="15"/>
      <c r="W75" s="9"/>
    </row>
    <row r="76" spans="1:23" ht="24" customHeight="1" x14ac:dyDescent="0.25">
      <c r="A76" s="17">
        <f t="shared" si="4"/>
        <v>66</v>
      </c>
      <c r="B76" s="10"/>
      <c r="C76" s="5"/>
      <c r="D76" s="68"/>
      <c r="E76" s="5"/>
      <c r="F76" s="5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5"/>
      <c r="V76" s="15"/>
      <c r="W76" s="9"/>
    </row>
    <row r="77" spans="1:23" ht="24" customHeight="1" x14ac:dyDescent="0.25">
      <c r="A77" s="17">
        <f t="shared" si="4"/>
        <v>67</v>
      </c>
      <c r="B77" s="10"/>
      <c r="C77" s="5"/>
      <c r="D77" s="68"/>
      <c r="E77" s="5"/>
      <c r="F77" s="5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5"/>
      <c r="V77" s="15"/>
      <c r="W77" s="9"/>
    </row>
    <row r="78" spans="1:23" ht="24" customHeight="1" x14ac:dyDescent="0.25">
      <c r="A78" s="17">
        <f t="shared" si="4"/>
        <v>68</v>
      </c>
      <c r="B78" s="10"/>
      <c r="C78" s="5"/>
      <c r="D78" s="39"/>
      <c r="E78" s="5"/>
      <c r="F78" s="1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5"/>
      <c r="V78" s="15"/>
      <c r="W78" s="9"/>
    </row>
    <row r="79" spans="1:23" ht="24" customHeight="1" x14ac:dyDescent="0.25">
      <c r="A79" s="17">
        <f t="shared" si="4"/>
        <v>69</v>
      </c>
      <c r="B79" s="10"/>
      <c r="C79" s="5"/>
      <c r="D79" s="39"/>
      <c r="E79" s="5"/>
      <c r="F79" s="1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5"/>
      <c r="V79" s="15"/>
      <c r="W79" s="9"/>
    </row>
    <row r="80" spans="1:23" ht="24" customHeight="1" x14ac:dyDescent="0.25">
      <c r="A80" s="11"/>
      <c r="B80" s="10"/>
      <c r="C80" s="5"/>
      <c r="D80" s="68"/>
      <c r="E80" s="5"/>
      <c r="F80" s="5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5"/>
      <c r="V80" s="15"/>
      <c r="W80" s="9"/>
    </row>
    <row r="81" spans="1:23" ht="24" customHeight="1" x14ac:dyDescent="0.25">
      <c r="A81" s="11"/>
      <c r="B81" s="10"/>
      <c r="C81" s="5"/>
      <c r="D81" s="68"/>
      <c r="E81" s="5"/>
      <c r="F81" s="5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5"/>
      <c r="V81" s="15"/>
      <c r="W81" s="9"/>
    </row>
    <row r="82" spans="1:23" ht="24" customHeight="1" x14ac:dyDescent="0.25">
      <c r="A82" s="11"/>
      <c r="B82" s="10"/>
      <c r="C82" s="5"/>
      <c r="D82" s="68"/>
      <c r="E82" s="5"/>
      <c r="F82" s="5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5"/>
      <c r="V82" s="15"/>
      <c r="W82" s="9"/>
    </row>
    <row r="83" spans="1:23" ht="24" customHeight="1" x14ac:dyDescent="0.25">
      <c r="A83" s="11"/>
      <c r="B83" s="10"/>
      <c r="C83" s="5"/>
      <c r="D83" s="68"/>
      <c r="E83" s="5"/>
      <c r="F83" s="5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5"/>
      <c r="V83" s="15"/>
      <c r="W83" s="9"/>
    </row>
    <row r="84" spans="1:23" ht="24" customHeight="1" x14ac:dyDescent="0.25">
      <c r="A84" s="11"/>
      <c r="B84" s="10"/>
      <c r="C84" s="5"/>
      <c r="D84" s="68"/>
      <c r="E84" s="5"/>
      <c r="F84" s="5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5"/>
      <c r="V84" s="15"/>
      <c r="W84" s="9"/>
    </row>
    <row r="85" spans="1:23" ht="24" customHeight="1" x14ac:dyDescent="0.25">
      <c r="A85" s="11"/>
      <c r="B85" s="10"/>
      <c r="C85" s="5"/>
      <c r="D85" s="68"/>
      <c r="E85" s="5"/>
      <c r="F85" s="5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5"/>
      <c r="V85" s="15"/>
      <c r="W85" s="9"/>
    </row>
    <row r="86" spans="1:23" ht="24" customHeight="1" x14ac:dyDescent="0.25">
      <c r="A86" s="11"/>
      <c r="B86" s="10"/>
      <c r="C86" s="5"/>
      <c r="D86" s="68"/>
      <c r="E86" s="5"/>
      <c r="F86" s="5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5"/>
      <c r="V86" s="15"/>
      <c r="W86" s="9"/>
    </row>
    <row r="87" spans="1:23" ht="24" customHeight="1" x14ac:dyDescent="0.25">
      <c r="A87" s="11"/>
      <c r="B87" s="10"/>
      <c r="C87" s="5"/>
      <c r="D87" s="68"/>
      <c r="E87" s="5"/>
      <c r="F87" s="5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5"/>
      <c r="V87" s="15"/>
      <c r="W87" s="9"/>
    </row>
    <row r="88" spans="1:23" ht="24" customHeight="1" x14ac:dyDescent="0.25">
      <c r="A88" s="11"/>
      <c r="B88" s="10"/>
      <c r="C88" s="5"/>
      <c r="D88" s="68"/>
      <c r="E88" s="5"/>
      <c r="F88" s="5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5"/>
      <c r="V88" s="15"/>
      <c r="W88" s="9"/>
    </row>
    <row r="89" spans="1:23" ht="24" customHeight="1" x14ac:dyDescent="0.25">
      <c r="A89" s="11"/>
      <c r="B89" s="10"/>
      <c r="C89" s="5"/>
      <c r="D89" s="68"/>
      <c r="E89" s="5"/>
      <c r="F89" s="5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5"/>
      <c r="V89" s="15"/>
      <c r="W89" s="9"/>
    </row>
    <row r="90" spans="1:23" ht="24" customHeight="1" x14ac:dyDescent="0.25">
      <c r="A90" s="11"/>
      <c r="B90" s="10"/>
      <c r="C90" s="5"/>
      <c r="D90" s="68"/>
      <c r="E90" s="5"/>
      <c r="F90" s="5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5"/>
      <c r="V90" s="15"/>
      <c r="W90" s="9"/>
    </row>
    <row r="91" spans="1:23" ht="24" customHeight="1" x14ac:dyDescent="0.25">
      <c r="A91" s="11"/>
      <c r="B91" s="10"/>
      <c r="C91" s="5"/>
      <c r="D91" s="68"/>
      <c r="E91" s="5"/>
      <c r="F91" s="5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5"/>
      <c r="V91" s="15"/>
      <c r="W91" s="9"/>
    </row>
    <row r="92" spans="1:23" ht="24" customHeight="1" x14ac:dyDescent="0.25">
      <c r="A92" s="11"/>
      <c r="B92" s="10"/>
      <c r="C92" s="5"/>
      <c r="D92" s="68"/>
      <c r="E92" s="5"/>
      <c r="F92" s="5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5"/>
      <c r="V92" s="15"/>
      <c r="W92" s="9"/>
    </row>
    <row r="93" spans="1:23" ht="24" customHeight="1" x14ac:dyDescent="0.25">
      <c r="A93" s="11"/>
      <c r="B93" s="10"/>
      <c r="C93" s="5"/>
      <c r="D93" s="68"/>
      <c r="E93" s="5"/>
      <c r="F93" s="5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5"/>
      <c r="V93" s="15"/>
      <c r="W93" s="9"/>
    </row>
    <row r="94" spans="1:23" ht="24" customHeight="1" x14ac:dyDescent="0.25">
      <c r="A94" s="11"/>
      <c r="B94" s="10"/>
      <c r="C94" s="5"/>
      <c r="D94" s="68"/>
      <c r="E94" s="5"/>
      <c r="F94" s="5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5"/>
      <c r="V94" s="15"/>
      <c r="W94" s="9"/>
    </row>
    <row r="95" spans="1:23" ht="24" customHeight="1" x14ac:dyDescent="0.25">
      <c r="A95" s="11"/>
      <c r="B95" s="10"/>
      <c r="C95" s="5"/>
      <c r="D95" s="68"/>
      <c r="E95" s="5"/>
      <c r="F95" s="5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5"/>
      <c r="V95" s="15"/>
      <c r="W95" s="9"/>
    </row>
    <row r="96" spans="1:23" ht="24" customHeight="1" x14ac:dyDescent="0.25">
      <c r="A96" s="11"/>
      <c r="B96" s="10"/>
      <c r="C96" s="5"/>
      <c r="D96" s="68"/>
      <c r="E96" s="5"/>
      <c r="F96" s="5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5"/>
      <c r="V96" s="15"/>
      <c r="W96" s="9"/>
    </row>
    <row r="97" spans="1:23" ht="24" customHeight="1" x14ac:dyDescent="0.25">
      <c r="A97" s="11"/>
      <c r="B97" s="10"/>
      <c r="C97" s="5"/>
      <c r="D97" s="68"/>
      <c r="E97" s="5"/>
      <c r="F97" s="5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5"/>
      <c r="V97" s="15"/>
      <c r="W97" s="9"/>
    </row>
    <row r="98" spans="1:23" ht="24" customHeight="1" x14ac:dyDescent="0.25">
      <c r="A98" s="11"/>
      <c r="B98" s="10"/>
      <c r="C98" s="5"/>
      <c r="D98" s="68"/>
      <c r="E98" s="5"/>
      <c r="F98" s="5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5"/>
      <c r="V98" s="15"/>
      <c r="W98" s="9"/>
    </row>
    <row r="99" spans="1:23" ht="24" customHeight="1" x14ac:dyDescent="0.25">
      <c r="A99" s="11"/>
      <c r="B99" s="10"/>
      <c r="C99" s="5"/>
      <c r="D99" s="68"/>
      <c r="E99" s="5"/>
      <c r="F99" s="5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5"/>
      <c r="V99" s="15"/>
      <c r="W99" s="9"/>
    </row>
    <row r="100" spans="1:23" ht="24" customHeight="1" x14ac:dyDescent="0.25">
      <c r="A100" s="11"/>
      <c r="B100" s="10"/>
      <c r="C100" s="5"/>
      <c r="D100" s="68"/>
      <c r="E100" s="5"/>
      <c r="F100" s="5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5"/>
      <c r="V100" s="15"/>
      <c r="W100" s="9"/>
    </row>
    <row r="101" spans="1:23" ht="24" customHeight="1" x14ac:dyDescent="0.25">
      <c r="A101" s="11"/>
      <c r="B101" s="10"/>
      <c r="C101" s="5"/>
      <c r="D101" s="68"/>
      <c r="E101" s="5"/>
      <c r="F101" s="5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5"/>
      <c r="V101" s="15"/>
      <c r="W101" s="9"/>
    </row>
    <row r="102" spans="1:23" ht="24" customHeight="1" x14ac:dyDescent="0.25">
      <c r="A102" s="11"/>
      <c r="B102" s="10"/>
      <c r="C102" s="5"/>
      <c r="D102" s="68"/>
      <c r="E102" s="5"/>
      <c r="F102" s="5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5"/>
      <c r="V102" s="15"/>
      <c r="W102" s="9"/>
    </row>
    <row r="103" spans="1:23" ht="24" customHeight="1" x14ac:dyDescent="0.25">
      <c r="A103" s="11"/>
      <c r="B103" s="10"/>
      <c r="C103" s="5"/>
      <c r="D103" s="68"/>
      <c r="E103" s="5"/>
      <c r="F103" s="5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5"/>
      <c r="V103" s="15"/>
      <c r="W103" s="9"/>
    </row>
    <row r="104" spans="1:23" ht="24" customHeight="1" x14ac:dyDescent="0.25">
      <c r="A104" s="11"/>
      <c r="B104" s="10"/>
      <c r="C104" s="5"/>
      <c r="D104" s="68"/>
      <c r="E104" s="5"/>
      <c r="F104" s="5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5"/>
      <c r="V104" s="15"/>
      <c r="W104" s="9"/>
    </row>
    <row r="105" spans="1:23" ht="24" customHeight="1" x14ac:dyDescent="0.25">
      <c r="A105" s="11"/>
      <c r="B105" s="10"/>
      <c r="C105" s="5"/>
      <c r="D105" s="68"/>
      <c r="E105" s="5"/>
      <c r="F105" s="5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5"/>
      <c r="V105" s="15"/>
      <c r="W105" s="9"/>
    </row>
    <row r="106" spans="1:23" ht="24" customHeight="1" x14ac:dyDescent="0.25">
      <c r="A106" s="11"/>
      <c r="B106" s="10"/>
      <c r="C106" s="5"/>
      <c r="D106" s="68"/>
      <c r="E106" s="5"/>
      <c r="F106" s="5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5"/>
      <c r="V106" s="15"/>
      <c r="W106" s="9"/>
    </row>
    <row r="107" spans="1:23" ht="24" customHeight="1" x14ac:dyDescent="0.25">
      <c r="A107" s="11"/>
      <c r="B107" s="10"/>
      <c r="C107" s="5"/>
      <c r="D107" s="68"/>
      <c r="E107" s="5"/>
      <c r="F107" s="5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5"/>
      <c r="V107" s="15"/>
      <c r="W107" s="9"/>
    </row>
    <row r="108" spans="1:23" ht="24" customHeight="1" x14ac:dyDescent="0.25">
      <c r="A108" s="11"/>
      <c r="B108" s="10"/>
      <c r="C108" s="5"/>
      <c r="D108" s="68"/>
      <c r="E108" s="5"/>
      <c r="F108" s="5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5"/>
      <c r="V108" s="15"/>
      <c r="W108" s="9"/>
    </row>
    <row r="109" spans="1:23" ht="24" customHeight="1" x14ac:dyDescent="0.25">
      <c r="A109" s="11"/>
      <c r="B109" s="10"/>
      <c r="C109" s="5"/>
      <c r="D109" s="68"/>
      <c r="E109" s="5"/>
      <c r="F109" s="5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5"/>
      <c r="V109" s="15"/>
      <c r="W109" s="9"/>
    </row>
    <row r="110" spans="1:23" ht="24" customHeight="1" x14ac:dyDescent="0.25">
      <c r="A110" s="11"/>
      <c r="B110" s="10"/>
      <c r="C110" s="5"/>
      <c r="D110" s="68"/>
      <c r="E110" s="5"/>
      <c r="F110" s="5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5"/>
      <c r="V110" s="15"/>
      <c r="W110" s="9"/>
    </row>
    <row r="111" spans="1:23" ht="24" customHeight="1" x14ac:dyDescent="0.25">
      <c r="A111" s="11"/>
      <c r="B111" s="10"/>
      <c r="C111" s="5"/>
      <c r="D111" s="68"/>
      <c r="E111" s="5"/>
      <c r="F111" s="5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5"/>
      <c r="V111" s="15"/>
      <c r="W111" s="9"/>
    </row>
    <row r="112" spans="1:23" ht="24" customHeight="1" x14ac:dyDescent="0.25">
      <c r="A112" s="11"/>
      <c r="B112" s="10"/>
      <c r="C112" s="5"/>
      <c r="D112" s="68"/>
      <c r="E112" s="5"/>
      <c r="F112" s="5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5"/>
      <c r="V112" s="15"/>
      <c r="W112" s="9"/>
    </row>
    <row r="113" spans="1:23" ht="24" customHeight="1" x14ac:dyDescent="0.25">
      <c r="A113" s="11"/>
      <c r="B113" s="10"/>
      <c r="C113" s="5"/>
      <c r="D113" s="68"/>
      <c r="E113" s="5"/>
      <c r="F113" s="5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5"/>
      <c r="V113" s="15"/>
      <c r="W113" s="9"/>
    </row>
    <row r="114" spans="1:23" ht="24" customHeight="1" x14ac:dyDescent="0.25">
      <c r="A114" s="11"/>
      <c r="B114" s="10"/>
      <c r="C114" s="5"/>
      <c r="D114" s="68"/>
      <c r="E114" s="5"/>
      <c r="F114" s="5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5"/>
      <c r="V114" s="15"/>
      <c r="W114" s="9"/>
    </row>
    <row r="115" spans="1:23" ht="24" customHeight="1" x14ac:dyDescent="0.25">
      <c r="A115" s="11"/>
      <c r="B115" s="10"/>
      <c r="C115" s="5"/>
      <c r="D115" s="68"/>
      <c r="E115" s="5"/>
      <c r="F115" s="5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5"/>
      <c r="V115" s="15"/>
      <c r="W115" s="9"/>
    </row>
    <row r="116" spans="1:23" ht="24" customHeight="1" x14ac:dyDescent="0.25">
      <c r="A116" s="11"/>
      <c r="B116" s="10"/>
      <c r="C116" s="5"/>
      <c r="D116" s="68"/>
      <c r="E116" s="5"/>
      <c r="F116" s="5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5"/>
      <c r="V116" s="15"/>
      <c r="W116" s="9"/>
    </row>
    <row r="117" spans="1:23" ht="24" customHeight="1" x14ac:dyDescent="0.25">
      <c r="A117" s="11"/>
      <c r="B117" s="10"/>
      <c r="C117" s="5"/>
      <c r="D117" s="68"/>
      <c r="E117" s="5"/>
      <c r="F117" s="5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5"/>
      <c r="V117" s="15"/>
      <c r="W117" s="9"/>
    </row>
    <row r="118" spans="1:23" ht="24" customHeight="1" x14ac:dyDescent="0.25">
      <c r="A118" s="11"/>
      <c r="B118" s="10"/>
      <c r="C118" s="5"/>
      <c r="D118" s="68"/>
      <c r="E118" s="5"/>
      <c r="F118" s="5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5"/>
      <c r="V118" s="15"/>
      <c r="W118" s="9"/>
    </row>
    <row r="119" spans="1:23" ht="24" customHeight="1" x14ac:dyDescent="0.25">
      <c r="A119" s="11"/>
      <c r="B119" s="10"/>
      <c r="C119" s="5"/>
      <c r="D119" s="68"/>
      <c r="E119" s="5"/>
      <c r="F119" s="5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5"/>
      <c r="V119" s="15"/>
      <c r="W119" s="9"/>
    </row>
    <row r="120" spans="1:23" ht="24" customHeight="1" x14ac:dyDescent="0.25">
      <c r="A120" s="11"/>
      <c r="B120" s="10"/>
      <c r="C120" s="5"/>
      <c r="D120" s="68"/>
      <c r="E120" s="5"/>
      <c r="F120" s="5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5"/>
      <c r="V120" s="15"/>
      <c r="W120" s="9"/>
    </row>
    <row r="121" spans="1:23" ht="24" customHeight="1" x14ac:dyDescent="0.25">
      <c r="A121" s="11"/>
      <c r="B121" s="10"/>
      <c r="C121" s="5"/>
      <c r="D121" s="68"/>
      <c r="E121" s="5"/>
      <c r="F121" s="5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5"/>
      <c r="V121" s="15"/>
      <c r="W121" s="9"/>
    </row>
    <row r="122" spans="1:23" ht="24" customHeight="1" x14ac:dyDescent="0.25">
      <c r="A122" s="11"/>
      <c r="B122" s="10"/>
      <c r="C122" s="5"/>
      <c r="D122" s="68"/>
      <c r="E122" s="5"/>
      <c r="F122" s="5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5"/>
      <c r="V122" s="15"/>
      <c r="W122" s="9"/>
    </row>
    <row r="123" spans="1:23" ht="24" customHeight="1" x14ac:dyDescent="0.25">
      <c r="A123" s="11"/>
      <c r="B123" s="10"/>
      <c r="C123" s="5"/>
      <c r="D123" s="68"/>
      <c r="E123" s="5"/>
      <c r="F123" s="5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5"/>
      <c r="V123" s="15"/>
      <c r="W123" s="9"/>
    </row>
    <row r="124" spans="1:23" ht="24" customHeight="1" x14ac:dyDescent="0.25">
      <c r="A124" s="11"/>
      <c r="B124" s="10"/>
      <c r="C124" s="5"/>
      <c r="D124" s="68"/>
      <c r="E124" s="5"/>
      <c r="F124" s="5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5"/>
      <c r="V124" s="15"/>
      <c r="W124" s="9"/>
    </row>
    <row r="125" spans="1:23" ht="24" customHeight="1" x14ac:dyDescent="0.25">
      <c r="A125" s="11"/>
      <c r="B125" s="10"/>
      <c r="C125" s="5"/>
      <c r="D125" s="68"/>
      <c r="E125" s="5"/>
      <c r="F125" s="5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5"/>
      <c r="V125" s="15"/>
      <c r="W125" s="9"/>
    </row>
    <row r="126" spans="1:23" ht="24" customHeight="1" x14ac:dyDescent="0.25">
      <c r="A126" s="11"/>
      <c r="B126" s="10"/>
      <c r="C126" s="5"/>
      <c r="D126" s="68"/>
      <c r="E126" s="5"/>
      <c r="F126" s="5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5"/>
      <c r="V126" s="15"/>
      <c r="W126" s="9"/>
    </row>
    <row r="127" spans="1:23" ht="24" customHeight="1" x14ac:dyDescent="0.25">
      <c r="A127" s="11"/>
      <c r="B127" s="10"/>
      <c r="C127" s="5"/>
      <c r="D127" s="68"/>
      <c r="E127" s="5"/>
      <c r="F127" s="5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5"/>
      <c r="V127" s="15"/>
      <c r="W127" s="9"/>
    </row>
    <row r="128" spans="1:23" ht="24" customHeight="1" x14ac:dyDescent="0.25">
      <c r="A128" s="11"/>
      <c r="B128" s="10"/>
      <c r="C128" s="5"/>
      <c r="D128" s="68"/>
      <c r="E128" s="5"/>
      <c r="F128" s="5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5"/>
      <c r="V128" s="15"/>
      <c r="W128" s="9"/>
    </row>
    <row r="129" spans="1:23" ht="24" customHeight="1" x14ac:dyDescent="0.25">
      <c r="A129" s="11"/>
      <c r="B129" s="10"/>
      <c r="C129" s="5"/>
      <c r="D129" s="68"/>
      <c r="E129" s="5"/>
      <c r="F129" s="5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5"/>
      <c r="V129" s="15"/>
      <c r="W129" s="9"/>
    </row>
    <row r="130" spans="1:23" ht="24" customHeight="1" x14ac:dyDescent="0.25">
      <c r="A130" s="11"/>
      <c r="B130" s="10"/>
      <c r="C130" s="5"/>
      <c r="D130" s="68"/>
      <c r="E130" s="5"/>
      <c r="F130" s="5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5"/>
      <c r="V130" s="15"/>
      <c r="W130" s="9"/>
    </row>
    <row r="131" spans="1:23" ht="24" customHeight="1" x14ac:dyDescent="0.25">
      <c r="A131" s="11"/>
      <c r="B131" s="10"/>
      <c r="C131" s="5"/>
      <c r="D131" s="68"/>
      <c r="E131" s="5"/>
      <c r="F131" s="5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5"/>
      <c r="V131" s="15"/>
      <c r="W131" s="9"/>
    </row>
    <row r="132" spans="1:23" ht="24" customHeight="1" x14ac:dyDescent="0.25">
      <c r="A132" s="11"/>
      <c r="B132" s="10"/>
      <c r="C132" s="5"/>
      <c r="D132" s="68"/>
      <c r="E132" s="5"/>
      <c r="F132" s="5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5"/>
      <c r="V132" s="15"/>
      <c r="W132" s="9"/>
    </row>
    <row r="133" spans="1:23" ht="24" customHeight="1" x14ac:dyDescent="0.25">
      <c r="A133" s="11"/>
      <c r="B133" s="10"/>
      <c r="C133" s="5"/>
      <c r="D133" s="68"/>
      <c r="E133" s="5"/>
      <c r="F133" s="5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5"/>
      <c r="V133" s="15"/>
      <c r="W133" s="9"/>
    </row>
    <row r="134" spans="1:23" ht="24" customHeight="1" x14ac:dyDescent="0.25">
      <c r="A134" s="11"/>
      <c r="B134" s="10"/>
      <c r="C134" s="5"/>
      <c r="D134" s="68"/>
      <c r="E134" s="5"/>
      <c r="F134" s="5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5"/>
      <c r="V134" s="15"/>
      <c r="W134" s="9"/>
    </row>
    <row r="135" spans="1:23" ht="24" customHeight="1" x14ac:dyDescent="0.25">
      <c r="A135" s="11"/>
      <c r="B135" s="10"/>
      <c r="C135" s="5"/>
      <c r="D135" s="68"/>
      <c r="E135" s="5"/>
      <c r="F135" s="5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5"/>
      <c r="V135" s="15"/>
      <c r="W135" s="9"/>
    </row>
    <row r="136" spans="1:23" ht="24" customHeight="1" x14ac:dyDescent="0.25">
      <c r="A136" s="11"/>
      <c r="B136" s="10"/>
      <c r="C136" s="5"/>
      <c r="D136" s="68"/>
      <c r="E136" s="5"/>
      <c r="F136" s="5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5"/>
      <c r="V136" s="15"/>
      <c r="W136" s="9"/>
    </row>
    <row r="137" spans="1:23" ht="24" customHeight="1" x14ac:dyDescent="0.25">
      <c r="A137" s="11"/>
      <c r="B137" s="10"/>
      <c r="C137" s="5"/>
      <c r="D137" s="68"/>
      <c r="E137" s="5"/>
      <c r="F137" s="5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5"/>
      <c r="V137" s="15"/>
      <c r="W137" s="9"/>
    </row>
    <row r="138" spans="1:23" ht="24" customHeight="1" x14ac:dyDescent="0.25">
      <c r="A138" s="11"/>
      <c r="B138" s="10"/>
      <c r="C138" s="5"/>
      <c r="D138" s="68"/>
      <c r="E138" s="5"/>
      <c r="F138" s="5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5"/>
      <c r="V138" s="15"/>
      <c r="W138" s="9"/>
    </row>
    <row r="139" spans="1:23" ht="24" customHeight="1" x14ac:dyDescent="0.25">
      <c r="A139" s="11"/>
      <c r="B139" s="10"/>
      <c r="C139" s="5"/>
      <c r="D139" s="68"/>
      <c r="E139" s="5"/>
      <c r="F139" s="5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5"/>
      <c r="V139" s="15"/>
      <c r="W139" s="9"/>
    </row>
    <row r="140" spans="1:23" ht="24" customHeight="1" x14ac:dyDescent="0.25">
      <c r="A140" s="11"/>
      <c r="B140" s="10"/>
      <c r="C140" s="5"/>
      <c r="D140" s="68"/>
      <c r="E140" s="5"/>
      <c r="F140" s="5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5"/>
      <c r="V140" s="15"/>
      <c r="W140" s="9"/>
    </row>
    <row r="141" spans="1:23" ht="24" customHeight="1" x14ac:dyDescent="0.25">
      <c r="A141" s="11"/>
      <c r="B141" s="10"/>
      <c r="C141" s="5"/>
      <c r="D141" s="68"/>
      <c r="E141" s="5"/>
      <c r="F141" s="5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5"/>
      <c r="V141" s="15"/>
      <c r="W141" s="9"/>
    </row>
    <row r="142" spans="1:23" ht="24" customHeight="1" x14ac:dyDescent="0.25">
      <c r="A142" s="11"/>
      <c r="B142" s="10"/>
      <c r="C142" s="5"/>
      <c r="D142" s="68"/>
      <c r="E142" s="5"/>
      <c r="F142" s="5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5"/>
      <c r="V142" s="15"/>
      <c r="W142" s="9"/>
    </row>
    <row r="143" spans="1:23" ht="24" customHeight="1" x14ac:dyDescent="0.25">
      <c r="A143" s="11"/>
      <c r="B143" s="10"/>
      <c r="C143" s="5"/>
      <c r="D143" s="68"/>
      <c r="E143" s="5"/>
      <c r="F143" s="5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5"/>
      <c r="V143" s="15"/>
      <c r="W143" s="9"/>
    </row>
    <row r="144" spans="1:23" ht="24" customHeight="1" x14ac:dyDescent="0.25">
      <c r="A144" s="11"/>
      <c r="B144" s="10"/>
      <c r="C144" s="5"/>
      <c r="D144" s="68"/>
      <c r="E144" s="5"/>
      <c r="F144" s="5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5"/>
      <c r="V144" s="15"/>
      <c r="W144" s="9"/>
    </row>
    <row r="145" spans="1:23" ht="24" customHeight="1" x14ac:dyDescent="0.25">
      <c r="A145" s="11"/>
      <c r="B145" s="10"/>
      <c r="C145" s="5"/>
      <c r="D145" s="68"/>
      <c r="E145" s="5"/>
      <c r="F145" s="5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5"/>
      <c r="V145" s="15"/>
      <c r="W145" s="9"/>
    </row>
    <row r="146" spans="1:23" ht="24" customHeight="1" x14ac:dyDescent="0.25">
      <c r="A146" s="11"/>
      <c r="B146" s="10"/>
      <c r="C146" s="5"/>
      <c r="D146" s="68"/>
      <c r="E146" s="5"/>
      <c r="F146" s="5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5"/>
      <c r="V146" s="15"/>
      <c r="W146" s="9"/>
    </row>
    <row r="147" spans="1:23" ht="24" customHeight="1" x14ac:dyDescent="0.25">
      <c r="A147" s="11"/>
      <c r="B147" s="10"/>
      <c r="C147" s="5"/>
      <c r="D147" s="68"/>
      <c r="E147" s="5"/>
      <c r="F147" s="5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5"/>
      <c r="V147" s="15"/>
      <c r="W147" s="9"/>
    </row>
    <row r="148" spans="1:23" ht="24" customHeight="1" x14ac:dyDescent="0.25">
      <c r="A148" s="11"/>
      <c r="B148" s="10"/>
      <c r="C148" s="5"/>
      <c r="D148" s="68"/>
      <c r="E148" s="5"/>
      <c r="F148" s="5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5"/>
      <c r="V148" s="15"/>
      <c r="W148" s="9"/>
    </row>
    <row r="149" spans="1:23" ht="24" customHeight="1" thickBot="1" x14ac:dyDescent="0.3">
      <c r="A149" s="12"/>
      <c r="B149" s="10"/>
      <c r="C149" s="5"/>
      <c r="D149" s="68"/>
      <c r="E149" s="5"/>
      <c r="F149" s="5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5"/>
      <c r="V149" s="15"/>
      <c r="W149" s="9"/>
    </row>
    <row r="150" spans="1:23" ht="24" customHeight="1" x14ac:dyDescent="0.25"/>
    <row r="151" spans="1:23" ht="24" customHeight="1" x14ac:dyDescent="0.25"/>
  </sheetData>
  <mergeCells count="20">
    <mergeCell ref="W5:W6"/>
    <mergeCell ref="G6:H6"/>
    <mergeCell ref="I6:J6"/>
    <mergeCell ref="K6:L6"/>
    <mergeCell ref="M6:N6"/>
    <mergeCell ref="O6:P6"/>
    <mergeCell ref="Q6:R6"/>
    <mergeCell ref="S6:T6"/>
    <mergeCell ref="A1:W1"/>
    <mergeCell ref="A2:V2"/>
    <mergeCell ref="A4:B4"/>
    <mergeCell ref="A5:A6"/>
    <mergeCell ref="B5:B6"/>
    <mergeCell ref="C5:C6"/>
    <mergeCell ref="D5:D6"/>
    <mergeCell ref="E5:E6"/>
    <mergeCell ref="F5:F6"/>
    <mergeCell ref="H5:S5"/>
    <mergeCell ref="U5:U6"/>
    <mergeCell ref="V5:V6"/>
  </mergeCells>
  <printOptions horizontalCentered="1"/>
  <pageMargins left="0.7" right="0.7" top="0.75" bottom="0.75" header="0.3" footer="0.3"/>
  <pageSetup paperSize="9" scale="14" orientation="landscape" horizont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W152"/>
  <sheetViews>
    <sheetView view="pageBreakPreview" zoomScale="75" zoomScaleNormal="100" zoomScaleSheetLayoutView="75" workbookViewId="0">
      <pane xSplit="1" ySplit="6" topLeftCell="D32" activePane="bottomRight" state="frozen"/>
      <selection pane="topRight" activeCell="B1" sqref="B1"/>
      <selection pane="bottomLeft" activeCell="A6" sqref="A6"/>
      <selection pane="bottomRight" activeCell="A36" sqref="A36:XFD42"/>
    </sheetView>
  </sheetViews>
  <sheetFormatPr defaultRowHeight="15" x14ac:dyDescent="0.25"/>
  <cols>
    <col min="1" max="1" width="6.140625" customWidth="1"/>
    <col min="2" max="2" width="17.42578125" bestFit="1" customWidth="1"/>
    <col min="3" max="3" width="15.5703125" customWidth="1"/>
    <col min="4" max="4" width="15.7109375" customWidth="1"/>
    <col min="5" max="5" width="9.140625" customWidth="1"/>
    <col min="6" max="6" width="15.140625" customWidth="1"/>
    <col min="7" max="8" width="11.140625" bestFit="1" customWidth="1"/>
    <col min="9" max="9" width="12.5703125" bestFit="1" customWidth="1"/>
    <col min="10" max="16" width="11.140625" bestFit="1" customWidth="1"/>
    <col min="17" max="17" width="11.7109375" bestFit="1" customWidth="1"/>
    <col min="18" max="18" width="11.140625" bestFit="1" customWidth="1"/>
    <col min="19" max="20" width="8.85546875" customWidth="1"/>
    <col min="21" max="21" width="13.140625" customWidth="1"/>
    <col min="22" max="22" width="13.28515625" customWidth="1"/>
    <col min="23" max="23" width="13.7109375" customWidth="1"/>
  </cols>
  <sheetData>
    <row r="1" spans="1:23" ht="18.75" x14ac:dyDescent="0.3">
      <c r="A1" s="263" t="s">
        <v>372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</row>
    <row r="2" spans="1:23" x14ac:dyDescent="0.25">
      <c r="A2" s="280" t="s">
        <v>26</v>
      </c>
      <c r="B2" s="280"/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</row>
    <row r="3" spans="1:23" x14ac:dyDescent="0.25">
      <c r="A3" s="2" t="s">
        <v>1</v>
      </c>
      <c r="B3" s="2"/>
      <c r="C3" s="27">
        <v>43400</v>
      </c>
      <c r="D3" s="2" t="s">
        <v>2</v>
      </c>
      <c r="E3" s="3"/>
      <c r="F3" s="2"/>
      <c r="G3" s="2"/>
      <c r="H3" s="2" t="s">
        <v>25</v>
      </c>
      <c r="I3" s="3"/>
      <c r="J3" s="2"/>
      <c r="K3" s="2"/>
      <c r="L3" s="2" t="s">
        <v>3</v>
      </c>
      <c r="M3" s="2"/>
      <c r="N3" s="2"/>
      <c r="O3" s="2"/>
      <c r="Q3" s="2"/>
      <c r="R3" s="6" t="s">
        <v>22</v>
      </c>
      <c r="S3" s="3"/>
      <c r="T3" s="4"/>
      <c r="U3" s="4"/>
      <c r="V3" s="2"/>
    </row>
    <row r="4" spans="1:23" ht="15.75" thickBot="1" x14ac:dyDescent="0.3">
      <c r="A4" s="281"/>
      <c r="B4" s="281"/>
      <c r="C4" s="2"/>
      <c r="D4" s="7" t="s">
        <v>27</v>
      </c>
      <c r="E4" s="3"/>
      <c r="F4" s="2"/>
      <c r="G4" s="2"/>
      <c r="H4" s="98" t="s">
        <v>347</v>
      </c>
      <c r="I4" s="3"/>
      <c r="J4" s="2"/>
      <c r="K4" s="2"/>
      <c r="L4" s="2" t="s">
        <v>18</v>
      </c>
      <c r="M4" s="2"/>
      <c r="N4" s="2"/>
      <c r="O4" s="2"/>
      <c r="P4" s="3"/>
      <c r="Q4" s="2"/>
      <c r="R4" s="2"/>
      <c r="S4" s="4"/>
      <c r="T4" s="4"/>
      <c r="U4" s="4"/>
      <c r="V4" s="2"/>
    </row>
    <row r="5" spans="1:23" s="1" customFormat="1" ht="14.45" customHeight="1" x14ac:dyDescent="0.25">
      <c r="A5" s="282" t="s">
        <v>4</v>
      </c>
      <c r="B5" s="284" t="s">
        <v>5</v>
      </c>
      <c r="C5" s="286" t="s">
        <v>6</v>
      </c>
      <c r="D5" s="286" t="s">
        <v>19</v>
      </c>
      <c r="E5" s="286" t="s">
        <v>7</v>
      </c>
      <c r="F5" s="286" t="s">
        <v>8</v>
      </c>
      <c r="G5" s="8" t="s">
        <v>20</v>
      </c>
      <c r="H5" s="286" t="s">
        <v>53</v>
      </c>
      <c r="I5" s="286"/>
      <c r="J5" s="286"/>
      <c r="K5" s="286"/>
      <c r="L5" s="286"/>
      <c r="M5" s="286"/>
      <c r="N5" s="286"/>
      <c r="O5" s="286"/>
      <c r="P5" s="286"/>
      <c r="Q5" s="286"/>
      <c r="R5" s="286"/>
      <c r="S5" s="286"/>
      <c r="T5" s="8" t="s">
        <v>21</v>
      </c>
      <c r="U5" s="286" t="s">
        <v>17</v>
      </c>
      <c r="V5" s="286" t="s">
        <v>23</v>
      </c>
      <c r="W5" s="277" t="s">
        <v>24</v>
      </c>
    </row>
    <row r="6" spans="1:23" ht="13.9" customHeight="1" thickBot="1" x14ac:dyDescent="0.3">
      <c r="A6" s="283"/>
      <c r="B6" s="285"/>
      <c r="C6" s="287"/>
      <c r="D6" s="287"/>
      <c r="E6" s="287"/>
      <c r="F6" s="287"/>
      <c r="G6" s="279" t="s">
        <v>10</v>
      </c>
      <c r="H6" s="279"/>
      <c r="I6" s="279" t="s">
        <v>11</v>
      </c>
      <c r="J6" s="279"/>
      <c r="K6" s="279" t="s">
        <v>12</v>
      </c>
      <c r="L6" s="279"/>
      <c r="M6" s="279" t="s">
        <v>13</v>
      </c>
      <c r="N6" s="279"/>
      <c r="O6" s="279" t="s">
        <v>14</v>
      </c>
      <c r="P6" s="279"/>
      <c r="Q6" s="279" t="s">
        <v>15</v>
      </c>
      <c r="R6" s="279"/>
      <c r="S6" s="279" t="s">
        <v>16</v>
      </c>
      <c r="T6" s="279"/>
      <c r="U6" s="287"/>
      <c r="V6" s="287"/>
      <c r="W6" s="278"/>
    </row>
    <row r="7" spans="1:23" ht="34.5" customHeight="1" x14ac:dyDescent="0.25">
      <c r="A7" s="148"/>
      <c r="B7" s="149"/>
      <c r="C7" s="150"/>
      <c r="D7" s="150"/>
      <c r="E7" s="150"/>
      <c r="F7" s="150"/>
      <c r="G7" s="152"/>
      <c r="H7" s="129"/>
      <c r="I7" s="131" t="s">
        <v>355</v>
      </c>
      <c r="J7" s="153"/>
      <c r="K7" s="132" t="s">
        <v>357</v>
      </c>
      <c r="L7" s="133"/>
      <c r="M7" s="134"/>
      <c r="N7" s="152"/>
      <c r="O7" s="152"/>
      <c r="P7" s="152"/>
      <c r="Q7" s="152"/>
      <c r="R7" s="152"/>
      <c r="S7" s="152"/>
      <c r="T7" s="152"/>
      <c r="U7" s="150"/>
      <c r="V7" s="150"/>
      <c r="W7" s="138" t="s">
        <v>371</v>
      </c>
    </row>
    <row r="8" spans="1:23" ht="24" customHeight="1" x14ac:dyDescent="0.25">
      <c r="A8" s="17">
        <v>1</v>
      </c>
      <c r="B8" s="22">
        <v>0.27708333333333335</v>
      </c>
      <c r="C8" s="18" t="s">
        <v>28</v>
      </c>
      <c r="D8" s="28">
        <v>11</v>
      </c>
      <c r="E8" s="42">
        <v>6</v>
      </c>
      <c r="F8" s="38" t="s">
        <v>29</v>
      </c>
      <c r="G8" s="61">
        <v>3410</v>
      </c>
      <c r="H8" s="61">
        <v>2250</v>
      </c>
      <c r="I8" s="61">
        <v>3190</v>
      </c>
      <c r="J8" s="61">
        <v>3550</v>
      </c>
      <c r="K8" s="61">
        <v>2970</v>
      </c>
      <c r="L8" s="61">
        <v>3050</v>
      </c>
      <c r="M8" s="61">
        <v>3520</v>
      </c>
      <c r="N8" s="61">
        <v>2650</v>
      </c>
      <c r="O8" s="61">
        <v>3190</v>
      </c>
      <c r="P8" s="61">
        <v>3400</v>
      </c>
      <c r="Q8" s="61">
        <v>3630</v>
      </c>
      <c r="R8" s="61">
        <v>3450</v>
      </c>
      <c r="S8" s="61"/>
      <c r="T8" s="61"/>
      <c r="U8" s="21"/>
      <c r="V8" s="15"/>
      <c r="W8" s="23" t="s">
        <v>65</v>
      </c>
    </row>
    <row r="9" spans="1:23" ht="24" customHeight="1" x14ac:dyDescent="0.25">
      <c r="A9" s="17">
        <f t="shared" ref="A9:A22" si="0">A8+1</f>
        <v>2</v>
      </c>
      <c r="B9" s="10">
        <v>0.28819444444444448</v>
      </c>
      <c r="C9" s="31" t="s">
        <v>30</v>
      </c>
      <c r="D9" s="29">
        <v>7</v>
      </c>
      <c r="E9" s="43">
        <v>2</v>
      </c>
      <c r="F9" s="39" t="s">
        <v>58</v>
      </c>
      <c r="G9" s="62">
        <v>2090</v>
      </c>
      <c r="H9" s="62">
        <v>1900</v>
      </c>
      <c r="I9" s="62">
        <v>5830</v>
      </c>
      <c r="J9" s="62">
        <v>4700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21"/>
      <c r="V9" s="15"/>
      <c r="W9" s="14" t="s">
        <v>66</v>
      </c>
    </row>
    <row r="10" spans="1:23" ht="24" customHeight="1" x14ac:dyDescent="0.25">
      <c r="A10" s="17">
        <f t="shared" si="0"/>
        <v>3</v>
      </c>
      <c r="B10" s="10">
        <v>0.28888888888888892</v>
      </c>
      <c r="C10" s="5" t="s">
        <v>31</v>
      </c>
      <c r="D10" s="30">
        <v>8</v>
      </c>
      <c r="E10" s="43">
        <v>3</v>
      </c>
      <c r="F10" s="38" t="s">
        <v>60</v>
      </c>
      <c r="G10" s="62">
        <v>2860</v>
      </c>
      <c r="H10" s="62">
        <v>2850</v>
      </c>
      <c r="I10" s="62">
        <v>4180</v>
      </c>
      <c r="J10" s="62">
        <v>3600</v>
      </c>
      <c r="K10" s="62">
        <v>4510</v>
      </c>
      <c r="L10" s="62">
        <v>3700</v>
      </c>
      <c r="M10" s="62"/>
      <c r="N10" s="62"/>
      <c r="O10" s="62"/>
      <c r="P10" s="62"/>
      <c r="Q10" s="62"/>
      <c r="R10" s="62"/>
      <c r="S10" s="62"/>
      <c r="T10" s="62"/>
      <c r="U10" s="21"/>
      <c r="V10" s="15"/>
      <c r="W10" s="9" t="s">
        <v>67</v>
      </c>
    </row>
    <row r="11" spans="1:23" ht="24" customHeight="1" x14ac:dyDescent="0.25">
      <c r="A11" s="17">
        <f t="shared" si="0"/>
        <v>4</v>
      </c>
      <c r="B11" s="10">
        <v>0.28958333333333336</v>
      </c>
      <c r="C11" s="5" t="s">
        <v>32</v>
      </c>
      <c r="D11" s="30">
        <v>8</v>
      </c>
      <c r="E11" s="43">
        <v>3</v>
      </c>
      <c r="F11" s="38" t="s">
        <v>60</v>
      </c>
      <c r="G11" s="62">
        <v>2750</v>
      </c>
      <c r="H11" s="62">
        <v>2750</v>
      </c>
      <c r="I11" s="62">
        <v>5500</v>
      </c>
      <c r="J11" s="62">
        <v>4100</v>
      </c>
      <c r="K11" s="62">
        <v>5170</v>
      </c>
      <c r="L11" s="62">
        <v>3800</v>
      </c>
      <c r="M11" s="62"/>
      <c r="N11" s="62"/>
      <c r="O11" s="62"/>
      <c r="P11" s="62"/>
      <c r="Q11" s="62"/>
      <c r="R11" s="62"/>
      <c r="S11" s="62"/>
      <c r="T11" s="62"/>
      <c r="U11" s="21"/>
      <c r="V11" s="15"/>
      <c r="W11" s="9" t="s">
        <v>67</v>
      </c>
    </row>
    <row r="12" spans="1:23" ht="24" customHeight="1" x14ac:dyDescent="0.25">
      <c r="A12" s="17">
        <f t="shared" si="0"/>
        <v>5</v>
      </c>
      <c r="B12" s="10">
        <v>0.29097222222222224</v>
      </c>
      <c r="C12" s="5" t="s">
        <v>35</v>
      </c>
      <c r="D12" s="30">
        <v>8</v>
      </c>
      <c r="E12" s="43">
        <v>3</v>
      </c>
      <c r="F12" s="38" t="s">
        <v>60</v>
      </c>
      <c r="G12" s="62">
        <v>2970</v>
      </c>
      <c r="H12" s="62">
        <v>2900</v>
      </c>
      <c r="I12" s="62">
        <v>4620</v>
      </c>
      <c r="J12" s="62">
        <v>4550</v>
      </c>
      <c r="K12" s="62">
        <v>5170</v>
      </c>
      <c r="L12" s="62">
        <v>4250</v>
      </c>
      <c r="M12" s="62"/>
      <c r="N12" s="62"/>
      <c r="O12" s="62"/>
      <c r="P12" s="62"/>
      <c r="Q12" s="62"/>
      <c r="R12" s="62"/>
      <c r="S12" s="62"/>
      <c r="T12" s="62"/>
      <c r="U12" s="21"/>
      <c r="V12" s="15"/>
      <c r="W12" s="14" t="s">
        <v>67</v>
      </c>
    </row>
    <row r="13" spans="1:23" ht="24" customHeight="1" x14ac:dyDescent="0.25">
      <c r="A13" s="17">
        <f t="shared" si="0"/>
        <v>6</v>
      </c>
      <c r="B13" s="10">
        <v>0.29236111111111113</v>
      </c>
      <c r="C13" s="5" t="s">
        <v>33</v>
      </c>
      <c r="D13" s="30">
        <v>7</v>
      </c>
      <c r="E13" s="43">
        <v>2</v>
      </c>
      <c r="F13" s="39" t="s">
        <v>58</v>
      </c>
      <c r="G13" s="62">
        <v>2640</v>
      </c>
      <c r="H13" s="62">
        <v>2400</v>
      </c>
      <c r="I13" s="62">
        <v>5280</v>
      </c>
      <c r="J13" s="62">
        <v>4750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21"/>
      <c r="V13" s="15"/>
      <c r="W13" s="14" t="s">
        <v>66</v>
      </c>
    </row>
    <row r="14" spans="1:23" ht="24" customHeight="1" x14ac:dyDescent="0.25">
      <c r="A14" s="17">
        <f t="shared" si="0"/>
        <v>7</v>
      </c>
      <c r="B14" s="10">
        <v>0.32222222222222224</v>
      </c>
      <c r="C14" s="5" t="s">
        <v>37</v>
      </c>
      <c r="D14" s="30">
        <v>11</v>
      </c>
      <c r="E14" s="43">
        <v>6</v>
      </c>
      <c r="F14" s="76" t="s">
        <v>29</v>
      </c>
      <c r="G14" s="62">
        <v>2790</v>
      </c>
      <c r="H14" s="62">
        <v>3000</v>
      </c>
      <c r="I14" s="62">
        <v>2900</v>
      </c>
      <c r="J14" s="62">
        <v>2950</v>
      </c>
      <c r="K14" s="62">
        <v>2900</v>
      </c>
      <c r="L14" s="62">
        <v>2950</v>
      </c>
      <c r="M14" s="62">
        <v>2800</v>
      </c>
      <c r="N14" s="62">
        <v>2950</v>
      </c>
      <c r="O14" s="62">
        <v>2800</v>
      </c>
      <c r="P14" s="62">
        <v>2850</v>
      </c>
      <c r="Q14" s="62">
        <v>2100</v>
      </c>
      <c r="R14" s="62">
        <v>2600</v>
      </c>
      <c r="S14" s="62"/>
      <c r="T14" s="62"/>
      <c r="U14" s="21"/>
      <c r="V14" s="15"/>
      <c r="W14" s="14" t="s">
        <v>67</v>
      </c>
    </row>
    <row r="15" spans="1:23" ht="24" customHeight="1" x14ac:dyDescent="0.25">
      <c r="A15" s="17">
        <f t="shared" si="0"/>
        <v>8</v>
      </c>
      <c r="B15" s="10">
        <v>0.3659722222222222</v>
      </c>
      <c r="C15" s="5" t="s">
        <v>38</v>
      </c>
      <c r="D15" s="30">
        <v>11</v>
      </c>
      <c r="E15" s="43">
        <v>6</v>
      </c>
      <c r="F15" s="76" t="s">
        <v>29</v>
      </c>
      <c r="G15" s="62">
        <v>2860</v>
      </c>
      <c r="H15" s="62">
        <v>2650</v>
      </c>
      <c r="I15" s="62">
        <v>3740</v>
      </c>
      <c r="J15" s="62">
        <v>2650</v>
      </c>
      <c r="K15" s="62">
        <v>3960</v>
      </c>
      <c r="L15" s="62">
        <v>2250</v>
      </c>
      <c r="M15" s="62">
        <v>3520</v>
      </c>
      <c r="N15" s="62">
        <v>2600</v>
      </c>
      <c r="O15" s="62">
        <v>4620</v>
      </c>
      <c r="P15" s="62">
        <v>2750</v>
      </c>
      <c r="Q15" s="62">
        <v>3620</v>
      </c>
      <c r="R15" s="62">
        <v>2850</v>
      </c>
      <c r="S15" s="62"/>
      <c r="T15" s="62"/>
      <c r="U15" s="21"/>
      <c r="V15" s="15"/>
      <c r="W15" s="9" t="s">
        <v>70</v>
      </c>
    </row>
    <row r="16" spans="1:23" ht="24" customHeight="1" x14ac:dyDescent="0.25">
      <c r="A16" s="17">
        <f t="shared" si="0"/>
        <v>9</v>
      </c>
      <c r="B16" s="10">
        <v>0.36736111111111108</v>
      </c>
      <c r="C16" s="5" t="s">
        <v>39</v>
      </c>
      <c r="D16" s="30">
        <v>11</v>
      </c>
      <c r="E16" s="43">
        <v>6</v>
      </c>
      <c r="F16" s="38" t="s">
        <v>29</v>
      </c>
      <c r="G16" s="62">
        <v>2860</v>
      </c>
      <c r="H16" s="62">
        <v>2600</v>
      </c>
      <c r="I16" s="62">
        <v>3630</v>
      </c>
      <c r="J16" s="62">
        <v>3000</v>
      </c>
      <c r="K16" s="62">
        <v>3410</v>
      </c>
      <c r="L16" s="62">
        <v>2800</v>
      </c>
      <c r="M16" s="62">
        <v>3410</v>
      </c>
      <c r="N16" s="62">
        <v>3150</v>
      </c>
      <c r="O16" s="62">
        <v>3520</v>
      </c>
      <c r="P16" s="62">
        <v>3100</v>
      </c>
      <c r="Q16" s="62">
        <v>3740</v>
      </c>
      <c r="R16" s="62">
        <v>2650</v>
      </c>
      <c r="S16" s="62"/>
      <c r="T16" s="62"/>
      <c r="U16" s="21"/>
      <c r="V16" s="15"/>
      <c r="W16" s="9" t="s">
        <v>70</v>
      </c>
    </row>
    <row r="17" spans="1:23" ht="24" customHeight="1" x14ac:dyDescent="0.25">
      <c r="A17" s="17">
        <f t="shared" si="0"/>
        <v>10</v>
      </c>
      <c r="B17" s="10">
        <v>0.40347222222222223</v>
      </c>
      <c r="C17" s="5" t="s">
        <v>41</v>
      </c>
      <c r="D17" s="30">
        <v>7</v>
      </c>
      <c r="E17" s="43">
        <v>2</v>
      </c>
      <c r="F17" s="40" t="s">
        <v>58</v>
      </c>
      <c r="G17" s="62">
        <v>1100</v>
      </c>
      <c r="H17" s="62">
        <v>1200</v>
      </c>
      <c r="I17" s="62">
        <v>1320</v>
      </c>
      <c r="J17" s="62">
        <v>900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1"/>
      <c r="V17" s="15"/>
      <c r="W17" s="9" t="s">
        <v>72</v>
      </c>
    </row>
    <row r="18" spans="1:23" ht="24" customHeight="1" x14ac:dyDescent="0.25">
      <c r="A18" s="17">
        <f t="shared" si="0"/>
        <v>11</v>
      </c>
      <c r="B18" s="10">
        <v>0.4458333333333333</v>
      </c>
      <c r="C18" s="5" t="s">
        <v>43</v>
      </c>
      <c r="D18" s="30">
        <v>11</v>
      </c>
      <c r="E18" s="43">
        <v>6</v>
      </c>
      <c r="F18" s="38" t="s">
        <v>110</v>
      </c>
      <c r="G18" s="62">
        <v>3300</v>
      </c>
      <c r="H18" s="62">
        <v>2800</v>
      </c>
      <c r="I18" s="62">
        <v>1870</v>
      </c>
      <c r="J18" s="79">
        <v>1600</v>
      </c>
      <c r="K18" s="79">
        <v>5280</v>
      </c>
      <c r="L18" s="79">
        <v>4850</v>
      </c>
      <c r="M18" s="79">
        <v>4730</v>
      </c>
      <c r="N18" s="79">
        <v>2800</v>
      </c>
      <c r="O18" s="79">
        <v>4800</v>
      </c>
      <c r="P18" s="79">
        <v>3100</v>
      </c>
      <c r="Q18" s="79">
        <v>5610</v>
      </c>
      <c r="R18" s="79">
        <v>2800</v>
      </c>
      <c r="S18" s="62"/>
      <c r="T18" s="62"/>
      <c r="U18" s="21"/>
      <c r="V18" s="15"/>
      <c r="W18" s="9" t="s">
        <v>67</v>
      </c>
    </row>
    <row r="19" spans="1:23" ht="24" customHeight="1" x14ac:dyDescent="0.25">
      <c r="A19" s="17">
        <f t="shared" si="0"/>
        <v>12</v>
      </c>
      <c r="B19" s="10">
        <v>0.4604166666666667</v>
      </c>
      <c r="C19" s="5" t="s">
        <v>44</v>
      </c>
      <c r="D19" s="30">
        <v>11</v>
      </c>
      <c r="E19" s="43">
        <v>6</v>
      </c>
      <c r="F19" s="38" t="s">
        <v>110</v>
      </c>
      <c r="G19" s="62">
        <v>3190</v>
      </c>
      <c r="H19" s="62">
        <v>2800</v>
      </c>
      <c r="I19" s="62">
        <v>3300</v>
      </c>
      <c r="J19" s="62">
        <v>2750</v>
      </c>
      <c r="K19" s="62">
        <v>3740</v>
      </c>
      <c r="L19" s="62">
        <v>2900</v>
      </c>
      <c r="M19" s="62">
        <v>4180</v>
      </c>
      <c r="N19" s="62">
        <v>3400</v>
      </c>
      <c r="O19" s="62">
        <v>4070</v>
      </c>
      <c r="P19" s="62">
        <v>2950</v>
      </c>
      <c r="Q19" s="62">
        <v>4180</v>
      </c>
      <c r="R19" s="62">
        <v>2600</v>
      </c>
      <c r="S19" s="62"/>
      <c r="T19" s="62"/>
      <c r="U19" s="21"/>
      <c r="V19" s="15"/>
      <c r="W19" s="9" t="s">
        <v>73</v>
      </c>
    </row>
    <row r="20" spans="1:23" ht="24" customHeight="1" x14ac:dyDescent="0.25">
      <c r="A20" s="17">
        <f t="shared" si="0"/>
        <v>13</v>
      </c>
      <c r="B20" s="10">
        <v>0.47013888888888888</v>
      </c>
      <c r="C20" s="5" t="s">
        <v>45</v>
      </c>
      <c r="D20" s="30">
        <v>7</v>
      </c>
      <c r="E20" s="43">
        <v>2</v>
      </c>
      <c r="F20" s="39" t="s">
        <v>58</v>
      </c>
      <c r="G20" s="62">
        <v>2310</v>
      </c>
      <c r="H20" s="62">
        <v>2350</v>
      </c>
      <c r="I20" s="62">
        <v>6050</v>
      </c>
      <c r="J20" s="62">
        <v>5400</v>
      </c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21"/>
      <c r="V20" s="15"/>
      <c r="W20" s="9" t="s">
        <v>74</v>
      </c>
    </row>
    <row r="21" spans="1:23" ht="24" customHeight="1" x14ac:dyDescent="0.25">
      <c r="A21" s="17">
        <f t="shared" si="0"/>
        <v>14</v>
      </c>
      <c r="B21" s="10">
        <v>0.52986111111111112</v>
      </c>
      <c r="C21" s="5" t="s">
        <v>46</v>
      </c>
      <c r="D21" s="30">
        <v>11</v>
      </c>
      <c r="E21" s="43">
        <v>6</v>
      </c>
      <c r="F21" s="38" t="s">
        <v>110</v>
      </c>
      <c r="G21" s="62">
        <v>1300</v>
      </c>
      <c r="H21" s="65">
        <v>2400</v>
      </c>
      <c r="I21" s="62">
        <v>1250</v>
      </c>
      <c r="J21" s="62">
        <v>2350</v>
      </c>
      <c r="K21" s="62">
        <v>2450</v>
      </c>
      <c r="L21" s="62">
        <v>2250</v>
      </c>
      <c r="M21" s="62">
        <v>2500</v>
      </c>
      <c r="N21" s="62">
        <v>3200</v>
      </c>
      <c r="O21" s="62">
        <v>2400</v>
      </c>
      <c r="P21" s="62">
        <v>3100</v>
      </c>
      <c r="Q21" s="62">
        <v>2050</v>
      </c>
      <c r="R21" s="62">
        <v>3500</v>
      </c>
      <c r="S21" s="62"/>
      <c r="T21" s="62"/>
      <c r="U21" s="21"/>
      <c r="V21" s="15"/>
      <c r="W21" s="9" t="s">
        <v>67</v>
      </c>
    </row>
    <row r="22" spans="1:23" ht="24" customHeight="1" x14ac:dyDescent="0.25">
      <c r="A22" s="17">
        <f t="shared" si="0"/>
        <v>15</v>
      </c>
      <c r="B22" s="154">
        <v>0.53402777777777777</v>
      </c>
      <c r="C22" s="37" t="s">
        <v>47</v>
      </c>
      <c r="D22" s="77">
        <v>8</v>
      </c>
      <c r="E22" s="78">
        <v>3</v>
      </c>
      <c r="F22" s="38" t="s">
        <v>60</v>
      </c>
      <c r="G22" s="79">
        <v>3500</v>
      </c>
      <c r="H22" s="62">
        <v>3150</v>
      </c>
      <c r="I22" s="79">
        <v>6600</v>
      </c>
      <c r="J22" s="63">
        <v>6650</v>
      </c>
      <c r="K22" s="161">
        <v>7200</v>
      </c>
      <c r="L22" s="63">
        <v>7150</v>
      </c>
      <c r="M22" s="161"/>
      <c r="N22" s="161"/>
      <c r="O22" s="161"/>
      <c r="P22" s="161"/>
      <c r="Q22" s="161"/>
      <c r="R22" s="161"/>
      <c r="S22" s="62"/>
      <c r="T22" s="62"/>
      <c r="U22" s="21"/>
      <c r="V22" s="15"/>
      <c r="W22" s="9" t="s">
        <v>75</v>
      </c>
    </row>
    <row r="23" spans="1:23" ht="24" customHeight="1" thickBot="1" x14ac:dyDescent="0.3">
      <c r="A23" s="17">
        <v>20</v>
      </c>
      <c r="B23" s="34">
        <v>0.5444444444444444</v>
      </c>
      <c r="C23" s="47" t="s">
        <v>48</v>
      </c>
      <c r="D23" s="48">
        <v>7</v>
      </c>
      <c r="E23" s="49">
        <v>2</v>
      </c>
      <c r="F23" s="160" t="s">
        <v>58</v>
      </c>
      <c r="G23" s="70">
        <v>2970</v>
      </c>
      <c r="H23" s="70">
        <v>2300</v>
      </c>
      <c r="I23" s="70">
        <v>5500</v>
      </c>
      <c r="J23" s="70">
        <v>4350</v>
      </c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32"/>
      <c r="V23" s="74"/>
      <c r="W23" s="53" t="s">
        <v>76</v>
      </c>
    </row>
    <row r="24" spans="1:23" ht="24" customHeight="1" thickTop="1" x14ac:dyDescent="0.25">
      <c r="A24" s="17">
        <f t="shared" ref="A24:A32" si="1">A23+1</f>
        <v>21</v>
      </c>
      <c r="B24" s="72">
        <v>0.56736111111111109</v>
      </c>
      <c r="C24" s="5" t="s">
        <v>49</v>
      </c>
      <c r="D24" s="29">
        <v>7</v>
      </c>
      <c r="E24" s="43">
        <v>2</v>
      </c>
      <c r="F24" s="39" t="s">
        <v>58</v>
      </c>
      <c r="G24" s="62">
        <v>2860</v>
      </c>
      <c r="H24" s="62">
        <v>2750</v>
      </c>
      <c r="I24" s="62">
        <v>5500</v>
      </c>
      <c r="J24" s="62">
        <v>4100</v>
      </c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75"/>
      <c r="V24" s="16"/>
      <c r="W24" s="9" t="s">
        <v>76</v>
      </c>
    </row>
    <row r="25" spans="1:23" ht="24" customHeight="1" x14ac:dyDescent="0.25">
      <c r="A25" s="17">
        <f t="shared" si="1"/>
        <v>22</v>
      </c>
      <c r="B25" s="73">
        <v>0.56874999999999998</v>
      </c>
      <c r="C25" s="5" t="s">
        <v>50</v>
      </c>
      <c r="D25" s="29">
        <v>7</v>
      </c>
      <c r="E25" s="43">
        <v>2</v>
      </c>
      <c r="F25" s="39" t="s">
        <v>58</v>
      </c>
      <c r="G25" s="62">
        <v>1540</v>
      </c>
      <c r="H25" s="62">
        <v>1400</v>
      </c>
      <c r="I25" s="62">
        <v>3190</v>
      </c>
      <c r="J25" s="62">
        <v>2600</v>
      </c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75"/>
      <c r="V25" s="16"/>
      <c r="W25" s="9" t="s">
        <v>75</v>
      </c>
    </row>
    <row r="26" spans="1:23" ht="24" customHeight="1" thickBot="1" x14ac:dyDescent="0.3">
      <c r="A26" s="17">
        <f t="shared" si="1"/>
        <v>23</v>
      </c>
      <c r="B26" s="155">
        <v>0.62430555555555556</v>
      </c>
      <c r="C26" s="5" t="s">
        <v>51</v>
      </c>
      <c r="D26" s="29">
        <v>7</v>
      </c>
      <c r="E26" s="43">
        <v>2</v>
      </c>
      <c r="F26" s="39" t="s">
        <v>58</v>
      </c>
      <c r="G26" s="62">
        <v>1980</v>
      </c>
      <c r="H26" s="62">
        <v>1950</v>
      </c>
      <c r="I26" s="62">
        <v>4620</v>
      </c>
      <c r="J26" s="62">
        <v>3550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75"/>
      <c r="V26" s="16"/>
      <c r="W26" s="9" t="s">
        <v>70</v>
      </c>
    </row>
    <row r="27" spans="1:23" ht="24" customHeight="1" thickTop="1" x14ac:dyDescent="0.25">
      <c r="A27" s="17">
        <f t="shared" si="1"/>
        <v>24</v>
      </c>
      <c r="B27" s="33">
        <v>0.65486111111111112</v>
      </c>
      <c r="C27" s="13" t="s">
        <v>55</v>
      </c>
      <c r="D27" s="30">
        <v>7</v>
      </c>
      <c r="E27" s="44">
        <v>2</v>
      </c>
      <c r="F27" s="40" t="s">
        <v>58</v>
      </c>
      <c r="G27" s="64">
        <v>1320</v>
      </c>
      <c r="H27" s="64">
        <v>1500</v>
      </c>
      <c r="I27" s="64">
        <v>2200</v>
      </c>
      <c r="J27" s="64">
        <v>1950</v>
      </c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21"/>
      <c r="V27" s="15"/>
      <c r="W27" s="14" t="s">
        <v>79</v>
      </c>
    </row>
    <row r="28" spans="1:23" ht="24" customHeight="1" x14ac:dyDescent="0.25">
      <c r="A28" s="17">
        <f t="shared" si="1"/>
        <v>25</v>
      </c>
      <c r="B28" s="10">
        <v>0.65902777777777777</v>
      </c>
      <c r="C28" s="5" t="s">
        <v>56</v>
      </c>
      <c r="D28" s="29">
        <v>12</v>
      </c>
      <c r="E28" s="43">
        <v>7</v>
      </c>
      <c r="F28" s="76" t="s">
        <v>126</v>
      </c>
      <c r="G28" s="62">
        <v>3520</v>
      </c>
      <c r="H28" s="62">
        <v>3200</v>
      </c>
      <c r="I28" s="62">
        <v>1900</v>
      </c>
      <c r="J28" s="62">
        <v>3100</v>
      </c>
      <c r="K28" s="62">
        <v>1800</v>
      </c>
      <c r="L28" s="62">
        <v>3250</v>
      </c>
      <c r="M28" s="62">
        <v>4400</v>
      </c>
      <c r="N28" s="62">
        <v>2900</v>
      </c>
      <c r="O28" s="62">
        <v>4510</v>
      </c>
      <c r="P28" s="62">
        <v>2900</v>
      </c>
      <c r="Q28" s="62">
        <v>1900</v>
      </c>
      <c r="R28" s="62">
        <v>3050</v>
      </c>
      <c r="S28" s="62">
        <v>3300</v>
      </c>
      <c r="T28" s="62">
        <v>2850</v>
      </c>
      <c r="U28" s="21"/>
      <c r="V28" s="15"/>
      <c r="W28" s="9" t="s">
        <v>80</v>
      </c>
    </row>
    <row r="29" spans="1:23" ht="24" customHeight="1" x14ac:dyDescent="0.25">
      <c r="A29" s="17">
        <f t="shared" si="1"/>
        <v>26</v>
      </c>
      <c r="B29" s="156">
        <v>0.67152777777777783</v>
      </c>
      <c r="C29" s="158" t="s">
        <v>57</v>
      </c>
      <c r="D29" s="30">
        <v>7</v>
      </c>
      <c r="E29" s="43">
        <v>2</v>
      </c>
      <c r="F29" s="76" t="s">
        <v>58</v>
      </c>
      <c r="G29" s="62">
        <v>1540</v>
      </c>
      <c r="H29" s="62">
        <v>1350</v>
      </c>
      <c r="I29" s="62">
        <v>1540</v>
      </c>
      <c r="J29" s="62">
        <v>1500</v>
      </c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21"/>
      <c r="V29" s="15"/>
      <c r="W29" s="9" t="s">
        <v>72</v>
      </c>
    </row>
    <row r="30" spans="1:23" ht="24" customHeight="1" x14ac:dyDescent="0.25">
      <c r="A30" s="17">
        <f t="shared" si="1"/>
        <v>27</v>
      </c>
      <c r="B30" s="25">
        <v>0.67569444444444438</v>
      </c>
      <c r="C30" s="24" t="s">
        <v>59</v>
      </c>
      <c r="D30" s="30">
        <v>8</v>
      </c>
      <c r="E30" s="43">
        <v>3</v>
      </c>
      <c r="F30" s="76" t="s">
        <v>60</v>
      </c>
      <c r="G30" s="62">
        <v>2750</v>
      </c>
      <c r="H30" s="62">
        <v>2100</v>
      </c>
      <c r="I30" s="62">
        <v>4730</v>
      </c>
      <c r="J30" s="62">
        <v>3300</v>
      </c>
      <c r="K30" s="62">
        <v>5610</v>
      </c>
      <c r="L30" s="62">
        <v>3600</v>
      </c>
      <c r="M30" s="62"/>
      <c r="N30" s="62"/>
      <c r="O30" s="62"/>
      <c r="P30" s="62"/>
      <c r="Q30" s="62"/>
      <c r="R30" s="62"/>
      <c r="S30" s="62"/>
      <c r="T30" s="62"/>
      <c r="U30" s="21"/>
      <c r="V30" s="15"/>
      <c r="W30" s="9" t="s">
        <v>75</v>
      </c>
    </row>
    <row r="31" spans="1:23" ht="24" customHeight="1" x14ac:dyDescent="0.25">
      <c r="A31" s="17">
        <f t="shared" si="1"/>
        <v>28</v>
      </c>
      <c r="B31" s="25">
        <v>0.69861111111111107</v>
      </c>
      <c r="C31" s="24" t="s">
        <v>61</v>
      </c>
      <c r="D31" s="30">
        <v>11</v>
      </c>
      <c r="E31" s="43">
        <v>6</v>
      </c>
      <c r="F31" s="76" t="s">
        <v>29</v>
      </c>
      <c r="G31" s="62">
        <v>3080</v>
      </c>
      <c r="H31" s="62">
        <v>2650</v>
      </c>
      <c r="I31" s="62">
        <v>4180</v>
      </c>
      <c r="J31" s="62">
        <v>2950</v>
      </c>
      <c r="K31" s="62">
        <v>3520</v>
      </c>
      <c r="L31" s="62">
        <v>2250</v>
      </c>
      <c r="M31" s="62">
        <v>3960</v>
      </c>
      <c r="N31" s="62">
        <v>3600</v>
      </c>
      <c r="O31" s="62">
        <v>4840</v>
      </c>
      <c r="P31" s="62">
        <v>4650</v>
      </c>
      <c r="Q31" s="62">
        <v>5060</v>
      </c>
      <c r="R31" s="62">
        <v>4400</v>
      </c>
      <c r="S31" s="62"/>
      <c r="T31" s="62"/>
      <c r="U31" s="21"/>
      <c r="V31" s="15"/>
      <c r="W31" s="9" t="s">
        <v>67</v>
      </c>
    </row>
    <row r="32" spans="1:23" ht="24" customHeight="1" x14ac:dyDescent="0.25">
      <c r="A32" s="17">
        <f t="shared" si="1"/>
        <v>29</v>
      </c>
      <c r="B32" s="25">
        <v>0.70000000000000007</v>
      </c>
      <c r="C32" s="24" t="s">
        <v>62</v>
      </c>
      <c r="D32" s="29">
        <v>12</v>
      </c>
      <c r="E32" s="43">
        <v>7</v>
      </c>
      <c r="F32" s="38" t="s">
        <v>126</v>
      </c>
      <c r="G32" s="62">
        <v>3630</v>
      </c>
      <c r="H32" s="62">
        <v>3200</v>
      </c>
      <c r="I32" s="62">
        <v>4180</v>
      </c>
      <c r="J32" s="62">
        <v>3650</v>
      </c>
      <c r="K32" s="62">
        <v>4400</v>
      </c>
      <c r="L32" s="62">
        <v>3450</v>
      </c>
      <c r="M32" s="62">
        <v>3740</v>
      </c>
      <c r="N32" s="62">
        <v>3200</v>
      </c>
      <c r="O32" s="62">
        <v>3850</v>
      </c>
      <c r="P32" s="62">
        <v>3350</v>
      </c>
      <c r="Q32" s="62">
        <v>2090</v>
      </c>
      <c r="R32" s="62">
        <v>2750</v>
      </c>
      <c r="S32" s="62">
        <v>3520</v>
      </c>
      <c r="T32" s="62">
        <v>2300</v>
      </c>
      <c r="U32" s="21"/>
      <c r="V32" s="15"/>
      <c r="W32" s="9" t="s">
        <v>80</v>
      </c>
    </row>
    <row r="33" spans="1:23" ht="24" customHeight="1" x14ac:dyDescent="0.25">
      <c r="A33" s="17">
        <v>33</v>
      </c>
      <c r="B33" s="25">
        <v>0.74722222222222223</v>
      </c>
      <c r="C33" s="24" t="s">
        <v>64</v>
      </c>
      <c r="D33" s="30">
        <v>7</v>
      </c>
      <c r="E33" s="43">
        <v>2</v>
      </c>
      <c r="F33" s="39" t="s">
        <v>58</v>
      </c>
      <c r="G33" s="62">
        <v>2640</v>
      </c>
      <c r="H33" s="62">
        <v>2350</v>
      </c>
      <c r="I33" s="62">
        <v>5060</v>
      </c>
      <c r="J33" s="62">
        <v>4450</v>
      </c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21"/>
      <c r="V33" s="15"/>
      <c r="W33" s="9" t="s">
        <v>66</v>
      </c>
    </row>
    <row r="34" spans="1:23" ht="24" customHeight="1" x14ac:dyDescent="0.25">
      <c r="A34" s="17"/>
      <c r="B34" s="10"/>
      <c r="C34" s="24"/>
      <c r="D34" s="30"/>
      <c r="E34" s="43"/>
      <c r="F34" s="40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21"/>
      <c r="V34" s="15"/>
      <c r="W34" s="9"/>
    </row>
    <row r="35" spans="1:23" ht="24" customHeight="1" x14ac:dyDescent="0.25">
      <c r="A35" s="17"/>
      <c r="B35" s="10"/>
      <c r="C35" s="24"/>
      <c r="D35" s="30"/>
      <c r="E35" s="43"/>
      <c r="F35" s="40"/>
      <c r="G35" s="62"/>
      <c r="H35" s="129"/>
      <c r="I35" s="131" t="s">
        <v>355</v>
      </c>
      <c r="J35" s="153"/>
      <c r="K35" s="132" t="s">
        <v>358</v>
      </c>
      <c r="L35" s="133"/>
      <c r="M35" s="134"/>
      <c r="N35" s="62"/>
      <c r="O35" s="62"/>
      <c r="P35" s="62"/>
      <c r="Q35" s="62"/>
      <c r="R35" s="62"/>
      <c r="S35" s="62"/>
      <c r="T35" s="62"/>
      <c r="U35" s="21"/>
      <c r="V35" s="15"/>
      <c r="W35" s="9"/>
    </row>
    <row r="36" spans="1:23" ht="24" customHeight="1" x14ac:dyDescent="0.25">
      <c r="A36" s="17">
        <f>A33+1</f>
        <v>34</v>
      </c>
      <c r="B36" s="10">
        <v>0.30416666666666664</v>
      </c>
      <c r="C36" s="5" t="s">
        <v>34</v>
      </c>
      <c r="D36" s="30">
        <v>7</v>
      </c>
      <c r="E36" s="43">
        <v>2</v>
      </c>
      <c r="F36" s="40" t="s">
        <v>58</v>
      </c>
      <c r="G36" s="62">
        <v>1800</v>
      </c>
      <c r="H36" s="62">
        <v>2200</v>
      </c>
      <c r="I36" s="62">
        <v>5000</v>
      </c>
      <c r="J36" s="62">
        <v>4450</v>
      </c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21"/>
      <c r="V36" s="15"/>
      <c r="W36" s="9" t="s">
        <v>68</v>
      </c>
    </row>
    <row r="37" spans="1:23" ht="24" customHeight="1" x14ac:dyDescent="0.25">
      <c r="A37" s="17">
        <f>A36+1</f>
        <v>35</v>
      </c>
      <c r="B37" s="157">
        <v>0.31458333333333333</v>
      </c>
      <c r="C37" s="159" t="s">
        <v>36</v>
      </c>
      <c r="D37" s="30">
        <v>7</v>
      </c>
      <c r="E37" s="43">
        <v>2</v>
      </c>
      <c r="F37" s="40" t="s">
        <v>58</v>
      </c>
      <c r="G37" s="62">
        <v>1850</v>
      </c>
      <c r="H37" s="62">
        <v>2200</v>
      </c>
      <c r="I37" s="62">
        <v>4300</v>
      </c>
      <c r="J37" s="62">
        <v>4400</v>
      </c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21"/>
      <c r="V37" s="15"/>
      <c r="W37" s="9" t="s">
        <v>69</v>
      </c>
    </row>
    <row r="38" spans="1:23" ht="24" customHeight="1" x14ac:dyDescent="0.25">
      <c r="A38" s="17">
        <f>A37+1</f>
        <v>36</v>
      </c>
      <c r="B38" s="10">
        <v>0.3743055555555555</v>
      </c>
      <c r="C38" s="5" t="s">
        <v>40</v>
      </c>
      <c r="D38" s="30">
        <v>8</v>
      </c>
      <c r="E38" s="43">
        <v>3</v>
      </c>
      <c r="F38" s="38" t="s">
        <v>60</v>
      </c>
      <c r="G38" s="62">
        <v>3080</v>
      </c>
      <c r="H38" s="62">
        <v>2650</v>
      </c>
      <c r="I38" s="62">
        <v>8030</v>
      </c>
      <c r="J38" s="62">
        <v>2600</v>
      </c>
      <c r="K38" s="62">
        <v>7920</v>
      </c>
      <c r="L38" s="62">
        <v>4500</v>
      </c>
      <c r="M38" s="62"/>
      <c r="N38" s="62"/>
      <c r="O38" s="62"/>
      <c r="P38" s="62"/>
      <c r="Q38" s="62"/>
      <c r="R38" s="62"/>
      <c r="S38" s="62"/>
      <c r="T38" s="62"/>
      <c r="U38" s="21"/>
      <c r="V38" s="15"/>
      <c r="W38" s="9" t="s">
        <v>71</v>
      </c>
    </row>
    <row r="39" spans="1:23" ht="24" customHeight="1" x14ac:dyDescent="0.25">
      <c r="A39" s="17">
        <f>A38+1</f>
        <v>37</v>
      </c>
      <c r="B39" s="10">
        <v>0.40833333333333338</v>
      </c>
      <c r="C39" s="5" t="s">
        <v>42</v>
      </c>
      <c r="D39" s="29">
        <v>11</v>
      </c>
      <c r="E39" s="43">
        <v>6</v>
      </c>
      <c r="F39" s="38" t="s">
        <v>29</v>
      </c>
      <c r="G39" s="62">
        <v>2650</v>
      </c>
      <c r="H39" s="62">
        <v>2860</v>
      </c>
      <c r="I39" s="62">
        <v>3500</v>
      </c>
      <c r="J39" s="62">
        <v>4950</v>
      </c>
      <c r="K39" s="62">
        <v>3600</v>
      </c>
      <c r="L39" s="62">
        <v>4730</v>
      </c>
      <c r="M39" s="62">
        <v>2700</v>
      </c>
      <c r="N39" s="62">
        <v>4620</v>
      </c>
      <c r="O39" s="62">
        <v>2450</v>
      </c>
      <c r="P39" s="62">
        <v>4070</v>
      </c>
      <c r="Q39" s="62">
        <v>2400</v>
      </c>
      <c r="R39" s="62">
        <v>3300</v>
      </c>
      <c r="S39" s="62"/>
      <c r="T39" s="62"/>
      <c r="U39" s="21"/>
      <c r="V39" s="15"/>
      <c r="W39" s="9" t="s">
        <v>71</v>
      </c>
    </row>
    <row r="40" spans="1:23" ht="24" customHeight="1" x14ac:dyDescent="0.25">
      <c r="A40" s="17">
        <f>A39+1</f>
        <v>38</v>
      </c>
      <c r="B40" s="10">
        <v>0.62847222222222221</v>
      </c>
      <c r="C40" s="5" t="s">
        <v>52</v>
      </c>
      <c r="D40" s="30">
        <v>7</v>
      </c>
      <c r="E40" s="43">
        <v>2</v>
      </c>
      <c r="F40" s="40" t="s">
        <v>58</v>
      </c>
      <c r="G40" s="62">
        <v>2050</v>
      </c>
      <c r="H40" s="62">
        <v>2310</v>
      </c>
      <c r="I40" s="62">
        <v>6700</v>
      </c>
      <c r="J40" s="62">
        <v>6710</v>
      </c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21"/>
      <c r="V40" s="15"/>
      <c r="W40" s="9" t="s">
        <v>77</v>
      </c>
    </row>
    <row r="41" spans="1:23" ht="24" customHeight="1" x14ac:dyDescent="0.25">
      <c r="A41" s="17">
        <f>A40+1</f>
        <v>39</v>
      </c>
      <c r="B41" s="10">
        <v>0.64652777777777781</v>
      </c>
      <c r="C41" s="5" t="s">
        <v>54</v>
      </c>
      <c r="D41" s="30">
        <v>11</v>
      </c>
      <c r="E41" s="43">
        <v>6</v>
      </c>
      <c r="F41" s="76" t="s">
        <v>29</v>
      </c>
      <c r="G41" s="62">
        <v>1900</v>
      </c>
      <c r="H41" s="62">
        <v>2310</v>
      </c>
      <c r="I41" s="62">
        <v>3000</v>
      </c>
      <c r="J41" s="62">
        <v>6490</v>
      </c>
      <c r="K41" s="62">
        <v>2750</v>
      </c>
      <c r="L41" s="62">
        <v>4290</v>
      </c>
      <c r="M41" s="62">
        <v>2600</v>
      </c>
      <c r="N41" s="62">
        <v>3630</v>
      </c>
      <c r="O41" s="62">
        <v>2500</v>
      </c>
      <c r="P41" s="62">
        <v>4070</v>
      </c>
      <c r="Q41" s="62">
        <v>2300</v>
      </c>
      <c r="R41" s="62">
        <v>4840</v>
      </c>
      <c r="S41" s="16"/>
      <c r="T41" s="16"/>
      <c r="U41" s="21"/>
      <c r="V41" s="15"/>
      <c r="W41" s="9" t="s">
        <v>78</v>
      </c>
    </row>
    <row r="42" spans="1:23" ht="24" customHeight="1" x14ac:dyDescent="0.25">
      <c r="A42" s="17">
        <v>32</v>
      </c>
      <c r="B42" s="10">
        <v>0.72638888888888886</v>
      </c>
      <c r="C42" s="5" t="s">
        <v>63</v>
      </c>
      <c r="D42" s="30">
        <v>7</v>
      </c>
      <c r="E42" s="43">
        <v>2</v>
      </c>
      <c r="F42" s="39" t="s">
        <v>58</v>
      </c>
      <c r="G42" s="62">
        <v>2250</v>
      </c>
      <c r="H42" s="62">
        <v>2310</v>
      </c>
      <c r="I42" s="62">
        <v>4150</v>
      </c>
      <c r="J42" s="62">
        <v>8030</v>
      </c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21"/>
      <c r="V42" s="15"/>
      <c r="W42" s="9" t="s">
        <v>77</v>
      </c>
    </row>
    <row r="43" spans="1:23" ht="24" customHeight="1" x14ac:dyDescent="0.25">
      <c r="A43" s="17"/>
      <c r="B43" s="10"/>
      <c r="C43" s="5"/>
      <c r="D43" s="30"/>
      <c r="E43" s="43"/>
      <c r="F43" s="3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21"/>
      <c r="V43" s="15"/>
      <c r="W43" s="9"/>
    </row>
    <row r="44" spans="1:23" ht="24" customHeight="1" x14ac:dyDescent="0.25">
      <c r="A44" s="17"/>
      <c r="B44" s="10"/>
      <c r="C44" s="5"/>
      <c r="D44" s="30"/>
      <c r="E44" s="43"/>
      <c r="F44" s="3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21"/>
      <c r="V44" s="15"/>
      <c r="W44" s="9"/>
    </row>
    <row r="45" spans="1:23" ht="24" customHeight="1" x14ac:dyDescent="0.25">
      <c r="A45" s="17"/>
      <c r="B45" s="46"/>
      <c r="C45" s="47"/>
      <c r="D45" s="48"/>
      <c r="E45" s="49"/>
      <c r="F45" s="50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2"/>
      <c r="V45" s="51"/>
      <c r="W45" s="53"/>
    </row>
    <row r="46" spans="1:23" ht="24" customHeight="1" thickBot="1" x14ac:dyDescent="0.3">
      <c r="A46" s="17"/>
      <c r="B46" s="54"/>
      <c r="C46" s="55"/>
      <c r="D46" s="56"/>
      <c r="E46" s="57"/>
      <c r="F46" s="58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36"/>
      <c r="V46" s="35"/>
      <c r="W46" s="60"/>
    </row>
    <row r="47" spans="1:23" ht="24" customHeight="1" x14ac:dyDescent="0.25">
      <c r="A47" s="17"/>
      <c r="B47" s="26"/>
      <c r="C47" s="5"/>
      <c r="D47" s="20"/>
      <c r="E47" s="5"/>
      <c r="F47" s="1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21"/>
      <c r="V47" s="15"/>
      <c r="W47" s="9"/>
    </row>
    <row r="48" spans="1:23" ht="24" customHeight="1" x14ac:dyDescent="0.25">
      <c r="A48" s="17"/>
      <c r="B48" s="10"/>
      <c r="C48" s="5"/>
      <c r="D48" s="20"/>
      <c r="E48" s="5"/>
      <c r="F48" s="1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21"/>
      <c r="V48" s="15"/>
      <c r="W48" s="9"/>
    </row>
    <row r="49" spans="1:23" ht="24" customHeight="1" x14ac:dyDescent="0.25">
      <c r="A49" s="17"/>
      <c r="B49" s="10"/>
      <c r="C49" s="5"/>
      <c r="D49" s="20"/>
      <c r="E49" s="5"/>
      <c r="F49" s="1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21"/>
      <c r="V49" s="15"/>
      <c r="W49" s="9"/>
    </row>
    <row r="50" spans="1:23" ht="24" customHeight="1" x14ac:dyDescent="0.25">
      <c r="A50" s="17"/>
      <c r="B50" s="10"/>
      <c r="C50" s="5"/>
      <c r="D50" s="20"/>
      <c r="E50" s="5"/>
      <c r="F50" s="1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21"/>
      <c r="V50" s="15"/>
      <c r="W50" s="9"/>
    </row>
    <row r="51" spans="1:23" ht="24" customHeight="1" x14ac:dyDescent="0.25">
      <c r="A51" s="17"/>
      <c r="B51" s="10"/>
      <c r="C51" s="5"/>
      <c r="D51" s="20"/>
      <c r="E51" s="5"/>
      <c r="F51" s="1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21"/>
      <c r="V51" s="15"/>
      <c r="W51" s="9"/>
    </row>
    <row r="52" spans="1:23" ht="24" customHeight="1" x14ac:dyDescent="0.25">
      <c r="A52" s="17"/>
      <c r="B52" s="10"/>
      <c r="C52" s="5"/>
      <c r="D52" s="20"/>
      <c r="E52" s="5"/>
      <c r="F52" s="1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21"/>
      <c r="V52" s="15"/>
      <c r="W52" s="9"/>
    </row>
    <row r="53" spans="1:23" ht="24" customHeight="1" x14ac:dyDescent="0.25">
      <c r="A53" s="17"/>
      <c r="B53" s="10"/>
      <c r="C53" s="5"/>
      <c r="D53" s="20"/>
      <c r="E53" s="5"/>
      <c r="F53" s="1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21"/>
      <c r="V53" s="15"/>
      <c r="W53" s="9"/>
    </row>
    <row r="54" spans="1:23" ht="24" customHeight="1" x14ac:dyDescent="0.25">
      <c r="A54" s="17"/>
      <c r="B54" s="10"/>
      <c r="C54" s="5"/>
      <c r="D54" s="20"/>
      <c r="E54" s="5"/>
      <c r="F54" s="1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21"/>
      <c r="V54" s="15"/>
      <c r="W54" s="9"/>
    </row>
    <row r="55" spans="1:23" ht="24" customHeight="1" x14ac:dyDescent="0.25">
      <c r="A55" s="17"/>
      <c r="B55" s="10"/>
      <c r="C55" s="5"/>
      <c r="D55" s="19"/>
      <c r="E55" s="5"/>
      <c r="F55" s="13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21"/>
      <c r="V55" s="15"/>
      <c r="W55" s="9"/>
    </row>
    <row r="56" spans="1:23" ht="24" customHeight="1" x14ac:dyDescent="0.25">
      <c r="A56" s="17"/>
      <c r="B56" s="10"/>
      <c r="C56" s="5"/>
      <c r="D56" s="20"/>
      <c r="E56" s="5"/>
      <c r="F56" s="1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21"/>
      <c r="V56" s="15"/>
      <c r="W56" s="9"/>
    </row>
    <row r="57" spans="1:23" ht="24" customHeight="1" x14ac:dyDescent="0.25">
      <c r="A57" s="17"/>
      <c r="B57" s="10"/>
      <c r="C57" s="5"/>
      <c r="D57" s="20"/>
      <c r="E57" s="5"/>
      <c r="F57" s="1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21"/>
      <c r="V57" s="15"/>
      <c r="W57" s="9"/>
    </row>
    <row r="58" spans="1:23" ht="24" customHeight="1" x14ac:dyDescent="0.25">
      <c r="A58" s="17"/>
      <c r="B58" s="10"/>
      <c r="C58" s="5"/>
      <c r="D58" s="20"/>
      <c r="E58" s="5"/>
      <c r="F58" s="1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21"/>
      <c r="V58" s="15"/>
      <c r="W58" s="9"/>
    </row>
    <row r="59" spans="1:23" ht="24" customHeight="1" x14ac:dyDescent="0.25">
      <c r="A59" s="17"/>
      <c r="B59" s="10"/>
      <c r="C59" s="5"/>
      <c r="D59" s="20"/>
      <c r="E59" s="5"/>
      <c r="F59" s="1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21"/>
      <c r="V59" s="15"/>
      <c r="W59" s="9"/>
    </row>
    <row r="60" spans="1:23" ht="24" customHeight="1" x14ac:dyDescent="0.25">
      <c r="A60" s="17"/>
      <c r="B60" s="10"/>
      <c r="C60" s="5"/>
      <c r="D60" s="20"/>
      <c r="E60" s="5"/>
      <c r="F60" s="1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21"/>
      <c r="V60" s="15"/>
      <c r="W60" s="9"/>
    </row>
    <row r="61" spans="1:23" ht="24" customHeight="1" x14ac:dyDescent="0.25">
      <c r="A61" s="17"/>
      <c r="B61" s="10"/>
      <c r="C61" s="5"/>
      <c r="D61" s="20"/>
      <c r="E61" s="5"/>
      <c r="F61" s="1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21"/>
      <c r="V61" s="15"/>
      <c r="W61" s="9"/>
    </row>
    <row r="62" spans="1:23" ht="24" customHeight="1" x14ac:dyDescent="0.25">
      <c r="A62" s="17"/>
      <c r="B62" s="10"/>
      <c r="C62" s="5"/>
      <c r="D62" s="20"/>
      <c r="E62" s="5"/>
      <c r="F62" s="1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21"/>
      <c r="V62" s="15"/>
      <c r="W62" s="9"/>
    </row>
    <row r="63" spans="1:23" ht="24" customHeight="1" x14ac:dyDescent="0.25">
      <c r="A63" s="17"/>
      <c r="B63" s="10"/>
      <c r="C63" s="5"/>
      <c r="D63" s="20"/>
      <c r="E63" s="5"/>
      <c r="F63" s="1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21"/>
      <c r="V63" s="15"/>
      <c r="W63" s="9"/>
    </row>
    <row r="64" spans="1:23" ht="24" customHeight="1" x14ac:dyDescent="0.25">
      <c r="A64" s="17"/>
      <c r="B64" s="10"/>
      <c r="C64" s="5"/>
      <c r="D64" s="20"/>
      <c r="E64" s="5"/>
      <c r="F64" s="1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21"/>
      <c r="V64" s="15"/>
      <c r="W64" s="9"/>
    </row>
    <row r="65" spans="1:23" ht="24" customHeight="1" x14ac:dyDescent="0.25">
      <c r="A65" s="17"/>
      <c r="B65" s="10"/>
      <c r="C65" s="5"/>
      <c r="D65" s="20"/>
      <c r="E65" s="5"/>
      <c r="F65" s="1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21"/>
      <c r="V65" s="15"/>
      <c r="W65" s="9"/>
    </row>
    <row r="66" spans="1:23" ht="24" customHeight="1" x14ac:dyDescent="0.25">
      <c r="A66" s="17"/>
      <c r="B66" s="10"/>
      <c r="C66" s="5"/>
      <c r="D66" s="19"/>
      <c r="E66" s="5"/>
      <c r="F66" s="1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21"/>
      <c r="V66" s="15"/>
      <c r="W66" s="9"/>
    </row>
    <row r="67" spans="1:23" ht="24" customHeight="1" x14ac:dyDescent="0.25">
      <c r="A67" s="17"/>
      <c r="B67" s="10"/>
      <c r="C67" s="10"/>
      <c r="D67" s="19"/>
      <c r="E67" s="5"/>
      <c r="F67" s="1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21"/>
      <c r="V67" s="15"/>
      <c r="W67" s="9"/>
    </row>
    <row r="68" spans="1:23" ht="24" customHeight="1" x14ac:dyDescent="0.25">
      <c r="A68" s="17"/>
      <c r="B68" s="10"/>
      <c r="C68" s="5"/>
      <c r="D68" s="19"/>
      <c r="E68" s="5"/>
      <c r="F68" s="1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21"/>
      <c r="V68" s="15"/>
      <c r="W68" s="9"/>
    </row>
    <row r="69" spans="1:23" ht="24" customHeight="1" x14ac:dyDescent="0.25">
      <c r="A69" s="17"/>
      <c r="B69" s="10"/>
      <c r="C69" s="5"/>
      <c r="D69" s="19"/>
      <c r="E69" s="5"/>
      <c r="F69" s="1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21"/>
      <c r="V69" s="15"/>
      <c r="W69" s="9"/>
    </row>
    <row r="70" spans="1:23" ht="24" customHeight="1" x14ac:dyDescent="0.25">
      <c r="A70" s="17"/>
      <c r="B70" s="10"/>
      <c r="C70" s="5"/>
      <c r="D70" s="19"/>
      <c r="E70" s="5"/>
      <c r="F70" s="1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21"/>
      <c r="V70" s="15"/>
      <c r="W70" s="9"/>
    </row>
    <row r="71" spans="1:23" ht="24" customHeight="1" x14ac:dyDescent="0.25">
      <c r="A71" s="17"/>
      <c r="B71" s="10"/>
      <c r="C71" s="5"/>
      <c r="D71" s="19"/>
      <c r="E71" s="5"/>
      <c r="F71" s="1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21"/>
      <c r="V71" s="15"/>
      <c r="W71" s="9"/>
    </row>
    <row r="72" spans="1:23" ht="24" customHeight="1" x14ac:dyDescent="0.25">
      <c r="A72" s="17"/>
      <c r="B72" s="10"/>
      <c r="C72" s="5"/>
      <c r="D72" s="19"/>
      <c r="E72" s="5"/>
      <c r="F72" s="1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21"/>
      <c r="V72" s="15"/>
      <c r="W72" s="9"/>
    </row>
    <row r="73" spans="1:23" ht="24" customHeight="1" x14ac:dyDescent="0.25">
      <c r="A73" s="17"/>
      <c r="B73" s="10"/>
      <c r="C73" s="5"/>
      <c r="D73" s="5"/>
      <c r="E73" s="5"/>
      <c r="F73" s="5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21"/>
      <c r="V73" s="15"/>
      <c r="W73" s="9"/>
    </row>
    <row r="74" spans="1:23" ht="24" customHeight="1" x14ac:dyDescent="0.25">
      <c r="A74" s="17"/>
      <c r="B74" s="10"/>
      <c r="C74" s="5"/>
      <c r="D74" s="19"/>
      <c r="E74" s="5"/>
      <c r="F74" s="1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5"/>
      <c r="V74" s="15"/>
      <c r="W74" s="9"/>
    </row>
    <row r="75" spans="1:23" ht="24" customHeight="1" x14ac:dyDescent="0.25">
      <c r="A75" s="17"/>
      <c r="B75" s="10"/>
      <c r="C75" s="5"/>
      <c r="D75" s="19"/>
      <c r="E75" s="5"/>
      <c r="F75" s="1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5"/>
      <c r="V75" s="15"/>
      <c r="W75" s="9"/>
    </row>
    <row r="76" spans="1:23" ht="24" customHeight="1" x14ac:dyDescent="0.25">
      <c r="A76" s="17"/>
      <c r="B76" s="10"/>
      <c r="C76" s="5"/>
      <c r="D76" s="19"/>
      <c r="E76" s="5"/>
      <c r="F76" s="1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5"/>
      <c r="V76" s="15"/>
      <c r="W76" s="9"/>
    </row>
    <row r="77" spans="1:23" ht="24" customHeight="1" x14ac:dyDescent="0.25">
      <c r="A77" s="17"/>
      <c r="B77" s="10"/>
      <c r="C77" s="5"/>
      <c r="D77" s="5"/>
      <c r="E77" s="5"/>
      <c r="F77" s="5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5"/>
      <c r="V77" s="15"/>
      <c r="W77" s="9"/>
    </row>
    <row r="78" spans="1:23" ht="24" customHeight="1" x14ac:dyDescent="0.25">
      <c r="A78" s="17"/>
      <c r="B78" s="10"/>
      <c r="C78" s="5"/>
      <c r="D78" s="5"/>
      <c r="E78" s="5"/>
      <c r="F78" s="5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5"/>
      <c r="V78" s="15"/>
      <c r="W78" s="9"/>
    </row>
    <row r="79" spans="1:23" ht="24" customHeight="1" x14ac:dyDescent="0.25">
      <c r="A79" s="17"/>
      <c r="B79" s="10"/>
      <c r="C79" s="5"/>
      <c r="D79" s="19"/>
      <c r="E79" s="5"/>
      <c r="F79" s="1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5"/>
      <c r="V79" s="15"/>
      <c r="W79" s="9"/>
    </row>
    <row r="80" spans="1:23" ht="24" customHeight="1" x14ac:dyDescent="0.25">
      <c r="A80" s="17"/>
      <c r="B80" s="10"/>
      <c r="C80" s="5"/>
      <c r="D80" s="19"/>
      <c r="E80" s="5"/>
      <c r="F80" s="1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5"/>
      <c r="V80" s="15"/>
      <c r="W80" s="9"/>
    </row>
    <row r="81" spans="1:23" ht="24" customHeight="1" x14ac:dyDescent="0.25">
      <c r="A81" s="11"/>
      <c r="B81" s="10"/>
      <c r="C81" s="5"/>
      <c r="D81" s="5"/>
      <c r="E81" s="5"/>
      <c r="F81" s="5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5"/>
      <c r="V81" s="15"/>
      <c r="W81" s="9"/>
    </row>
    <row r="82" spans="1:23" ht="24" customHeight="1" x14ac:dyDescent="0.25">
      <c r="A82" s="11"/>
      <c r="B82" s="10"/>
      <c r="C82" s="5"/>
      <c r="D82" s="5"/>
      <c r="E82" s="5"/>
      <c r="F82" s="5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5"/>
      <c r="V82" s="15"/>
      <c r="W82" s="9"/>
    </row>
    <row r="83" spans="1:23" ht="24" customHeight="1" x14ac:dyDescent="0.25">
      <c r="A83" s="11"/>
      <c r="B83" s="10"/>
      <c r="C83" s="5"/>
      <c r="D83" s="5"/>
      <c r="E83" s="5"/>
      <c r="F83" s="5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5"/>
      <c r="V83" s="15"/>
      <c r="W83" s="9"/>
    </row>
    <row r="84" spans="1:23" ht="24" customHeight="1" x14ac:dyDescent="0.25">
      <c r="A84" s="11"/>
      <c r="B84" s="10"/>
      <c r="C84" s="5"/>
      <c r="D84" s="5"/>
      <c r="E84" s="5"/>
      <c r="F84" s="5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5"/>
      <c r="V84" s="15"/>
      <c r="W84" s="9"/>
    </row>
    <row r="85" spans="1:23" ht="24" customHeight="1" x14ac:dyDescent="0.25">
      <c r="A85" s="11"/>
      <c r="B85" s="10"/>
      <c r="C85" s="5"/>
      <c r="D85" s="5"/>
      <c r="E85" s="5"/>
      <c r="F85" s="5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5"/>
      <c r="V85" s="15"/>
      <c r="W85" s="9"/>
    </row>
    <row r="86" spans="1:23" ht="24" customHeight="1" x14ac:dyDescent="0.25">
      <c r="A86" s="11"/>
      <c r="B86" s="10"/>
      <c r="C86" s="5"/>
      <c r="D86" s="5"/>
      <c r="E86" s="5"/>
      <c r="F86" s="5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5"/>
      <c r="V86" s="15"/>
      <c r="W86" s="9"/>
    </row>
    <row r="87" spans="1:23" ht="24" customHeight="1" x14ac:dyDescent="0.25">
      <c r="A87" s="11"/>
      <c r="B87" s="10"/>
      <c r="C87" s="5"/>
      <c r="D87" s="5"/>
      <c r="E87" s="5"/>
      <c r="F87" s="5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5"/>
      <c r="V87" s="15"/>
      <c r="W87" s="9"/>
    </row>
    <row r="88" spans="1:23" ht="24" customHeight="1" x14ac:dyDescent="0.25">
      <c r="A88" s="11"/>
      <c r="B88" s="10"/>
      <c r="C88" s="5"/>
      <c r="D88" s="5"/>
      <c r="E88" s="5"/>
      <c r="F88" s="5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5"/>
      <c r="V88" s="15"/>
      <c r="W88" s="9"/>
    </row>
    <row r="89" spans="1:23" ht="24" customHeight="1" x14ac:dyDescent="0.25">
      <c r="A89" s="11"/>
      <c r="B89" s="10"/>
      <c r="C89" s="5"/>
      <c r="D89" s="5"/>
      <c r="E89" s="5"/>
      <c r="F89" s="5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5"/>
      <c r="V89" s="15"/>
      <c r="W89" s="9"/>
    </row>
    <row r="90" spans="1:23" ht="24" customHeight="1" x14ac:dyDescent="0.25">
      <c r="A90" s="11"/>
      <c r="B90" s="10"/>
      <c r="C90" s="5"/>
      <c r="D90" s="5"/>
      <c r="E90" s="5"/>
      <c r="F90" s="5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5"/>
      <c r="V90" s="15"/>
      <c r="W90" s="9"/>
    </row>
    <row r="91" spans="1:23" ht="24" customHeight="1" x14ac:dyDescent="0.25">
      <c r="A91" s="11"/>
      <c r="B91" s="10"/>
      <c r="C91" s="5"/>
      <c r="D91" s="5"/>
      <c r="E91" s="5"/>
      <c r="F91" s="5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5"/>
      <c r="V91" s="15"/>
      <c r="W91" s="9"/>
    </row>
    <row r="92" spans="1:23" ht="24" customHeight="1" x14ac:dyDescent="0.25">
      <c r="A92" s="11"/>
      <c r="B92" s="10"/>
      <c r="C92" s="5"/>
      <c r="D92" s="5"/>
      <c r="E92" s="5"/>
      <c r="F92" s="5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5"/>
      <c r="V92" s="15"/>
      <c r="W92" s="9"/>
    </row>
    <row r="93" spans="1:23" ht="24" customHeight="1" x14ac:dyDescent="0.25">
      <c r="A93" s="11"/>
      <c r="B93" s="10"/>
      <c r="C93" s="5"/>
      <c r="D93" s="5"/>
      <c r="E93" s="5"/>
      <c r="F93" s="5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5"/>
      <c r="V93" s="15"/>
      <c r="W93" s="9"/>
    </row>
    <row r="94" spans="1:23" ht="24" customHeight="1" x14ac:dyDescent="0.25">
      <c r="A94" s="11"/>
      <c r="B94" s="10"/>
      <c r="C94" s="5"/>
      <c r="D94" s="5"/>
      <c r="E94" s="5"/>
      <c r="F94" s="5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5"/>
      <c r="V94" s="15"/>
      <c r="W94" s="9"/>
    </row>
    <row r="95" spans="1:23" ht="24" customHeight="1" x14ac:dyDescent="0.25">
      <c r="A95" s="11"/>
      <c r="B95" s="10"/>
      <c r="C95" s="5"/>
      <c r="D95" s="5"/>
      <c r="E95" s="5"/>
      <c r="F95" s="5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5"/>
      <c r="V95" s="15"/>
      <c r="W95" s="9"/>
    </row>
    <row r="96" spans="1:23" ht="24" customHeight="1" x14ac:dyDescent="0.25">
      <c r="A96" s="11"/>
      <c r="B96" s="10"/>
      <c r="C96" s="5"/>
      <c r="D96" s="5"/>
      <c r="E96" s="5"/>
      <c r="F96" s="5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5"/>
      <c r="V96" s="15"/>
      <c r="W96" s="9"/>
    </row>
    <row r="97" spans="1:23" ht="24" customHeight="1" x14ac:dyDescent="0.25">
      <c r="A97" s="11"/>
      <c r="B97" s="10"/>
      <c r="C97" s="5"/>
      <c r="D97" s="5"/>
      <c r="E97" s="5"/>
      <c r="F97" s="5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5"/>
      <c r="V97" s="15"/>
      <c r="W97" s="9"/>
    </row>
    <row r="98" spans="1:23" ht="24" customHeight="1" x14ac:dyDescent="0.25">
      <c r="A98" s="11"/>
      <c r="B98" s="10"/>
      <c r="C98" s="5"/>
      <c r="D98" s="5"/>
      <c r="E98" s="5"/>
      <c r="F98" s="5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5"/>
      <c r="V98" s="15"/>
      <c r="W98" s="9"/>
    </row>
    <row r="99" spans="1:23" ht="24" customHeight="1" x14ac:dyDescent="0.25">
      <c r="A99" s="11"/>
      <c r="B99" s="10"/>
      <c r="C99" s="5"/>
      <c r="D99" s="5"/>
      <c r="E99" s="5"/>
      <c r="F99" s="5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5"/>
      <c r="V99" s="15"/>
      <c r="W99" s="9"/>
    </row>
    <row r="100" spans="1:23" ht="24" customHeight="1" x14ac:dyDescent="0.25">
      <c r="A100" s="11"/>
      <c r="B100" s="10"/>
      <c r="C100" s="5"/>
      <c r="D100" s="5"/>
      <c r="E100" s="5"/>
      <c r="F100" s="5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5"/>
      <c r="V100" s="15"/>
      <c r="W100" s="9"/>
    </row>
    <row r="101" spans="1:23" ht="24" customHeight="1" x14ac:dyDescent="0.25">
      <c r="A101" s="11"/>
      <c r="B101" s="10"/>
      <c r="C101" s="5"/>
      <c r="D101" s="5"/>
      <c r="E101" s="5"/>
      <c r="F101" s="5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5"/>
      <c r="V101" s="15"/>
      <c r="W101" s="9"/>
    </row>
    <row r="102" spans="1:23" ht="24" customHeight="1" x14ac:dyDescent="0.25">
      <c r="A102" s="11"/>
      <c r="B102" s="10"/>
      <c r="C102" s="5"/>
      <c r="D102" s="5"/>
      <c r="E102" s="5"/>
      <c r="F102" s="5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5"/>
      <c r="V102" s="15"/>
      <c r="W102" s="9"/>
    </row>
    <row r="103" spans="1:23" ht="24" customHeight="1" x14ac:dyDescent="0.25">
      <c r="A103" s="11"/>
      <c r="B103" s="10"/>
      <c r="C103" s="5"/>
      <c r="D103" s="5"/>
      <c r="E103" s="5"/>
      <c r="F103" s="5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5"/>
      <c r="V103" s="15"/>
      <c r="W103" s="9"/>
    </row>
    <row r="104" spans="1:23" ht="24" customHeight="1" x14ac:dyDescent="0.25">
      <c r="A104" s="11"/>
      <c r="B104" s="10"/>
      <c r="C104" s="5"/>
      <c r="D104" s="5"/>
      <c r="E104" s="5"/>
      <c r="F104" s="5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5"/>
      <c r="V104" s="15"/>
      <c r="W104" s="9"/>
    </row>
    <row r="105" spans="1:23" ht="24" customHeight="1" x14ac:dyDescent="0.25">
      <c r="A105" s="11"/>
      <c r="B105" s="10"/>
      <c r="C105" s="5"/>
      <c r="D105" s="5"/>
      <c r="E105" s="5"/>
      <c r="F105" s="5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5"/>
      <c r="V105" s="15"/>
      <c r="W105" s="9"/>
    </row>
    <row r="106" spans="1:23" ht="24" customHeight="1" x14ac:dyDescent="0.25">
      <c r="A106" s="11"/>
      <c r="B106" s="10"/>
      <c r="C106" s="5"/>
      <c r="D106" s="5"/>
      <c r="E106" s="5"/>
      <c r="F106" s="5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5"/>
      <c r="V106" s="15"/>
      <c r="W106" s="9"/>
    </row>
    <row r="107" spans="1:23" ht="24" customHeight="1" x14ac:dyDescent="0.25">
      <c r="A107" s="11"/>
      <c r="B107" s="10"/>
      <c r="C107" s="5"/>
      <c r="D107" s="5"/>
      <c r="E107" s="5"/>
      <c r="F107" s="5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5"/>
      <c r="V107" s="15"/>
      <c r="W107" s="9"/>
    </row>
    <row r="108" spans="1:23" ht="24" customHeight="1" x14ac:dyDescent="0.25">
      <c r="A108" s="11"/>
      <c r="B108" s="10"/>
      <c r="C108" s="5"/>
      <c r="D108" s="5"/>
      <c r="E108" s="5"/>
      <c r="F108" s="5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5"/>
      <c r="V108" s="15"/>
      <c r="W108" s="9"/>
    </row>
    <row r="109" spans="1:23" ht="24" customHeight="1" x14ac:dyDescent="0.25">
      <c r="A109" s="11"/>
      <c r="B109" s="10"/>
      <c r="C109" s="5"/>
      <c r="D109" s="5"/>
      <c r="E109" s="5"/>
      <c r="F109" s="5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5"/>
      <c r="V109" s="15"/>
      <c r="W109" s="9"/>
    </row>
    <row r="110" spans="1:23" ht="24" customHeight="1" x14ac:dyDescent="0.25">
      <c r="A110" s="11"/>
      <c r="B110" s="10"/>
      <c r="C110" s="5"/>
      <c r="D110" s="5"/>
      <c r="E110" s="5"/>
      <c r="F110" s="5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5"/>
      <c r="V110" s="15"/>
      <c r="W110" s="9"/>
    </row>
    <row r="111" spans="1:23" ht="24" customHeight="1" x14ac:dyDescent="0.25">
      <c r="A111" s="11"/>
      <c r="B111" s="10"/>
      <c r="C111" s="5"/>
      <c r="D111" s="5"/>
      <c r="E111" s="5"/>
      <c r="F111" s="5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5"/>
      <c r="V111" s="15"/>
      <c r="W111" s="9"/>
    </row>
    <row r="112" spans="1:23" ht="24" customHeight="1" x14ac:dyDescent="0.25">
      <c r="A112" s="11"/>
      <c r="B112" s="10"/>
      <c r="C112" s="5"/>
      <c r="D112" s="5"/>
      <c r="E112" s="5"/>
      <c r="F112" s="5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5"/>
      <c r="V112" s="15"/>
      <c r="W112" s="9"/>
    </row>
    <row r="113" spans="1:23" ht="24" customHeight="1" x14ac:dyDescent="0.25">
      <c r="A113" s="11"/>
      <c r="B113" s="10"/>
      <c r="C113" s="5"/>
      <c r="D113" s="5"/>
      <c r="E113" s="5"/>
      <c r="F113" s="5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5"/>
      <c r="V113" s="15"/>
      <c r="W113" s="9"/>
    </row>
    <row r="114" spans="1:23" ht="24" customHeight="1" x14ac:dyDescent="0.25">
      <c r="A114" s="11"/>
      <c r="B114" s="10"/>
      <c r="C114" s="5"/>
      <c r="D114" s="5"/>
      <c r="E114" s="5"/>
      <c r="F114" s="5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5"/>
      <c r="V114" s="15"/>
      <c r="W114" s="9"/>
    </row>
    <row r="115" spans="1:23" ht="24" customHeight="1" x14ac:dyDescent="0.25">
      <c r="A115" s="11"/>
      <c r="B115" s="10"/>
      <c r="C115" s="5"/>
      <c r="D115" s="5"/>
      <c r="E115" s="5"/>
      <c r="F115" s="5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5"/>
      <c r="V115" s="15"/>
      <c r="W115" s="9"/>
    </row>
    <row r="116" spans="1:23" ht="24" customHeight="1" x14ac:dyDescent="0.25">
      <c r="A116" s="11"/>
      <c r="B116" s="10"/>
      <c r="C116" s="5"/>
      <c r="D116" s="5"/>
      <c r="E116" s="5"/>
      <c r="F116" s="5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5"/>
      <c r="V116" s="15"/>
      <c r="W116" s="9"/>
    </row>
    <row r="117" spans="1:23" ht="24" customHeight="1" x14ac:dyDescent="0.25">
      <c r="A117" s="11"/>
      <c r="B117" s="10"/>
      <c r="C117" s="5"/>
      <c r="D117" s="5"/>
      <c r="E117" s="5"/>
      <c r="F117" s="5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5"/>
      <c r="V117" s="15"/>
      <c r="W117" s="9"/>
    </row>
    <row r="118" spans="1:23" ht="24" customHeight="1" x14ac:dyDescent="0.25">
      <c r="A118" s="11"/>
      <c r="B118" s="10"/>
      <c r="C118" s="5"/>
      <c r="D118" s="5"/>
      <c r="E118" s="5"/>
      <c r="F118" s="5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5"/>
      <c r="V118" s="15"/>
      <c r="W118" s="9"/>
    </row>
    <row r="119" spans="1:23" ht="24" customHeight="1" x14ac:dyDescent="0.25">
      <c r="A119" s="11"/>
      <c r="B119" s="10"/>
      <c r="C119" s="5"/>
      <c r="D119" s="5"/>
      <c r="E119" s="5"/>
      <c r="F119" s="5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5"/>
      <c r="V119" s="15"/>
      <c r="W119" s="9"/>
    </row>
    <row r="120" spans="1:23" ht="24" customHeight="1" x14ac:dyDescent="0.25">
      <c r="A120" s="11"/>
      <c r="B120" s="10"/>
      <c r="C120" s="5"/>
      <c r="D120" s="5"/>
      <c r="E120" s="5"/>
      <c r="F120" s="5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5"/>
      <c r="V120" s="15"/>
      <c r="W120" s="9"/>
    </row>
    <row r="121" spans="1:23" ht="24" customHeight="1" x14ac:dyDescent="0.25">
      <c r="A121" s="11"/>
      <c r="B121" s="10"/>
      <c r="C121" s="5"/>
      <c r="D121" s="5"/>
      <c r="E121" s="5"/>
      <c r="F121" s="5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5"/>
      <c r="V121" s="15"/>
      <c r="W121" s="9"/>
    </row>
    <row r="122" spans="1:23" ht="24" customHeight="1" x14ac:dyDescent="0.25">
      <c r="A122" s="11"/>
      <c r="B122" s="10"/>
      <c r="C122" s="5"/>
      <c r="D122" s="5"/>
      <c r="E122" s="5"/>
      <c r="F122" s="5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5"/>
      <c r="V122" s="15"/>
      <c r="W122" s="9"/>
    </row>
    <row r="123" spans="1:23" ht="24" customHeight="1" x14ac:dyDescent="0.25">
      <c r="A123" s="11"/>
      <c r="B123" s="10"/>
      <c r="C123" s="5"/>
      <c r="D123" s="5"/>
      <c r="E123" s="5"/>
      <c r="F123" s="5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5"/>
      <c r="V123" s="15"/>
      <c r="W123" s="9"/>
    </row>
    <row r="124" spans="1:23" ht="24" customHeight="1" x14ac:dyDescent="0.25">
      <c r="A124" s="11"/>
      <c r="B124" s="10"/>
      <c r="C124" s="5"/>
      <c r="D124" s="5"/>
      <c r="E124" s="5"/>
      <c r="F124" s="5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5"/>
      <c r="V124" s="15"/>
      <c r="W124" s="9"/>
    </row>
    <row r="125" spans="1:23" ht="24" customHeight="1" x14ac:dyDescent="0.25">
      <c r="A125" s="11"/>
      <c r="B125" s="10"/>
      <c r="C125" s="5"/>
      <c r="D125" s="5"/>
      <c r="E125" s="5"/>
      <c r="F125" s="5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5"/>
      <c r="V125" s="15"/>
      <c r="W125" s="9"/>
    </row>
    <row r="126" spans="1:23" ht="24" customHeight="1" x14ac:dyDescent="0.25">
      <c r="A126" s="11"/>
      <c r="B126" s="10"/>
      <c r="C126" s="5"/>
      <c r="D126" s="5"/>
      <c r="E126" s="5"/>
      <c r="F126" s="5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5"/>
      <c r="V126" s="15"/>
      <c r="W126" s="9"/>
    </row>
    <row r="127" spans="1:23" ht="24" customHeight="1" x14ac:dyDescent="0.25">
      <c r="A127" s="11"/>
      <c r="B127" s="10"/>
      <c r="C127" s="5"/>
      <c r="D127" s="5"/>
      <c r="E127" s="5"/>
      <c r="F127" s="5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5"/>
      <c r="V127" s="15"/>
      <c r="W127" s="9"/>
    </row>
    <row r="128" spans="1:23" ht="24" customHeight="1" x14ac:dyDescent="0.25">
      <c r="A128" s="11"/>
      <c r="B128" s="10"/>
      <c r="C128" s="5"/>
      <c r="D128" s="5"/>
      <c r="E128" s="5"/>
      <c r="F128" s="5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5"/>
      <c r="V128" s="15"/>
      <c r="W128" s="9"/>
    </row>
    <row r="129" spans="1:23" ht="24" customHeight="1" x14ac:dyDescent="0.25">
      <c r="A129" s="11"/>
      <c r="B129" s="10"/>
      <c r="C129" s="5"/>
      <c r="D129" s="5"/>
      <c r="E129" s="5"/>
      <c r="F129" s="5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5"/>
      <c r="V129" s="15"/>
      <c r="W129" s="9"/>
    </row>
    <row r="130" spans="1:23" ht="24" customHeight="1" x14ac:dyDescent="0.25">
      <c r="A130" s="11"/>
      <c r="B130" s="10"/>
      <c r="C130" s="5"/>
      <c r="D130" s="5"/>
      <c r="E130" s="5"/>
      <c r="F130" s="5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5"/>
      <c r="V130" s="15"/>
      <c r="W130" s="9"/>
    </row>
    <row r="131" spans="1:23" ht="24" customHeight="1" x14ac:dyDescent="0.25">
      <c r="A131" s="11"/>
      <c r="B131" s="10"/>
      <c r="C131" s="5"/>
      <c r="D131" s="5"/>
      <c r="E131" s="5"/>
      <c r="F131" s="5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5"/>
      <c r="V131" s="15"/>
      <c r="W131" s="9"/>
    </row>
    <row r="132" spans="1:23" ht="24" customHeight="1" x14ac:dyDescent="0.25">
      <c r="A132" s="11"/>
      <c r="B132" s="10"/>
      <c r="C132" s="5"/>
      <c r="D132" s="5"/>
      <c r="E132" s="5"/>
      <c r="F132" s="5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5"/>
      <c r="V132" s="15"/>
      <c r="W132" s="9"/>
    </row>
    <row r="133" spans="1:23" ht="24" customHeight="1" x14ac:dyDescent="0.25">
      <c r="A133" s="11"/>
      <c r="B133" s="10"/>
      <c r="C133" s="5"/>
      <c r="D133" s="5"/>
      <c r="E133" s="5"/>
      <c r="F133" s="5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5"/>
      <c r="V133" s="15"/>
      <c r="W133" s="9"/>
    </row>
    <row r="134" spans="1:23" ht="24" customHeight="1" x14ac:dyDescent="0.25">
      <c r="A134" s="11"/>
      <c r="B134" s="10"/>
      <c r="C134" s="5"/>
      <c r="D134" s="5"/>
      <c r="E134" s="5"/>
      <c r="F134" s="5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5"/>
      <c r="V134" s="15"/>
      <c r="W134" s="9"/>
    </row>
    <row r="135" spans="1:23" ht="24" customHeight="1" x14ac:dyDescent="0.25">
      <c r="A135" s="11"/>
      <c r="B135" s="10"/>
      <c r="C135" s="5"/>
      <c r="D135" s="5"/>
      <c r="E135" s="5"/>
      <c r="F135" s="5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5"/>
      <c r="V135" s="15"/>
      <c r="W135" s="9"/>
    </row>
    <row r="136" spans="1:23" ht="24" customHeight="1" x14ac:dyDescent="0.25">
      <c r="A136" s="11"/>
      <c r="B136" s="10"/>
      <c r="C136" s="5"/>
      <c r="D136" s="5"/>
      <c r="E136" s="5"/>
      <c r="F136" s="5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5"/>
      <c r="V136" s="15"/>
      <c r="W136" s="9"/>
    </row>
    <row r="137" spans="1:23" ht="24" customHeight="1" x14ac:dyDescent="0.25">
      <c r="A137" s="11"/>
      <c r="B137" s="10"/>
      <c r="C137" s="5"/>
      <c r="D137" s="5"/>
      <c r="E137" s="5"/>
      <c r="F137" s="5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5"/>
      <c r="V137" s="15"/>
      <c r="W137" s="9"/>
    </row>
    <row r="138" spans="1:23" ht="24" customHeight="1" x14ac:dyDescent="0.25">
      <c r="A138" s="11"/>
      <c r="B138" s="10"/>
      <c r="C138" s="5"/>
      <c r="D138" s="5"/>
      <c r="E138" s="5"/>
      <c r="F138" s="5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5"/>
      <c r="V138" s="15"/>
      <c r="W138" s="9"/>
    </row>
    <row r="139" spans="1:23" ht="24" customHeight="1" x14ac:dyDescent="0.25">
      <c r="A139" s="11"/>
      <c r="B139" s="10"/>
      <c r="C139" s="5"/>
      <c r="D139" s="5"/>
      <c r="E139" s="5"/>
      <c r="F139" s="5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5"/>
      <c r="V139" s="15"/>
      <c r="W139" s="9"/>
    </row>
    <row r="140" spans="1:23" ht="24" customHeight="1" x14ac:dyDescent="0.25">
      <c r="A140" s="11"/>
      <c r="B140" s="10"/>
      <c r="C140" s="5"/>
      <c r="D140" s="5"/>
      <c r="E140" s="5"/>
      <c r="F140" s="5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5"/>
      <c r="V140" s="15"/>
      <c r="W140" s="9"/>
    </row>
    <row r="141" spans="1:23" ht="24" customHeight="1" x14ac:dyDescent="0.25">
      <c r="A141" s="11"/>
      <c r="B141" s="10"/>
      <c r="C141" s="5"/>
      <c r="D141" s="5"/>
      <c r="E141" s="5"/>
      <c r="F141" s="5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5"/>
      <c r="V141" s="15"/>
      <c r="W141" s="9"/>
    </row>
    <row r="142" spans="1:23" ht="24" customHeight="1" x14ac:dyDescent="0.25">
      <c r="A142" s="11"/>
      <c r="B142" s="10"/>
      <c r="C142" s="5"/>
      <c r="D142" s="5"/>
      <c r="E142" s="5"/>
      <c r="F142" s="5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5"/>
      <c r="V142" s="15"/>
      <c r="W142" s="9"/>
    </row>
    <row r="143" spans="1:23" ht="24" customHeight="1" x14ac:dyDescent="0.25">
      <c r="A143" s="11"/>
      <c r="B143" s="10"/>
      <c r="C143" s="5"/>
      <c r="D143" s="5"/>
      <c r="E143" s="5"/>
      <c r="F143" s="5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5"/>
      <c r="V143" s="15"/>
      <c r="W143" s="9"/>
    </row>
    <row r="144" spans="1:23" ht="24" customHeight="1" x14ac:dyDescent="0.25">
      <c r="A144" s="11"/>
      <c r="B144" s="10"/>
      <c r="C144" s="5"/>
      <c r="D144" s="5"/>
      <c r="E144" s="5"/>
      <c r="F144" s="5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5"/>
      <c r="V144" s="15"/>
      <c r="W144" s="9"/>
    </row>
    <row r="145" spans="1:23" ht="24" customHeight="1" x14ac:dyDescent="0.25">
      <c r="A145" s="11"/>
      <c r="B145" s="10"/>
      <c r="C145" s="5"/>
      <c r="D145" s="5"/>
      <c r="E145" s="5"/>
      <c r="F145" s="5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5"/>
      <c r="V145" s="15"/>
      <c r="W145" s="9"/>
    </row>
    <row r="146" spans="1:23" ht="24" customHeight="1" x14ac:dyDescent="0.25">
      <c r="A146" s="11"/>
      <c r="B146" s="10"/>
      <c r="C146" s="5"/>
      <c r="D146" s="5"/>
      <c r="E146" s="5"/>
      <c r="F146" s="5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5"/>
      <c r="V146" s="15"/>
      <c r="W146" s="9"/>
    </row>
    <row r="147" spans="1:23" ht="24" customHeight="1" x14ac:dyDescent="0.25">
      <c r="A147" s="11"/>
      <c r="B147" s="10"/>
      <c r="C147" s="5"/>
      <c r="D147" s="5"/>
      <c r="E147" s="5"/>
      <c r="F147" s="5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5"/>
      <c r="V147" s="15"/>
      <c r="W147" s="9"/>
    </row>
    <row r="148" spans="1:23" ht="24" customHeight="1" x14ac:dyDescent="0.25">
      <c r="A148" s="11"/>
      <c r="B148" s="10"/>
      <c r="C148" s="5"/>
      <c r="D148" s="5"/>
      <c r="E148" s="5"/>
      <c r="F148" s="5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5"/>
      <c r="V148" s="15"/>
      <c r="W148" s="9"/>
    </row>
    <row r="149" spans="1:23" ht="24" customHeight="1" x14ac:dyDescent="0.25">
      <c r="A149" s="11"/>
      <c r="B149" s="10"/>
      <c r="C149" s="5"/>
      <c r="D149" s="5"/>
      <c r="E149" s="5"/>
      <c r="F149" s="5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5"/>
      <c r="V149" s="15"/>
      <c r="W149" s="9"/>
    </row>
    <row r="150" spans="1:23" ht="24" customHeight="1" thickBot="1" x14ac:dyDescent="0.3">
      <c r="A150" s="12"/>
      <c r="B150" s="10"/>
      <c r="C150" s="5"/>
      <c r="D150" s="5"/>
      <c r="E150" s="5"/>
      <c r="F150" s="5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5"/>
      <c r="V150" s="15"/>
      <c r="W150" s="9"/>
    </row>
    <row r="151" spans="1:23" ht="24" customHeight="1" x14ac:dyDescent="0.25"/>
    <row r="152" spans="1:23" ht="24" customHeight="1" x14ac:dyDescent="0.25"/>
  </sheetData>
  <mergeCells count="20">
    <mergeCell ref="E5:E6"/>
    <mergeCell ref="F5:F6"/>
    <mergeCell ref="H5:S5"/>
    <mergeCell ref="U5:U6"/>
    <mergeCell ref="V5:V6"/>
    <mergeCell ref="A1:W1"/>
    <mergeCell ref="W5:W6"/>
    <mergeCell ref="G6:H6"/>
    <mergeCell ref="I6:J6"/>
    <mergeCell ref="K6:L6"/>
    <mergeCell ref="M6:N6"/>
    <mergeCell ref="O6:P6"/>
    <mergeCell ref="Q6:R6"/>
    <mergeCell ref="S6:T6"/>
    <mergeCell ref="A2:V2"/>
    <mergeCell ref="A4:B4"/>
    <mergeCell ref="A5:A6"/>
    <mergeCell ref="B5:B6"/>
    <mergeCell ref="C5:C6"/>
    <mergeCell ref="D5:D6"/>
  </mergeCells>
  <printOptions horizontalCentered="1"/>
  <pageMargins left="0.7" right="0.7" top="0.75" bottom="0.75" header="0.3" footer="0.3"/>
  <pageSetup paperSize="9" scale="14" orientation="landscape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167"/>
  <sheetViews>
    <sheetView view="pageBreakPreview" zoomScale="55" zoomScaleNormal="100" zoomScaleSheetLayoutView="55" workbookViewId="0">
      <pane xSplit="1" ySplit="6" topLeftCell="B73" activePane="bottomRight" state="frozen"/>
      <selection pane="topRight" activeCell="B1" sqref="B1"/>
      <selection pane="bottomLeft" activeCell="A6" sqref="A6"/>
      <selection pane="bottomRight" activeCell="J60" sqref="J60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style="45" customWidth="1"/>
    <col min="5" max="5" width="11" style="45" customWidth="1"/>
    <col min="6" max="6" width="15.140625" style="41" customWidth="1"/>
    <col min="7" max="7" width="10.7109375" bestFit="1" customWidth="1"/>
    <col min="8" max="8" width="9.5703125" bestFit="1" customWidth="1"/>
    <col min="9" max="12" width="9.85546875" bestFit="1" customWidth="1"/>
    <col min="13" max="13" width="8.85546875" customWidth="1"/>
    <col min="14" max="14" width="13.140625" customWidth="1"/>
    <col min="15" max="25" width="12.42578125" customWidth="1"/>
    <col min="26" max="26" width="25.28515625" bestFit="1" customWidth="1"/>
    <col min="27" max="16384" width="9.140625" style="88"/>
  </cols>
  <sheetData>
    <row r="1" spans="1:34" ht="18.75" x14ac:dyDescent="0.3">
      <c r="A1" s="263" t="s">
        <v>372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</row>
    <row r="2" spans="1:34" x14ac:dyDescent="0.25">
      <c r="A2" s="264" t="s">
        <v>0</v>
      </c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16"/>
      <c r="Q2" s="216"/>
      <c r="R2" s="216"/>
      <c r="S2" s="216"/>
      <c r="T2" s="216"/>
      <c r="U2" s="216"/>
      <c r="V2" s="216"/>
      <c r="W2" s="165"/>
      <c r="X2" s="165"/>
      <c r="Y2" s="165"/>
      <c r="Z2" s="89"/>
    </row>
    <row r="3" spans="1:34" x14ac:dyDescent="0.25">
      <c r="A3" s="90" t="s">
        <v>1</v>
      </c>
      <c r="B3" s="90"/>
      <c r="C3" s="91">
        <v>43763</v>
      </c>
      <c r="D3" s="92" t="s">
        <v>2</v>
      </c>
      <c r="E3" s="93"/>
      <c r="F3" s="94"/>
      <c r="G3" s="90"/>
      <c r="H3" s="89"/>
      <c r="I3" s="90"/>
      <c r="J3" s="90"/>
      <c r="K3" s="90"/>
      <c r="L3" s="90"/>
      <c r="M3" s="89"/>
      <c r="N3" s="96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89"/>
    </row>
    <row r="4" spans="1:34" ht="15.75" thickBot="1" x14ac:dyDescent="0.3">
      <c r="A4" s="276"/>
      <c r="B4" s="276"/>
      <c r="C4" s="90"/>
      <c r="D4" s="97" t="s">
        <v>27</v>
      </c>
      <c r="E4" s="93"/>
      <c r="F4" s="94"/>
      <c r="G4" s="90"/>
      <c r="H4" s="89"/>
      <c r="I4" s="90"/>
      <c r="J4" s="90"/>
      <c r="K4" s="90"/>
      <c r="L4" s="90"/>
      <c r="M4" s="96"/>
      <c r="N4" s="96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89"/>
    </row>
    <row r="5" spans="1:34" s="1" customFormat="1" ht="14.45" customHeight="1" x14ac:dyDescent="0.25">
      <c r="A5" s="267" t="s">
        <v>4</v>
      </c>
      <c r="B5" s="269" t="s">
        <v>5</v>
      </c>
      <c r="C5" s="266" t="s">
        <v>6</v>
      </c>
      <c r="D5" s="272" t="s">
        <v>19</v>
      </c>
      <c r="E5" s="272" t="s">
        <v>7</v>
      </c>
      <c r="F5" s="274" t="s">
        <v>8</v>
      </c>
      <c r="G5" s="99" t="s">
        <v>20</v>
      </c>
      <c r="H5" s="266"/>
      <c r="I5" s="266"/>
      <c r="J5" s="266"/>
      <c r="K5" s="266"/>
      <c r="L5" s="266"/>
      <c r="M5" s="266"/>
      <c r="N5" s="286" t="s">
        <v>17</v>
      </c>
      <c r="O5" s="286" t="s">
        <v>23</v>
      </c>
      <c r="P5" s="293" t="s">
        <v>437</v>
      </c>
      <c r="Q5" s="294"/>
      <c r="R5" s="294"/>
      <c r="S5" s="294"/>
      <c r="T5" s="294"/>
      <c r="U5" s="294"/>
      <c r="V5" s="295"/>
      <c r="W5" s="291" t="s">
        <v>414</v>
      </c>
      <c r="X5" s="291" t="s">
        <v>415</v>
      </c>
      <c r="Y5" s="291" t="s">
        <v>438</v>
      </c>
      <c r="Z5" s="277" t="s">
        <v>24</v>
      </c>
      <c r="AB5" s="99" t="s">
        <v>20</v>
      </c>
      <c r="AC5" s="266"/>
      <c r="AD5" s="266"/>
      <c r="AE5" s="266"/>
      <c r="AF5" s="266"/>
      <c r="AG5" s="266"/>
      <c r="AH5" s="266"/>
    </row>
    <row r="6" spans="1:34" ht="13.9" customHeight="1" thickBot="1" x14ac:dyDescent="0.3">
      <c r="A6" s="268"/>
      <c r="B6" s="270"/>
      <c r="C6" s="271"/>
      <c r="D6" s="273"/>
      <c r="E6" s="273"/>
      <c r="F6" s="275"/>
      <c r="G6" s="169" t="s">
        <v>10</v>
      </c>
      <c r="H6" s="169" t="s">
        <v>11</v>
      </c>
      <c r="I6" s="170" t="s">
        <v>12</v>
      </c>
      <c r="J6" s="170" t="s">
        <v>13</v>
      </c>
      <c r="K6" s="170" t="s">
        <v>14</v>
      </c>
      <c r="L6" s="170" t="s">
        <v>15</v>
      </c>
      <c r="M6" s="170" t="s">
        <v>16</v>
      </c>
      <c r="N6" s="287"/>
      <c r="O6" s="287"/>
      <c r="P6" s="248" t="s">
        <v>10</v>
      </c>
      <c r="Q6" s="217" t="s">
        <v>11</v>
      </c>
      <c r="R6" s="248" t="s">
        <v>12</v>
      </c>
      <c r="S6" s="217" t="s">
        <v>13</v>
      </c>
      <c r="T6" s="248" t="s">
        <v>14</v>
      </c>
      <c r="U6" s="217" t="s">
        <v>15</v>
      </c>
      <c r="V6" s="248" t="s">
        <v>16</v>
      </c>
      <c r="W6" s="292"/>
      <c r="X6" s="292"/>
      <c r="Y6" s="292"/>
      <c r="Z6" s="278"/>
      <c r="AB6" s="169" t="s">
        <v>10</v>
      </c>
      <c r="AC6" s="169" t="s">
        <v>11</v>
      </c>
      <c r="AD6" s="170" t="s">
        <v>12</v>
      </c>
      <c r="AE6" s="170" t="s">
        <v>13</v>
      </c>
      <c r="AF6" s="170" t="s">
        <v>14</v>
      </c>
      <c r="AG6" s="170" t="s">
        <v>15</v>
      </c>
      <c r="AH6" s="170" t="s">
        <v>16</v>
      </c>
    </row>
    <row r="7" spans="1:34" ht="20.100000000000001" customHeight="1" x14ac:dyDescent="0.25">
      <c r="A7" s="110">
        <v>1</v>
      </c>
      <c r="B7" s="100">
        <v>0.30555555555555552</v>
      </c>
      <c r="C7" s="101" t="s">
        <v>127</v>
      </c>
      <c r="D7" s="5">
        <v>7</v>
      </c>
      <c r="E7" s="102">
        <v>2</v>
      </c>
      <c r="F7" s="103" t="s">
        <v>58</v>
      </c>
      <c r="G7" s="250">
        <f>AB7/1000</f>
        <v>5.35</v>
      </c>
      <c r="H7" s="250">
        <f t="shared" ref="H7:M7" si="0">AC7/1000</f>
        <v>9.25</v>
      </c>
      <c r="I7" s="250">
        <f t="shared" si="0"/>
        <v>0</v>
      </c>
      <c r="J7" s="250">
        <f t="shared" si="0"/>
        <v>0</v>
      </c>
      <c r="K7" s="250">
        <f t="shared" si="0"/>
        <v>0</v>
      </c>
      <c r="L7" s="250">
        <f t="shared" si="0"/>
        <v>0</v>
      </c>
      <c r="M7" s="250">
        <f t="shared" si="0"/>
        <v>0</v>
      </c>
      <c r="N7" s="171">
        <f>SUM(G7:M7)</f>
        <v>14.6</v>
      </c>
      <c r="O7" s="171">
        <f t="shared" ref="O7:O38" si="1">(N7/8.16)^4.5</f>
        <v>13.708253803363327</v>
      </c>
      <c r="P7" s="172">
        <v>8</v>
      </c>
      <c r="Q7" s="172">
        <v>10</v>
      </c>
      <c r="R7" s="172">
        <v>9</v>
      </c>
      <c r="S7" s="172">
        <v>9</v>
      </c>
      <c r="T7" s="172">
        <v>9</v>
      </c>
      <c r="U7" s="172">
        <v>9</v>
      </c>
      <c r="V7" s="172">
        <v>9</v>
      </c>
      <c r="W7" s="173" t="str">
        <f t="shared" ref="W7" si="2">IF(G7&gt;P7,"Y",IF(H7&gt;Q7,"Y",IF(I7&gt;R7,"Y",IF(J7&gt;S7,"Y",IF(K7&gt;T7,"Y",IF(L7&gt;U7,"Y",IF(M7&gt;V7,"Y","N")))))))</f>
        <v>N</v>
      </c>
      <c r="X7" s="249">
        <f t="shared" ref="X7" si="3">IF(W7="Y",MAX((G7-P7),(H7-Q7),(I7-R7),(J7-S7),(K7-T7),(L7-U7),(M7-V7))/10,0)</f>
        <v>0</v>
      </c>
      <c r="Y7" s="249" t="str">
        <f t="shared" ref="Y7" si="4">IF(X7&lt;5%,"0-4.9%",IF(X7&lt;25%,"5-25%",IF(X7&lt;50%,"25-50%","Over 50%")))</f>
        <v>0-4.9%</v>
      </c>
      <c r="Z7" s="107" t="s">
        <v>426</v>
      </c>
      <c r="AB7" s="104">
        <v>5350</v>
      </c>
      <c r="AC7" s="104">
        <v>9250</v>
      </c>
      <c r="AD7" s="119"/>
      <c r="AE7" s="119"/>
      <c r="AF7" s="119"/>
      <c r="AG7" s="119"/>
      <c r="AH7" s="119"/>
    </row>
    <row r="8" spans="1:34" ht="20.100000000000001" customHeight="1" x14ac:dyDescent="0.25">
      <c r="A8" s="110">
        <v>3</v>
      </c>
      <c r="B8" s="109">
        <v>0.31041666666666667</v>
      </c>
      <c r="C8" s="110" t="s">
        <v>332</v>
      </c>
      <c r="D8" s="5">
        <v>7</v>
      </c>
      <c r="E8" s="117">
        <v>2</v>
      </c>
      <c r="F8" s="118" t="s">
        <v>58</v>
      </c>
      <c r="G8" s="250">
        <f t="shared" ref="G8:G71" si="5">AB8/1000</f>
        <v>1.43</v>
      </c>
      <c r="H8" s="250">
        <f t="shared" ref="H8:H71" si="6">AC8/1000</f>
        <v>3.63</v>
      </c>
      <c r="I8" s="250">
        <f t="shared" ref="I8:I71" si="7">AD8/1000</f>
        <v>0</v>
      </c>
      <c r="J8" s="250">
        <f t="shared" ref="J8:J71" si="8">AE8/1000</f>
        <v>0</v>
      </c>
      <c r="K8" s="250">
        <f t="shared" ref="K8:K71" si="9">AF8/1000</f>
        <v>0</v>
      </c>
      <c r="L8" s="250">
        <f t="shared" ref="L8:L71" si="10">AG8/1000</f>
        <v>0</v>
      </c>
      <c r="M8" s="250">
        <f t="shared" ref="M8:M71" si="11">AH8/1000</f>
        <v>0</v>
      </c>
      <c r="N8" s="171">
        <f t="shared" ref="N8:N71" si="12">SUM(G8:M8)</f>
        <v>5.0599999999999996</v>
      </c>
      <c r="O8" s="171">
        <f t="shared" si="1"/>
        <v>0.11643179995049573</v>
      </c>
      <c r="P8" s="172"/>
      <c r="Q8" s="172"/>
      <c r="R8" s="172"/>
      <c r="S8" s="172"/>
      <c r="T8" s="172"/>
      <c r="U8" s="172"/>
      <c r="V8" s="172"/>
      <c r="W8" s="172">
        <f>VLOOKUP(D8,[1]KEY!$D$35:$E$44,2,FALSE)</f>
        <v>18</v>
      </c>
      <c r="X8" s="173" t="str">
        <f t="shared" ref="X8:X38" si="13">IF(N8&gt;W8,"Y","N")</f>
        <v>N</v>
      </c>
      <c r="Y8" s="174">
        <f t="shared" ref="Y8:Y38" si="14">IF(X8="Y",(N8-W8)/W8,0)</f>
        <v>0</v>
      </c>
      <c r="Z8" s="116" t="s">
        <v>426</v>
      </c>
      <c r="AB8" s="113">
        <v>1430</v>
      </c>
      <c r="AC8" s="113">
        <v>3630</v>
      </c>
      <c r="AD8" s="119"/>
      <c r="AE8" s="119"/>
      <c r="AF8" s="119"/>
      <c r="AG8" s="119"/>
      <c r="AH8" s="119"/>
    </row>
    <row r="9" spans="1:34" ht="20.100000000000001" customHeight="1" x14ac:dyDescent="0.25">
      <c r="A9" s="110">
        <f t="shared" ref="A9:A46" si="15">A8+1</f>
        <v>4</v>
      </c>
      <c r="B9" s="109">
        <v>0.31319444444444444</v>
      </c>
      <c r="C9" s="110" t="s">
        <v>345</v>
      </c>
      <c r="D9" s="5">
        <v>7</v>
      </c>
      <c r="E9" s="117">
        <v>2</v>
      </c>
      <c r="F9" s="118" t="s">
        <v>58</v>
      </c>
      <c r="G9" s="250">
        <f t="shared" si="5"/>
        <v>3.08</v>
      </c>
      <c r="H9" s="250">
        <f t="shared" si="6"/>
        <v>3.74</v>
      </c>
      <c r="I9" s="250">
        <f t="shared" si="7"/>
        <v>0</v>
      </c>
      <c r="J9" s="250">
        <f t="shared" si="8"/>
        <v>0</v>
      </c>
      <c r="K9" s="250">
        <f t="shared" si="9"/>
        <v>0</v>
      </c>
      <c r="L9" s="250">
        <f t="shared" si="10"/>
        <v>0</v>
      </c>
      <c r="M9" s="250">
        <f t="shared" si="11"/>
        <v>0</v>
      </c>
      <c r="N9" s="171">
        <f t="shared" si="12"/>
        <v>6.82</v>
      </c>
      <c r="O9" s="171">
        <f t="shared" si="1"/>
        <v>0.44609152409353986</v>
      </c>
      <c r="P9" s="172"/>
      <c r="Q9" s="172"/>
      <c r="R9" s="172"/>
      <c r="S9" s="172"/>
      <c r="T9" s="172"/>
      <c r="U9" s="172"/>
      <c r="V9" s="172"/>
      <c r="W9" s="172">
        <f>VLOOKUP(D9,[1]KEY!$D$35:$E$44,2,FALSE)</f>
        <v>18</v>
      </c>
      <c r="X9" s="173" t="str">
        <f t="shared" si="13"/>
        <v>N</v>
      </c>
      <c r="Y9" s="174">
        <f t="shared" si="14"/>
        <v>0</v>
      </c>
      <c r="Z9" s="116" t="s">
        <v>426</v>
      </c>
      <c r="AB9" s="113">
        <v>3080</v>
      </c>
      <c r="AC9" s="113">
        <v>3740</v>
      </c>
      <c r="AD9" s="119"/>
      <c r="AE9" s="119"/>
      <c r="AF9" s="119"/>
      <c r="AG9" s="119"/>
      <c r="AH9" s="119"/>
    </row>
    <row r="10" spans="1:34" ht="20.100000000000001" customHeight="1" x14ac:dyDescent="0.25">
      <c r="A10" s="110">
        <f t="shared" si="15"/>
        <v>5</v>
      </c>
      <c r="B10" s="109">
        <v>0.32013888888888892</v>
      </c>
      <c r="C10" s="110" t="s">
        <v>341</v>
      </c>
      <c r="D10" s="5">
        <v>7</v>
      </c>
      <c r="E10" s="117">
        <v>2</v>
      </c>
      <c r="F10" s="118" t="s">
        <v>58</v>
      </c>
      <c r="G10" s="250">
        <f t="shared" si="5"/>
        <v>1.98</v>
      </c>
      <c r="H10" s="250">
        <f t="shared" si="6"/>
        <v>2.75</v>
      </c>
      <c r="I10" s="250">
        <f t="shared" si="7"/>
        <v>0</v>
      </c>
      <c r="J10" s="250">
        <f t="shared" si="8"/>
        <v>0</v>
      </c>
      <c r="K10" s="250">
        <f t="shared" si="9"/>
        <v>0</v>
      </c>
      <c r="L10" s="250">
        <f t="shared" si="10"/>
        <v>0</v>
      </c>
      <c r="M10" s="250">
        <f t="shared" si="11"/>
        <v>0</v>
      </c>
      <c r="N10" s="171">
        <f t="shared" si="12"/>
        <v>4.7300000000000004</v>
      </c>
      <c r="O10" s="171">
        <f t="shared" si="1"/>
        <v>8.5954658446787402E-2</v>
      </c>
      <c r="P10" s="172"/>
      <c r="Q10" s="172"/>
      <c r="R10" s="172"/>
      <c r="S10" s="172"/>
      <c r="T10" s="172"/>
      <c r="U10" s="172"/>
      <c r="V10" s="172"/>
      <c r="W10" s="172">
        <f>VLOOKUP(D10,[1]KEY!$D$35:$E$44,2,FALSE)</f>
        <v>18</v>
      </c>
      <c r="X10" s="173" t="str">
        <f t="shared" si="13"/>
        <v>N</v>
      </c>
      <c r="Y10" s="174">
        <f t="shared" si="14"/>
        <v>0</v>
      </c>
      <c r="Z10" s="116" t="s">
        <v>426</v>
      </c>
      <c r="AB10" s="113">
        <v>1980</v>
      </c>
      <c r="AC10" s="113">
        <v>2750</v>
      </c>
      <c r="AD10" s="119"/>
      <c r="AE10" s="119"/>
      <c r="AF10" s="119"/>
      <c r="AG10" s="119"/>
      <c r="AH10" s="119"/>
    </row>
    <row r="11" spans="1:34" ht="20.100000000000001" customHeight="1" x14ac:dyDescent="0.25">
      <c r="A11" s="110">
        <f t="shared" si="15"/>
        <v>6</v>
      </c>
      <c r="B11" s="109">
        <v>0.33194444444444443</v>
      </c>
      <c r="C11" s="110" t="s">
        <v>133</v>
      </c>
      <c r="D11" s="5">
        <v>7</v>
      </c>
      <c r="E11" s="117">
        <v>2</v>
      </c>
      <c r="F11" s="118" t="s">
        <v>58</v>
      </c>
      <c r="G11" s="250">
        <f t="shared" si="5"/>
        <v>4.07</v>
      </c>
      <c r="H11" s="250">
        <f t="shared" si="6"/>
        <v>3.96</v>
      </c>
      <c r="I11" s="250">
        <f t="shared" si="7"/>
        <v>0</v>
      </c>
      <c r="J11" s="250">
        <f t="shared" si="8"/>
        <v>0</v>
      </c>
      <c r="K11" s="250">
        <f t="shared" si="9"/>
        <v>0</v>
      </c>
      <c r="L11" s="250">
        <f t="shared" si="10"/>
        <v>0</v>
      </c>
      <c r="M11" s="250">
        <f t="shared" si="11"/>
        <v>0</v>
      </c>
      <c r="N11" s="171">
        <f t="shared" si="12"/>
        <v>8.0300000000000011</v>
      </c>
      <c r="O11" s="171">
        <f t="shared" si="1"/>
        <v>0.93028118917957126</v>
      </c>
      <c r="P11" s="172"/>
      <c r="Q11" s="172"/>
      <c r="R11" s="172"/>
      <c r="S11" s="172"/>
      <c r="T11" s="172"/>
      <c r="U11" s="172"/>
      <c r="V11" s="172"/>
      <c r="W11" s="172">
        <f>VLOOKUP(D11,[1]KEY!$D$35:$E$44,2,FALSE)</f>
        <v>18</v>
      </c>
      <c r="X11" s="173" t="str">
        <f t="shared" si="13"/>
        <v>N</v>
      </c>
      <c r="Y11" s="174">
        <f t="shared" si="14"/>
        <v>0</v>
      </c>
      <c r="Z11" s="116" t="s">
        <v>426</v>
      </c>
      <c r="AB11" s="113">
        <v>4070</v>
      </c>
      <c r="AC11" s="113">
        <v>3960</v>
      </c>
      <c r="AD11" s="119"/>
      <c r="AE11" s="119"/>
      <c r="AF11" s="119"/>
      <c r="AG11" s="119"/>
      <c r="AH11" s="119"/>
    </row>
    <row r="12" spans="1:34" ht="20.100000000000001" customHeight="1" x14ac:dyDescent="0.25">
      <c r="A12" s="110">
        <f t="shared" si="15"/>
        <v>7</v>
      </c>
      <c r="B12" s="109">
        <v>0.33888888888888885</v>
      </c>
      <c r="C12" s="110" t="s">
        <v>137</v>
      </c>
      <c r="D12" s="5">
        <v>7</v>
      </c>
      <c r="E12" s="117">
        <v>2</v>
      </c>
      <c r="F12" s="118" t="s">
        <v>58</v>
      </c>
      <c r="G12" s="250">
        <f t="shared" si="5"/>
        <v>2.2000000000000002</v>
      </c>
      <c r="H12" s="250">
        <f t="shared" si="6"/>
        <v>6.49</v>
      </c>
      <c r="I12" s="250">
        <f t="shared" si="7"/>
        <v>0</v>
      </c>
      <c r="J12" s="250">
        <f t="shared" si="8"/>
        <v>0</v>
      </c>
      <c r="K12" s="250">
        <f t="shared" si="9"/>
        <v>0</v>
      </c>
      <c r="L12" s="250">
        <f t="shared" si="10"/>
        <v>0</v>
      </c>
      <c r="M12" s="250">
        <f t="shared" si="11"/>
        <v>0</v>
      </c>
      <c r="N12" s="171">
        <f t="shared" si="12"/>
        <v>8.6900000000000013</v>
      </c>
      <c r="O12" s="171">
        <f t="shared" si="1"/>
        <v>1.3273433539173847</v>
      </c>
      <c r="P12" s="172"/>
      <c r="Q12" s="172"/>
      <c r="R12" s="172"/>
      <c r="S12" s="172"/>
      <c r="T12" s="172"/>
      <c r="U12" s="172"/>
      <c r="V12" s="172"/>
      <c r="W12" s="172">
        <f>VLOOKUP(D12,[1]KEY!$D$35:$E$44,2,FALSE)</f>
        <v>18</v>
      </c>
      <c r="X12" s="173" t="str">
        <f t="shared" si="13"/>
        <v>N</v>
      </c>
      <c r="Y12" s="174">
        <f t="shared" si="14"/>
        <v>0</v>
      </c>
      <c r="Z12" s="116" t="s">
        <v>422</v>
      </c>
      <c r="AB12" s="113">
        <v>2200</v>
      </c>
      <c r="AC12" s="113">
        <v>6490</v>
      </c>
      <c r="AD12" s="119"/>
      <c r="AE12" s="119"/>
      <c r="AF12" s="119"/>
      <c r="AG12" s="119"/>
      <c r="AH12" s="119"/>
    </row>
    <row r="13" spans="1:34" ht="20.100000000000001" customHeight="1" x14ac:dyDescent="0.25">
      <c r="A13" s="110">
        <f t="shared" si="15"/>
        <v>8</v>
      </c>
      <c r="B13" s="109">
        <v>0.34513888888888888</v>
      </c>
      <c r="C13" s="110" t="s">
        <v>138</v>
      </c>
      <c r="D13" s="5">
        <v>7</v>
      </c>
      <c r="E13" s="117">
        <v>2</v>
      </c>
      <c r="F13" s="118" t="s">
        <v>58</v>
      </c>
      <c r="G13" s="250">
        <f t="shared" si="5"/>
        <v>0.55000000000000004</v>
      </c>
      <c r="H13" s="250">
        <f t="shared" si="6"/>
        <v>0.33</v>
      </c>
      <c r="I13" s="250">
        <f t="shared" si="7"/>
        <v>0</v>
      </c>
      <c r="J13" s="250">
        <f t="shared" si="8"/>
        <v>0</v>
      </c>
      <c r="K13" s="250">
        <f t="shared" si="9"/>
        <v>0</v>
      </c>
      <c r="L13" s="250">
        <f t="shared" si="10"/>
        <v>0</v>
      </c>
      <c r="M13" s="250">
        <f t="shared" si="11"/>
        <v>0</v>
      </c>
      <c r="N13" s="171">
        <f t="shared" si="12"/>
        <v>0.88000000000000012</v>
      </c>
      <c r="O13" s="171">
        <f t="shared" si="1"/>
        <v>4.441874769842714E-5</v>
      </c>
      <c r="P13" s="172"/>
      <c r="Q13" s="172"/>
      <c r="R13" s="172"/>
      <c r="S13" s="172"/>
      <c r="T13" s="172"/>
      <c r="U13" s="172"/>
      <c r="V13" s="172"/>
      <c r="W13" s="172">
        <f>VLOOKUP(D13,[1]KEY!$D$35:$E$44,2,FALSE)</f>
        <v>18</v>
      </c>
      <c r="X13" s="173" t="str">
        <f t="shared" si="13"/>
        <v>N</v>
      </c>
      <c r="Y13" s="174">
        <f t="shared" si="14"/>
        <v>0</v>
      </c>
      <c r="Z13" s="116" t="s">
        <v>369</v>
      </c>
      <c r="AB13" s="113">
        <v>550</v>
      </c>
      <c r="AC13" s="113">
        <v>330</v>
      </c>
      <c r="AD13" s="119"/>
      <c r="AE13" s="119"/>
      <c r="AF13" s="119"/>
      <c r="AG13" s="119"/>
      <c r="AH13" s="119"/>
    </row>
    <row r="14" spans="1:34" ht="20.100000000000001" customHeight="1" x14ac:dyDescent="0.25">
      <c r="A14" s="110">
        <f t="shared" si="15"/>
        <v>9</v>
      </c>
      <c r="B14" s="109">
        <v>0.3833333333333333</v>
      </c>
      <c r="C14" s="121" t="s">
        <v>156</v>
      </c>
      <c r="D14" s="5">
        <v>7</v>
      </c>
      <c r="E14" s="117">
        <v>2</v>
      </c>
      <c r="F14" s="118" t="s">
        <v>58</v>
      </c>
      <c r="G14" s="250">
        <f t="shared" si="5"/>
        <v>0.88</v>
      </c>
      <c r="H14" s="250">
        <f t="shared" si="6"/>
        <v>0.44</v>
      </c>
      <c r="I14" s="250">
        <f t="shared" si="7"/>
        <v>0</v>
      </c>
      <c r="J14" s="250">
        <f t="shared" si="8"/>
        <v>0</v>
      </c>
      <c r="K14" s="250">
        <f t="shared" si="9"/>
        <v>0</v>
      </c>
      <c r="L14" s="250">
        <f t="shared" si="10"/>
        <v>0</v>
      </c>
      <c r="M14" s="250">
        <f t="shared" si="11"/>
        <v>0</v>
      </c>
      <c r="N14" s="171">
        <f t="shared" si="12"/>
        <v>1.32</v>
      </c>
      <c r="O14" s="171">
        <f t="shared" si="1"/>
        <v>2.7540826927625845E-4</v>
      </c>
      <c r="P14" s="172"/>
      <c r="Q14" s="172"/>
      <c r="R14" s="172"/>
      <c r="S14" s="172"/>
      <c r="T14" s="172"/>
      <c r="U14" s="172"/>
      <c r="V14" s="172"/>
      <c r="W14" s="172">
        <f>VLOOKUP(D14,[1]KEY!$D$35:$E$44,2,FALSE)</f>
        <v>18</v>
      </c>
      <c r="X14" s="173" t="str">
        <f t="shared" si="13"/>
        <v>N</v>
      </c>
      <c r="Y14" s="174">
        <f t="shared" si="14"/>
        <v>0</v>
      </c>
      <c r="Z14" s="116" t="s">
        <v>369</v>
      </c>
      <c r="AB14" s="113">
        <v>880</v>
      </c>
      <c r="AC14" s="113">
        <v>440</v>
      </c>
      <c r="AD14" s="119"/>
      <c r="AE14" s="119"/>
      <c r="AF14" s="119"/>
      <c r="AG14" s="119"/>
      <c r="AH14" s="119"/>
    </row>
    <row r="15" spans="1:34" ht="20.100000000000001" customHeight="1" x14ac:dyDescent="0.25">
      <c r="A15" s="110">
        <f t="shared" si="15"/>
        <v>10</v>
      </c>
      <c r="B15" s="109">
        <v>0.4236111111111111</v>
      </c>
      <c r="C15" s="109" t="s">
        <v>171</v>
      </c>
      <c r="D15" s="5">
        <v>7</v>
      </c>
      <c r="E15" s="117">
        <v>2</v>
      </c>
      <c r="F15" s="118" t="s">
        <v>58</v>
      </c>
      <c r="G15" s="250">
        <f t="shared" si="5"/>
        <v>1.43</v>
      </c>
      <c r="H15" s="250">
        <f t="shared" si="6"/>
        <v>2.75</v>
      </c>
      <c r="I15" s="250">
        <f t="shared" si="7"/>
        <v>0</v>
      </c>
      <c r="J15" s="250">
        <f t="shared" si="8"/>
        <v>0</v>
      </c>
      <c r="K15" s="250">
        <f t="shared" si="9"/>
        <v>0</v>
      </c>
      <c r="L15" s="250">
        <f t="shared" si="10"/>
        <v>0</v>
      </c>
      <c r="M15" s="250">
        <f t="shared" si="11"/>
        <v>0</v>
      </c>
      <c r="N15" s="171">
        <f t="shared" si="12"/>
        <v>4.18</v>
      </c>
      <c r="O15" s="171">
        <f t="shared" si="1"/>
        <v>4.928191253377958E-2</v>
      </c>
      <c r="P15" s="172"/>
      <c r="Q15" s="172"/>
      <c r="R15" s="172"/>
      <c r="S15" s="172"/>
      <c r="T15" s="172"/>
      <c r="U15" s="172"/>
      <c r="V15" s="172"/>
      <c r="W15" s="172">
        <f>VLOOKUP(D15,[1]KEY!$D$35:$E$44,2,FALSE)</f>
        <v>18</v>
      </c>
      <c r="X15" s="173" t="str">
        <f t="shared" si="13"/>
        <v>N</v>
      </c>
      <c r="Y15" s="174">
        <f t="shared" si="14"/>
        <v>0</v>
      </c>
      <c r="Z15" s="116" t="s">
        <v>426</v>
      </c>
      <c r="AB15" s="113">
        <v>1430</v>
      </c>
      <c r="AC15" s="113">
        <v>2750</v>
      </c>
      <c r="AD15" s="119"/>
      <c r="AE15" s="119"/>
      <c r="AF15" s="119"/>
      <c r="AG15" s="119"/>
      <c r="AH15" s="119"/>
    </row>
    <row r="16" spans="1:34" ht="20.100000000000001" customHeight="1" x14ac:dyDescent="0.25">
      <c r="A16" s="110">
        <f t="shared" si="15"/>
        <v>11</v>
      </c>
      <c r="B16" s="109">
        <v>0.43333333333333335</v>
      </c>
      <c r="C16" s="109" t="s">
        <v>192</v>
      </c>
      <c r="D16" s="5">
        <v>7</v>
      </c>
      <c r="E16" s="111">
        <v>2</v>
      </c>
      <c r="F16" s="112" t="s">
        <v>58</v>
      </c>
      <c r="G16" s="250">
        <f t="shared" si="5"/>
        <v>2.64</v>
      </c>
      <c r="H16" s="250">
        <f t="shared" si="6"/>
        <v>5.72</v>
      </c>
      <c r="I16" s="250">
        <f t="shared" si="7"/>
        <v>0</v>
      </c>
      <c r="J16" s="250">
        <f t="shared" si="8"/>
        <v>0</v>
      </c>
      <c r="K16" s="250">
        <f t="shared" si="9"/>
        <v>0</v>
      </c>
      <c r="L16" s="250">
        <f t="shared" si="10"/>
        <v>0</v>
      </c>
      <c r="M16" s="250">
        <f t="shared" si="11"/>
        <v>0</v>
      </c>
      <c r="N16" s="171">
        <f t="shared" si="12"/>
        <v>8.36</v>
      </c>
      <c r="O16" s="171">
        <f t="shared" si="1"/>
        <v>1.1151223853592911</v>
      </c>
      <c r="P16" s="172"/>
      <c r="Q16" s="172"/>
      <c r="R16" s="172"/>
      <c r="S16" s="172"/>
      <c r="T16" s="172"/>
      <c r="U16" s="172"/>
      <c r="V16" s="172"/>
      <c r="W16" s="172">
        <f>VLOOKUP(D16,[1]KEY!$D$35:$E$44,2,FALSE)</f>
        <v>18</v>
      </c>
      <c r="X16" s="173" t="str">
        <f t="shared" si="13"/>
        <v>N</v>
      </c>
      <c r="Y16" s="174">
        <f t="shared" si="14"/>
        <v>0</v>
      </c>
      <c r="Z16" s="116" t="s">
        <v>430</v>
      </c>
      <c r="AB16" s="113">
        <v>2640</v>
      </c>
      <c r="AC16" s="113">
        <v>5720</v>
      </c>
      <c r="AD16" s="119"/>
      <c r="AE16" s="119"/>
      <c r="AF16" s="119"/>
      <c r="AG16" s="119"/>
      <c r="AH16" s="119"/>
    </row>
    <row r="17" spans="1:34" ht="20.100000000000001" customHeight="1" x14ac:dyDescent="0.25">
      <c r="A17" s="110">
        <f t="shared" si="15"/>
        <v>12</v>
      </c>
      <c r="B17" s="109">
        <v>0.43402777777777773</v>
      </c>
      <c r="C17" s="121" t="s">
        <v>193</v>
      </c>
      <c r="D17" s="5">
        <v>7</v>
      </c>
      <c r="E17" s="111">
        <v>2</v>
      </c>
      <c r="F17" s="118" t="s">
        <v>58</v>
      </c>
      <c r="G17" s="250">
        <f t="shared" si="5"/>
        <v>2.64</v>
      </c>
      <c r="H17" s="250">
        <f t="shared" si="6"/>
        <v>1.43</v>
      </c>
      <c r="I17" s="250">
        <f t="shared" si="7"/>
        <v>0</v>
      </c>
      <c r="J17" s="250">
        <f t="shared" si="8"/>
        <v>0</v>
      </c>
      <c r="K17" s="250">
        <f t="shared" si="9"/>
        <v>0</v>
      </c>
      <c r="L17" s="250">
        <f t="shared" si="10"/>
        <v>0</v>
      </c>
      <c r="M17" s="250">
        <f t="shared" si="11"/>
        <v>0</v>
      </c>
      <c r="N17" s="171">
        <f t="shared" si="12"/>
        <v>4.07</v>
      </c>
      <c r="O17" s="171">
        <f t="shared" si="1"/>
        <v>4.3708824534145221E-2</v>
      </c>
      <c r="P17" s="172"/>
      <c r="Q17" s="172"/>
      <c r="R17" s="172"/>
      <c r="S17" s="172"/>
      <c r="T17" s="172"/>
      <c r="U17" s="172"/>
      <c r="V17" s="172"/>
      <c r="W17" s="172">
        <f>VLOOKUP(D17,[1]KEY!$D$35:$E$44,2,FALSE)</f>
        <v>18</v>
      </c>
      <c r="X17" s="173" t="str">
        <f t="shared" si="13"/>
        <v>N</v>
      </c>
      <c r="Y17" s="174">
        <f t="shared" si="14"/>
        <v>0</v>
      </c>
      <c r="Z17" s="116" t="s">
        <v>430</v>
      </c>
      <c r="AB17" s="113">
        <v>2640</v>
      </c>
      <c r="AC17" s="113">
        <v>1430</v>
      </c>
      <c r="AD17" s="119"/>
      <c r="AE17" s="119"/>
      <c r="AF17" s="119"/>
      <c r="AG17" s="119"/>
      <c r="AH17" s="119"/>
    </row>
    <row r="18" spans="1:34" ht="20.100000000000001" customHeight="1" x14ac:dyDescent="0.25">
      <c r="A18" s="110">
        <f t="shared" si="15"/>
        <v>13</v>
      </c>
      <c r="B18" s="109">
        <v>0.43541666666666662</v>
      </c>
      <c r="C18" s="121" t="s">
        <v>194</v>
      </c>
      <c r="D18" s="5">
        <v>7</v>
      </c>
      <c r="E18" s="111">
        <v>2</v>
      </c>
      <c r="F18" s="118" t="s">
        <v>58</v>
      </c>
      <c r="G18" s="250">
        <f t="shared" si="5"/>
        <v>0.88</v>
      </c>
      <c r="H18" s="250">
        <f t="shared" si="6"/>
        <v>1.76</v>
      </c>
      <c r="I18" s="250">
        <f t="shared" si="7"/>
        <v>0</v>
      </c>
      <c r="J18" s="250">
        <f t="shared" si="8"/>
        <v>0</v>
      </c>
      <c r="K18" s="250">
        <f t="shared" si="9"/>
        <v>0</v>
      </c>
      <c r="L18" s="250">
        <f t="shared" si="10"/>
        <v>0</v>
      </c>
      <c r="M18" s="250">
        <f t="shared" si="11"/>
        <v>0</v>
      </c>
      <c r="N18" s="171">
        <f t="shared" si="12"/>
        <v>2.64</v>
      </c>
      <c r="O18" s="171">
        <f t="shared" si="1"/>
        <v>6.2317777536029751E-3</v>
      </c>
      <c r="P18" s="172"/>
      <c r="Q18" s="172"/>
      <c r="R18" s="172"/>
      <c r="S18" s="172"/>
      <c r="T18" s="172"/>
      <c r="U18" s="172"/>
      <c r="V18" s="172"/>
      <c r="W18" s="172">
        <f>VLOOKUP(D18,[1]KEY!$D$35:$E$44,2,FALSE)</f>
        <v>18</v>
      </c>
      <c r="X18" s="173" t="str">
        <f t="shared" si="13"/>
        <v>N</v>
      </c>
      <c r="Y18" s="174">
        <f t="shared" si="14"/>
        <v>0</v>
      </c>
      <c r="Z18" s="116" t="s">
        <v>432</v>
      </c>
      <c r="AB18" s="113">
        <v>880</v>
      </c>
      <c r="AC18" s="113">
        <v>1760</v>
      </c>
      <c r="AD18" s="119"/>
      <c r="AE18" s="119"/>
      <c r="AF18" s="119"/>
      <c r="AG18" s="119"/>
      <c r="AH18" s="119"/>
    </row>
    <row r="19" spans="1:34" ht="20.100000000000001" customHeight="1" x14ac:dyDescent="0.25">
      <c r="A19" s="110">
        <f t="shared" si="15"/>
        <v>14</v>
      </c>
      <c r="B19" s="109">
        <v>0.44027777777777777</v>
      </c>
      <c r="C19" s="121" t="s">
        <v>48</v>
      </c>
      <c r="D19" s="5">
        <v>7</v>
      </c>
      <c r="E19" s="111">
        <v>2</v>
      </c>
      <c r="F19" s="118" t="s">
        <v>58</v>
      </c>
      <c r="G19" s="250">
        <f t="shared" si="5"/>
        <v>3.19</v>
      </c>
      <c r="H19" s="250">
        <f t="shared" si="6"/>
        <v>5.83</v>
      </c>
      <c r="I19" s="250">
        <f t="shared" si="7"/>
        <v>0</v>
      </c>
      <c r="J19" s="250">
        <f t="shared" si="8"/>
        <v>0</v>
      </c>
      <c r="K19" s="250">
        <f t="shared" si="9"/>
        <v>0</v>
      </c>
      <c r="L19" s="250">
        <f t="shared" si="10"/>
        <v>0</v>
      </c>
      <c r="M19" s="250">
        <f t="shared" si="11"/>
        <v>0</v>
      </c>
      <c r="N19" s="171">
        <f t="shared" si="12"/>
        <v>9.02</v>
      </c>
      <c r="O19" s="171">
        <f t="shared" si="1"/>
        <v>1.5697254680307622</v>
      </c>
      <c r="P19" s="172"/>
      <c r="Q19" s="172"/>
      <c r="R19" s="172"/>
      <c r="S19" s="172"/>
      <c r="T19" s="172"/>
      <c r="U19" s="172"/>
      <c r="V19" s="172"/>
      <c r="W19" s="172">
        <f>VLOOKUP(D19,[1]KEY!$D$35:$E$44,2,FALSE)</f>
        <v>18</v>
      </c>
      <c r="X19" s="173" t="str">
        <f t="shared" si="13"/>
        <v>N</v>
      </c>
      <c r="Y19" s="174">
        <f t="shared" si="14"/>
        <v>0</v>
      </c>
      <c r="Z19" s="116" t="s">
        <v>430</v>
      </c>
      <c r="AB19" s="113">
        <v>3190</v>
      </c>
      <c r="AC19" s="113">
        <v>5830</v>
      </c>
      <c r="AD19" s="119"/>
      <c r="AE19" s="119"/>
      <c r="AF19" s="119"/>
      <c r="AG19" s="119"/>
      <c r="AH19" s="119"/>
    </row>
    <row r="20" spans="1:34" ht="20.100000000000001" customHeight="1" x14ac:dyDescent="0.25">
      <c r="A20" s="110">
        <f t="shared" si="15"/>
        <v>15</v>
      </c>
      <c r="B20" s="109">
        <v>0.44444444444444442</v>
      </c>
      <c r="C20" s="121" t="s">
        <v>159</v>
      </c>
      <c r="D20" s="5">
        <v>7</v>
      </c>
      <c r="E20" s="111">
        <v>2</v>
      </c>
      <c r="F20" s="118" t="s">
        <v>58</v>
      </c>
      <c r="G20" s="250">
        <f t="shared" si="5"/>
        <v>0.88</v>
      </c>
      <c r="H20" s="250">
        <f t="shared" si="6"/>
        <v>1.21</v>
      </c>
      <c r="I20" s="250">
        <f t="shared" si="7"/>
        <v>0</v>
      </c>
      <c r="J20" s="250">
        <f t="shared" si="8"/>
        <v>0</v>
      </c>
      <c r="K20" s="250">
        <f t="shared" si="9"/>
        <v>0</v>
      </c>
      <c r="L20" s="250">
        <f t="shared" si="10"/>
        <v>0</v>
      </c>
      <c r="M20" s="250">
        <f t="shared" si="11"/>
        <v>0</v>
      </c>
      <c r="N20" s="171">
        <f t="shared" si="12"/>
        <v>2.09</v>
      </c>
      <c r="O20" s="171">
        <f t="shared" si="1"/>
        <v>2.1779734089048637E-3</v>
      </c>
      <c r="P20" s="172"/>
      <c r="Q20" s="172"/>
      <c r="R20" s="172"/>
      <c r="S20" s="172"/>
      <c r="T20" s="172"/>
      <c r="U20" s="172"/>
      <c r="V20" s="172"/>
      <c r="W20" s="172">
        <f>VLOOKUP(D20,[1]KEY!$D$35:$E$44,2,FALSE)</f>
        <v>18</v>
      </c>
      <c r="X20" s="173" t="str">
        <f t="shared" si="13"/>
        <v>N</v>
      </c>
      <c r="Y20" s="174">
        <f t="shared" si="14"/>
        <v>0</v>
      </c>
      <c r="Z20" s="116" t="s">
        <v>430</v>
      </c>
      <c r="AB20" s="113">
        <v>880</v>
      </c>
      <c r="AC20" s="113">
        <v>1210</v>
      </c>
      <c r="AD20" s="119"/>
      <c r="AE20" s="119"/>
      <c r="AF20" s="119"/>
      <c r="AG20" s="119"/>
      <c r="AH20" s="119"/>
    </row>
    <row r="21" spans="1:34" ht="20.100000000000001" customHeight="1" x14ac:dyDescent="0.25">
      <c r="A21" s="110">
        <f t="shared" si="15"/>
        <v>16</v>
      </c>
      <c r="B21" s="109">
        <v>0.44791666666666669</v>
      </c>
      <c r="C21" s="121" t="s">
        <v>198</v>
      </c>
      <c r="D21" s="5">
        <v>7</v>
      </c>
      <c r="E21" s="111">
        <v>2</v>
      </c>
      <c r="F21" s="118" t="s">
        <v>58</v>
      </c>
      <c r="G21" s="250">
        <f t="shared" si="5"/>
        <v>2.42</v>
      </c>
      <c r="H21" s="250">
        <f t="shared" si="6"/>
        <v>6.49</v>
      </c>
      <c r="I21" s="250">
        <f t="shared" si="7"/>
        <v>0</v>
      </c>
      <c r="J21" s="250">
        <f t="shared" si="8"/>
        <v>0</v>
      </c>
      <c r="K21" s="250">
        <f t="shared" si="9"/>
        <v>0</v>
      </c>
      <c r="L21" s="250">
        <f t="shared" si="10"/>
        <v>0</v>
      </c>
      <c r="M21" s="250">
        <f t="shared" si="11"/>
        <v>0</v>
      </c>
      <c r="N21" s="171">
        <f t="shared" si="12"/>
        <v>8.91</v>
      </c>
      <c r="O21" s="171">
        <f t="shared" si="1"/>
        <v>1.4854018270833793</v>
      </c>
      <c r="P21" s="172"/>
      <c r="Q21" s="172"/>
      <c r="R21" s="172"/>
      <c r="S21" s="172"/>
      <c r="T21" s="172"/>
      <c r="U21" s="172"/>
      <c r="V21" s="172"/>
      <c r="W21" s="172">
        <f>VLOOKUP(D21,[1]KEY!$D$35:$E$44,2,FALSE)</f>
        <v>18</v>
      </c>
      <c r="X21" s="173" t="str">
        <f t="shared" si="13"/>
        <v>N</v>
      </c>
      <c r="Y21" s="174">
        <f t="shared" si="14"/>
        <v>0</v>
      </c>
      <c r="Z21" s="116" t="s">
        <v>426</v>
      </c>
      <c r="AB21" s="113">
        <v>2420</v>
      </c>
      <c r="AC21" s="113">
        <v>6490</v>
      </c>
      <c r="AD21" s="119"/>
      <c r="AE21" s="119"/>
      <c r="AF21" s="119"/>
      <c r="AG21" s="119"/>
      <c r="AH21" s="119"/>
    </row>
    <row r="22" spans="1:34" ht="20.100000000000001" customHeight="1" x14ac:dyDescent="0.25">
      <c r="A22" s="110">
        <f t="shared" si="15"/>
        <v>17</v>
      </c>
      <c r="B22" s="109">
        <v>0.47916666666666669</v>
      </c>
      <c r="C22" s="121" t="s">
        <v>222</v>
      </c>
      <c r="D22" s="5">
        <v>7</v>
      </c>
      <c r="E22" s="111">
        <v>2</v>
      </c>
      <c r="F22" s="118" t="s">
        <v>58</v>
      </c>
      <c r="G22" s="250">
        <f t="shared" si="5"/>
        <v>2.86</v>
      </c>
      <c r="H22" s="250">
        <f t="shared" si="6"/>
        <v>5.5</v>
      </c>
      <c r="I22" s="250">
        <f t="shared" si="7"/>
        <v>0</v>
      </c>
      <c r="J22" s="250">
        <f t="shared" si="8"/>
        <v>0</v>
      </c>
      <c r="K22" s="250">
        <f t="shared" si="9"/>
        <v>0</v>
      </c>
      <c r="L22" s="250">
        <f t="shared" si="10"/>
        <v>0</v>
      </c>
      <c r="M22" s="250">
        <f t="shared" si="11"/>
        <v>0</v>
      </c>
      <c r="N22" s="171">
        <f t="shared" si="12"/>
        <v>8.36</v>
      </c>
      <c r="O22" s="171">
        <f t="shared" si="1"/>
        <v>1.1151223853592911</v>
      </c>
      <c r="P22" s="172"/>
      <c r="Q22" s="172"/>
      <c r="R22" s="172"/>
      <c r="S22" s="172"/>
      <c r="T22" s="172"/>
      <c r="U22" s="172"/>
      <c r="V22" s="172"/>
      <c r="W22" s="172">
        <f>VLOOKUP(D22,[1]KEY!$D$35:$E$44,2,FALSE)</f>
        <v>18</v>
      </c>
      <c r="X22" s="173" t="str">
        <f t="shared" si="13"/>
        <v>N</v>
      </c>
      <c r="Y22" s="174">
        <f t="shared" si="14"/>
        <v>0</v>
      </c>
      <c r="Z22" s="116" t="s">
        <v>426</v>
      </c>
      <c r="AB22" s="113">
        <v>2860</v>
      </c>
      <c r="AC22" s="113">
        <v>5500</v>
      </c>
      <c r="AD22" s="119"/>
      <c r="AE22" s="119"/>
      <c r="AF22" s="119"/>
      <c r="AG22" s="119"/>
      <c r="AH22" s="119"/>
    </row>
    <row r="23" spans="1:34" ht="20.100000000000001" customHeight="1" x14ac:dyDescent="0.25">
      <c r="A23" s="110">
        <f t="shared" si="15"/>
        <v>18</v>
      </c>
      <c r="B23" s="109">
        <v>0.52430555555555558</v>
      </c>
      <c r="C23" s="121" t="s">
        <v>235</v>
      </c>
      <c r="D23" s="5">
        <v>7</v>
      </c>
      <c r="E23" s="111">
        <v>2</v>
      </c>
      <c r="F23" s="118" t="s">
        <v>58</v>
      </c>
      <c r="G23" s="250">
        <f t="shared" si="5"/>
        <v>1.21</v>
      </c>
      <c r="H23" s="250">
        <f t="shared" si="6"/>
        <v>1.32</v>
      </c>
      <c r="I23" s="250">
        <f t="shared" si="7"/>
        <v>0</v>
      </c>
      <c r="J23" s="250">
        <f t="shared" si="8"/>
        <v>0</v>
      </c>
      <c r="K23" s="250">
        <f t="shared" si="9"/>
        <v>0</v>
      </c>
      <c r="L23" s="250">
        <f t="shared" si="10"/>
        <v>0</v>
      </c>
      <c r="M23" s="250">
        <f t="shared" si="11"/>
        <v>0</v>
      </c>
      <c r="N23" s="171">
        <f t="shared" si="12"/>
        <v>2.5300000000000002</v>
      </c>
      <c r="O23" s="171">
        <f t="shared" si="1"/>
        <v>5.1456072056719438E-3</v>
      </c>
      <c r="P23" s="172"/>
      <c r="Q23" s="172"/>
      <c r="R23" s="172"/>
      <c r="S23" s="172"/>
      <c r="T23" s="172"/>
      <c r="U23" s="172"/>
      <c r="V23" s="172"/>
      <c r="W23" s="172">
        <f>VLOOKUP(D23,[1]KEY!$D$35:$E$44,2,FALSE)</f>
        <v>18</v>
      </c>
      <c r="X23" s="173" t="str">
        <f t="shared" si="13"/>
        <v>N</v>
      </c>
      <c r="Y23" s="174">
        <f t="shared" si="14"/>
        <v>0</v>
      </c>
      <c r="Z23" s="116" t="s">
        <v>422</v>
      </c>
      <c r="AB23" s="113">
        <v>1210</v>
      </c>
      <c r="AC23" s="113">
        <v>1320</v>
      </c>
      <c r="AD23" s="119"/>
      <c r="AE23" s="119"/>
      <c r="AF23" s="119"/>
      <c r="AG23" s="119"/>
      <c r="AH23" s="119"/>
    </row>
    <row r="24" spans="1:34" ht="20.100000000000001" customHeight="1" x14ac:dyDescent="0.25">
      <c r="A24" s="110">
        <f t="shared" si="15"/>
        <v>19</v>
      </c>
      <c r="B24" s="109">
        <v>0.52916666666666667</v>
      </c>
      <c r="C24" s="121" t="s">
        <v>175</v>
      </c>
      <c r="D24" s="5">
        <v>7</v>
      </c>
      <c r="E24" s="117">
        <v>2</v>
      </c>
      <c r="F24" s="118" t="s">
        <v>58</v>
      </c>
      <c r="G24" s="250">
        <f t="shared" si="5"/>
        <v>3.52</v>
      </c>
      <c r="H24" s="250">
        <f t="shared" si="6"/>
        <v>5.17</v>
      </c>
      <c r="I24" s="250">
        <f t="shared" si="7"/>
        <v>0</v>
      </c>
      <c r="J24" s="250">
        <f t="shared" si="8"/>
        <v>0</v>
      </c>
      <c r="K24" s="250">
        <f t="shared" si="9"/>
        <v>0</v>
      </c>
      <c r="L24" s="250">
        <f t="shared" si="10"/>
        <v>0</v>
      </c>
      <c r="M24" s="250">
        <f t="shared" si="11"/>
        <v>0</v>
      </c>
      <c r="N24" s="171">
        <f t="shared" si="12"/>
        <v>8.69</v>
      </c>
      <c r="O24" s="171">
        <f t="shared" si="1"/>
        <v>1.3273433539173836</v>
      </c>
      <c r="P24" s="172"/>
      <c r="Q24" s="172"/>
      <c r="R24" s="172"/>
      <c r="S24" s="172"/>
      <c r="T24" s="172"/>
      <c r="U24" s="172"/>
      <c r="V24" s="172"/>
      <c r="W24" s="172">
        <f>VLOOKUP(D24,[1]KEY!$D$35:$E$44,2,FALSE)</f>
        <v>18</v>
      </c>
      <c r="X24" s="173" t="str">
        <f t="shared" si="13"/>
        <v>N</v>
      </c>
      <c r="Y24" s="174">
        <f t="shared" si="14"/>
        <v>0</v>
      </c>
      <c r="Z24" s="116" t="s">
        <v>426</v>
      </c>
      <c r="AB24" s="113">
        <v>3520</v>
      </c>
      <c r="AC24" s="113">
        <v>5170</v>
      </c>
      <c r="AD24" s="119"/>
      <c r="AE24" s="119"/>
      <c r="AF24" s="119"/>
      <c r="AG24" s="119"/>
      <c r="AH24" s="119"/>
    </row>
    <row r="25" spans="1:34" ht="20.100000000000001" customHeight="1" x14ac:dyDescent="0.25">
      <c r="A25" s="110">
        <f t="shared" si="15"/>
        <v>20</v>
      </c>
      <c r="B25" s="109">
        <v>0.53472222222222221</v>
      </c>
      <c r="C25" s="121" t="s">
        <v>176</v>
      </c>
      <c r="D25" s="5">
        <v>7</v>
      </c>
      <c r="E25" s="117">
        <v>2</v>
      </c>
      <c r="F25" s="118" t="s">
        <v>58</v>
      </c>
      <c r="G25" s="250">
        <f t="shared" si="5"/>
        <v>2.97</v>
      </c>
      <c r="H25" s="250">
        <f t="shared" si="6"/>
        <v>5.17</v>
      </c>
      <c r="I25" s="250">
        <f t="shared" si="7"/>
        <v>0</v>
      </c>
      <c r="J25" s="250">
        <f t="shared" si="8"/>
        <v>0</v>
      </c>
      <c r="K25" s="250">
        <f t="shared" si="9"/>
        <v>0</v>
      </c>
      <c r="L25" s="250">
        <f t="shared" si="10"/>
        <v>0</v>
      </c>
      <c r="M25" s="250">
        <f t="shared" si="11"/>
        <v>0</v>
      </c>
      <c r="N25" s="171">
        <f t="shared" si="12"/>
        <v>8.14</v>
      </c>
      <c r="O25" s="171">
        <f t="shared" si="1"/>
        <v>0.98901779922518473</v>
      </c>
      <c r="P25" s="172"/>
      <c r="Q25" s="172"/>
      <c r="R25" s="172"/>
      <c r="S25" s="172"/>
      <c r="T25" s="172"/>
      <c r="U25" s="172"/>
      <c r="V25" s="172"/>
      <c r="W25" s="172">
        <f>VLOOKUP(D25,[1]KEY!$D$35:$E$44,2,FALSE)</f>
        <v>18</v>
      </c>
      <c r="X25" s="173" t="str">
        <f t="shared" si="13"/>
        <v>N</v>
      </c>
      <c r="Y25" s="174">
        <f t="shared" si="14"/>
        <v>0</v>
      </c>
      <c r="Z25" s="127" t="s">
        <v>426</v>
      </c>
      <c r="AB25" s="113">
        <v>2970</v>
      </c>
      <c r="AC25" s="113">
        <v>5170</v>
      </c>
      <c r="AD25" s="119"/>
      <c r="AE25" s="119"/>
      <c r="AF25" s="119"/>
      <c r="AG25" s="119"/>
      <c r="AH25" s="119"/>
    </row>
    <row r="26" spans="1:34" ht="20.100000000000001" customHeight="1" x14ac:dyDescent="0.25">
      <c r="A26" s="110">
        <f t="shared" si="15"/>
        <v>21</v>
      </c>
      <c r="B26" s="109">
        <v>0.55625000000000002</v>
      </c>
      <c r="C26" s="121" t="s">
        <v>180</v>
      </c>
      <c r="D26" s="5">
        <v>7</v>
      </c>
      <c r="E26" s="117">
        <v>2</v>
      </c>
      <c r="F26" s="118" t="s">
        <v>58</v>
      </c>
      <c r="G26" s="250">
        <f t="shared" si="5"/>
        <v>1.43</v>
      </c>
      <c r="H26" s="250">
        <f t="shared" si="6"/>
        <v>3.3</v>
      </c>
      <c r="I26" s="250">
        <f t="shared" si="7"/>
        <v>0</v>
      </c>
      <c r="J26" s="250">
        <f t="shared" si="8"/>
        <v>0</v>
      </c>
      <c r="K26" s="250">
        <f t="shared" si="9"/>
        <v>0</v>
      </c>
      <c r="L26" s="250">
        <f t="shared" si="10"/>
        <v>0</v>
      </c>
      <c r="M26" s="250">
        <f t="shared" si="11"/>
        <v>0</v>
      </c>
      <c r="N26" s="171">
        <f t="shared" si="12"/>
        <v>4.7299999999999995</v>
      </c>
      <c r="O26" s="171">
        <f t="shared" si="1"/>
        <v>8.5954658446787333E-2</v>
      </c>
      <c r="P26" s="172"/>
      <c r="Q26" s="172"/>
      <c r="R26" s="172"/>
      <c r="S26" s="172"/>
      <c r="T26" s="172"/>
      <c r="U26" s="172"/>
      <c r="V26" s="172"/>
      <c r="W26" s="172">
        <f>VLOOKUP(D26,[1]KEY!$D$35:$E$44,2,FALSE)</f>
        <v>18</v>
      </c>
      <c r="X26" s="173" t="str">
        <f t="shared" si="13"/>
        <v>N</v>
      </c>
      <c r="Y26" s="174">
        <f t="shared" si="14"/>
        <v>0</v>
      </c>
      <c r="Z26" s="116" t="s">
        <v>426</v>
      </c>
      <c r="AB26" s="113">
        <v>1430</v>
      </c>
      <c r="AC26" s="113">
        <v>3300</v>
      </c>
      <c r="AD26" s="119"/>
      <c r="AE26" s="119"/>
      <c r="AF26" s="119"/>
      <c r="AG26" s="119"/>
      <c r="AH26" s="119"/>
    </row>
    <row r="27" spans="1:34" ht="20.100000000000001" customHeight="1" x14ac:dyDescent="0.25">
      <c r="A27" s="110">
        <f t="shared" si="15"/>
        <v>22</v>
      </c>
      <c r="B27" s="109">
        <v>0.5625</v>
      </c>
      <c r="C27" s="121" t="s">
        <v>181</v>
      </c>
      <c r="D27" s="5">
        <v>7</v>
      </c>
      <c r="E27" s="117">
        <v>2</v>
      </c>
      <c r="F27" s="118" t="s">
        <v>58</v>
      </c>
      <c r="G27" s="250">
        <f t="shared" si="5"/>
        <v>1.21</v>
      </c>
      <c r="H27" s="250">
        <f t="shared" si="6"/>
        <v>1.21</v>
      </c>
      <c r="I27" s="250">
        <f t="shared" si="7"/>
        <v>0</v>
      </c>
      <c r="J27" s="250">
        <f t="shared" si="8"/>
        <v>0</v>
      </c>
      <c r="K27" s="250">
        <f t="shared" si="9"/>
        <v>0</v>
      </c>
      <c r="L27" s="250">
        <f t="shared" si="10"/>
        <v>0</v>
      </c>
      <c r="M27" s="250">
        <f t="shared" si="11"/>
        <v>0</v>
      </c>
      <c r="N27" s="171">
        <f t="shared" si="12"/>
        <v>2.42</v>
      </c>
      <c r="O27" s="171">
        <f t="shared" si="1"/>
        <v>4.2127281285129301E-3</v>
      </c>
      <c r="P27" s="172"/>
      <c r="Q27" s="172"/>
      <c r="R27" s="172"/>
      <c r="S27" s="172"/>
      <c r="T27" s="172"/>
      <c r="U27" s="172"/>
      <c r="V27" s="172"/>
      <c r="W27" s="172">
        <f>VLOOKUP(D27,[1]KEY!$D$35:$E$44,2,FALSE)</f>
        <v>18</v>
      </c>
      <c r="X27" s="173" t="str">
        <f t="shared" si="13"/>
        <v>N</v>
      </c>
      <c r="Y27" s="174">
        <f t="shared" si="14"/>
        <v>0</v>
      </c>
      <c r="Z27" s="116" t="s">
        <v>369</v>
      </c>
      <c r="AB27" s="113">
        <v>1210</v>
      </c>
      <c r="AC27" s="113">
        <v>1210</v>
      </c>
      <c r="AD27" s="119"/>
      <c r="AE27" s="119"/>
      <c r="AF27" s="119"/>
      <c r="AG27" s="119"/>
      <c r="AH27" s="119"/>
    </row>
    <row r="28" spans="1:34" ht="20.100000000000001" customHeight="1" x14ac:dyDescent="0.25">
      <c r="A28" s="110">
        <f t="shared" si="15"/>
        <v>23</v>
      </c>
      <c r="B28" s="109">
        <v>0.63541666666666663</v>
      </c>
      <c r="C28" s="121" t="s">
        <v>247</v>
      </c>
      <c r="D28" s="5">
        <v>7</v>
      </c>
      <c r="E28" s="111">
        <v>2</v>
      </c>
      <c r="F28" s="112" t="s">
        <v>58</v>
      </c>
      <c r="G28" s="250">
        <f t="shared" si="5"/>
        <v>1.85</v>
      </c>
      <c r="H28" s="250">
        <f t="shared" si="6"/>
        <v>4.1500000000000004</v>
      </c>
      <c r="I28" s="250">
        <f t="shared" si="7"/>
        <v>0</v>
      </c>
      <c r="J28" s="250">
        <f t="shared" si="8"/>
        <v>0</v>
      </c>
      <c r="K28" s="250">
        <f t="shared" si="9"/>
        <v>0</v>
      </c>
      <c r="L28" s="250">
        <f t="shared" si="10"/>
        <v>0</v>
      </c>
      <c r="M28" s="250">
        <f t="shared" si="11"/>
        <v>0</v>
      </c>
      <c r="N28" s="171">
        <f t="shared" si="12"/>
        <v>6</v>
      </c>
      <c r="O28" s="171">
        <f t="shared" si="1"/>
        <v>0.25065415741734298</v>
      </c>
      <c r="P28" s="172"/>
      <c r="Q28" s="172"/>
      <c r="R28" s="172"/>
      <c r="S28" s="172"/>
      <c r="T28" s="172"/>
      <c r="U28" s="172"/>
      <c r="V28" s="172"/>
      <c r="W28" s="172">
        <f>VLOOKUP(D28,[1]KEY!$D$35:$E$44,2,FALSE)</f>
        <v>18</v>
      </c>
      <c r="X28" s="173" t="str">
        <f t="shared" si="13"/>
        <v>N</v>
      </c>
      <c r="Y28" s="174">
        <f t="shared" si="14"/>
        <v>0</v>
      </c>
      <c r="Z28" s="116" t="s">
        <v>426</v>
      </c>
      <c r="AB28" s="113">
        <v>1850</v>
      </c>
      <c r="AC28" s="113">
        <v>4150</v>
      </c>
      <c r="AD28" s="119"/>
      <c r="AE28" s="119"/>
      <c r="AF28" s="119"/>
      <c r="AG28" s="119"/>
      <c r="AH28" s="119"/>
    </row>
    <row r="29" spans="1:34" ht="20.100000000000001" customHeight="1" x14ac:dyDescent="0.25">
      <c r="A29" s="110">
        <f t="shared" si="15"/>
        <v>24</v>
      </c>
      <c r="B29" s="109">
        <v>0.67708333333333337</v>
      </c>
      <c r="C29" s="121" t="s">
        <v>251</v>
      </c>
      <c r="D29" s="5">
        <v>7</v>
      </c>
      <c r="E29" s="111">
        <v>2</v>
      </c>
      <c r="F29" s="112" t="s">
        <v>58</v>
      </c>
      <c r="G29" s="250">
        <f t="shared" si="5"/>
        <v>1.54</v>
      </c>
      <c r="H29" s="250">
        <f t="shared" si="6"/>
        <v>1.21</v>
      </c>
      <c r="I29" s="250">
        <f t="shared" si="7"/>
        <v>0</v>
      </c>
      <c r="J29" s="250">
        <f t="shared" si="8"/>
        <v>0</v>
      </c>
      <c r="K29" s="250">
        <f t="shared" si="9"/>
        <v>0</v>
      </c>
      <c r="L29" s="250">
        <f t="shared" si="10"/>
        <v>0</v>
      </c>
      <c r="M29" s="250">
        <f t="shared" si="11"/>
        <v>0</v>
      </c>
      <c r="N29" s="171">
        <f t="shared" si="12"/>
        <v>2.75</v>
      </c>
      <c r="O29" s="171">
        <f t="shared" si="1"/>
        <v>7.4884409211569197E-3</v>
      </c>
      <c r="P29" s="172"/>
      <c r="Q29" s="172"/>
      <c r="R29" s="172"/>
      <c r="S29" s="172"/>
      <c r="T29" s="172"/>
      <c r="U29" s="172"/>
      <c r="V29" s="172"/>
      <c r="W29" s="172">
        <f>VLOOKUP(D29,[1]KEY!$D$35:$E$44,2,FALSE)</f>
        <v>18</v>
      </c>
      <c r="X29" s="173" t="str">
        <f t="shared" si="13"/>
        <v>N</v>
      </c>
      <c r="Y29" s="174">
        <f t="shared" si="14"/>
        <v>0</v>
      </c>
      <c r="Z29" s="116" t="s">
        <v>430</v>
      </c>
      <c r="AB29" s="113">
        <v>1540</v>
      </c>
      <c r="AC29" s="113">
        <v>1210</v>
      </c>
      <c r="AD29" s="119"/>
      <c r="AE29" s="119"/>
      <c r="AF29" s="119"/>
      <c r="AG29" s="119"/>
      <c r="AH29" s="119"/>
    </row>
    <row r="30" spans="1:34" ht="20.100000000000001" customHeight="1" x14ac:dyDescent="0.25">
      <c r="A30" s="110">
        <f t="shared" si="15"/>
        <v>25</v>
      </c>
      <c r="B30" s="109">
        <v>0.68263888888888891</v>
      </c>
      <c r="C30" s="121" t="s">
        <v>254</v>
      </c>
      <c r="D30" s="5">
        <v>7</v>
      </c>
      <c r="E30" s="111">
        <v>2</v>
      </c>
      <c r="F30" s="112" t="s">
        <v>58</v>
      </c>
      <c r="G30" s="250">
        <f t="shared" si="5"/>
        <v>2.42</v>
      </c>
      <c r="H30" s="250">
        <f t="shared" si="6"/>
        <v>5.0599999999999996</v>
      </c>
      <c r="I30" s="250">
        <f t="shared" si="7"/>
        <v>0</v>
      </c>
      <c r="J30" s="250">
        <f t="shared" si="8"/>
        <v>0</v>
      </c>
      <c r="K30" s="250">
        <f t="shared" si="9"/>
        <v>0</v>
      </c>
      <c r="L30" s="250">
        <f t="shared" si="10"/>
        <v>0</v>
      </c>
      <c r="M30" s="250">
        <f t="shared" si="11"/>
        <v>0</v>
      </c>
      <c r="N30" s="171">
        <f t="shared" si="12"/>
        <v>7.4799999999999995</v>
      </c>
      <c r="O30" s="171">
        <f t="shared" si="1"/>
        <v>0.67600744042537342</v>
      </c>
      <c r="P30" s="172"/>
      <c r="Q30" s="172"/>
      <c r="R30" s="172"/>
      <c r="S30" s="172"/>
      <c r="T30" s="172"/>
      <c r="U30" s="172"/>
      <c r="V30" s="172"/>
      <c r="W30" s="172">
        <f>VLOOKUP(D30,[1]KEY!$D$35:$E$44,2,FALSE)</f>
        <v>18</v>
      </c>
      <c r="X30" s="173" t="str">
        <f t="shared" si="13"/>
        <v>N</v>
      </c>
      <c r="Y30" s="174">
        <f t="shared" si="14"/>
        <v>0</v>
      </c>
      <c r="Z30" s="116" t="s">
        <v>426</v>
      </c>
      <c r="AB30" s="113">
        <v>2420</v>
      </c>
      <c r="AC30" s="113">
        <v>5060</v>
      </c>
      <c r="AD30" s="119"/>
      <c r="AE30" s="119"/>
      <c r="AF30" s="119"/>
      <c r="AG30" s="119"/>
      <c r="AH30" s="119"/>
    </row>
    <row r="31" spans="1:34" ht="20.100000000000001" customHeight="1" x14ac:dyDescent="0.25">
      <c r="A31" s="110">
        <f t="shared" si="15"/>
        <v>26</v>
      </c>
      <c r="B31" s="109">
        <v>0.69236111111111109</v>
      </c>
      <c r="C31" s="121" t="s">
        <v>255</v>
      </c>
      <c r="D31" s="5">
        <v>7</v>
      </c>
      <c r="E31" s="111">
        <v>2</v>
      </c>
      <c r="F31" s="112" t="s">
        <v>58</v>
      </c>
      <c r="G31" s="250">
        <f t="shared" si="5"/>
        <v>2.86</v>
      </c>
      <c r="H31" s="250">
        <f t="shared" si="6"/>
        <v>5.17</v>
      </c>
      <c r="I31" s="250">
        <f t="shared" si="7"/>
        <v>0</v>
      </c>
      <c r="J31" s="250">
        <f t="shared" si="8"/>
        <v>0</v>
      </c>
      <c r="K31" s="250">
        <f t="shared" si="9"/>
        <v>0</v>
      </c>
      <c r="L31" s="250">
        <f t="shared" si="10"/>
        <v>0</v>
      </c>
      <c r="M31" s="250">
        <f t="shared" si="11"/>
        <v>0</v>
      </c>
      <c r="N31" s="171">
        <f t="shared" si="12"/>
        <v>8.0299999999999994</v>
      </c>
      <c r="O31" s="171">
        <f t="shared" si="1"/>
        <v>0.93028118917957037</v>
      </c>
      <c r="P31" s="172"/>
      <c r="Q31" s="172"/>
      <c r="R31" s="172"/>
      <c r="S31" s="172"/>
      <c r="T31" s="172"/>
      <c r="U31" s="172"/>
      <c r="V31" s="172"/>
      <c r="W31" s="172">
        <f>VLOOKUP(D31,[1]KEY!$D$35:$E$44,2,FALSE)</f>
        <v>18</v>
      </c>
      <c r="X31" s="173" t="str">
        <f t="shared" si="13"/>
        <v>N</v>
      </c>
      <c r="Y31" s="174">
        <f t="shared" si="14"/>
        <v>0</v>
      </c>
      <c r="Z31" s="116" t="s">
        <v>426</v>
      </c>
      <c r="AB31" s="113">
        <v>2860</v>
      </c>
      <c r="AC31" s="113">
        <v>5170</v>
      </c>
      <c r="AD31" s="119"/>
      <c r="AE31" s="119"/>
      <c r="AF31" s="119"/>
      <c r="AG31" s="119"/>
      <c r="AH31" s="119"/>
    </row>
    <row r="32" spans="1:34" ht="20.100000000000001" customHeight="1" x14ac:dyDescent="0.25">
      <c r="A32" s="110">
        <f t="shared" si="15"/>
        <v>27</v>
      </c>
      <c r="B32" s="109">
        <v>0.69791666666666663</v>
      </c>
      <c r="C32" s="121" t="s">
        <v>57</v>
      </c>
      <c r="D32" s="5">
        <v>7</v>
      </c>
      <c r="E32" s="111">
        <v>2</v>
      </c>
      <c r="F32" s="112" t="s">
        <v>58</v>
      </c>
      <c r="G32" s="250">
        <f t="shared" si="5"/>
        <v>1.43</v>
      </c>
      <c r="H32" s="250">
        <f t="shared" si="6"/>
        <v>2.86</v>
      </c>
      <c r="I32" s="250">
        <f t="shared" si="7"/>
        <v>0</v>
      </c>
      <c r="J32" s="250">
        <f t="shared" si="8"/>
        <v>0</v>
      </c>
      <c r="K32" s="250">
        <f t="shared" si="9"/>
        <v>0</v>
      </c>
      <c r="L32" s="250">
        <f t="shared" si="10"/>
        <v>0</v>
      </c>
      <c r="M32" s="250">
        <f t="shared" si="11"/>
        <v>0</v>
      </c>
      <c r="N32" s="171">
        <f t="shared" si="12"/>
        <v>4.29</v>
      </c>
      <c r="O32" s="171">
        <f t="shared" si="1"/>
        <v>5.5392644646205233E-2</v>
      </c>
      <c r="P32" s="172"/>
      <c r="Q32" s="172"/>
      <c r="R32" s="172"/>
      <c r="S32" s="172"/>
      <c r="T32" s="172"/>
      <c r="U32" s="172"/>
      <c r="V32" s="172"/>
      <c r="W32" s="172">
        <f>VLOOKUP(D32,[1]KEY!$D$35:$E$44,2,FALSE)</f>
        <v>18</v>
      </c>
      <c r="X32" s="173" t="str">
        <f t="shared" si="13"/>
        <v>N</v>
      </c>
      <c r="Y32" s="174">
        <f t="shared" si="14"/>
        <v>0</v>
      </c>
      <c r="Z32" s="116" t="s">
        <v>432</v>
      </c>
      <c r="AB32" s="113">
        <v>1430</v>
      </c>
      <c r="AC32" s="113">
        <v>2860</v>
      </c>
      <c r="AD32" s="119"/>
      <c r="AE32" s="119"/>
      <c r="AF32" s="119"/>
      <c r="AG32" s="119"/>
      <c r="AH32" s="119"/>
    </row>
    <row r="33" spans="1:34" ht="20.100000000000001" customHeight="1" x14ac:dyDescent="0.25">
      <c r="A33" s="110">
        <f t="shared" si="15"/>
        <v>28</v>
      </c>
      <c r="B33" s="109">
        <v>0.72569444444444453</v>
      </c>
      <c r="C33" s="121" t="s">
        <v>266</v>
      </c>
      <c r="D33" s="5">
        <v>7</v>
      </c>
      <c r="E33" s="111">
        <v>2</v>
      </c>
      <c r="F33" s="112" t="s">
        <v>58</v>
      </c>
      <c r="G33" s="250">
        <f t="shared" si="5"/>
        <v>3.19</v>
      </c>
      <c r="H33" s="250">
        <f t="shared" si="6"/>
        <v>4.51</v>
      </c>
      <c r="I33" s="250">
        <f t="shared" si="7"/>
        <v>0</v>
      </c>
      <c r="J33" s="250">
        <f t="shared" si="8"/>
        <v>0</v>
      </c>
      <c r="K33" s="250">
        <f t="shared" si="9"/>
        <v>0</v>
      </c>
      <c r="L33" s="250">
        <f t="shared" si="10"/>
        <v>0</v>
      </c>
      <c r="M33" s="250">
        <f t="shared" si="11"/>
        <v>0</v>
      </c>
      <c r="N33" s="171">
        <f t="shared" si="12"/>
        <v>7.6999999999999993</v>
      </c>
      <c r="O33" s="171">
        <f t="shared" si="1"/>
        <v>0.77019828790709299</v>
      </c>
      <c r="P33" s="172"/>
      <c r="Q33" s="172"/>
      <c r="R33" s="172"/>
      <c r="S33" s="172"/>
      <c r="T33" s="172"/>
      <c r="U33" s="172"/>
      <c r="V33" s="172"/>
      <c r="W33" s="172">
        <f>VLOOKUP(D33,[1]KEY!$D$35:$E$44,2,FALSE)</f>
        <v>18</v>
      </c>
      <c r="X33" s="173" t="str">
        <f t="shared" si="13"/>
        <v>N</v>
      </c>
      <c r="Y33" s="174">
        <f t="shared" si="14"/>
        <v>0</v>
      </c>
      <c r="Z33" s="116" t="s">
        <v>426</v>
      </c>
      <c r="AB33" s="113">
        <v>3190</v>
      </c>
      <c r="AC33" s="113">
        <v>4510</v>
      </c>
      <c r="AD33" s="119"/>
      <c r="AE33" s="119"/>
      <c r="AF33" s="119"/>
      <c r="AG33" s="119"/>
      <c r="AH33" s="119"/>
    </row>
    <row r="34" spans="1:34" ht="20.100000000000001" customHeight="1" x14ac:dyDescent="0.25">
      <c r="A34" s="110">
        <f t="shared" si="15"/>
        <v>29</v>
      </c>
      <c r="B34" s="109">
        <v>0.76736111111111116</v>
      </c>
      <c r="C34" s="121" t="s">
        <v>271</v>
      </c>
      <c r="D34" s="5">
        <v>7</v>
      </c>
      <c r="E34" s="111">
        <v>2</v>
      </c>
      <c r="F34" s="112" t="s">
        <v>58</v>
      </c>
      <c r="G34" s="250">
        <f t="shared" si="5"/>
        <v>3.3</v>
      </c>
      <c r="H34" s="250">
        <f t="shared" si="6"/>
        <v>5.17</v>
      </c>
      <c r="I34" s="250">
        <f t="shared" si="7"/>
        <v>0</v>
      </c>
      <c r="J34" s="250">
        <f t="shared" si="8"/>
        <v>0</v>
      </c>
      <c r="K34" s="250">
        <f t="shared" si="9"/>
        <v>0</v>
      </c>
      <c r="L34" s="250">
        <f t="shared" si="10"/>
        <v>0</v>
      </c>
      <c r="M34" s="250">
        <f t="shared" si="11"/>
        <v>0</v>
      </c>
      <c r="N34" s="171">
        <f t="shared" si="12"/>
        <v>8.4699999999999989</v>
      </c>
      <c r="O34" s="171">
        <f t="shared" si="1"/>
        <v>1.1826864798303232</v>
      </c>
      <c r="P34" s="172"/>
      <c r="Q34" s="172"/>
      <c r="R34" s="172"/>
      <c r="S34" s="172"/>
      <c r="T34" s="172"/>
      <c r="U34" s="172"/>
      <c r="V34" s="172"/>
      <c r="W34" s="172">
        <f>VLOOKUP(D34,[1]KEY!$D$35:$E$44,2,FALSE)</f>
        <v>18</v>
      </c>
      <c r="X34" s="173" t="str">
        <f t="shared" si="13"/>
        <v>N</v>
      </c>
      <c r="Y34" s="174">
        <f t="shared" si="14"/>
        <v>0</v>
      </c>
      <c r="Z34" s="116" t="s">
        <v>426</v>
      </c>
      <c r="AB34" s="113">
        <v>3300</v>
      </c>
      <c r="AC34" s="113">
        <v>5170</v>
      </c>
      <c r="AD34" s="119"/>
      <c r="AE34" s="119"/>
      <c r="AF34" s="119"/>
      <c r="AG34" s="119"/>
      <c r="AH34" s="119"/>
    </row>
    <row r="35" spans="1:34" ht="20.100000000000001" customHeight="1" x14ac:dyDescent="0.25">
      <c r="A35" s="110">
        <f t="shared" si="15"/>
        <v>30</v>
      </c>
      <c r="B35" s="109">
        <v>0.80208333333333337</v>
      </c>
      <c r="C35" s="121" t="s">
        <v>273</v>
      </c>
      <c r="D35" s="5">
        <v>7</v>
      </c>
      <c r="E35" s="111">
        <v>2</v>
      </c>
      <c r="F35" s="112" t="s">
        <v>58</v>
      </c>
      <c r="G35" s="250">
        <f t="shared" si="5"/>
        <v>1.4</v>
      </c>
      <c r="H35" s="250">
        <f t="shared" si="6"/>
        <v>3.1</v>
      </c>
      <c r="I35" s="250">
        <f t="shared" si="7"/>
        <v>0</v>
      </c>
      <c r="J35" s="250">
        <f t="shared" si="8"/>
        <v>0</v>
      </c>
      <c r="K35" s="250">
        <f t="shared" si="9"/>
        <v>0</v>
      </c>
      <c r="L35" s="250">
        <f t="shared" si="10"/>
        <v>0</v>
      </c>
      <c r="M35" s="250">
        <f t="shared" si="11"/>
        <v>0</v>
      </c>
      <c r="N35" s="171">
        <f t="shared" si="12"/>
        <v>4.5</v>
      </c>
      <c r="O35" s="171">
        <f t="shared" si="1"/>
        <v>6.8683212105061855E-2</v>
      </c>
      <c r="P35" s="172"/>
      <c r="Q35" s="172"/>
      <c r="R35" s="172"/>
      <c r="S35" s="172"/>
      <c r="T35" s="172"/>
      <c r="U35" s="172"/>
      <c r="V35" s="172"/>
      <c r="W35" s="172">
        <f>VLOOKUP(D35,[1]KEY!$D$35:$E$44,2,FALSE)</f>
        <v>18</v>
      </c>
      <c r="X35" s="173" t="str">
        <f t="shared" si="13"/>
        <v>N</v>
      </c>
      <c r="Y35" s="174">
        <f t="shared" si="14"/>
        <v>0</v>
      </c>
      <c r="Z35" s="116" t="s">
        <v>426</v>
      </c>
      <c r="AB35" s="113">
        <v>1400</v>
      </c>
      <c r="AC35" s="113">
        <v>3100</v>
      </c>
      <c r="AD35" s="119"/>
      <c r="AE35" s="119"/>
      <c r="AF35" s="119"/>
      <c r="AG35" s="119"/>
      <c r="AH35" s="119"/>
    </row>
    <row r="36" spans="1:34" ht="20.100000000000001" customHeight="1" x14ac:dyDescent="0.25">
      <c r="A36" s="110">
        <f t="shared" si="15"/>
        <v>31</v>
      </c>
      <c r="B36" s="109">
        <v>0.8208333333333333</v>
      </c>
      <c r="C36" s="121" t="s">
        <v>279</v>
      </c>
      <c r="D36" s="5">
        <v>7</v>
      </c>
      <c r="E36" s="111">
        <v>2</v>
      </c>
      <c r="F36" s="112" t="s">
        <v>58</v>
      </c>
      <c r="G36" s="250">
        <f t="shared" si="5"/>
        <v>3.05</v>
      </c>
      <c r="H36" s="250">
        <f t="shared" si="6"/>
        <v>4</v>
      </c>
      <c r="I36" s="250">
        <f t="shared" si="7"/>
        <v>0</v>
      </c>
      <c r="J36" s="250">
        <f t="shared" si="8"/>
        <v>0</v>
      </c>
      <c r="K36" s="250">
        <f t="shared" si="9"/>
        <v>0</v>
      </c>
      <c r="L36" s="250">
        <f t="shared" si="10"/>
        <v>0</v>
      </c>
      <c r="M36" s="250">
        <f t="shared" si="11"/>
        <v>0</v>
      </c>
      <c r="N36" s="171">
        <f t="shared" si="12"/>
        <v>7.05</v>
      </c>
      <c r="O36" s="171">
        <f t="shared" si="1"/>
        <v>0.51789928574855715</v>
      </c>
      <c r="P36" s="172"/>
      <c r="Q36" s="172"/>
      <c r="R36" s="172"/>
      <c r="S36" s="172"/>
      <c r="T36" s="172"/>
      <c r="U36" s="172"/>
      <c r="V36" s="172"/>
      <c r="W36" s="172">
        <f>VLOOKUP(D36,[1]KEY!$D$35:$E$44,2,FALSE)</f>
        <v>18</v>
      </c>
      <c r="X36" s="173" t="str">
        <f t="shared" si="13"/>
        <v>N</v>
      </c>
      <c r="Y36" s="174">
        <f t="shared" si="14"/>
        <v>0</v>
      </c>
      <c r="Z36" s="116" t="s">
        <v>426</v>
      </c>
      <c r="AB36" s="113">
        <v>3050</v>
      </c>
      <c r="AC36" s="113">
        <v>4000</v>
      </c>
      <c r="AD36" s="119"/>
      <c r="AE36" s="119"/>
      <c r="AF36" s="119"/>
      <c r="AG36" s="119"/>
      <c r="AH36" s="119"/>
    </row>
    <row r="37" spans="1:34" ht="20.100000000000001" customHeight="1" x14ac:dyDescent="0.25">
      <c r="A37" s="110">
        <f t="shared" si="15"/>
        <v>32</v>
      </c>
      <c r="B37" s="109">
        <v>0.85069444444444453</v>
      </c>
      <c r="C37" s="121" t="s">
        <v>283</v>
      </c>
      <c r="D37" s="5">
        <v>7</v>
      </c>
      <c r="E37" s="111">
        <v>2</v>
      </c>
      <c r="F37" s="112" t="s">
        <v>58</v>
      </c>
      <c r="G37" s="250">
        <f t="shared" si="5"/>
        <v>1.05</v>
      </c>
      <c r="H37" s="250">
        <f t="shared" si="6"/>
        <v>0.65</v>
      </c>
      <c r="I37" s="250">
        <f t="shared" si="7"/>
        <v>0</v>
      </c>
      <c r="J37" s="250">
        <f t="shared" si="8"/>
        <v>0</v>
      </c>
      <c r="K37" s="250">
        <f t="shared" si="9"/>
        <v>0</v>
      </c>
      <c r="L37" s="250">
        <f t="shared" si="10"/>
        <v>0</v>
      </c>
      <c r="M37" s="250">
        <f t="shared" si="11"/>
        <v>0</v>
      </c>
      <c r="N37" s="171">
        <f t="shared" si="12"/>
        <v>1.7000000000000002</v>
      </c>
      <c r="O37" s="171">
        <f t="shared" si="1"/>
        <v>8.5983363886258789E-4</v>
      </c>
      <c r="P37" s="172"/>
      <c r="Q37" s="172"/>
      <c r="R37" s="172"/>
      <c r="S37" s="172"/>
      <c r="T37" s="172"/>
      <c r="U37" s="172"/>
      <c r="V37" s="172"/>
      <c r="W37" s="172">
        <f>VLOOKUP(D37,[1]KEY!$D$35:$E$44,2,FALSE)</f>
        <v>18</v>
      </c>
      <c r="X37" s="173" t="str">
        <f t="shared" si="13"/>
        <v>N</v>
      </c>
      <c r="Y37" s="174">
        <f t="shared" si="14"/>
        <v>0</v>
      </c>
      <c r="Z37" s="116" t="s">
        <v>422</v>
      </c>
      <c r="AB37" s="113">
        <v>1050</v>
      </c>
      <c r="AC37" s="113">
        <v>650</v>
      </c>
      <c r="AD37" s="119"/>
      <c r="AE37" s="119"/>
      <c r="AF37" s="119"/>
      <c r="AG37" s="119"/>
      <c r="AH37" s="119"/>
    </row>
    <row r="38" spans="1:34" ht="20.100000000000001" customHeight="1" x14ac:dyDescent="0.25">
      <c r="A38" s="110">
        <f t="shared" si="15"/>
        <v>33</v>
      </c>
      <c r="B38" s="109">
        <v>0.89444444444444438</v>
      </c>
      <c r="C38" s="121" t="s">
        <v>289</v>
      </c>
      <c r="D38" s="5">
        <v>7</v>
      </c>
      <c r="E38" s="111">
        <v>2</v>
      </c>
      <c r="F38" s="112" t="s">
        <v>58</v>
      </c>
      <c r="G38" s="250">
        <f t="shared" si="5"/>
        <v>1.87</v>
      </c>
      <c r="H38" s="250">
        <f t="shared" si="6"/>
        <v>3.52</v>
      </c>
      <c r="I38" s="250">
        <f t="shared" si="7"/>
        <v>0</v>
      </c>
      <c r="J38" s="250">
        <f t="shared" si="8"/>
        <v>0</v>
      </c>
      <c r="K38" s="250">
        <f t="shared" si="9"/>
        <v>0</v>
      </c>
      <c r="L38" s="250">
        <f t="shared" si="10"/>
        <v>0</v>
      </c>
      <c r="M38" s="250">
        <f t="shared" si="11"/>
        <v>0</v>
      </c>
      <c r="N38" s="171">
        <f t="shared" si="12"/>
        <v>5.3900000000000006</v>
      </c>
      <c r="O38" s="171">
        <f t="shared" si="1"/>
        <v>0.15471902821124336</v>
      </c>
      <c r="P38" s="172"/>
      <c r="Q38" s="172"/>
      <c r="R38" s="172"/>
      <c r="S38" s="172"/>
      <c r="T38" s="172"/>
      <c r="U38" s="172"/>
      <c r="V38" s="172"/>
      <c r="W38" s="172">
        <f>VLOOKUP(D38,[1]KEY!$D$35:$E$44,2,FALSE)</f>
        <v>18</v>
      </c>
      <c r="X38" s="173" t="str">
        <f t="shared" si="13"/>
        <v>N</v>
      </c>
      <c r="Y38" s="174">
        <f t="shared" si="14"/>
        <v>0</v>
      </c>
      <c r="Z38" s="116" t="s">
        <v>426</v>
      </c>
      <c r="AB38" s="113">
        <v>1870</v>
      </c>
      <c r="AC38" s="113">
        <v>3520</v>
      </c>
      <c r="AD38" s="119"/>
      <c r="AE38" s="119"/>
      <c r="AF38" s="119"/>
      <c r="AG38" s="119"/>
      <c r="AH38" s="119"/>
    </row>
    <row r="39" spans="1:34" ht="20.100000000000001" customHeight="1" x14ac:dyDescent="0.25">
      <c r="A39" s="110">
        <f t="shared" si="15"/>
        <v>34</v>
      </c>
      <c r="B39" s="109">
        <v>0.9506944444444444</v>
      </c>
      <c r="C39" s="121" t="s">
        <v>294</v>
      </c>
      <c r="D39" s="5">
        <v>7</v>
      </c>
      <c r="E39" s="111">
        <v>2</v>
      </c>
      <c r="F39" s="112" t="s">
        <v>58</v>
      </c>
      <c r="G39" s="250">
        <f t="shared" si="5"/>
        <v>2.2000000000000002</v>
      </c>
      <c r="H39" s="250">
        <f t="shared" si="6"/>
        <v>5.72</v>
      </c>
      <c r="I39" s="250">
        <f t="shared" si="7"/>
        <v>0</v>
      </c>
      <c r="J39" s="250">
        <f t="shared" si="8"/>
        <v>0</v>
      </c>
      <c r="K39" s="250">
        <f t="shared" si="9"/>
        <v>0</v>
      </c>
      <c r="L39" s="250">
        <f t="shared" si="10"/>
        <v>0</v>
      </c>
      <c r="M39" s="250">
        <f t="shared" si="11"/>
        <v>0</v>
      </c>
      <c r="N39" s="171">
        <f t="shared" si="12"/>
        <v>7.92</v>
      </c>
      <c r="O39" s="171">
        <f t="shared" ref="O39:O70" si="16">(N39/8.16)^4.5</f>
        <v>0.8742942109481413</v>
      </c>
      <c r="P39" s="172"/>
      <c r="Q39" s="172"/>
      <c r="R39" s="172"/>
      <c r="S39" s="172"/>
      <c r="T39" s="172"/>
      <c r="U39" s="172"/>
      <c r="V39" s="172"/>
      <c r="W39" s="172">
        <f>VLOOKUP(D39,[1]KEY!$D$35:$E$44,2,FALSE)</f>
        <v>18</v>
      </c>
      <c r="X39" s="173" t="str">
        <f t="shared" ref="X39:X70" si="17">IF(N39&gt;W39,"Y","N")</f>
        <v>N</v>
      </c>
      <c r="Y39" s="174">
        <f t="shared" ref="Y39:Y70" si="18">IF(X39="Y",(N39-W39)/W39,0)</f>
        <v>0</v>
      </c>
      <c r="Z39" s="116" t="s">
        <v>426</v>
      </c>
      <c r="AB39" s="113">
        <v>2200</v>
      </c>
      <c r="AC39" s="113">
        <v>5720</v>
      </c>
      <c r="AD39" s="119"/>
      <c r="AE39" s="119"/>
      <c r="AF39" s="119"/>
      <c r="AG39" s="119"/>
      <c r="AH39" s="119"/>
    </row>
    <row r="40" spans="1:34" ht="20.100000000000001" customHeight="1" x14ac:dyDescent="0.25">
      <c r="A40" s="110">
        <f t="shared" si="15"/>
        <v>35</v>
      </c>
      <c r="B40" s="109">
        <v>0.96111111111111114</v>
      </c>
      <c r="C40" s="121" t="s">
        <v>301</v>
      </c>
      <c r="D40" s="5">
        <v>7</v>
      </c>
      <c r="E40" s="111">
        <v>2</v>
      </c>
      <c r="F40" s="112" t="s">
        <v>58</v>
      </c>
      <c r="G40" s="250">
        <f t="shared" si="5"/>
        <v>0.66</v>
      </c>
      <c r="H40" s="250">
        <f t="shared" si="6"/>
        <v>0.88</v>
      </c>
      <c r="I40" s="250">
        <f t="shared" si="7"/>
        <v>0</v>
      </c>
      <c r="J40" s="250">
        <f t="shared" si="8"/>
        <v>0</v>
      </c>
      <c r="K40" s="250">
        <f t="shared" si="9"/>
        <v>0</v>
      </c>
      <c r="L40" s="250">
        <f t="shared" si="10"/>
        <v>0</v>
      </c>
      <c r="M40" s="250">
        <f t="shared" si="11"/>
        <v>0</v>
      </c>
      <c r="N40" s="171">
        <f t="shared" si="12"/>
        <v>1.54</v>
      </c>
      <c r="O40" s="171">
        <f t="shared" si="16"/>
        <v>5.5110903293254887E-4</v>
      </c>
      <c r="P40" s="172"/>
      <c r="Q40" s="172"/>
      <c r="R40" s="172"/>
      <c r="S40" s="172"/>
      <c r="T40" s="172"/>
      <c r="U40" s="172"/>
      <c r="V40" s="172"/>
      <c r="W40" s="172">
        <f>VLOOKUP(D40,[1]KEY!$D$35:$E$44,2,FALSE)</f>
        <v>18</v>
      </c>
      <c r="X40" s="173" t="str">
        <f t="shared" si="17"/>
        <v>N</v>
      </c>
      <c r="Y40" s="174">
        <f t="shared" si="18"/>
        <v>0</v>
      </c>
      <c r="Z40" s="116" t="s">
        <v>369</v>
      </c>
      <c r="AB40" s="113">
        <v>660</v>
      </c>
      <c r="AC40" s="113">
        <v>880</v>
      </c>
      <c r="AD40" s="119"/>
      <c r="AE40" s="119"/>
      <c r="AF40" s="119"/>
      <c r="AG40" s="119"/>
      <c r="AH40" s="119"/>
    </row>
    <row r="41" spans="1:34" ht="20.100000000000001" customHeight="1" x14ac:dyDescent="0.25">
      <c r="A41" s="110">
        <f t="shared" si="15"/>
        <v>36</v>
      </c>
      <c r="B41" s="120">
        <v>3.472222222222222E-3</v>
      </c>
      <c r="C41" s="110" t="s">
        <v>305</v>
      </c>
      <c r="D41" s="5">
        <v>7</v>
      </c>
      <c r="E41" s="111">
        <v>2</v>
      </c>
      <c r="F41" s="112" t="s">
        <v>58</v>
      </c>
      <c r="G41" s="250">
        <f t="shared" si="5"/>
        <v>0.88</v>
      </c>
      <c r="H41" s="250">
        <f t="shared" si="6"/>
        <v>1.43</v>
      </c>
      <c r="I41" s="250">
        <f t="shared" si="7"/>
        <v>0</v>
      </c>
      <c r="J41" s="250">
        <f t="shared" si="8"/>
        <v>0</v>
      </c>
      <c r="K41" s="250">
        <f t="shared" si="9"/>
        <v>0</v>
      </c>
      <c r="L41" s="250">
        <f t="shared" si="10"/>
        <v>0</v>
      </c>
      <c r="M41" s="250">
        <f t="shared" si="11"/>
        <v>0</v>
      </c>
      <c r="N41" s="171">
        <f t="shared" si="12"/>
        <v>2.31</v>
      </c>
      <c r="O41" s="171">
        <f t="shared" si="16"/>
        <v>3.4170253059124475E-3</v>
      </c>
      <c r="P41" s="172"/>
      <c r="Q41" s="172"/>
      <c r="R41" s="172"/>
      <c r="S41" s="172"/>
      <c r="T41" s="172"/>
      <c r="U41" s="172"/>
      <c r="V41" s="172"/>
      <c r="W41" s="172">
        <f>VLOOKUP(D41,[1]KEY!$D$35:$E$44,2,FALSE)</f>
        <v>18</v>
      </c>
      <c r="X41" s="173" t="str">
        <f t="shared" si="17"/>
        <v>N</v>
      </c>
      <c r="Y41" s="174">
        <f t="shared" si="18"/>
        <v>0</v>
      </c>
      <c r="Z41" s="116" t="s">
        <v>369</v>
      </c>
      <c r="AB41" s="119">
        <v>880</v>
      </c>
      <c r="AC41" s="119">
        <v>1430</v>
      </c>
      <c r="AD41" s="119"/>
      <c r="AE41" s="119"/>
      <c r="AF41" s="119"/>
      <c r="AG41" s="119"/>
      <c r="AH41" s="119"/>
    </row>
    <row r="42" spans="1:34" ht="20.100000000000001" customHeight="1" x14ac:dyDescent="0.25">
      <c r="A42" s="110">
        <f t="shared" si="15"/>
        <v>37</v>
      </c>
      <c r="B42" s="120">
        <v>4.7916666666666663E-2</v>
      </c>
      <c r="C42" s="110" t="s">
        <v>307</v>
      </c>
      <c r="D42" s="5">
        <v>7</v>
      </c>
      <c r="E42" s="111">
        <v>2</v>
      </c>
      <c r="F42" s="112" t="s">
        <v>58</v>
      </c>
      <c r="G42" s="250">
        <f t="shared" si="5"/>
        <v>1.3</v>
      </c>
      <c r="H42" s="250">
        <f t="shared" si="6"/>
        <v>3.05</v>
      </c>
      <c r="I42" s="250">
        <f t="shared" si="7"/>
        <v>0</v>
      </c>
      <c r="J42" s="250">
        <f t="shared" si="8"/>
        <v>0</v>
      </c>
      <c r="K42" s="250">
        <f t="shared" si="9"/>
        <v>0</v>
      </c>
      <c r="L42" s="250">
        <f t="shared" si="10"/>
        <v>0</v>
      </c>
      <c r="M42" s="250">
        <f t="shared" si="11"/>
        <v>0</v>
      </c>
      <c r="N42" s="171">
        <f t="shared" si="12"/>
        <v>4.3499999999999996</v>
      </c>
      <c r="O42" s="171">
        <f t="shared" si="16"/>
        <v>5.8965222534377144E-2</v>
      </c>
      <c r="P42" s="172"/>
      <c r="Q42" s="172"/>
      <c r="R42" s="172"/>
      <c r="S42" s="172"/>
      <c r="T42" s="172"/>
      <c r="U42" s="172"/>
      <c r="V42" s="172"/>
      <c r="W42" s="172">
        <f>VLOOKUP(D42,[1]KEY!$D$35:$E$44,2,FALSE)</f>
        <v>18</v>
      </c>
      <c r="X42" s="173" t="str">
        <f t="shared" si="17"/>
        <v>N</v>
      </c>
      <c r="Y42" s="174">
        <f t="shared" si="18"/>
        <v>0</v>
      </c>
      <c r="Z42" s="116" t="s">
        <v>424</v>
      </c>
      <c r="AB42" s="119">
        <v>1300</v>
      </c>
      <c r="AC42" s="119">
        <v>3050</v>
      </c>
      <c r="AD42" s="119"/>
      <c r="AE42" s="119"/>
      <c r="AF42" s="119"/>
      <c r="AG42" s="119"/>
      <c r="AH42" s="119"/>
    </row>
    <row r="43" spans="1:34" ht="20.100000000000001" customHeight="1" x14ac:dyDescent="0.25">
      <c r="A43" s="110">
        <f t="shared" si="15"/>
        <v>38</v>
      </c>
      <c r="B43" s="120">
        <v>4.9305555555555554E-2</v>
      </c>
      <c r="C43" s="121" t="s">
        <v>308</v>
      </c>
      <c r="D43" s="5">
        <v>7</v>
      </c>
      <c r="E43" s="111">
        <v>2</v>
      </c>
      <c r="F43" s="112" t="s">
        <v>58</v>
      </c>
      <c r="G43" s="250">
        <f t="shared" si="5"/>
        <v>2.0499999999999998</v>
      </c>
      <c r="H43" s="250">
        <f t="shared" si="6"/>
        <v>4.2</v>
      </c>
      <c r="I43" s="250">
        <f t="shared" si="7"/>
        <v>0</v>
      </c>
      <c r="J43" s="250">
        <f t="shared" si="8"/>
        <v>0</v>
      </c>
      <c r="K43" s="250">
        <f t="shared" si="9"/>
        <v>0</v>
      </c>
      <c r="L43" s="250">
        <f t="shared" si="10"/>
        <v>0</v>
      </c>
      <c r="M43" s="250">
        <f t="shared" si="11"/>
        <v>0</v>
      </c>
      <c r="N43" s="171">
        <f t="shared" si="12"/>
        <v>6.25</v>
      </c>
      <c r="O43" s="171">
        <f t="shared" si="16"/>
        <v>0.30119958119124624</v>
      </c>
      <c r="P43" s="172"/>
      <c r="Q43" s="172"/>
      <c r="R43" s="172"/>
      <c r="S43" s="172"/>
      <c r="T43" s="172"/>
      <c r="U43" s="172"/>
      <c r="V43" s="172"/>
      <c r="W43" s="172">
        <f>VLOOKUP(D43,[1]KEY!$D$35:$E$44,2,FALSE)</f>
        <v>18</v>
      </c>
      <c r="X43" s="173" t="str">
        <f t="shared" si="17"/>
        <v>N</v>
      </c>
      <c r="Y43" s="174">
        <f t="shared" si="18"/>
        <v>0</v>
      </c>
      <c r="Z43" s="116" t="s">
        <v>428</v>
      </c>
      <c r="AB43" s="121">
        <v>2050</v>
      </c>
      <c r="AC43" s="121">
        <v>4200</v>
      </c>
      <c r="AD43" s="119"/>
      <c r="AE43" s="119"/>
      <c r="AF43" s="119"/>
      <c r="AG43" s="119"/>
      <c r="AH43" s="119"/>
    </row>
    <row r="44" spans="1:34" ht="20.100000000000001" customHeight="1" x14ac:dyDescent="0.25">
      <c r="A44" s="110">
        <f t="shared" si="15"/>
        <v>39</v>
      </c>
      <c r="B44" s="120">
        <v>0.2673611111111111</v>
      </c>
      <c r="C44" s="121" t="s">
        <v>210</v>
      </c>
      <c r="D44" s="5">
        <v>7</v>
      </c>
      <c r="E44" s="111">
        <v>2</v>
      </c>
      <c r="F44" s="112" t="s">
        <v>58</v>
      </c>
      <c r="G44" s="250">
        <f t="shared" si="5"/>
        <v>3.08</v>
      </c>
      <c r="H44" s="250">
        <f t="shared" si="6"/>
        <v>1.87</v>
      </c>
      <c r="I44" s="250">
        <f t="shared" si="7"/>
        <v>0</v>
      </c>
      <c r="J44" s="250">
        <f t="shared" si="8"/>
        <v>0</v>
      </c>
      <c r="K44" s="250">
        <f t="shared" si="9"/>
        <v>0</v>
      </c>
      <c r="L44" s="250">
        <f t="shared" si="10"/>
        <v>0</v>
      </c>
      <c r="M44" s="250">
        <f t="shared" si="11"/>
        <v>0</v>
      </c>
      <c r="N44" s="171">
        <f t="shared" si="12"/>
        <v>4.95</v>
      </c>
      <c r="O44" s="171">
        <f t="shared" si="16"/>
        <v>0.10546726424010656</v>
      </c>
      <c r="P44" s="172"/>
      <c r="Q44" s="172"/>
      <c r="R44" s="172"/>
      <c r="S44" s="172"/>
      <c r="T44" s="172"/>
      <c r="U44" s="172"/>
      <c r="V44" s="172"/>
      <c r="W44" s="172">
        <f>VLOOKUP(D44,[1]KEY!$D$35:$E$44,2,FALSE)</f>
        <v>18</v>
      </c>
      <c r="X44" s="173" t="str">
        <f t="shared" si="17"/>
        <v>N</v>
      </c>
      <c r="Y44" s="174">
        <f t="shared" si="18"/>
        <v>0</v>
      </c>
      <c r="Z44" s="116" t="s">
        <v>422</v>
      </c>
      <c r="AB44" s="121">
        <v>3080</v>
      </c>
      <c r="AC44" s="121">
        <v>1870</v>
      </c>
      <c r="AD44" s="119"/>
      <c r="AE44" s="119"/>
      <c r="AF44" s="119"/>
      <c r="AG44" s="119"/>
      <c r="AH44" s="119"/>
    </row>
    <row r="45" spans="1:34" ht="20.100000000000001" customHeight="1" x14ac:dyDescent="0.25">
      <c r="A45" s="110">
        <f t="shared" si="15"/>
        <v>40</v>
      </c>
      <c r="B45" s="120">
        <v>0.26944444444444443</v>
      </c>
      <c r="C45" s="121" t="s">
        <v>64</v>
      </c>
      <c r="D45" s="5">
        <v>7</v>
      </c>
      <c r="E45" s="111">
        <v>2</v>
      </c>
      <c r="F45" s="112" t="s">
        <v>58</v>
      </c>
      <c r="G45" s="250">
        <f t="shared" si="5"/>
        <v>2.5299999999999998</v>
      </c>
      <c r="H45" s="250">
        <f t="shared" si="6"/>
        <v>5.94</v>
      </c>
      <c r="I45" s="250">
        <f t="shared" si="7"/>
        <v>0</v>
      </c>
      <c r="J45" s="250">
        <f t="shared" si="8"/>
        <v>0</v>
      </c>
      <c r="K45" s="250">
        <f t="shared" si="9"/>
        <v>0</v>
      </c>
      <c r="L45" s="250">
        <f t="shared" si="10"/>
        <v>0</v>
      </c>
      <c r="M45" s="250">
        <f t="shared" si="11"/>
        <v>0</v>
      </c>
      <c r="N45" s="171">
        <f t="shared" si="12"/>
        <v>8.4700000000000006</v>
      </c>
      <c r="O45" s="171">
        <f t="shared" si="16"/>
        <v>1.1826864798303243</v>
      </c>
      <c r="P45" s="172"/>
      <c r="Q45" s="172"/>
      <c r="R45" s="172"/>
      <c r="S45" s="172"/>
      <c r="T45" s="172"/>
      <c r="U45" s="172"/>
      <c r="V45" s="172"/>
      <c r="W45" s="172">
        <f>VLOOKUP(D45,[1]KEY!$D$35:$E$44,2,FALSE)</f>
        <v>18</v>
      </c>
      <c r="X45" s="173" t="str">
        <f t="shared" si="17"/>
        <v>N</v>
      </c>
      <c r="Y45" s="174">
        <f t="shared" si="18"/>
        <v>0</v>
      </c>
      <c r="Z45" s="116" t="s">
        <v>426</v>
      </c>
      <c r="AB45" s="121">
        <v>2530</v>
      </c>
      <c r="AC45" s="121">
        <v>5940</v>
      </c>
      <c r="AD45" s="119"/>
      <c r="AE45" s="119"/>
      <c r="AF45" s="119"/>
      <c r="AG45" s="119"/>
      <c r="AH45" s="119"/>
    </row>
    <row r="46" spans="1:34" ht="20.100000000000001" customHeight="1" x14ac:dyDescent="0.25">
      <c r="A46" s="110">
        <f t="shared" si="15"/>
        <v>41</v>
      </c>
      <c r="B46" s="120">
        <v>0.27083333333333331</v>
      </c>
      <c r="C46" s="121" t="s">
        <v>322</v>
      </c>
      <c r="D46" s="5">
        <v>7</v>
      </c>
      <c r="E46" s="111">
        <v>2</v>
      </c>
      <c r="F46" s="112" t="s">
        <v>58</v>
      </c>
      <c r="G46" s="250">
        <f t="shared" si="5"/>
        <v>2.64</v>
      </c>
      <c r="H46" s="250">
        <f t="shared" si="6"/>
        <v>3.3</v>
      </c>
      <c r="I46" s="250">
        <f t="shared" si="7"/>
        <v>0</v>
      </c>
      <c r="J46" s="250">
        <f t="shared" si="8"/>
        <v>0</v>
      </c>
      <c r="K46" s="250">
        <f t="shared" si="9"/>
        <v>0</v>
      </c>
      <c r="L46" s="250">
        <f t="shared" si="10"/>
        <v>0</v>
      </c>
      <c r="M46" s="250">
        <f t="shared" si="11"/>
        <v>0</v>
      </c>
      <c r="N46" s="171">
        <f t="shared" si="12"/>
        <v>5.9399999999999995</v>
      </c>
      <c r="O46" s="171">
        <f t="shared" si="16"/>
        <v>0.23957047172688925</v>
      </c>
      <c r="P46" s="172"/>
      <c r="Q46" s="172"/>
      <c r="R46" s="172"/>
      <c r="S46" s="172"/>
      <c r="T46" s="172"/>
      <c r="U46" s="172"/>
      <c r="V46" s="172"/>
      <c r="W46" s="172">
        <f>VLOOKUP(D46,[1]KEY!$D$35:$E$44,2,FALSE)</f>
        <v>18</v>
      </c>
      <c r="X46" s="173" t="str">
        <f t="shared" si="17"/>
        <v>N</v>
      </c>
      <c r="Y46" s="174">
        <f t="shared" si="18"/>
        <v>0</v>
      </c>
      <c r="Z46" s="116" t="s">
        <v>426</v>
      </c>
      <c r="AB46" s="121">
        <v>2640</v>
      </c>
      <c r="AC46" s="121">
        <v>3300</v>
      </c>
      <c r="AD46" s="119"/>
      <c r="AE46" s="119"/>
      <c r="AF46" s="119"/>
      <c r="AG46" s="119"/>
      <c r="AH46" s="119"/>
    </row>
    <row r="47" spans="1:34" ht="20.100000000000001" customHeight="1" x14ac:dyDescent="0.25">
      <c r="A47" s="142">
        <v>1</v>
      </c>
      <c r="B47" s="201">
        <v>0.3</v>
      </c>
      <c r="C47" s="142" t="s">
        <v>82</v>
      </c>
      <c r="D47" s="5">
        <v>7</v>
      </c>
      <c r="E47" s="205">
        <v>2</v>
      </c>
      <c r="F47" s="76" t="s">
        <v>58</v>
      </c>
      <c r="G47" s="250">
        <f t="shared" si="5"/>
        <v>1.21</v>
      </c>
      <c r="H47" s="250">
        <f t="shared" si="6"/>
        <v>0.99</v>
      </c>
      <c r="I47" s="250">
        <f t="shared" si="7"/>
        <v>0</v>
      </c>
      <c r="J47" s="250">
        <f t="shared" si="8"/>
        <v>0</v>
      </c>
      <c r="K47" s="250">
        <f t="shared" si="9"/>
        <v>0</v>
      </c>
      <c r="L47" s="250">
        <f t="shared" si="10"/>
        <v>0</v>
      </c>
      <c r="M47" s="250">
        <f t="shared" si="11"/>
        <v>0</v>
      </c>
      <c r="N47" s="171">
        <f t="shared" si="12"/>
        <v>2.2000000000000002</v>
      </c>
      <c r="O47" s="171">
        <f t="shared" si="16"/>
        <v>2.7434455769412471E-3</v>
      </c>
      <c r="P47" s="172"/>
      <c r="Q47" s="172"/>
      <c r="R47" s="172"/>
      <c r="S47" s="172"/>
      <c r="T47" s="172"/>
      <c r="U47" s="172"/>
      <c r="V47" s="172"/>
      <c r="W47" s="172">
        <f>VLOOKUP(D47,[1]KEY!$D$35:$E$44,2,FALSE)</f>
        <v>18</v>
      </c>
      <c r="X47" s="173" t="str">
        <f t="shared" si="17"/>
        <v>N</v>
      </c>
      <c r="Y47" s="174">
        <f t="shared" si="18"/>
        <v>0</v>
      </c>
      <c r="Z47" s="209" t="s">
        <v>363</v>
      </c>
      <c r="AB47" s="79">
        <v>1210</v>
      </c>
      <c r="AC47" s="79">
        <v>990</v>
      </c>
      <c r="AD47" s="119"/>
      <c r="AE47" s="119"/>
      <c r="AF47" s="119"/>
      <c r="AG47" s="119"/>
      <c r="AH47" s="119"/>
    </row>
    <row r="48" spans="1:34" ht="20.100000000000001" customHeight="1" x14ac:dyDescent="0.25">
      <c r="A48" s="142">
        <f>A47+1</f>
        <v>2</v>
      </c>
      <c r="B48" s="157">
        <v>0.32013888888888892</v>
      </c>
      <c r="C48" s="5" t="s">
        <v>85</v>
      </c>
      <c r="D48" s="5">
        <v>7</v>
      </c>
      <c r="E48" s="43">
        <v>2</v>
      </c>
      <c r="F48" s="76" t="s">
        <v>58</v>
      </c>
      <c r="G48" s="250">
        <f t="shared" si="5"/>
        <v>2.5299999999999998</v>
      </c>
      <c r="H48" s="250">
        <f t="shared" si="6"/>
        <v>5.61</v>
      </c>
      <c r="I48" s="250">
        <f t="shared" si="7"/>
        <v>0</v>
      </c>
      <c r="J48" s="250">
        <f t="shared" si="8"/>
        <v>0</v>
      </c>
      <c r="K48" s="250">
        <f t="shared" si="9"/>
        <v>0</v>
      </c>
      <c r="L48" s="250">
        <f t="shared" si="10"/>
        <v>0</v>
      </c>
      <c r="M48" s="250">
        <f t="shared" si="11"/>
        <v>0</v>
      </c>
      <c r="N48" s="171">
        <f t="shared" si="12"/>
        <v>8.14</v>
      </c>
      <c r="O48" s="171">
        <f t="shared" si="16"/>
        <v>0.98901779922518473</v>
      </c>
      <c r="P48" s="172"/>
      <c r="Q48" s="172"/>
      <c r="R48" s="172"/>
      <c r="S48" s="172"/>
      <c r="T48" s="172"/>
      <c r="U48" s="172"/>
      <c r="V48" s="172"/>
      <c r="W48" s="172">
        <f>VLOOKUP(D48,[1]KEY!$D$35:$E$44,2,FALSE)</f>
        <v>18</v>
      </c>
      <c r="X48" s="173" t="str">
        <f t="shared" si="17"/>
        <v>N</v>
      </c>
      <c r="Y48" s="174">
        <f t="shared" si="18"/>
        <v>0</v>
      </c>
      <c r="Z48" s="9" t="s">
        <v>422</v>
      </c>
      <c r="AB48" s="62">
        <v>2530</v>
      </c>
      <c r="AC48" s="62">
        <v>5610</v>
      </c>
      <c r="AD48" s="119"/>
      <c r="AE48" s="119"/>
      <c r="AF48" s="119"/>
      <c r="AG48" s="119"/>
      <c r="AH48" s="119"/>
    </row>
    <row r="49" spans="1:34" ht="20.100000000000001" customHeight="1" x14ac:dyDescent="0.25">
      <c r="A49" s="142">
        <f>A48+1</f>
        <v>3</v>
      </c>
      <c r="B49" s="157">
        <v>0.4375</v>
      </c>
      <c r="C49" s="5" t="s">
        <v>96</v>
      </c>
      <c r="D49" s="5">
        <v>7</v>
      </c>
      <c r="E49" s="43">
        <v>2</v>
      </c>
      <c r="F49" s="76" t="s">
        <v>58</v>
      </c>
      <c r="G49" s="250">
        <f t="shared" si="5"/>
        <v>3.3</v>
      </c>
      <c r="H49" s="250">
        <f t="shared" si="6"/>
        <v>5.28</v>
      </c>
      <c r="I49" s="250">
        <f t="shared" si="7"/>
        <v>0</v>
      </c>
      <c r="J49" s="250">
        <f t="shared" si="8"/>
        <v>0</v>
      </c>
      <c r="K49" s="250">
        <f t="shared" si="9"/>
        <v>0</v>
      </c>
      <c r="L49" s="250">
        <f t="shared" si="10"/>
        <v>0</v>
      </c>
      <c r="M49" s="250">
        <f t="shared" si="11"/>
        <v>0</v>
      </c>
      <c r="N49" s="171">
        <f t="shared" si="12"/>
        <v>8.58</v>
      </c>
      <c r="O49" s="171">
        <f t="shared" si="16"/>
        <v>1.2533924690300295</v>
      </c>
      <c r="P49" s="172"/>
      <c r="Q49" s="172"/>
      <c r="R49" s="172"/>
      <c r="S49" s="172"/>
      <c r="T49" s="172"/>
      <c r="U49" s="172"/>
      <c r="V49" s="172"/>
      <c r="W49" s="172">
        <f>VLOOKUP(D49,[1]KEY!$D$35:$E$44,2,FALSE)</f>
        <v>18</v>
      </c>
      <c r="X49" s="173" t="str">
        <f t="shared" si="17"/>
        <v>N</v>
      </c>
      <c r="Y49" s="174">
        <f t="shared" si="18"/>
        <v>0</v>
      </c>
      <c r="Z49" s="9" t="s">
        <v>426</v>
      </c>
      <c r="AB49" s="62">
        <v>3300</v>
      </c>
      <c r="AC49" s="62">
        <v>5280</v>
      </c>
      <c r="AD49" s="119"/>
      <c r="AE49" s="119"/>
      <c r="AF49" s="119"/>
      <c r="AG49" s="119"/>
      <c r="AH49" s="119"/>
    </row>
    <row r="50" spans="1:34" ht="20.100000000000001" customHeight="1" x14ac:dyDescent="0.25">
      <c r="A50" s="142">
        <f>A49+1</f>
        <v>4</v>
      </c>
      <c r="B50" s="157">
        <v>0.50694444444444442</v>
      </c>
      <c r="C50" s="5" t="s">
        <v>100</v>
      </c>
      <c r="D50" s="5">
        <v>7</v>
      </c>
      <c r="E50" s="43">
        <v>2</v>
      </c>
      <c r="F50" s="76" t="s">
        <v>58</v>
      </c>
      <c r="G50" s="250">
        <f t="shared" si="5"/>
        <v>1.87</v>
      </c>
      <c r="H50" s="250">
        <f t="shared" si="6"/>
        <v>5.0599999999999996</v>
      </c>
      <c r="I50" s="250">
        <f t="shared" si="7"/>
        <v>0</v>
      </c>
      <c r="J50" s="250">
        <f t="shared" si="8"/>
        <v>0</v>
      </c>
      <c r="K50" s="250">
        <f t="shared" si="9"/>
        <v>0</v>
      </c>
      <c r="L50" s="250">
        <f t="shared" si="10"/>
        <v>0</v>
      </c>
      <c r="M50" s="250">
        <f t="shared" si="11"/>
        <v>0</v>
      </c>
      <c r="N50" s="171">
        <f t="shared" si="12"/>
        <v>6.93</v>
      </c>
      <c r="O50" s="171">
        <f t="shared" si="16"/>
        <v>0.47939537668770416</v>
      </c>
      <c r="P50" s="172"/>
      <c r="Q50" s="172"/>
      <c r="R50" s="172"/>
      <c r="S50" s="172"/>
      <c r="T50" s="172"/>
      <c r="U50" s="172"/>
      <c r="V50" s="172"/>
      <c r="W50" s="172">
        <f>VLOOKUP(D50,[1]KEY!$D$35:$E$44,2,FALSE)</f>
        <v>18</v>
      </c>
      <c r="X50" s="173" t="str">
        <f t="shared" si="17"/>
        <v>N</v>
      </c>
      <c r="Y50" s="174">
        <f t="shared" si="18"/>
        <v>0</v>
      </c>
      <c r="Z50" s="9" t="s">
        <v>426</v>
      </c>
      <c r="AB50" s="62">
        <v>1870</v>
      </c>
      <c r="AC50" s="62">
        <v>5060</v>
      </c>
      <c r="AD50" s="119"/>
      <c r="AE50" s="119"/>
      <c r="AF50" s="119"/>
      <c r="AG50" s="119"/>
      <c r="AH50" s="119"/>
    </row>
    <row r="51" spans="1:34" ht="20.100000000000001" customHeight="1" x14ac:dyDescent="0.25">
      <c r="A51" s="142">
        <f>A50+1</f>
        <v>5</v>
      </c>
      <c r="B51" s="157">
        <v>0.52083333333333337</v>
      </c>
      <c r="C51" s="5" t="s">
        <v>101</v>
      </c>
      <c r="D51" s="5">
        <v>7</v>
      </c>
      <c r="E51" s="43">
        <v>2</v>
      </c>
      <c r="F51" s="76" t="s">
        <v>58</v>
      </c>
      <c r="G51" s="250">
        <f t="shared" si="5"/>
        <v>2.97</v>
      </c>
      <c r="H51" s="250">
        <f t="shared" si="6"/>
        <v>6.38</v>
      </c>
      <c r="I51" s="250">
        <f t="shared" si="7"/>
        <v>0</v>
      </c>
      <c r="J51" s="250">
        <f t="shared" si="8"/>
        <v>0</v>
      </c>
      <c r="K51" s="250">
        <f t="shared" si="9"/>
        <v>0</v>
      </c>
      <c r="L51" s="250">
        <f t="shared" si="10"/>
        <v>0</v>
      </c>
      <c r="M51" s="250">
        <f t="shared" si="11"/>
        <v>0</v>
      </c>
      <c r="N51" s="171">
        <f t="shared" si="12"/>
        <v>9.35</v>
      </c>
      <c r="O51" s="171">
        <f t="shared" si="16"/>
        <v>1.8452131226645192</v>
      </c>
      <c r="P51" s="172"/>
      <c r="Q51" s="172"/>
      <c r="R51" s="172"/>
      <c r="S51" s="172"/>
      <c r="T51" s="172"/>
      <c r="U51" s="172"/>
      <c r="V51" s="172"/>
      <c r="W51" s="172">
        <f>VLOOKUP(D51,[1]KEY!$D$35:$E$44,2,FALSE)</f>
        <v>18</v>
      </c>
      <c r="X51" s="173" t="str">
        <f t="shared" si="17"/>
        <v>N</v>
      </c>
      <c r="Y51" s="174">
        <f t="shared" si="18"/>
        <v>0</v>
      </c>
      <c r="Z51" s="9" t="s">
        <v>436</v>
      </c>
      <c r="AB51" s="62">
        <v>2970</v>
      </c>
      <c r="AC51" s="62">
        <v>6380</v>
      </c>
      <c r="AD51" s="119"/>
      <c r="AE51" s="119"/>
      <c r="AF51" s="119"/>
      <c r="AG51" s="119"/>
      <c r="AH51" s="119"/>
    </row>
    <row r="52" spans="1:34" ht="20.100000000000001" customHeight="1" x14ac:dyDescent="0.25">
      <c r="A52" s="142">
        <f>A51+1</f>
        <v>6</v>
      </c>
      <c r="B52" s="157">
        <v>0.52777777777777779</v>
      </c>
      <c r="C52" s="5" t="s">
        <v>102</v>
      </c>
      <c r="D52" s="5">
        <v>7</v>
      </c>
      <c r="E52" s="43">
        <v>2</v>
      </c>
      <c r="F52" s="76" t="s">
        <v>58</v>
      </c>
      <c r="G52" s="250">
        <f t="shared" si="5"/>
        <v>2.86</v>
      </c>
      <c r="H52" s="250">
        <f t="shared" si="6"/>
        <v>6.05</v>
      </c>
      <c r="I52" s="250">
        <f t="shared" si="7"/>
        <v>0</v>
      </c>
      <c r="J52" s="250">
        <f t="shared" si="8"/>
        <v>0</v>
      </c>
      <c r="K52" s="250">
        <f t="shared" si="9"/>
        <v>0</v>
      </c>
      <c r="L52" s="250">
        <f t="shared" si="10"/>
        <v>0</v>
      </c>
      <c r="M52" s="250">
        <f t="shared" si="11"/>
        <v>0</v>
      </c>
      <c r="N52" s="171">
        <f t="shared" si="12"/>
        <v>8.91</v>
      </c>
      <c r="O52" s="171">
        <f t="shared" si="16"/>
        <v>1.4854018270833793</v>
      </c>
      <c r="P52" s="172"/>
      <c r="Q52" s="172"/>
      <c r="R52" s="172"/>
      <c r="S52" s="172"/>
      <c r="T52" s="172"/>
      <c r="U52" s="172"/>
      <c r="V52" s="172"/>
      <c r="W52" s="172">
        <f>VLOOKUP(D52,[1]KEY!$D$35:$E$44,2,FALSE)</f>
        <v>18</v>
      </c>
      <c r="X52" s="173" t="str">
        <f t="shared" si="17"/>
        <v>N</v>
      </c>
      <c r="Y52" s="174">
        <f t="shared" si="18"/>
        <v>0</v>
      </c>
      <c r="Z52" s="9" t="s">
        <v>436</v>
      </c>
      <c r="AB52" s="62">
        <v>2860</v>
      </c>
      <c r="AC52" s="62">
        <v>6050</v>
      </c>
      <c r="AD52" s="119"/>
      <c r="AE52" s="119"/>
      <c r="AF52" s="119"/>
      <c r="AG52" s="119"/>
      <c r="AH52" s="119"/>
    </row>
    <row r="53" spans="1:34" ht="20.100000000000001" customHeight="1" x14ac:dyDescent="0.25">
      <c r="A53" s="142">
        <v>34</v>
      </c>
      <c r="B53" s="157">
        <v>0.68055555555555547</v>
      </c>
      <c r="C53" s="5" t="s">
        <v>30</v>
      </c>
      <c r="D53" s="5">
        <v>7</v>
      </c>
      <c r="E53" s="43">
        <v>2</v>
      </c>
      <c r="F53" s="76" t="s">
        <v>58</v>
      </c>
      <c r="G53" s="250">
        <f t="shared" si="5"/>
        <v>1.98</v>
      </c>
      <c r="H53" s="250">
        <f t="shared" si="6"/>
        <v>6.6</v>
      </c>
      <c r="I53" s="250">
        <f t="shared" si="7"/>
        <v>0</v>
      </c>
      <c r="J53" s="250">
        <f t="shared" si="8"/>
        <v>0</v>
      </c>
      <c r="K53" s="250">
        <f t="shared" si="9"/>
        <v>0</v>
      </c>
      <c r="L53" s="250">
        <f t="shared" si="10"/>
        <v>0</v>
      </c>
      <c r="M53" s="250">
        <f t="shared" si="11"/>
        <v>0</v>
      </c>
      <c r="N53" s="171">
        <f t="shared" si="12"/>
        <v>8.58</v>
      </c>
      <c r="O53" s="171">
        <f t="shared" si="16"/>
        <v>1.2533924690300295</v>
      </c>
      <c r="P53" s="172"/>
      <c r="Q53" s="172"/>
      <c r="R53" s="172"/>
      <c r="S53" s="172"/>
      <c r="T53" s="172"/>
      <c r="U53" s="172"/>
      <c r="V53" s="172"/>
      <c r="W53" s="172">
        <f>VLOOKUP(D53,[1]KEY!$D$35:$E$44,2,FALSE)</f>
        <v>18</v>
      </c>
      <c r="X53" s="173" t="str">
        <f t="shared" si="17"/>
        <v>N</v>
      </c>
      <c r="Y53" s="174">
        <f t="shared" si="18"/>
        <v>0</v>
      </c>
      <c r="Z53" s="9" t="s">
        <v>422</v>
      </c>
      <c r="AB53" s="62">
        <v>1980</v>
      </c>
      <c r="AC53" s="62">
        <v>6600</v>
      </c>
      <c r="AD53" s="119"/>
      <c r="AE53" s="119"/>
      <c r="AF53" s="119"/>
      <c r="AG53" s="119"/>
      <c r="AH53" s="119"/>
    </row>
    <row r="54" spans="1:34" ht="20.100000000000001" customHeight="1" x14ac:dyDescent="0.25">
      <c r="A54" s="142">
        <f>A53+1</f>
        <v>35</v>
      </c>
      <c r="B54" s="157">
        <v>0.28819444444444448</v>
      </c>
      <c r="C54" s="31" t="s">
        <v>30</v>
      </c>
      <c r="D54" s="5">
        <v>7</v>
      </c>
      <c r="E54" s="43">
        <v>2</v>
      </c>
      <c r="F54" s="39" t="s">
        <v>58</v>
      </c>
      <c r="G54" s="250">
        <f t="shared" si="5"/>
        <v>2.09</v>
      </c>
      <c r="H54" s="250">
        <f t="shared" si="6"/>
        <v>5.83</v>
      </c>
      <c r="I54" s="250">
        <f t="shared" si="7"/>
        <v>0</v>
      </c>
      <c r="J54" s="250">
        <f t="shared" si="8"/>
        <v>0</v>
      </c>
      <c r="K54" s="250">
        <f t="shared" si="9"/>
        <v>0</v>
      </c>
      <c r="L54" s="250">
        <f t="shared" si="10"/>
        <v>0</v>
      </c>
      <c r="M54" s="250">
        <f t="shared" si="11"/>
        <v>0</v>
      </c>
      <c r="N54" s="171">
        <f t="shared" si="12"/>
        <v>7.92</v>
      </c>
      <c r="O54" s="171">
        <f t="shared" si="16"/>
        <v>0.8742942109481413</v>
      </c>
      <c r="P54" s="172"/>
      <c r="Q54" s="172"/>
      <c r="R54" s="172"/>
      <c r="S54" s="172"/>
      <c r="T54" s="172"/>
      <c r="U54" s="172"/>
      <c r="V54" s="172"/>
      <c r="W54" s="172">
        <f>VLOOKUP(D54,[1]KEY!$D$35:$E$44,2,FALSE)</f>
        <v>18</v>
      </c>
      <c r="X54" s="173" t="str">
        <f t="shared" si="17"/>
        <v>N</v>
      </c>
      <c r="Y54" s="174">
        <f t="shared" si="18"/>
        <v>0</v>
      </c>
      <c r="Z54" s="9" t="s">
        <v>422</v>
      </c>
      <c r="AB54" s="62">
        <v>2090</v>
      </c>
      <c r="AC54" s="62">
        <v>5830</v>
      </c>
      <c r="AD54" s="119"/>
      <c r="AE54" s="119"/>
      <c r="AF54" s="119"/>
      <c r="AG54" s="119"/>
      <c r="AH54" s="119"/>
    </row>
    <row r="55" spans="1:34" ht="20.100000000000001" customHeight="1" x14ac:dyDescent="0.25">
      <c r="A55" s="142">
        <f>A54+1</f>
        <v>36</v>
      </c>
      <c r="B55" s="157">
        <v>0.29236111111111113</v>
      </c>
      <c r="C55" s="5" t="s">
        <v>33</v>
      </c>
      <c r="D55" s="5">
        <v>7</v>
      </c>
      <c r="E55" s="43">
        <v>2</v>
      </c>
      <c r="F55" s="39" t="s">
        <v>58</v>
      </c>
      <c r="G55" s="250">
        <f t="shared" si="5"/>
        <v>2.64</v>
      </c>
      <c r="H55" s="250">
        <f t="shared" si="6"/>
        <v>5.28</v>
      </c>
      <c r="I55" s="250">
        <f t="shared" si="7"/>
        <v>0</v>
      </c>
      <c r="J55" s="250">
        <f t="shared" si="8"/>
        <v>0</v>
      </c>
      <c r="K55" s="250">
        <f t="shared" si="9"/>
        <v>0</v>
      </c>
      <c r="L55" s="250">
        <f t="shared" si="10"/>
        <v>0</v>
      </c>
      <c r="M55" s="250">
        <f t="shared" si="11"/>
        <v>0</v>
      </c>
      <c r="N55" s="171">
        <f t="shared" si="12"/>
        <v>7.92</v>
      </c>
      <c r="O55" s="171">
        <f t="shared" si="16"/>
        <v>0.8742942109481413</v>
      </c>
      <c r="P55" s="172"/>
      <c r="Q55" s="172"/>
      <c r="R55" s="172"/>
      <c r="S55" s="172"/>
      <c r="T55" s="172"/>
      <c r="U55" s="172"/>
      <c r="V55" s="172"/>
      <c r="W55" s="172">
        <f>VLOOKUP(D55,KEY!$D$35:$E$44,2,FALSE)</f>
        <v>18</v>
      </c>
      <c r="X55" s="173" t="str">
        <f t="shared" si="17"/>
        <v>N</v>
      </c>
      <c r="Y55" s="174">
        <f t="shared" si="18"/>
        <v>0</v>
      </c>
      <c r="Z55" s="9" t="s">
        <v>422</v>
      </c>
      <c r="AB55" s="62">
        <v>2640</v>
      </c>
      <c r="AC55" s="62">
        <v>5280</v>
      </c>
      <c r="AD55" s="119"/>
      <c r="AE55" s="119"/>
      <c r="AF55" s="119"/>
      <c r="AG55" s="119"/>
      <c r="AH55" s="119"/>
    </row>
    <row r="56" spans="1:34" ht="20.100000000000001" customHeight="1" x14ac:dyDescent="0.25">
      <c r="A56" s="142">
        <f>A55+1</f>
        <v>37</v>
      </c>
      <c r="B56" s="157">
        <v>0.40347222222222223</v>
      </c>
      <c r="C56" s="5" t="s">
        <v>41</v>
      </c>
      <c r="D56" s="5">
        <v>7</v>
      </c>
      <c r="E56" s="43">
        <v>2</v>
      </c>
      <c r="F56" s="39" t="s">
        <v>58</v>
      </c>
      <c r="G56" s="250">
        <f t="shared" si="5"/>
        <v>1.1000000000000001</v>
      </c>
      <c r="H56" s="250">
        <f t="shared" si="6"/>
        <v>1.32</v>
      </c>
      <c r="I56" s="250">
        <f t="shared" si="7"/>
        <v>0</v>
      </c>
      <c r="J56" s="250">
        <f t="shared" si="8"/>
        <v>0</v>
      </c>
      <c r="K56" s="250">
        <f t="shared" si="9"/>
        <v>0</v>
      </c>
      <c r="L56" s="250">
        <f t="shared" si="10"/>
        <v>0</v>
      </c>
      <c r="M56" s="250">
        <f t="shared" si="11"/>
        <v>0</v>
      </c>
      <c r="N56" s="171">
        <f t="shared" si="12"/>
        <v>2.42</v>
      </c>
      <c r="O56" s="171">
        <f t="shared" si="16"/>
        <v>4.2127281285129301E-3</v>
      </c>
      <c r="P56" s="172"/>
      <c r="Q56" s="172"/>
      <c r="R56" s="172"/>
      <c r="S56" s="172"/>
      <c r="T56" s="172"/>
      <c r="U56" s="172"/>
      <c r="V56" s="172"/>
      <c r="W56" s="172">
        <f>VLOOKUP(D56,KEY!$D$35:$E$44,2,FALSE)</f>
        <v>18</v>
      </c>
      <c r="X56" s="173" t="str">
        <f t="shared" si="17"/>
        <v>N</v>
      </c>
      <c r="Y56" s="174">
        <f t="shared" si="18"/>
        <v>0</v>
      </c>
      <c r="Z56" s="9" t="s">
        <v>369</v>
      </c>
      <c r="AB56" s="62">
        <v>1100</v>
      </c>
      <c r="AC56" s="62">
        <v>1320</v>
      </c>
      <c r="AD56" s="119"/>
      <c r="AE56" s="119"/>
      <c r="AF56" s="119"/>
      <c r="AG56" s="119"/>
      <c r="AH56" s="119"/>
    </row>
    <row r="57" spans="1:34" ht="20.100000000000001" customHeight="1" x14ac:dyDescent="0.25">
      <c r="A57" s="142">
        <f>A56+1</f>
        <v>38</v>
      </c>
      <c r="B57" s="157">
        <v>0.47013888888888888</v>
      </c>
      <c r="C57" s="5" t="s">
        <v>45</v>
      </c>
      <c r="D57" s="5">
        <v>7</v>
      </c>
      <c r="E57" s="43">
        <v>2</v>
      </c>
      <c r="F57" s="39" t="s">
        <v>58</v>
      </c>
      <c r="G57" s="250">
        <f t="shared" si="5"/>
        <v>2.31</v>
      </c>
      <c r="H57" s="250">
        <f t="shared" si="6"/>
        <v>6.05</v>
      </c>
      <c r="I57" s="250">
        <f t="shared" si="7"/>
        <v>0</v>
      </c>
      <c r="J57" s="250">
        <f t="shared" si="8"/>
        <v>0</v>
      </c>
      <c r="K57" s="250">
        <f t="shared" si="9"/>
        <v>0</v>
      </c>
      <c r="L57" s="250">
        <f t="shared" si="10"/>
        <v>0</v>
      </c>
      <c r="M57" s="250">
        <f t="shared" si="11"/>
        <v>0</v>
      </c>
      <c r="N57" s="171">
        <f t="shared" si="12"/>
        <v>8.36</v>
      </c>
      <c r="O57" s="171">
        <f t="shared" si="16"/>
        <v>1.1151223853592911</v>
      </c>
      <c r="P57" s="172"/>
      <c r="Q57" s="172"/>
      <c r="R57" s="172"/>
      <c r="S57" s="172"/>
      <c r="T57" s="172"/>
      <c r="U57" s="172"/>
      <c r="V57" s="172"/>
      <c r="W57" s="172">
        <f>VLOOKUP(D57,KEY!$D$35:$E$44,2,FALSE)</f>
        <v>18</v>
      </c>
      <c r="X57" s="173" t="str">
        <f t="shared" si="17"/>
        <v>N</v>
      </c>
      <c r="Y57" s="174">
        <f t="shared" si="18"/>
        <v>0</v>
      </c>
      <c r="Z57" s="9" t="s">
        <v>422</v>
      </c>
      <c r="AB57" s="62">
        <v>2310</v>
      </c>
      <c r="AC57" s="62">
        <v>6050</v>
      </c>
      <c r="AD57" s="119"/>
      <c r="AE57" s="119"/>
      <c r="AF57" s="119"/>
      <c r="AG57" s="119"/>
      <c r="AH57" s="119"/>
    </row>
    <row r="58" spans="1:34" ht="20.100000000000001" customHeight="1" x14ac:dyDescent="0.25">
      <c r="A58" s="142">
        <v>20</v>
      </c>
      <c r="B58" s="157">
        <v>0.5444444444444444</v>
      </c>
      <c r="C58" s="5" t="s">
        <v>48</v>
      </c>
      <c r="D58" s="5">
        <v>7</v>
      </c>
      <c r="E58" s="43">
        <v>2</v>
      </c>
      <c r="F58" s="39" t="s">
        <v>58</v>
      </c>
      <c r="G58" s="250">
        <f t="shared" si="5"/>
        <v>2.97</v>
      </c>
      <c r="H58" s="250">
        <f t="shared" si="6"/>
        <v>5.5</v>
      </c>
      <c r="I58" s="250">
        <v>0</v>
      </c>
      <c r="J58" s="250">
        <f t="shared" si="8"/>
        <v>0</v>
      </c>
      <c r="K58" s="250">
        <f t="shared" si="9"/>
        <v>0</v>
      </c>
      <c r="L58" s="250">
        <f t="shared" si="10"/>
        <v>0</v>
      </c>
      <c r="M58" s="250">
        <f t="shared" si="11"/>
        <v>0</v>
      </c>
      <c r="N58" s="171">
        <f t="shared" si="12"/>
        <v>8.4700000000000006</v>
      </c>
      <c r="O58" s="171">
        <f t="shared" si="16"/>
        <v>1.1826864798303243</v>
      </c>
      <c r="P58" s="172"/>
      <c r="Q58" s="172"/>
      <c r="R58" s="172"/>
      <c r="S58" s="172"/>
      <c r="T58" s="172"/>
      <c r="U58" s="172"/>
      <c r="V58" s="172"/>
      <c r="W58" s="172">
        <f>VLOOKUP(D58,KEY!$D$35:$E$44,2,FALSE)</f>
        <v>18</v>
      </c>
      <c r="X58" s="173" t="str">
        <f t="shared" si="17"/>
        <v>N</v>
      </c>
      <c r="Y58" s="174">
        <f t="shared" si="18"/>
        <v>0</v>
      </c>
      <c r="Z58" s="9" t="s">
        <v>430</v>
      </c>
      <c r="AB58" s="62">
        <v>2970</v>
      </c>
      <c r="AC58" s="62">
        <v>5500</v>
      </c>
      <c r="AD58" s="119" t="s">
        <v>413</v>
      </c>
      <c r="AE58" s="119"/>
      <c r="AF58" s="119"/>
      <c r="AG58" s="119"/>
      <c r="AH58" s="119"/>
    </row>
    <row r="59" spans="1:34" ht="20.100000000000001" customHeight="1" x14ac:dyDescent="0.25">
      <c r="A59" s="142">
        <f>A58+1</f>
        <v>21</v>
      </c>
      <c r="B59" s="157">
        <v>0.56736111111111109</v>
      </c>
      <c r="C59" s="5" t="s">
        <v>49</v>
      </c>
      <c r="D59" s="5">
        <v>7</v>
      </c>
      <c r="E59" s="43">
        <v>2</v>
      </c>
      <c r="F59" s="39" t="s">
        <v>58</v>
      </c>
      <c r="G59" s="250">
        <f t="shared" si="5"/>
        <v>2.86</v>
      </c>
      <c r="H59" s="250">
        <f t="shared" si="6"/>
        <v>5.5</v>
      </c>
      <c r="I59" s="250">
        <f t="shared" si="7"/>
        <v>0</v>
      </c>
      <c r="J59" s="250">
        <f t="shared" si="8"/>
        <v>0</v>
      </c>
      <c r="K59" s="250">
        <f t="shared" si="9"/>
        <v>0</v>
      </c>
      <c r="L59" s="250">
        <f t="shared" si="10"/>
        <v>0</v>
      </c>
      <c r="M59" s="250">
        <f t="shared" si="11"/>
        <v>0</v>
      </c>
      <c r="N59" s="171">
        <f t="shared" si="12"/>
        <v>8.36</v>
      </c>
      <c r="O59" s="171">
        <f t="shared" si="16"/>
        <v>1.1151223853592911</v>
      </c>
      <c r="P59" s="172"/>
      <c r="Q59" s="172"/>
      <c r="R59" s="172"/>
      <c r="S59" s="172"/>
      <c r="T59" s="172"/>
      <c r="U59" s="172"/>
      <c r="V59" s="172"/>
      <c r="W59" s="172">
        <f>VLOOKUP(D59,KEY!$D$35:$E$44,2,FALSE)</f>
        <v>18</v>
      </c>
      <c r="X59" s="173" t="str">
        <f t="shared" si="17"/>
        <v>N</v>
      </c>
      <c r="Y59" s="174">
        <f t="shared" si="18"/>
        <v>0</v>
      </c>
      <c r="Z59" s="9" t="s">
        <v>430</v>
      </c>
      <c r="AB59" s="62">
        <v>2860</v>
      </c>
      <c r="AC59" s="62">
        <v>5500</v>
      </c>
      <c r="AD59" s="119"/>
      <c r="AE59" s="119"/>
      <c r="AF59" s="119"/>
      <c r="AG59" s="119"/>
      <c r="AH59" s="119"/>
    </row>
    <row r="60" spans="1:34" ht="20.100000000000001" customHeight="1" x14ac:dyDescent="0.25">
      <c r="A60" s="142">
        <f>A59+1</f>
        <v>22</v>
      </c>
      <c r="B60" s="157">
        <v>0.56874999999999998</v>
      </c>
      <c r="C60" s="5" t="s">
        <v>50</v>
      </c>
      <c r="D60" s="5">
        <v>7</v>
      </c>
      <c r="E60" s="43">
        <v>2</v>
      </c>
      <c r="F60" s="39" t="s">
        <v>58</v>
      </c>
      <c r="G60" s="250">
        <f t="shared" si="5"/>
        <v>1.54</v>
      </c>
      <c r="H60" s="250">
        <f t="shared" si="6"/>
        <v>3.19</v>
      </c>
      <c r="I60" s="250">
        <f t="shared" si="7"/>
        <v>0</v>
      </c>
      <c r="J60" s="250">
        <f t="shared" si="8"/>
        <v>0</v>
      </c>
      <c r="K60" s="250">
        <f t="shared" si="9"/>
        <v>0</v>
      </c>
      <c r="L60" s="250">
        <f t="shared" si="10"/>
        <v>0</v>
      </c>
      <c r="M60" s="250">
        <f t="shared" si="11"/>
        <v>0</v>
      </c>
      <c r="N60" s="171">
        <f t="shared" si="12"/>
        <v>4.7300000000000004</v>
      </c>
      <c r="O60" s="171">
        <f t="shared" si="16"/>
        <v>8.5954658446787402E-2</v>
      </c>
      <c r="P60" s="172"/>
      <c r="Q60" s="172"/>
      <c r="R60" s="172"/>
      <c r="S60" s="172"/>
      <c r="T60" s="172"/>
      <c r="U60" s="172"/>
      <c r="V60" s="172"/>
      <c r="W60" s="172">
        <f>VLOOKUP(D60,KEY!$D$35:$E$44,2,FALSE)</f>
        <v>18</v>
      </c>
      <c r="X60" s="173" t="str">
        <f t="shared" si="17"/>
        <v>N</v>
      </c>
      <c r="Y60" s="174">
        <f t="shared" si="18"/>
        <v>0</v>
      </c>
      <c r="Z60" s="9" t="s">
        <v>426</v>
      </c>
      <c r="AB60" s="62">
        <v>1540</v>
      </c>
      <c r="AC60" s="62">
        <v>3190</v>
      </c>
      <c r="AD60" s="119"/>
      <c r="AE60" s="119"/>
      <c r="AF60" s="119"/>
      <c r="AG60" s="119"/>
      <c r="AH60" s="119"/>
    </row>
    <row r="61" spans="1:34" ht="20.100000000000001" customHeight="1" x14ac:dyDescent="0.25">
      <c r="A61" s="142">
        <f>A60+1</f>
        <v>23</v>
      </c>
      <c r="B61" s="157">
        <v>0.62430555555555556</v>
      </c>
      <c r="C61" s="5" t="s">
        <v>51</v>
      </c>
      <c r="D61" s="5">
        <v>7</v>
      </c>
      <c r="E61" s="43">
        <v>2</v>
      </c>
      <c r="F61" s="39" t="s">
        <v>58</v>
      </c>
      <c r="G61" s="250">
        <f t="shared" si="5"/>
        <v>1.98</v>
      </c>
      <c r="H61" s="250">
        <f t="shared" si="6"/>
        <v>4.62</v>
      </c>
      <c r="I61" s="250">
        <f t="shared" si="7"/>
        <v>0</v>
      </c>
      <c r="J61" s="250">
        <f t="shared" si="8"/>
        <v>0</v>
      </c>
      <c r="K61" s="250">
        <f t="shared" si="9"/>
        <v>0</v>
      </c>
      <c r="L61" s="250">
        <f t="shared" si="10"/>
        <v>0</v>
      </c>
      <c r="M61" s="250">
        <f t="shared" si="11"/>
        <v>0</v>
      </c>
      <c r="N61" s="171">
        <f t="shared" si="12"/>
        <v>6.6</v>
      </c>
      <c r="O61" s="171">
        <f t="shared" si="16"/>
        <v>0.38489475729205003</v>
      </c>
      <c r="P61" s="172"/>
      <c r="Q61" s="172"/>
      <c r="R61" s="172"/>
      <c r="S61" s="172"/>
      <c r="T61" s="172"/>
      <c r="U61" s="172"/>
      <c r="V61" s="172"/>
      <c r="W61" s="172">
        <f>VLOOKUP(D61,KEY!$D$35:$E$44,2,FALSE)</f>
        <v>18</v>
      </c>
      <c r="X61" s="173" t="str">
        <f t="shared" si="17"/>
        <v>N</v>
      </c>
      <c r="Y61" s="174">
        <f t="shared" si="18"/>
        <v>0</v>
      </c>
      <c r="Z61" s="9" t="s">
        <v>422</v>
      </c>
      <c r="AB61" s="62">
        <v>1980</v>
      </c>
      <c r="AC61" s="62">
        <v>4620</v>
      </c>
      <c r="AD61" s="119"/>
      <c r="AE61" s="119"/>
      <c r="AF61" s="119"/>
      <c r="AG61" s="119"/>
      <c r="AH61" s="119"/>
    </row>
    <row r="62" spans="1:34" ht="20.100000000000001" customHeight="1" x14ac:dyDescent="0.25">
      <c r="A62" s="142">
        <f>A61+1</f>
        <v>24</v>
      </c>
      <c r="B62" s="157">
        <v>0.65486111111111112</v>
      </c>
      <c r="C62" s="5" t="s">
        <v>55</v>
      </c>
      <c r="D62" s="5">
        <v>7</v>
      </c>
      <c r="E62" s="43">
        <v>2</v>
      </c>
      <c r="F62" s="39" t="s">
        <v>58</v>
      </c>
      <c r="G62" s="250">
        <f t="shared" si="5"/>
        <v>1.32</v>
      </c>
      <c r="H62" s="250">
        <f t="shared" si="6"/>
        <v>2.2000000000000002</v>
      </c>
      <c r="I62" s="250">
        <f t="shared" si="7"/>
        <v>0</v>
      </c>
      <c r="J62" s="250">
        <f t="shared" si="8"/>
        <v>0</v>
      </c>
      <c r="K62" s="250">
        <f t="shared" si="9"/>
        <v>0</v>
      </c>
      <c r="L62" s="250">
        <f t="shared" si="10"/>
        <v>0</v>
      </c>
      <c r="M62" s="250">
        <f t="shared" si="11"/>
        <v>0</v>
      </c>
      <c r="N62" s="171">
        <f t="shared" si="12"/>
        <v>3.5200000000000005</v>
      </c>
      <c r="O62" s="171">
        <f t="shared" si="16"/>
        <v>2.2742398821594696E-2</v>
      </c>
      <c r="P62" s="172"/>
      <c r="Q62" s="172"/>
      <c r="R62" s="172"/>
      <c r="S62" s="172"/>
      <c r="T62" s="172"/>
      <c r="U62" s="172"/>
      <c r="V62" s="172"/>
      <c r="W62" s="172">
        <f>VLOOKUP(D62,KEY!$D$35:$E$44,2,FALSE)</f>
        <v>18</v>
      </c>
      <c r="X62" s="173" t="str">
        <f t="shared" si="17"/>
        <v>N</v>
      </c>
      <c r="Y62" s="174">
        <f t="shared" si="18"/>
        <v>0</v>
      </c>
      <c r="Z62" s="9" t="s">
        <v>436</v>
      </c>
      <c r="AB62" s="62">
        <v>1320</v>
      </c>
      <c r="AC62" s="62">
        <v>2200</v>
      </c>
      <c r="AD62" s="119"/>
      <c r="AE62" s="119"/>
      <c r="AF62" s="119"/>
      <c r="AG62" s="119"/>
      <c r="AH62" s="119"/>
    </row>
    <row r="63" spans="1:34" ht="20.100000000000001" customHeight="1" x14ac:dyDescent="0.25">
      <c r="A63" s="142">
        <f>A62+1</f>
        <v>25</v>
      </c>
      <c r="B63" s="200">
        <v>0.67152777777777783</v>
      </c>
      <c r="C63" s="142" t="s">
        <v>57</v>
      </c>
      <c r="D63" s="5">
        <v>7</v>
      </c>
      <c r="E63" s="43">
        <v>2</v>
      </c>
      <c r="F63" s="76" t="s">
        <v>58</v>
      </c>
      <c r="G63" s="250">
        <f t="shared" si="5"/>
        <v>1.54</v>
      </c>
      <c r="H63" s="250">
        <f t="shared" si="6"/>
        <v>1.54</v>
      </c>
      <c r="I63" s="250">
        <f t="shared" si="7"/>
        <v>0</v>
      </c>
      <c r="J63" s="250">
        <f t="shared" si="8"/>
        <v>0</v>
      </c>
      <c r="K63" s="250">
        <f t="shared" si="9"/>
        <v>0</v>
      </c>
      <c r="L63" s="250">
        <f t="shared" si="10"/>
        <v>0</v>
      </c>
      <c r="M63" s="250">
        <f t="shared" si="11"/>
        <v>0</v>
      </c>
      <c r="N63" s="171">
        <f t="shared" si="12"/>
        <v>3.08</v>
      </c>
      <c r="O63" s="171">
        <f t="shared" si="16"/>
        <v>1.2470173899512495E-2</v>
      </c>
      <c r="P63" s="172"/>
      <c r="Q63" s="172"/>
      <c r="R63" s="172"/>
      <c r="S63" s="172"/>
      <c r="T63" s="172"/>
      <c r="U63" s="172"/>
      <c r="V63" s="172"/>
      <c r="W63" s="172">
        <f>VLOOKUP(D63,KEY!$D$35:$E$44,2,FALSE)</f>
        <v>18</v>
      </c>
      <c r="X63" s="173" t="str">
        <f t="shared" si="17"/>
        <v>N</v>
      </c>
      <c r="Y63" s="174">
        <f t="shared" si="18"/>
        <v>0</v>
      </c>
      <c r="Z63" s="9" t="s">
        <v>369</v>
      </c>
      <c r="AB63" s="62">
        <v>1540</v>
      </c>
      <c r="AC63" s="62">
        <v>1540</v>
      </c>
      <c r="AD63" s="119"/>
      <c r="AE63" s="119"/>
      <c r="AF63" s="119"/>
      <c r="AG63" s="119"/>
      <c r="AH63" s="119"/>
    </row>
    <row r="64" spans="1:34" ht="20.100000000000001" customHeight="1" x14ac:dyDescent="0.25">
      <c r="A64" s="142">
        <v>33</v>
      </c>
      <c r="B64" s="157">
        <v>0.74722222222222223</v>
      </c>
      <c r="C64" s="5" t="s">
        <v>64</v>
      </c>
      <c r="D64" s="5">
        <v>7</v>
      </c>
      <c r="E64" s="43">
        <v>2</v>
      </c>
      <c r="F64" s="39" t="s">
        <v>58</v>
      </c>
      <c r="G64" s="250">
        <f t="shared" si="5"/>
        <v>2.64</v>
      </c>
      <c r="H64" s="250">
        <f t="shared" si="6"/>
        <v>5.0599999999999996</v>
      </c>
      <c r="I64" s="250">
        <f t="shared" si="7"/>
        <v>0</v>
      </c>
      <c r="J64" s="250">
        <f t="shared" si="8"/>
        <v>0</v>
      </c>
      <c r="K64" s="250">
        <f t="shared" si="9"/>
        <v>0</v>
      </c>
      <c r="L64" s="250">
        <f t="shared" si="10"/>
        <v>0</v>
      </c>
      <c r="M64" s="250">
        <f t="shared" si="11"/>
        <v>0</v>
      </c>
      <c r="N64" s="171">
        <f t="shared" si="12"/>
        <v>7.6999999999999993</v>
      </c>
      <c r="O64" s="171">
        <f t="shared" si="16"/>
        <v>0.77019828790709299</v>
      </c>
      <c r="P64" s="172"/>
      <c r="Q64" s="172"/>
      <c r="R64" s="172"/>
      <c r="S64" s="172"/>
      <c r="T64" s="172"/>
      <c r="U64" s="172"/>
      <c r="V64" s="172"/>
      <c r="W64" s="172">
        <f>VLOOKUP(D64,KEY!$D$35:$E$44,2,FALSE)</f>
        <v>18</v>
      </c>
      <c r="X64" s="173" t="str">
        <f t="shared" si="17"/>
        <v>N</v>
      </c>
      <c r="Y64" s="174">
        <f t="shared" si="18"/>
        <v>0</v>
      </c>
      <c r="Z64" s="9" t="s">
        <v>422</v>
      </c>
      <c r="AB64" s="62">
        <v>2640</v>
      </c>
      <c r="AC64" s="62">
        <v>5060</v>
      </c>
      <c r="AD64" s="119"/>
      <c r="AE64" s="119"/>
      <c r="AF64" s="119"/>
      <c r="AG64" s="119"/>
      <c r="AH64" s="119"/>
    </row>
    <row r="65" spans="1:34" ht="20.100000000000001" customHeight="1" x14ac:dyDescent="0.25">
      <c r="A65" s="110">
        <f t="shared" ref="A65:A96" si="19">A64+1</f>
        <v>34</v>
      </c>
      <c r="B65" s="126">
        <v>0.35000000000000003</v>
      </c>
      <c r="C65" s="110" t="s">
        <v>86</v>
      </c>
      <c r="D65" s="142">
        <v>9</v>
      </c>
      <c r="E65" s="117">
        <v>3</v>
      </c>
      <c r="F65" s="118" t="s">
        <v>60</v>
      </c>
      <c r="G65" s="250">
        <f t="shared" si="5"/>
        <v>2.42</v>
      </c>
      <c r="H65" s="250">
        <f t="shared" si="6"/>
        <v>3.9</v>
      </c>
      <c r="I65" s="250">
        <f t="shared" si="7"/>
        <v>9.15</v>
      </c>
      <c r="J65" s="250">
        <f t="shared" si="8"/>
        <v>0</v>
      </c>
      <c r="K65" s="250">
        <f t="shared" si="9"/>
        <v>0</v>
      </c>
      <c r="L65" s="250">
        <f t="shared" si="10"/>
        <v>0</v>
      </c>
      <c r="M65" s="250">
        <f t="shared" si="11"/>
        <v>0</v>
      </c>
      <c r="N65" s="171">
        <f t="shared" si="12"/>
        <v>15.47</v>
      </c>
      <c r="O65" s="218">
        <f t="shared" si="16"/>
        <v>17.786917768167243</v>
      </c>
      <c r="P65" s="219"/>
      <c r="Q65" s="219"/>
      <c r="R65" s="219"/>
      <c r="S65" s="219"/>
      <c r="T65" s="219"/>
      <c r="U65" s="219"/>
      <c r="V65" s="219"/>
      <c r="W65" s="219">
        <f>VLOOKUP(D65,[1]KEY!$D$35:$E$44,2,FALSE)</f>
        <v>26</v>
      </c>
      <c r="X65" s="220" t="str">
        <f t="shared" si="17"/>
        <v>N</v>
      </c>
      <c r="Y65" s="221">
        <f t="shared" si="18"/>
        <v>0</v>
      </c>
      <c r="Z65" s="124" t="s">
        <v>426</v>
      </c>
      <c r="AB65" s="119">
        <v>2420</v>
      </c>
      <c r="AC65" s="119">
        <v>3900</v>
      </c>
      <c r="AD65" s="119">
        <v>9150</v>
      </c>
      <c r="AE65" s="119"/>
      <c r="AF65" s="119"/>
      <c r="AG65" s="119"/>
      <c r="AH65" s="119"/>
    </row>
    <row r="66" spans="1:34" ht="20.100000000000001" customHeight="1" x14ac:dyDescent="0.25">
      <c r="A66" s="110">
        <f t="shared" si="19"/>
        <v>35</v>
      </c>
      <c r="B66" s="126">
        <v>0.35138888888888892</v>
      </c>
      <c r="C66" s="110" t="s">
        <v>141</v>
      </c>
      <c r="D66" s="142">
        <v>9</v>
      </c>
      <c r="E66" s="117">
        <v>6</v>
      </c>
      <c r="F66" s="118" t="s">
        <v>439</v>
      </c>
      <c r="G66" s="250">
        <f t="shared" si="5"/>
        <v>2.31</v>
      </c>
      <c r="H66" s="250">
        <f t="shared" si="6"/>
        <v>4.5759999999999996</v>
      </c>
      <c r="I66" s="250">
        <f t="shared" si="7"/>
        <v>9.24</v>
      </c>
      <c r="J66" s="250">
        <f t="shared" si="8"/>
        <v>0</v>
      </c>
      <c r="K66" s="250">
        <f t="shared" si="9"/>
        <v>0</v>
      </c>
      <c r="L66" s="250">
        <f t="shared" si="10"/>
        <v>0</v>
      </c>
      <c r="M66" s="250">
        <f t="shared" si="11"/>
        <v>0</v>
      </c>
      <c r="N66" s="171">
        <f t="shared" si="12"/>
        <v>16.125999999999998</v>
      </c>
      <c r="O66" s="218">
        <f t="shared" si="16"/>
        <v>21.44194783932403</v>
      </c>
      <c r="P66" s="219"/>
      <c r="Q66" s="219"/>
      <c r="R66" s="219"/>
      <c r="S66" s="219"/>
      <c r="T66" s="219"/>
      <c r="U66" s="219"/>
      <c r="V66" s="219"/>
      <c r="W66" s="219">
        <f>VLOOKUP(D66,[1]KEY!$D$35:$E$44,2,FALSE)</f>
        <v>26</v>
      </c>
      <c r="X66" s="220" t="str">
        <f t="shared" si="17"/>
        <v>N</v>
      </c>
      <c r="Y66" s="221">
        <f t="shared" si="18"/>
        <v>0</v>
      </c>
      <c r="Z66" s="124" t="s">
        <v>369</v>
      </c>
      <c r="AB66" s="119">
        <v>2310</v>
      </c>
      <c r="AC66" s="119">
        <v>4576</v>
      </c>
      <c r="AD66" s="119">
        <v>9240</v>
      </c>
      <c r="AE66" s="119"/>
      <c r="AF66" s="119"/>
      <c r="AG66" s="119"/>
      <c r="AH66" s="119"/>
    </row>
    <row r="67" spans="1:34" ht="20.100000000000001" customHeight="1" x14ac:dyDescent="0.25">
      <c r="A67" s="110">
        <f t="shared" si="19"/>
        <v>36</v>
      </c>
      <c r="B67" s="126">
        <v>0.42222222222222222</v>
      </c>
      <c r="C67" s="110" t="s">
        <v>95</v>
      </c>
      <c r="D67" s="142">
        <v>9</v>
      </c>
      <c r="E67" s="117">
        <v>3</v>
      </c>
      <c r="F67" s="118" t="s">
        <v>60</v>
      </c>
      <c r="G67" s="250">
        <f t="shared" si="5"/>
        <v>3.3</v>
      </c>
      <c r="H67" s="250">
        <f t="shared" si="6"/>
        <v>4.95</v>
      </c>
      <c r="I67" s="250">
        <f t="shared" si="7"/>
        <v>8.59</v>
      </c>
      <c r="J67" s="250">
        <f t="shared" si="8"/>
        <v>0</v>
      </c>
      <c r="K67" s="250">
        <f t="shared" si="9"/>
        <v>0</v>
      </c>
      <c r="L67" s="250">
        <f t="shared" si="10"/>
        <v>0</v>
      </c>
      <c r="M67" s="250">
        <f t="shared" si="11"/>
        <v>0</v>
      </c>
      <c r="N67" s="171">
        <f t="shared" si="12"/>
        <v>16.84</v>
      </c>
      <c r="O67" s="218">
        <f t="shared" si="16"/>
        <v>26.057555884027202</v>
      </c>
      <c r="P67" s="219"/>
      <c r="Q67" s="219"/>
      <c r="R67" s="219"/>
      <c r="S67" s="219"/>
      <c r="T67" s="219"/>
      <c r="U67" s="219"/>
      <c r="V67" s="219"/>
      <c r="W67" s="219">
        <f>VLOOKUP(D67,[1]KEY!$D$35:$E$44,2,FALSE)</f>
        <v>26</v>
      </c>
      <c r="X67" s="220" t="str">
        <f t="shared" si="17"/>
        <v>N</v>
      </c>
      <c r="Y67" s="221">
        <f t="shared" si="18"/>
        <v>0</v>
      </c>
      <c r="Z67" s="124" t="s">
        <v>426</v>
      </c>
      <c r="AB67" s="119">
        <v>3300</v>
      </c>
      <c r="AC67" s="119">
        <v>4950</v>
      </c>
      <c r="AD67" s="119">
        <v>8590</v>
      </c>
      <c r="AE67" s="119"/>
      <c r="AF67" s="119"/>
      <c r="AG67" s="119"/>
      <c r="AH67" s="119"/>
    </row>
    <row r="68" spans="1:34" ht="20.100000000000001" customHeight="1" x14ac:dyDescent="0.25">
      <c r="A68" s="110">
        <f t="shared" si="19"/>
        <v>37</v>
      </c>
      <c r="B68" s="126">
        <v>0.43263888888888885</v>
      </c>
      <c r="C68" s="110" t="s">
        <v>98</v>
      </c>
      <c r="D68" s="142">
        <v>9</v>
      </c>
      <c r="E68" s="117">
        <v>3</v>
      </c>
      <c r="F68" s="118" t="s">
        <v>60</v>
      </c>
      <c r="G68" s="250">
        <f t="shared" si="5"/>
        <v>3.19</v>
      </c>
      <c r="H68" s="250">
        <f t="shared" si="6"/>
        <v>5.17</v>
      </c>
      <c r="I68" s="250">
        <f t="shared" si="7"/>
        <v>8.69</v>
      </c>
      <c r="J68" s="250">
        <f t="shared" si="8"/>
        <v>0</v>
      </c>
      <c r="K68" s="250">
        <f t="shared" si="9"/>
        <v>0</v>
      </c>
      <c r="L68" s="250">
        <f t="shared" si="10"/>
        <v>0</v>
      </c>
      <c r="M68" s="250">
        <f t="shared" si="11"/>
        <v>0</v>
      </c>
      <c r="N68" s="171">
        <f t="shared" si="12"/>
        <v>17.049999999999997</v>
      </c>
      <c r="O68" s="218">
        <f t="shared" si="16"/>
        <v>27.552055879520772</v>
      </c>
      <c r="P68" s="219"/>
      <c r="Q68" s="219"/>
      <c r="R68" s="219"/>
      <c r="S68" s="219"/>
      <c r="T68" s="219"/>
      <c r="U68" s="219"/>
      <c r="V68" s="219"/>
      <c r="W68" s="219">
        <f>VLOOKUP(D68,[1]KEY!$D$35:$E$44,2,FALSE)</f>
        <v>26</v>
      </c>
      <c r="X68" s="220" t="str">
        <f t="shared" si="17"/>
        <v>N</v>
      </c>
      <c r="Y68" s="221">
        <f t="shared" si="18"/>
        <v>0</v>
      </c>
      <c r="Z68" s="124" t="s">
        <v>426</v>
      </c>
      <c r="AB68" s="119">
        <v>3190</v>
      </c>
      <c r="AC68" s="119">
        <v>5170</v>
      </c>
      <c r="AD68" s="119">
        <v>8690</v>
      </c>
      <c r="AE68" s="119"/>
      <c r="AF68" s="119"/>
      <c r="AG68" s="119"/>
      <c r="AH68" s="119"/>
    </row>
    <row r="69" spans="1:34" ht="20.100000000000001" customHeight="1" x14ac:dyDescent="0.25">
      <c r="A69" s="110">
        <f t="shared" si="19"/>
        <v>38</v>
      </c>
      <c r="B69" s="126">
        <v>0.4465277777777778</v>
      </c>
      <c r="C69" s="222" t="s">
        <v>197</v>
      </c>
      <c r="D69" s="142">
        <v>9</v>
      </c>
      <c r="E69" s="117">
        <v>3</v>
      </c>
      <c r="F69" s="118" t="s">
        <v>60</v>
      </c>
      <c r="G69" s="250">
        <f t="shared" si="5"/>
        <v>2.75</v>
      </c>
      <c r="H69" s="250">
        <f t="shared" si="6"/>
        <v>5.0599999999999996</v>
      </c>
      <c r="I69" s="250">
        <f t="shared" si="7"/>
        <v>9.5299999999999994</v>
      </c>
      <c r="J69" s="250">
        <f t="shared" si="8"/>
        <v>0</v>
      </c>
      <c r="K69" s="250">
        <f t="shared" si="9"/>
        <v>0</v>
      </c>
      <c r="L69" s="250">
        <f t="shared" si="10"/>
        <v>0</v>
      </c>
      <c r="M69" s="250">
        <f t="shared" si="11"/>
        <v>0</v>
      </c>
      <c r="N69" s="171">
        <f t="shared" si="12"/>
        <v>17.34</v>
      </c>
      <c r="O69" s="218">
        <f t="shared" si="16"/>
        <v>29.724544263267479</v>
      </c>
      <c r="P69" s="219"/>
      <c r="Q69" s="219"/>
      <c r="R69" s="219"/>
      <c r="S69" s="219"/>
      <c r="T69" s="219"/>
      <c r="U69" s="219"/>
      <c r="V69" s="219"/>
      <c r="W69" s="219">
        <f>VLOOKUP(D69,[1]KEY!$D$35:$E$44,2,FALSE)</f>
        <v>26</v>
      </c>
      <c r="X69" s="220" t="str">
        <f t="shared" si="17"/>
        <v>N</v>
      </c>
      <c r="Y69" s="221">
        <f t="shared" si="18"/>
        <v>0</v>
      </c>
      <c r="Z69" s="124" t="s">
        <v>426</v>
      </c>
      <c r="AB69" s="119">
        <v>2750</v>
      </c>
      <c r="AC69" s="119">
        <v>5060</v>
      </c>
      <c r="AD69" s="119">
        <v>9530</v>
      </c>
      <c r="AE69" s="119"/>
      <c r="AF69" s="119"/>
      <c r="AG69" s="119"/>
      <c r="AH69" s="119"/>
    </row>
    <row r="70" spans="1:34" ht="20.100000000000001" customHeight="1" x14ac:dyDescent="0.25">
      <c r="A70" s="110">
        <f t="shared" si="19"/>
        <v>39</v>
      </c>
      <c r="B70" s="126">
        <v>0.44861111111111113</v>
      </c>
      <c r="C70" s="110" t="s">
        <v>199</v>
      </c>
      <c r="D70" s="142">
        <v>9</v>
      </c>
      <c r="E70" s="117">
        <v>3</v>
      </c>
      <c r="F70" s="118" t="s">
        <v>60</v>
      </c>
      <c r="G70" s="250">
        <f t="shared" si="5"/>
        <v>2.5299999999999998</v>
      </c>
      <c r="H70" s="250">
        <f t="shared" si="6"/>
        <v>5.5</v>
      </c>
      <c r="I70" s="250">
        <f t="shared" si="7"/>
        <v>8.4499999999999993</v>
      </c>
      <c r="J70" s="250">
        <f t="shared" si="8"/>
        <v>0</v>
      </c>
      <c r="K70" s="250">
        <f t="shared" si="9"/>
        <v>0</v>
      </c>
      <c r="L70" s="250">
        <f t="shared" si="10"/>
        <v>0</v>
      </c>
      <c r="M70" s="250">
        <f t="shared" si="11"/>
        <v>0</v>
      </c>
      <c r="N70" s="171">
        <f t="shared" si="12"/>
        <v>16.479999999999997</v>
      </c>
      <c r="O70" s="218">
        <f t="shared" si="16"/>
        <v>23.642952991480112</v>
      </c>
      <c r="P70" s="219"/>
      <c r="Q70" s="219"/>
      <c r="R70" s="219"/>
      <c r="S70" s="219"/>
      <c r="T70" s="219"/>
      <c r="U70" s="219"/>
      <c r="V70" s="219"/>
      <c r="W70" s="219">
        <f>VLOOKUP(D70,[1]KEY!$D$35:$E$44,2,FALSE)</f>
        <v>26</v>
      </c>
      <c r="X70" s="220" t="str">
        <f t="shared" si="17"/>
        <v>N</v>
      </c>
      <c r="Y70" s="221">
        <f t="shared" si="18"/>
        <v>0</v>
      </c>
      <c r="Z70" s="124" t="s">
        <v>426</v>
      </c>
      <c r="AB70" s="119">
        <v>2530</v>
      </c>
      <c r="AC70" s="119">
        <v>5500</v>
      </c>
      <c r="AD70" s="119">
        <v>8450</v>
      </c>
      <c r="AE70" s="119"/>
      <c r="AF70" s="119"/>
      <c r="AG70" s="119"/>
      <c r="AH70" s="119"/>
    </row>
    <row r="71" spans="1:34" ht="20.100000000000001" customHeight="1" x14ac:dyDescent="0.25">
      <c r="A71" s="110">
        <f t="shared" si="19"/>
        <v>40</v>
      </c>
      <c r="B71" s="222">
        <v>0.47430555555555554</v>
      </c>
      <c r="C71" s="110" t="s">
        <v>221</v>
      </c>
      <c r="D71" s="142">
        <v>9</v>
      </c>
      <c r="E71" s="117">
        <v>3</v>
      </c>
      <c r="F71" s="118" t="s">
        <v>60</v>
      </c>
      <c r="G71" s="250">
        <f t="shared" si="5"/>
        <v>3.41</v>
      </c>
      <c r="H71" s="250">
        <f t="shared" si="6"/>
        <v>4.29</v>
      </c>
      <c r="I71" s="250">
        <f t="shared" si="7"/>
        <v>8.9499999999999993</v>
      </c>
      <c r="J71" s="250">
        <f t="shared" si="8"/>
        <v>0</v>
      </c>
      <c r="K71" s="250">
        <f t="shared" si="9"/>
        <v>0</v>
      </c>
      <c r="L71" s="250">
        <f t="shared" si="10"/>
        <v>0</v>
      </c>
      <c r="M71" s="250">
        <f t="shared" si="11"/>
        <v>0</v>
      </c>
      <c r="N71" s="171">
        <f t="shared" si="12"/>
        <v>16.649999999999999</v>
      </c>
      <c r="O71" s="218">
        <f t="shared" ref="O71:O102" si="20">(N71/8.16)^4.5</f>
        <v>24.760439882901142</v>
      </c>
      <c r="P71" s="219"/>
      <c r="Q71" s="219"/>
      <c r="R71" s="219"/>
      <c r="S71" s="219"/>
      <c r="T71" s="219"/>
      <c r="U71" s="219"/>
      <c r="V71" s="219"/>
      <c r="W71" s="219">
        <f>VLOOKUP(D71,[1]KEY!$D$35:$E$44,2,FALSE)</f>
        <v>26</v>
      </c>
      <c r="X71" s="220" t="str">
        <f t="shared" ref="X71:X102" si="21">IF(N71&gt;W71,"Y","N")</f>
        <v>N</v>
      </c>
      <c r="Y71" s="221">
        <f t="shared" ref="Y71:Y102" si="22">IF(X71="Y",(N71-W71)/W71,0)</f>
        <v>0</v>
      </c>
      <c r="Z71" s="124" t="s">
        <v>426</v>
      </c>
      <c r="AB71" s="119">
        <v>3410</v>
      </c>
      <c r="AC71" s="119">
        <v>4290</v>
      </c>
      <c r="AD71" s="119">
        <v>8950</v>
      </c>
      <c r="AE71" s="119"/>
      <c r="AF71" s="119"/>
      <c r="AG71" s="119"/>
      <c r="AH71" s="119"/>
    </row>
    <row r="72" spans="1:34" ht="20.100000000000001" customHeight="1" x14ac:dyDescent="0.25">
      <c r="A72" s="110">
        <f t="shared" si="19"/>
        <v>41</v>
      </c>
      <c r="B72" s="126">
        <v>0.5</v>
      </c>
      <c r="C72" s="110" t="s">
        <v>226</v>
      </c>
      <c r="D72" s="142">
        <v>9</v>
      </c>
      <c r="E72" s="117">
        <v>3</v>
      </c>
      <c r="F72" s="118" t="s">
        <v>60</v>
      </c>
      <c r="G72" s="250">
        <f t="shared" ref="G72:G135" si="23">AB72/1000</f>
        <v>2.25</v>
      </c>
      <c r="H72" s="250">
        <f t="shared" ref="H72:H135" si="24">AC72/1000</f>
        <v>3.65</v>
      </c>
      <c r="I72" s="250">
        <f t="shared" ref="I72:I135" si="25">AD72/1000</f>
        <v>9</v>
      </c>
      <c r="J72" s="250">
        <f t="shared" ref="J72:J135" si="26">AE72/1000</f>
        <v>0</v>
      </c>
      <c r="K72" s="250">
        <f t="shared" ref="K72:K135" si="27">AF72/1000</f>
        <v>0</v>
      </c>
      <c r="L72" s="250">
        <f t="shared" ref="L72:L135" si="28">AG72/1000</f>
        <v>0</v>
      </c>
      <c r="M72" s="250">
        <f t="shared" ref="M72:M135" si="29">AH72/1000</f>
        <v>0</v>
      </c>
      <c r="N72" s="171">
        <f t="shared" ref="N72:N135" si="30">SUM(G72:M72)</f>
        <v>14.9</v>
      </c>
      <c r="O72" s="218">
        <f t="shared" si="20"/>
        <v>15.022163810176949</v>
      </c>
      <c r="P72" s="219"/>
      <c r="Q72" s="219"/>
      <c r="R72" s="219"/>
      <c r="S72" s="219"/>
      <c r="T72" s="219"/>
      <c r="U72" s="219"/>
      <c r="V72" s="219"/>
      <c r="W72" s="219">
        <f>VLOOKUP(D72,[1]KEY!$D$35:$E$44,2,FALSE)</f>
        <v>26</v>
      </c>
      <c r="X72" s="220" t="str">
        <f t="shared" si="21"/>
        <v>N</v>
      </c>
      <c r="Y72" s="221">
        <f t="shared" si="22"/>
        <v>0</v>
      </c>
      <c r="Z72" s="124" t="s">
        <v>426</v>
      </c>
      <c r="AB72" s="119">
        <v>2250</v>
      </c>
      <c r="AC72" s="119">
        <v>3650</v>
      </c>
      <c r="AD72" s="119">
        <v>9000</v>
      </c>
      <c r="AE72" s="119"/>
      <c r="AF72" s="119"/>
      <c r="AG72" s="119"/>
      <c r="AH72" s="119"/>
    </row>
    <row r="73" spans="1:34" ht="20.100000000000001" customHeight="1" x14ac:dyDescent="0.25">
      <c r="A73" s="110">
        <f t="shared" si="19"/>
        <v>42</v>
      </c>
      <c r="B73" s="126">
        <v>0.51527777777777783</v>
      </c>
      <c r="C73" s="110" t="s">
        <v>232</v>
      </c>
      <c r="D73" s="142">
        <v>9</v>
      </c>
      <c r="E73" s="117">
        <v>3</v>
      </c>
      <c r="F73" s="118" t="s">
        <v>60</v>
      </c>
      <c r="G73" s="250">
        <f t="shared" si="23"/>
        <v>2.42</v>
      </c>
      <c r="H73" s="250">
        <f t="shared" si="24"/>
        <v>1.1000000000000001</v>
      </c>
      <c r="I73" s="250">
        <f t="shared" si="25"/>
        <v>2.54</v>
      </c>
      <c r="J73" s="250">
        <f t="shared" si="26"/>
        <v>0</v>
      </c>
      <c r="K73" s="250">
        <f t="shared" si="27"/>
        <v>0</v>
      </c>
      <c r="L73" s="250">
        <f t="shared" si="28"/>
        <v>0</v>
      </c>
      <c r="M73" s="250">
        <f t="shared" si="29"/>
        <v>0</v>
      </c>
      <c r="N73" s="171">
        <f t="shared" si="30"/>
        <v>6.0600000000000005</v>
      </c>
      <c r="O73" s="218">
        <f t="shared" si="20"/>
        <v>0.2621326357426032</v>
      </c>
      <c r="P73" s="219"/>
      <c r="Q73" s="219"/>
      <c r="R73" s="219"/>
      <c r="S73" s="219"/>
      <c r="T73" s="219"/>
      <c r="U73" s="219"/>
      <c r="V73" s="219"/>
      <c r="W73" s="219">
        <f>VLOOKUP(D73,[1]KEY!$D$35:$E$44,2,FALSE)</f>
        <v>26</v>
      </c>
      <c r="X73" s="220" t="str">
        <f t="shared" si="21"/>
        <v>N</v>
      </c>
      <c r="Y73" s="221">
        <f t="shared" si="22"/>
        <v>0</v>
      </c>
      <c r="Z73" s="124" t="s">
        <v>369</v>
      </c>
      <c r="AB73" s="119">
        <v>2420</v>
      </c>
      <c r="AC73" s="119">
        <v>1100</v>
      </c>
      <c r="AD73" s="119">
        <v>2540</v>
      </c>
      <c r="AE73" s="119"/>
      <c r="AF73" s="119"/>
      <c r="AG73" s="119"/>
      <c r="AH73" s="119"/>
    </row>
    <row r="74" spans="1:34" ht="20.100000000000001" customHeight="1" x14ac:dyDescent="0.25">
      <c r="A74" s="110">
        <f t="shared" si="19"/>
        <v>43</v>
      </c>
      <c r="B74" s="126">
        <v>0.55555555555555558</v>
      </c>
      <c r="C74" s="110" t="s">
        <v>179</v>
      </c>
      <c r="D74" s="142">
        <v>9</v>
      </c>
      <c r="E74" s="117">
        <v>3</v>
      </c>
      <c r="F74" s="118" t="s">
        <v>60</v>
      </c>
      <c r="G74" s="250">
        <f t="shared" si="23"/>
        <v>5.28</v>
      </c>
      <c r="H74" s="250">
        <f t="shared" si="24"/>
        <v>9.02</v>
      </c>
      <c r="I74" s="250">
        <f t="shared" si="25"/>
        <v>5.92</v>
      </c>
      <c r="J74" s="250">
        <f t="shared" si="26"/>
        <v>0</v>
      </c>
      <c r="K74" s="250">
        <f t="shared" si="27"/>
        <v>0</v>
      </c>
      <c r="L74" s="250">
        <f t="shared" si="28"/>
        <v>0</v>
      </c>
      <c r="M74" s="250">
        <f t="shared" si="29"/>
        <v>0</v>
      </c>
      <c r="N74" s="171">
        <f t="shared" si="30"/>
        <v>20.22</v>
      </c>
      <c r="O74" s="218">
        <f t="shared" si="20"/>
        <v>59.348461651183733</v>
      </c>
      <c r="P74" s="219"/>
      <c r="Q74" s="219"/>
      <c r="R74" s="219"/>
      <c r="S74" s="219"/>
      <c r="T74" s="219"/>
      <c r="U74" s="219"/>
      <c r="V74" s="219"/>
      <c r="W74" s="219">
        <f>VLOOKUP(D74,[1]KEY!$D$35:$E$44,2,FALSE)</f>
        <v>26</v>
      </c>
      <c r="X74" s="220" t="str">
        <f t="shared" si="21"/>
        <v>N</v>
      </c>
      <c r="Y74" s="221">
        <f t="shared" si="22"/>
        <v>0</v>
      </c>
      <c r="Z74" s="124" t="s">
        <v>426</v>
      </c>
      <c r="AB74" s="119">
        <v>5280</v>
      </c>
      <c r="AC74" s="119">
        <v>9020</v>
      </c>
      <c r="AD74" s="119">
        <v>5920</v>
      </c>
      <c r="AE74" s="119"/>
      <c r="AF74" s="119"/>
      <c r="AG74" s="119"/>
      <c r="AH74" s="119"/>
    </row>
    <row r="75" spans="1:34" ht="20.100000000000001" customHeight="1" x14ac:dyDescent="0.25">
      <c r="A75" s="110">
        <f t="shared" si="19"/>
        <v>44</v>
      </c>
      <c r="B75" s="126">
        <v>0.60416666666666663</v>
      </c>
      <c r="C75" s="110" t="s">
        <v>191</v>
      </c>
      <c r="D75" s="142">
        <v>9</v>
      </c>
      <c r="E75" s="117">
        <v>3</v>
      </c>
      <c r="F75" s="118" t="s">
        <v>60</v>
      </c>
      <c r="G75" s="250">
        <f t="shared" si="23"/>
        <v>4.07</v>
      </c>
      <c r="H75" s="250">
        <f t="shared" si="24"/>
        <v>7.7</v>
      </c>
      <c r="I75" s="250">
        <f t="shared" si="25"/>
        <v>13.3</v>
      </c>
      <c r="J75" s="250">
        <f t="shared" si="26"/>
        <v>0</v>
      </c>
      <c r="K75" s="250">
        <f t="shared" si="27"/>
        <v>0</v>
      </c>
      <c r="L75" s="250">
        <f t="shared" si="28"/>
        <v>0</v>
      </c>
      <c r="M75" s="250">
        <f t="shared" si="29"/>
        <v>0</v>
      </c>
      <c r="N75" s="171">
        <f t="shared" si="30"/>
        <v>25.07</v>
      </c>
      <c r="O75" s="218">
        <f t="shared" si="20"/>
        <v>156.16682773134531</v>
      </c>
      <c r="P75" s="219"/>
      <c r="Q75" s="219"/>
      <c r="R75" s="219"/>
      <c r="S75" s="219"/>
      <c r="T75" s="219"/>
      <c r="U75" s="219"/>
      <c r="V75" s="219"/>
      <c r="W75" s="219">
        <f>VLOOKUP(D75,[1]KEY!$D$35:$E$44,2,FALSE)</f>
        <v>26</v>
      </c>
      <c r="X75" s="220" t="str">
        <f t="shared" si="21"/>
        <v>N</v>
      </c>
      <c r="Y75" s="221">
        <f t="shared" si="22"/>
        <v>0</v>
      </c>
      <c r="Z75" s="124" t="s">
        <v>426</v>
      </c>
      <c r="AB75" s="119">
        <v>4070</v>
      </c>
      <c r="AC75" s="119">
        <v>7700</v>
      </c>
      <c r="AD75" s="119">
        <v>13300</v>
      </c>
      <c r="AE75" s="119"/>
      <c r="AF75" s="119"/>
      <c r="AG75" s="119"/>
      <c r="AH75" s="119"/>
    </row>
    <row r="76" spans="1:34" ht="20.100000000000001" customHeight="1" x14ac:dyDescent="0.25">
      <c r="A76" s="110">
        <f t="shared" si="19"/>
        <v>45</v>
      </c>
      <c r="B76" s="126">
        <v>0.62361111111111112</v>
      </c>
      <c r="C76" s="110" t="s">
        <v>244</v>
      </c>
      <c r="D76" s="142">
        <v>9</v>
      </c>
      <c r="E76" s="117">
        <v>3</v>
      </c>
      <c r="F76" s="118" t="s">
        <v>60</v>
      </c>
      <c r="G76" s="250">
        <f t="shared" si="23"/>
        <v>2.75</v>
      </c>
      <c r="H76" s="250">
        <f t="shared" si="24"/>
        <v>5.83</v>
      </c>
      <c r="I76" s="250">
        <f t="shared" si="25"/>
        <v>4.84</v>
      </c>
      <c r="J76" s="250">
        <f t="shared" si="26"/>
        <v>0</v>
      </c>
      <c r="K76" s="250">
        <f t="shared" si="27"/>
        <v>0</v>
      </c>
      <c r="L76" s="250">
        <f t="shared" si="28"/>
        <v>0</v>
      </c>
      <c r="M76" s="250">
        <f t="shared" si="29"/>
        <v>0</v>
      </c>
      <c r="N76" s="171">
        <f t="shared" si="30"/>
        <v>13.42</v>
      </c>
      <c r="O76" s="218">
        <f t="shared" si="20"/>
        <v>9.3816798132612931</v>
      </c>
      <c r="P76" s="219"/>
      <c r="Q76" s="219"/>
      <c r="R76" s="219"/>
      <c r="S76" s="219"/>
      <c r="T76" s="219"/>
      <c r="U76" s="219"/>
      <c r="V76" s="219"/>
      <c r="W76" s="219">
        <f>VLOOKUP(D76,[1]KEY!$D$35:$E$44,2,FALSE)</f>
        <v>26</v>
      </c>
      <c r="X76" s="220" t="str">
        <f t="shared" si="21"/>
        <v>N</v>
      </c>
      <c r="Y76" s="221">
        <f t="shared" si="22"/>
        <v>0</v>
      </c>
      <c r="Z76" s="124" t="s">
        <v>426</v>
      </c>
      <c r="AB76" s="119">
        <v>2750</v>
      </c>
      <c r="AC76" s="119">
        <v>5830</v>
      </c>
      <c r="AD76" s="119">
        <v>4840</v>
      </c>
      <c r="AE76" s="119"/>
      <c r="AF76" s="119"/>
      <c r="AG76" s="119"/>
      <c r="AH76" s="119"/>
    </row>
    <row r="77" spans="1:34" ht="20.100000000000001" customHeight="1" x14ac:dyDescent="0.25">
      <c r="A77" s="110">
        <f t="shared" si="19"/>
        <v>46</v>
      </c>
      <c r="B77" s="126">
        <v>0.66111111111111109</v>
      </c>
      <c r="C77" s="110" t="s">
        <v>249</v>
      </c>
      <c r="D77" s="142">
        <v>9</v>
      </c>
      <c r="E77" s="117">
        <v>3</v>
      </c>
      <c r="F77" s="118" t="s">
        <v>60</v>
      </c>
      <c r="G77" s="250">
        <f t="shared" si="23"/>
        <v>3.41</v>
      </c>
      <c r="H77" s="250">
        <f t="shared" si="24"/>
        <v>5.39</v>
      </c>
      <c r="I77" s="250">
        <f t="shared" si="25"/>
        <v>7.36</v>
      </c>
      <c r="J77" s="250">
        <f t="shared" si="26"/>
        <v>0</v>
      </c>
      <c r="K77" s="250">
        <f t="shared" si="27"/>
        <v>0</v>
      </c>
      <c r="L77" s="250">
        <f t="shared" si="28"/>
        <v>0</v>
      </c>
      <c r="M77" s="250">
        <f t="shared" si="29"/>
        <v>0</v>
      </c>
      <c r="N77" s="171">
        <f t="shared" si="30"/>
        <v>16.16</v>
      </c>
      <c r="O77" s="218">
        <f t="shared" si="20"/>
        <v>21.646136341077568</v>
      </c>
      <c r="P77" s="219"/>
      <c r="Q77" s="219"/>
      <c r="R77" s="219"/>
      <c r="S77" s="219"/>
      <c r="T77" s="219"/>
      <c r="U77" s="219"/>
      <c r="V77" s="219"/>
      <c r="W77" s="219">
        <f>VLOOKUP(D77,[1]KEY!$D$35:$E$44,2,FALSE)</f>
        <v>26</v>
      </c>
      <c r="X77" s="220" t="str">
        <f t="shared" si="21"/>
        <v>N</v>
      </c>
      <c r="Y77" s="221">
        <f t="shared" si="22"/>
        <v>0</v>
      </c>
      <c r="Z77" s="124" t="s">
        <v>426</v>
      </c>
      <c r="AB77" s="119">
        <v>3410</v>
      </c>
      <c r="AC77" s="119">
        <v>5390</v>
      </c>
      <c r="AD77" s="119">
        <v>7360</v>
      </c>
      <c r="AE77" s="119"/>
      <c r="AF77" s="119"/>
      <c r="AG77" s="119"/>
      <c r="AH77" s="119"/>
    </row>
    <row r="78" spans="1:34" ht="20.100000000000001" customHeight="1" x14ac:dyDescent="0.25">
      <c r="A78" s="110">
        <f t="shared" si="19"/>
        <v>47</v>
      </c>
      <c r="B78" s="126">
        <v>0.68680555555555556</v>
      </c>
      <c r="C78" s="110" t="s">
        <v>208</v>
      </c>
      <c r="D78" s="142">
        <v>9</v>
      </c>
      <c r="E78" s="117">
        <v>3</v>
      </c>
      <c r="F78" s="118" t="s">
        <v>60</v>
      </c>
      <c r="G78" s="250">
        <f t="shared" si="23"/>
        <v>2.42</v>
      </c>
      <c r="H78" s="250">
        <f t="shared" si="24"/>
        <v>5.28</v>
      </c>
      <c r="I78" s="250">
        <f t="shared" si="25"/>
        <v>9.5</v>
      </c>
      <c r="J78" s="250">
        <f t="shared" si="26"/>
        <v>0</v>
      </c>
      <c r="K78" s="250">
        <f t="shared" si="27"/>
        <v>0</v>
      </c>
      <c r="L78" s="250">
        <f t="shared" si="28"/>
        <v>0</v>
      </c>
      <c r="M78" s="250">
        <f t="shared" si="29"/>
        <v>0</v>
      </c>
      <c r="N78" s="171">
        <f t="shared" si="30"/>
        <v>17.2</v>
      </c>
      <c r="O78" s="218">
        <f t="shared" si="20"/>
        <v>28.659743333516801</v>
      </c>
      <c r="P78" s="219"/>
      <c r="Q78" s="219"/>
      <c r="R78" s="219"/>
      <c r="S78" s="219"/>
      <c r="T78" s="219"/>
      <c r="U78" s="219"/>
      <c r="V78" s="219"/>
      <c r="W78" s="219">
        <f>VLOOKUP(D78,[1]KEY!$D$35:$E$44,2,FALSE)</f>
        <v>26</v>
      </c>
      <c r="X78" s="220" t="str">
        <f t="shared" si="21"/>
        <v>N</v>
      </c>
      <c r="Y78" s="221">
        <f t="shared" si="22"/>
        <v>0</v>
      </c>
      <c r="Z78" s="124" t="s">
        <v>426</v>
      </c>
      <c r="AB78" s="119">
        <v>2420</v>
      </c>
      <c r="AC78" s="119">
        <v>5280</v>
      </c>
      <c r="AD78" s="119">
        <v>9500</v>
      </c>
      <c r="AE78" s="119"/>
      <c r="AF78" s="119"/>
      <c r="AG78" s="119"/>
      <c r="AH78" s="119"/>
    </row>
    <row r="79" spans="1:34" ht="20.100000000000001" customHeight="1" x14ac:dyDescent="0.25">
      <c r="A79" s="110">
        <f t="shared" si="19"/>
        <v>48</v>
      </c>
      <c r="B79" s="126">
        <v>0.70694444444444438</v>
      </c>
      <c r="C79" s="110" t="s">
        <v>261</v>
      </c>
      <c r="D79" s="142">
        <v>9</v>
      </c>
      <c r="E79" s="117">
        <v>3</v>
      </c>
      <c r="F79" s="118" t="s">
        <v>60</v>
      </c>
      <c r="G79" s="250">
        <f t="shared" si="23"/>
        <v>3.41</v>
      </c>
      <c r="H79" s="250">
        <f t="shared" si="24"/>
        <v>4.4000000000000004</v>
      </c>
      <c r="I79" s="250">
        <f t="shared" si="25"/>
        <v>7.72</v>
      </c>
      <c r="J79" s="250">
        <f t="shared" si="26"/>
        <v>0</v>
      </c>
      <c r="K79" s="250">
        <f t="shared" si="27"/>
        <v>0</v>
      </c>
      <c r="L79" s="250">
        <f t="shared" si="28"/>
        <v>0</v>
      </c>
      <c r="M79" s="250">
        <f t="shared" si="29"/>
        <v>0</v>
      </c>
      <c r="N79" s="171">
        <f t="shared" si="30"/>
        <v>15.530000000000001</v>
      </c>
      <c r="O79" s="218">
        <f t="shared" si="20"/>
        <v>18.099469108700774</v>
      </c>
      <c r="P79" s="219"/>
      <c r="Q79" s="219"/>
      <c r="R79" s="219"/>
      <c r="S79" s="219"/>
      <c r="T79" s="219"/>
      <c r="U79" s="219"/>
      <c r="V79" s="219"/>
      <c r="W79" s="219">
        <f>VLOOKUP(D79,[1]KEY!$D$35:$E$44,2,FALSE)</f>
        <v>26</v>
      </c>
      <c r="X79" s="220" t="str">
        <f t="shared" si="21"/>
        <v>N</v>
      </c>
      <c r="Y79" s="221">
        <f t="shared" si="22"/>
        <v>0</v>
      </c>
      <c r="Z79" s="124" t="s">
        <v>426</v>
      </c>
      <c r="AB79" s="119">
        <v>3410</v>
      </c>
      <c r="AC79" s="119">
        <v>4400</v>
      </c>
      <c r="AD79" s="119">
        <v>7720</v>
      </c>
      <c r="AE79" s="119"/>
      <c r="AF79" s="119"/>
      <c r="AG79" s="119"/>
      <c r="AH79" s="119"/>
    </row>
    <row r="80" spans="1:34" ht="20.100000000000001" customHeight="1" x14ac:dyDescent="0.25">
      <c r="A80" s="110">
        <f t="shared" si="19"/>
        <v>49</v>
      </c>
      <c r="B80" s="126">
        <v>0.78749999999999998</v>
      </c>
      <c r="C80" s="110" t="s">
        <v>178</v>
      </c>
      <c r="D80" s="142">
        <v>9</v>
      </c>
      <c r="E80" s="117">
        <v>3</v>
      </c>
      <c r="F80" s="118" t="s">
        <v>60</v>
      </c>
      <c r="G80" s="250">
        <f t="shared" si="23"/>
        <v>2.97</v>
      </c>
      <c r="H80" s="250">
        <f t="shared" si="24"/>
        <v>3.96</v>
      </c>
      <c r="I80" s="250">
        <f t="shared" si="25"/>
        <v>8.36</v>
      </c>
      <c r="J80" s="250">
        <f t="shared" si="26"/>
        <v>0</v>
      </c>
      <c r="K80" s="250">
        <f t="shared" si="27"/>
        <v>0</v>
      </c>
      <c r="L80" s="250">
        <f t="shared" si="28"/>
        <v>0</v>
      </c>
      <c r="M80" s="250">
        <f t="shared" si="29"/>
        <v>0</v>
      </c>
      <c r="N80" s="171">
        <f t="shared" si="30"/>
        <v>15.29</v>
      </c>
      <c r="O80" s="218">
        <f t="shared" si="20"/>
        <v>16.874385636033789</v>
      </c>
      <c r="P80" s="219"/>
      <c r="Q80" s="219"/>
      <c r="R80" s="219"/>
      <c r="S80" s="219"/>
      <c r="T80" s="219"/>
      <c r="U80" s="219"/>
      <c r="V80" s="219"/>
      <c r="W80" s="219">
        <f>VLOOKUP(D80,[1]KEY!$D$35:$E$44,2,FALSE)</f>
        <v>26</v>
      </c>
      <c r="X80" s="220" t="str">
        <f t="shared" si="21"/>
        <v>N</v>
      </c>
      <c r="Y80" s="221">
        <f t="shared" si="22"/>
        <v>0</v>
      </c>
      <c r="Z80" s="124" t="s">
        <v>369</v>
      </c>
      <c r="AB80" s="119">
        <v>2970</v>
      </c>
      <c r="AC80" s="119">
        <v>3960</v>
      </c>
      <c r="AD80" s="119">
        <v>8360</v>
      </c>
      <c r="AE80" s="119"/>
      <c r="AF80" s="119"/>
      <c r="AG80" s="119"/>
      <c r="AH80" s="119"/>
    </row>
    <row r="81" spans="1:34" ht="20.100000000000001" customHeight="1" x14ac:dyDescent="0.25">
      <c r="A81" s="110">
        <f t="shared" si="19"/>
        <v>50</v>
      </c>
      <c r="B81" s="126">
        <v>0.93194444444444446</v>
      </c>
      <c r="C81" s="110" t="s">
        <v>292</v>
      </c>
      <c r="D81" s="142">
        <v>9</v>
      </c>
      <c r="E81" s="117">
        <v>3</v>
      </c>
      <c r="F81" s="118" t="s">
        <v>60</v>
      </c>
      <c r="G81" s="250">
        <f t="shared" si="23"/>
        <v>3.19</v>
      </c>
      <c r="H81" s="250">
        <f t="shared" si="24"/>
        <v>4.84</v>
      </c>
      <c r="I81" s="250">
        <f t="shared" si="25"/>
        <v>7.79</v>
      </c>
      <c r="J81" s="250">
        <f t="shared" si="26"/>
        <v>0</v>
      </c>
      <c r="K81" s="250">
        <f t="shared" si="27"/>
        <v>0</v>
      </c>
      <c r="L81" s="250">
        <f t="shared" si="28"/>
        <v>0</v>
      </c>
      <c r="M81" s="250">
        <f t="shared" si="29"/>
        <v>0</v>
      </c>
      <c r="N81" s="171">
        <f t="shared" si="30"/>
        <v>15.82</v>
      </c>
      <c r="O81" s="218">
        <f t="shared" si="20"/>
        <v>19.670864274229455</v>
      </c>
      <c r="P81" s="219"/>
      <c r="Q81" s="219"/>
      <c r="R81" s="219"/>
      <c r="S81" s="219"/>
      <c r="T81" s="219"/>
      <c r="U81" s="219"/>
      <c r="V81" s="219"/>
      <c r="W81" s="219">
        <f>VLOOKUP(D81,[1]KEY!$D$35:$E$44,2,FALSE)</f>
        <v>26</v>
      </c>
      <c r="X81" s="220" t="str">
        <f t="shared" si="21"/>
        <v>N</v>
      </c>
      <c r="Y81" s="221">
        <f t="shared" si="22"/>
        <v>0</v>
      </c>
      <c r="Z81" s="124" t="s">
        <v>436</v>
      </c>
      <c r="AB81" s="119">
        <v>3190</v>
      </c>
      <c r="AC81" s="119">
        <v>4840</v>
      </c>
      <c r="AD81" s="119">
        <v>7790</v>
      </c>
      <c r="AE81" s="119"/>
      <c r="AF81" s="119"/>
      <c r="AG81" s="119"/>
      <c r="AH81" s="119"/>
    </row>
    <row r="82" spans="1:34" ht="20.100000000000001" customHeight="1" x14ac:dyDescent="0.25">
      <c r="A82" s="110">
        <f t="shared" si="19"/>
        <v>51</v>
      </c>
      <c r="B82" s="126">
        <v>0.9458333333333333</v>
      </c>
      <c r="C82" s="110" t="s">
        <v>293</v>
      </c>
      <c r="D82" s="142">
        <v>9</v>
      </c>
      <c r="E82" s="117">
        <v>3</v>
      </c>
      <c r="F82" s="118" t="s">
        <v>60</v>
      </c>
      <c r="G82" s="250">
        <f t="shared" si="23"/>
        <v>3.08</v>
      </c>
      <c r="H82" s="250">
        <f t="shared" si="24"/>
        <v>5.39</v>
      </c>
      <c r="I82" s="250">
        <f t="shared" si="25"/>
        <v>10.28</v>
      </c>
      <c r="J82" s="250">
        <f t="shared" si="26"/>
        <v>0</v>
      </c>
      <c r="K82" s="250">
        <f t="shared" si="27"/>
        <v>0</v>
      </c>
      <c r="L82" s="250">
        <f t="shared" si="28"/>
        <v>0</v>
      </c>
      <c r="M82" s="250">
        <f t="shared" si="29"/>
        <v>0</v>
      </c>
      <c r="N82" s="171">
        <f t="shared" si="30"/>
        <v>18.75</v>
      </c>
      <c r="O82" s="218">
        <f t="shared" si="20"/>
        <v>42.257131205178176</v>
      </c>
      <c r="P82" s="219"/>
      <c r="Q82" s="219"/>
      <c r="R82" s="219"/>
      <c r="S82" s="219"/>
      <c r="T82" s="219"/>
      <c r="U82" s="219"/>
      <c r="V82" s="219"/>
      <c r="W82" s="219">
        <f>VLOOKUP(D82,[1]KEY!$D$35:$E$44,2,FALSE)</f>
        <v>26</v>
      </c>
      <c r="X82" s="220" t="str">
        <f t="shared" si="21"/>
        <v>N</v>
      </c>
      <c r="Y82" s="221">
        <f t="shared" si="22"/>
        <v>0</v>
      </c>
      <c r="Z82" s="124" t="s">
        <v>426</v>
      </c>
      <c r="AB82" s="119">
        <v>3080</v>
      </c>
      <c r="AC82" s="119">
        <v>5390</v>
      </c>
      <c r="AD82" s="119">
        <v>10280</v>
      </c>
      <c r="AE82" s="119"/>
      <c r="AF82" s="119"/>
      <c r="AG82" s="119"/>
      <c r="AH82" s="119"/>
    </row>
    <row r="83" spans="1:34" ht="20.100000000000001" customHeight="1" x14ac:dyDescent="0.25">
      <c r="A83" s="110">
        <f t="shared" si="19"/>
        <v>52</v>
      </c>
      <c r="B83" s="222">
        <v>0.28750000000000003</v>
      </c>
      <c r="C83" s="110" t="s">
        <v>31</v>
      </c>
      <c r="D83" s="142">
        <v>9</v>
      </c>
      <c r="E83" s="117">
        <v>3</v>
      </c>
      <c r="F83" s="118" t="s">
        <v>60</v>
      </c>
      <c r="G83" s="250">
        <f t="shared" si="23"/>
        <v>3.3</v>
      </c>
      <c r="H83" s="250">
        <f t="shared" si="24"/>
        <v>3.63</v>
      </c>
      <c r="I83" s="250">
        <f t="shared" si="25"/>
        <v>8.15</v>
      </c>
      <c r="J83" s="250">
        <f t="shared" si="26"/>
        <v>0</v>
      </c>
      <c r="K83" s="250">
        <f t="shared" si="27"/>
        <v>0</v>
      </c>
      <c r="L83" s="250">
        <f t="shared" si="28"/>
        <v>0</v>
      </c>
      <c r="M83" s="250">
        <f t="shared" si="29"/>
        <v>0</v>
      </c>
      <c r="N83" s="171">
        <f t="shared" si="30"/>
        <v>15.08</v>
      </c>
      <c r="O83" s="218">
        <f t="shared" si="20"/>
        <v>15.856244083267088</v>
      </c>
      <c r="P83" s="219"/>
      <c r="Q83" s="219"/>
      <c r="R83" s="219"/>
      <c r="S83" s="219"/>
      <c r="T83" s="219"/>
      <c r="U83" s="219"/>
      <c r="V83" s="219"/>
      <c r="W83" s="219">
        <f>VLOOKUP(D83,[1]KEY!$D$35:$E$44,2,FALSE)</f>
        <v>26</v>
      </c>
      <c r="X83" s="220" t="str">
        <f t="shared" si="21"/>
        <v>N</v>
      </c>
      <c r="Y83" s="221">
        <f t="shared" si="22"/>
        <v>0</v>
      </c>
      <c r="Z83" s="124" t="s">
        <v>422</v>
      </c>
      <c r="AB83" s="110">
        <v>3300</v>
      </c>
      <c r="AC83" s="110">
        <v>3630</v>
      </c>
      <c r="AD83" s="119">
        <v>8150</v>
      </c>
      <c r="AE83" s="119"/>
      <c r="AF83" s="119"/>
      <c r="AG83" s="119"/>
      <c r="AH83" s="119"/>
    </row>
    <row r="84" spans="1:34" ht="20.100000000000001" customHeight="1" x14ac:dyDescent="0.25">
      <c r="A84" s="142">
        <f t="shared" si="19"/>
        <v>53</v>
      </c>
      <c r="B84" s="201">
        <v>0.32361111111111113</v>
      </c>
      <c r="C84" s="142" t="s">
        <v>86</v>
      </c>
      <c r="D84" s="142">
        <v>9</v>
      </c>
      <c r="E84" s="205">
        <v>3</v>
      </c>
      <c r="F84" s="76" t="s">
        <v>60</v>
      </c>
      <c r="G84" s="250">
        <f t="shared" si="23"/>
        <v>2.42</v>
      </c>
      <c r="H84" s="250">
        <f t="shared" si="24"/>
        <v>4.18</v>
      </c>
      <c r="I84" s="250">
        <f t="shared" si="25"/>
        <v>8.3000000000000007</v>
      </c>
      <c r="J84" s="250">
        <f t="shared" si="26"/>
        <v>0</v>
      </c>
      <c r="K84" s="250">
        <f t="shared" si="27"/>
        <v>0</v>
      </c>
      <c r="L84" s="250">
        <f t="shared" si="28"/>
        <v>0</v>
      </c>
      <c r="M84" s="250">
        <f t="shared" si="29"/>
        <v>0</v>
      </c>
      <c r="N84" s="171">
        <f t="shared" si="30"/>
        <v>14.9</v>
      </c>
      <c r="O84" s="218">
        <f t="shared" si="20"/>
        <v>15.022163810176949</v>
      </c>
      <c r="P84" s="219"/>
      <c r="Q84" s="219"/>
      <c r="R84" s="219"/>
      <c r="S84" s="219"/>
      <c r="T84" s="219"/>
      <c r="U84" s="219"/>
      <c r="V84" s="219"/>
      <c r="W84" s="219">
        <f>VLOOKUP(D84,[1]KEY!$D$35:$E$44,2,FALSE)</f>
        <v>26</v>
      </c>
      <c r="X84" s="220" t="str">
        <f t="shared" si="21"/>
        <v>N</v>
      </c>
      <c r="Y84" s="221">
        <f t="shared" si="22"/>
        <v>0</v>
      </c>
      <c r="Z84" s="209" t="s">
        <v>426</v>
      </c>
      <c r="AB84" s="79">
        <v>2420</v>
      </c>
      <c r="AC84" s="79">
        <v>4180</v>
      </c>
      <c r="AD84" s="119">
        <v>8300</v>
      </c>
      <c r="AE84" s="119"/>
      <c r="AF84" s="119"/>
      <c r="AG84" s="119"/>
      <c r="AH84" s="119"/>
    </row>
    <row r="85" spans="1:34" ht="20.100000000000001" customHeight="1" x14ac:dyDescent="0.25">
      <c r="A85" s="142">
        <f t="shared" si="19"/>
        <v>54</v>
      </c>
      <c r="B85" s="201">
        <v>0.43958333333333338</v>
      </c>
      <c r="C85" s="142" t="s">
        <v>97</v>
      </c>
      <c r="D85" s="142">
        <v>9</v>
      </c>
      <c r="E85" s="205">
        <v>3</v>
      </c>
      <c r="F85" s="76" t="s">
        <v>60</v>
      </c>
      <c r="G85" s="250">
        <f t="shared" si="23"/>
        <v>2.2000000000000002</v>
      </c>
      <c r="H85" s="250">
        <f t="shared" si="24"/>
        <v>5.5</v>
      </c>
      <c r="I85" s="250">
        <f t="shared" si="25"/>
        <v>9.0399999999999991</v>
      </c>
      <c r="J85" s="250">
        <f t="shared" si="26"/>
        <v>0</v>
      </c>
      <c r="K85" s="250">
        <f t="shared" si="27"/>
        <v>0</v>
      </c>
      <c r="L85" s="250">
        <f t="shared" si="28"/>
        <v>0</v>
      </c>
      <c r="M85" s="250">
        <f t="shared" si="29"/>
        <v>0</v>
      </c>
      <c r="N85" s="171">
        <f t="shared" si="30"/>
        <v>16.739999999999998</v>
      </c>
      <c r="O85" s="218">
        <f t="shared" si="20"/>
        <v>25.368443820793374</v>
      </c>
      <c r="P85" s="219"/>
      <c r="Q85" s="219"/>
      <c r="R85" s="219"/>
      <c r="S85" s="219"/>
      <c r="T85" s="219"/>
      <c r="U85" s="219"/>
      <c r="V85" s="219"/>
      <c r="W85" s="219">
        <f>VLOOKUP(D85,[1]KEY!$D$35:$E$44,2,FALSE)</f>
        <v>26</v>
      </c>
      <c r="X85" s="220" t="str">
        <f t="shared" si="21"/>
        <v>N</v>
      </c>
      <c r="Y85" s="221">
        <f t="shared" si="22"/>
        <v>0</v>
      </c>
      <c r="Z85" s="209" t="s">
        <v>426</v>
      </c>
      <c r="AB85" s="79">
        <v>2200</v>
      </c>
      <c r="AC85" s="79">
        <v>5500</v>
      </c>
      <c r="AD85" s="119">
        <v>9040</v>
      </c>
      <c r="AE85" s="119"/>
      <c r="AF85" s="119"/>
      <c r="AG85" s="119"/>
      <c r="AH85" s="119"/>
    </row>
    <row r="86" spans="1:34" ht="20.100000000000001" customHeight="1" x14ac:dyDescent="0.25">
      <c r="A86" s="142">
        <f t="shared" si="19"/>
        <v>55</v>
      </c>
      <c r="B86" s="201">
        <v>0.44513888888888892</v>
      </c>
      <c r="C86" s="223" t="s">
        <v>98</v>
      </c>
      <c r="D86" s="142">
        <v>9</v>
      </c>
      <c r="E86" s="224">
        <v>3</v>
      </c>
      <c r="F86" s="225" t="s">
        <v>60</v>
      </c>
      <c r="G86" s="250">
        <f t="shared" si="23"/>
        <v>2.86</v>
      </c>
      <c r="H86" s="250">
        <f t="shared" si="24"/>
        <v>5.39</v>
      </c>
      <c r="I86" s="250">
        <f t="shared" si="25"/>
        <v>8.5299999999999994</v>
      </c>
      <c r="J86" s="250">
        <f t="shared" si="26"/>
        <v>0</v>
      </c>
      <c r="K86" s="250">
        <f t="shared" si="27"/>
        <v>0</v>
      </c>
      <c r="L86" s="250">
        <f t="shared" si="28"/>
        <v>0</v>
      </c>
      <c r="M86" s="250">
        <f t="shared" si="29"/>
        <v>0</v>
      </c>
      <c r="N86" s="171">
        <f t="shared" si="30"/>
        <v>16.78</v>
      </c>
      <c r="O86" s="218">
        <f t="shared" si="20"/>
        <v>25.642365712740062</v>
      </c>
      <c r="P86" s="219"/>
      <c r="Q86" s="219"/>
      <c r="R86" s="219"/>
      <c r="S86" s="219"/>
      <c r="T86" s="219"/>
      <c r="U86" s="219"/>
      <c r="V86" s="219"/>
      <c r="W86" s="219">
        <f>VLOOKUP(D86,[1]KEY!$D$35:$E$44,2,FALSE)</f>
        <v>26</v>
      </c>
      <c r="X86" s="220" t="str">
        <f t="shared" si="21"/>
        <v>N</v>
      </c>
      <c r="Y86" s="221">
        <f t="shared" si="22"/>
        <v>0</v>
      </c>
      <c r="Z86" s="209" t="s">
        <v>426</v>
      </c>
      <c r="AB86" s="79">
        <v>2860</v>
      </c>
      <c r="AC86" s="79">
        <v>5390</v>
      </c>
      <c r="AD86" s="119">
        <v>8530</v>
      </c>
      <c r="AE86" s="119"/>
      <c r="AF86" s="119"/>
      <c r="AG86" s="119"/>
      <c r="AH86" s="119"/>
    </row>
    <row r="87" spans="1:34" ht="20.100000000000001" customHeight="1" x14ac:dyDescent="0.25">
      <c r="A87" s="142">
        <f t="shared" si="19"/>
        <v>56</v>
      </c>
      <c r="B87" s="201">
        <v>0.28888888888888892</v>
      </c>
      <c r="C87" s="142" t="s">
        <v>31</v>
      </c>
      <c r="D87" s="142">
        <v>9</v>
      </c>
      <c r="E87" s="205">
        <v>3</v>
      </c>
      <c r="F87" s="76" t="s">
        <v>60</v>
      </c>
      <c r="G87" s="250">
        <f t="shared" si="23"/>
        <v>2.86</v>
      </c>
      <c r="H87" s="250">
        <f t="shared" si="24"/>
        <v>4.18</v>
      </c>
      <c r="I87" s="250">
        <f t="shared" si="25"/>
        <v>8.2100000000000009</v>
      </c>
      <c r="J87" s="250">
        <f t="shared" si="26"/>
        <v>0</v>
      </c>
      <c r="K87" s="250">
        <f t="shared" si="27"/>
        <v>0</v>
      </c>
      <c r="L87" s="250">
        <f t="shared" si="28"/>
        <v>0</v>
      </c>
      <c r="M87" s="250">
        <f t="shared" si="29"/>
        <v>0</v>
      </c>
      <c r="N87" s="171">
        <f t="shared" si="30"/>
        <v>15.25</v>
      </c>
      <c r="O87" s="218">
        <f t="shared" si="20"/>
        <v>16.676641093290087</v>
      </c>
      <c r="P87" s="219"/>
      <c r="Q87" s="219"/>
      <c r="R87" s="219"/>
      <c r="S87" s="219"/>
      <c r="T87" s="219"/>
      <c r="U87" s="219"/>
      <c r="V87" s="219"/>
      <c r="W87" s="219">
        <f>VLOOKUP(D87,KEY!$D$35:$E$44,2,FALSE)</f>
        <v>26</v>
      </c>
      <c r="X87" s="220" t="str">
        <f t="shared" si="21"/>
        <v>N</v>
      </c>
      <c r="Y87" s="221">
        <f t="shared" si="22"/>
        <v>0</v>
      </c>
      <c r="Z87" s="209" t="s">
        <v>426</v>
      </c>
      <c r="AB87" s="79">
        <v>2860</v>
      </c>
      <c r="AC87" s="79">
        <v>4180</v>
      </c>
      <c r="AD87" s="119">
        <v>8210</v>
      </c>
      <c r="AE87" s="119"/>
      <c r="AF87" s="119"/>
      <c r="AG87" s="119"/>
      <c r="AH87" s="119"/>
    </row>
    <row r="88" spans="1:34" ht="20.100000000000001" customHeight="1" x14ac:dyDescent="0.25">
      <c r="A88" s="142">
        <f t="shared" si="19"/>
        <v>57</v>
      </c>
      <c r="B88" s="201">
        <v>0.28958333333333336</v>
      </c>
      <c r="C88" s="142" t="s">
        <v>32</v>
      </c>
      <c r="D88" s="142">
        <v>9</v>
      </c>
      <c r="E88" s="205">
        <v>3</v>
      </c>
      <c r="F88" s="76" t="s">
        <v>60</v>
      </c>
      <c r="G88" s="250">
        <f t="shared" si="23"/>
        <v>2.75</v>
      </c>
      <c r="H88" s="250">
        <f t="shared" si="24"/>
        <v>5.5</v>
      </c>
      <c r="I88" s="250">
        <f t="shared" si="25"/>
        <v>8.9700000000000006</v>
      </c>
      <c r="J88" s="250">
        <f t="shared" si="26"/>
        <v>0</v>
      </c>
      <c r="K88" s="250">
        <f t="shared" si="27"/>
        <v>0</v>
      </c>
      <c r="L88" s="250">
        <f t="shared" si="28"/>
        <v>0</v>
      </c>
      <c r="M88" s="250">
        <f t="shared" si="29"/>
        <v>0</v>
      </c>
      <c r="N88" s="171">
        <f t="shared" si="30"/>
        <v>17.22</v>
      </c>
      <c r="O88" s="218">
        <f t="shared" si="20"/>
        <v>28.810012561439983</v>
      </c>
      <c r="P88" s="219"/>
      <c r="Q88" s="219"/>
      <c r="R88" s="219"/>
      <c r="S88" s="219"/>
      <c r="T88" s="219"/>
      <c r="U88" s="219"/>
      <c r="V88" s="219"/>
      <c r="W88" s="219">
        <f>VLOOKUP(D88,KEY!$D$35:$E$44,2,FALSE)</f>
        <v>26</v>
      </c>
      <c r="X88" s="220" t="str">
        <f t="shared" si="21"/>
        <v>N</v>
      </c>
      <c r="Y88" s="221">
        <f t="shared" si="22"/>
        <v>0</v>
      </c>
      <c r="Z88" s="209" t="s">
        <v>426</v>
      </c>
      <c r="AB88" s="79">
        <v>2750</v>
      </c>
      <c r="AC88" s="79">
        <v>5500</v>
      </c>
      <c r="AD88" s="119">
        <v>8970</v>
      </c>
      <c r="AE88" s="119"/>
      <c r="AF88" s="119"/>
      <c r="AG88" s="119"/>
      <c r="AH88" s="119"/>
    </row>
    <row r="89" spans="1:34" ht="20.100000000000001" customHeight="1" x14ac:dyDescent="0.25">
      <c r="A89" s="142">
        <f t="shared" si="19"/>
        <v>58</v>
      </c>
      <c r="B89" s="201">
        <v>0.29097222222222224</v>
      </c>
      <c r="C89" s="142" t="s">
        <v>35</v>
      </c>
      <c r="D89" s="142">
        <v>9</v>
      </c>
      <c r="E89" s="205">
        <v>3</v>
      </c>
      <c r="F89" s="76" t="s">
        <v>60</v>
      </c>
      <c r="G89" s="250">
        <f t="shared" si="23"/>
        <v>2.97</v>
      </c>
      <c r="H89" s="250">
        <f t="shared" si="24"/>
        <v>4.62</v>
      </c>
      <c r="I89" s="250">
        <f t="shared" si="25"/>
        <v>9.42</v>
      </c>
      <c r="J89" s="250">
        <f t="shared" si="26"/>
        <v>0</v>
      </c>
      <c r="K89" s="250">
        <f t="shared" si="27"/>
        <v>0</v>
      </c>
      <c r="L89" s="250">
        <f t="shared" si="28"/>
        <v>0</v>
      </c>
      <c r="M89" s="250">
        <f t="shared" si="29"/>
        <v>0</v>
      </c>
      <c r="N89" s="171">
        <f t="shared" si="30"/>
        <v>17.009999999999998</v>
      </c>
      <c r="O89" s="218">
        <f t="shared" si="20"/>
        <v>27.26237559918307</v>
      </c>
      <c r="P89" s="219"/>
      <c r="Q89" s="219"/>
      <c r="R89" s="219"/>
      <c r="S89" s="219"/>
      <c r="T89" s="219"/>
      <c r="U89" s="219"/>
      <c r="V89" s="219"/>
      <c r="W89" s="219">
        <f>VLOOKUP(D89,KEY!$D$35:$E$44,2,FALSE)</f>
        <v>26</v>
      </c>
      <c r="X89" s="220" t="str">
        <f t="shared" si="21"/>
        <v>N</v>
      </c>
      <c r="Y89" s="221">
        <f t="shared" si="22"/>
        <v>0</v>
      </c>
      <c r="Z89" s="209" t="s">
        <v>426</v>
      </c>
      <c r="AB89" s="79">
        <v>2970</v>
      </c>
      <c r="AC89" s="79">
        <v>4620</v>
      </c>
      <c r="AD89" s="119">
        <v>9420</v>
      </c>
      <c r="AE89" s="119"/>
      <c r="AF89" s="119"/>
      <c r="AG89" s="119"/>
      <c r="AH89" s="119"/>
    </row>
    <row r="90" spans="1:34" ht="20.100000000000001" customHeight="1" x14ac:dyDescent="0.25">
      <c r="A90" s="142">
        <f t="shared" si="19"/>
        <v>59</v>
      </c>
      <c r="B90" s="226">
        <v>0.53402777777777777</v>
      </c>
      <c r="C90" s="223" t="s">
        <v>47</v>
      </c>
      <c r="D90" s="142">
        <v>9</v>
      </c>
      <c r="E90" s="224">
        <v>3</v>
      </c>
      <c r="F90" s="76" t="s">
        <v>60</v>
      </c>
      <c r="G90" s="250">
        <f t="shared" si="23"/>
        <v>3.5</v>
      </c>
      <c r="H90" s="250">
        <f t="shared" si="24"/>
        <v>6.6</v>
      </c>
      <c r="I90" s="250">
        <f t="shared" si="25"/>
        <v>14.35</v>
      </c>
      <c r="J90" s="250">
        <f t="shared" si="26"/>
        <v>0</v>
      </c>
      <c r="K90" s="250">
        <f t="shared" si="27"/>
        <v>0</v>
      </c>
      <c r="L90" s="250">
        <f t="shared" si="28"/>
        <v>0</v>
      </c>
      <c r="M90" s="250">
        <f t="shared" si="29"/>
        <v>0</v>
      </c>
      <c r="N90" s="171">
        <f t="shared" si="30"/>
        <v>24.45</v>
      </c>
      <c r="O90" s="218">
        <f t="shared" si="20"/>
        <v>139.52408117193676</v>
      </c>
      <c r="P90" s="219"/>
      <c r="Q90" s="219"/>
      <c r="R90" s="219"/>
      <c r="S90" s="219"/>
      <c r="T90" s="219"/>
      <c r="U90" s="219"/>
      <c r="V90" s="219"/>
      <c r="W90" s="219">
        <f>VLOOKUP(D90,KEY!$D$35:$E$44,2,FALSE)</f>
        <v>26</v>
      </c>
      <c r="X90" s="220" t="str">
        <f t="shared" si="21"/>
        <v>N</v>
      </c>
      <c r="Y90" s="221">
        <f t="shared" si="22"/>
        <v>0</v>
      </c>
      <c r="Z90" s="209" t="s">
        <v>426</v>
      </c>
      <c r="AB90" s="79">
        <v>3500</v>
      </c>
      <c r="AC90" s="79">
        <v>6600</v>
      </c>
      <c r="AD90" s="119">
        <v>14350</v>
      </c>
      <c r="AE90" s="119"/>
      <c r="AF90" s="119"/>
      <c r="AG90" s="119"/>
      <c r="AH90" s="119"/>
    </row>
    <row r="91" spans="1:34" ht="20.100000000000001" customHeight="1" x14ac:dyDescent="0.25">
      <c r="A91" s="142">
        <f t="shared" si="19"/>
        <v>60</v>
      </c>
      <c r="B91" s="201">
        <v>0.67569444444444438</v>
      </c>
      <c r="C91" s="142" t="s">
        <v>59</v>
      </c>
      <c r="D91" s="142">
        <v>9</v>
      </c>
      <c r="E91" s="205">
        <v>3</v>
      </c>
      <c r="F91" s="76" t="s">
        <v>60</v>
      </c>
      <c r="G91" s="250">
        <f t="shared" si="23"/>
        <v>2.75</v>
      </c>
      <c r="H91" s="250">
        <f t="shared" si="24"/>
        <v>4.7300000000000004</v>
      </c>
      <c r="I91" s="250">
        <f t="shared" si="25"/>
        <v>9.2100000000000009</v>
      </c>
      <c r="J91" s="250">
        <f t="shared" si="26"/>
        <v>0</v>
      </c>
      <c r="K91" s="250">
        <f t="shared" si="27"/>
        <v>0</v>
      </c>
      <c r="L91" s="250">
        <f t="shared" si="28"/>
        <v>0</v>
      </c>
      <c r="M91" s="250">
        <f t="shared" si="29"/>
        <v>0</v>
      </c>
      <c r="N91" s="171">
        <f t="shared" si="30"/>
        <v>16.690000000000001</v>
      </c>
      <c r="O91" s="218">
        <f t="shared" si="20"/>
        <v>25.029247952311405</v>
      </c>
      <c r="P91" s="219"/>
      <c r="Q91" s="219"/>
      <c r="R91" s="219"/>
      <c r="S91" s="219"/>
      <c r="T91" s="219"/>
      <c r="U91" s="219"/>
      <c r="V91" s="219"/>
      <c r="W91" s="219">
        <f>VLOOKUP(D91,KEY!$D$35:$E$44,2,FALSE)</f>
        <v>26</v>
      </c>
      <c r="X91" s="220" t="str">
        <f t="shared" si="21"/>
        <v>N</v>
      </c>
      <c r="Y91" s="221">
        <f t="shared" si="22"/>
        <v>0</v>
      </c>
      <c r="Z91" s="209" t="s">
        <v>426</v>
      </c>
      <c r="AB91" s="79">
        <v>2750</v>
      </c>
      <c r="AC91" s="79">
        <v>4730</v>
      </c>
      <c r="AD91" s="119">
        <v>9210</v>
      </c>
      <c r="AE91" s="119"/>
      <c r="AF91" s="119"/>
      <c r="AG91" s="119"/>
      <c r="AH91" s="119"/>
    </row>
    <row r="92" spans="1:34" ht="20.100000000000001" customHeight="1" x14ac:dyDescent="0.25">
      <c r="A92" s="110">
        <f t="shared" si="19"/>
        <v>61</v>
      </c>
      <c r="B92" s="126">
        <v>0.30624999999999997</v>
      </c>
      <c r="C92" s="110" t="s">
        <v>331</v>
      </c>
      <c r="D92" s="142">
        <f t="shared" ref="D92:D102" si="31">IF(COUNT(G92:J92)&gt;3,10,IF(COUNT(G92:J92)&gt;2,9,7))</f>
        <v>10</v>
      </c>
      <c r="E92" s="117">
        <v>6</v>
      </c>
      <c r="F92" s="118" t="s">
        <v>29</v>
      </c>
      <c r="G92" s="250">
        <f t="shared" si="23"/>
        <v>3.63</v>
      </c>
      <c r="H92" s="250">
        <f t="shared" si="24"/>
        <v>4.29</v>
      </c>
      <c r="I92" s="250">
        <f t="shared" si="25"/>
        <v>8.0500000000000007</v>
      </c>
      <c r="J92" s="250">
        <f t="shared" si="26"/>
        <v>12.2</v>
      </c>
      <c r="K92" s="250">
        <f t="shared" si="27"/>
        <v>7.39</v>
      </c>
      <c r="L92" s="250">
        <f t="shared" si="28"/>
        <v>8.44</v>
      </c>
      <c r="M92" s="250">
        <f t="shared" si="29"/>
        <v>0</v>
      </c>
      <c r="N92" s="171">
        <f t="shared" si="30"/>
        <v>44</v>
      </c>
      <c r="O92" s="218">
        <f t="shared" si="20"/>
        <v>1963.0498568357609</v>
      </c>
      <c r="P92" s="219"/>
      <c r="Q92" s="219"/>
      <c r="R92" s="219"/>
      <c r="S92" s="219"/>
      <c r="T92" s="219"/>
      <c r="U92" s="219"/>
      <c r="V92" s="219"/>
      <c r="W92" s="219">
        <f>VLOOKUP(D92,[1]KEY!$D$35:$E$44,2,FALSE)</f>
        <v>46</v>
      </c>
      <c r="X92" s="220" t="str">
        <f t="shared" si="21"/>
        <v>N</v>
      </c>
      <c r="Y92" s="221">
        <f t="shared" si="22"/>
        <v>0</v>
      </c>
      <c r="Z92" s="124" t="s">
        <v>429</v>
      </c>
      <c r="AB92" s="119">
        <v>3630</v>
      </c>
      <c r="AC92" s="119">
        <v>4290</v>
      </c>
      <c r="AD92" s="119">
        <v>8050</v>
      </c>
      <c r="AE92" s="119">
        <v>12200</v>
      </c>
      <c r="AF92" s="119">
        <v>7390</v>
      </c>
      <c r="AG92" s="119">
        <v>8440</v>
      </c>
      <c r="AH92" s="119"/>
    </row>
    <row r="93" spans="1:34" ht="20.100000000000001" customHeight="1" x14ac:dyDescent="0.25">
      <c r="A93" s="110">
        <f t="shared" si="19"/>
        <v>62</v>
      </c>
      <c r="B93" s="109">
        <v>0.30902777777777779</v>
      </c>
      <c r="C93" s="110" t="s">
        <v>346</v>
      </c>
      <c r="D93" s="5">
        <f t="shared" si="31"/>
        <v>10</v>
      </c>
      <c r="E93" s="111">
        <v>6</v>
      </c>
      <c r="F93" s="112" t="s">
        <v>29</v>
      </c>
      <c r="G93" s="250">
        <f t="shared" si="23"/>
        <v>3.63</v>
      </c>
      <c r="H93" s="250">
        <f t="shared" si="24"/>
        <v>4.84</v>
      </c>
      <c r="I93" s="250">
        <f t="shared" si="25"/>
        <v>8.24</v>
      </c>
      <c r="J93" s="250">
        <f t="shared" si="26"/>
        <v>7.31</v>
      </c>
      <c r="K93" s="250">
        <f t="shared" si="27"/>
        <v>7.02</v>
      </c>
      <c r="L93" s="250">
        <f t="shared" si="28"/>
        <v>7.92</v>
      </c>
      <c r="M93" s="250">
        <f t="shared" si="29"/>
        <v>0</v>
      </c>
      <c r="N93" s="171">
        <f t="shared" si="30"/>
        <v>38.96</v>
      </c>
      <c r="O93" s="171">
        <f t="shared" si="20"/>
        <v>1135.4801658801414</v>
      </c>
      <c r="P93" s="172"/>
      <c r="Q93" s="172"/>
      <c r="R93" s="172"/>
      <c r="S93" s="172"/>
      <c r="T93" s="172"/>
      <c r="U93" s="172"/>
      <c r="V93" s="172"/>
      <c r="W93" s="172">
        <f>VLOOKUP(D93,[1]KEY!$D$35:$E$44,2,FALSE)</f>
        <v>46</v>
      </c>
      <c r="X93" s="173" t="str">
        <f t="shared" si="21"/>
        <v>N</v>
      </c>
      <c r="Y93" s="174">
        <f t="shared" si="22"/>
        <v>0</v>
      </c>
      <c r="Z93" s="116" t="s">
        <v>426</v>
      </c>
      <c r="AB93" s="113">
        <v>3630</v>
      </c>
      <c r="AC93" s="113">
        <v>4840</v>
      </c>
      <c r="AD93" s="119">
        <v>8240</v>
      </c>
      <c r="AE93" s="119">
        <v>7310</v>
      </c>
      <c r="AF93" s="119">
        <v>7020</v>
      </c>
      <c r="AG93" s="119">
        <v>7920</v>
      </c>
      <c r="AH93" s="119"/>
    </row>
    <row r="94" spans="1:34" ht="20.100000000000001" customHeight="1" x14ac:dyDescent="0.25">
      <c r="A94" s="110">
        <f t="shared" si="19"/>
        <v>63</v>
      </c>
      <c r="B94" s="109">
        <v>0.31458333333333333</v>
      </c>
      <c r="C94" s="110" t="s">
        <v>344</v>
      </c>
      <c r="D94" s="5">
        <f t="shared" si="31"/>
        <v>10</v>
      </c>
      <c r="E94" s="111">
        <v>6</v>
      </c>
      <c r="F94" s="112" t="s">
        <v>29</v>
      </c>
      <c r="G94" s="250">
        <f t="shared" si="23"/>
        <v>4.29</v>
      </c>
      <c r="H94" s="250">
        <f t="shared" si="24"/>
        <v>5.0599999999999996</v>
      </c>
      <c r="I94" s="250">
        <f t="shared" si="25"/>
        <v>6</v>
      </c>
      <c r="J94" s="250">
        <f t="shared" si="26"/>
        <v>8.26</v>
      </c>
      <c r="K94" s="250">
        <f t="shared" si="27"/>
        <v>6.97</v>
      </c>
      <c r="L94" s="250">
        <f t="shared" si="28"/>
        <v>7.8</v>
      </c>
      <c r="M94" s="250">
        <f t="shared" si="29"/>
        <v>0</v>
      </c>
      <c r="N94" s="171">
        <f t="shared" si="30"/>
        <v>38.379999999999995</v>
      </c>
      <c r="O94" s="171">
        <f t="shared" si="20"/>
        <v>1061.3696197937973</v>
      </c>
      <c r="P94" s="172"/>
      <c r="Q94" s="172"/>
      <c r="R94" s="172"/>
      <c r="S94" s="172"/>
      <c r="T94" s="172"/>
      <c r="U94" s="172"/>
      <c r="V94" s="172"/>
      <c r="W94" s="172">
        <f>VLOOKUP(D94,[1]KEY!$D$35:$E$44,2,FALSE)</f>
        <v>46</v>
      </c>
      <c r="X94" s="173" t="str">
        <f t="shared" si="21"/>
        <v>N</v>
      </c>
      <c r="Y94" s="174">
        <f t="shared" si="22"/>
        <v>0</v>
      </c>
      <c r="Z94" s="116" t="s">
        <v>429</v>
      </c>
      <c r="AB94" s="113">
        <v>4290</v>
      </c>
      <c r="AC94" s="113">
        <v>5060</v>
      </c>
      <c r="AD94" s="119">
        <v>6000</v>
      </c>
      <c r="AE94" s="119">
        <v>8260</v>
      </c>
      <c r="AF94" s="119">
        <v>6970</v>
      </c>
      <c r="AG94" s="119">
        <v>7800</v>
      </c>
      <c r="AH94" s="119"/>
    </row>
    <row r="95" spans="1:34" ht="20.100000000000001" customHeight="1" x14ac:dyDescent="0.25">
      <c r="A95" s="110">
        <f t="shared" si="19"/>
        <v>64</v>
      </c>
      <c r="B95" s="109">
        <v>0.31875000000000003</v>
      </c>
      <c r="C95" s="110" t="s">
        <v>342</v>
      </c>
      <c r="D95" s="5">
        <f t="shared" si="31"/>
        <v>10</v>
      </c>
      <c r="E95" s="111">
        <v>6</v>
      </c>
      <c r="F95" s="112" t="s">
        <v>29</v>
      </c>
      <c r="G95" s="250">
        <f t="shared" si="23"/>
        <v>2.86</v>
      </c>
      <c r="H95" s="250">
        <f t="shared" si="24"/>
        <v>4.4000000000000004</v>
      </c>
      <c r="I95" s="250">
        <f t="shared" si="25"/>
        <v>8.0500000000000007</v>
      </c>
      <c r="J95" s="250">
        <f t="shared" si="26"/>
        <v>5.84</v>
      </c>
      <c r="K95" s="250">
        <f t="shared" si="27"/>
        <v>7.23</v>
      </c>
      <c r="L95" s="250">
        <f t="shared" si="28"/>
        <v>6.59</v>
      </c>
      <c r="M95" s="250">
        <f t="shared" si="29"/>
        <v>0</v>
      </c>
      <c r="N95" s="171">
        <f t="shared" si="30"/>
        <v>34.97</v>
      </c>
      <c r="O95" s="171">
        <f t="shared" si="20"/>
        <v>698.27200543115316</v>
      </c>
      <c r="P95" s="172"/>
      <c r="Q95" s="172"/>
      <c r="R95" s="172"/>
      <c r="S95" s="172"/>
      <c r="T95" s="172"/>
      <c r="U95" s="172"/>
      <c r="V95" s="172"/>
      <c r="W95" s="172">
        <f>VLOOKUP(D95,[1]KEY!$D$35:$E$44,2,FALSE)</f>
        <v>46</v>
      </c>
      <c r="X95" s="173" t="str">
        <f t="shared" si="21"/>
        <v>N</v>
      </c>
      <c r="Y95" s="174">
        <f t="shared" si="22"/>
        <v>0</v>
      </c>
      <c r="Z95" s="116" t="s">
        <v>429</v>
      </c>
      <c r="AB95" s="113">
        <v>2860</v>
      </c>
      <c r="AC95" s="113">
        <v>4400</v>
      </c>
      <c r="AD95" s="119">
        <v>8050</v>
      </c>
      <c r="AE95" s="119">
        <v>5840</v>
      </c>
      <c r="AF95" s="119">
        <v>7230</v>
      </c>
      <c r="AG95" s="119">
        <v>6590</v>
      </c>
      <c r="AH95" s="119"/>
    </row>
    <row r="96" spans="1:34" ht="20.100000000000001" customHeight="1" x14ac:dyDescent="0.25">
      <c r="A96" s="110">
        <f t="shared" si="19"/>
        <v>65</v>
      </c>
      <c r="B96" s="109">
        <v>0.33819444444444446</v>
      </c>
      <c r="C96" s="110" t="s">
        <v>136</v>
      </c>
      <c r="D96" s="5">
        <f t="shared" si="31"/>
        <v>10</v>
      </c>
      <c r="E96" s="111">
        <v>6</v>
      </c>
      <c r="F96" s="112" t="s">
        <v>29</v>
      </c>
      <c r="G96" s="250">
        <f t="shared" si="23"/>
        <v>3.52</v>
      </c>
      <c r="H96" s="250">
        <f t="shared" si="24"/>
        <v>4.7300000000000004</v>
      </c>
      <c r="I96" s="250">
        <f t="shared" si="25"/>
        <v>6.45</v>
      </c>
      <c r="J96" s="250">
        <f t="shared" si="26"/>
        <v>6.16</v>
      </c>
      <c r="K96" s="250">
        <f t="shared" si="27"/>
        <v>7.74</v>
      </c>
      <c r="L96" s="250">
        <f t="shared" si="28"/>
        <v>7.33</v>
      </c>
      <c r="M96" s="250">
        <f t="shared" si="29"/>
        <v>0</v>
      </c>
      <c r="N96" s="171">
        <f t="shared" si="30"/>
        <v>35.93</v>
      </c>
      <c r="O96" s="171">
        <f t="shared" si="20"/>
        <v>788.77250400288074</v>
      </c>
      <c r="P96" s="172"/>
      <c r="Q96" s="172"/>
      <c r="R96" s="172"/>
      <c r="S96" s="172"/>
      <c r="T96" s="172"/>
      <c r="U96" s="172"/>
      <c r="V96" s="172"/>
      <c r="W96" s="172">
        <f>VLOOKUP(D96,[1]KEY!$D$35:$E$44,2,FALSE)</f>
        <v>46</v>
      </c>
      <c r="X96" s="173" t="str">
        <f t="shared" si="21"/>
        <v>N</v>
      </c>
      <c r="Y96" s="174">
        <f t="shared" si="22"/>
        <v>0</v>
      </c>
      <c r="Z96" s="116" t="s">
        <v>429</v>
      </c>
      <c r="AB96" s="113">
        <v>3520</v>
      </c>
      <c r="AC96" s="113">
        <v>4730</v>
      </c>
      <c r="AD96" s="119">
        <v>6450</v>
      </c>
      <c r="AE96" s="119">
        <v>6160</v>
      </c>
      <c r="AF96" s="119">
        <v>7740</v>
      </c>
      <c r="AG96" s="119">
        <v>7330</v>
      </c>
      <c r="AH96" s="119"/>
    </row>
    <row r="97" spans="1:34" ht="20.100000000000001" customHeight="1" x14ac:dyDescent="0.25">
      <c r="A97" s="110">
        <f t="shared" ref="A97:A128" si="32">A96+1</f>
        <v>66</v>
      </c>
      <c r="B97" s="109">
        <v>0.34652777777777777</v>
      </c>
      <c r="C97" s="110" t="s">
        <v>139</v>
      </c>
      <c r="D97" s="5">
        <f t="shared" si="31"/>
        <v>10</v>
      </c>
      <c r="E97" s="111">
        <v>6</v>
      </c>
      <c r="F97" s="118" t="s">
        <v>237</v>
      </c>
      <c r="G97" s="250">
        <f t="shared" si="23"/>
        <v>2.5299999999999998</v>
      </c>
      <c r="H97" s="250">
        <f t="shared" si="24"/>
        <v>2.09</v>
      </c>
      <c r="I97" s="250">
        <f t="shared" si="25"/>
        <v>7.4</v>
      </c>
      <c r="J97" s="250">
        <f t="shared" si="26"/>
        <v>7.19</v>
      </c>
      <c r="K97" s="250">
        <f t="shared" si="27"/>
        <v>7.03</v>
      </c>
      <c r="L97" s="250">
        <f t="shared" si="28"/>
        <v>7.46</v>
      </c>
      <c r="M97" s="250">
        <f t="shared" si="29"/>
        <v>0</v>
      </c>
      <c r="N97" s="171">
        <f t="shared" si="30"/>
        <v>33.700000000000003</v>
      </c>
      <c r="O97" s="171">
        <f t="shared" si="20"/>
        <v>591.19239608555642</v>
      </c>
      <c r="P97" s="172"/>
      <c r="Q97" s="172"/>
      <c r="R97" s="172"/>
      <c r="S97" s="172"/>
      <c r="T97" s="172"/>
      <c r="U97" s="172"/>
      <c r="V97" s="172"/>
      <c r="W97" s="172">
        <f>VLOOKUP(D97,[1]KEY!$D$35:$E$44,2,FALSE)</f>
        <v>46</v>
      </c>
      <c r="X97" s="173" t="str">
        <f t="shared" si="21"/>
        <v>N</v>
      </c>
      <c r="Y97" s="174">
        <f t="shared" si="22"/>
        <v>0</v>
      </c>
      <c r="Z97" s="116" t="s">
        <v>429</v>
      </c>
      <c r="AB97" s="113">
        <v>2530</v>
      </c>
      <c r="AC97" s="113">
        <v>2090</v>
      </c>
      <c r="AD97" s="119">
        <v>7400</v>
      </c>
      <c r="AE97" s="119">
        <v>7190</v>
      </c>
      <c r="AF97" s="119">
        <v>7030</v>
      </c>
      <c r="AG97" s="119">
        <v>7460</v>
      </c>
      <c r="AH97" s="119"/>
    </row>
    <row r="98" spans="1:34" ht="20.100000000000001" customHeight="1" x14ac:dyDescent="0.25">
      <c r="A98" s="110">
        <f t="shared" si="32"/>
        <v>67</v>
      </c>
      <c r="B98" s="120">
        <v>0.34791666666666665</v>
      </c>
      <c r="C98" s="110" t="s">
        <v>140</v>
      </c>
      <c r="D98" s="5">
        <f t="shared" si="31"/>
        <v>10</v>
      </c>
      <c r="E98" s="111">
        <v>6</v>
      </c>
      <c r="F98" s="118" t="s">
        <v>110</v>
      </c>
      <c r="G98" s="250">
        <f t="shared" si="23"/>
        <v>2.42</v>
      </c>
      <c r="H98" s="250">
        <f t="shared" si="24"/>
        <v>2.97</v>
      </c>
      <c r="I98" s="250">
        <f t="shared" si="25"/>
        <v>8.27</v>
      </c>
      <c r="J98" s="250">
        <f t="shared" si="26"/>
        <v>7.2</v>
      </c>
      <c r="K98" s="250">
        <f t="shared" si="27"/>
        <v>8.19</v>
      </c>
      <c r="L98" s="250">
        <f t="shared" si="28"/>
        <v>7.25</v>
      </c>
      <c r="M98" s="250">
        <f t="shared" si="29"/>
        <v>0</v>
      </c>
      <c r="N98" s="171">
        <f t="shared" si="30"/>
        <v>36.299999999999997</v>
      </c>
      <c r="O98" s="171">
        <f t="shared" si="20"/>
        <v>825.98868536889984</v>
      </c>
      <c r="P98" s="172"/>
      <c r="Q98" s="172"/>
      <c r="R98" s="172"/>
      <c r="S98" s="172"/>
      <c r="T98" s="172"/>
      <c r="U98" s="172"/>
      <c r="V98" s="172"/>
      <c r="W98" s="172">
        <f>VLOOKUP(D98,[1]KEY!$D$35:$E$44,2,FALSE)</f>
        <v>46</v>
      </c>
      <c r="X98" s="173" t="str">
        <f t="shared" si="21"/>
        <v>N</v>
      </c>
      <c r="Y98" s="174">
        <f t="shared" si="22"/>
        <v>0</v>
      </c>
      <c r="Z98" s="116" t="s">
        <v>429</v>
      </c>
      <c r="AB98" s="113">
        <v>2420</v>
      </c>
      <c r="AC98" s="113">
        <v>2970</v>
      </c>
      <c r="AD98" s="119">
        <v>8270</v>
      </c>
      <c r="AE98" s="119">
        <v>7200</v>
      </c>
      <c r="AF98" s="119">
        <v>8190</v>
      </c>
      <c r="AG98" s="119">
        <v>7250</v>
      </c>
      <c r="AH98" s="119"/>
    </row>
    <row r="99" spans="1:34" ht="20.100000000000001" customHeight="1" x14ac:dyDescent="0.25">
      <c r="A99" s="110">
        <f t="shared" si="32"/>
        <v>68</v>
      </c>
      <c r="B99" s="109">
        <v>0.3756944444444445</v>
      </c>
      <c r="C99" s="121" t="s">
        <v>151</v>
      </c>
      <c r="D99" s="5">
        <f t="shared" si="31"/>
        <v>10</v>
      </c>
      <c r="E99" s="111">
        <v>6</v>
      </c>
      <c r="F99" s="112" t="s">
        <v>29</v>
      </c>
      <c r="G99" s="250">
        <f t="shared" si="23"/>
        <v>3.3</v>
      </c>
      <c r="H99" s="250">
        <f t="shared" si="24"/>
        <v>4.84</v>
      </c>
      <c r="I99" s="250">
        <f t="shared" si="25"/>
        <v>7.81</v>
      </c>
      <c r="J99" s="250">
        <f t="shared" si="26"/>
        <v>6.87</v>
      </c>
      <c r="K99" s="250">
        <f t="shared" si="27"/>
        <v>7.53</v>
      </c>
      <c r="L99" s="250">
        <f t="shared" si="28"/>
        <v>6.5</v>
      </c>
      <c r="M99" s="250">
        <f t="shared" si="29"/>
        <v>0</v>
      </c>
      <c r="N99" s="171">
        <f t="shared" si="30"/>
        <v>36.85</v>
      </c>
      <c r="O99" s="171">
        <f t="shared" si="20"/>
        <v>883.8183220447446</v>
      </c>
      <c r="P99" s="172"/>
      <c r="Q99" s="172"/>
      <c r="R99" s="172"/>
      <c r="S99" s="172"/>
      <c r="T99" s="172"/>
      <c r="U99" s="172"/>
      <c r="V99" s="172"/>
      <c r="W99" s="172">
        <f>VLOOKUP(D99,[1]KEY!$D$35:$E$44,2,FALSE)</f>
        <v>46</v>
      </c>
      <c r="X99" s="173" t="str">
        <f t="shared" si="21"/>
        <v>N</v>
      </c>
      <c r="Y99" s="174">
        <f t="shared" si="22"/>
        <v>0</v>
      </c>
      <c r="Z99" s="116" t="s">
        <v>422</v>
      </c>
      <c r="AB99" s="113">
        <v>3300</v>
      </c>
      <c r="AC99" s="113">
        <v>4840</v>
      </c>
      <c r="AD99" s="119">
        <v>7810</v>
      </c>
      <c r="AE99" s="119">
        <v>6870</v>
      </c>
      <c r="AF99" s="119">
        <v>7530</v>
      </c>
      <c r="AG99" s="119">
        <v>6500</v>
      </c>
      <c r="AH99" s="119"/>
    </row>
    <row r="100" spans="1:34" ht="20.100000000000001" customHeight="1" x14ac:dyDescent="0.25">
      <c r="A100" s="110">
        <f t="shared" si="32"/>
        <v>69</v>
      </c>
      <c r="B100" s="109">
        <v>0.37777777777777777</v>
      </c>
      <c r="C100" s="121" t="s">
        <v>152</v>
      </c>
      <c r="D100" s="5">
        <f t="shared" si="31"/>
        <v>10</v>
      </c>
      <c r="E100" s="111">
        <v>6</v>
      </c>
      <c r="F100" s="118" t="s">
        <v>110</v>
      </c>
      <c r="G100" s="250">
        <f t="shared" si="23"/>
        <v>2.75</v>
      </c>
      <c r="H100" s="250">
        <f t="shared" si="24"/>
        <v>3.74</v>
      </c>
      <c r="I100" s="250">
        <f t="shared" si="25"/>
        <v>8.65</v>
      </c>
      <c r="J100" s="250">
        <f t="shared" si="26"/>
        <v>8.0299999999999994</v>
      </c>
      <c r="K100" s="250">
        <f t="shared" si="27"/>
        <v>6.71</v>
      </c>
      <c r="L100" s="250">
        <f t="shared" si="28"/>
        <v>8.27</v>
      </c>
      <c r="M100" s="250">
        <f t="shared" si="29"/>
        <v>0</v>
      </c>
      <c r="N100" s="171">
        <f t="shared" si="30"/>
        <v>38.150000000000006</v>
      </c>
      <c r="O100" s="171">
        <f t="shared" si="20"/>
        <v>1033.046155755595</v>
      </c>
      <c r="P100" s="172"/>
      <c r="Q100" s="172"/>
      <c r="R100" s="172"/>
      <c r="S100" s="172"/>
      <c r="T100" s="172"/>
      <c r="U100" s="172"/>
      <c r="V100" s="172"/>
      <c r="W100" s="172">
        <f>VLOOKUP(D100,[1]KEY!$D$35:$E$44,2,FALSE)</f>
        <v>46</v>
      </c>
      <c r="X100" s="173" t="str">
        <f t="shared" si="21"/>
        <v>N</v>
      </c>
      <c r="Y100" s="174">
        <f t="shared" si="22"/>
        <v>0</v>
      </c>
      <c r="Z100" s="116" t="s">
        <v>426</v>
      </c>
      <c r="AB100" s="113">
        <v>2750</v>
      </c>
      <c r="AC100" s="113">
        <v>3740</v>
      </c>
      <c r="AD100" s="119">
        <v>8650</v>
      </c>
      <c r="AE100" s="119">
        <v>8030</v>
      </c>
      <c r="AF100" s="119">
        <v>6710</v>
      </c>
      <c r="AG100" s="119">
        <v>8270</v>
      </c>
      <c r="AH100" s="119"/>
    </row>
    <row r="101" spans="1:34" ht="20.100000000000001" customHeight="1" x14ac:dyDescent="0.25">
      <c r="A101" s="110">
        <f t="shared" si="32"/>
        <v>70</v>
      </c>
      <c r="B101" s="109">
        <v>0.4145833333333333</v>
      </c>
      <c r="C101" s="121" t="s">
        <v>169</v>
      </c>
      <c r="D101" s="5">
        <f t="shared" si="31"/>
        <v>10</v>
      </c>
      <c r="E101" s="111">
        <v>7</v>
      </c>
      <c r="F101" s="118" t="s">
        <v>123</v>
      </c>
      <c r="G101" s="250">
        <f t="shared" si="23"/>
        <v>2.65</v>
      </c>
      <c r="H101" s="250">
        <f t="shared" si="24"/>
        <v>2.95</v>
      </c>
      <c r="I101" s="250">
        <f t="shared" si="25"/>
        <v>7.29</v>
      </c>
      <c r="J101" s="250">
        <f t="shared" si="26"/>
        <v>6.99</v>
      </c>
      <c r="K101" s="250">
        <f t="shared" si="27"/>
        <v>7.05</v>
      </c>
      <c r="L101" s="250">
        <f t="shared" si="28"/>
        <v>6.08</v>
      </c>
      <c r="M101" s="250">
        <f t="shared" si="29"/>
        <v>6.5</v>
      </c>
      <c r="N101" s="171">
        <f t="shared" si="30"/>
        <v>39.510000000000005</v>
      </c>
      <c r="O101" s="171">
        <f t="shared" si="20"/>
        <v>1209.4165830118209</v>
      </c>
      <c r="P101" s="172"/>
      <c r="Q101" s="172"/>
      <c r="R101" s="172"/>
      <c r="S101" s="172"/>
      <c r="T101" s="172"/>
      <c r="U101" s="172"/>
      <c r="V101" s="172"/>
      <c r="W101" s="172">
        <f>VLOOKUP(D101,[1]KEY!$D$35:$E$44,2,FALSE)</f>
        <v>46</v>
      </c>
      <c r="X101" s="173" t="str">
        <f t="shared" si="21"/>
        <v>N</v>
      </c>
      <c r="Y101" s="174">
        <f t="shared" si="22"/>
        <v>0</v>
      </c>
      <c r="Z101" s="116" t="s">
        <v>429</v>
      </c>
      <c r="AB101" s="113">
        <v>2650</v>
      </c>
      <c r="AC101" s="113">
        <v>2950</v>
      </c>
      <c r="AD101" s="119">
        <v>7290</v>
      </c>
      <c r="AE101" s="119">
        <v>6990</v>
      </c>
      <c r="AF101" s="119">
        <v>7050</v>
      </c>
      <c r="AG101" s="119">
        <v>6080</v>
      </c>
      <c r="AH101" s="119">
        <v>6500</v>
      </c>
    </row>
    <row r="102" spans="1:34" ht="20.100000000000001" customHeight="1" x14ac:dyDescent="0.25">
      <c r="A102" s="110">
        <f t="shared" si="32"/>
        <v>71</v>
      </c>
      <c r="B102" s="109">
        <v>0.43194444444444446</v>
      </c>
      <c r="C102" s="121" t="s">
        <v>173</v>
      </c>
      <c r="D102" s="5">
        <f t="shared" si="31"/>
        <v>10</v>
      </c>
      <c r="E102" s="111">
        <v>6</v>
      </c>
      <c r="F102" s="118" t="s">
        <v>110</v>
      </c>
      <c r="G102" s="250">
        <f t="shared" si="23"/>
        <v>3.4</v>
      </c>
      <c r="H102" s="250">
        <f t="shared" si="24"/>
        <v>3.75</v>
      </c>
      <c r="I102" s="250">
        <f t="shared" si="25"/>
        <v>7.95</v>
      </c>
      <c r="J102" s="250">
        <f t="shared" si="26"/>
        <v>7</v>
      </c>
      <c r="K102" s="250">
        <f t="shared" si="27"/>
        <v>7.1</v>
      </c>
      <c r="L102" s="250">
        <f t="shared" si="28"/>
        <v>7.3</v>
      </c>
      <c r="M102" s="250">
        <f t="shared" si="29"/>
        <v>0</v>
      </c>
      <c r="N102" s="171">
        <f t="shared" si="30"/>
        <v>36.5</v>
      </c>
      <c r="O102" s="171">
        <f t="shared" si="20"/>
        <v>846.66610863855544</v>
      </c>
      <c r="P102" s="172"/>
      <c r="Q102" s="172"/>
      <c r="R102" s="172"/>
      <c r="S102" s="172"/>
      <c r="T102" s="172"/>
      <c r="U102" s="172"/>
      <c r="V102" s="172"/>
      <c r="W102" s="172">
        <f>VLOOKUP(D102,[1]KEY!$D$35:$E$44,2,FALSE)</f>
        <v>46</v>
      </c>
      <c r="X102" s="173" t="str">
        <f t="shared" si="21"/>
        <v>N</v>
      </c>
      <c r="Y102" s="174">
        <f t="shared" si="22"/>
        <v>0</v>
      </c>
      <c r="Z102" s="116" t="s">
        <v>426</v>
      </c>
      <c r="AB102" s="113">
        <v>3400</v>
      </c>
      <c r="AC102" s="113">
        <v>3750</v>
      </c>
      <c r="AD102" s="119">
        <v>7950</v>
      </c>
      <c r="AE102" s="119">
        <v>7000</v>
      </c>
      <c r="AF102" s="119">
        <v>7100</v>
      </c>
      <c r="AG102" s="119">
        <v>7300</v>
      </c>
      <c r="AH102" s="119"/>
    </row>
    <row r="103" spans="1:34" ht="20.100000000000001" customHeight="1" x14ac:dyDescent="0.25">
      <c r="A103" s="110">
        <f t="shared" si="32"/>
        <v>72</v>
      </c>
      <c r="B103" s="109">
        <v>0.44375000000000003</v>
      </c>
      <c r="C103" s="121" t="s">
        <v>196</v>
      </c>
      <c r="D103" s="5">
        <f t="shared" ref="D103:D134" si="33">IF(COUNT(G103:J103)&gt;3,10,IF(COUNT(G103:J103)&gt;2,9,7))</f>
        <v>10</v>
      </c>
      <c r="E103" s="111">
        <v>6</v>
      </c>
      <c r="F103" s="118" t="s">
        <v>29</v>
      </c>
      <c r="G103" s="250">
        <f t="shared" si="23"/>
        <v>1.65</v>
      </c>
      <c r="H103" s="250">
        <f t="shared" si="24"/>
        <v>1.65</v>
      </c>
      <c r="I103" s="250">
        <f t="shared" si="25"/>
        <v>2.84</v>
      </c>
      <c r="J103" s="250">
        <f t="shared" si="26"/>
        <v>1.35</v>
      </c>
      <c r="K103" s="250">
        <f t="shared" si="27"/>
        <v>1.67</v>
      </c>
      <c r="L103" s="250">
        <f t="shared" si="28"/>
        <v>2.4700000000000002</v>
      </c>
      <c r="M103" s="250">
        <f t="shared" si="29"/>
        <v>0</v>
      </c>
      <c r="N103" s="171">
        <f t="shared" si="30"/>
        <v>11.63</v>
      </c>
      <c r="O103" s="171">
        <f t="shared" ref="O103:O134" si="34">(N103/8.16)^4.5</f>
        <v>4.9260974830423798</v>
      </c>
      <c r="P103" s="172"/>
      <c r="Q103" s="172"/>
      <c r="R103" s="172"/>
      <c r="S103" s="172"/>
      <c r="T103" s="172"/>
      <c r="U103" s="172"/>
      <c r="V103" s="172"/>
      <c r="W103" s="172">
        <f>VLOOKUP(D103,[1]KEY!$D$35:$E$44,2,FALSE)</f>
        <v>46</v>
      </c>
      <c r="X103" s="173" t="str">
        <f t="shared" ref="X103:X134" si="35">IF(N103&gt;W103,"Y","N")</f>
        <v>N</v>
      </c>
      <c r="Y103" s="174">
        <f t="shared" ref="Y103:Y134" si="36">IF(X103="Y",(N103-W103)/W103,0)</f>
        <v>0</v>
      </c>
      <c r="Z103" s="116" t="s">
        <v>369</v>
      </c>
      <c r="AB103" s="113">
        <v>1650</v>
      </c>
      <c r="AC103" s="113">
        <v>1650</v>
      </c>
      <c r="AD103" s="119">
        <v>2840</v>
      </c>
      <c r="AE103" s="119">
        <v>1350</v>
      </c>
      <c r="AF103" s="119">
        <v>1670</v>
      </c>
      <c r="AG103" s="119">
        <v>2470</v>
      </c>
      <c r="AH103" s="119"/>
    </row>
    <row r="104" spans="1:34" ht="20.100000000000001" customHeight="1" x14ac:dyDescent="0.25">
      <c r="A104" s="110">
        <f t="shared" si="32"/>
        <v>73</v>
      </c>
      <c r="B104" s="109">
        <v>0.49374999999999997</v>
      </c>
      <c r="C104" s="121" t="s">
        <v>224</v>
      </c>
      <c r="D104" s="5">
        <f t="shared" si="33"/>
        <v>10</v>
      </c>
      <c r="E104" s="111">
        <v>4</v>
      </c>
      <c r="F104" s="118" t="s">
        <v>225</v>
      </c>
      <c r="G104" s="250">
        <f t="shared" si="23"/>
        <v>1.98</v>
      </c>
      <c r="H104" s="250">
        <f t="shared" si="24"/>
        <v>1.54</v>
      </c>
      <c r="I104" s="250">
        <f t="shared" si="25"/>
        <v>3.4</v>
      </c>
      <c r="J104" s="250">
        <f t="shared" si="26"/>
        <v>0.68</v>
      </c>
      <c r="K104" s="250">
        <f t="shared" si="27"/>
        <v>0</v>
      </c>
      <c r="L104" s="250">
        <f t="shared" si="28"/>
        <v>0</v>
      </c>
      <c r="M104" s="250">
        <f t="shared" si="29"/>
        <v>0</v>
      </c>
      <c r="N104" s="171">
        <f t="shared" si="30"/>
        <v>7.6</v>
      </c>
      <c r="O104" s="171">
        <f t="shared" si="34"/>
        <v>0.72619867281633133</v>
      </c>
      <c r="P104" s="172"/>
      <c r="Q104" s="172"/>
      <c r="R104" s="172"/>
      <c r="S104" s="172"/>
      <c r="T104" s="172"/>
      <c r="U104" s="172"/>
      <c r="V104" s="172"/>
      <c r="W104" s="172">
        <f>VLOOKUP(D104,[1]KEY!$D$35:$E$44,2,FALSE)</f>
        <v>46</v>
      </c>
      <c r="X104" s="173" t="str">
        <f t="shared" si="35"/>
        <v>N</v>
      </c>
      <c r="Y104" s="174">
        <f t="shared" si="36"/>
        <v>0</v>
      </c>
      <c r="Z104" s="116" t="s">
        <v>369</v>
      </c>
      <c r="AB104" s="113">
        <v>1980</v>
      </c>
      <c r="AC104" s="113">
        <v>1540</v>
      </c>
      <c r="AD104" s="119">
        <v>3400</v>
      </c>
      <c r="AE104" s="119">
        <v>680</v>
      </c>
      <c r="AF104" s="119"/>
      <c r="AG104" s="119"/>
      <c r="AH104" s="119"/>
    </row>
    <row r="105" spans="1:34" ht="20.100000000000001" customHeight="1" x14ac:dyDescent="0.25">
      <c r="A105" s="110">
        <f t="shared" si="32"/>
        <v>74</v>
      </c>
      <c r="B105" s="109">
        <v>0.50486111111111109</v>
      </c>
      <c r="C105" s="121" t="s">
        <v>227</v>
      </c>
      <c r="D105" s="5">
        <f t="shared" si="33"/>
        <v>10</v>
      </c>
      <c r="E105" s="111">
        <v>6</v>
      </c>
      <c r="F105" s="118" t="s">
        <v>29</v>
      </c>
      <c r="G105" s="250">
        <f t="shared" si="23"/>
        <v>2.75</v>
      </c>
      <c r="H105" s="250">
        <f t="shared" si="24"/>
        <v>4.18</v>
      </c>
      <c r="I105" s="250">
        <f t="shared" si="25"/>
        <v>6.72</v>
      </c>
      <c r="J105" s="250">
        <f t="shared" si="26"/>
        <v>10.88</v>
      </c>
      <c r="K105" s="250">
        <f t="shared" si="27"/>
        <v>10.24</v>
      </c>
      <c r="L105" s="250">
        <f t="shared" si="28"/>
        <v>9.76</v>
      </c>
      <c r="M105" s="250">
        <f t="shared" si="29"/>
        <v>0</v>
      </c>
      <c r="N105" s="171">
        <f t="shared" si="30"/>
        <v>44.53</v>
      </c>
      <c r="O105" s="171">
        <f t="shared" si="34"/>
        <v>2071.7216936245745</v>
      </c>
      <c r="P105" s="172"/>
      <c r="Q105" s="172"/>
      <c r="R105" s="172"/>
      <c r="S105" s="172"/>
      <c r="T105" s="172"/>
      <c r="U105" s="172"/>
      <c r="V105" s="172"/>
      <c r="W105" s="172">
        <f>VLOOKUP(D105,[1]KEY!$D$35:$E$44,2,FALSE)</f>
        <v>46</v>
      </c>
      <c r="X105" s="173" t="str">
        <f t="shared" si="35"/>
        <v>N</v>
      </c>
      <c r="Y105" s="174">
        <f t="shared" si="36"/>
        <v>0</v>
      </c>
      <c r="Z105" s="116" t="s">
        <v>426</v>
      </c>
      <c r="AB105" s="113">
        <v>2750</v>
      </c>
      <c r="AC105" s="113">
        <v>4180</v>
      </c>
      <c r="AD105" s="119">
        <v>6720</v>
      </c>
      <c r="AE105" s="119">
        <v>10880</v>
      </c>
      <c r="AF105" s="119">
        <v>10240</v>
      </c>
      <c r="AG105" s="119">
        <v>9760</v>
      </c>
      <c r="AH105" s="119"/>
    </row>
    <row r="106" spans="1:34" ht="20.100000000000001" customHeight="1" x14ac:dyDescent="0.25">
      <c r="A106" s="110">
        <f t="shared" si="32"/>
        <v>75</v>
      </c>
      <c r="B106" s="126">
        <v>0.52777777777777779</v>
      </c>
      <c r="C106" s="110" t="s">
        <v>174</v>
      </c>
      <c r="D106" s="5">
        <f t="shared" si="33"/>
        <v>10</v>
      </c>
      <c r="E106" s="117">
        <v>6</v>
      </c>
      <c r="F106" s="118" t="s">
        <v>240</v>
      </c>
      <c r="G106" s="250">
        <f t="shared" si="23"/>
        <v>3.74</v>
      </c>
      <c r="H106" s="250">
        <f t="shared" si="24"/>
        <v>2</v>
      </c>
      <c r="I106" s="250">
        <f t="shared" si="25"/>
        <v>8.4</v>
      </c>
      <c r="J106" s="250">
        <f t="shared" si="26"/>
        <v>7.99</v>
      </c>
      <c r="K106" s="250">
        <f t="shared" si="27"/>
        <v>7.34</v>
      </c>
      <c r="L106" s="250">
        <f t="shared" si="28"/>
        <v>7.95</v>
      </c>
      <c r="M106" s="250">
        <f t="shared" si="29"/>
        <v>0</v>
      </c>
      <c r="N106" s="171">
        <f t="shared" si="30"/>
        <v>37.42</v>
      </c>
      <c r="O106" s="171">
        <f t="shared" si="34"/>
        <v>947.02470776879659</v>
      </c>
      <c r="P106" s="172"/>
      <c r="Q106" s="172"/>
      <c r="R106" s="172"/>
      <c r="S106" s="172"/>
      <c r="T106" s="172"/>
      <c r="U106" s="172"/>
      <c r="V106" s="172"/>
      <c r="W106" s="172">
        <f>VLOOKUP(D106,[1]KEY!$D$35:$E$44,2,FALSE)</f>
        <v>46</v>
      </c>
      <c r="X106" s="173" t="str">
        <f t="shared" si="35"/>
        <v>N</v>
      </c>
      <c r="Y106" s="174">
        <f t="shared" si="36"/>
        <v>0</v>
      </c>
      <c r="Z106" s="124" t="s">
        <v>426</v>
      </c>
      <c r="AB106" s="119">
        <v>3740</v>
      </c>
      <c r="AC106" s="119">
        <v>2000</v>
      </c>
      <c r="AD106" s="119">
        <v>8400</v>
      </c>
      <c r="AE106" s="119">
        <v>7990</v>
      </c>
      <c r="AF106" s="119">
        <v>7340</v>
      </c>
      <c r="AG106" s="119">
        <v>7950</v>
      </c>
      <c r="AH106" s="119"/>
    </row>
    <row r="107" spans="1:34" ht="0" hidden="1" customHeight="1" x14ac:dyDescent="0.25">
      <c r="A107" s="110">
        <f t="shared" si="32"/>
        <v>76</v>
      </c>
      <c r="B107" s="109">
        <v>0.56458333333333333</v>
      </c>
      <c r="C107" s="121" t="s">
        <v>182</v>
      </c>
      <c r="D107" s="5">
        <f t="shared" si="33"/>
        <v>10</v>
      </c>
      <c r="E107" s="111">
        <v>6</v>
      </c>
      <c r="F107" s="118" t="s">
        <v>29</v>
      </c>
      <c r="G107" s="250">
        <f t="shared" si="23"/>
        <v>2.6</v>
      </c>
      <c r="H107" s="250">
        <f t="shared" si="24"/>
        <v>3.75</v>
      </c>
      <c r="I107" s="250">
        <f t="shared" si="25"/>
        <v>8.98</v>
      </c>
      <c r="J107" s="250">
        <f t="shared" si="26"/>
        <v>7.63</v>
      </c>
      <c r="K107" s="250">
        <f t="shared" si="27"/>
        <v>7.37</v>
      </c>
      <c r="L107" s="250">
        <f t="shared" si="28"/>
        <v>7.11</v>
      </c>
      <c r="M107" s="250">
        <f t="shared" si="29"/>
        <v>0</v>
      </c>
      <c r="N107" s="171">
        <f t="shared" si="30"/>
        <v>37.440000000000005</v>
      </c>
      <c r="O107" s="171">
        <f t="shared" si="34"/>
        <v>949.30455756458275</v>
      </c>
      <c r="P107" s="172"/>
      <c r="Q107" s="172"/>
      <c r="R107" s="172"/>
      <c r="S107" s="172"/>
      <c r="T107" s="172"/>
      <c r="U107" s="172"/>
      <c r="V107" s="172"/>
      <c r="W107" s="172">
        <f>VLOOKUP(D107,[1]KEY!$D$35:$E$44,2,FALSE)</f>
        <v>46</v>
      </c>
      <c r="X107" s="173" t="str">
        <f t="shared" si="35"/>
        <v>N</v>
      </c>
      <c r="Y107" s="174">
        <f t="shared" si="36"/>
        <v>0</v>
      </c>
      <c r="Z107" s="116" t="s">
        <v>369</v>
      </c>
      <c r="AB107" s="113">
        <v>2600</v>
      </c>
      <c r="AC107" s="113">
        <v>3750</v>
      </c>
      <c r="AD107" s="119">
        <v>8980</v>
      </c>
      <c r="AE107" s="119">
        <v>7630</v>
      </c>
      <c r="AF107" s="119">
        <v>7370</v>
      </c>
      <c r="AG107" s="119">
        <v>7110</v>
      </c>
      <c r="AH107" s="119"/>
    </row>
    <row r="108" spans="1:34" ht="20.100000000000001" customHeight="1" x14ac:dyDescent="0.25">
      <c r="A108" s="110">
        <f t="shared" si="32"/>
        <v>77</v>
      </c>
      <c r="B108" s="109">
        <v>0.57638888888888895</v>
      </c>
      <c r="C108" s="121" t="s">
        <v>185</v>
      </c>
      <c r="D108" s="5">
        <f t="shared" si="33"/>
        <v>10</v>
      </c>
      <c r="E108" s="111">
        <v>6</v>
      </c>
      <c r="F108" s="118" t="s">
        <v>110</v>
      </c>
      <c r="G108" s="250">
        <f t="shared" si="23"/>
        <v>2.5299999999999998</v>
      </c>
      <c r="H108" s="250">
        <f t="shared" si="24"/>
        <v>1.32</v>
      </c>
      <c r="I108" s="250">
        <f t="shared" si="25"/>
        <v>7.83</v>
      </c>
      <c r="J108" s="250">
        <f t="shared" si="26"/>
        <v>5.99</v>
      </c>
      <c r="K108" s="250">
        <f t="shared" si="27"/>
        <v>5.94</v>
      </c>
      <c r="L108" s="250">
        <f t="shared" si="28"/>
        <v>7.63</v>
      </c>
      <c r="M108" s="250">
        <f t="shared" si="29"/>
        <v>0</v>
      </c>
      <c r="N108" s="171">
        <f t="shared" si="30"/>
        <v>31.240000000000002</v>
      </c>
      <c r="O108" s="171">
        <f t="shared" si="34"/>
        <v>420.33339835167681</v>
      </c>
      <c r="P108" s="172"/>
      <c r="Q108" s="172"/>
      <c r="R108" s="172"/>
      <c r="S108" s="172"/>
      <c r="T108" s="172"/>
      <c r="U108" s="172"/>
      <c r="V108" s="172"/>
      <c r="W108" s="172">
        <f>VLOOKUP(D108,[1]KEY!$D$35:$E$44,2,FALSE)</f>
        <v>46</v>
      </c>
      <c r="X108" s="173" t="str">
        <f t="shared" si="35"/>
        <v>N</v>
      </c>
      <c r="Y108" s="174">
        <f t="shared" si="36"/>
        <v>0</v>
      </c>
      <c r="Z108" s="116" t="s">
        <v>436</v>
      </c>
      <c r="AB108" s="113">
        <v>2530</v>
      </c>
      <c r="AC108" s="113">
        <v>1320</v>
      </c>
      <c r="AD108" s="119">
        <v>7830</v>
      </c>
      <c r="AE108" s="119">
        <v>5990</v>
      </c>
      <c r="AF108" s="119">
        <v>5940</v>
      </c>
      <c r="AG108" s="119">
        <v>7630</v>
      </c>
      <c r="AH108" s="119"/>
    </row>
    <row r="109" spans="1:34" ht="20.100000000000001" customHeight="1" x14ac:dyDescent="0.25">
      <c r="A109" s="110">
        <f t="shared" si="32"/>
        <v>78</v>
      </c>
      <c r="B109" s="109">
        <v>0.57777777777777783</v>
      </c>
      <c r="C109" s="121" t="s">
        <v>187</v>
      </c>
      <c r="D109" s="5">
        <f t="shared" si="33"/>
        <v>10</v>
      </c>
      <c r="E109" s="111">
        <v>6</v>
      </c>
      <c r="F109" s="118" t="s">
        <v>110</v>
      </c>
      <c r="G109" s="250">
        <f t="shared" si="23"/>
        <v>3.41</v>
      </c>
      <c r="H109" s="250">
        <f t="shared" si="24"/>
        <v>1.76</v>
      </c>
      <c r="I109" s="250">
        <f t="shared" si="25"/>
        <v>8.73</v>
      </c>
      <c r="J109" s="250">
        <f t="shared" si="26"/>
        <v>6.54</v>
      </c>
      <c r="K109" s="250">
        <f t="shared" si="27"/>
        <v>6.29</v>
      </c>
      <c r="L109" s="250">
        <f t="shared" si="28"/>
        <v>5.87</v>
      </c>
      <c r="M109" s="250">
        <f t="shared" si="29"/>
        <v>0</v>
      </c>
      <c r="N109" s="171">
        <f t="shared" si="30"/>
        <v>32.6</v>
      </c>
      <c r="O109" s="171">
        <f t="shared" si="34"/>
        <v>509.18251977040819</v>
      </c>
      <c r="P109" s="172"/>
      <c r="Q109" s="172"/>
      <c r="R109" s="172"/>
      <c r="S109" s="172"/>
      <c r="T109" s="172"/>
      <c r="U109" s="172"/>
      <c r="V109" s="172"/>
      <c r="W109" s="172">
        <f>VLOOKUP(D109,[1]KEY!$D$35:$E$44,2,FALSE)</f>
        <v>46</v>
      </c>
      <c r="X109" s="173" t="str">
        <f t="shared" si="35"/>
        <v>N</v>
      </c>
      <c r="Y109" s="174">
        <f t="shared" si="36"/>
        <v>0</v>
      </c>
      <c r="Z109" s="128" t="s">
        <v>436</v>
      </c>
      <c r="AB109" s="113">
        <v>3410</v>
      </c>
      <c r="AC109" s="113">
        <v>1760</v>
      </c>
      <c r="AD109" s="119">
        <v>8730</v>
      </c>
      <c r="AE109" s="119">
        <v>6540</v>
      </c>
      <c r="AF109" s="119">
        <v>6290</v>
      </c>
      <c r="AG109" s="119">
        <v>5870</v>
      </c>
      <c r="AH109" s="119"/>
    </row>
    <row r="110" spans="1:34" ht="20.100000000000001" customHeight="1" x14ac:dyDescent="0.25">
      <c r="A110" s="110">
        <f t="shared" si="32"/>
        <v>79</v>
      </c>
      <c r="B110" s="109">
        <v>0.57986111111111105</v>
      </c>
      <c r="C110" s="121" t="s">
        <v>188</v>
      </c>
      <c r="D110" s="5">
        <f t="shared" si="33"/>
        <v>10</v>
      </c>
      <c r="E110" s="111">
        <v>6</v>
      </c>
      <c r="F110" s="118" t="s">
        <v>29</v>
      </c>
      <c r="G110" s="250">
        <f t="shared" si="23"/>
        <v>3.63</v>
      </c>
      <c r="H110" s="250">
        <f t="shared" si="24"/>
        <v>2.75</v>
      </c>
      <c r="I110" s="250">
        <f t="shared" si="25"/>
        <v>5.17</v>
      </c>
      <c r="J110" s="250">
        <f t="shared" si="26"/>
        <v>5.07</v>
      </c>
      <c r="K110" s="250">
        <f t="shared" si="27"/>
        <v>5.81</v>
      </c>
      <c r="L110" s="250">
        <f t="shared" si="28"/>
        <v>6.59</v>
      </c>
      <c r="M110" s="250">
        <f t="shared" si="29"/>
        <v>0</v>
      </c>
      <c r="N110" s="171">
        <f t="shared" si="30"/>
        <v>29.02</v>
      </c>
      <c r="O110" s="171">
        <f t="shared" si="34"/>
        <v>301.67034645781416</v>
      </c>
      <c r="P110" s="172"/>
      <c r="Q110" s="172"/>
      <c r="R110" s="172"/>
      <c r="S110" s="172"/>
      <c r="T110" s="172"/>
      <c r="U110" s="172"/>
      <c r="V110" s="172"/>
      <c r="W110" s="172">
        <f>VLOOKUP(D110,[1]KEY!$D$35:$E$44,2,FALSE)</f>
        <v>46</v>
      </c>
      <c r="X110" s="173" t="str">
        <f t="shared" si="35"/>
        <v>N</v>
      </c>
      <c r="Y110" s="174">
        <f t="shared" si="36"/>
        <v>0</v>
      </c>
      <c r="Z110" s="128" t="s">
        <v>422</v>
      </c>
      <c r="AB110" s="113">
        <v>3630</v>
      </c>
      <c r="AC110" s="113">
        <v>2750</v>
      </c>
      <c r="AD110" s="119">
        <v>5170</v>
      </c>
      <c r="AE110" s="119">
        <v>5070</v>
      </c>
      <c r="AF110" s="119">
        <v>5810</v>
      </c>
      <c r="AG110" s="119">
        <v>6590</v>
      </c>
      <c r="AH110" s="119"/>
    </row>
    <row r="111" spans="1:34" ht="20.100000000000001" customHeight="1" x14ac:dyDescent="0.25">
      <c r="A111" s="110">
        <f t="shared" si="32"/>
        <v>80</v>
      </c>
      <c r="B111" s="109">
        <v>0.58333333333333337</v>
      </c>
      <c r="C111" s="121" t="s">
        <v>189</v>
      </c>
      <c r="D111" s="5">
        <f t="shared" si="33"/>
        <v>10</v>
      </c>
      <c r="E111" s="111">
        <v>7</v>
      </c>
      <c r="F111" s="112" t="s">
        <v>126</v>
      </c>
      <c r="G111" s="250">
        <f t="shared" si="23"/>
        <v>4.29</v>
      </c>
      <c r="H111" s="250">
        <f t="shared" si="24"/>
        <v>4.4000000000000004</v>
      </c>
      <c r="I111" s="250">
        <f t="shared" si="25"/>
        <v>6.13</v>
      </c>
      <c r="J111" s="250">
        <f t="shared" si="26"/>
        <v>6.73</v>
      </c>
      <c r="K111" s="250">
        <f t="shared" si="27"/>
        <v>5.36</v>
      </c>
      <c r="L111" s="250">
        <f t="shared" si="28"/>
        <v>7.266</v>
      </c>
      <c r="M111" s="250">
        <f t="shared" si="29"/>
        <v>7.26</v>
      </c>
      <c r="N111" s="171">
        <f t="shared" si="30"/>
        <v>41.436</v>
      </c>
      <c r="O111" s="171">
        <f t="shared" si="34"/>
        <v>1498.2852200029229</v>
      </c>
      <c r="P111" s="172"/>
      <c r="Q111" s="172"/>
      <c r="R111" s="172"/>
      <c r="S111" s="172"/>
      <c r="T111" s="172"/>
      <c r="U111" s="172"/>
      <c r="V111" s="172"/>
      <c r="W111" s="172">
        <f>VLOOKUP(D111,[1]KEY!$D$35:$E$44,2,FALSE)</f>
        <v>46</v>
      </c>
      <c r="X111" s="173" t="str">
        <f t="shared" si="35"/>
        <v>N</v>
      </c>
      <c r="Y111" s="174">
        <f t="shared" si="36"/>
        <v>0</v>
      </c>
      <c r="Z111" s="116" t="s">
        <v>422</v>
      </c>
      <c r="AB111" s="113">
        <v>4290</v>
      </c>
      <c r="AC111" s="113">
        <v>4400</v>
      </c>
      <c r="AD111" s="119">
        <v>6130</v>
      </c>
      <c r="AE111" s="119">
        <v>6730</v>
      </c>
      <c r="AF111" s="119">
        <v>5360</v>
      </c>
      <c r="AG111" s="119">
        <v>7266</v>
      </c>
      <c r="AH111" s="119">
        <v>7260</v>
      </c>
    </row>
    <row r="112" spans="1:34" ht="20.100000000000001" customHeight="1" x14ac:dyDescent="0.25">
      <c r="A112" s="110">
        <f t="shared" si="32"/>
        <v>81</v>
      </c>
      <c r="B112" s="109">
        <v>0.60069444444444442</v>
      </c>
      <c r="C112" s="121" t="s">
        <v>190</v>
      </c>
      <c r="D112" s="5">
        <f t="shared" si="33"/>
        <v>10</v>
      </c>
      <c r="E112" s="111">
        <v>7</v>
      </c>
      <c r="F112" s="112" t="s">
        <v>126</v>
      </c>
      <c r="G112" s="250">
        <f t="shared" si="23"/>
        <v>3.19</v>
      </c>
      <c r="H112" s="250">
        <f t="shared" si="24"/>
        <v>4.84</v>
      </c>
      <c r="I112" s="250">
        <f t="shared" si="25"/>
        <v>6.57</v>
      </c>
      <c r="J112" s="250">
        <f t="shared" si="26"/>
        <v>5.62</v>
      </c>
      <c r="K112" s="250">
        <f t="shared" si="27"/>
        <v>6.27</v>
      </c>
      <c r="L112" s="250">
        <f t="shared" si="28"/>
        <v>6.97</v>
      </c>
      <c r="M112" s="250">
        <f t="shared" si="29"/>
        <v>6.5</v>
      </c>
      <c r="N112" s="171">
        <f t="shared" si="30"/>
        <v>39.96</v>
      </c>
      <c r="O112" s="171">
        <f t="shared" si="34"/>
        <v>1272.6498879424007</v>
      </c>
      <c r="P112" s="172"/>
      <c r="Q112" s="172"/>
      <c r="R112" s="172"/>
      <c r="S112" s="172"/>
      <c r="T112" s="172"/>
      <c r="U112" s="172"/>
      <c r="V112" s="172"/>
      <c r="W112" s="172">
        <f>VLOOKUP(D112,[1]KEY!$D$35:$E$44,2,FALSE)</f>
        <v>46</v>
      </c>
      <c r="X112" s="173" t="str">
        <f t="shared" si="35"/>
        <v>N</v>
      </c>
      <c r="Y112" s="174">
        <f t="shared" si="36"/>
        <v>0</v>
      </c>
      <c r="Z112" s="116" t="s">
        <v>422</v>
      </c>
      <c r="AB112" s="113">
        <v>3190</v>
      </c>
      <c r="AC112" s="113">
        <v>4840</v>
      </c>
      <c r="AD112" s="119">
        <v>6570</v>
      </c>
      <c r="AE112" s="119">
        <v>5620</v>
      </c>
      <c r="AF112" s="119">
        <v>6270</v>
      </c>
      <c r="AG112" s="119">
        <v>6970</v>
      </c>
      <c r="AH112" s="119">
        <v>6500</v>
      </c>
    </row>
    <row r="113" spans="1:34" ht="20.100000000000001" customHeight="1" x14ac:dyDescent="0.25">
      <c r="A113" s="110">
        <f t="shared" si="32"/>
        <v>82</v>
      </c>
      <c r="B113" s="109">
        <v>0.60972222222222217</v>
      </c>
      <c r="C113" s="121" t="s">
        <v>241</v>
      </c>
      <c r="D113" s="5">
        <f t="shared" si="33"/>
        <v>10</v>
      </c>
      <c r="E113" s="111">
        <v>6</v>
      </c>
      <c r="F113" s="118" t="s">
        <v>110</v>
      </c>
      <c r="G113" s="250">
        <f t="shared" si="23"/>
        <v>1.98</v>
      </c>
      <c r="H113" s="250">
        <f t="shared" si="24"/>
        <v>2.64</v>
      </c>
      <c r="I113" s="250">
        <f t="shared" si="25"/>
        <v>6.36</v>
      </c>
      <c r="J113" s="250">
        <f t="shared" si="26"/>
        <v>5.29</v>
      </c>
      <c r="K113" s="250">
        <f t="shared" si="27"/>
        <v>6.09</v>
      </c>
      <c r="L113" s="250">
        <f t="shared" si="28"/>
        <v>5.75</v>
      </c>
      <c r="M113" s="250">
        <f t="shared" si="29"/>
        <v>0</v>
      </c>
      <c r="N113" s="171">
        <f t="shared" si="30"/>
        <v>28.11</v>
      </c>
      <c r="O113" s="171">
        <f t="shared" si="34"/>
        <v>261.37743445602621</v>
      </c>
      <c r="P113" s="172"/>
      <c r="Q113" s="172"/>
      <c r="R113" s="172"/>
      <c r="S113" s="172"/>
      <c r="T113" s="172"/>
      <c r="U113" s="172"/>
      <c r="V113" s="172"/>
      <c r="W113" s="172">
        <f>VLOOKUP(D113,[1]KEY!$D$35:$E$44,2,FALSE)</f>
        <v>46</v>
      </c>
      <c r="X113" s="173" t="str">
        <f t="shared" si="35"/>
        <v>N</v>
      </c>
      <c r="Y113" s="174">
        <f t="shared" si="36"/>
        <v>0</v>
      </c>
      <c r="Z113" s="116" t="s">
        <v>422</v>
      </c>
      <c r="AB113" s="113">
        <v>1980</v>
      </c>
      <c r="AC113" s="113">
        <v>2640</v>
      </c>
      <c r="AD113" s="119">
        <v>6360</v>
      </c>
      <c r="AE113" s="119">
        <v>5290</v>
      </c>
      <c r="AF113" s="119">
        <v>6090</v>
      </c>
      <c r="AG113" s="119">
        <v>5750</v>
      </c>
      <c r="AH113" s="119"/>
    </row>
    <row r="114" spans="1:34" ht="20.100000000000001" customHeight="1" x14ac:dyDescent="0.25">
      <c r="A114" s="110">
        <f t="shared" si="32"/>
        <v>83</v>
      </c>
      <c r="B114" s="109">
        <v>0.6166666666666667</v>
      </c>
      <c r="C114" s="121" t="s">
        <v>243</v>
      </c>
      <c r="D114" s="5">
        <f t="shared" si="33"/>
        <v>10</v>
      </c>
      <c r="E114" s="111">
        <v>6</v>
      </c>
      <c r="F114" s="118" t="s">
        <v>29</v>
      </c>
      <c r="G114" s="250">
        <f t="shared" si="23"/>
        <v>2.09</v>
      </c>
      <c r="H114" s="250">
        <f t="shared" si="24"/>
        <v>4.7300000000000004</v>
      </c>
      <c r="I114" s="250">
        <f t="shared" si="25"/>
        <v>7.69</v>
      </c>
      <c r="J114" s="250">
        <f t="shared" si="26"/>
        <v>8.25</v>
      </c>
      <c r="K114" s="250">
        <f t="shared" si="27"/>
        <v>6.84</v>
      </c>
      <c r="L114" s="250">
        <f t="shared" si="28"/>
        <v>5.89</v>
      </c>
      <c r="M114" s="250">
        <f t="shared" si="29"/>
        <v>0</v>
      </c>
      <c r="N114" s="171">
        <f t="shared" si="30"/>
        <v>35.49</v>
      </c>
      <c r="O114" s="171">
        <f t="shared" si="34"/>
        <v>746.22755676720942</v>
      </c>
      <c r="P114" s="172"/>
      <c r="Q114" s="172"/>
      <c r="R114" s="172"/>
      <c r="S114" s="172"/>
      <c r="T114" s="172"/>
      <c r="U114" s="172"/>
      <c r="V114" s="172"/>
      <c r="W114" s="172">
        <f>VLOOKUP(D114,[1]KEY!$D$35:$E$44,2,FALSE)</f>
        <v>46</v>
      </c>
      <c r="X114" s="173" t="str">
        <f t="shared" si="35"/>
        <v>N</v>
      </c>
      <c r="Y114" s="174">
        <f t="shared" si="36"/>
        <v>0</v>
      </c>
      <c r="Z114" s="116" t="s">
        <v>436</v>
      </c>
      <c r="AB114" s="113">
        <v>2090</v>
      </c>
      <c r="AC114" s="113">
        <v>4730</v>
      </c>
      <c r="AD114" s="119">
        <v>7690</v>
      </c>
      <c r="AE114" s="119">
        <v>8250</v>
      </c>
      <c r="AF114" s="119">
        <v>6840</v>
      </c>
      <c r="AG114" s="119">
        <v>5890</v>
      </c>
      <c r="AH114" s="119"/>
    </row>
    <row r="115" spans="1:34" ht="20.100000000000001" customHeight="1" x14ac:dyDescent="0.25">
      <c r="A115" s="110">
        <f t="shared" si="32"/>
        <v>84</v>
      </c>
      <c r="B115" s="109">
        <v>0.63194444444444442</v>
      </c>
      <c r="C115" s="121" t="s">
        <v>246</v>
      </c>
      <c r="D115" s="5">
        <f t="shared" si="33"/>
        <v>10</v>
      </c>
      <c r="E115" s="111">
        <v>6</v>
      </c>
      <c r="F115" s="118" t="s">
        <v>29</v>
      </c>
      <c r="G115" s="250">
        <f t="shared" si="23"/>
        <v>2.5299999999999998</v>
      </c>
      <c r="H115" s="250">
        <f t="shared" si="24"/>
        <v>3.85</v>
      </c>
      <c r="I115" s="250">
        <f t="shared" si="25"/>
        <v>6.06</v>
      </c>
      <c r="J115" s="250">
        <f t="shared" si="26"/>
        <v>8.2799999999999994</v>
      </c>
      <c r="K115" s="250">
        <f t="shared" si="27"/>
        <v>7.58</v>
      </c>
      <c r="L115" s="250">
        <f t="shared" si="28"/>
        <v>7.6</v>
      </c>
      <c r="M115" s="250">
        <f t="shared" si="29"/>
        <v>0</v>
      </c>
      <c r="N115" s="171">
        <f t="shared" si="30"/>
        <v>35.9</v>
      </c>
      <c r="O115" s="171">
        <f t="shared" si="34"/>
        <v>785.81317185314174</v>
      </c>
      <c r="P115" s="172"/>
      <c r="Q115" s="172"/>
      <c r="R115" s="172"/>
      <c r="S115" s="172"/>
      <c r="T115" s="172"/>
      <c r="U115" s="172"/>
      <c r="V115" s="172"/>
      <c r="W115" s="172">
        <f>VLOOKUP(D115,[1]KEY!$D$35:$E$44,2,FALSE)</f>
        <v>46</v>
      </c>
      <c r="X115" s="173" t="str">
        <f t="shared" si="35"/>
        <v>N</v>
      </c>
      <c r="Y115" s="174">
        <f t="shared" si="36"/>
        <v>0</v>
      </c>
      <c r="Z115" s="116" t="s">
        <v>426</v>
      </c>
      <c r="AB115" s="113">
        <v>2530</v>
      </c>
      <c r="AC115" s="113">
        <v>3850</v>
      </c>
      <c r="AD115" s="119">
        <v>6060</v>
      </c>
      <c r="AE115" s="119">
        <v>8280</v>
      </c>
      <c r="AF115" s="119">
        <v>7580</v>
      </c>
      <c r="AG115" s="119">
        <v>7600</v>
      </c>
      <c r="AH115" s="119"/>
    </row>
    <row r="116" spans="1:34" ht="20.100000000000001" customHeight="1" x14ac:dyDescent="0.25">
      <c r="A116" s="110">
        <f t="shared" si="32"/>
        <v>85</v>
      </c>
      <c r="B116" s="109">
        <v>0.64097222222222217</v>
      </c>
      <c r="C116" s="121" t="s">
        <v>161</v>
      </c>
      <c r="D116" s="5">
        <f t="shared" si="33"/>
        <v>10</v>
      </c>
      <c r="E116" s="111">
        <v>6</v>
      </c>
      <c r="F116" s="118" t="s">
        <v>29</v>
      </c>
      <c r="G116" s="250">
        <f t="shared" si="23"/>
        <v>3.25</v>
      </c>
      <c r="H116" s="250">
        <f t="shared" si="24"/>
        <v>3</v>
      </c>
      <c r="I116" s="250">
        <f t="shared" si="25"/>
        <v>9.0299999999999994</v>
      </c>
      <c r="J116" s="250">
        <f t="shared" si="26"/>
        <v>6.63</v>
      </c>
      <c r="K116" s="250">
        <f t="shared" si="27"/>
        <v>9.48</v>
      </c>
      <c r="L116" s="250">
        <f t="shared" si="28"/>
        <v>7.43</v>
      </c>
      <c r="M116" s="250">
        <f t="shared" si="29"/>
        <v>0</v>
      </c>
      <c r="N116" s="171">
        <f t="shared" si="30"/>
        <v>38.82</v>
      </c>
      <c r="O116" s="171">
        <f t="shared" si="34"/>
        <v>1117.2340811200793</v>
      </c>
      <c r="P116" s="172"/>
      <c r="Q116" s="172"/>
      <c r="R116" s="172"/>
      <c r="S116" s="172"/>
      <c r="T116" s="172"/>
      <c r="U116" s="172"/>
      <c r="V116" s="172"/>
      <c r="W116" s="172">
        <f>VLOOKUP(D116,[1]KEY!$D$35:$E$44,2,FALSE)</f>
        <v>46</v>
      </c>
      <c r="X116" s="173" t="str">
        <f t="shared" si="35"/>
        <v>N</v>
      </c>
      <c r="Y116" s="174">
        <f t="shared" si="36"/>
        <v>0</v>
      </c>
      <c r="Z116" s="116" t="s">
        <v>426</v>
      </c>
      <c r="AB116" s="113">
        <v>3250</v>
      </c>
      <c r="AC116" s="113">
        <v>3000</v>
      </c>
      <c r="AD116" s="119">
        <v>9030</v>
      </c>
      <c r="AE116" s="119">
        <v>6630</v>
      </c>
      <c r="AF116" s="119">
        <v>9480</v>
      </c>
      <c r="AG116" s="119">
        <v>7430</v>
      </c>
      <c r="AH116" s="119"/>
    </row>
    <row r="117" spans="1:34" ht="20.100000000000001" customHeight="1" x14ac:dyDescent="0.25">
      <c r="A117" s="110">
        <f t="shared" si="32"/>
        <v>86</v>
      </c>
      <c r="B117" s="109">
        <v>0.64583333333333337</v>
      </c>
      <c r="C117" s="121" t="s">
        <v>248</v>
      </c>
      <c r="D117" s="5">
        <f t="shared" si="33"/>
        <v>10</v>
      </c>
      <c r="E117" s="111">
        <v>7</v>
      </c>
      <c r="F117" s="112" t="s">
        <v>58</v>
      </c>
      <c r="G117" s="250">
        <f t="shared" si="23"/>
        <v>3.85</v>
      </c>
      <c r="H117" s="250">
        <f t="shared" si="24"/>
        <v>2.97</v>
      </c>
      <c r="I117" s="250">
        <f t="shared" si="25"/>
        <v>5.69</v>
      </c>
      <c r="J117" s="250">
        <f t="shared" si="26"/>
        <v>5.64</v>
      </c>
      <c r="K117" s="250">
        <f t="shared" si="27"/>
        <v>8.2799999999999994</v>
      </c>
      <c r="L117" s="250">
        <f t="shared" si="28"/>
        <v>5.98</v>
      </c>
      <c r="M117" s="250">
        <f t="shared" si="29"/>
        <v>7.7</v>
      </c>
      <c r="N117" s="171">
        <f t="shared" si="30"/>
        <v>40.11</v>
      </c>
      <c r="O117" s="171">
        <f t="shared" si="34"/>
        <v>1294.2890129647901</v>
      </c>
      <c r="P117" s="172"/>
      <c r="Q117" s="172"/>
      <c r="R117" s="172"/>
      <c r="S117" s="172"/>
      <c r="T117" s="172"/>
      <c r="U117" s="172"/>
      <c r="V117" s="172"/>
      <c r="W117" s="172">
        <f>VLOOKUP(D117,[1]KEY!$D$35:$E$44,2,FALSE)</f>
        <v>46</v>
      </c>
      <c r="X117" s="173" t="str">
        <f t="shared" si="35"/>
        <v>N</v>
      </c>
      <c r="Y117" s="174">
        <f t="shared" si="36"/>
        <v>0</v>
      </c>
      <c r="Z117" s="116" t="s">
        <v>426</v>
      </c>
      <c r="AB117" s="113">
        <v>3850</v>
      </c>
      <c r="AC117" s="113">
        <v>2970</v>
      </c>
      <c r="AD117" s="119">
        <v>5690</v>
      </c>
      <c r="AE117" s="119">
        <v>5640</v>
      </c>
      <c r="AF117" s="119">
        <v>8280</v>
      </c>
      <c r="AG117" s="119">
        <v>5980</v>
      </c>
      <c r="AH117" s="119">
        <v>7700</v>
      </c>
    </row>
    <row r="118" spans="1:34" ht="24" customHeight="1" x14ac:dyDescent="0.25">
      <c r="A118" s="176">
        <f t="shared" si="32"/>
        <v>87</v>
      </c>
      <c r="B118" s="202">
        <v>0.67291666666666661</v>
      </c>
      <c r="C118" s="184" t="s">
        <v>250</v>
      </c>
      <c r="D118" s="5">
        <f t="shared" si="33"/>
        <v>10</v>
      </c>
      <c r="E118" s="187">
        <v>6</v>
      </c>
      <c r="F118" s="190" t="s">
        <v>29</v>
      </c>
      <c r="G118" s="250">
        <f t="shared" si="23"/>
        <v>2.97</v>
      </c>
      <c r="H118" s="250">
        <f t="shared" si="24"/>
        <v>4.18</v>
      </c>
      <c r="I118" s="250">
        <f t="shared" si="25"/>
        <v>7.75</v>
      </c>
      <c r="J118" s="250">
        <f t="shared" si="26"/>
        <v>7.1</v>
      </c>
      <c r="K118" s="250">
        <f t="shared" si="27"/>
        <v>7.59</v>
      </c>
      <c r="L118" s="250">
        <f t="shared" si="28"/>
        <v>7.71</v>
      </c>
      <c r="M118" s="250">
        <f t="shared" si="29"/>
        <v>0</v>
      </c>
      <c r="N118" s="171">
        <f t="shared" si="30"/>
        <v>37.299999999999997</v>
      </c>
      <c r="O118" s="171">
        <f t="shared" si="34"/>
        <v>933.43488742547299</v>
      </c>
      <c r="P118" s="172"/>
      <c r="Q118" s="172"/>
      <c r="R118" s="172"/>
      <c r="S118" s="172"/>
      <c r="T118" s="172"/>
      <c r="U118" s="172"/>
      <c r="V118" s="172"/>
      <c r="W118" s="172">
        <f>VLOOKUP(D118,[1]KEY!$D$35:$E$44,2,FALSE)</f>
        <v>46</v>
      </c>
      <c r="X118" s="173" t="str">
        <f t="shared" si="35"/>
        <v>N</v>
      </c>
      <c r="Y118" s="174">
        <f t="shared" si="36"/>
        <v>0</v>
      </c>
      <c r="Z118" s="194" t="s">
        <v>426</v>
      </c>
      <c r="AB118" s="208">
        <v>2970</v>
      </c>
      <c r="AC118" s="208">
        <v>4180</v>
      </c>
      <c r="AD118" s="119">
        <v>7750</v>
      </c>
      <c r="AE118" s="119">
        <v>7100</v>
      </c>
      <c r="AF118" s="119">
        <v>7590</v>
      </c>
      <c r="AG118" s="119">
        <v>7710</v>
      </c>
      <c r="AH118" s="119"/>
    </row>
    <row r="119" spans="1:34" ht="24" customHeight="1" x14ac:dyDescent="0.25">
      <c r="A119" s="176">
        <f t="shared" si="32"/>
        <v>88</v>
      </c>
      <c r="B119" s="178">
        <v>0.67986111111111114</v>
      </c>
      <c r="C119" s="121" t="s">
        <v>252</v>
      </c>
      <c r="D119" s="5">
        <f t="shared" si="33"/>
        <v>10</v>
      </c>
      <c r="E119" s="111">
        <v>6</v>
      </c>
      <c r="F119" s="118" t="s">
        <v>110</v>
      </c>
      <c r="G119" s="250">
        <f t="shared" si="23"/>
        <v>3.19</v>
      </c>
      <c r="H119" s="250">
        <f t="shared" si="24"/>
        <v>2.2000000000000002</v>
      </c>
      <c r="I119" s="250">
        <f t="shared" si="25"/>
        <v>8.07</v>
      </c>
      <c r="J119" s="250">
        <f t="shared" si="26"/>
        <v>5.7</v>
      </c>
      <c r="K119" s="250">
        <f t="shared" si="27"/>
        <v>7.16</v>
      </c>
      <c r="L119" s="250">
        <f t="shared" si="28"/>
        <v>8.06</v>
      </c>
      <c r="M119" s="250">
        <f t="shared" si="29"/>
        <v>0</v>
      </c>
      <c r="N119" s="171">
        <f t="shared" si="30"/>
        <v>34.380000000000003</v>
      </c>
      <c r="O119" s="171">
        <f t="shared" si="34"/>
        <v>646.80104244913935</v>
      </c>
      <c r="P119" s="172"/>
      <c r="Q119" s="172"/>
      <c r="R119" s="172"/>
      <c r="S119" s="172"/>
      <c r="T119" s="172"/>
      <c r="U119" s="172"/>
      <c r="V119" s="172"/>
      <c r="W119" s="172">
        <f>VLOOKUP(D119,[1]KEY!$D$35:$E$44,2,FALSE)</f>
        <v>46</v>
      </c>
      <c r="X119" s="173" t="str">
        <f t="shared" si="35"/>
        <v>N</v>
      </c>
      <c r="Y119" s="174">
        <f t="shared" si="36"/>
        <v>0</v>
      </c>
      <c r="Z119" s="194" t="s">
        <v>422</v>
      </c>
      <c r="AB119" s="113">
        <v>3190</v>
      </c>
      <c r="AC119" s="113">
        <v>2200</v>
      </c>
      <c r="AD119" s="119">
        <v>8070</v>
      </c>
      <c r="AE119" s="119">
        <v>5700</v>
      </c>
      <c r="AF119" s="119">
        <v>7160</v>
      </c>
      <c r="AG119" s="119">
        <v>8060</v>
      </c>
      <c r="AH119" s="119"/>
    </row>
    <row r="120" spans="1:34" ht="24" customHeight="1" x14ac:dyDescent="0.25">
      <c r="A120" s="176">
        <f t="shared" si="32"/>
        <v>89</v>
      </c>
      <c r="B120" s="178">
        <v>0.68194444444444446</v>
      </c>
      <c r="C120" s="121" t="s">
        <v>253</v>
      </c>
      <c r="D120" s="5">
        <f t="shared" si="33"/>
        <v>10</v>
      </c>
      <c r="E120" s="111">
        <v>6</v>
      </c>
      <c r="F120" s="190" t="s">
        <v>29</v>
      </c>
      <c r="G120" s="250">
        <f t="shared" si="23"/>
        <v>2.86</v>
      </c>
      <c r="H120" s="250">
        <f t="shared" si="24"/>
        <v>3.96</v>
      </c>
      <c r="I120" s="250">
        <f t="shared" si="25"/>
        <v>5.77</v>
      </c>
      <c r="J120" s="250">
        <f t="shared" si="26"/>
        <v>7.56</v>
      </c>
      <c r="K120" s="250">
        <f t="shared" si="27"/>
        <v>7.49</v>
      </c>
      <c r="L120" s="250">
        <f t="shared" si="28"/>
        <v>6.86</v>
      </c>
      <c r="M120" s="250">
        <f t="shared" si="29"/>
        <v>0</v>
      </c>
      <c r="N120" s="171">
        <f t="shared" si="30"/>
        <v>34.5</v>
      </c>
      <c r="O120" s="171">
        <f t="shared" si="34"/>
        <v>657.02245617810559</v>
      </c>
      <c r="P120" s="172"/>
      <c r="Q120" s="172"/>
      <c r="R120" s="172"/>
      <c r="S120" s="172"/>
      <c r="T120" s="172"/>
      <c r="U120" s="172"/>
      <c r="V120" s="172"/>
      <c r="W120" s="172">
        <f>VLOOKUP(D120,[1]KEY!$D$35:$E$44,2,FALSE)</f>
        <v>46</v>
      </c>
      <c r="X120" s="173" t="str">
        <f t="shared" si="35"/>
        <v>N</v>
      </c>
      <c r="Y120" s="174">
        <f t="shared" si="36"/>
        <v>0</v>
      </c>
      <c r="Z120" s="116" t="s">
        <v>426</v>
      </c>
      <c r="AB120" s="113">
        <v>2860</v>
      </c>
      <c r="AC120" s="113">
        <v>3960</v>
      </c>
      <c r="AD120" s="119">
        <v>5770</v>
      </c>
      <c r="AE120" s="119">
        <v>7560</v>
      </c>
      <c r="AF120" s="119">
        <v>7490</v>
      </c>
      <c r="AG120" s="119">
        <v>6860</v>
      </c>
      <c r="AH120" s="119"/>
    </row>
    <row r="121" spans="1:34" ht="24" customHeight="1" x14ac:dyDescent="0.25">
      <c r="A121" s="176">
        <f t="shared" si="32"/>
        <v>90</v>
      </c>
      <c r="B121" s="178">
        <v>0.70138888888888884</v>
      </c>
      <c r="C121" s="121" t="s">
        <v>260</v>
      </c>
      <c r="D121" s="5">
        <f t="shared" si="33"/>
        <v>10</v>
      </c>
      <c r="E121" s="111">
        <v>6</v>
      </c>
      <c r="F121" s="188" t="s">
        <v>110</v>
      </c>
      <c r="G121" s="250">
        <f t="shared" si="23"/>
        <v>2.42</v>
      </c>
      <c r="H121" s="250">
        <f t="shared" si="24"/>
        <v>3.52</v>
      </c>
      <c r="I121" s="250">
        <f t="shared" si="25"/>
        <v>9.92</v>
      </c>
      <c r="J121" s="250">
        <f t="shared" si="26"/>
        <v>7.14</v>
      </c>
      <c r="K121" s="250">
        <f t="shared" si="27"/>
        <v>7.08</v>
      </c>
      <c r="L121" s="250">
        <f t="shared" si="28"/>
        <v>7.06</v>
      </c>
      <c r="M121" s="250">
        <f t="shared" si="29"/>
        <v>0</v>
      </c>
      <c r="N121" s="171">
        <f t="shared" si="30"/>
        <v>37.14</v>
      </c>
      <c r="O121" s="171">
        <f t="shared" si="34"/>
        <v>915.55161473931207</v>
      </c>
      <c r="P121" s="172"/>
      <c r="Q121" s="172"/>
      <c r="R121" s="172"/>
      <c r="S121" s="172"/>
      <c r="T121" s="172"/>
      <c r="U121" s="172"/>
      <c r="V121" s="172"/>
      <c r="W121" s="172">
        <f>VLOOKUP(D121,[1]KEY!$D$35:$E$44,2,FALSE)</f>
        <v>46</v>
      </c>
      <c r="X121" s="173" t="str">
        <f t="shared" si="35"/>
        <v>N</v>
      </c>
      <c r="Y121" s="174">
        <f t="shared" si="36"/>
        <v>0</v>
      </c>
      <c r="Z121" s="116" t="s">
        <v>426</v>
      </c>
      <c r="AB121" s="113">
        <v>2420</v>
      </c>
      <c r="AC121" s="113">
        <v>3520</v>
      </c>
      <c r="AD121" s="119">
        <v>9920</v>
      </c>
      <c r="AE121" s="119">
        <v>7140</v>
      </c>
      <c r="AF121" s="119">
        <v>7080</v>
      </c>
      <c r="AG121" s="119">
        <v>7060</v>
      </c>
      <c r="AH121" s="119"/>
    </row>
    <row r="122" spans="1:34" ht="24" customHeight="1" x14ac:dyDescent="0.25">
      <c r="A122" s="176">
        <f t="shared" si="32"/>
        <v>91</v>
      </c>
      <c r="B122" s="178">
        <v>0.71388888888888891</v>
      </c>
      <c r="C122" s="121" t="s">
        <v>263</v>
      </c>
      <c r="D122" s="5">
        <f t="shared" si="33"/>
        <v>10</v>
      </c>
      <c r="E122" s="111">
        <v>6</v>
      </c>
      <c r="F122" s="190" t="s">
        <v>29</v>
      </c>
      <c r="G122" s="250">
        <f t="shared" si="23"/>
        <v>2.86</v>
      </c>
      <c r="H122" s="250">
        <f t="shared" si="24"/>
        <v>2.2000000000000002</v>
      </c>
      <c r="I122" s="250">
        <f t="shared" si="25"/>
        <v>8.7200000000000006</v>
      </c>
      <c r="J122" s="250">
        <f t="shared" si="26"/>
        <v>6.04</v>
      </c>
      <c r="K122" s="250">
        <f t="shared" si="27"/>
        <v>6.16</v>
      </c>
      <c r="L122" s="250">
        <f t="shared" si="28"/>
        <v>4.1900000000000004</v>
      </c>
      <c r="M122" s="250">
        <f t="shared" si="29"/>
        <v>0</v>
      </c>
      <c r="N122" s="171">
        <f t="shared" si="30"/>
        <v>30.17</v>
      </c>
      <c r="O122" s="171">
        <f t="shared" si="34"/>
        <v>359.32148130560563</v>
      </c>
      <c r="P122" s="172"/>
      <c r="Q122" s="172"/>
      <c r="R122" s="172"/>
      <c r="S122" s="172"/>
      <c r="T122" s="172"/>
      <c r="U122" s="172"/>
      <c r="V122" s="172"/>
      <c r="W122" s="172">
        <f>VLOOKUP(D122,[1]KEY!$D$35:$E$44,2,FALSE)</f>
        <v>46</v>
      </c>
      <c r="X122" s="173" t="str">
        <f t="shared" si="35"/>
        <v>N</v>
      </c>
      <c r="Y122" s="174">
        <f t="shared" si="36"/>
        <v>0</v>
      </c>
      <c r="Z122" s="194" t="s">
        <v>426</v>
      </c>
      <c r="AB122" s="113">
        <v>2860</v>
      </c>
      <c r="AC122" s="113">
        <v>2200</v>
      </c>
      <c r="AD122" s="119">
        <v>8720</v>
      </c>
      <c r="AE122" s="119">
        <v>6040</v>
      </c>
      <c r="AF122" s="119">
        <v>6160</v>
      </c>
      <c r="AG122" s="119">
        <v>4190</v>
      </c>
      <c r="AH122" s="119"/>
    </row>
    <row r="123" spans="1:34" ht="24" customHeight="1" x14ac:dyDescent="0.25">
      <c r="A123" s="176">
        <f t="shared" si="32"/>
        <v>92</v>
      </c>
      <c r="B123" s="178">
        <v>0.71527777777777779</v>
      </c>
      <c r="C123" s="121" t="s">
        <v>264</v>
      </c>
      <c r="D123" s="5">
        <f t="shared" si="33"/>
        <v>10</v>
      </c>
      <c r="E123" s="111">
        <v>6</v>
      </c>
      <c r="F123" s="188" t="s">
        <v>29</v>
      </c>
      <c r="G123" s="250">
        <f t="shared" si="23"/>
        <v>2.97</v>
      </c>
      <c r="H123" s="250">
        <f t="shared" si="24"/>
        <v>3.96</v>
      </c>
      <c r="I123" s="250">
        <f t="shared" si="25"/>
        <v>7.26</v>
      </c>
      <c r="J123" s="250">
        <f t="shared" si="26"/>
        <v>8.8699999999999992</v>
      </c>
      <c r="K123" s="250">
        <f t="shared" si="27"/>
        <v>5.89</v>
      </c>
      <c r="L123" s="250">
        <f t="shared" si="28"/>
        <v>8.08</v>
      </c>
      <c r="M123" s="250">
        <f t="shared" si="29"/>
        <v>0</v>
      </c>
      <c r="N123" s="171">
        <f t="shared" si="30"/>
        <v>37.03</v>
      </c>
      <c r="O123" s="171">
        <f t="shared" si="34"/>
        <v>903.41228049858978</v>
      </c>
      <c r="P123" s="172"/>
      <c r="Q123" s="172"/>
      <c r="R123" s="172"/>
      <c r="S123" s="172"/>
      <c r="T123" s="172"/>
      <c r="U123" s="172"/>
      <c r="V123" s="172"/>
      <c r="W123" s="172">
        <f>VLOOKUP(D123,[1]KEY!$D$35:$E$44,2,FALSE)</f>
        <v>46</v>
      </c>
      <c r="X123" s="173" t="str">
        <f t="shared" si="35"/>
        <v>N</v>
      </c>
      <c r="Y123" s="174">
        <f t="shared" si="36"/>
        <v>0</v>
      </c>
      <c r="Z123" s="194" t="s">
        <v>426</v>
      </c>
      <c r="AB123" s="113">
        <v>2970</v>
      </c>
      <c r="AC123" s="113">
        <v>3960</v>
      </c>
      <c r="AD123" s="119">
        <v>7260</v>
      </c>
      <c r="AE123" s="119">
        <v>8870</v>
      </c>
      <c r="AF123" s="119">
        <v>5890</v>
      </c>
      <c r="AG123" s="119">
        <v>8080</v>
      </c>
      <c r="AH123" s="119"/>
    </row>
    <row r="124" spans="1:34" ht="24" customHeight="1" x14ac:dyDescent="0.25">
      <c r="A124" s="176">
        <f t="shared" si="32"/>
        <v>93</v>
      </c>
      <c r="B124" s="178">
        <v>0.73611111111111116</v>
      </c>
      <c r="C124" s="121" t="s">
        <v>267</v>
      </c>
      <c r="D124" s="5">
        <f t="shared" si="33"/>
        <v>10</v>
      </c>
      <c r="E124" s="111">
        <v>6</v>
      </c>
      <c r="F124" s="112" t="s">
        <v>29</v>
      </c>
      <c r="G124" s="250">
        <f t="shared" si="23"/>
        <v>2.75</v>
      </c>
      <c r="H124" s="250">
        <f t="shared" si="24"/>
        <v>3.3</v>
      </c>
      <c r="I124" s="250">
        <f t="shared" si="25"/>
        <v>5.7</v>
      </c>
      <c r="J124" s="250">
        <f t="shared" si="26"/>
        <v>6.45</v>
      </c>
      <c r="K124" s="250">
        <f t="shared" si="27"/>
        <v>6.69</v>
      </c>
      <c r="L124" s="250">
        <f t="shared" si="28"/>
        <v>7.52</v>
      </c>
      <c r="M124" s="250">
        <f t="shared" si="29"/>
        <v>0</v>
      </c>
      <c r="N124" s="171">
        <f t="shared" si="30"/>
        <v>32.409999999999997</v>
      </c>
      <c r="O124" s="171">
        <f t="shared" si="34"/>
        <v>495.96373880202538</v>
      </c>
      <c r="P124" s="172"/>
      <c r="Q124" s="172"/>
      <c r="R124" s="172"/>
      <c r="S124" s="172"/>
      <c r="T124" s="172"/>
      <c r="U124" s="172"/>
      <c r="V124" s="172"/>
      <c r="W124" s="172">
        <f>VLOOKUP(D124,[1]KEY!$D$35:$E$44,2,FALSE)</f>
        <v>46</v>
      </c>
      <c r="X124" s="173" t="str">
        <f t="shared" si="35"/>
        <v>N</v>
      </c>
      <c r="Y124" s="174">
        <f t="shared" si="36"/>
        <v>0</v>
      </c>
      <c r="Z124" s="194" t="s">
        <v>422</v>
      </c>
      <c r="AB124" s="113">
        <v>2750</v>
      </c>
      <c r="AC124" s="113">
        <v>3300</v>
      </c>
      <c r="AD124" s="119">
        <v>5700</v>
      </c>
      <c r="AE124" s="119">
        <v>6450</v>
      </c>
      <c r="AF124" s="119">
        <v>6690</v>
      </c>
      <c r="AG124" s="119">
        <v>7520</v>
      </c>
      <c r="AH124" s="119"/>
    </row>
    <row r="125" spans="1:34" ht="24" customHeight="1" x14ac:dyDescent="0.25">
      <c r="A125" s="176">
        <f t="shared" si="32"/>
        <v>94</v>
      </c>
      <c r="B125" s="178">
        <v>0.74097222222222225</v>
      </c>
      <c r="C125" s="121" t="s">
        <v>268</v>
      </c>
      <c r="D125" s="5">
        <f t="shared" si="33"/>
        <v>10</v>
      </c>
      <c r="E125" s="111">
        <v>6</v>
      </c>
      <c r="F125" s="188" t="s">
        <v>29</v>
      </c>
      <c r="G125" s="250">
        <f t="shared" si="23"/>
        <v>3.08</v>
      </c>
      <c r="H125" s="250">
        <f t="shared" si="24"/>
        <v>4.7300000000000004</v>
      </c>
      <c r="I125" s="250">
        <f t="shared" si="25"/>
        <v>8.77</v>
      </c>
      <c r="J125" s="250">
        <f t="shared" si="26"/>
        <v>6.72</v>
      </c>
      <c r="K125" s="250">
        <f t="shared" si="27"/>
        <v>6.91</v>
      </c>
      <c r="L125" s="250">
        <f t="shared" si="28"/>
        <v>7.43</v>
      </c>
      <c r="M125" s="250">
        <f t="shared" si="29"/>
        <v>0</v>
      </c>
      <c r="N125" s="171">
        <f t="shared" si="30"/>
        <v>37.64</v>
      </c>
      <c r="O125" s="171">
        <f t="shared" si="34"/>
        <v>972.33865651860867</v>
      </c>
      <c r="P125" s="172"/>
      <c r="Q125" s="172"/>
      <c r="R125" s="172"/>
      <c r="S125" s="172"/>
      <c r="T125" s="172"/>
      <c r="U125" s="172"/>
      <c r="V125" s="172"/>
      <c r="W125" s="172">
        <f>VLOOKUP(D125,[1]KEY!$D$35:$E$44,2,FALSE)</f>
        <v>46</v>
      </c>
      <c r="X125" s="173" t="str">
        <f t="shared" si="35"/>
        <v>N</v>
      </c>
      <c r="Y125" s="174">
        <f t="shared" si="36"/>
        <v>0</v>
      </c>
      <c r="Z125" s="194" t="s">
        <v>422</v>
      </c>
      <c r="AB125" s="113">
        <v>3080</v>
      </c>
      <c r="AC125" s="113">
        <v>4730</v>
      </c>
      <c r="AD125" s="119">
        <v>8770</v>
      </c>
      <c r="AE125" s="119">
        <v>6720</v>
      </c>
      <c r="AF125" s="119">
        <v>6910</v>
      </c>
      <c r="AG125" s="119">
        <v>7430</v>
      </c>
      <c r="AH125" s="119"/>
    </row>
    <row r="126" spans="1:34" ht="24" customHeight="1" x14ac:dyDescent="0.25">
      <c r="A126" s="176">
        <f t="shared" si="32"/>
        <v>95</v>
      </c>
      <c r="B126" s="178">
        <v>0.75347222222222221</v>
      </c>
      <c r="C126" s="121" t="s">
        <v>270</v>
      </c>
      <c r="D126" s="5">
        <f t="shared" si="33"/>
        <v>10</v>
      </c>
      <c r="E126" s="111">
        <v>6</v>
      </c>
      <c r="F126" s="188" t="s">
        <v>29</v>
      </c>
      <c r="G126" s="250">
        <f t="shared" si="23"/>
        <v>3.41</v>
      </c>
      <c r="H126" s="250">
        <f t="shared" si="24"/>
        <v>4.18</v>
      </c>
      <c r="I126" s="250">
        <f t="shared" si="25"/>
        <v>7.04</v>
      </c>
      <c r="J126" s="250">
        <f t="shared" si="26"/>
        <v>8.0299999999999994</v>
      </c>
      <c r="K126" s="250">
        <f t="shared" si="27"/>
        <v>8.9</v>
      </c>
      <c r="L126" s="250">
        <f t="shared" si="28"/>
        <v>8.3800000000000008</v>
      </c>
      <c r="M126" s="250">
        <f t="shared" si="29"/>
        <v>0</v>
      </c>
      <c r="N126" s="171">
        <f t="shared" si="30"/>
        <v>39.94</v>
      </c>
      <c r="O126" s="171">
        <f t="shared" si="34"/>
        <v>1269.7860688670937</v>
      </c>
      <c r="P126" s="172"/>
      <c r="Q126" s="172"/>
      <c r="R126" s="172"/>
      <c r="S126" s="172"/>
      <c r="T126" s="172"/>
      <c r="U126" s="172"/>
      <c r="V126" s="172"/>
      <c r="W126" s="172">
        <f>VLOOKUP(D126,[1]KEY!$D$35:$E$44,2,FALSE)</f>
        <v>46</v>
      </c>
      <c r="X126" s="173" t="str">
        <f t="shared" si="35"/>
        <v>N</v>
      </c>
      <c r="Y126" s="174">
        <f t="shared" si="36"/>
        <v>0</v>
      </c>
      <c r="Z126" s="116" t="s">
        <v>426</v>
      </c>
      <c r="AB126" s="113">
        <v>3410</v>
      </c>
      <c r="AC126" s="113">
        <v>4180</v>
      </c>
      <c r="AD126" s="119">
        <v>7040</v>
      </c>
      <c r="AE126" s="119">
        <v>8030</v>
      </c>
      <c r="AF126" s="119">
        <v>8900</v>
      </c>
      <c r="AG126" s="119">
        <v>8380</v>
      </c>
      <c r="AH126" s="119"/>
    </row>
    <row r="127" spans="1:34" ht="24" customHeight="1" x14ac:dyDescent="0.25">
      <c r="A127" s="176">
        <f t="shared" si="32"/>
        <v>96</v>
      </c>
      <c r="B127" s="178">
        <v>0.76041666666666663</v>
      </c>
      <c r="C127" s="121" t="s">
        <v>93</v>
      </c>
      <c r="D127" s="5">
        <f t="shared" si="33"/>
        <v>10</v>
      </c>
      <c r="E127" s="111">
        <v>6</v>
      </c>
      <c r="F127" s="112" t="s">
        <v>29</v>
      </c>
      <c r="G127" s="250">
        <f t="shared" si="23"/>
        <v>2.6</v>
      </c>
      <c r="H127" s="250">
        <f t="shared" si="24"/>
        <v>3.6</v>
      </c>
      <c r="I127" s="250">
        <f t="shared" si="25"/>
        <v>9.6999999999999993</v>
      </c>
      <c r="J127" s="250">
        <f t="shared" si="26"/>
        <v>9.1199999999999992</v>
      </c>
      <c r="K127" s="250">
        <f t="shared" si="27"/>
        <v>8.6</v>
      </c>
      <c r="L127" s="250">
        <f t="shared" si="28"/>
        <v>7.36</v>
      </c>
      <c r="M127" s="250">
        <f t="shared" si="29"/>
        <v>0</v>
      </c>
      <c r="N127" s="171">
        <f t="shared" si="30"/>
        <v>40.98</v>
      </c>
      <c r="O127" s="171">
        <f t="shared" si="34"/>
        <v>1425.5028138023506</v>
      </c>
      <c r="P127" s="172"/>
      <c r="Q127" s="172"/>
      <c r="R127" s="172"/>
      <c r="S127" s="172"/>
      <c r="T127" s="172"/>
      <c r="U127" s="172"/>
      <c r="V127" s="172"/>
      <c r="W127" s="172">
        <f>VLOOKUP(D127,[1]KEY!$D$35:$E$44,2,FALSE)</f>
        <v>46</v>
      </c>
      <c r="X127" s="173" t="str">
        <f t="shared" si="35"/>
        <v>N</v>
      </c>
      <c r="Y127" s="174">
        <f t="shared" si="36"/>
        <v>0</v>
      </c>
      <c r="Z127" s="116" t="s">
        <v>426</v>
      </c>
      <c r="AB127" s="113">
        <v>2600</v>
      </c>
      <c r="AC127" s="113">
        <v>3600</v>
      </c>
      <c r="AD127" s="119">
        <v>9700</v>
      </c>
      <c r="AE127" s="119">
        <v>9120</v>
      </c>
      <c r="AF127" s="119">
        <v>8600</v>
      </c>
      <c r="AG127" s="119">
        <v>7360</v>
      </c>
      <c r="AH127" s="119"/>
    </row>
    <row r="128" spans="1:34" ht="24" customHeight="1" x14ac:dyDescent="0.25">
      <c r="A128" s="176">
        <f t="shared" si="32"/>
        <v>97</v>
      </c>
      <c r="B128" s="178">
        <v>0.79166666666666663</v>
      </c>
      <c r="C128" s="121" t="s">
        <v>272</v>
      </c>
      <c r="D128" s="5">
        <f t="shared" si="33"/>
        <v>10</v>
      </c>
      <c r="E128" s="111">
        <v>6</v>
      </c>
      <c r="F128" s="188" t="s">
        <v>29</v>
      </c>
      <c r="G128" s="250">
        <f t="shared" si="23"/>
        <v>2.64</v>
      </c>
      <c r="H128" s="250">
        <f t="shared" si="24"/>
        <v>3.96</v>
      </c>
      <c r="I128" s="250">
        <f t="shared" si="25"/>
        <v>7.7</v>
      </c>
      <c r="J128" s="250">
        <f t="shared" si="26"/>
        <v>5.72</v>
      </c>
      <c r="K128" s="250">
        <f t="shared" si="27"/>
        <v>7.15</v>
      </c>
      <c r="L128" s="250">
        <f t="shared" si="28"/>
        <v>7.92</v>
      </c>
      <c r="M128" s="250">
        <f t="shared" si="29"/>
        <v>0</v>
      </c>
      <c r="N128" s="171">
        <f t="shared" si="30"/>
        <v>35.090000000000003</v>
      </c>
      <c r="O128" s="171">
        <f t="shared" si="34"/>
        <v>709.11952354752157</v>
      </c>
      <c r="P128" s="172"/>
      <c r="Q128" s="172"/>
      <c r="R128" s="172"/>
      <c r="S128" s="172"/>
      <c r="T128" s="172"/>
      <c r="U128" s="172"/>
      <c r="V128" s="172"/>
      <c r="W128" s="172">
        <f>VLOOKUP(D128,[1]KEY!$D$35:$E$44,2,FALSE)</f>
        <v>46</v>
      </c>
      <c r="X128" s="173" t="str">
        <f t="shared" si="35"/>
        <v>N</v>
      </c>
      <c r="Y128" s="174">
        <f t="shared" si="36"/>
        <v>0</v>
      </c>
      <c r="Z128" s="116" t="s">
        <v>429</v>
      </c>
      <c r="AB128" s="113">
        <v>2640</v>
      </c>
      <c r="AC128" s="113">
        <v>3960</v>
      </c>
      <c r="AD128" s="119">
        <v>7700</v>
      </c>
      <c r="AE128" s="119">
        <v>5720</v>
      </c>
      <c r="AF128" s="119">
        <v>7150</v>
      </c>
      <c r="AG128" s="119">
        <v>7920</v>
      </c>
      <c r="AH128" s="119"/>
    </row>
    <row r="129" spans="1:34" ht="24" customHeight="1" x14ac:dyDescent="0.25">
      <c r="A129" s="176">
        <f t="shared" ref="A129:A145" si="37">A128+1</f>
        <v>98</v>
      </c>
      <c r="B129" s="178">
        <v>0.82638888888888884</v>
      </c>
      <c r="C129" s="121" t="s">
        <v>280</v>
      </c>
      <c r="D129" s="5">
        <f t="shared" si="33"/>
        <v>10</v>
      </c>
      <c r="E129" s="111">
        <v>6</v>
      </c>
      <c r="F129" s="112" t="s">
        <v>29</v>
      </c>
      <c r="G129" s="250">
        <f t="shared" si="23"/>
        <v>2.31</v>
      </c>
      <c r="H129" s="250">
        <f t="shared" si="24"/>
        <v>4.7300000000000004</v>
      </c>
      <c r="I129" s="250">
        <f t="shared" si="25"/>
        <v>8.8000000000000007</v>
      </c>
      <c r="J129" s="250">
        <f t="shared" si="26"/>
        <v>7.15</v>
      </c>
      <c r="K129" s="250">
        <f t="shared" si="27"/>
        <v>7.22</v>
      </c>
      <c r="L129" s="250">
        <f t="shared" si="28"/>
        <v>7.39</v>
      </c>
      <c r="M129" s="250">
        <f t="shared" si="29"/>
        <v>0</v>
      </c>
      <c r="N129" s="171">
        <f t="shared" si="30"/>
        <v>37.6</v>
      </c>
      <c r="O129" s="171">
        <f t="shared" si="34"/>
        <v>967.6974302783384</v>
      </c>
      <c r="P129" s="172"/>
      <c r="Q129" s="172"/>
      <c r="R129" s="172"/>
      <c r="S129" s="172"/>
      <c r="T129" s="172"/>
      <c r="U129" s="172"/>
      <c r="V129" s="172"/>
      <c r="W129" s="172">
        <f>VLOOKUP(D129,[1]KEY!$D$35:$E$44,2,FALSE)</f>
        <v>46</v>
      </c>
      <c r="X129" s="173" t="str">
        <f t="shared" si="35"/>
        <v>N</v>
      </c>
      <c r="Y129" s="174">
        <f t="shared" si="36"/>
        <v>0</v>
      </c>
      <c r="Z129" s="116" t="s">
        <v>422</v>
      </c>
      <c r="AB129" s="113">
        <v>2310</v>
      </c>
      <c r="AC129" s="113">
        <v>4730</v>
      </c>
      <c r="AD129" s="119">
        <v>8800</v>
      </c>
      <c r="AE129" s="119">
        <v>7150</v>
      </c>
      <c r="AF129" s="119">
        <v>7220</v>
      </c>
      <c r="AG129" s="119">
        <v>7390</v>
      </c>
      <c r="AH129" s="119"/>
    </row>
    <row r="130" spans="1:34" ht="24" customHeight="1" x14ac:dyDescent="0.25">
      <c r="A130" s="176">
        <f t="shared" si="37"/>
        <v>99</v>
      </c>
      <c r="B130" s="178">
        <v>0.85416666666666663</v>
      </c>
      <c r="C130" s="121" t="s">
        <v>284</v>
      </c>
      <c r="D130" s="5">
        <f t="shared" si="33"/>
        <v>10</v>
      </c>
      <c r="E130" s="111">
        <v>6</v>
      </c>
      <c r="F130" s="188" t="s">
        <v>29</v>
      </c>
      <c r="G130" s="250">
        <f t="shared" si="23"/>
        <v>3.74</v>
      </c>
      <c r="H130" s="250">
        <f t="shared" si="24"/>
        <v>3.63</v>
      </c>
      <c r="I130" s="250">
        <f t="shared" si="25"/>
        <v>7.18</v>
      </c>
      <c r="J130" s="250">
        <f t="shared" si="26"/>
        <v>9.0500000000000007</v>
      </c>
      <c r="K130" s="250">
        <f t="shared" si="27"/>
        <v>8.91</v>
      </c>
      <c r="L130" s="250">
        <f t="shared" si="28"/>
        <v>7.39</v>
      </c>
      <c r="M130" s="250">
        <f t="shared" si="29"/>
        <v>0</v>
      </c>
      <c r="N130" s="171">
        <f t="shared" si="30"/>
        <v>39.900000000000006</v>
      </c>
      <c r="O130" s="171">
        <f t="shared" si="34"/>
        <v>1264.0734688895111</v>
      </c>
      <c r="P130" s="172"/>
      <c r="Q130" s="172"/>
      <c r="R130" s="172"/>
      <c r="S130" s="172"/>
      <c r="T130" s="172"/>
      <c r="U130" s="172"/>
      <c r="V130" s="172"/>
      <c r="W130" s="172">
        <f>VLOOKUP(D130,[1]KEY!$D$35:$E$44,2,FALSE)</f>
        <v>46</v>
      </c>
      <c r="X130" s="173" t="str">
        <f t="shared" si="35"/>
        <v>N</v>
      </c>
      <c r="Y130" s="174">
        <f t="shared" si="36"/>
        <v>0</v>
      </c>
      <c r="Z130" s="116" t="s">
        <v>426</v>
      </c>
      <c r="AB130" s="113">
        <v>3740</v>
      </c>
      <c r="AC130" s="113">
        <v>3630</v>
      </c>
      <c r="AD130" s="119">
        <v>7180</v>
      </c>
      <c r="AE130" s="119">
        <v>9050</v>
      </c>
      <c r="AF130" s="119">
        <v>8910</v>
      </c>
      <c r="AG130" s="119">
        <v>7390</v>
      </c>
      <c r="AH130" s="119"/>
    </row>
    <row r="131" spans="1:34" ht="24" customHeight="1" x14ac:dyDescent="0.25">
      <c r="A131" s="176">
        <f t="shared" si="37"/>
        <v>100</v>
      </c>
      <c r="B131" s="178">
        <v>0.86319444444444438</v>
      </c>
      <c r="C131" s="121" t="s">
        <v>285</v>
      </c>
      <c r="D131" s="5">
        <f t="shared" si="33"/>
        <v>10</v>
      </c>
      <c r="E131" s="111">
        <v>6</v>
      </c>
      <c r="F131" s="112" t="s">
        <v>286</v>
      </c>
      <c r="G131" s="250">
        <f t="shared" si="23"/>
        <v>2.75</v>
      </c>
      <c r="H131" s="250">
        <f t="shared" si="24"/>
        <v>2.75</v>
      </c>
      <c r="I131" s="250">
        <f t="shared" si="25"/>
        <v>8.52</v>
      </c>
      <c r="J131" s="250">
        <f t="shared" si="26"/>
        <v>7.06</v>
      </c>
      <c r="K131" s="250">
        <f t="shared" si="27"/>
        <v>7.11</v>
      </c>
      <c r="L131" s="250">
        <f t="shared" si="28"/>
        <v>9.11</v>
      </c>
      <c r="M131" s="250">
        <f t="shared" si="29"/>
        <v>0</v>
      </c>
      <c r="N131" s="171">
        <f t="shared" si="30"/>
        <v>37.299999999999997</v>
      </c>
      <c r="O131" s="171">
        <f t="shared" si="34"/>
        <v>933.43488742547299</v>
      </c>
      <c r="P131" s="172"/>
      <c r="Q131" s="172"/>
      <c r="R131" s="172"/>
      <c r="S131" s="172"/>
      <c r="T131" s="172"/>
      <c r="U131" s="172"/>
      <c r="V131" s="172"/>
      <c r="W131" s="172">
        <f>VLOOKUP(D131,[1]KEY!$D$35:$E$44,2,FALSE)</f>
        <v>46</v>
      </c>
      <c r="X131" s="173" t="str">
        <f t="shared" si="35"/>
        <v>N</v>
      </c>
      <c r="Y131" s="174">
        <f t="shared" si="36"/>
        <v>0</v>
      </c>
      <c r="Z131" s="116" t="s">
        <v>422</v>
      </c>
      <c r="AB131" s="113">
        <v>2750</v>
      </c>
      <c r="AC131" s="113">
        <v>2750</v>
      </c>
      <c r="AD131" s="119">
        <v>8520</v>
      </c>
      <c r="AE131" s="119">
        <v>7060</v>
      </c>
      <c r="AF131" s="119">
        <v>7110</v>
      </c>
      <c r="AG131" s="119">
        <v>9110</v>
      </c>
      <c r="AH131" s="119"/>
    </row>
    <row r="132" spans="1:34" ht="24" customHeight="1" x14ac:dyDescent="0.25">
      <c r="A132" s="176">
        <f t="shared" si="37"/>
        <v>101</v>
      </c>
      <c r="B132" s="178">
        <v>0.88541666666666663</v>
      </c>
      <c r="C132" s="204" t="s">
        <v>288</v>
      </c>
      <c r="D132" s="5">
        <f t="shared" si="33"/>
        <v>10</v>
      </c>
      <c r="E132" s="186">
        <v>5</v>
      </c>
      <c r="F132" s="191" t="s">
        <v>214</v>
      </c>
      <c r="G132" s="250">
        <f t="shared" si="23"/>
        <v>3.08</v>
      </c>
      <c r="H132" s="250">
        <f t="shared" si="24"/>
        <v>5.39</v>
      </c>
      <c r="I132" s="250">
        <f t="shared" si="25"/>
        <v>9.26</v>
      </c>
      <c r="J132" s="250">
        <f t="shared" si="26"/>
        <v>7.71</v>
      </c>
      <c r="K132" s="250">
        <f t="shared" si="27"/>
        <v>2.61</v>
      </c>
      <c r="L132" s="250">
        <f t="shared" si="28"/>
        <v>0</v>
      </c>
      <c r="M132" s="250">
        <f t="shared" si="29"/>
        <v>0</v>
      </c>
      <c r="N132" s="171">
        <f t="shared" si="30"/>
        <v>28.049999999999997</v>
      </c>
      <c r="O132" s="171">
        <f t="shared" si="34"/>
        <v>258.87623321906949</v>
      </c>
      <c r="P132" s="172"/>
      <c r="Q132" s="172"/>
      <c r="R132" s="172"/>
      <c r="S132" s="172"/>
      <c r="T132" s="172"/>
      <c r="U132" s="172"/>
      <c r="V132" s="172"/>
      <c r="W132" s="172">
        <f>VLOOKUP(D132,[1]KEY!$D$35:$E$44,2,FALSE)</f>
        <v>46</v>
      </c>
      <c r="X132" s="173" t="str">
        <f t="shared" si="35"/>
        <v>N</v>
      </c>
      <c r="Y132" s="174">
        <f t="shared" si="36"/>
        <v>0</v>
      </c>
      <c r="Z132" s="193" t="s">
        <v>426</v>
      </c>
      <c r="AB132" s="192">
        <v>3080</v>
      </c>
      <c r="AC132" s="192">
        <v>5390</v>
      </c>
      <c r="AD132" s="119">
        <v>9260</v>
      </c>
      <c r="AE132" s="119">
        <v>7710</v>
      </c>
      <c r="AF132" s="119">
        <v>2610</v>
      </c>
      <c r="AG132" s="119">
        <v>0</v>
      </c>
      <c r="AH132" s="119"/>
    </row>
    <row r="133" spans="1:34" ht="24" customHeight="1" x14ac:dyDescent="0.25">
      <c r="A133" s="176">
        <f t="shared" si="37"/>
        <v>102</v>
      </c>
      <c r="B133" s="197">
        <v>0.90416666666666667</v>
      </c>
      <c r="C133" s="121" t="s">
        <v>290</v>
      </c>
      <c r="D133" s="5">
        <f t="shared" si="33"/>
        <v>10</v>
      </c>
      <c r="E133" s="111">
        <v>6</v>
      </c>
      <c r="F133" s="112" t="s">
        <v>29</v>
      </c>
      <c r="G133" s="250">
        <f t="shared" si="23"/>
        <v>2.97</v>
      </c>
      <c r="H133" s="250">
        <f t="shared" si="24"/>
        <v>3.63</v>
      </c>
      <c r="I133" s="250">
        <f t="shared" si="25"/>
        <v>7.29</v>
      </c>
      <c r="J133" s="250">
        <f t="shared" si="26"/>
        <v>7.65</v>
      </c>
      <c r="K133" s="250">
        <f t="shared" si="27"/>
        <v>8.16</v>
      </c>
      <c r="L133" s="250">
        <f t="shared" si="28"/>
        <v>9.51</v>
      </c>
      <c r="M133" s="250">
        <f t="shared" si="29"/>
        <v>0</v>
      </c>
      <c r="N133" s="171">
        <f t="shared" si="30"/>
        <v>39.21</v>
      </c>
      <c r="O133" s="171">
        <f t="shared" si="34"/>
        <v>1168.6381938104475</v>
      </c>
      <c r="P133" s="172"/>
      <c r="Q133" s="172"/>
      <c r="R133" s="172"/>
      <c r="S133" s="172"/>
      <c r="T133" s="172"/>
      <c r="U133" s="172"/>
      <c r="V133" s="172"/>
      <c r="W133" s="172">
        <f>VLOOKUP(D133,[1]KEY!$D$35:$E$44,2,FALSE)</f>
        <v>46</v>
      </c>
      <c r="X133" s="173" t="str">
        <f t="shared" si="35"/>
        <v>N</v>
      </c>
      <c r="Y133" s="174">
        <f t="shared" si="36"/>
        <v>0</v>
      </c>
      <c r="Z133" s="116" t="s">
        <v>426</v>
      </c>
      <c r="AB133" s="113">
        <v>2970</v>
      </c>
      <c r="AC133" s="113">
        <v>3630</v>
      </c>
      <c r="AD133" s="119">
        <v>7290</v>
      </c>
      <c r="AE133" s="119">
        <v>7650</v>
      </c>
      <c r="AF133" s="119">
        <v>8160</v>
      </c>
      <c r="AG133" s="119">
        <v>9510</v>
      </c>
      <c r="AH133" s="119"/>
    </row>
    <row r="134" spans="1:34" ht="24" customHeight="1" x14ac:dyDescent="0.25">
      <c r="A134" s="176">
        <f t="shared" si="37"/>
        <v>103</v>
      </c>
      <c r="B134" s="198">
        <v>0.95624999999999993</v>
      </c>
      <c r="C134" s="121" t="s">
        <v>296</v>
      </c>
      <c r="D134" s="5">
        <f t="shared" si="33"/>
        <v>10</v>
      </c>
      <c r="E134" s="111">
        <v>6</v>
      </c>
      <c r="F134" s="112" t="s">
        <v>29</v>
      </c>
      <c r="G134" s="250">
        <f t="shared" si="23"/>
        <v>2.97</v>
      </c>
      <c r="H134" s="250">
        <f t="shared" si="24"/>
        <v>2.5299999999999998</v>
      </c>
      <c r="I134" s="250">
        <f t="shared" si="25"/>
        <v>9.4</v>
      </c>
      <c r="J134" s="250">
        <f t="shared" si="26"/>
        <v>7.74</v>
      </c>
      <c r="K134" s="250">
        <f t="shared" si="27"/>
        <v>6.82</v>
      </c>
      <c r="L134" s="250">
        <f t="shared" si="28"/>
        <v>8.14</v>
      </c>
      <c r="M134" s="250">
        <f t="shared" si="29"/>
        <v>0</v>
      </c>
      <c r="N134" s="171">
        <f t="shared" si="30"/>
        <v>37.6</v>
      </c>
      <c r="O134" s="171">
        <f t="shared" si="34"/>
        <v>967.6974302783384</v>
      </c>
      <c r="P134" s="172"/>
      <c r="Q134" s="172"/>
      <c r="R134" s="172"/>
      <c r="S134" s="172"/>
      <c r="T134" s="172"/>
      <c r="U134" s="172"/>
      <c r="V134" s="172"/>
      <c r="W134" s="172">
        <f>VLOOKUP(D134,[1]KEY!$D$35:$E$44,2,FALSE)</f>
        <v>46</v>
      </c>
      <c r="X134" s="173" t="str">
        <f t="shared" si="35"/>
        <v>N</v>
      </c>
      <c r="Y134" s="174">
        <f t="shared" si="36"/>
        <v>0</v>
      </c>
      <c r="Z134" s="116" t="s">
        <v>436</v>
      </c>
      <c r="AB134" s="113">
        <v>2970</v>
      </c>
      <c r="AC134" s="113">
        <v>2530</v>
      </c>
      <c r="AD134" s="119">
        <v>9400</v>
      </c>
      <c r="AE134" s="119">
        <v>7740</v>
      </c>
      <c r="AF134" s="119">
        <v>6820</v>
      </c>
      <c r="AG134" s="119">
        <v>8140</v>
      </c>
      <c r="AH134" s="119"/>
    </row>
    <row r="135" spans="1:34" ht="24" customHeight="1" x14ac:dyDescent="0.25">
      <c r="A135" s="176">
        <f t="shared" si="37"/>
        <v>104</v>
      </c>
      <c r="B135" s="197">
        <v>0.95833333333333337</v>
      </c>
      <c r="C135" s="121" t="s">
        <v>300</v>
      </c>
      <c r="D135" s="5">
        <f t="shared" ref="D135:D167" si="38">IF(COUNT(G135:J135)&gt;3,10,IF(COUNT(G135:J135)&gt;2,9,7))</f>
        <v>10</v>
      </c>
      <c r="E135" s="111">
        <v>6</v>
      </c>
      <c r="F135" s="112" t="s">
        <v>29</v>
      </c>
      <c r="G135" s="250">
        <f t="shared" si="23"/>
        <v>1.98</v>
      </c>
      <c r="H135" s="250">
        <f t="shared" si="24"/>
        <v>2.31</v>
      </c>
      <c r="I135" s="250">
        <f t="shared" si="25"/>
        <v>6.25</v>
      </c>
      <c r="J135" s="250">
        <f t="shared" si="26"/>
        <v>5.99</v>
      </c>
      <c r="K135" s="250">
        <f t="shared" si="27"/>
        <v>6.45</v>
      </c>
      <c r="L135" s="250">
        <f t="shared" si="28"/>
        <v>6.26</v>
      </c>
      <c r="M135" s="250">
        <f t="shared" si="29"/>
        <v>0</v>
      </c>
      <c r="N135" s="171">
        <f t="shared" si="30"/>
        <v>29.240000000000002</v>
      </c>
      <c r="O135" s="171">
        <f t="shared" ref="O135:O166" si="39">(N135/8.16)^4.5</f>
        <v>312.09904725325248</v>
      </c>
      <c r="P135" s="172"/>
      <c r="Q135" s="172"/>
      <c r="R135" s="172"/>
      <c r="S135" s="172"/>
      <c r="T135" s="172"/>
      <c r="U135" s="172"/>
      <c r="V135" s="172"/>
      <c r="W135" s="172">
        <f>VLOOKUP(D135,[1]KEY!$D$35:$E$44,2,FALSE)</f>
        <v>46</v>
      </c>
      <c r="X135" s="173" t="str">
        <f t="shared" ref="X135:X166" si="40">IF(N135&gt;W135,"Y","N")</f>
        <v>N</v>
      </c>
      <c r="Y135" s="174">
        <f t="shared" ref="Y135:Y166" si="41">IF(X135="Y",(N135-W135)/W135,0)</f>
        <v>0</v>
      </c>
      <c r="Z135" s="116" t="s">
        <v>426</v>
      </c>
      <c r="AB135" s="113">
        <v>1980</v>
      </c>
      <c r="AC135" s="113">
        <v>2310</v>
      </c>
      <c r="AD135" s="119">
        <v>6250</v>
      </c>
      <c r="AE135" s="119">
        <v>5990</v>
      </c>
      <c r="AF135" s="119">
        <v>6450</v>
      </c>
      <c r="AG135" s="119">
        <v>6260</v>
      </c>
      <c r="AH135" s="119"/>
    </row>
    <row r="136" spans="1:34" ht="24" customHeight="1" x14ac:dyDescent="0.25">
      <c r="A136" s="176">
        <f t="shared" si="37"/>
        <v>105</v>
      </c>
      <c r="B136" s="195">
        <v>1.1111111111111112E-2</v>
      </c>
      <c r="C136" s="203" t="s">
        <v>306</v>
      </c>
      <c r="D136" s="5">
        <f t="shared" si="38"/>
        <v>10</v>
      </c>
      <c r="E136" s="187">
        <v>6</v>
      </c>
      <c r="F136" s="188" t="s">
        <v>29</v>
      </c>
      <c r="G136" s="250">
        <f t="shared" ref="G136:G167" si="42">AB136/1000</f>
        <v>3.08</v>
      </c>
      <c r="H136" s="250">
        <f t="shared" ref="H136:H167" si="43">AC136/1000</f>
        <v>2.86</v>
      </c>
      <c r="I136" s="250">
        <f t="shared" ref="I136:I167" si="44">AD136/1000</f>
        <v>7.52</v>
      </c>
      <c r="J136" s="250">
        <f t="shared" ref="J136:J167" si="45">AE136/1000</f>
        <v>6.53</v>
      </c>
      <c r="K136" s="250">
        <f t="shared" ref="K136:K167" si="46">AF136/1000</f>
        <v>7.61</v>
      </c>
      <c r="L136" s="250">
        <f t="shared" ref="L136:L167" si="47">AG136/1000</f>
        <v>7.3</v>
      </c>
      <c r="M136" s="250">
        <f t="shared" ref="M136:M167" si="48">AH136/1000</f>
        <v>0</v>
      </c>
      <c r="N136" s="171">
        <f t="shared" ref="N136:N167" si="49">SUM(G136:M136)</f>
        <v>34.9</v>
      </c>
      <c r="O136" s="171">
        <f t="shared" si="39"/>
        <v>692.00416268868003</v>
      </c>
      <c r="P136" s="172"/>
      <c r="Q136" s="172"/>
      <c r="R136" s="172"/>
      <c r="S136" s="172"/>
      <c r="T136" s="172"/>
      <c r="U136" s="172"/>
      <c r="V136" s="172"/>
      <c r="W136" s="172">
        <f>VLOOKUP(D136,[1]KEY!$D$35:$E$44,2,FALSE)</f>
        <v>46</v>
      </c>
      <c r="X136" s="173" t="str">
        <f t="shared" si="40"/>
        <v>N</v>
      </c>
      <c r="Y136" s="174">
        <f t="shared" si="41"/>
        <v>0</v>
      </c>
      <c r="Z136" s="194" t="s">
        <v>422</v>
      </c>
      <c r="AB136" s="207">
        <v>3080</v>
      </c>
      <c r="AC136" s="207">
        <v>2860</v>
      </c>
      <c r="AD136" s="119">
        <v>7520</v>
      </c>
      <c r="AE136" s="119">
        <v>6530</v>
      </c>
      <c r="AF136" s="119">
        <v>7610</v>
      </c>
      <c r="AG136" s="119">
        <v>7300</v>
      </c>
      <c r="AH136" s="119"/>
    </row>
    <row r="137" spans="1:34" ht="24" customHeight="1" x14ac:dyDescent="0.25">
      <c r="A137" s="176">
        <f t="shared" si="37"/>
        <v>106</v>
      </c>
      <c r="B137" s="181">
        <v>6.1805555555555558E-2</v>
      </c>
      <c r="C137" s="121" t="s">
        <v>309</v>
      </c>
      <c r="D137" s="5">
        <f t="shared" si="38"/>
        <v>10</v>
      </c>
      <c r="E137" s="111">
        <v>6</v>
      </c>
      <c r="F137" s="188" t="s">
        <v>329</v>
      </c>
      <c r="G137" s="250">
        <f t="shared" si="42"/>
        <v>2.86</v>
      </c>
      <c r="H137" s="250">
        <f t="shared" si="43"/>
        <v>5.72</v>
      </c>
      <c r="I137" s="250">
        <f t="shared" si="44"/>
        <v>3.62</v>
      </c>
      <c r="J137" s="250">
        <f t="shared" si="45"/>
        <v>6.83</v>
      </c>
      <c r="K137" s="250">
        <f t="shared" si="46"/>
        <v>7.78</v>
      </c>
      <c r="L137" s="250">
        <f t="shared" si="47"/>
        <v>8.1300000000000008</v>
      </c>
      <c r="M137" s="250">
        <f t="shared" si="48"/>
        <v>0</v>
      </c>
      <c r="N137" s="171">
        <f t="shared" si="49"/>
        <v>34.940000000000005</v>
      </c>
      <c r="O137" s="171">
        <f t="shared" si="39"/>
        <v>695.58040404456688</v>
      </c>
      <c r="P137" s="172"/>
      <c r="Q137" s="172"/>
      <c r="R137" s="172"/>
      <c r="S137" s="172"/>
      <c r="T137" s="172"/>
      <c r="U137" s="172"/>
      <c r="V137" s="172"/>
      <c r="W137" s="172">
        <f>VLOOKUP(D137,[1]KEY!$D$35:$E$44,2,FALSE)</f>
        <v>46</v>
      </c>
      <c r="X137" s="173" t="str">
        <f t="shared" si="40"/>
        <v>N</v>
      </c>
      <c r="Y137" s="174">
        <f t="shared" si="41"/>
        <v>0</v>
      </c>
      <c r="Z137" s="116" t="s">
        <v>429</v>
      </c>
      <c r="AB137" s="121">
        <v>2860</v>
      </c>
      <c r="AC137" s="121">
        <v>5720</v>
      </c>
      <c r="AD137" s="119">
        <v>3620</v>
      </c>
      <c r="AE137" s="119">
        <v>6830</v>
      </c>
      <c r="AF137" s="119">
        <v>7780</v>
      </c>
      <c r="AG137" s="119">
        <v>8130</v>
      </c>
      <c r="AH137" s="119"/>
    </row>
    <row r="138" spans="1:34" ht="24" customHeight="1" x14ac:dyDescent="0.25">
      <c r="A138" s="176">
        <f t="shared" si="37"/>
        <v>107</v>
      </c>
      <c r="B138" s="196">
        <v>7.6388888888888895E-2</v>
      </c>
      <c r="C138" s="182" t="s">
        <v>310</v>
      </c>
      <c r="D138" s="5">
        <f t="shared" si="38"/>
        <v>10</v>
      </c>
      <c r="E138" s="111">
        <v>6</v>
      </c>
      <c r="F138" s="188" t="s">
        <v>110</v>
      </c>
      <c r="G138" s="250">
        <f t="shared" si="42"/>
        <v>2.86</v>
      </c>
      <c r="H138" s="250">
        <f t="shared" si="43"/>
        <v>2.2000000000000002</v>
      </c>
      <c r="I138" s="250">
        <f t="shared" si="44"/>
        <v>5.5</v>
      </c>
      <c r="J138" s="250">
        <f t="shared" si="45"/>
        <v>5.0199999999999996</v>
      </c>
      <c r="K138" s="250">
        <f t="shared" si="46"/>
        <v>5.81</v>
      </c>
      <c r="L138" s="250">
        <f t="shared" si="47"/>
        <v>6.58</v>
      </c>
      <c r="M138" s="250">
        <f t="shared" si="48"/>
        <v>0</v>
      </c>
      <c r="N138" s="171">
        <f t="shared" si="49"/>
        <v>27.97</v>
      </c>
      <c r="O138" s="171">
        <f t="shared" si="39"/>
        <v>255.57030089487182</v>
      </c>
      <c r="P138" s="172"/>
      <c r="Q138" s="172"/>
      <c r="R138" s="172"/>
      <c r="S138" s="172"/>
      <c r="T138" s="172"/>
      <c r="U138" s="172"/>
      <c r="V138" s="172"/>
      <c r="W138" s="172">
        <f>VLOOKUP(D138,[1]KEY!$D$35:$E$44,2,FALSE)</f>
        <v>46</v>
      </c>
      <c r="X138" s="173" t="str">
        <f t="shared" si="40"/>
        <v>N</v>
      </c>
      <c r="Y138" s="174">
        <f t="shared" si="41"/>
        <v>0</v>
      </c>
      <c r="Z138" s="116" t="s">
        <v>422</v>
      </c>
      <c r="AB138" s="121">
        <v>2860</v>
      </c>
      <c r="AC138" s="121">
        <v>2200</v>
      </c>
      <c r="AD138" s="119">
        <v>5500</v>
      </c>
      <c r="AE138" s="119">
        <v>5020</v>
      </c>
      <c r="AF138" s="119">
        <v>5810</v>
      </c>
      <c r="AG138" s="119">
        <v>6580</v>
      </c>
      <c r="AH138" s="119"/>
    </row>
    <row r="139" spans="1:34" ht="24" customHeight="1" x14ac:dyDescent="0.25">
      <c r="A139" s="176">
        <f t="shared" si="37"/>
        <v>108</v>
      </c>
      <c r="B139" s="196">
        <v>9.7222222222222224E-2</v>
      </c>
      <c r="C139" s="182" t="s">
        <v>311</v>
      </c>
      <c r="D139" s="5">
        <f t="shared" si="38"/>
        <v>10</v>
      </c>
      <c r="E139" s="111">
        <v>6</v>
      </c>
      <c r="F139" s="188" t="s">
        <v>110</v>
      </c>
      <c r="G139" s="250">
        <f t="shared" si="42"/>
        <v>2.5299999999999998</v>
      </c>
      <c r="H139" s="250">
        <f t="shared" si="43"/>
        <v>1.98</v>
      </c>
      <c r="I139" s="250">
        <f t="shared" si="44"/>
        <v>5.89</v>
      </c>
      <c r="J139" s="250">
        <f t="shared" si="45"/>
        <v>4.74</v>
      </c>
      <c r="K139" s="250">
        <f t="shared" si="46"/>
        <v>5.79</v>
      </c>
      <c r="L139" s="250">
        <f t="shared" si="47"/>
        <v>6.26</v>
      </c>
      <c r="M139" s="250">
        <f t="shared" si="48"/>
        <v>0</v>
      </c>
      <c r="N139" s="171">
        <f t="shared" si="49"/>
        <v>27.189999999999998</v>
      </c>
      <c r="O139" s="171">
        <f t="shared" si="39"/>
        <v>225.02756448153158</v>
      </c>
      <c r="P139" s="172"/>
      <c r="Q139" s="172"/>
      <c r="R139" s="172"/>
      <c r="S139" s="172"/>
      <c r="T139" s="172"/>
      <c r="U139" s="172"/>
      <c r="V139" s="172"/>
      <c r="W139" s="172">
        <f>VLOOKUP(D139,[1]KEY!$D$35:$E$44,2,FALSE)</f>
        <v>46</v>
      </c>
      <c r="X139" s="173" t="str">
        <f t="shared" si="40"/>
        <v>N</v>
      </c>
      <c r="Y139" s="174">
        <f t="shared" si="41"/>
        <v>0</v>
      </c>
      <c r="Z139" s="116" t="s">
        <v>422</v>
      </c>
      <c r="AB139" s="121">
        <v>2530</v>
      </c>
      <c r="AC139" s="121">
        <v>1980</v>
      </c>
      <c r="AD139" s="119">
        <v>5890</v>
      </c>
      <c r="AE139" s="119">
        <v>4740</v>
      </c>
      <c r="AF139" s="119">
        <v>5790</v>
      </c>
      <c r="AG139" s="119">
        <v>6260</v>
      </c>
      <c r="AH139" s="119"/>
    </row>
    <row r="140" spans="1:34" ht="24" customHeight="1" x14ac:dyDescent="0.25">
      <c r="A140" s="176">
        <f t="shared" si="37"/>
        <v>109</v>
      </c>
      <c r="B140" s="196">
        <v>0.26458333333333334</v>
      </c>
      <c r="C140" s="182" t="s">
        <v>320</v>
      </c>
      <c r="D140" s="5">
        <f t="shared" si="38"/>
        <v>10</v>
      </c>
      <c r="E140" s="111">
        <v>6</v>
      </c>
      <c r="F140" s="188" t="s">
        <v>29</v>
      </c>
      <c r="G140" s="250">
        <f t="shared" si="42"/>
        <v>2.97</v>
      </c>
      <c r="H140" s="250">
        <f t="shared" si="43"/>
        <v>2.42</v>
      </c>
      <c r="I140" s="250">
        <f t="shared" si="44"/>
        <v>7.18</v>
      </c>
      <c r="J140" s="250">
        <f t="shared" si="45"/>
        <v>6.02</v>
      </c>
      <c r="K140" s="250">
        <f t="shared" si="46"/>
        <v>7.03</v>
      </c>
      <c r="L140" s="250">
        <f t="shared" si="47"/>
        <v>9.2799999999999994</v>
      </c>
      <c r="M140" s="250">
        <f t="shared" si="48"/>
        <v>0</v>
      </c>
      <c r="N140" s="171">
        <f t="shared" si="49"/>
        <v>34.9</v>
      </c>
      <c r="O140" s="171">
        <f t="shared" si="39"/>
        <v>692.00416268868003</v>
      </c>
      <c r="P140" s="172"/>
      <c r="Q140" s="172"/>
      <c r="R140" s="172"/>
      <c r="S140" s="172"/>
      <c r="T140" s="172"/>
      <c r="U140" s="172"/>
      <c r="V140" s="172"/>
      <c r="W140" s="172">
        <f>VLOOKUP(D140,[1]KEY!$D$35:$E$44,2,FALSE)</f>
        <v>46</v>
      </c>
      <c r="X140" s="173" t="str">
        <f t="shared" si="40"/>
        <v>N</v>
      </c>
      <c r="Y140" s="174">
        <f t="shared" si="41"/>
        <v>0</v>
      </c>
      <c r="Z140" s="116" t="s">
        <v>422</v>
      </c>
      <c r="AB140" s="121">
        <v>2970</v>
      </c>
      <c r="AC140" s="121">
        <v>2420</v>
      </c>
      <c r="AD140" s="119">
        <v>7180</v>
      </c>
      <c r="AE140" s="119">
        <v>6020</v>
      </c>
      <c r="AF140" s="119">
        <v>7030</v>
      </c>
      <c r="AG140" s="119">
        <v>9280</v>
      </c>
      <c r="AH140" s="119"/>
    </row>
    <row r="141" spans="1:34" ht="24" customHeight="1" x14ac:dyDescent="0.25">
      <c r="A141" s="176">
        <f t="shared" si="37"/>
        <v>110</v>
      </c>
      <c r="B141" s="196">
        <v>0.27361111111111108</v>
      </c>
      <c r="C141" s="182" t="s">
        <v>323</v>
      </c>
      <c r="D141" s="5">
        <f t="shared" si="38"/>
        <v>10</v>
      </c>
      <c r="E141" s="111">
        <v>6</v>
      </c>
      <c r="F141" s="188" t="s">
        <v>110</v>
      </c>
      <c r="G141" s="250">
        <f t="shared" si="42"/>
        <v>3.74</v>
      </c>
      <c r="H141" s="250">
        <f t="shared" si="43"/>
        <v>0.99</v>
      </c>
      <c r="I141" s="250">
        <f t="shared" si="44"/>
        <v>11.38</v>
      </c>
      <c r="J141" s="250">
        <f t="shared" si="45"/>
        <v>7.27</v>
      </c>
      <c r="K141" s="250">
        <f t="shared" si="46"/>
        <v>6.82</v>
      </c>
      <c r="L141" s="250">
        <f t="shared" si="47"/>
        <v>4.8899999999999997</v>
      </c>
      <c r="M141" s="250">
        <f t="shared" si="48"/>
        <v>0</v>
      </c>
      <c r="N141" s="171">
        <f t="shared" si="49"/>
        <v>35.089999999999996</v>
      </c>
      <c r="O141" s="171">
        <f t="shared" si="39"/>
        <v>709.11952354752088</v>
      </c>
      <c r="P141" s="172"/>
      <c r="Q141" s="172"/>
      <c r="R141" s="172"/>
      <c r="S141" s="172"/>
      <c r="T141" s="172"/>
      <c r="U141" s="172"/>
      <c r="V141" s="172"/>
      <c r="W141" s="172">
        <f>VLOOKUP(D141,[1]KEY!$D$35:$E$44,2,FALSE)</f>
        <v>46</v>
      </c>
      <c r="X141" s="173" t="str">
        <f t="shared" si="40"/>
        <v>N</v>
      </c>
      <c r="Y141" s="174">
        <f t="shared" si="41"/>
        <v>0</v>
      </c>
      <c r="Z141" s="116" t="s">
        <v>422</v>
      </c>
      <c r="AB141" s="121">
        <v>3740</v>
      </c>
      <c r="AC141" s="121">
        <v>990</v>
      </c>
      <c r="AD141" s="119">
        <v>11380</v>
      </c>
      <c r="AE141" s="119">
        <v>7270</v>
      </c>
      <c r="AF141" s="119">
        <v>6820</v>
      </c>
      <c r="AG141" s="119">
        <v>4890</v>
      </c>
      <c r="AH141" s="119"/>
    </row>
    <row r="142" spans="1:34" ht="24" customHeight="1" x14ac:dyDescent="0.25">
      <c r="A142" s="176">
        <f t="shared" si="37"/>
        <v>111</v>
      </c>
      <c r="B142" s="195">
        <v>0.28125</v>
      </c>
      <c r="C142" s="184" t="s">
        <v>324</v>
      </c>
      <c r="D142" s="5">
        <f t="shared" si="38"/>
        <v>10</v>
      </c>
      <c r="E142" s="187">
        <v>6</v>
      </c>
      <c r="F142" s="188" t="s">
        <v>29</v>
      </c>
      <c r="G142" s="250">
        <f t="shared" si="42"/>
        <v>2.4</v>
      </c>
      <c r="H142" s="250">
        <f t="shared" si="43"/>
        <v>3.7</v>
      </c>
      <c r="I142" s="250">
        <f t="shared" si="44"/>
        <v>7.74</v>
      </c>
      <c r="J142" s="250">
        <f t="shared" si="45"/>
        <v>5.0199999999999996</v>
      </c>
      <c r="K142" s="250">
        <f t="shared" si="46"/>
        <v>8.76</v>
      </c>
      <c r="L142" s="250">
        <f t="shared" si="47"/>
        <v>6.97</v>
      </c>
      <c r="M142" s="250">
        <f t="shared" si="48"/>
        <v>0</v>
      </c>
      <c r="N142" s="171">
        <f t="shared" si="49"/>
        <v>34.589999999999996</v>
      </c>
      <c r="O142" s="171">
        <f t="shared" si="39"/>
        <v>664.77061604899552</v>
      </c>
      <c r="P142" s="172"/>
      <c r="Q142" s="172"/>
      <c r="R142" s="172"/>
      <c r="S142" s="172"/>
      <c r="T142" s="172"/>
      <c r="U142" s="172"/>
      <c r="V142" s="172"/>
      <c r="W142" s="172">
        <f>VLOOKUP(D142,[1]KEY!$D$35:$E$44,2,FALSE)</f>
        <v>46</v>
      </c>
      <c r="X142" s="173" t="str">
        <f t="shared" si="40"/>
        <v>N</v>
      </c>
      <c r="Y142" s="174">
        <f t="shared" si="41"/>
        <v>0</v>
      </c>
      <c r="Z142" s="194" t="s">
        <v>426</v>
      </c>
      <c r="AB142" s="184">
        <v>2400</v>
      </c>
      <c r="AC142" s="184">
        <v>3700</v>
      </c>
      <c r="AD142" s="119">
        <v>7740</v>
      </c>
      <c r="AE142" s="119">
        <v>5020</v>
      </c>
      <c r="AF142" s="119">
        <v>8760</v>
      </c>
      <c r="AG142" s="119">
        <v>6970</v>
      </c>
      <c r="AH142" s="119"/>
    </row>
    <row r="143" spans="1:34" ht="24" customHeight="1" x14ac:dyDescent="0.25">
      <c r="A143" s="176">
        <f t="shared" si="37"/>
        <v>112</v>
      </c>
      <c r="B143" s="181">
        <v>0.28472222222222221</v>
      </c>
      <c r="C143" s="121" t="s">
        <v>325</v>
      </c>
      <c r="D143" s="5">
        <f t="shared" si="38"/>
        <v>10</v>
      </c>
      <c r="E143" s="111">
        <v>6</v>
      </c>
      <c r="F143" s="112" t="s">
        <v>29</v>
      </c>
      <c r="G143" s="250">
        <f t="shared" si="42"/>
        <v>2.86</v>
      </c>
      <c r="H143" s="250">
        <f t="shared" si="43"/>
        <v>3.63</v>
      </c>
      <c r="I143" s="250">
        <f t="shared" si="44"/>
        <v>6.09</v>
      </c>
      <c r="J143" s="250">
        <f t="shared" si="45"/>
        <v>7.51</v>
      </c>
      <c r="K143" s="250">
        <f t="shared" si="46"/>
        <v>7.94</v>
      </c>
      <c r="L143" s="250">
        <f t="shared" si="47"/>
        <v>7.62</v>
      </c>
      <c r="M143" s="250">
        <f t="shared" si="48"/>
        <v>0</v>
      </c>
      <c r="N143" s="171">
        <f t="shared" si="49"/>
        <v>35.65</v>
      </c>
      <c r="O143" s="171">
        <f t="shared" si="39"/>
        <v>761.48646685197525</v>
      </c>
      <c r="P143" s="172"/>
      <c r="Q143" s="172"/>
      <c r="R143" s="172"/>
      <c r="S143" s="172"/>
      <c r="T143" s="172"/>
      <c r="U143" s="172"/>
      <c r="V143" s="172"/>
      <c r="W143" s="172">
        <f>VLOOKUP(D143,[1]KEY!$D$35:$E$44,2,FALSE)</f>
        <v>46</v>
      </c>
      <c r="X143" s="173" t="str">
        <f t="shared" si="40"/>
        <v>N</v>
      </c>
      <c r="Y143" s="174">
        <f t="shared" si="41"/>
        <v>0</v>
      </c>
      <c r="Z143" s="194" t="s">
        <v>436</v>
      </c>
      <c r="AB143" s="121">
        <v>2860</v>
      </c>
      <c r="AC143" s="121">
        <v>3630</v>
      </c>
      <c r="AD143" s="119">
        <v>6090</v>
      </c>
      <c r="AE143" s="119">
        <v>7510</v>
      </c>
      <c r="AF143" s="119">
        <v>7940</v>
      </c>
      <c r="AG143" s="119">
        <v>7620</v>
      </c>
      <c r="AH143" s="119"/>
    </row>
    <row r="144" spans="1:34" ht="24" customHeight="1" x14ac:dyDescent="0.25">
      <c r="A144" s="17">
        <f t="shared" si="37"/>
        <v>113</v>
      </c>
      <c r="B144" s="10">
        <v>0.31666666666666665</v>
      </c>
      <c r="C144" s="5" t="s">
        <v>84</v>
      </c>
      <c r="D144" s="5">
        <f t="shared" si="38"/>
        <v>10</v>
      </c>
      <c r="E144" s="43">
        <v>6</v>
      </c>
      <c r="F144" s="38" t="s">
        <v>110</v>
      </c>
      <c r="G144" s="250">
        <f t="shared" si="42"/>
        <v>3.74</v>
      </c>
      <c r="H144" s="250">
        <f t="shared" si="43"/>
        <v>1.1000000000000001</v>
      </c>
      <c r="I144" s="250">
        <f t="shared" si="44"/>
        <v>13.15</v>
      </c>
      <c r="J144" s="250">
        <f t="shared" si="45"/>
        <v>8.1300000000000008</v>
      </c>
      <c r="K144" s="250">
        <f t="shared" si="46"/>
        <v>7.33</v>
      </c>
      <c r="L144" s="250">
        <f t="shared" si="47"/>
        <v>6.11</v>
      </c>
      <c r="M144" s="250">
        <f t="shared" si="48"/>
        <v>0</v>
      </c>
      <c r="N144" s="171">
        <f t="shared" si="49"/>
        <v>39.56</v>
      </c>
      <c r="O144" s="171">
        <f t="shared" si="39"/>
        <v>1216.3191901772686</v>
      </c>
      <c r="P144" s="172"/>
      <c r="Q144" s="172"/>
      <c r="R144" s="172"/>
      <c r="S144" s="172"/>
      <c r="T144" s="172"/>
      <c r="U144" s="172"/>
      <c r="V144" s="172"/>
      <c r="W144" s="172">
        <f>VLOOKUP(D144,[1]KEY!$D$35:$E$44,2,FALSE)</f>
        <v>46</v>
      </c>
      <c r="X144" s="173" t="str">
        <f t="shared" si="40"/>
        <v>N</v>
      </c>
      <c r="Y144" s="174">
        <f t="shared" si="41"/>
        <v>0</v>
      </c>
      <c r="Z144" s="9" t="s">
        <v>426</v>
      </c>
      <c r="AB144" s="62">
        <v>3740</v>
      </c>
      <c r="AC144" s="62">
        <v>1100</v>
      </c>
      <c r="AD144" s="119">
        <v>13150</v>
      </c>
      <c r="AE144" s="119">
        <v>8130</v>
      </c>
      <c r="AF144" s="119">
        <v>7330</v>
      </c>
      <c r="AG144" s="119">
        <v>6110</v>
      </c>
      <c r="AH144" s="119"/>
    </row>
    <row r="145" spans="1:34" ht="24" customHeight="1" x14ac:dyDescent="0.25">
      <c r="A145" s="17">
        <f t="shared" si="37"/>
        <v>114</v>
      </c>
      <c r="B145" s="10">
        <v>0.36805555555555558</v>
      </c>
      <c r="C145" s="5" t="s">
        <v>92</v>
      </c>
      <c r="D145" s="5">
        <f t="shared" si="38"/>
        <v>10</v>
      </c>
      <c r="E145" s="43">
        <v>6</v>
      </c>
      <c r="F145" s="40" t="s">
        <v>29</v>
      </c>
      <c r="G145" s="250">
        <f t="shared" si="42"/>
        <v>3.41</v>
      </c>
      <c r="H145" s="250">
        <f t="shared" si="43"/>
        <v>4.95</v>
      </c>
      <c r="I145" s="250">
        <f t="shared" si="44"/>
        <v>8.07</v>
      </c>
      <c r="J145" s="250">
        <f t="shared" si="45"/>
        <v>6.07</v>
      </c>
      <c r="K145" s="250">
        <f t="shared" si="46"/>
        <v>6.51</v>
      </c>
      <c r="L145" s="250">
        <f t="shared" si="47"/>
        <v>6.63</v>
      </c>
      <c r="M145" s="250">
        <f t="shared" si="48"/>
        <v>0</v>
      </c>
      <c r="N145" s="171">
        <f t="shared" si="49"/>
        <v>35.64</v>
      </c>
      <c r="O145" s="171">
        <f t="shared" si="39"/>
        <v>760.52573546668998</v>
      </c>
      <c r="P145" s="172"/>
      <c r="Q145" s="172"/>
      <c r="R145" s="172"/>
      <c r="S145" s="172"/>
      <c r="T145" s="172"/>
      <c r="U145" s="172"/>
      <c r="V145" s="172"/>
      <c r="W145" s="172">
        <f>VLOOKUP(D145,[1]KEY!$D$35:$E$44,2,FALSE)</f>
        <v>46</v>
      </c>
      <c r="X145" s="173" t="str">
        <f t="shared" si="40"/>
        <v>N</v>
      </c>
      <c r="Y145" s="174">
        <f t="shared" si="41"/>
        <v>0</v>
      </c>
      <c r="Z145" s="9" t="s">
        <v>426</v>
      </c>
      <c r="AB145" s="62">
        <v>3410</v>
      </c>
      <c r="AC145" s="62">
        <v>4950</v>
      </c>
      <c r="AD145" s="119">
        <v>8070</v>
      </c>
      <c r="AE145" s="119">
        <v>6070</v>
      </c>
      <c r="AF145" s="119">
        <v>6510</v>
      </c>
      <c r="AG145" s="119">
        <v>6630</v>
      </c>
      <c r="AH145" s="119"/>
    </row>
    <row r="146" spans="1:34" ht="24" customHeight="1" x14ac:dyDescent="0.25">
      <c r="A146" s="17">
        <v>19</v>
      </c>
      <c r="B146" s="10">
        <v>0.46458333333333335</v>
      </c>
      <c r="C146" s="5" t="s">
        <v>99</v>
      </c>
      <c r="D146" s="5">
        <f t="shared" si="38"/>
        <v>10</v>
      </c>
      <c r="E146" s="43">
        <v>6</v>
      </c>
      <c r="F146" s="38" t="s">
        <v>110</v>
      </c>
      <c r="G146" s="250">
        <f t="shared" si="42"/>
        <v>2.64</v>
      </c>
      <c r="H146" s="250">
        <f t="shared" si="43"/>
        <v>3.3</v>
      </c>
      <c r="I146" s="250">
        <f t="shared" si="44"/>
        <v>8.6</v>
      </c>
      <c r="J146" s="250">
        <f t="shared" si="45"/>
        <v>8.09</v>
      </c>
      <c r="K146" s="250">
        <f t="shared" si="46"/>
        <v>9.0299999999999994</v>
      </c>
      <c r="L146" s="250">
        <f t="shared" si="47"/>
        <v>7.98</v>
      </c>
      <c r="M146" s="250">
        <f t="shared" si="48"/>
        <v>0</v>
      </c>
      <c r="N146" s="171">
        <f t="shared" si="49"/>
        <v>39.64</v>
      </c>
      <c r="O146" s="171">
        <f t="shared" si="39"/>
        <v>1227.4270549324733</v>
      </c>
      <c r="P146" s="172"/>
      <c r="Q146" s="172"/>
      <c r="R146" s="172"/>
      <c r="S146" s="172"/>
      <c r="T146" s="172"/>
      <c r="U146" s="172"/>
      <c r="V146" s="172"/>
      <c r="W146" s="172">
        <f>VLOOKUP(D146,[1]KEY!$D$35:$E$44,2,FALSE)</f>
        <v>46</v>
      </c>
      <c r="X146" s="173" t="str">
        <f t="shared" si="40"/>
        <v>N</v>
      </c>
      <c r="Y146" s="174">
        <f t="shared" si="41"/>
        <v>0</v>
      </c>
      <c r="Z146" s="14" t="s">
        <v>426</v>
      </c>
      <c r="AB146" s="62">
        <v>2640</v>
      </c>
      <c r="AC146" s="62">
        <v>3300</v>
      </c>
      <c r="AD146" s="119">
        <v>8600</v>
      </c>
      <c r="AE146" s="119">
        <v>8090</v>
      </c>
      <c r="AF146" s="119">
        <v>9030</v>
      </c>
      <c r="AG146" s="119">
        <v>7980</v>
      </c>
      <c r="AH146" s="119">
        <v>0</v>
      </c>
    </row>
    <row r="147" spans="1:34" ht="24" customHeight="1" x14ac:dyDescent="0.25">
      <c r="A147" s="17">
        <f t="shared" ref="A147:A152" si="50">A146+1</f>
        <v>20</v>
      </c>
      <c r="B147" s="10">
        <v>0.53125</v>
      </c>
      <c r="C147" s="5" t="s">
        <v>103</v>
      </c>
      <c r="D147" s="5">
        <f t="shared" si="38"/>
        <v>10</v>
      </c>
      <c r="E147" s="43">
        <v>6</v>
      </c>
      <c r="F147" s="76" t="s">
        <v>110</v>
      </c>
      <c r="G147" s="250">
        <f t="shared" si="42"/>
        <v>2.96</v>
      </c>
      <c r="H147" s="250">
        <f t="shared" si="43"/>
        <v>2.85</v>
      </c>
      <c r="I147" s="250">
        <f t="shared" si="44"/>
        <v>6.71</v>
      </c>
      <c r="J147" s="250">
        <f t="shared" si="45"/>
        <v>3.83</v>
      </c>
      <c r="K147" s="250">
        <f t="shared" si="46"/>
        <v>4.9400000000000004</v>
      </c>
      <c r="L147" s="250">
        <f t="shared" si="47"/>
        <v>5.57</v>
      </c>
      <c r="M147" s="250">
        <f t="shared" si="48"/>
        <v>0</v>
      </c>
      <c r="N147" s="171">
        <f t="shared" si="49"/>
        <v>26.860000000000003</v>
      </c>
      <c r="O147" s="171">
        <f t="shared" si="39"/>
        <v>212.99593894374121</v>
      </c>
      <c r="P147" s="172"/>
      <c r="Q147" s="172"/>
      <c r="R147" s="172"/>
      <c r="S147" s="172"/>
      <c r="T147" s="172"/>
      <c r="U147" s="172"/>
      <c r="V147" s="172"/>
      <c r="W147" s="172">
        <f>VLOOKUP(D147,[1]KEY!$D$35:$E$44,2,FALSE)</f>
        <v>46</v>
      </c>
      <c r="X147" s="173" t="str">
        <f t="shared" si="40"/>
        <v>N</v>
      </c>
      <c r="Y147" s="174">
        <f t="shared" si="41"/>
        <v>0</v>
      </c>
      <c r="Z147" s="14" t="s">
        <v>422</v>
      </c>
      <c r="AB147" s="62">
        <v>2960</v>
      </c>
      <c r="AC147" s="62">
        <v>2850</v>
      </c>
      <c r="AD147" s="119">
        <v>6710</v>
      </c>
      <c r="AE147" s="119">
        <v>3830</v>
      </c>
      <c r="AF147" s="119">
        <v>4940</v>
      </c>
      <c r="AG147" s="119">
        <v>5570</v>
      </c>
      <c r="AH147" s="119"/>
    </row>
    <row r="148" spans="1:34" ht="24" customHeight="1" x14ac:dyDescent="0.25">
      <c r="A148" s="17">
        <f t="shared" si="50"/>
        <v>21</v>
      </c>
      <c r="B148" s="10">
        <v>0.54097222222222219</v>
      </c>
      <c r="C148" s="5" t="s">
        <v>104</v>
      </c>
      <c r="D148" s="5">
        <f t="shared" si="38"/>
        <v>10</v>
      </c>
      <c r="E148" s="43">
        <v>6</v>
      </c>
      <c r="F148" s="76" t="s">
        <v>110</v>
      </c>
      <c r="G148" s="250">
        <f t="shared" si="42"/>
        <v>2.97</v>
      </c>
      <c r="H148" s="250">
        <f t="shared" si="43"/>
        <v>3.41</v>
      </c>
      <c r="I148" s="250">
        <f t="shared" si="44"/>
        <v>8.25</v>
      </c>
      <c r="J148" s="250">
        <f t="shared" si="45"/>
        <v>6.09</v>
      </c>
      <c r="K148" s="250">
        <f t="shared" si="46"/>
        <v>6.62</v>
      </c>
      <c r="L148" s="250">
        <f t="shared" si="47"/>
        <v>7.58</v>
      </c>
      <c r="M148" s="250">
        <f t="shared" si="48"/>
        <v>0</v>
      </c>
      <c r="N148" s="171">
        <f t="shared" si="49"/>
        <v>34.92</v>
      </c>
      <c r="O148" s="171">
        <f t="shared" si="39"/>
        <v>693.79049115012288</v>
      </c>
      <c r="P148" s="172"/>
      <c r="Q148" s="172"/>
      <c r="R148" s="172"/>
      <c r="S148" s="172"/>
      <c r="T148" s="172"/>
      <c r="U148" s="172"/>
      <c r="V148" s="172"/>
      <c r="W148" s="172">
        <f>VLOOKUP(D148,[1]KEY!$D$35:$E$44,2,FALSE)</f>
        <v>46</v>
      </c>
      <c r="X148" s="173" t="str">
        <f t="shared" si="40"/>
        <v>N</v>
      </c>
      <c r="Y148" s="174">
        <f t="shared" si="41"/>
        <v>0</v>
      </c>
      <c r="Z148" s="14" t="s">
        <v>422</v>
      </c>
      <c r="AB148" s="62">
        <v>2970</v>
      </c>
      <c r="AC148" s="62">
        <v>3410</v>
      </c>
      <c r="AD148" s="119">
        <v>8250</v>
      </c>
      <c r="AE148" s="119">
        <v>6090</v>
      </c>
      <c r="AF148" s="119">
        <v>6620</v>
      </c>
      <c r="AG148" s="119">
        <v>7580</v>
      </c>
      <c r="AH148" s="119"/>
    </row>
    <row r="149" spans="1:34" ht="24" customHeight="1" x14ac:dyDescent="0.25">
      <c r="A149" s="17">
        <f t="shared" si="50"/>
        <v>22</v>
      </c>
      <c r="B149" s="10">
        <v>0.5625</v>
      </c>
      <c r="C149" s="5" t="s">
        <v>105</v>
      </c>
      <c r="D149" s="5">
        <f t="shared" si="38"/>
        <v>10</v>
      </c>
      <c r="E149" s="43">
        <v>6</v>
      </c>
      <c r="F149" s="39" t="s">
        <v>29</v>
      </c>
      <c r="G149" s="250">
        <f t="shared" si="42"/>
        <v>2.86</v>
      </c>
      <c r="H149" s="250">
        <f t="shared" si="43"/>
        <v>3.63</v>
      </c>
      <c r="I149" s="250">
        <f t="shared" si="44"/>
        <v>7.34</v>
      </c>
      <c r="J149" s="250">
        <f t="shared" si="45"/>
        <v>8.2100000000000009</v>
      </c>
      <c r="K149" s="250">
        <f t="shared" si="46"/>
        <v>7.7</v>
      </c>
      <c r="L149" s="250">
        <f t="shared" si="47"/>
        <v>8.14</v>
      </c>
      <c r="M149" s="250">
        <f t="shared" si="48"/>
        <v>0</v>
      </c>
      <c r="N149" s="171">
        <f t="shared" si="49"/>
        <v>37.879999999999995</v>
      </c>
      <c r="O149" s="171">
        <f t="shared" si="39"/>
        <v>1000.5508197017291</v>
      </c>
      <c r="P149" s="172"/>
      <c r="Q149" s="172"/>
      <c r="R149" s="172"/>
      <c r="S149" s="172"/>
      <c r="T149" s="172"/>
      <c r="U149" s="172"/>
      <c r="V149" s="172"/>
      <c r="W149" s="172">
        <f>VLOOKUP(D149,[1]KEY!$D$35:$E$44,2,FALSE)</f>
        <v>46</v>
      </c>
      <c r="X149" s="173" t="str">
        <f t="shared" si="40"/>
        <v>N</v>
      </c>
      <c r="Y149" s="174">
        <f t="shared" si="41"/>
        <v>0</v>
      </c>
      <c r="Z149" s="9" t="s">
        <v>422</v>
      </c>
      <c r="AB149" s="62">
        <v>2860</v>
      </c>
      <c r="AC149" s="62">
        <v>3630</v>
      </c>
      <c r="AD149" s="119">
        <v>7340</v>
      </c>
      <c r="AE149" s="119">
        <v>8210</v>
      </c>
      <c r="AF149" s="119">
        <v>7700</v>
      </c>
      <c r="AG149" s="119">
        <v>8140</v>
      </c>
      <c r="AH149" s="119"/>
    </row>
    <row r="150" spans="1:34" ht="24" customHeight="1" x14ac:dyDescent="0.25">
      <c r="A150" s="17">
        <f t="shared" si="50"/>
        <v>23</v>
      </c>
      <c r="B150" s="10">
        <v>0.59027777777777779</v>
      </c>
      <c r="C150" s="5" t="s">
        <v>106</v>
      </c>
      <c r="D150" s="5">
        <f t="shared" si="38"/>
        <v>10</v>
      </c>
      <c r="E150" s="43">
        <v>6</v>
      </c>
      <c r="F150" s="40" t="s">
        <v>29</v>
      </c>
      <c r="G150" s="250">
        <f t="shared" si="42"/>
        <v>3.74</v>
      </c>
      <c r="H150" s="250">
        <f t="shared" si="43"/>
        <v>5.5</v>
      </c>
      <c r="I150" s="250">
        <f t="shared" si="44"/>
        <v>8.5399999999999991</v>
      </c>
      <c r="J150" s="250">
        <f t="shared" si="45"/>
        <v>7.78</v>
      </c>
      <c r="K150" s="250">
        <f t="shared" si="46"/>
        <v>8.34</v>
      </c>
      <c r="L150" s="250">
        <f t="shared" si="47"/>
        <v>7.35</v>
      </c>
      <c r="M150" s="250">
        <f t="shared" si="48"/>
        <v>0</v>
      </c>
      <c r="N150" s="171">
        <f t="shared" si="49"/>
        <v>41.250000000000007</v>
      </c>
      <c r="O150" s="171">
        <f t="shared" si="39"/>
        <v>1468.2569781953823</v>
      </c>
      <c r="P150" s="172"/>
      <c r="Q150" s="172"/>
      <c r="R150" s="172"/>
      <c r="S150" s="172"/>
      <c r="T150" s="172"/>
      <c r="U150" s="172"/>
      <c r="V150" s="172"/>
      <c r="W150" s="172">
        <f>VLOOKUP(D150,[1]KEY!$D$35:$E$44,2,FALSE)</f>
        <v>46</v>
      </c>
      <c r="X150" s="173" t="str">
        <f t="shared" si="40"/>
        <v>N</v>
      </c>
      <c r="Y150" s="174">
        <f t="shared" si="41"/>
        <v>0</v>
      </c>
      <c r="Z150" s="9" t="s">
        <v>426</v>
      </c>
      <c r="AB150" s="62">
        <v>3740</v>
      </c>
      <c r="AC150" s="62">
        <v>5500</v>
      </c>
      <c r="AD150" s="119">
        <v>8540</v>
      </c>
      <c r="AE150" s="119">
        <v>7780</v>
      </c>
      <c r="AF150" s="119">
        <v>8340</v>
      </c>
      <c r="AG150" s="119">
        <v>7350</v>
      </c>
      <c r="AH150" s="119"/>
    </row>
    <row r="151" spans="1:34" ht="24" customHeight="1" x14ac:dyDescent="0.25">
      <c r="A151" s="17">
        <f t="shared" si="50"/>
        <v>24</v>
      </c>
      <c r="B151" s="10">
        <v>0.60138888888888886</v>
      </c>
      <c r="C151" s="142" t="s">
        <v>107</v>
      </c>
      <c r="D151" s="5">
        <f t="shared" si="38"/>
        <v>10</v>
      </c>
      <c r="E151" s="43">
        <v>6</v>
      </c>
      <c r="F151" s="38" t="s">
        <v>108</v>
      </c>
      <c r="G151" s="250">
        <f t="shared" si="42"/>
        <v>2.97</v>
      </c>
      <c r="H151" s="250">
        <f t="shared" si="43"/>
        <v>4.84</v>
      </c>
      <c r="I151" s="250">
        <f t="shared" si="44"/>
        <v>4.5</v>
      </c>
      <c r="J151" s="250">
        <f t="shared" si="45"/>
        <v>7.96</v>
      </c>
      <c r="K151" s="250">
        <f t="shared" si="46"/>
        <v>7.95</v>
      </c>
      <c r="L151" s="250">
        <f t="shared" si="47"/>
        <v>8.32</v>
      </c>
      <c r="M151" s="250">
        <f t="shared" si="48"/>
        <v>0</v>
      </c>
      <c r="N151" s="171">
        <f t="shared" si="49"/>
        <v>36.54</v>
      </c>
      <c r="O151" s="171">
        <f t="shared" si="39"/>
        <v>850.84946316900312</v>
      </c>
      <c r="P151" s="172"/>
      <c r="Q151" s="172"/>
      <c r="R151" s="172"/>
      <c r="S151" s="172"/>
      <c r="T151" s="172"/>
      <c r="U151" s="172"/>
      <c r="V151" s="172"/>
      <c r="W151" s="172">
        <f>VLOOKUP(D151,[1]KEY!$D$35:$E$44,2,FALSE)</f>
        <v>46</v>
      </c>
      <c r="X151" s="173" t="str">
        <f t="shared" si="40"/>
        <v>N</v>
      </c>
      <c r="Y151" s="174">
        <f t="shared" si="41"/>
        <v>0</v>
      </c>
      <c r="Z151" s="9" t="s">
        <v>426</v>
      </c>
      <c r="AB151" s="62">
        <v>2970</v>
      </c>
      <c r="AC151" s="62">
        <v>4840</v>
      </c>
      <c r="AD151" s="119">
        <v>4500</v>
      </c>
      <c r="AE151" s="119">
        <v>7960</v>
      </c>
      <c r="AF151" s="119">
        <v>7950</v>
      </c>
      <c r="AG151" s="119">
        <v>8320</v>
      </c>
      <c r="AH151" s="119"/>
    </row>
    <row r="152" spans="1:34" ht="24" customHeight="1" x14ac:dyDescent="0.25">
      <c r="A152" s="17">
        <f t="shared" si="50"/>
        <v>25</v>
      </c>
      <c r="B152" s="10">
        <v>0.60277777777777775</v>
      </c>
      <c r="C152" s="5" t="s">
        <v>109</v>
      </c>
      <c r="D152" s="5">
        <f t="shared" si="38"/>
        <v>10</v>
      </c>
      <c r="E152" s="43">
        <v>6</v>
      </c>
      <c r="F152" s="38" t="s">
        <v>110</v>
      </c>
      <c r="G152" s="250">
        <f t="shared" si="42"/>
        <v>2.5299999999999998</v>
      </c>
      <c r="H152" s="250">
        <f t="shared" si="43"/>
        <v>2.97</v>
      </c>
      <c r="I152" s="250">
        <f t="shared" si="44"/>
        <v>7.47</v>
      </c>
      <c r="J152" s="250">
        <f t="shared" si="45"/>
        <v>8.39</v>
      </c>
      <c r="K152" s="250">
        <f t="shared" si="46"/>
        <v>8.26</v>
      </c>
      <c r="L152" s="250">
        <f t="shared" si="47"/>
        <v>8.1199999999999992</v>
      </c>
      <c r="M152" s="250">
        <f t="shared" si="48"/>
        <v>0</v>
      </c>
      <c r="N152" s="171">
        <f t="shared" si="49"/>
        <v>37.739999999999995</v>
      </c>
      <c r="O152" s="171">
        <f t="shared" si="39"/>
        <v>984.0174880862952</v>
      </c>
      <c r="P152" s="172"/>
      <c r="Q152" s="172"/>
      <c r="R152" s="172"/>
      <c r="S152" s="172"/>
      <c r="T152" s="172"/>
      <c r="U152" s="172"/>
      <c r="V152" s="172"/>
      <c r="W152" s="172">
        <f>VLOOKUP(D152,[1]KEY!$D$35:$E$44,2,FALSE)</f>
        <v>46</v>
      </c>
      <c r="X152" s="173" t="str">
        <f t="shared" si="40"/>
        <v>N</v>
      </c>
      <c r="Y152" s="174">
        <f t="shared" si="41"/>
        <v>0</v>
      </c>
      <c r="Z152" s="9" t="s">
        <v>426</v>
      </c>
      <c r="AB152" s="62">
        <v>2530</v>
      </c>
      <c r="AC152" s="62">
        <v>2970</v>
      </c>
      <c r="AD152" s="119">
        <v>7470</v>
      </c>
      <c r="AE152" s="119">
        <v>8390</v>
      </c>
      <c r="AF152" s="119">
        <v>8260</v>
      </c>
      <c r="AG152" s="119">
        <v>8120</v>
      </c>
      <c r="AH152" s="119"/>
    </row>
    <row r="153" spans="1:34" ht="24" customHeight="1" x14ac:dyDescent="0.25">
      <c r="A153" s="17">
        <v>33</v>
      </c>
      <c r="B153" s="10">
        <v>0.65972222222222221</v>
      </c>
      <c r="C153" s="5" t="s">
        <v>115</v>
      </c>
      <c r="D153" s="5">
        <f t="shared" si="38"/>
        <v>10</v>
      </c>
      <c r="E153" s="43">
        <v>6</v>
      </c>
      <c r="F153" s="40" t="s">
        <v>110</v>
      </c>
      <c r="G153" s="250">
        <f t="shared" si="42"/>
        <v>2.2999999999999998</v>
      </c>
      <c r="H153" s="250">
        <f t="shared" si="43"/>
        <v>1.21</v>
      </c>
      <c r="I153" s="250">
        <f t="shared" si="44"/>
        <v>11.5</v>
      </c>
      <c r="J153" s="250">
        <f t="shared" si="45"/>
        <v>8.93</v>
      </c>
      <c r="K153" s="250">
        <f t="shared" si="46"/>
        <v>6.5</v>
      </c>
      <c r="L153" s="250">
        <f t="shared" si="47"/>
        <v>6.94</v>
      </c>
      <c r="M153" s="250">
        <f t="shared" si="48"/>
        <v>0</v>
      </c>
      <c r="N153" s="171">
        <f t="shared" si="49"/>
        <v>37.379999999999995</v>
      </c>
      <c r="O153" s="171">
        <f t="shared" si="39"/>
        <v>942.47778497992499</v>
      </c>
      <c r="P153" s="172"/>
      <c r="Q153" s="172"/>
      <c r="R153" s="172"/>
      <c r="S153" s="172"/>
      <c r="T153" s="172"/>
      <c r="U153" s="172"/>
      <c r="V153" s="172"/>
      <c r="W153" s="172">
        <f>VLOOKUP(D153,[1]KEY!$D$35:$E$44,2,FALSE)</f>
        <v>46</v>
      </c>
      <c r="X153" s="173" t="str">
        <f t="shared" si="40"/>
        <v>N</v>
      </c>
      <c r="Y153" s="174">
        <f t="shared" si="41"/>
        <v>0</v>
      </c>
      <c r="Z153" s="9" t="s">
        <v>436</v>
      </c>
      <c r="AB153" s="62">
        <v>2300</v>
      </c>
      <c r="AC153" s="62">
        <v>1210</v>
      </c>
      <c r="AD153" s="119">
        <v>11500</v>
      </c>
      <c r="AE153" s="119">
        <v>8930</v>
      </c>
      <c r="AF153" s="119">
        <v>6500</v>
      </c>
      <c r="AG153" s="119">
        <v>6940</v>
      </c>
      <c r="AH153" s="119"/>
    </row>
    <row r="154" spans="1:34" ht="24" customHeight="1" x14ac:dyDescent="0.25">
      <c r="A154" s="17">
        <v>35</v>
      </c>
      <c r="B154" s="10">
        <v>0.68402777777777779</v>
      </c>
      <c r="C154" s="5" t="s">
        <v>116</v>
      </c>
      <c r="D154" s="5">
        <f t="shared" si="38"/>
        <v>10</v>
      </c>
      <c r="E154" s="43">
        <v>6</v>
      </c>
      <c r="F154" s="76" t="s">
        <v>29</v>
      </c>
      <c r="G154" s="250">
        <f t="shared" si="42"/>
        <v>2.64</v>
      </c>
      <c r="H154" s="250">
        <f t="shared" si="43"/>
        <v>3.96</v>
      </c>
      <c r="I154" s="250">
        <f t="shared" si="44"/>
        <v>7.03</v>
      </c>
      <c r="J154" s="250">
        <f t="shared" si="45"/>
        <v>7.12</v>
      </c>
      <c r="K154" s="250">
        <f t="shared" si="46"/>
        <v>6.49</v>
      </c>
      <c r="L154" s="250">
        <f t="shared" si="47"/>
        <v>6.09</v>
      </c>
      <c r="M154" s="250">
        <f t="shared" si="48"/>
        <v>0</v>
      </c>
      <c r="N154" s="171">
        <f t="shared" si="49"/>
        <v>33.33</v>
      </c>
      <c r="O154" s="171">
        <f t="shared" si="39"/>
        <v>562.53972569708856</v>
      </c>
      <c r="P154" s="172"/>
      <c r="Q154" s="172"/>
      <c r="R154" s="172"/>
      <c r="S154" s="172"/>
      <c r="T154" s="172"/>
      <c r="U154" s="172"/>
      <c r="V154" s="172"/>
      <c r="W154" s="172">
        <f>VLOOKUP(D154,[1]KEY!$D$35:$E$44,2,FALSE)</f>
        <v>46</v>
      </c>
      <c r="X154" s="173" t="str">
        <f t="shared" si="40"/>
        <v>N</v>
      </c>
      <c r="Y154" s="174">
        <f t="shared" si="41"/>
        <v>0</v>
      </c>
      <c r="Z154" s="9" t="s">
        <v>426</v>
      </c>
      <c r="AB154" s="62">
        <v>2640</v>
      </c>
      <c r="AC154" s="62">
        <v>3960</v>
      </c>
      <c r="AD154" s="119">
        <v>7030</v>
      </c>
      <c r="AE154" s="119">
        <v>7120</v>
      </c>
      <c r="AF154" s="119">
        <v>6490</v>
      </c>
      <c r="AG154" s="119">
        <v>6090</v>
      </c>
      <c r="AH154" s="119"/>
    </row>
    <row r="155" spans="1:34" ht="24" customHeight="1" x14ac:dyDescent="0.25">
      <c r="A155" s="17">
        <v>36</v>
      </c>
      <c r="B155" s="10">
        <v>0.6875</v>
      </c>
      <c r="C155" s="5" t="s">
        <v>117</v>
      </c>
      <c r="D155" s="5">
        <f t="shared" si="38"/>
        <v>10</v>
      </c>
      <c r="E155" s="43">
        <v>6</v>
      </c>
      <c r="F155" s="38" t="s">
        <v>29</v>
      </c>
      <c r="G155" s="250">
        <f t="shared" si="42"/>
        <v>2.86</v>
      </c>
      <c r="H155" s="250">
        <f t="shared" si="43"/>
        <v>3.52</v>
      </c>
      <c r="I155" s="250">
        <f t="shared" si="44"/>
        <v>5.24</v>
      </c>
      <c r="J155" s="250">
        <f t="shared" si="45"/>
        <v>5.5</v>
      </c>
      <c r="K155" s="250">
        <f t="shared" si="46"/>
        <v>5.16</v>
      </c>
      <c r="L155" s="250">
        <f t="shared" si="47"/>
        <v>8.2100000000000009</v>
      </c>
      <c r="M155" s="250">
        <f t="shared" si="48"/>
        <v>0</v>
      </c>
      <c r="N155" s="171">
        <f t="shared" si="49"/>
        <v>30.490000000000002</v>
      </c>
      <c r="O155" s="171">
        <f t="shared" si="39"/>
        <v>376.79288661309835</v>
      </c>
      <c r="P155" s="172"/>
      <c r="Q155" s="172"/>
      <c r="R155" s="172"/>
      <c r="S155" s="172"/>
      <c r="T155" s="172"/>
      <c r="U155" s="172"/>
      <c r="V155" s="172"/>
      <c r="W155" s="172">
        <f>VLOOKUP(D155,[1]KEY!$D$35:$E$44,2,FALSE)</f>
        <v>46</v>
      </c>
      <c r="X155" s="173" t="str">
        <f t="shared" si="40"/>
        <v>N</v>
      </c>
      <c r="Y155" s="174">
        <f t="shared" si="41"/>
        <v>0</v>
      </c>
      <c r="Z155" s="9" t="s">
        <v>422</v>
      </c>
      <c r="AB155" s="62">
        <v>2860</v>
      </c>
      <c r="AC155" s="62">
        <v>3520</v>
      </c>
      <c r="AD155" s="119">
        <v>5240</v>
      </c>
      <c r="AE155" s="119">
        <v>5500</v>
      </c>
      <c r="AF155" s="119">
        <v>5160</v>
      </c>
      <c r="AG155" s="119">
        <v>8210</v>
      </c>
      <c r="AH155" s="119"/>
    </row>
    <row r="156" spans="1:34" ht="24" customHeight="1" x14ac:dyDescent="0.25">
      <c r="A156" s="17">
        <f>A155+1</f>
        <v>37</v>
      </c>
      <c r="B156" s="26">
        <v>0.69097222222222221</v>
      </c>
      <c r="C156" s="5" t="s">
        <v>118</v>
      </c>
      <c r="D156" s="5">
        <f t="shared" si="38"/>
        <v>10</v>
      </c>
      <c r="E156" s="29">
        <v>6</v>
      </c>
      <c r="F156" s="38" t="s">
        <v>29</v>
      </c>
      <c r="G156" s="250">
        <f t="shared" si="42"/>
        <v>1.32</v>
      </c>
      <c r="H156" s="250">
        <f t="shared" si="43"/>
        <v>4.18</v>
      </c>
      <c r="I156" s="250">
        <f t="shared" si="44"/>
        <v>7.02</v>
      </c>
      <c r="J156" s="250">
        <f t="shared" si="45"/>
        <v>6.07</v>
      </c>
      <c r="K156" s="250">
        <f t="shared" si="46"/>
        <v>5.9</v>
      </c>
      <c r="L156" s="250">
        <f t="shared" si="47"/>
        <v>7.06</v>
      </c>
      <c r="M156" s="250">
        <f t="shared" si="48"/>
        <v>0</v>
      </c>
      <c r="N156" s="171">
        <f t="shared" si="49"/>
        <v>31.55</v>
      </c>
      <c r="O156" s="171">
        <f t="shared" si="39"/>
        <v>439.4317390521478</v>
      </c>
      <c r="P156" s="172"/>
      <c r="Q156" s="172"/>
      <c r="R156" s="172"/>
      <c r="S156" s="172"/>
      <c r="T156" s="172"/>
      <c r="U156" s="172"/>
      <c r="V156" s="172"/>
      <c r="W156" s="172">
        <f>VLOOKUP(D156,[1]KEY!$D$35:$E$44,2,FALSE)</f>
        <v>46</v>
      </c>
      <c r="X156" s="173" t="str">
        <f t="shared" si="40"/>
        <v>N</v>
      </c>
      <c r="Y156" s="174">
        <f t="shared" si="41"/>
        <v>0</v>
      </c>
      <c r="Z156" s="9" t="s">
        <v>422</v>
      </c>
      <c r="AB156" s="62">
        <v>1320</v>
      </c>
      <c r="AC156" s="62">
        <v>4180</v>
      </c>
      <c r="AD156" s="119">
        <v>7020</v>
      </c>
      <c r="AE156" s="119">
        <v>6070</v>
      </c>
      <c r="AF156" s="119">
        <v>5900</v>
      </c>
      <c r="AG156" s="119">
        <v>7060</v>
      </c>
      <c r="AH156" s="119"/>
    </row>
    <row r="157" spans="1:34" ht="24" customHeight="1" thickBot="1" x14ac:dyDescent="0.3">
      <c r="A157" s="17">
        <v>40</v>
      </c>
      <c r="B157" s="34">
        <v>0.75</v>
      </c>
      <c r="C157" s="47" t="s">
        <v>122</v>
      </c>
      <c r="D157" s="5">
        <f t="shared" si="38"/>
        <v>10</v>
      </c>
      <c r="E157" s="48">
        <v>6</v>
      </c>
      <c r="F157" s="206" t="s">
        <v>110</v>
      </c>
      <c r="G157" s="250">
        <f t="shared" si="42"/>
        <v>3.41</v>
      </c>
      <c r="H157" s="250">
        <f t="shared" si="43"/>
        <v>3.41</v>
      </c>
      <c r="I157" s="250">
        <f t="shared" si="44"/>
        <v>8.75</v>
      </c>
      <c r="J157" s="250">
        <f t="shared" si="45"/>
        <v>9.27</v>
      </c>
      <c r="K157" s="250">
        <f t="shared" si="46"/>
        <v>6.58</v>
      </c>
      <c r="L157" s="250">
        <f t="shared" si="47"/>
        <v>7.15</v>
      </c>
      <c r="M157" s="250">
        <f t="shared" si="48"/>
        <v>0</v>
      </c>
      <c r="N157" s="171">
        <f t="shared" si="49"/>
        <v>38.57</v>
      </c>
      <c r="O157" s="171">
        <f t="shared" si="39"/>
        <v>1085.2196789931265</v>
      </c>
      <c r="P157" s="172"/>
      <c r="Q157" s="172"/>
      <c r="R157" s="172"/>
      <c r="S157" s="172"/>
      <c r="T157" s="172"/>
      <c r="U157" s="172"/>
      <c r="V157" s="172"/>
      <c r="W157" s="172">
        <f>VLOOKUP(D157,[1]KEY!$D$35:$E$44,2,FALSE)</f>
        <v>46</v>
      </c>
      <c r="X157" s="173" t="str">
        <f t="shared" si="40"/>
        <v>N</v>
      </c>
      <c r="Y157" s="174">
        <f t="shared" si="41"/>
        <v>0</v>
      </c>
      <c r="Z157" s="53" t="s">
        <v>426</v>
      </c>
      <c r="AB157" s="70">
        <v>3410</v>
      </c>
      <c r="AC157" s="70">
        <v>3410</v>
      </c>
      <c r="AD157" s="119">
        <v>8750</v>
      </c>
      <c r="AE157" s="119">
        <v>9270</v>
      </c>
      <c r="AF157" s="119">
        <v>6580</v>
      </c>
      <c r="AG157" s="119">
        <v>7150</v>
      </c>
      <c r="AH157" s="119"/>
    </row>
    <row r="158" spans="1:34" ht="24" customHeight="1" thickTop="1" x14ac:dyDescent="0.25">
      <c r="A158" s="17">
        <v>1</v>
      </c>
      <c r="B158" s="199">
        <v>0.27708333333333335</v>
      </c>
      <c r="C158" s="142" t="s">
        <v>28</v>
      </c>
      <c r="D158" s="5">
        <f t="shared" si="38"/>
        <v>10</v>
      </c>
      <c r="E158" s="205">
        <v>6</v>
      </c>
      <c r="F158" s="76" t="s">
        <v>29</v>
      </c>
      <c r="G158" s="250">
        <f t="shared" si="42"/>
        <v>3.41</v>
      </c>
      <c r="H158" s="250">
        <f t="shared" si="43"/>
        <v>3.19</v>
      </c>
      <c r="I158" s="250">
        <f t="shared" si="44"/>
        <v>6.02</v>
      </c>
      <c r="J158" s="250">
        <f t="shared" si="45"/>
        <v>6.17</v>
      </c>
      <c r="K158" s="250">
        <f t="shared" si="46"/>
        <v>6.59</v>
      </c>
      <c r="L158" s="250">
        <f t="shared" si="47"/>
        <v>7.08</v>
      </c>
      <c r="M158" s="250">
        <f t="shared" si="48"/>
        <v>0</v>
      </c>
      <c r="N158" s="171">
        <f t="shared" si="49"/>
        <v>32.46</v>
      </c>
      <c r="O158" s="171">
        <f t="shared" si="39"/>
        <v>499.41617640292361</v>
      </c>
      <c r="P158" s="172"/>
      <c r="Q158" s="172"/>
      <c r="R158" s="172"/>
      <c r="S158" s="172"/>
      <c r="T158" s="172"/>
      <c r="U158" s="172"/>
      <c r="V158" s="172"/>
      <c r="W158" s="172">
        <f>VLOOKUP(D158,[1]KEY!$D$35:$E$44,2,FALSE)</f>
        <v>46</v>
      </c>
      <c r="X158" s="173" t="str">
        <f t="shared" si="40"/>
        <v>N</v>
      </c>
      <c r="Y158" s="174">
        <f t="shared" si="41"/>
        <v>0</v>
      </c>
      <c r="Z158" s="209" t="s">
        <v>429</v>
      </c>
      <c r="AB158" s="79">
        <v>3410</v>
      </c>
      <c r="AC158" s="79">
        <v>3190</v>
      </c>
      <c r="AD158" s="119">
        <v>6020</v>
      </c>
      <c r="AE158" s="119">
        <v>6170</v>
      </c>
      <c r="AF158" s="119">
        <v>6590</v>
      </c>
      <c r="AG158" s="119">
        <v>7080</v>
      </c>
      <c r="AH158" s="119"/>
    </row>
    <row r="159" spans="1:34" ht="24" customHeight="1" x14ac:dyDescent="0.25">
      <c r="A159" s="17">
        <f t="shared" ref="A159:A167" si="51">A158+1</f>
        <v>2</v>
      </c>
      <c r="B159" s="73">
        <v>0.32222222222222224</v>
      </c>
      <c r="C159" s="5" t="s">
        <v>37</v>
      </c>
      <c r="D159" s="5">
        <f t="shared" si="38"/>
        <v>10</v>
      </c>
      <c r="E159" s="43">
        <v>6</v>
      </c>
      <c r="F159" s="76" t="s">
        <v>29</v>
      </c>
      <c r="G159" s="250">
        <f t="shared" si="42"/>
        <v>2.79</v>
      </c>
      <c r="H159" s="250">
        <f t="shared" si="43"/>
        <v>2.9</v>
      </c>
      <c r="I159" s="250">
        <f t="shared" si="44"/>
        <v>5.85</v>
      </c>
      <c r="J159" s="250">
        <f t="shared" si="45"/>
        <v>5.75</v>
      </c>
      <c r="K159" s="250">
        <f t="shared" si="46"/>
        <v>5.65</v>
      </c>
      <c r="L159" s="250">
        <f t="shared" si="47"/>
        <v>4.7</v>
      </c>
      <c r="M159" s="250">
        <f t="shared" si="48"/>
        <v>0</v>
      </c>
      <c r="N159" s="171">
        <f t="shared" si="49"/>
        <v>27.639999999999997</v>
      </c>
      <c r="O159" s="171">
        <f t="shared" si="39"/>
        <v>242.27882556091447</v>
      </c>
      <c r="P159" s="172"/>
      <c r="Q159" s="172"/>
      <c r="R159" s="172"/>
      <c r="S159" s="172"/>
      <c r="T159" s="172"/>
      <c r="U159" s="172"/>
      <c r="V159" s="172"/>
      <c r="W159" s="172">
        <f>VLOOKUP(D159,KEY!$D$35:$E$44,2,FALSE)</f>
        <v>46</v>
      </c>
      <c r="X159" s="173" t="str">
        <f t="shared" si="40"/>
        <v>N</v>
      </c>
      <c r="Y159" s="174">
        <f t="shared" si="41"/>
        <v>0</v>
      </c>
      <c r="Z159" s="9" t="s">
        <v>426</v>
      </c>
      <c r="AB159" s="62">
        <v>2790</v>
      </c>
      <c r="AC159" s="62">
        <v>2900</v>
      </c>
      <c r="AD159" s="119">
        <v>5850</v>
      </c>
      <c r="AE159" s="119">
        <v>5750</v>
      </c>
      <c r="AF159" s="119">
        <v>5650</v>
      </c>
      <c r="AG159" s="119">
        <v>4700</v>
      </c>
      <c r="AH159" s="119"/>
    </row>
    <row r="160" spans="1:34" ht="24" customHeight="1" thickBot="1" x14ac:dyDescent="0.3">
      <c r="A160" s="17">
        <f t="shared" si="51"/>
        <v>3</v>
      </c>
      <c r="B160" s="155">
        <v>0.3659722222222222</v>
      </c>
      <c r="C160" s="5" t="s">
        <v>38</v>
      </c>
      <c r="D160" s="5">
        <f t="shared" si="38"/>
        <v>10</v>
      </c>
      <c r="E160" s="43">
        <v>6</v>
      </c>
      <c r="F160" s="76" t="s">
        <v>29</v>
      </c>
      <c r="G160" s="250">
        <f t="shared" si="42"/>
        <v>2.86</v>
      </c>
      <c r="H160" s="250">
        <f t="shared" si="43"/>
        <v>3.74</v>
      </c>
      <c r="I160" s="250">
        <f t="shared" si="44"/>
        <v>6.21</v>
      </c>
      <c r="J160" s="250">
        <f t="shared" si="45"/>
        <v>6.12</v>
      </c>
      <c r="K160" s="250">
        <f t="shared" si="46"/>
        <v>7.37</v>
      </c>
      <c r="L160" s="250">
        <f t="shared" si="47"/>
        <v>6.47</v>
      </c>
      <c r="M160" s="250">
        <f t="shared" si="48"/>
        <v>0</v>
      </c>
      <c r="N160" s="171">
        <f t="shared" si="49"/>
        <v>32.770000000000003</v>
      </c>
      <c r="O160" s="171">
        <f t="shared" si="39"/>
        <v>521.2406429653023</v>
      </c>
      <c r="P160" s="172"/>
      <c r="Q160" s="172"/>
      <c r="R160" s="172"/>
      <c r="S160" s="172"/>
      <c r="T160" s="172"/>
      <c r="U160" s="172"/>
      <c r="V160" s="172"/>
      <c r="W160" s="172">
        <f>VLOOKUP(D160,KEY!$D$35:$E$44,2,FALSE)</f>
        <v>46</v>
      </c>
      <c r="X160" s="173" t="str">
        <f t="shared" si="40"/>
        <v>N</v>
      </c>
      <c r="Y160" s="174">
        <f t="shared" si="41"/>
        <v>0</v>
      </c>
      <c r="Z160" s="9" t="s">
        <v>422</v>
      </c>
      <c r="AB160" s="62">
        <v>2860</v>
      </c>
      <c r="AC160" s="62">
        <v>3740</v>
      </c>
      <c r="AD160" s="119">
        <v>6210</v>
      </c>
      <c r="AE160" s="119">
        <v>6120</v>
      </c>
      <c r="AF160" s="119">
        <v>7370</v>
      </c>
      <c r="AG160" s="119">
        <v>6470</v>
      </c>
      <c r="AH160" s="119"/>
    </row>
    <row r="161" spans="1:34" ht="24" customHeight="1" thickTop="1" x14ac:dyDescent="0.25">
      <c r="A161" s="17">
        <f t="shared" si="51"/>
        <v>4</v>
      </c>
      <c r="B161" s="33">
        <v>0.36736111111111108</v>
      </c>
      <c r="C161" s="13" t="s">
        <v>39</v>
      </c>
      <c r="D161" s="5">
        <f t="shared" si="38"/>
        <v>10</v>
      </c>
      <c r="E161" s="44">
        <v>6</v>
      </c>
      <c r="F161" s="38" t="s">
        <v>29</v>
      </c>
      <c r="G161" s="250">
        <f t="shared" si="42"/>
        <v>2.86</v>
      </c>
      <c r="H161" s="250">
        <f t="shared" si="43"/>
        <v>3.63</v>
      </c>
      <c r="I161" s="250">
        <f t="shared" si="44"/>
        <v>6.21</v>
      </c>
      <c r="J161" s="250">
        <f t="shared" si="45"/>
        <v>6.56</v>
      </c>
      <c r="K161" s="250">
        <f t="shared" si="46"/>
        <v>6.62</v>
      </c>
      <c r="L161" s="250">
        <f t="shared" si="47"/>
        <v>6.39</v>
      </c>
      <c r="M161" s="250">
        <f t="shared" si="48"/>
        <v>0</v>
      </c>
      <c r="N161" s="171">
        <f t="shared" si="49"/>
        <v>32.269999999999996</v>
      </c>
      <c r="O161" s="171">
        <f t="shared" si="39"/>
        <v>486.39559140876378</v>
      </c>
      <c r="P161" s="172"/>
      <c r="Q161" s="172"/>
      <c r="R161" s="172"/>
      <c r="S161" s="172"/>
      <c r="T161" s="172"/>
      <c r="U161" s="172"/>
      <c r="V161" s="172"/>
      <c r="W161" s="172">
        <f>VLOOKUP(D161,KEY!$D$35:$E$44,2,FALSE)</f>
        <v>46</v>
      </c>
      <c r="X161" s="173" t="str">
        <f t="shared" si="40"/>
        <v>N</v>
      </c>
      <c r="Y161" s="174">
        <f t="shared" si="41"/>
        <v>0</v>
      </c>
      <c r="Z161" s="14" t="s">
        <v>422</v>
      </c>
      <c r="AB161" s="64">
        <v>2860</v>
      </c>
      <c r="AC161" s="64">
        <v>3630</v>
      </c>
      <c r="AD161" s="119">
        <v>6210</v>
      </c>
      <c r="AE161" s="119">
        <v>6560</v>
      </c>
      <c r="AF161" s="119">
        <v>6620</v>
      </c>
      <c r="AG161" s="119">
        <v>6390</v>
      </c>
      <c r="AH161" s="119"/>
    </row>
    <row r="162" spans="1:34" ht="24" customHeight="1" x14ac:dyDescent="0.25">
      <c r="A162" s="17">
        <f t="shared" si="51"/>
        <v>5</v>
      </c>
      <c r="B162" s="10">
        <v>0.4458333333333333</v>
      </c>
      <c r="C162" s="5" t="s">
        <v>43</v>
      </c>
      <c r="D162" s="5">
        <f t="shared" si="38"/>
        <v>10</v>
      </c>
      <c r="E162" s="43">
        <v>6</v>
      </c>
      <c r="F162" s="76" t="s">
        <v>110</v>
      </c>
      <c r="G162" s="250">
        <f t="shared" si="42"/>
        <v>3.3</v>
      </c>
      <c r="H162" s="250">
        <f t="shared" si="43"/>
        <v>1.87</v>
      </c>
      <c r="I162" s="250">
        <f t="shared" si="44"/>
        <v>10.130000000000001</v>
      </c>
      <c r="J162" s="250">
        <f t="shared" si="45"/>
        <v>7.53</v>
      </c>
      <c r="K162" s="250">
        <f t="shared" si="46"/>
        <v>7.9</v>
      </c>
      <c r="L162" s="250">
        <f t="shared" si="47"/>
        <v>8.41</v>
      </c>
      <c r="M162" s="250">
        <f t="shared" si="48"/>
        <v>0</v>
      </c>
      <c r="N162" s="171">
        <f t="shared" si="49"/>
        <v>39.14</v>
      </c>
      <c r="O162" s="171">
        <f t="shared" si="39"/>
        <v>1159.279034002458</v>
      </c>
      <c r="P162" s="172"/>
      <c r="Q162" s="172"/>
      <c r="R162" s="172"/>
      <c r="S162" s="172"/>
      <c r="T162" s="172"/>
      <c r="U162" s="172"/>
      <c r="V162" s="172"/>
      <c r="W162" s="172">
        <f>VLOOKUP(D162,KEY!$D$35:$E$44,2,FALSE)</f>
        <v>46</v>
      </c>
      <c r="X162" s="173" t="str">
        <f t="shared" si="40"/>
        <v>N</v>
      </c>
      <c r="Y162" s="174">
        <f t="shared" si="41"/>
        <v>0</v>
      </c>
      <c r="Z162" s="9" t="s">
        <v>426</v>
      </c>
      <c r="AB162" s="62">
        <v>3300</v>
      </c>
      <c r="AC162" s="62">
        <v>1870</v>
      </c>
      <c r="AD162" s="119">
        <v>10130</v>
      </c>
      <c r="AE162" s="119">
        <v>7530</v>
      </c>
      <c r="AF162" s="119">
        <v>7900</v>
      </c>
      <c r="AG162" s="119">
        <v>8410</v>
      </c>
      <c r="AH162" s="119"/>
    </row>
    <row r="163" spans="1:34" ht="24" customHeight="1" x14ac:dyDescent="0.25">
      <c r="A163" s="17">
        <f t="shared" si="51"/>
        <v>6</v>
      </c>
      <c r="B163" s="25">
        <v>0.4604166666666667</v>
      </c>
      <c r="C163" s="24" t="s">
        <v>44</v>
      </c>
      <c r="D163" s="5">
        <f t="shared" si="38"/>
        <v>10</v>
      </c>
      <c r="E163" s="43">
        <v>6</v>
      </c>
      <c r="F163" s="76" t="s">
        <v>110</v>
      </c>
      <c r="G163" s="250">
        <f t="shared" si="42"/>
        <v>3.19</v>
      </c>
      <c r="H163" s="250">
        <f t="shared" si="43"/>
        <v>3.3</v>
      </c>
      <c r="I163" s="250">
        <f t="shared" si="44"/>
        <v>6.64</v>
      </c>
      <c r="J163" s="250">
        <f t="shared" si="45"/>
        <v>7.58</v>
      </c>
      <c r="K163" s="250">
        <f t="shared" si="46"/>
        <v>7.02</v>
      </c>
      <c r="L163" s="250">
        <f t="shared" si="47"/>
        <v>6.78</v>
      </c>
      <c r="M163" s="250">
        <f t="shared" si="48"/>
        <v>0</v>
      </c>
      <c r="N163" s="171">
        <f t="shared" si="49"/>
        <v>34.51</v>
      </c>
      <c r="O163" s="171">
        <f t="shared" si="39"/>
        <v>657.87987679847163</v>
      </c>
      <c r="P163" s="172"/>
      <c r="Q163" s="172"/>
      <c r="R163" s="172"/>
      <c r="S163" s="172"/>
      <c r="T163" s="172"/>
      <c r="U163" s="172"/>
      <c r="V163" s="172"/>
      <c r="W163" s="172">
        <f>VLOOKUP(D163,KEY!$D$35:$E$44,2,FALSE)</f>
        <v>46</v>
      </c>
      <c r="X163" s="173" t="str">
        <f t="shared" si="40"/>
        <v>N</v>
      </c>
      <c r="Y163" s="174">
        <f t="shared" si="41"/>
        <v>0</v>
      </c>
      <c r="Z163" s="9" t="s">
        <v>436</v>
      </c>
      <c r="AB163" s="62">
        <v>3190</v>
      </c>
      <c r="AC163" s="62">
        <v>3300</v>
      </c>
      <c r="AD163" s="119">
        <v>6640</v>
      </c>
      <c r="AE163" s="119">
        <v>7580</v>
      </c>
      <c r="AF163" s="119">
        <v>7020</v>
      </c>
      <c r="AG163" s="119">
        <v>6780</v>
      </c>
      <c r="AH163" s="119"/>
    </row>
    <row r="164" spans="1:34" ht="24" customHeight="1" x14ac:dyDescent="0.25">
      <c r="A164" s="17">
        <f t="shared" si="51"/>
        <v>7</v>
      </c>
      <c r="B164" s="25">
        <v>0.52986111111111112</v>
      </c>
      <c r="C164" s="24" t="s">
        <v>46</v>
      </c>
      <c r="D164" s="5">
        <f t="shared" si="38"/>
        <v>10</v>
      </c>
      <c r="E164" s="43">
        <v>6</v>
      </c>
      <c r="F164" s="76" t="s">
        <v>110</v>
      </c>
      <c r="G164" s="250">
        <f t="shared" si="42"/>
        <v>1.3</v>
      </c>
      <c r="H164" s="250">
        <f t="shared" si="43"/>
        <v>1.25</v>
      </c>
      <c r="I164" s="250">
        <f t="shared" si="44"/>
        <v>4.7</v>
      </c>
      <c r="J164" s="250">
        <f t="shared" si="45"/>
        <v>5.7</v>
      </c>
      <c r="K164" s="250">
        <f t="shared" si="46"/>
        <v>5.5</v>
      </c>
      <c r="L164" s="250">
        <f t="shared" si="47"/>
        <v>5.55</v>
      </c>
      <c r="M164" s="250">
        <f t="shared" si="48"/>
        <v>0</v>
      </c>
      <c r="N164" s="171">
        <f t="shared" si="49"/>
        <v>24</v>
      </c>
      <c r="O164" s="171">
        <f t="shared" si="39"/>
        <v>128.33492859767952</v>
      </c>
      <c r="P164" s="172"/>
      <c r="Q164" s="172"/>
      <c r="R164" s="172"/>
      <c r="S164" s="172"/>
      <c r="T164" s="172"/>
      <c r="U164" s="172"/>
      <c r="V164" s="172"/>
      <c r="W164" s="172">
        <f>VLOOKUP(D164,KEY!$D$35:$E$44,2,FALSE)</f>
        <v>46</v>
      </c>
      <c r="X164" s="173" t="str">
        <f t="shared" si="40"/>
        <v>N</v>
      </c>
      <c r="Y164" s="174">
        <f t="shared" si="41"/>
        <v>0</v>
      </c>
      <c r="Z164" s="9" t="s">
        <v>426</v>
      </c>
      <c r="AB164" s="62">
        <v>1300</v>
      </c>
      <c r="AC164" s="62">
        <v>1250</v>
      </c>
      <c r="AD164" s="119">
        <v>4700</v>
      </c>
      <c r="AE164" s="119">
        <v>5700</v>
      </c>
      <c r="AF164" s="119">
        <v>5500</v>
      </c>
      <c r="AG164" s="119">
        <v>5550</v>
      </c>
      <c r="AH164" s="119"/>
    </row>
    <row r="165" spans="1:34" ht="24" customHeight="1" x14ac:dyDescent="0.25">
      <c r="A165" s="17">
        <f t="shared" si="51"/>
        <v>8</v>
      </c>
      <c r="B165" s="25">
        <v>0.65902777777777777</v>
      </c>
      <c r="C165" s="24" t="s">
        <v>56</v>
      </c>
      <c r="D165" s="5">
        <f t="shared" si="38"/>
        <v>10</v>
      </c>
      <c r="E165" s="43">
        <v>7</v>
      </c>
      <c r="F165" s="76" t="s">
        <v>126</v>
      </c>
      <c r="G165" s="250">
        <f t="shared" si="42"/>
        <v>3.52</v>
      </c>
      <c r="H165" s="250">
        <f t="shared" si="43"/>
        <v>1.9</v>
      </c>
      <c r="I165" s="250">
        <f t="shared" si="44"/>
        <v>5.05</v>
      </c>
      <c r="J165" s="250">
        <f t="shared" si="45"/>
        <v>7.3</v>
      </c>
      <c r="K165" s="250">
        <f t="shared" si="46"/>
        <v>7.41</v>
      </c>
      <c r="L165" s="250">
        <f t="shared" si="47"/>
        <v>4.95</v>
      </c>
      <c r="M165" s="250">
        <f t="shared" si="48"/>
        <v>6.15</v>
      </c>
      <c r="N165" s="171">
        <f t="shared" si="49"/>
        <v>36.28</v>
      </c>
      <c r="O165" s="171">
        <f t="shared" si="39"/>
        <v>823.94275319585006</v>
      </c>
      <c r="P165" s="172"/>
      <c r="Q165" s="172"/>
      <c r="R165" s="172"/>
      <c r="S165" s="172"/>
      <c r="T165" s="172"/>
      <c r="U165" s="172"/>
      <c r="V165" s="172"/>
      <c r="W165" s="172">
        <f>VLOOKUP(D165,KEY!$D$35:$E$44,2,FALSE)</f>
        <v>46</v>
      </c>
      <c r="X165" s="173" t="str">
        <f t="shared" si="40"/>
        <v>N</v>
      </c>
      <c r="Y165" s="174">
        <f t="shared" si="41"/>
        <v>0</v>
      </c>
      <c r="Z165" s="9" t="s">
        <v>422</v>
      </c>
      <c r="AB165" s="62">
        <v>3520</v>
      </c>
      <c r="AC165" s="62">
        <v>1900</v>
      </c>
      <c r="AD165" s="119">
        <v>5050</v>
      </c>
      <c r="AE165" s="119">
        <v>7300</v>
      </c>
      <c r="AF165" s="119">
        <v>7410</v>
      </c>
      <c r="AG165" s="119">
        <v>4950</v>
      </c>
      <c r="AH165" s="119">
        <v>6150</v>
      </c>
    </row>
    <row r="166" spans="1:34" ht="24" customHeight="1" x14ac:dyDescent="0.25">
      <c r="A166" s="17">
        <f t="shared" si="51"/>
        <v>9</v>
      </c>
      <c r="B166" s="25">
        <v>0.69861111111111107</v>
      </c>
      <c r="C166" s="24" t="s">
        <v>61</v>
      </c>
      <c r="D166" s="5">
        <f t="shared" si="38"/>
        <v>10</v>
      </c>
      <c r="E166" s="43">
        <v>6</v>
      </c>
      <c r="F166" s="38" t="s">
        <v>29</v>
      </c>
      <c r="G166" s="250">
        <f t="shared" si="42"/>
        <v>3.08</v>
      </c>
      <c r="H166" s="250">
        <f t="shared" si="43"/>
        <v>4.18</v>
      </c>
      <c r="I166" s="250">
        <f t="shared" si="44"/>
        <v>5.77</v>
      </c>
      <c r="J166" s="250">
        <f t="shared" si="45"/>
        <v>7.56</v>
      </c>
      <c r="K166" s="250">
        <f t="shared" si="46"/>
        <v>9.49</v>
      </c>
      <c r="L166" s="250">
        <f t="shared" si="47"/>
        <v>9.4600000000000009</v>
      </c>
      <c r="M166" s="250">
        <f t="shared" si="48"/>
        <v>0</v>
      </c>
      <c r="N166" s="171">
        <f t="shared" si="49"/>
        <v>39.54</v>
      </c>
      <c r="O166" s="171">
        <f t="shared" si="39"/>
        <v>1213.5544804346046</v>
      </c>
      <c r="P166" s="172"/>
      <c r="Q166" s="172"/>
      <c r="R166" s="172"/>
      <c r="S166" s="172"/>
      <c r="T166" s="172"/>
      <c r="U166" s="172"/>
      <c r="V166" s="172"/>
      <c r="W166" s="172">
        <f>VLOOKUP(D166,KEY!$D$35:$E$44,2,FALSE)</f>
        <v>46</v>
      </c>
      <c r="X166" s="173" t="str">
        <f t="shared" si="40"/>
        <v>N</v>
      </c>
      <c r="Y166" s="174">
        <f t="shared" si="41"/>
        <v>0</v>
      </c>
      <c r="Z166" s="9" t="s">
        <v>426</v>
      </c>
      <c r="AB166" s="62">
        <v>3080</v>
      </c>
      <c r="AC166" s="62">
        <v>4180</v>
      </c>
      <c r="AD166" s="119">
        <v>5770</v>
      </c>
      <c r="AE166" s="119">
        <v>7560</v>
      </c>
      <c r="AF166" s="119">
        <v>9490</v>
      </c>
      <c r="AG166" s="119">
        <v>9460</v>
      </c>
      <c r="AH166" s="119"/>
    </row>
    <row r="167" spans="1:34" ht="24" customHeight="1" x14ac:dyDescent="0.25">
      <c r="A167" s="17">
        <f t="shared" si="51"/>
        <v>10</v>
      </c>
      <c r="B167" s="25">
        <v>0.70000000000000007</v>
      </c>
      <c r="C167" s="24" t="s">
        <v>62</v>
      </c>
      <c r="D167" s="5">
        <f t="shared" si="38"/>
        <v>10</v>
      </c>
      <c r="E167" s="43">
        <v>7</v>
      </c>
      <c r="F167" s="76" t="s">
        <v>126</v>
      </c>
      <c r="G167" s="250">
        <f t="shared" si="42"/>
        <v>3.63</v>
      </c>
      <c r="H167" s="250">
        <f t="shared" si="43"/>
        <v>4.18</v>
      </c>
      <c r="I167" s="250">
        <f t="shared" si="44"/>
        <v>7.85</v>
      </c>
      <c r="J167" s="250">
        <f t="shared" si="45"/>
        <v>6.94</v>
      </c>
      <c r="K167" s="250">
        <f t="shared" si="46"/>
        <v>7.2</v>
      </c>
      <c r="L167" s="250">
        <f t="shared" si="47"/>
        <v>4.84</v>
      </c>
      <c r="M167" s="250">
        <f t="shared" si="48"/>
        <v>5.82</v>
      </c>
      <c r="N167" s="171">
        <f t="shared" si="49"/>
        <v>40.46</v>
      </c>
      <c r="O167" s="171">
        <f t="shared" ref="O167" si="52">(N167/8.16)^4.5</f>
        <v>1345.8936328265715</v>
      </c>
      <c r="P167" s="172"/>
      <c r="Q167" s="172"/>
      <c r="R167" s="172"/>
      <c r="S167" s="172"/>
      <c r="T167" s="172"/>
      <c r="U167" s="172"/>
      <c r="V167" s="172"/>
      <c r="W167" s="172">
        <f>VLOOKUP(D167,KEY!$D$35:$E$44,2,FALSE)</f>
        <v>46</v>
      </c>
      <c r="X167" s="173" t="str">
        <f t="shared" ref="X167" si="53">IF(N167&gt;W167,"Y","N")</f>
        <v>N</v>
      </c>
      <c r="Y167" s="174">
        <f t="shared" ref="Y167" si="54">IF(X167="Y",(N167-W167)/W167,0)</f>
        <v>0</v>
      </c>
      <c r="Z167" s="9" t="s">
        <v>422</v>
      </c>
      <c r="AB167" s="62">
        <v>3630</v>
      </c>
      <c r="AC167" s="62">
        <v>4180</v>
      </c>
      <c r="AD167" s="119">
        <v>7850</v>
      </c>
      <c r="AE167" s="119">
        <v>6940</v>
      </c>
      <c r="AF167" s="119">
        <v>7200</v>
      </c>
      <c r="AG167" s="119">
        <v>4840</v>
      </c>
      <c r="AH167" s="119">
        <v>5820</v>
      </c>
    </row>
  </sheetData>
  <sortState xmlns:xlrd2="http://schemas.microsoft.com/office/spreadsheetml/2017/richdata2" ref="A7:AA167">
    <sortCondition ref="D7:D167"/>
  </sortState>
  <mergeCells count="18">
    <mergeCell ref="AC5:AH5"/>
    <mergeCell ref="Z5:Z6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W5:W6"/>
    <mergeCell ref="X5:X6"/>
    <mergeCell ref="Y5:Y6"/>
    <mergeCell ref="N5:N6"/>
    <mergeCell ref="O5:O6"/>
    <mergeCell ref="P5:V5"/>
  </mergeCells>
  <hyperlinks>
    <hyperlink ref="Z41" r:id="rId1" display="\\" xr:uid="{00000000-0004-0000-0400-000000000000}"/>
  </hyperlinks>
  <printOptions horizontalCentered="1"/>
  <pageMargins left="0.7" right="0.7" top="0.75" bottom="0.75" header="0.3" footer="0.3"/>
  <pageSetup paperSize="9" scale="14" orientation="landscape" horizontalDpi="300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H125"/>
  <sheetViews>
    <sheetView view="pageBreakPreview" zoomScale="70" zoomScaleNormal="100" zoomScaleSheetLayoutView="70" workbookViewId="0">
      <pane xSplit="1" ySplit="6" topLeftCell="B73" activePane="bottomRight" state="frozen"/>
      <selection pane="topRight" activeCell="B1" sqref="B1"/>
      <selection pane="bottomLeft" activeCell="A6" sqref="A6"/>
      <selection pane="bottomRight" activeCell="Z109" activeCellId="6" sqref="Z18:Z20 Z24 Z26:Z27 Z30:Z32 Z46 Z48 Z109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style="45" customWidth="1"/>
    <col min="5" max="5" width="11" style="45" customWidth="1"/>
    <col min="6" max="6" width="15.140625" style="41" customWidth="1"/>
    <col min="7" max="7" width="10.7109375" bestFit="1" customWidth="1"/>
    <col min="8" max="8" width="9.5703125" bestFit="1" customWidth="1"/>
    <col min="9" max="12" width="9.85546875" bestFit="1" customWidth="1"/>
    <col min="13" max="13" width="8.85546875" customWidth="1"/>
    <col min="14" max="14" width="13.140625" customWidth="1"/>
    <col min="15" max="25" width="12.42578125" customWidth="1"/>
    <col min="26" max="26" width="26.28515625" bestFit="1" customWidth="1"/>
  </cols>
  <sheetData>
    <row r="1" spans="1:34" ht="18.75" x14ac:dyDescent="0.3">
      <c r="A1" s="263" t="s">
        <v>372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</row>
    <row r="2" spans="1:34" x14ac:dyDescent="0.25">
      <c r="A2" s="264" t="s">
        <v>0</v>
      </c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16"/>
      <c r="Q2" s="216"/>
      <c r="R2" s="216"/>
      <c r="S2" s="216"/>
      <c r="T2" s="216"/>
      <c r="U2" s="216"/>
      <c r="V2" s="216"/>
      <c r="W2" s="165"/>
      <c r="X2" s="165"/>
      <c r="Y2" s="165"/>
      <c r="Z2" s="89"/>
    </row>
    <row r="3" spans="1:34" x14ac:dyDescent="0.25">
      <c r="A3" s="90" t="s">
        <v>1</v>
      </c>
      <c r="B3" s="90"/>
      <c r="C3" s="91">
        <v>43763</v>
      </c>
      <c r="D3" s="92" t="s">
        <v>2</v>
      </c>
      <c r="E3" s="93"/>
      <c r="F3" s="94"/>
      <c r="G3" s="90"/>
      <c r="H3" s="89"/>
      <c r="I3" s="90"/>
      <c r="J3" s="90"/>
      <c r="K3" s="90"/>
      <c r="L3" s="90"/>
      <c r="M3" s="89"/>
      <c r="N3" s="96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89"/>
    </row>
    <row r="4" spans="1:34" ht="15.75" thickBot="1" x14ac:dyDescent="0.3">
      <c r="A4" s="276"/>
      <c r="B4" s="276"/>
      <c r="C4" s="90"/>
      <c r="D4" s="97" t="s">
        <v>27</v>
      </c>
      <c r="E4" s="93"/>
      <c r="F4" s="94"/>
      <c r="G4" s="90"/>
      <c r="H4" s="89"/>
      <c r="I4" s="90"/>
      <c r="J4" s="90"/>
      <c r="K4" s="90"/>
      <c r="L4" s="90"/>
      <c r="M4" s="96"/>
      <c r="N4" s="96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89"/>
    </row>
    <row r="5" spans="1:34" s="1" customFormat="1" ht="14.45" customHeight="1" x14ac:dyDescent="0.25">
      <c r="A5" s="267" t="s">
        <v>4</v>
      </c>
      <c r="B5" s="269" t="s">
        <v>5</v>
      </c>
      <c r="C5" s="266" t="s">
        <v>6</v>
      </c>
      <c r="D5" s="272" t="s">
        <v>19</v>
      </c>
      <c r="E5" s="272" t="s">
        <v>7</v>
      </c>
      <c r="F5" s="274" t="s">
        <v>8</v>
      </c>
      <c r="G5" s="99" t="s">
        <v>20</v>
      </c>
      <c r="H5" s="266"/>
      <c r="I5" s="266"/>
      <c r="J5" s="266"/>
      <c r="K5" s="266"/>
      <c r="L5" s="266"/>
      <c r="M5" s="266"/>
      <c r="N5" s="286" t="s">
        <v>17</v>
      </c>
      <c r="O5" s="286" t="s">
        <v>23</v>
      </c>
      <c r="P5" s="293" t="s">
        <v>437</v>
      </c>
      <c r="Q5" s="294"/>
      <c r="R5" s="294"/>
      <c r="S5" s="294"/>
      <c r="T5" s="294"/>
      <c r="U5" s="294"/>
      <c r="V5" s="295"/>
      <c r="W5" s="291" t="s">
        <v>414</v>
      </c>
      <c r="X5" s="291" t="s">
        <v>415</v>
      </c>
      <c r="Y5" s="291" t="s">
        <v>438</v>
      </c>
      <c r="Z5" s="277" t="s">
        <v>24</v>
      </c>
      <c r="AB5" s="99" t="s">
        <v>20</v>
      </c>
      <c r="AC5" s="266"/>
      <c r="AD5" s="266"/>
      <c r="AE5" s="266"/>
      <c r="AF5" s="266"/>
      <c r="AG5" s="266"/>
      <c r="AH5" s="266"/>
    </row>
    <row r="6" spans="1:34" ht="13.9" customHeight="1" thickBot="1" x14ac:dyDescent="0.3">
      <c r="A6" s="268"/>
      <c r="B6" s="270"/>
      <c r="C6" s="271"/>
      <c r="D6" s="273"/>
      <c r="E6" s="273"/>
      <c r="F6" s="275"/>
      <c r="G6" s="169" t="s">
        <v>10</v>
      </c>
      <c r="H6" s="169" t="s">
        <v>11</v>
      </c>
      <c r="I6" s="169" t="s">
        <v>12</v>
      </c>
      <c r="J6" s="169" t="s">
        <v>13</v>
      </c>
      <c r="K6" s="169" t="s">
        <v>14</v>
      </c>
      <c r="L6" s="169" t="s">
        <v>15</v>
      </c>
      <c r="M6" s="169" t="s">
        <v>16</v>
      </c>
      <c r="N6" s="287"/>
      <c r="O6" s="287"/>
      <c r="P6" s="248" t="s">
        <v>10</v>
      </c>
      <c r="Q6" s="217" t="s">
        <v>11</v>
      </c>
      <c r="R6" s="248" t="s">
        <v>12</v>
      </c>
      <c r="S6" s="217" t="s">
        <v>13</v>
      </c>
      <c r="T6" s="248" t="s">
        <v>14</v>
      </c>
      <c r="U6" s="217" t="s">
        <v>15</v>
      </c>
      <c r="V6" s="248" t="s">
        <v>16</v>
      </c>
      <c r="W6" s="292"/>
      <c r="X6" s="292"/>
      <c r="Y6" s="292"/>
      <c r="Z6" s="278"/>
      <c r="AB6" s="169" t="s">
        <v>10</v>
      </c>
      <c r="AC6" s="169" t="s">
        <v>11</v>
      </c>
      <c r="AD6" s="169" t="s">
        <v>12</v>
      </c>
      <c r="AE6" s="169" t="s">
        <v>13</v>
      </c>
      <c r="AF6" s="169" t="s">
        <v>14</v>
      </c>
      <c r="AG6" s="169" t="s">
        <v>15</v>
      </c>
      <c r="AH6" s="169" t="s">
        <v>16</v>
      </c>
    </row>
    <row r="7" spans="1:34" ht="20.100000000000001" customHeight="1" x14ac:dyDescent="0.25">
      <c r="A7" s="108">
        <v>1</v>
      </c>
      <c r="B7" s="109">
        <v>0.30902777777777779</v>
      </c>
      <c r="C7" s="110" t="s">
        <v>36</v>
      </c>
      <c r="D7" s="5">
        <v>7</v>
      </c>
      <c r="E7" s="117">
        <v>2</v>
      </c>
      <c r="F7" s="118" t="s">
        <v>58</v>
      </c>
      <c r="G7" s="250">
        <f>AB7/1000</f>
        <v>4.25</v>
      </c>
      <c r="H7" s="250">
        <f t="shared" ref="H7:M7" si="0">AC7/1000</f>
        <v>11.06</v>
      </c>
      <c r="I7" s="250">
        <f t="shared" si="0"/>
        <v>0</v>
      </c>
      <c r="J7" s="250">
        <f t="shared" si="0"/>
        <v>0</v>
      </c>
      <c r="K7" s="250">
        <f t="shared" si="0"/>
        <v>0</v>
      </c>
      <c r="L7" s="250">
        <f t="shared" si="0"/>
        <v>0</v>
      </c>
      <c r="M7" s="250">
        <f t="shared" si="0"/>
        <v>0</v>
      </c>
      <c r="N7" s="171">
        <f>SUM(G7:M7)</f>
        <v>15.31</v>
      </c>
      <c r="O7" s="171">
        <f t="shared" ref="O7:O38" si="1">(N7/8.16)^4.5</f>
        <v>16.97393925989914</v>
      </c>
      <c r="P7" s="172">
        <v>8</v>
      </c>
      <c r="Q7" s="172">
        <v>10</v>
      </c>
      <c r="R7" s="172">
        <v>9</v>
      </c>
      <c r="S7" s="172">
        <v>9</v>
      </c>
      <c r="T7" s="172">
        <v>9</v>
      </c>
      <c r="U7" s="172">
        <v>9</v>
      </c>
      <c r="V7" s="172">
        <v>9</v>
      </c>
      <c r="W7" s="173" t="str">
        <f t="shared" ref="W7" si="2">IF(G7&gt;P7,"Y",IF(H7&gt;Q7,"Y",IF(I7&gt;R7,"Y",IF(J7&gt;S7,"Y",IF(K7&gt;T7,"Y",IF(L7&gt;U7,"Y",IF(M7&gt;V7,"Y","N")))))))</f>
        <v>Y</v>
      </c>
      <c r="X7" s="249">
        <f t="shared" ref="X7" si="3">IF(W7="Y",MAX((G7-P7),(H7-Q7),(I7-R7),(J7-S7),(K7-T7),(L7-U7),(M7-V7))/10,0)</f>
        <v>0.10600000000000005</v>
      </c>
      <c r="Y7" s="249" t="str">
        <f t="shared" ref="Y7" si="4">IF(X7&lt;5%,"0-4.9%",IF(X7&lt;25%,"5-25%",IF(X7&lt;50%,"25-50%","Over 50%")))</f>
        <v>5-25%</v>
      </c>
      <c r="Z7" s="116" t="s">
        <v>422</v>
      </c>
      <c r="AB7" s="113">
        <v>4250</v>
      </c>
      <c r="AC7" s="113">
        <v>11060</v>
      </c>
      <c r="AD7" s="113"/>
      <c r="AE7" s="113"/>
      <c r="AF7" s="113"/>
      <c r="AG7" s="113"/>
      <c r="AH7" s="113"/>
    </row>
    <row r="8" spans="1:34" ht="20.100000000000001" customHeight="1" x14ac:dyDescent="0.25">
      <c r="A8" s="108">
        <f t="shared" ref="A8:A46" si="5">A7+1</f>
        <v>2</v>
      </c>
      <c r="B8" s="109">
        <v>0.31805555555555554</v>
      </c>
      <c r="C8" s="110" t="s">
        <v>222</v>
      </c>
      <c r="D8" s="5">
        <v>7</v>
      </c>
      <c r="E8" s="117">
        <v>2</v>
      </c>
      <c r="F8" s="118" t="s">
        <v>58</v>
      </c>
      <c r="G8" s="250">
        <f t="shared" ref="G8:G71" si="6">AB8/1000</f>
        <v>1.5</v>
      </c>
      <c r="H8" s="250">
        <f t="shared" ref="H8:H71" si="7">AC8/1000</f>
        <v>3.4</v>
      </c>
      <c r="I8" s="250">
        <f t="shared" ref="I8:I71" si="8">AD8/1000</f>
        <v>0</v>
      </c>
      <c r="J8" s="250">
        <f t="shared" ref="J8:J71" si="9">AE8/1000</f>
        <v>0</v>
      </c>
      <c r="K8" s="250">
        <f t="shared" ref="K8:K71" si="10">AF8/1000</f>
        <v>0</v>
      </c>
      <c r="L8" s="250">
        <f t="shared" ref="L8:L71" si="11">AG8/1000</f>
        <v>0</v>
      </c>
      <c r="M8" s="250">
        <f t="shared" ref="M8:M71" si="12">AH8/1000</f>
        <v>0</v>
      </c>
      <c r="N8" s="171">
        <f t="shared" ref="N8:N71" si="13">SUM(G8:M8)</f>
        <v>4.9000000000000004</v>
      </c>
      <c r="O8" s="171">
        <f t="shared" si="1"/>
        <v>0.10075732890093157</v>
      </c>
      <c r="P8" s="172"/>
      <c r="Q8" s="172"/>
      <c r="R8" s="172"/>
      <c r="S8" s="172"/>
      <c r="T8" s="172"/>
      <c r="U8" s="172"/>
      <c r="V8" s="172"/>
      <c r="W8" s="172">
        <f>VLOOKUP(D8,KEY!$D$35:$E$44,2,FALSE)</f>
        <v>18</v>
      </c>
      <c r="X8" s="173" t="str">
        <f t="shared" ref="X8:X38" si="14">IF(N8&gt;W8,"Y","N")</f>
        <v>N</v>
      </c>
      <c r="Y8" s="174">
        <f t="shared" ref="Y8:Y38" si="15">IF(X8="Y",(N8-W8)/W8,0)</f>
        <v>0</v>
      </c>
      <c r="Z8" s="116" t="s">
        <v>369</v>
      </c>
      <c r="AB8" s="113">
        <v>1500</v>
      </c>
      <c r="AC8" s="113">
        <v>3400</v>
      </c>
      <c r="AD8" s="113"/>
      <c r="AE8" s="113"/>
      <c r="AF8" s="113"/>
      <c r="AG8" s="113"/>
      <c r="AH8" s="113"/>
    </row>
    <row r="9" spans="1:34" ht="20.100000000000001" customHeight="1" x14ac:dyDescent="0.25">
      <c r="A9" s="108">
        <f t="shared" si="5"/>
        <v>3</v>
      </c>
      <c r="B9" s="109">
        <v>0.3215277777777778</v>
      </c>
      <c r="C9" s="110" t="s">
        <v>340</v>
      </c>
      <c r="D9" s="5">
        <v>7</v>
      </c>
      <c r="E9" s="117">
        <v>2</v>
      </c>
      <c r="F9" s="118" t="s">
        <v>58</v>
      </c>
      <c r="G9" s="250">
        <f t="shared" si="6"/>
        <v>2</v>
      </c>
      <c r="H9" s="250">
        <f t="shared" si="7"/>
        <v>7.4</v>
      </c>
      <c r="I9" s="250">
        <f t="shared" si="8"/>
        <v>0</v>
      </c>
      <c r="J9" s="250">
        <f t="shared" si="9"/>
        <v>0</v>
      </c>
      <c r="K9" s="250">
        <f t="shared" si="10"/>
        <v>0</v>
      </c>
      <c r="L9" s="250">
        <f t="shared" si="11"/>
        <v>0</v>
      </c>
      <c r="M9" s="250">
        <f t="shared" si="12"/>
        <v>0</v>
      </c>
      <c r="N9" s="171">
        <f t="shared" si="13"/>
        <v>9.4</v>
      </c>
      <c r="O9" s="171">
        <f t="shared" si="1"/>
        <v>1.8900340435123808</v>
      </c>
      <c r="P9" s="172"/>
      <c r="Q9" s="172"/>
      <c r="R9" s="172"/>
      <c r="S9" s="172"/>
      <c r="T9" s="172"/>
      <c r="U9" s="172"/>
      <c r="V9" s="172"/>
      <c r="W9" s="172">
        <f>VLOOKUP(D9,KEY!$D$35:$E$44,2,FALSE)</f>
        <v>18</v>
      </c>
      <c r="X9" s="173" t="str">
        <f t="shared" si="14"/>
        <v>N</v>
      </c>
      <c r="Y9" s="174">
        <f t="shared" si="15"/>
        <v>0</v>
      </c>
      <c r="Z9" s="116" t="s">
        <v>369</v>
      </c>
      <c r="AB9" s="113">
        <v>2000</v>
      </c>
      <c r="AC9" s="113">
        <v>7400</v>
      </c>
      <c r="AD9" s="113"/>
      <c r="AE9" s="113"/>
      <c r="AF9" s="113"/>
      <c r="AG9" s="113"/>
      <c r="AH9" s="113"/>
    </row>
    <row r="10" spans="1:34" ht="20.100000000000001" customHeight="1" x14ac:dyDescent="0.25">
      <c r="A10" s="108">
        <f t="shared" si="5"/>
        <v>4</v>
      </c>
      <c r="B10" s="109">
        <v>0.32916666666666666</v>
      </c>
      <c r="C10" s="110" t="s">
        <v>334</v>
      </c>
      <c r="D10" s="5">
        <v>7</v>
      </c>
      <c r="E10" s="117">
        <v>2</v>
      </c>
      <c r="F10" s="118" t="s">
        <v>58</v>
      </c>
      <c r="G10" s="250">
        <f t="shared" si="6"/>
        <v>1.4</v>
      </c>
      <c r="H10" s="250">
        <f t="shared" si="7"/>
        <v>5.99</v>
      </c>
      <c r="I10" s="250">
        <f t="shared" si="8"/>
        <v>0</v>
      </c>
      <c r="J10" s="250">
        <f t="shared" si="9"/>
        <v>0</v>
      </c>
      <c r="K10" s="250">
        <f t="shared" si="10"/>
        <v>0</v>
      </c>
      <c r="L10" s="250">
        <f t="shared" si="11"/>
        <v>0</v>
      </c>
      <c r="M10" s="250">
        <f t="shared" si="12"/>
        <v>0</v>
      </c>
      <c r="N10" s="171">
        <f t="shared" si="13"/>
        <v>7.3900000000000006</v>
      </c>
      <c r="O10" s="171">
        <f t="shared" si="1"/>
        <v>0.64016843787758582</v>
      </c>
      <c r="P10" s="172"/>
      <c r="Q10" s="172"/>
      <c r="R10" s="172"/>
      <c r="S10" s="172"/>
      <c r="T10" s="172"/>
      <c r="U10" s="172"/>
      <c r="V10" s="172"/>
      <c r="W10" s="172">
        <f>VLOOKUP(D10,KEY!$D$35:$E$44,2,FALSE)</f>
        <v>18</v>
      </c>
      <c r="X10" s="173" t="str">
        <f t="shared" si="14"/>
        <v>N</v>
      </c>
      <c r="Y10" s="174">
        <f t="shared" si="15"/>
        <v>0</v>
      </c>
      <c r="Z10" s="116" t="s">
        <v>432</v>
      </c>
      <c r="AB10" s="113">
        <v>1400</v>
      </c>
      <c r="AC10" s="113">
        <v>5990</v>
      </c>
      <c r="AD10" s="113"/>
      <c r="AE10" s="113"/>
      <c r="AF10" s="113"/>
      <c r="AG10" s="113"/>
      <c r="AH10" s="113"/>
    </row>
    <row r="11" spans="1:34" ht="20.100000000000001" customHeight="1" x14ac:dyDescent="0.25">
      <c r="A11" s="108">
        <f t="shared" si="5"/>
        <v>5</v>
      </c>
      <c r="B11" s="109">
        <v>0.31180555555555556</v>
      </c>
      <c r="C11" s="121" t="s">
        <v>143</v>
      </c>
      <c r="D11" s="5">
        <v>7</v>
      </c>
      <c r="E11" s="117">
        <v>2</v>
      </c>
      <c r="F11" s="118" t="s">
        <v>58</v>
      </c>
      <c r="G11" s="250">
        <f t="shared" si="6"/>
        <v>2.86</v>
      </c>
      <c r="H11" s="250">
        <f t="shared" si="7"/>
        <v>7.92</v>
      </c>
      <c r="I11" s="250">
        <f t="shared" si="8"/>
        <v>0</v>
      </c>
      <c r="J11" s="250">
        <f t="shared" si="9"/>
        <v>0</v>
      </c>
      <c r="K11" s="250">
        <f t="shared" si="10"/>
        <v>0</v>
      </c>
      <c r="L11" s="250">
        <f t="shared" si="11"/>
        <v>0</v>
      </c>
      <c r="M11" s="250">
        <f t="shared" si="12"/>
        <v>0</v>
      </c>
      <c r="N11" s="171">
        <f t="shared" si="13"/>
        <v>10.78</v>
      </c>
      <c r="O11" s="171">
        <f t="shared" si="1"/>
        <v>3.5008919688564117</v>
      </c>
      <c r="P11" s="172"/>
      <c r="Q11" s="172"/>
      <c r="R11" s="172"/>
      <c r="S11" s="172"/>
      <c r="T11" s="172"/>
      <c r="U11" s="172"/>
      <c r="V11" s="172"/>
      <c r="W11" s="172">
        <f>VLOOKUP(D11,KEY!$D$35:$E$44,2,FALSE)</f>
        <v>18</v>
      </c>
      <c r="X11" s="173" t="str">
        <f t="shared" si="14"/>
        <v>N</v>
      </c>
      <c r="Y11" s="174">
        <f t="shared" si="15"/>
        <v>0</v>
      </c>
      <c r="Z11" s="116" t="s">
        <v>436</v>
      </c>
      <c r="AB11" s="113">
        <v>2860</v>
      </c>
      <c r="AC11" s="113">
        <v>7920</v>
      </c>
      <c r="AD11" s="113"/>
      <c r="AE11" s="113"/>
      <c r="AF11" s="113"/>
      <c r="AG11" s="113"/>
      <c r="AH11" s="113"/>
    </row>
    <row r="12" spans="1:34" ht="20.100000000000001" customHeight="1" x14ac:dyDescent="0.25">
      <c r="A12" s="108">
        <f t="shared" si="5"/>
        <v>6</v>
      </c>
      <c r="B12" s="109">
        <v>0.37986111111111115</v>
      </c>
      <c r="C12" s="121" t="s">
        <v>153</v>
      </c>
      <c r="D12" s="5">
        <v>7</v>
      </c>
      <c r="E12" s="117">
        <v>2</v>
      </c>
      <c r="F12" s="118" t="s">
        <v>58</v>
      </c>
      <c r="G12" s="250">
        <f t="shared" si="6"/>
        <v>2</v>
      </c>
      <c r="H12" s="250">
        <f t="shared" si="7"/>
        <v>4.91</v>
      </c>
      <c r="I12" s="250">
        <f t="shared" si="8"/>
        <v>0</v>
      </c>
      <c r="J12" s="250">
        <f t="shared" si="9"/>
        <v>0</v>
      </c>
      <c r="K12" s="250">
        <f t="shared" si="10"/>
        <v>0</v>
      </c>
      <c r="L12" s="250">
        <f t="shared" si="11"/>
        <v>0</v>
      </c>
      <c r="M12" s="250">
        <f t="shared" si="12"/>
        <v>0</v>
      </c>
      <c r="N12" s="171">
        <f t="shared" si="13"/>
        <v>6.91</v>
      </c>
      <c r="O12" s="171">
        <f t="shared" si="1"/>
        <v>0.47320083117366157</v>
      </c>
      <c r="P12" s="172"/>
      <c r="Q12" s="172"/>
      <c r="R12" s="172"/>
      <c r="S12" s="172"/>
      <c r="T12" s="172"/>
      <c r="U12" s="172"/>
      <c r="V12" s="172"/>
      <c r="W12" s="172">
        <f>VLOOKUP(D12,KEY!$D$35:$E$44,2,FALSE)</f>
        <v>18</v>
      </c>
      <c r="X12" s="173" t="str">
        <f t="shared" si="14"/>
        <v>N</v>
      </c>
      <c r="Y12" s="174">
        <f t="shared" si="15"/>
        <v>0</v>
      </c>
      <c r="Z12" s="116" t="s">
        <v>430</v>
      </c>
      <c r="AB12" s="113">
        <v>2000</v>
      </c>
      <c r="AC12" s="113">
        <v>4910</v>
      </c>
      <c r="AD12" s="113"/>
      <c r="AE12" s="113"/>
      <c r="AF12" s="113"/>
      <c r="AG12" s="113"/>
      <c r="AH12" s="113"/>
    </row>
    <row r="13" spans="1:34" ht="20.100000000000001" customHeight="1" x14ac:dyDescent="0.25">
      <c r="A13" s="108">
        <f t="shared" si="5"/>
        <v>7</v>
      </c>
      <c r="B13" s="109">
        <v>0.38263888888888892</v>
      </c>
      <c r="C13" s="121" t="s">
        <v>155</v>
      </c>
      <c r="D13" s="5">
        <v>7</v>
      </c>
      <c r="E13" s="117">
        <v>2</v>
      </c>
      <c r="F13" s="118" t="s">
        <v>58</v>
      </c>
      <c r="G13" s="250">
        <f t="shared" si="6"/>
        <v>1.5</v>
      </c>
      <c r="H13" s="250">
        <f t="shared" si="7"/>
        <v>1.64</v>
      </c>
      <c r="I13" s="250">
        <f t="shared" si="8"/>
        <v>0</v>
      </c>
      <c r="J13" s="250">
        <f t="shared" si="9"/>
        <v>0</v>
      </c>
      <c r="K13" s="250">
        <f t="shared" si="10"/>
        <v>0</v>
      </c>
      <c r="L13" s="250">
        <f t="shared" si="11"/>
        <v>0</v>
      </c>
      <c r="M13" s="250">
        <f t="shared" si="12"/>
        <v>0</v>
      </c>
      <c r="N13" s="171">
        <f t="shared" si="13"/>
        <v>3.1399999999999997</v>
      </c>
      <c r="O13" s="171">
        <f t="shared" si="1"/>
        <v>1.360121488090664E-2</v>
      </c>
      <c r="P13" s="172"/>
      <c r="Q13" s="172"/>
      <c r="R13" s="172"/>
      <c r="S13" s="172"/>
      <c r="T13" s="172"/>
      <c r="U13" s="172"/>
      <c r="V13" s="172"/>
      <c r="W13" s="172">
        <f>VLOOKUP(D13,KEY!$D$35:$E$44,2,FALSE)</f>
        <v>18</v>
      </c>
      <c r="X13" s="173" t="str">
        <f t="shared" si="14"/>
        <v>N</v>
      </c>
      <c r="Y13" s="174">
        <f t="shared" si="15"/>
        <v>0</v>
      </c>
      <c r="Z13" s="116" t="s">
        <v>369</v>
      </c>
      <c r="AB13" s="113">
        <v>1500</v>
      </c>
      <c r="AC13" s="113">
        <v>1640</v>
      </c>
      <c r="AD13" s="113"/>
      <c r="AE13" s="113"/>
      <c r="AF13" s="113"/>
      <c r="AG13" s="113"/>
      <c r="AH13" s="113"/>
    </row>
    <row r="14" spans="1:34" ht="20.100000000000001" customHeight="1" x14ac:dyDescent="0.25">
      <c r="A14" s="108">
        <f t="shared" si="5"/>
        <v>8</v>
      </c>
      <c r="B14" s="109">
        <v>0.3888888888888889</v>
      </c>
      <c r="C14" s="121" t="s">
        <v>159</v>
      </c>
      <c r="D14" s="5">
        <v>7</v>
      </c>
      <c r="E14" s="117">
        <v>2</v>
      </c>
      <c r="F14" s="118" t="s">
        <v>58</v>
      </c>
      <c r="G14" s="250">
        <f t="shared" si="6"/>
        <v>1.1000000000000001</v>
      </c>
      <c r="H14" s="250">
        <f t="shared" si="7"/>
        <v>2.62</v>
      </c>
      <c r="I14" s="250">
        <f t="shared" si="8"/>
        <v>0</v>
      </c>
      <c r="J14" s="250">
        <f t="shared" si="9"/>
        <v>0</v>
      </c>
      <c r="K14" s="250">
        <f t="shared" si="10"/>
        <v>0</v>
      </c>
      <c r="L14" s="250">
        <f t="shared" si="11"/>
        <v>0</v>
      </c>
      <c r="M14" s="250">
        <f t="shared" si="12"/>
        <v>0</v>
      </c>
      <c r="N14" s="171">
        <f t="shared" si="13"/>
        <v>3.72</v>
      </c>
      <c r="O14" s="171">
        <f t="shared" si="1"/>
        <v>2.916335705546182E-2</v>
      </c>
      <c r="P14" s="172"/>
      <c r="Q14" s="172"/>
      <c r="R14" s="172"/>
      <c r="S14" s="172"/>
      <c r="T14" s="172"/>
      <c r="U14" s="172"/>
      <c r="V14" s="172"/>
      <c r="W14" s="172">
        <f>VLOOKUP(D14,KEY!$D$35:$E$44,2,FALSE)</f>
        <v>18</v>
      </c>
      <c r="X14" s="173" t="str">
        <f t="shared" si="14"/>
        <v>N</v>
      </c>
      <c r="Y14" s="174">
        <f t="shared" si="15"/>
        <v>0</v>
      </c>
      <c r="Z14" s="116" t="s">
        <v>430</v>
      </c>
      <c r="AB14" s="113">
        <v>1100</v>
      </c>
      <c r="AC14" s="113">
        <v>2620</v>
      </c>
      <c r="AD14" s="113"/>
      <c r="AE14" s="113"/>
      <c r="AF14" s="113"/>
      <c r="AG14" s="113"/>
      <c r="AH14" s="113"/>
    </row>
    <row r="15" spans="1:34" ht="20.100000000000001" customHeight="1" x14ac:dyDescent="0.25">
      <c r="A15" s="108">
        <f t="shared" si="5"/>
        <v>9</v>
      </c>
      <c r="B15" s="109">
        <v>0.3923611111111111</v>
      </c>
      <c r="C15" s="121" t="s">
        <v>162</v>
      </c>
      <c r="D15" s="5">
        <v>7</v>
      </c>
      <c r="E15" s="117">
        <v>2</v>
      </c>
      <c r="F15" s="118" t="s">
        <v>58</v>
      </c>
      <c r="G15" s="250">
        <f t="shared" si="6"/>
        <v>1.7</v>
      </c>
      <c r="H15" s="250">
        <f t="shared" si="7"/>
        <v>12.45</v>
      </c>
      <c r="I15" s="250">
        <f t="shared" si="8"/>
        <v>0</v>
      </c>
      <c r="J15" s="250">
        <f t="shared" si="9"/>
        <v>0</v>
      </c>
      <c r="K15" s="250">
        <f t="shared" si="10"/>
        <v>0</v>
      </c>
      <c r="L15" s="250">
        <f t="shared" si="11"/>
        <v>0</v>
      </c>
      <c r="M15" s="250">
        <f t="shared" si="12"/>
        <v>0</v>
      </c>
      <c r="N15" s="171">
        <f t="shared" si="13"/>
        <v>14.149999999999999</v>
      </c>
      <c r="O15" s="171">
        <f t="shared" si="1"/>
        <v>11.906887902558417</v>
      </c>
      <c r="P15" s="172"/>
      <c r="Q15" s="172"/>
      <c r="R15" s="172"/>
      <c r="S15" s="172"/>
      <c r="T15" s="172"/>
      <c r="U15" s="172"/>
      <c r="V15" s="172"/>
      <c r="W15" s="172">
        <f>VLOOKUP(D15,KEY!$D$35:$E$44,2,FALSE)</f>
        <v>18</v>
      </c>
      <c r="X15" s="173" t="str">
        <f t="shared" si="14"/>
        <v>N</v>
      </c>
      <c r="Y15" s="174">
        <f t="shared" si="15"/>
        <v>0</v>
      </c>
      <c r="Z15" s="116" t="s">
        <v>428</v>
      </c>
      <c r="AB15" s="113">
        <v>1700</v>
      </c>
      <c r="AC15" s="113">
        <v>12450</v>
      </c>
      <c r="AD15" s="113"/>
      <c r="AE15" s="113"/>
      <c r="AF15" s="113"/>
      <c r="AG15" s="113"/>
      <c r="AH15" s="113"/>
    </row>
    <row r="16" spans="1:34" ht="20.100000000000001" customHeight="1" x14ac:dyDescent="0.25">
      <c r="A16" s="108">
        <f t="shared" si="5"/>
        <v>10</v>
      </c>
      <c r="B16" s="109">
        <v>0.39444444444444443</v>
      </c>
      <c r="C16" s="121" t="s">
        <v>163</v>
      </c>
      <c r="D16" s="5">
        <v>7</v>
      </c>
      <c r="E16" s="117">
        <v>2</v>
      </c>
      <c r="F16" s="118" t="s">
        <v>58</v>
      </c>
      <c r="G16" s="250">
        <f t="shared" si="6"/>
        <v>0.95</v>
      </c>
      <c r="H16" s="250">
        <f t="shared" si="7"/>
        <v>3.74</v>
      </c>
      <c r="I16" s="250">
        <f t="shared" si="8"/>
        <v>0</v>
      </c>
      <c r="J16" s="250">
        <f t="shared" si="9"/>
        <v>0</v>
      </c>
      <c r="K16" s="250">
        <f t="shared" si="10"/>
        <v>0</v>
      </c>
      <c r="L16" s="250">
        <f t="shared" si="11"/>
        <v>0</v>
      </c>
      <c r="M16" s="250">
        <f t="shared" si="12"/>
        <v>0</v>
      </c>
      <c r="N16" s="171">
        <f t="shared" si="13"/>
        <v>4.6900000000000004</v>
      </c>
      <c r="O16" s="171">
        <f t="shared" si="1"/>
        <v>8.2731724644770022E-2</v>
      </c>
      <c r="P16" s="172"/>
      <c r="Q16" s="172"/>
      <c r="R16" s="172"/>
      <c r="S16" s="172"/>
      <c r="T16" s="172"/>
      <c r="U16" s="172"/>
      <c r="V16" s="172"/>
      <c r="W16" s="172">
        <f>VLOOKUP(D16,KEY!$D$35:$E$44,2,FALSE)</f>
        <v>18</v>
      </c>
      <c r="X16" s="173" t="str">
        <f t="shared" si="14"/>
        <v>N</v>
      </c>
      <c r="Y16" s="174">
        <f t="shared" si="15"/>
        <v>0</v>
      </c>
      <c r="Z16" s="116" t="s">
        <v>424</v>
      </c>
      <c r="AB16" s="113">
        <v>950</v>
      </c>
      <c r="AC16" s="113">
        <v>3740</v>
      </c>
      <c r="AD16" s="113"/>
      <c r="AE16" s="113"/>
      <c r="AF16" s="113"/>
      <c r="AG16" s="113"/>
      <c r="AH16" s="113"/>
    </row>
    <row r="17" spans="1:34" ht="20.100000000000001" customHeight="1" x14ac:dyDescent="0.25">
      <c r="A17" s="108">
        <f t="shared" si="5"/>
        <v>11</v>
      </c>
      <c r="B17" s="109">
        <v>0.44930555555555557</v>
      </c>
      <c r="C17" s="121" t="s">
        <v>201</v>
      </c>
      <c r="D17" s="5">
        <v>7</v>
      </c>
      <c r="E17" s="111">
        <v>2</v>
      </c>
      <c r="F17" s="118" t="s">
        <v>58</v>
      </c>
      <c r="G17" s="250">
        <f t="shared" si="6"/>
        <v>2.8</v>
      </c>
      <c r="H17" s="250">
        <f t="shared" si="7"/>
        <v>8.36</v>
      </c>
      <c r="I17" s="250">
        <f t="shared" si="8"/>
        <v>0</v>
      </c>
      <c r="J17" s="250">
        <f t="shared" si="9"/>
        <v>0</v>
      </c>
      <c r="K17" s="250">
        <f t="shared" si="10"/>
        <v>0</v>
      </c>
      <c r="L17" s="250">
        <f t="shared" si="11"/>
        <v>0</v>
      </c>
      <c r="M17" s="250">
        <f t="shared" si="12"/>
        <v>0</v>
      </c>
      <c r="N17" s="171">
        <f t="shared" si="13"/>
        <v>11.16</v>
      </c>
      <c r="O17" s="171">
        <f t="shared" si="1"/>
        <v>4.091505707285906</v>
      </c>
      <c r="P17" s="172"/>
      <c r="Q17" s="172"/>
      <c r="R17" s="172"/>
      <c r="S17" s="172"/>
      <c r="T17" s="172"/>
      <c r="U17" s="172"/>
      <c r="V17" s="172"/>
      <c r="W17" s="172">
        <f>VLOOKUP(D17,KEY!$D$35:$E$44,2,FALSE)</f>
        <v>18</v>
      </c>
      <c r="X17" s="173" t="str">
        <f t="shared" si="14"/>
        <v>N</v>
      </c>
      <c r="Y17" s="174">
        <f t="shared" si="15"/>
        <v>0</v>
      </c>
      <c r="Z17" s="116" t="s">
        <v>424</v>
      </c>
      <c r="AB17" s="113">
        <v>2800</v>
      </c>
      <c r="AC17" s="113">
        <v>8360</v>
      </c>
      <c r="AD17" s="113"/>
      <c r="AE17" s="113"/>
      <c r="AF17" s="113"/>
      <c r="AG17" s="113"/>
      <c r="AH17" s="113"/>
    </row>
    <row r="18" spans="1:34" ht="20.100000000000001" customHeight="1" x14ac:dyDescent="0.25">
      <c r="A18" s="108">
        <f t="shared" si="5"/>
        <v>12</v>
      </c>
      <c r="B18" s="109">
        <v>0.45069444444444445</v>
      </c>
      <c r="C18" s="121" t="s">
        <v>96</v>
      </c>
      <c r="D18" s="5">
        <v>7</v>
      </c>
      <c r="E18" s="111">
        <v>2</v>
      </c>
      <c r="F18" s="118" t="s">
        <v>58</v>
      </c>
      <c r="G18" s="250">
        <f t="shared" si="6"/>
        <v>2.2000000000000002</v>
      </c>
      <c r="H18" s="250">
        <f t="shared" si="7"/>
        <v>7.36</v>
      </c>
      <c r="I18" s="250">
        <f t="shared" si="8"/>
        <v>0</v>
      </c>
      <c r="J18" s="250">
        <f t="shared" si="9"/>
        <v>0</v>
      </c>
      <c r="K18" s="250">
        <f t="shared" si="10"/>
        <v>0</v>
      </c>
      <c r="L18" s="250">
        <f t="shared" si="11"/>
        <v>0</v>
      </c>
      <c r="M18" s="250">
        <f t="shared" si="12"/>
        <v>0</v>
      </c>
      <c r="N18" s="171">
        <f t="shared" si="13"/>
        <v>9.56</v>
      </c>
      <c r="O18" s="171">
        <f t="shared" si="1"/>
        <v>2.0391764215050991</v>
      </c>
      <c r="P18" s="172"/>
      <c r="Q18" s="172"/>
      <c r="R18" s="172"/>
      <c r="S18" s="172"/>
      <c r="T18" s="172"/>
      <c r="U18" s="172"/>
      <c r="V18" s="172"/>
      <c r="W18" s="172">
        <f>VLOOKUP(D18,KEY!$D$35:$E$44,2,FALSE)</f>
        <v>18</v>
      </c>
      <c r="X18" s="173" t="str">
        <f t="shared" si="14"/>
        <v>N</v>
      </c>
      <c r="Y18" s="174">
        <f t="shared" si="15"/>
        <v>0</v>
      </c>
      <c r="Z18" s="116" t="s">
        <v>436</v>
      </c>
      <c r="AB18" s="113">
        <v>2200</v>
      </c>
      <c r="AC18" s="113">
        <v>7360</v>
      </c>
      <c r="AD18" s="113"/>
      <c r="AE18" s="113"/>
      <c r="AF18" s="113"/>
      <c r="AG18" s="113"/>
      <c r="AH18" s="113"/>
    </row>
    <row r="19" spans="1:34" ht="20.100000000000001" customHeight="1" x14ac:dyDescent="0.25">
      <c r="A19" s="108">
        <f t="shared" si="5"/>
        <v>13</v>
      </c>
      <c r="B19" s="109">
        <v>0.45208333333333334</v>
      </c>
      <c r="C19" s="121" t="s">
        <v>203</v>
      </c>
      <c r="D19" s="5">
        <v>7</v>
      </c>
      <c r="E19" s="111">
        <v>2</v>
      </c>
      <c r="F19" s="118" t="s">
        <v>58</v>
      </c>
      <c r="G19" s="250">
        <f t="shared" si="6"/>
        <v>0.95</v>
      </c>
      <c r="H19" s="250">
        <f t="shared" si="7"/>
        <v>3.35</v>
      </c>
      <c r="I19" s="250">
        <f t="shared" si="8"/>
        <v>0</v>
      </c>
      <c r="J19" s="250">
        <f t="shared" si="9"/>
        <v>0</v>
      </c>
      <c r="K19" s="250">
        <f t="shared" si="10"/>
        <v>0</v>
      </c>
      <c r="L19" s="250">
        <f t="shared" si="11"/>
        <v>0</v>
      </c>
      <c r="M19" s="250">
        <f t="shared" si="12"/>
        <v>0</v>
      </c>
      <c r="N19" s="171">
        <f t="shared" si="13"/>
        <v>4.3</v>
      </c>
      <c r="O19" s="171">
        <f t="shared" si="1"/>
        <v>5.597606119827498E-2</v>
      </c>
      <c r="P19" s="172"/>
      <c r="Q19" s="172"/>
      <c r="R19" s="172"/>
      <c r="S19" s="172"/>
      <c r="T19" s="172"/>
      <c r="U19" s="172"/>
      <c r="V19" s="172"/>
      <c r="W19" s="172">
        <f>VLOOKUP(D19,KEY!$D$35:$E$44,2,FALSE)</f>
        <v>18</v>
      </c>
      <c r="X19" s="173" t="str">
        <f t="shared" si="14"/>
        <v>N</v>
      </c>
      <c r="Y19" s="174">
        <f t="shared" si="15"/>
        <v>0</v>
      </c>
      <c r="Z19" s="116" t="s">
        <v>436</v>
      </c>
      <c r="AB19" s="113">
        <v>950</v>
      </c>
      <c r="AC19" s="113">
        <v>3350</v>
      </c>
      <c r="AD19" s="113"/>
      <c r="AE19" s="113"/>
      <c r="AF19" s="113"/>
      <c r="AG19" s="113"/>
      <c r="AH19" s="113"/>
    </row>
    <row r="20" spans="1:34" ht="20.100000000000001" customHeight="1" x14ac:dyDescent="0.25">
      <c r="A20" s="108">
        <f t="shared" si="5"/>
        <v>14</v>
      </c>
      <c r="B20" s="109">
        <v>0.45277777777777778</v>
      </c>
      <c r="C20" s="121" t="s">
        <v>204</v>
      </c>
      <c r="D20" s="5">
        <v>7</v>
      </c>
      <c r="E20" s="111">
        <v>2</v>
      </c>
      <c r="F20" s="118" t="s">
        <v>58</v>
      </c>
      <c r="G20" s="250">
        <f t="shared" si="6"/>
        <v>2</v>
      </c>
      <c r="H20" s="250">
        <f t="shared" si="7"/>
        <v>9.1199999999999992</v>
      </c>
      <c r="I20" s="250">
        <f t="shared" si="8"/>
        <v>0</v>
      </c>
      <c r="J20" s="250">
        <f t="shared" si="9"/>
        <v>0</v>
      </c>
      <c r="K20" s="250">
        <f t="shared" si="10"/>
        <v>0</v>
      </c>
      <c r="L20" s="250">
        <f t="shared" si="11"/>
        <v>0</v>
      </c>
      <c r="M20" s="250">
        <f t="shared" si="12"/>
        <v>0</v>
      </c>
      <c r="N20" s="171">
        <f t="shared" si="13"/>
        <v>11.12</v>
      </c>
      <c r="O20" s="171">
        <f t="shared" si="1"/>
        <v>4.0259263735527826</v>
      </c>
      <c r="P20" s="172"/>
      <c r="Q20" s="172"/>
      <c r="R20" s="172"/>
      <c r="S20" s="172"/>
      <c r="T20" s="172"/>
      <c r="U20" s="172"/>
      <c r="V20" s="172"/>
      <c r="W20" s="172">
        <f>VLOOKUP(D20,KEY!$D$35:$E$44,2,FALSE)</f>
        <v>18</v>
      </c>
      <c r="X20" s="173" t="str">
        <f t="shared" si="14"/>
        <v>N</v>
      </c>
      <c r="Y20" s="174">
        <f t="shared" si="15"/>
        <v>0</v>
      </c>
      <c r="Z20" s="116" t="s">
        <v>436</v>
      </c>
      <c r="AB20" s="113">
        <v>2000</v>
      </c>
      <c r="AC20" s="113">
        <v>9120</v>
      </c>
      <c r="AD20" s="113"/>
      <c r="AE20" s="113"/>
      <c r="AF20" s="113"/>
      <c r="AG20" s="113"/>
      <c r="AH20" s="113"/>
    </row>
    <row r="21" spans="1:34" ht="20.100000000000001" customHeight="1" x14ac:dyDescent="0.25">
      <c r="A21" s="108">
        <f t="shared" si="5"/>
        <v>15</v>
      </c>
      <c r="B21" s="109">
        <v>0.45416666666666666</v>
      </c>
      <c r="C21" s="121" t="s">
        <v>206</v>
      </c>
      <c r="D21" s="5">
        <v>7</v>
      </c>
      <c r="E21" s="111">
        <v>2</v>
      </c>
      <c r="F21" s="118" t="s">
        <v>58</v>
      </c>
      <c r="G21" s="250">
        <f t="shared" si="6"/>
        <v>1.1499999999999999</v>
      </c>
      <c r="H21" s="250">
        <f t="shared" si="7"/>
        <v>2.72</v>
      </c>
      <c r="I21" s="250">
        <f t="shared" si="8"/>
        <v>0</v>
      </c>
      <c r="J21" s="250">
        <f t="shared" si="9"/>
        <v>0</v>
      </c>
      <c r="K21" s="250">
        <f t="shared" si="10"/>
        <v>0</v>
      </c>
      <c r="L21" s="250">
        <f t="shared" si="11"/>
        <v>0</v>
      </c>
      <c r="M21" s="250">
        <f t="shared" si="12"/>
        <v>0</v>
      </c>
      <c r="N21" s="171">
        <f t="shared" si="13"/>
        <v>3.87</v>
      </c>
      <c r="O21" s="171">
        <f t="shared" si="1"/>
        <v>3.4841242008678677E-2</v>
      </c>
      <c r="P21" s="172"/>
      <c r="Q21" s="172"/>
      <c r="R21" s="172"/>
      <c r="S21" s="172"/>
      <c r="T21" s="172"/>
      <c r="U21" s="172"/>
      <c r="V21" s="172"/>
      <c r="W21" s="172">
        <f>VLOOKUP(D21,KEY!$D$35:$E$44,2,FALSE)</f>
        <v>18</v>
      </c>
      <c r="X21" s="173" t="str">
        <f t="shared" si="14"/>
        <v>N</v>
      </c>
      <c r="Y21" s="174">
        <f t="shared" si="15"/>
        <v>0</v>
      </c>
      <c r="Z21" s="116" t="s">
        <v>369</v>
      </c>
      <c r="AB21" s="113">
        <v>1150</v>
      </c>
      <c r="AC21" s="113">
        <v>2720</v>
      </c>
      <c r="AD21" s="113"/>
      <c r="AE21" s="113"/>
      <c r="AF21" s="113"/>
      <c r="AG21" s="113"/>
      <c r="AH21" s="113"/>
    </row>
    <row r="22" spans="1:34" ht="20.100000000000001" customHeight="1" x14ac:dyDescent="0.25">
      <c r="A22" s="108">
        <f t="shared" si="5"/>
        <v>16</v>
      </c>
      <c r="B22" s="120">
        <v>0.45833333333333331</v>
      </c>
      <c r="C22" s="121" t="s">
        <v>210</v>
      </c>
      <c r="D22" s="5">
        <v>7</v>
      </c>
      <c r="E22" s="111">
        <v>2</v>
      </c>
      <c r="F22" s="118" t="s">
        <v>58</v>
      </c>
      <c r="G22" s="250">
        <f t="shared" si="6"/>
        <v>1.1000000000000001</v>
      </c>
      <c r="H22" s="250">
        <f t="shared" si="7"/>
        <v>2.41</v>
      </c>
      <c r="I22" s="250">
        <f t="shared" si="8"/>
        <v>0</v>
      </c>
      <c r="J22" s="250">
        <f t="shared" si="9"/>
        <v>0</v>
      </c>
      <c r="K22" s="250">
        <f t="shared" si="10"/>
        <v>0</v>
      </c>
      <c r="L22" s="250">
        <f t="shared" si="11"/>
        <v>0</v>
      </c>
      <c r="M22" s="250">
        <f t="shared" si="12"/>
        <v>0</v>
      </c>
      <c r="N22" s="171">
        <f t="shared" si="13"/>
        <v>3.5100000000000002</v>
      </c>
      <c r="O22" s="171">
        <f t="shared" si="1"/>
        <v>2.2453099954017786E-2</v>
      </c>
      <c r="P22" s="172"/>
      <c r="Q22" s="172"/>
      <c r="R22" s="172"/>
      <c r="S22" s="172"/>
      <c r="T22" s="172"/>
      <c r="U22" s="172"/>
      <c r="V22" s="172"/>
      <c r="W22" s="172">
        <f>VLOOKUP(D22,KEY!$D$35:$E$44,2,FALSE)</f>
        <v>18</v>
      </c>
      <c r="X22" s="173" t="str">
        <f t="shared" si="14"/>
        <v>N</v>
      </c>
      <c r="Y22" s="174">
        <f t="shared" si="15"/>
        <v>0</v>
      </c>
      <c r="Z22" s="116" t="s">
        <v>369</v>
      </c>
      <c r="AB22" s="113">
        <v>1100</v>
      </c>
      <c r="AC22" s="113">
        <v>2410</v>
      </c>
      <c r="AD22" s="113"/>
      <c r="AE22" s="113"/>
      <c r="AF22" s="113"/>
      <c r="AG22" s="113"/>
      <c r="AH22" s="113"/>
    </row>
    <row r="23" spans="1:34" ht="20.100000000000001" customHeight="1" x14ac:dyDescent="0.25">
      <c r="A23" s="108">
        <f t="shared" si="5"/>
        <v>17</v>
      </c>
      <c r="B23" s="109">
        <v>0.46249999999999997</v>
      </c>
      <c r="C23" s="121" t="s">
        <v>211</v>
      </c>
      <c r="D23" s="5">
        <v>7</v>
      </c>
      <c r="E23" s="111">
        <v>2</v>
      </c>
      <c r="F23" s="118" t="s">
        <v>58</v>
      </c>
      <c r="G23" s="250">
        <f t="shared" si="6"/>
        <v>1.35</v>
      </c>
      <c r="H23" s="250">
        <f t="shared" si="7"/>
        <v>4.4400000000000004</v>
      </c>
      <c r="I23" s="250">
        <f t="shared" si="8"/>
        <v>0</v>
      </c>
      <c r="J23" s="250">
        <f t="shared" si="9"/>
        <v>0</v>
      </c>
      <c r="K23" s="250">
        <f t="shared" si="10"/>
        <v>0</v>
      </c>
      <c r="L23" s="250">
        <f t="shared" si="11"/>
        <v>0</v>
      </c>
      <c r="M23" s="250">
        <f t="shared" si="12"/>
        <v>0</v>
      </c>
      <c r="N23" s="171">
        <f t="shared" si="13"/>
        <v>5.7900000000000009</v>
      </c>
      <c r="O23" s="171">
        <f t="shared" si="1"/>
        <v>0.21352455349618787</v>
      </c>
      <c r="P23" s="172"/>
      <c r="Q23" s="172"/>
      <c r="R23" s="172"/>
      <c r="S23" s="172"/>
      <c r="T23" s="172"/>
      <c r="U23" s="172"/>
      <c r="V23" s="172"/>
      <c r="W23" s="172">
        <f>VLOOKUP(D23,KEY!$D$35:$E$44,2,FALSE)</f>
        <v>18</v>
      </c>
      <c r="X23" s="173" t="str">
        <f t="shared" si="14"/>
        <v>N</v>
      </c>
      <c r="Y23" s="174">
        <f t="shared" si="15"/>
        <v>0</v>
      </c>
      <c r="Z23" s="116" t="s">
        <v>422</v>
      </c>
      <c r="AB23" s="113">
        <v>1350</v>
      </c>
      <c r="AC23" s="113">
        <v>4440</v>
      </c>
      <c r="AD23" s="113"/>
      <c r="AE23" s="113"/>
      <c r="AF23" s="113"/>
      <c r="AG23" s="113"/>
      <c r="AH23" s="113"/>
    </row>
    <row r="24" spans="1:34" ht="20.100000000000001" customHeight="1" x14ac:dyDescent="0.25">
      <c r="A24" s="108">
        <f t="shared" si="5"/>
        <v>18</v>
      </c>
      <c r="B24" s="109">
        <v>0.46666666666666662</v>
      </c>
      <c r="C24" s="121" t="s">
        <v>216</v>
      </c>
      <c r="D24" s="5">
        <v>7</v>
      </c>
      <c r="E24" s="111">
        <v>2</v>
      </c>
      <c r="F24" s="118" t="s">
        <v>58</v>
      </c>
      <c r="G24" s="250">
        <f t="shared" si="6"/>
        <v>1.1499999999999999</v>
      </c>
      <c r="H24" s="250">
        <f t="shared" si="7"/>
        <v>2.71</v>
      </c>
      <c r="I24" s="250">
        <f t="shared" si="8"/>
        <v>0</v>
      </c>
      <c r="J24" s="250">
        <f t="shared" si="9"/>
        <v>0</v>
      </c>
      <c r="K24" s="250">
        <f t="shared" si="10"/>
        <v>0</v>
      </c>
      <c r="L24" s="250">
        <f t="shared" si="11"/>
        <v>0</v>
      </c>
      <c r="M24" s="250">
        <f t="shared" si="12"/>
        <v>0</v>
      </c>
      <c r="N24" s="171">
        <f t="shared" si="13"/>
        <v>3.86</v>
      </c>
      <c r="O24" s="171">
        <f t="shared" si="1"/>
        <v>3.4437939333087718E-2</v>
      </c>
      <c r="P24" s="172"/>
      <c r="Q24" s="172"/>
      <c r="R24" s="172"/>
      <c r="S24" s="172"/>
      <c r="T24" s="172"/>
      <c r="U24" s="172"/>
      <c r="V24" s="172"/>
      <c r="W24" s="172">
        <f>VLOOKUP(D24,KEY!$D$35:$E$44,2,FALSE)</f>
        <v>18</v>
      </c>
      <c r="X24" s="173" t="str">
        <f t="shared" si="14"/>
        <v>N</v>
      </c>
      <c r="Y24" s="174">
        <f t="shared" si="15"/>
        <v>0</v>
      </c>
      <c r="Z24" s="116" t="s">
        <v>436</v>
      </c>
      <c r="AB24" s="113">
        <v>1150</v>
      </c>
      <c r="AC24" s="113">
        <v>2710</v>
      </c>
      <c r="AD24" s="113"/>
      <c r="AE24" s="113"/>
      <c r="AF24" s="113"/>
      <c r="AG24" s="113"/>
      <c r="AH24" s="113"/>
    </row>
    <row r="25" spans="1:34" ht="20.100000000000001" customHeight="1" x14ac:dyDescent="0.25">
      <c r="A25" s="108">
        <f t="shared" si="5"/>
        <v>19</v>
      </c>
      <c r="B25" s="109">
        <v>0.4916666666666667</v>
      </c>
      <c r="C25" s="121" t="s">
        <v>223</v>
      </c>
      <c r="D25" s="5">
        <v>7</v>
      </c>
      <c r="E25" s="111">
        <v>2</v>
      </c>
      <c r="F25" s="118" t="s">
        <v>58</v>
      </c>
      <c r="G25" s="250">
        <f t="shared" si="6"/>
        <v>1.35</v>
      </c>
      <c r="H25" s="250">
        <f t="shared" si="7"/>
        <v>4</v>
      </c>
      <c r="I25" s="250">
        <f t="shared" si="8"/>
        <v>0</v>
      </c>
      <c r="J25" s="250">
        <f t="shared" si="9"/>
        <v>0</v>
      </c>
      <c r="K25" s="250">
        <f t="shared" si="10"/>
        <v>0</v>
      </c>
      <c r="L25" s="250">
        <f t="shared" si="11"/>
        <v>0</v>
      </c>
      <c r="M25" s="250">
        <f t="shared" si="12"/>
        <v>0</v>
      </c>
      <c r="N25" s="171">
        <f t="shared" si="13"/>
        <v>5.35</v>
      </c>
      <c r="O25" s="171">
        <f t="shared" si="1"/>
        <v>0.14961884736658568</v>
      </c>
      <c r="P25" s="172"/>
      <c r="Q25" s="172"/>
      <c r="R25" s="172"/>
      <c r="S25" s="172"/>
      <c r="T25" s="172"/>
      <c r="U25" s="172"/>
      <c r="V25" s="172"/>
      <c r="W25" s="172">
        <f>VLOOKUP(D25,KEY!$D$35:$E$44,2,FALSE)</f>
        <v>18</v>
      </c>
      <c r="X25" s="173" t="str">
        <f t="shared" si="14"/>
        <v>N</v>
      </c>
      <c r="Y25" s="174">
        <f t="shared" si="15"/>
        <v>0</v>
      </c>
      <c r="Z25" s="116" t="s">
        <v>369</v>
      </c>
      <c r="AB25" s="113">
        <v>1350</v>
      </c>
      <c r="AC25" s="113">
        <v>4000</v>
      </c>
      <c r="AD25" s="113"/>
      <c r="AE25" s="113"/>
      <c r="AF25" s="113"/>
      <c r="AG25" s="113"/>
      <c r="AH25" s="113"/>
    </row>
    <row r="26" spans="1:34" ht="20.100000000000001" customHeight="1" x14ac:dyDescent="0.25">
      <c r="A26" s="108">
        <f t="shared" si="5"/>
        <v>20</v>
      </c>
      <c r="B26" s="109">
        <v>0.51180555555555551</v>
      </c>
      <c r="C26" s="121" t="s">
        <v>230</v>
      </c>
      <c r="D26" s="5">
        <v>7</v>
      </c>
      <c r="E26" s="111">
        <v>2</v>
      </c>
      <c r="F26" s="118" t="s">
        <v>58</v>
      </c>
      <c r="G26" s="250">
        <f t="shared" si="6"/>
        <v>2.86</v>
      </c>
      <c r="H26" s="250">
        <f t="shared" si="7"/>
        <v>7.55</v>
      </c>
      <c r="I26" s="250">
        <f t="shared" si="8"/>
        <v>0</v>
      </c>
      <c r="J26" s="250">
        <f t="shared" si="9"/>
        <v>0</v>
      </c>
      <c r="K26" s="250">
        <f t="shared" si="10"/>
        <v>0</v>
      </c>
      <c r="L26" s="250">
        <f t="shared" si="11"/>
        <v>0</v>
      </c>
      <c r="M26" s="250">
        <f t="shared" si="12"/>
        <v>0</v>
      </c>
      <c r="N26" s="171">
        <f t="shared" si="13"/>
        <v>10.41</v>
      </c>
      <c r="O26" s="171">
        <f t="shared" si="1"/>
        <v>2.9917311848159351</v>
      </c>
      <c r="P26" s="172"/>
      <c r="Q26" s="172"/>
      <c r="R26" s="172"/>
      <c r="S26" s="172"/>
      <c r="T26" s="172"/>
      <c r="U26" s="172"/>
      <c r="V26" s="172"/>
      <c r="W26" s="172">
        <f>VLOOKUP(D26,KEY!$D$35:$E$44,2,FALSE)</f>
        <v>18</v>
      </c>
      <c r="X26" s="173" t="str">
        <f t="shared" si="14"/>
        <v>N</v>
      </c>
      <c r="Y26" s="174">
        <f t="shared" si="15"/>
        <v>0</v>
      </c>
      <c r="Z26" s="116" t="s">
        <v>436</v>
      </c>
      <c r="AB26" s="113">
        <v>2860</v>
      </c>
      <c r="AC26" s="113">
        <v>7550</v>
      </c>
      <c r="AD26" s="113"/>
      <c r="AE26" s="113"/>
      <c r="AF26" s="113"/>
      <c r="AG26" s="113"/>
      <c r="AH26" s="113"/>
    </row>
    <row r="27" spans="1:34" ht="20.100000000000001" customHeight="1" x14ac:dyDescent="0.25">
      <c r="A27" s="108">
        <f t="shared" si="5"/>
        <v>21</v>
      </c>
      <c r="B27" s="109">
        <v>0.51458333333333328</v>
      </c>
      <c r="C27" s="121" t="s">
        <v>231</v>
      </c>
      <c r="D27" s="5">
        <v>7</v>
      </c>
      <c r="E27" s="111">
        <v>2</v>
      </c>
      <c r="F27" s="118" t="s">
        <v>58</v>
      </c>
      <c r="G27" s="250">
        <f t="shared" si="6"/>
        <v>3.08</v>
      </c>
      <c r="H27" s="250">
        <f t="shared" si="7"/>
        <v>8.3000000000000007</v>
      </c>
      <c r="I27" s="250">
        <f t="shared" si="8"/>
        <v>0</v>
      </c>
      <c r="J27" s="250">
        <f t="shared" si="9"/>
        <v>0</v>
      </c>
      <c r="K27" s="250">
        <f t="shared" si="10"/>
        <v>0</v>
      </c>
      <c r="L27" s="250">
        <f t="shared" si="11"/>
        <v>0</v>
      </c>
      <c r="M27" s="250">
        <f t="shared" si="12"/>
        <v>0</v>
      </c>
      <c r="N27" s="171">
        <f t="shared" si="13"/>
        <v>11.38</v>
      </c>
      <c r="O27" s="171">
        <f t="shared" si="1"/>
        <v>4.4671904160968241</v>
      </c>
      <c r="P27" s="172"/>
      <c r="Q27" s="172"/>
      <c r="R27" s="172"/>
      <c r="S27" s="172"/>
      <c r="T27" s="172"/>
      <c r="U27" s="172"/>
      <c r="V27" s="172"/>
      <c r="W27" s="172">
        <f>VLOOKUP(D27,KEY!$D$35:$E$44,2,FALSE)</f>
        <v>18</v>
      </c>
      <c r="X27" s="173" t="str">
        <f t="shared" si="14"/>
        <v>N</v>
      </c>
      <c r="Y27" s="174">
        <f t="shared" si="15"/>
        <v>0</v>
      </c>
      <c r="Z27" s="116" t="s">
        <v>436</v>
      </c>
      <c r="AB27" s="113">
        <v>3080</v>
      </c>
      <c r="AC27" s="113">
        <v>8300</v>
      </c>
      <c r="AD27" s="113"/>
      <c r="AE27" s="113"/>
      <c r="AF27" s="113"/>
      <c r="AG27" s="113"/>
      <c r="AH27" s="113"/>
    </row>
    <row r="28" spans="1:34" ht="20.100000000000001" customHeight="1" x14ac:dyDescent="0.25">
      <c r="A28" s="108">
        <f t="shared" si="5"/>
        <v>22</v>
      </c>
      <c r="B28" s="109">
        <v>0.69374999999999998</v>
      </c>
      <c r="C28" s="121" t="s">
        <v>256</v>
      </c>
      <c r="D28" s="5">
        <v>7</v>
      </c>
      <c r="E28" s="111">
        <v>2</v>
      </c>
      <c r="F28" s="112" t="s">
        <v>58</v>
      </c>
      <c r="G28" s="250">
        <f t="shared" si="6"/>
        <v>1.54</v>
      </c>
      <c r="H28" s="250">
        <f t="shared" si="7"/>
        <v>7.11</v>
      </c>
      <c r="I28" s="250">
        <f t="shared" si="8"/>
        <v>0</v>
      </c>
      <c r="J28" s="250">
        <f t="shared" si="9"/>
        <v>0</v>
      </c>
      <c r="K28" s="250">
        <f t="shared" si="10"/>
        <v>0</v>
      </c>
      <c r="L28" s="250">
        <f t="shared" si="11"/>
        <v>0</v>
      </c>
      <c r="M28" s="250">
        <f t="shared" si="12"/>
        <v>0</v>
      </c>
      <c r="N28" s="171">
        <f t="shared" si="13"/>
        <v>8.65</v>
      </c>
      <c r="O28" s="171">
        <f t="shared" si="1"/>
        <v>1.3000700970935088</v>
      </c>
      <c r="P28" s="172"/>
      <c r="Q28" s="172"/>
      <c r="R28" s="172"/>
      <c r="S28" s="172"/>
      <c r="T28" s="172"/>
      <c r="U28" s="172"/>
      <c r="V28" s="172"/>
      <c r="W28" s="172">
        <f>VLOOKUP(D28,KEY!$D$35:$E$44,2,FALSE)</f>
        <v>18</v>
      </c>
      <c r="X28" s="173" t="str">
        <f t="shared" si="14"/>
        <v>N</v>
      </c>
      <c r="Y28" s="174">
        <f t="shared" si="15"/>
        <v>0</v>
      </c>
      <c r="Z28" s="116" t="s">
        <v>422</v>
      </c>
      <c r="AB28" s="113">
        <v>1540</v>
      </c>
      <c r="AC28" s="113">
        <v>7110</v>
      </c>
      <c r="AD28" s="113"/>
      <c r="AE28" s="113"/>
      <c r="AF28" s="113"/>
      <c r="AG28" s="113"/>
      <c r="AH28" s="113"/>
    </row>
    <row r="29" spans="1:34" ht="20.100000000000001" customHeight="1" x14ac:dyDescent="0.25">
      <c r="A29" s="108">
        <f t="shared" si="5"/>
        <v>23</v>
      </c>
      <c r="B29" s="109">
        <v>0.71180555555555547</v>
      </c>
      <c r="C29" s="121" t="s">
        <v>262</v>
      </c>
      <c r="D29" s="5">
        <v>7</v>
      </c>
      <c r="E29" s="111">
        <v>2</v>
      </c>
      <c r="F29" s="112" t="s">
        <v>58</v>
      </c>
      <c r="G29" s="250">
        <f t="shared" si="6"/>
        <v>3.41</v>
      </c>
      <c r="H29" s="250">
        <f t="shared" si="7"/>
        <v>8.91</v>
      </c>
      <c r="I29" s="250">
        <f t="shared" si="8"/>
        <v>0</v>
      </c>
      <c r="J29" s="250">
        <f t="shared" si="9"/>
        <v>0</v>
      </c>
      <c r="K29" s="250">
        <f t="shared" si="10"/>
        <v>0</v>
      </c>
      <c r="L29" s="250">
        <f t="shared" si="11"/>
        <v>0</v>
      </c>
      <c r="M29" s="250">
        <f t="shared" si="12"/>
        <v>0</v>
      </c>
      <c r="N29" s="171">
        <f t="shared" si="13"/>
        <v>12.32</v>
      </c>
      <c r="O29" s="171">
        <f t="shared" si="1"/>
        <v>6.3847290365503993</v>
      </c>
      <c r="P29" s="172"/>
      <c r="Q29" s="172"/>
      <c r="R29" s="172"/>
      <c r="S29" s="172"/>
      <c r="T29" s="172"/>
      <c r="U29" s="172"/>
      <c r="V29" s="172"/>
      <c r="W29" s="172">
        <f>VLOOKUP(D29,KEY!$D$35:$E$44,2,FALSE)</f>
        <v>18</v>
      </c>
      <c r="X29" s="173" t="str">
        <f t="shared" si="14"/>
        <v>N</v>
      </c>
      <c r="Y29" s="174">
        <f t="shared" si="15"/>
        <v>0</v>
      </c>
      <c r="Z29" s="116" t="s">
        <v>426</v>
      </c>
      <c r="AB29" s="113">
        <v>3410</v>
      </c>
      <c r="AC29" s="113">
        <v>8910</v>
      </c>
      <c r="AD29" s="113"/>
      <c r="AE29" s="113"/>
      <c r="AF29" s="113"/>
      <c r="AG29" s="113"/>
      <c r="AH29" s="113"/>
    </row>
    <row r="30" spans="1:34" ht="20.100000000000001" customHeight="1" x14ac:dyDescent="0.25">
      <c r="A30" s="108">
        <f t="shared" si="5"/>
        <v>24</v>
      </c>
      <c r="B30" s="109">
        <v>0.72222222222222221</v>
      </c>
      <c r="C30" s="121" t="s">
        <v>265</v>
      </c>
      <c r="D30" s="5">
        <v>7</v>
      </c>
      <c r="E30" s="111">
        <v>2</v>
      </c>
      <c r="F30" s="112" t="s">
        <v>58</v>
      </c>
      <c r="G30" s="250">
        <f t="shared" si="6"/>
        <v>2.75</v>
      </c>
      <c r="H30" s="250">
        <f t="shared" si="7"/>
        <v>9.32</v>
      </c>
      <c r="I30" s="250">
        <f t="shared" si="8"/>
        <v>0</v>
      </c>
      <c r="J30" s="250">
        <f t="shared" si="9"/>
        <v>0</v>
      </c>
      <c r="K30" s="250">
        <f t="shared" si="10"/>
        <v>0</v>
      </c>
      <c r="L30" s="250">
        <f t="shared" si="11"/>
        <v>0</v>
      </c>
      <c r="M30" s="250">
        <f t="shared" si="12"/>
        <v>0</v>
      </c>
      <c r="N30" s="171">
        <f t="shared" si="13"/>
        <v>12.07</v>
      </c>
      <c r="O30" s="171">
        <f t="shared" si="1"/>
        <v>5.8220643467121604</v>
      </c>
      <c r="P30" s="172"/>
      <c r="Q30" s="172"/>
      <c r="R30" s="172"/>
      <c r="S30" s="172"/>
      <c r="T30" s="172"/>
      <c r="U30" s="172"/>
      <c r="V30" s="172"/>
      <c r="W30" s="172">
        <f>VLOOKUP(D30,KEY!$D$35:$E$44,2,FALSE)</f>
        <v>18</v>
      </c>
      <c r="X30" s="173" t="str">
        <f t="shared" si="14"/>
        <v>N</v>
      </c>
      <c r="Y30" s="174">
        <f t="shared" si="15"/>
        <v>0</v>
      </c>
      <c r="Z30" s="116" t="s">
        <v>436</v>
      </c>
      <c r="AB30" s="113">
        <v>2750</v>
      </c>
      <c r="AC30" s="113">
        <v>9320</v>
      </c>
      <c r="AD30" s="113"/>
      <c r="AE30" s="113"/>
      <c r="AF30" s="113"/>
      <c r="AG30" s="113"/>
      <c r="AH30" s="113"/>
    </row>
    <row r="31" spans="1:34" ht="20.100000000000001" customHeight="1" x14ac:dyDescent="0.25">
      <c r="A31" s="108">
        <f t="shared" si="5"/>
        <v>25</v>
      </c>
      <c r="B31" s="109">
        <v>0.80902777777777779</v>
      </c>
      <c r="C31" s="121" t="s">
        <v>275</v>
      </c>
      <c r="D31" s="5">
        <v>7</v>
      </c>
      <c r="E31" s="111">
        <v>2</v>
      </c>
      <c r="F31" s="112" t="s">
        <v>58</v>
      </c>
      <c r="G31" s="250">
        <f t="shared" si="6"/>
        <v>1.25</v>
      </c>
      <c r="H31" s="250">
        <f t="shared" si="7"/>
        <v>2.83</v>
      </c>
      <c r="I31" s="250">
        <f t="shared" si="8"/>
        <v>0</v>
      </c>
      <c r="J31" s="250">
        <f t="shared" si="9"/>
        <v>0</v>
      </c>
      <c r="K31" s="250">
        <f t="shared" si="10"/>
        <v>0</v>
      </c>
      <c r="L31" s="250">
        <f t="shared" si="11"/>
        <v>0</v>
      </c>
      <c r="M31" s="250">
        <f t="shared" si="12"/>
        <v>0</v>
      </c>
      <c r="N31" s="171">
        <f t="shared" si="13"/>
        <v>4.08</v>
      </c>
      <c r="O31" s="171">
        <f t="shared" si="1"/>
        <v>4.4194173824159223E-2</v>
      </c>
      <c r="P31" s="172"/>
      <c r="Q31" s="172"/>
      <c r="R31" s="172"/>
      <c r="S31" s="172"/>
      <c r="T31" s="172"/>
      <c r="U31" s="172"/>
      <c r="V31" s="172"/>
      <c r="W31" s="172">
        <f>VLOOKUP(D31,KEY!$D$35:$E$44,2,FALSE)</f>
        <v>18</v>
      </c>
      <c r="X31" s="173" t="str">
        <f t="shared" si="14"/>
        <v>N</v>
      </c>
      <c r="Y31" s="174">
        <f t="shared" si="15"/>
        <v>0</v>
      </c>
      <c r="Z31" s="116" t="s">
        <v>436</v>
      </c>
      <c r="AB31" s="113">
        <v>1250</v>
      </c>
      <c r="AC31" s="113">
        <v>2830</v>
      </c>
      <c r="AD31" s="113"/>
      <c r="AE31" s="113"/>
      <c r="AF31" s="113"/>
      <c r="AG31" s="113"/>
      <c r="AH31" s="113"/>
    </row>
    <row r="32" spans="1:34" ht="20.100000000000001" customHeight="1" x14ac:dyDescent="0.25">
      <c r="A32" s="108">
        <f t="shared" si="5"/>
        <v>26</v>
      </c>
      <c r="B32" s="109">
        <v>0.84444444444444444</v>
      </c>
      <c r="C32" s="121" t="s">
        <v>282</v>
      </c>
      <c r="D32" s="5">
        <v>7</v>
      </c>
      <c r="E32" s="111">
        <v>2</v>
      </c>
      <c r="F32" s="112" t="s">
        <v>58</v>
      </c>
      <c r="G32" s="250">
        <f t="shared" si="6"/>
        <v>1.75</v>
      </c>
      <c r="H32" s="250">
        <f t="shared" si="7"/>
        <v>4.53</v>
      </c>
      <c r="I32" s="250">
        <f t="shared" si="8"/>
        <v>0</v>
      </c>
      <c r="J32" s="250">
        <f t="shared" si="9"/>
        <v>0</v>
      </c>
      <c r="K32" s="250">
        <f t="shared" si="10"/>
        <v>0</v>
      </c>
      <c r="L32" s="250">
        <f t="shared" si="11"/>
        <v>0</v>
      </c>
      <c r="M32" s="250">
        <f t="shared" si="12"/>
        <v>0</v>
      </c>
      <c r="N32" s="171">
        <f t="shared" si="13"/>
        <v>6.28</v>
      </c>
      <c r="O32" s="171">
        <f t="shared" si="1"/>
        <v>0.30776036078926305</v>
      </c>
      <c r="P32" s="172"/>
      <c r="Q32" s="172"/>
      <c r="R32" s="172"/>
      <c r="S32" s="172"/>
      <c r="T32" s="172"/>
      <c r="U32" s="172"/>
      <c r="V32" s="172"/>
      <c r="W32" s="172">
        <f>VLOOKUP(D32,KEY!$D$35:$E$44,2,FALSE)</f>
        <v>18</v>
      </c>
      <c r="X32" s="173" t="str">
        <f t="shared" si="14"/>
        <v>N</v>
      </c>
      <c r="Y32" s="174">
        <f t="shared" si="15"/>
        <v>0</v>
      </c>
      <c r="Z32" s="116" t="s">
        <v>436</v>
      </c>
      <c r="AB32" s="113">
        <v>1750</v>
      </c>
      <c r="AC32" s="113">
        <v>4530</v>
      </c>
      <c r="AD32" s="113"/>
      <c r="AE32" s="113"/>
      <c r="AF32" s="113"/>
      <c r="AG32" s="113"/>
      <c r="AH32" s="113"/>
    </row>
    <row r="33" spans="1:34" ht="20.100000000000001" customHeight="1" x14ac:dyDescent="0.25">
      <c r="A33" s="108">
        <f t="shared" si="5"/>
        <v>27</v>
      </c>
      <c r="B33" s="109">
        <v>0.875</v>
      </c>
      <c r="C33" s="121" t="s">
        <v>287</v>
      </c>
      <c r="D33" s="5">
        <v>7</v>
      </c>
      <c r="E33" s="111">
        <v>2</v>
      </c>
      <c r="F33" s="112" t="s">
        <v>58</v>
      </c>
      <c r="G33" s="250">
        <f t="shared" si="6"/>
        <v>2.15</v>
      </c>
      <c r="H33" s="250">
        <f t="shared" si="7"/>
        <v>12.09</v>
      </c>
      <c r="I33" s="250">
        <f t="shared" si="8"/>
        <v>0</v>
      </c>
      <c r="J33" s="250">
        <f t="shared" si="9"/>
        <v>0</v>
      </c>
      <c r="K33" s="250">
        <f t="shared" si="10"/>
        <v>0</v>
      </c>
      <c r="L33" s="250">
        <f t="shared" si="11"/>
        <v>0</v>
      </c>
      <c r="M33" s="250">
        <f t="shared" si="12"/>
        <v>0</v>
      </c>
      <c r="N33" s="171">
        <f t="shared" si="13"/>
        <v>14.24</v>
      </c>
      <c r="O33" s="171">
        <f t="shared" si="1"/>
        <v>12.251499241155589</v>
      </c>
      <c r="P33" s="172"/>
      <c r="Q33" s="172"/>
      <c r="R33" s="172"/>
      <c r="S33" s="172"/>
      <c r="T33" s="172"/>
      <c r="U33" s="172"/>
      <c r="V33" s="172"/>
      <c r="W33" s="172">
        <f>VLOOKUP(D33,KEY!$D$35:$E$44,2,FALSE)</f>
        <v>18</v>
      </c>
      <c r="X33" s="173" t="str">
        <f t="shared" si="14"/>
        <v>N</v>
      </c>
      <c r="Y33" s="174">
        <f t="shared" si="15"/>
        <v>0</v>
      </c>
      <c r="Z33" s="116" t="s">
        <v>430</v>
      </c>
      <c r="AB33" s="113">
        <v>2150</v>
      </c>
      <c r="AC33" s="113">
        <v>12090</v>
      </c>
      <c r="AD33" s="113"/>
      <c r="AE33" s="113"/>
      <c r="AF33" s="113"/>
      <c r="AG33" s="113"/>
      <c r="AH33" s="113"/>
    </row>
    <row r="34" spans="1:34" ht="20.100000000000001" customHeight="1" x14ac:dyDescent="0.25">
      <c r="A34" s="108">
        <f t="shared" si="5"/>
        <v>28</v>
      </c>
      <c r="B34" s="109">
        <v>0.92638888888888893</v>
      </c>
      <c r="C34" s="121" t="s">
        <v>291</v>
      </c>
      <c r="D34" s="5">
        <v>7</v>
      </c>
      <c r="E34" s="111">
        <v>2</v>
      </c>
      <c r="F34" s="112" t="s">
        <v>58</v>
      </c>
      <c r="G34" s="250">
        <f t="shared" si="6"/>
        <v>1.55</v>
      </c>
      <c r="H34" s="250">
        <f t="shared" si="7"/>
        <v>7.42</v>
      </c>
      <c r="I34" s="250">
        <f t="shared" si="8"/>
        <v>0</v>
      </c>
      <c r="J34" s="250">
        <f t="shared" si="9"/>
        <v>0</v>
      </c>
      <c r="K34" s="250">
        <f t="shared" si="10"/>
        <v>0</v>
      </c>
      <c r="L34" s="250">
        <f t="shared" si="11"/>
        <v>0</v>
      </c>
      <c r="M34" s="250">
        <f t="shared" si="12"/>
        <v>0</v>
      </c>
      <c r="N34" s="171">
        <f t="shared" si="13"/>
        <v>8.9700000000000006</v>
      </c>
      <c r="O34" s="171">
        <f t="shared" si="1"/>
        <v>1.5309474344010177</v>
      </c>
      <c r="P34" s="172"/>
      <c r="Q34" s="172"/>
      <c r="R34" s="172"/>
      <c r="S34" s="172"/>
      <c r="T34" s="172"/>
      <c r="U34" s="172"/>
      <c r="V34" s="172"/>
      <c r="W34" s="172">
        <f>VLOOKUP(D34,KEY!$D$35:$E$44,2,FALSE)</f>
        <v>18</v>
      </c>
      <c r="X34" s="173" t="str">
        <f t="shared" si="14"/>
        <v>N</v>
      </c>
      <c r="Y34" s="174">
        <f t="shared" si="15"/>
        <v>0</v>
      </c>
      <c r="Z34" s="116" t="s">
        <v>424</v>
      </c>
      <c r="AB34" s="113">
        <v>1550</v>
      </c>
      <c r="AC34" s="113">
        <v>7420</v>
      </c>
      <c r="AD34" s="113"/>
      <c r="AE34" s="113"/>
      <c r="AF34" s="113"/>
      <c r="AG34" s="113"/>
      <c r="AH34" s="113"/>
    </row>
    <row r="35" spans="1:34" ht="20.100000000000001" customHeight="1" x14ac:dyDescent="0.25">
      <c r="A35" s="108">
        <f t="shared" si="5"/>
        <v>29</v>
      </c>
      <c r="B35" s="109">
        <v>0.95486111111111116</v>
      </c>
      <c r="C35" s="121" t="s">
        <v>295</v>
      </c>
      <c r="D35" s="5">
        <v>7</v>
      </c>
      <c r="E35" s="111">
        <v>2</v>
      </c>
      <c r="F35" s="112" t="s">
        <v>58</v>
      </c>
      <c r="G35" s="250">
        <f t="shared" si="6"/>
        <v>2.35</v>
      </c>
      <c r="H35" s="250">
        <f t="shared" si="7"/>
        <v>10.3</v>
      </c>
      <c r="I35" s="250">
        <f t="shared" si="8"/>
        <v>0</v>
      </c>
      <c r="J35" s="250">
        <f t="shared" si="9"/>
        <v>0</v>
      </c>
      <c r="K35" s="250">
        <f t="shared" si="10"/>
        <v>0</v>
      </c>
      <c r="L35" s="250">
        <f t="shared" si="11"/>
        <v>0</v>
      </c>
      <c r="M35" s="250">
        <f t="shared" si="12"/>
        <v>0</v>
      </c>
      <c r="N35" s="171">
        <f t="shared" si="13"/>
        <v>12.65</v>
      </c>
      <c r="O35" s="171">
        <f t="shared" si="1"/>
        <v>7.1912046858720071</v>
      </c>
      <c r="P35" s="172"/>
      <c r="Q35" s="172"/>
      <c r="R35" s="172"/>
      <c r="S35" s="172"/>
      <c r="T35" s="172"/>
      <c r="U35" s="172"/>
      <c r="V35" s="172"/>
      <c r="W35" s="172">
        <f>VLOOKUP(D35,KEY!$D$35:$E$44,2,FALSE)</f>
        <v>18</v>
      </c>
      <c r="X35" s="173" t="str">
        <f t="shared" si="14"/>
        <v>N</v>
      </c>
      <c r="Y35" s="174">
        <f t="shared" si="15"/>
        <v>0</v>
      </c>
      <c r="Z35" s="116" t="s">
        <v>422</v>
      </c>
      <c r="AB35" s="113">
        <v>2350</v>
      </c>
      <c r="AC35" s="113">
        <v>10300</v>
      </c>
      <c r="AD35" s="113"/>
      <c r="AE35" s="113"/>
      <c r="AF35" s="113"/>
      <c r="AG35" s="113"/>
      <c r="AH35" s="113"/>
    </row>
    <row r="36" spans="1:34" ht="20.100000000000001" customHeight="1" x14ac:dyDescent="0.25">
      <c r="A36" s="108">
        <f t="shared" si="5"/>
        <v>30</v>
      </c>
      <c r="B36" s="109">
        <v>0.97222222222222221</v>
      </c>
      <c r="C36" s="121" t="s">
        <v>302</v>
      </c>
      <c r="D36" s="5">
        <v>7</v>
      </c>
      <c r="E36" s="111">
        <v>2</v>
      </c>
      <c r="F36" s="112" t="s">
        <v>58</v>
      </c>
      <c r="G36" s="250">
        <f t="shared" si="6"/>
        <v>2.0499999999999998</v>
      </c>
      <c r="H36" s="250">
        <f t="shared" si="7"/>
        <v>8.4600000000000009</v>
      </c>
      <c r="I36" s="250">
        <f t="shared" si="8"/>
        <v>0</v>
      </c>
      <c r="J36" s="250">
        <f t="shared" si="9"/>
        <v>0</v>
      </c>
      <c r="K36" s="250">
        <f t="shared" si="10"/>
        <v>0</v>
      </c>
      <c r="L36" s="250">
        <f t="shared" si="11"/>
        <v>0</v>
      </c>
      <c r="M36" s="250">
        <f t="shared" si="12"/>
        <v>0</v>
      </c>
      <c r="N36" s="171">
        <f t="shared" si="13"/>
        <v>10.510000000000002</v>
      </c>
      <c r="O36" s="171">
        <f t="shared" si="1"/>
        <v>3.1232482674649855</v>
      </c>
      <c r="P36" s="172"/>
      <c r="Q36" s="172"/>
      <c r="R36" s="172"/>
      <c r="S36" s="172"/>
      <c r="T36" s="172"/>
      <c r="U36" s="172"/>
      <c r="V36" s="172"/>
      <c r="W36" s="172">
        <f>VLOOKUP(D36,KEY!$D$35:$E$44,2,FALSE)</f>
        <v>18</v>
      </c>
      <c r="X36" s="173" t="str">
        <f t="shared" si="14"/>
        <v>N</v>
      </c>
      <c r="Y36" s="174">
        <f t="shared" si="15"/>
        <v>0</v>
      </c>
      <c r="Z36" s="116" t="s">
        <v>422</v>
      </c>
      <c r="AB36" s="113">
        <v>2050</v>
      </c>
      <c r="AC36" s="113">
        <v>8460</v>
      </c>
      <c r="AD36" s="113"/>
      <c r="AE36" s="113"/>
      <c r="AF36" s="113"/>
      <c r="AG36" s="113"/>
      <c r="AH36" s="113"/>
    </row>
    <row r="37" spans="1:34" ht="20.100000000000001" customHeight="1" x14ac:dyDescent="0.25">
      <c r="A37" s="108">
        <f t="shared" si="5"/>
        <v>31</v>
      </c>
      <c r="B37" s="120">
        <v>0.99375000000000002</v>
      </c>
      <c r="C37" s="110" t="s">
        <v>304</v>
      </c>
      <c r="D37" s="5">
        <v>7</v>
      </c>
      <c r="E37" s="111">
        <v>2</v>
      </c>
      <c r="F37" s="112" t="s">
        <v>58</v>
      </c>
      <c r="G37" s="250">
        <f t="shared" si="6"/>
        <v>1.4</v>
      </c>
      <c r="H37" s="250">
        <f t="shared" si="7"/>
        <v>4.6399999999999997</v>
      </c>
      <c r="I37" s="250">
        <f t="shared" si="8"/>
        <v>0</v>
      </c>
      <c r="J37" s="250">
        <f t="shared" si="9"/>
        <v>0</v>
      </c>
      <c r="K37" s="250">
        <f t="shared" si="10"/>
        <v>0</v>
      </c>
      <c r="L37" s="250">
        <f t="shared" si="11"/>
        <v>0</v>
      </c>
      <c r="M37" s="250">
        <f t="shared" si="12"/>
        <v>0</v>
      </c>
      <c r="N37" s="171">
        <f t="shared" si="13"/>
        <v>6.0399999999999991</v>
      </c>
      <c r="O37" s="171">
        <f t="shared" si="1"/>
        <v>0.25826199969731273</v>
      </c>
      <c r="P37" s="172"/>
      <c r="Q37" s="172"/>
      <c r="R37" s="172"/>
      <c r="S37" s="172"/>
      <c r="T37" s="172"/>
      <c r="U37" s="172"/>
      <c r="V37" s="172"/>
      <c r="W37" s="172">
        <f>VLOOKUP(D37,KEY!$D$35:$E$44,2,FALSE)</f>
        <v>18</v>
      </c>
      <c r="X37" s="173" t="str">
        <f t="shared" si="14"/>
        <v>N</v>
      </c>
      <c r="Y37" s="174">
        <f t="shared" si="15"/>
        <v>0</v>
      </c>
      <c r="Z37" s="116" t="s">
        <v>422</v>
      </c>
      <c r="AB37" s="119">
        <v>1400</v>
      </c>
      <c r="AC37" s="113">
        <v>4640</v>
      </c>
      <c r="AD37" s="113"/>
      <c r="AE37" s="113"/>
      <c r="AF37" s="113"/>
      <c r="AG37" s="113"/>
      <c r="AH37" s="113"/>
    </row>
    <row r="38" spans="1:34" ht="20.100000000000001" customHeight="1" x14ac:dyDescent="0.25">
      <c r="A38" s="108">
        <f t="shared" si="5"/>
        <v>32</v>
      </c>
      <c r="B38" s="120">
        <v>0.1277777777777778</v>
      </c>
      <c r="C38" s="121" t="s">
        <v>312</v>
      </c>
      <c r="D38" s="5">
        <v>7</v>
      </c>
      <c r="E38" s="111">
        <v>2</v>
      </c>
      <c r="F38" s="112" t="s">
        <v>58</v>
      </c>
      <c r="G38" s="250">
        <f t="shared" si="6"/>
        <v>0.85</v>
      </c>
      <c r="H38" s="250">
        <f t="shared" si="7"/>
        <v>3.85</v>
      </c>
      <c r="I38" s="250">
        <f t="shared" si="8"/>
        <v>0</v>
      </c>
      <c r="J38" s="250">
        <f t="shared" si="9"/>
        <v>0</v>
      </c>
      <c r="K38" s="250">
        <f t="shared" si="10"/>
        <v>0</v>
      </c>
      <c r="L38" s="250">
        <f t="shared" si="11"/>
        <v>0</v>
      </c>
      <c r="M38" s="250">
        <f t="shared" si="12"/>
        <v>0</v>
      </c>
      <c r="N38" s="171">
        <f t="shared" si="13"/>
        <v>4.7</v>
      </c>
      <c r="O38" s="171">
        <f t="shared" si="1"/>
        <v>8.352849305256467E-2</v>
      </c>
      <c r="P38" s="172"/>
      <c r="Q38" s="172"/>
      <c r="R38" s="172"/>
      <c r="S38" s="172"/>
      <c r="T38" s="172"/>
      <c r="U38" s="172"/>
      <c r="V38" s="172"/>
      <c r="W38" s="172">
        <f>VLOOKUP(D38,KEY!$D$35:$E$44,2,FALSE)</f>
        <v>18</v>
      </c>
      <c r="X38" s="173" t="str">
        <f t="shared" si="14"/>
        <v>N</v>
      </c>
      <c r="Y38" s="174">
        <f t="shared" si="15"/>
        <v>0</v>
      </c>
      <c r="Z38" s="116" t="s">
        <v>424</v>
      </c>
      <c r="AB38" s="121">
        <v>850</v>
      </c>
      <c r="AC38" s="113">
        <v>3850</v>
      </c>
      <c r="AD38" s="113"/>
      <c r="AE38" s="113"/>
      <c r="AF38" s="113"/>
      <c r="AG38" s="113"/>
      <c r="AH38" s="113"/>
    </row>
    <row r="39" spans="1:34" ht="20.100000000000001" customHeight="1" x14ac:dyDescent="0.25">
      <c r="A39" s="108">
        <f t="shared" si="5"/>
        <v>33</v>
      </c>
      <c r="B39" s="120">
        <v>0.13194444444444445</v>
      </c>
      <c r="C39" s="121" t="s">
        <v>313</v>
      </c>
      <c r="D39" s="5">
        <v>7</v>
      </c>
      <c r="E39" s="111">
        <v>2</v>
      </c>
      <c r="F39" s="112" t="s">
        <v>58</v>
      </c>
      <c r="G39" s="250">
        <f t="shared" si="6"/>
        <v>1</v>
      </c>
      <c r="H39" s="250">
        <f t="shared" si="7"/>
        <v>4.95</v>
      </c>
      <c r="I39" s="250">
        <f t="shared" si="8"/>
        <v>0</v>
      </c>
      <c r="J39" s="250">
        <f t="shared" si="9"/>
        <v>0</v>
      </c>
      <c r="K39" s="250">
        <f t="shared" si="10"/>
        <v>0</v>
      </c>
      <c r="L39" s="250">
        <f t="shared" si="11"/>
        <v>0</v>
      </c>
      <c r="M39" s="250">
        <f t="shared" si="12"/>
        <v>0</v>
      </c>
      <c r="N39" s="171">
        <f t="shared" si="13"/>
        <v>5.95</v>
      </c>
      <c r="O39" s="171">
        <f t="shared" ref="O39:O70" si="16">(N39/8.16)^4.5</f>
        <v>0.24139075405871419</v>
      </c>
      <c r="P39" s="172"/>
      <c r="Q39" s="172"/>
      <c r="R39" s="172"/>
      <c r="S39" s="172"/>
      <c r="T39" s="172"/>
      <c r="U39" s="172"/>
      <c r="V39" s="172"/>
      <c r="W39" s="172">
        <f>VLOOKUP(D39,KEY!$D$35:$E$44,2,FALSE)</f>
        <v>18</v>
      </c>
      <c r="X39" s="173" t="str">
        <f t="shared" ref="X39:X70" si="17">IF(N39&gt;W39,"Y","N")</f>
        <v>N</v>
      </c>
      <c r="Y39" s="174">
        <f t="shared" ref="Y39:Y70" si="18">IF(X39="Y",(N39-W39)/W39,0)</f>
        <v>0</v>
      </c>
      <c r="Z39" s="116" t="s">
        <v>422</v>
      </c>
      <c r="AB39" s="121">
        <v>1000</v>
      </c>
      <c r="AC39" s="113">
        <v>4950</v>
      </c>
      <c r="AD39" s="113"/>
      <c r="AE39" s="113"/>
      <c r="AF39" s="113"/>
      <c r="AG39" s="113"/>
      <c r="AH39" s="113"/>
    </row>
    <row r="40" spans="1:34" ht="20.100000000000001" customHeight="1" x14ac:dyDescent="0.25">
      <c r="A40" s="108">
        <f t="shared" si="5"/>
        <v>34</v>
      </c>
      <c r="B40" s="120">
        <v>0.14027777777777778</v>
      </c>
      <c r="C40" s="121" t="s">
        <v>314</v>
      </c>
      <c r="D40" s="5">
        <v>7</v>
      </c>
      <c r="E40" s="111">
        <v>2</v>
      </c>
      <c r="F40" s="112" t="s">
        <v>58</v>
      </c>
      <c r="G40" s="250">
        <f t="shared" si="6"/>
        <v>1.25</v>
      </c>
      <c r="H40" s="250">
        <f t="shared" si="7"/>
        <v>11.28</v>
      </c>
      <c r="I40" s="250">
        <f t="shared" si="8"/>
        <v>0</v>
      </c>
      <c r="J40" s="250">
        <f t="shared" si="9"/>
        <v>0</v>
      </c>
      <c r="K40" s="250">
        <f t="shared" si="10"/>
        <v>0</v>
      </c>
      <c r="L40" s="250">
        <f t="shared" si="11"/>
        <v>0</v>
      </c>
      <c r="M40" s="250">
        <f t="shared" si="12"/>
        <v>0</v>
      </c>
      <c r="N40" s="171">
        <f t="shared" si="13"/>
        <v>12.53</v>
      </c>
      <c r="O40" s="171">
        <f t="shared" si="16"/>
        <v>6.8892842672420107</v>
      </c>
      <c r="P40" s="172"/>
      <c r="Q40" s="172"/>
      <c r="R40" s="172"/>
      <c r="S40" s="172"/>
      <c r="T40" s="172"/>
      <c r="U40" s="172"/>
      <c r="V40" s="172"/>
      <c r="W40" s="172">
        <f>VLOOKUP(D40,KEY!$D$35:$E$44,2,FALSE)</f>
        <v>18</v>
      </c>
      <c r="X40" s="173" t="str">
        <f t="shared" si="17"/>
        <v>N</v>
      </c>
      <c r="Y40" s="174">
        <f t="shared" si="18"/>
        <v>0</v>
      </c>
      <c r="Z40" s="116" t="s">
        <v>422</v>
      </c>
      <c r="AB40" s="121">
        <v>1250</v>
      </c>
      <c r="AC40" s="113">
        <v>11280</v>
      </c>
      <c r="AD40" s="113"/>
      <c r="AE40" s="113"/>
      <c r="AF40" s="113"/>
      <c r="AG40" s="113"/>
      <c r="AH40" s="113"/>
    </row>
    <row r="41" spans="1:34" ht="20.100000000000001" customHeight="1" x14ac:dyDescent="0.25">
      <c r="A41" s="108">
        <f t="shared" si="5"/>
        <v>35</v>
      </c>
      <c r="B41" s="120">
        <v>0.1451388888888889</v>
      </c>
      <c r="C41" s="121" t="s">
        <v>315</v>
      </c>
      <c r="D41" s="5">
        <v>7</v>
      </c>
      <c r="E41" s="111">
        <v>2</v>
      </c>
      <c r="F41" s="112" t="s">
        <v>58</v>
      </c>
      <c r="G41" s="250">
        <f t="shared" si="6"/>
        <v>2.4500000000000002</v>
      </c>
      <c r="H41" s="250">
        <f t="shared" si="7"/>
        <v>8.81</v>
      </c>
      <c r="I41" s="250">
        <f t="shared" si="8"/>
        <v>0</v>
      </c>
      <c r="J41" s="250">
        <f t="shared" si="9"/>
        <v>0</v>
      </c>
      <c r="K41" s="250">
        <f t="shared" si="10"/>
        <v>0</v>
      </c>
      <c r="L41" s="250">
        <f t="shared" si="11"/>
        <v>0</v>
      </c>
      <c r="M41" s="250">
        <f t="shared" si="12"/>
        <v>0</v>
      </c>
      <c r="N41" s="171">
        <f t="shared" si="13"/>
        <v>11.260000000000002</v>
      </c>
      <c r="O41" s="171">
        <f t="shared" si="16"/>
        <v>4.2590922120484649</v>
      </c>
      <c r="P41" s="172"/>
      <c r="Q41" s="172"/>
      <c r="R41" s="172"/>
      <c r="S41" s="172"/>
      <c r="T41" s="172"/>
      <c r="U41" s="172"/>
      <c r="V41" s="172"/>
      <c r="W41" s="172">
        <f>VLOOKUP(D41,KEY!$D$35:$E$44,2,FALSE)</f>
        <v>18</v>
      </c>
      <c r="X41" s="173" t="str">
        <f t="shared" si="17"/>
        <v>N</v>
      </c>
      <c r="Y41" s="174">
        <f t="shared" si="18"/>
        <v>0</v>
      </c>
      <c r="Z41" s="116" t="s">
        <v>422</v>
      </c>
      <c r="AB41" s="121">
        <v>2450</v>
      </c>
      <c r="AC41" s="113">
        <v>8810</v>
      </c>
      <c r="AD41" s="113"/>
      <c r="AE41" s="113"/>
      <c r="AF41" s="113"/>
      <c r="AG41" s="113"/>
      <c r="AH41" s="113"/>
    </row>
    <row r="42" spans="1:34" ht="20.100000000000001" customHeight="1" x14ac:dyDescent="0.25">
      <c r="A42" s="108">
        <f t="shared" si="5"/>
        <v>36</v>
      </c>
      <c r="B42" s="120">
        <v>0.24236111111111111</v>
      </c>
      <c r="C42" s="121" t="s">
        <v>317</v>
      </c>
      <c r="D42" s="5">
        <v>7</v>
      </c>
      <c r="E42" s="111">
        <v>2</v>
      </c>
      <c r="F42" s="112" t="s">
        <v>58</v>
      </c>
      <c r="G42" s="250">
        <f t="shared" si="6"/>
        <v>0.9</v>
      </c>
      <c r="H42" s="250">
        <f t="shared" si="7"/>
        <v>3.8</v>
      </c>
      <c r="I42" s="250">
        <f t="shared" si="8"/>
        <v>0</v>
      </c>
      <c r="J42" s="250">
        <f t="shared" si="9"/>
        <v>0</v>
      </c>
      <c r="K42" s="250">
        <f t="shared" si="10"/>
        <v>0</v>
      </c>
      <c r="L42" s="250">
        <f t="shared" si="11"/>
        <v>0</v>
      </c>
      <c r="M42" s="250">
        <f t="shared" si="12"/>
        <v>0</v>
      </c>
      <c r="N42" s="171">
        <f t="shared" si="13"/>
        <v>4.7</v>
      </c>
      <c r="O42" s="171">
        <f t="shared" si="16"/>
        <v>8.352849305256467E-2</v>
      </c>
      <c r="P42" s="172"/>
      <c r="Q42" s="172"/>
      <c r="R42" s="172"/>
      <c r="S42" s="172"/>
      <c r="T42" s="172"/>
      <c r="U42" s="172"/>
      <c r="V42" s="172"/>
      <c r="W42" s="172">
        <f>VLOOKUP(D42,KEY!$D$35:$E$44,2,FALSE)</f>
        <v>18</v>
      </c>
      <c r="X42" s="173" t="str">
        <f t="shared" si="17"/>
        <v>N</v>
      </c>
      <c r="Y42" s="174">
        <f t="shared" si="18"/>
        <v>0</v>
      </c>
      <c r="Z42" s="116" t="s">
        <v>424</v>
      </c>
      <c r="AB42" s="121">
        <v>900</v>
      </c>
      <c r="AC42" s="113">
        <v>3800</v>
      </c>
      <c r="AD42" s="113"/>
      <c r="AE42" s="113"/>
      <c r="AF42" s="113"/>
      <c r="AG42" s="113"/>
      <c r="AH42" s="113"/>
    </row>
    <row r="43" spans="1:34" ht="20.100000000000001" customHeight="1" x14ac:dyDescent="0.25">
      <c r="A43" s="108">
        <f t="shared" si="5"/>
        <v>37</v>
      </c>
      <c r="B43" s="120">
        <v>0.24374999999999999</v>
      </c>
      <c r="C43" s="121" t="s">
        <v>318</v>
      </c>
      <c r="D43" s="5">
        <v>7</v>
      </c>
      <c r="E43" s="111">
        <v>2</v>
      </c>
      <c r="F43" s="112" t="s">
        <v>58</v>
      </c>
      <c r="G43" s="250">
        <f t="shared" si="6"/>
        <v>2</v>
      </c>
      <c r="H43" s="250">
        <f t="shared" si="7"/>
        <v>10.75</v>
      </c>
      <c r="I43" s="250">
        <f t="shared" si="8"/>
        <v>0</v>
      </c>
      <c r="J43" s="250">
        <f t="shared" si="9"/>
        <v>0</v>
      </c>
      <c r="K43" s="250">
        <f t="shared" si="10"/>
        <v>0</v>
      </c>
      <c r="L43" s="250">
        <f t="shared" si="11"/>
        <v>0</v>
      </c>
      <c r="M43" s="250">
        <f t="shared" si="12"/>
        <v>0</v>
      </c>
      <c r="N43" s="171">
        <f t="shared" si="13"/>
        <v>12.75</v>
      </c>
      <c r="O43" s="171">
        <f t="shared" si="16"/>
        <v>7.4505805969238281</v>
      </c>
      <c r="P43" s="172"/>
      <c r="Q43" s="172"/>
      <c r="R43" s="172"/>
      <c r="S43" s="172"/>
      <c r="T43" s="172"/>
      <c r="U43" s="172"/>
      <c r="V43" s="172"/>
      <c r="W43" s="172">
        <f>VLOOKUP(D43,KEY!$D$35:$E$44,2,FALSE)</f>
        <v>18</v>
      </c>
      <c r="X43" s="173" t="str">
        <f t="shared" si="17"/>
        <v>N</v>
      </c>
      <c r="Y43" s="174">
        <f t="shared" si="18"/>
        <v>0</v>
      </c>
      <c r="Z43" s="116" t="s">
        <v>428</v>
      </c>
      <c r="AB43" s="121">
        <v>2000</v>
      </c>
      <c r="AC43" s="113">
        <v>10750</v>
      </c>
      <c r="AD43" s="113"/>
      <c r="AE43" s="113"/>
      <c r="AF43" s="113"/>
      <c r="AG43" s="113"/>
      <c r="AH43" s="113"/>
    </row>
    <row r="44" spans="1:34" ht="20.100000000000001" customHeight="1" x14ac:dyDescent="0.25">
      <c r="A44" s="175">
        <f t="shared" si="5"/>
        <v>38</v>
      </c>
      <c r="B44" s="157">
        <v>0.35000000000000003</v>
      </c>
      <c r="C44" s="5" t="s">
        <v>36</v>
      </c>
      <c r="D44" s="5">
        <v>7</v>
      </c>
      <c r="E44" s="43">
        <v>2</v>
      </c>
      <c r="F44" s="76" t="s">
        <v>58</v>
      </c>
      <c r="G44" s="250">
        <f t="shared" si="6"/>
        <v>1.75</v>
      </c>
      <c r="H44" s="250">
        <f t="shared" si="7"/>
        <v>9.0399999999999991</v>
      </c>
      <c r="I44" s="250">
        <f t="shared" si="8"/>
        <v>0</v>
      </c>
      <c r="J44" s="250">
        <f t="shared" si="9"/>
        <v>0</v>
      </c>
      <c r="K44" s="250">
        <f t="shared" si="10"/>
        <v>0</v>
      </c>
      <c r="L44" s="250">
        <f t="shared" si="11"/>
        <v>0</v>
      </c>
      <c r="M44" s="250">
        <f t="shared" si="12"/>
        <v>0</v>
      </c>
      <c r="N44" s="171">
        <f t="shared" si="13"/>
        <v>10.79</v>
      </c>
      <c r="O44" s="171">
        <f t="shared" si="16"/>
        <v>3.5155298244544926</v>
      </c>
      <c r="P44" s="172"/>
      <c r="Q44" s="172"/>
      <c r="R44" s="172"/>
      <c r="S44" s="172"/>
      <c r="T44" s="172"/>
      <c r="U44" s="172"/>
      <c r="V44" s="172"/>
      <c r="W44" s="172">
        <f>VLOOKUP(D44,KEY!$D$35:$E$44,2,FALSE)</f>
        <v>18</v>
      </c>
      <c r="X44" s="173" t="str">
        <f t="shared" si="17"/>
        <v>N</v>
      </c>
      <c r="Y44" s="174">
        <f t="shared" si="18"/>
        <v>0</v>
      </c>
      <c r="Z44" s="9" t="s">
        <v>428</v>
      </c>
      <c r="AB44" s="62">
        <v>1750</v>
      </c>
      <c r="AC44" s="113">
        <v>9040</v>
      </c>
      <c r="AD44" s="113"/>
      <c r="AE44" s="113"/>
      <c r="AF44" s="113"/>
      <c r="AG44" s="113"/>
      <c r="AH44" s="113"/>
    </row>
    <row r="45" spans="1:34" ht="20.100000000000001" customHeight="1" x14ac:dyDescent="0.25">
      <c r="A45" s="175">
        <f t="shared" si="5"/>
        <v>39</v>
      </c>
      <c r="B45" s="157">
        <v>0.60555555555555551</v>
      </c>
      <c r="C45" s="5" t="s">
        <v>111</v>
      </c>
      <c r="D45" s="5">
        <v>7</v>
      </c>
      <c r="E45" s="43">
        <v>2</v>
      </c>
      <c r="F45" s="76" t="s">
        <v>58</v>
      </c>
      <c r="G45" s="250">
        <f t="shared" si="6"/>
        <v>1.7</v>
      </c>
      <c r="H45" s="250">
        <f t="shared" si="7"/>
        <v>8.91</v>
      </c>
      <c r="I45" s="250">
        <f t="shared" si="8"/>
        <v>0</v>
      </c>
      <c r="J45" s="250">
        <f t="shared" si="9"/>
        <v>0</v>
      </c>
      <c r="K45" s="250">
        <f t="shared" si="10"/>
        <v>0</v>
      </c>
      <c r="L45" s="250">
        <f t="shared" si="11"/>
        <v>0</v>
      </c>
      <c r="M45" s="250">
        <f t="shared" si="12"/>
        <v>0</v>
      </c>
      <c r="N45" s="171">
        <f t="shared" si="13"/>
        <v>10.61</v>
      </c>
      <c r="O45" s="171">
        <f t="shared" si="16"/>
        <v>3.2592187728310806</v>
      </c>
      <c r="P45" s="172"/>
      <c r="Q45" s="172"/>
      <c r="R45" s="172"/>
      <c r="S45" s="172"/>
      <c r="T45" s="172"/>
      <c r="U45" s="172"/>
      <c r="V45" s="172"/>
      <c r="W45" s="172">
        <f>VLOOKUP(D45,KEY!$D$35:$E$44,2,FALSE)</f>
        <v>18</v>
      </c>
      <c r="X45" s="173" t="str">
        <f t="shared" si="17"/>
        <v>N</v>
      </c>
      <c r="Y45" s="174">
        <f t="shared" si="18"/>
        <v>0</v>
      </c>
      <c r="Z45" s="9" t="s">
        <v>422</v>
      </c>
      <c r="AB45" s="62">
        <v>1700</v>
      </c>
      <c r="AC45" s="113">
        <v>8910</v>
      </c>
      <c r="AD45" s="113"/>
      <c r="AE45" s="113"/>
      <c r="AF45" s="113"/>
      <c r="AG45" s="113"/>
      <c r="AH45" s="113"/>
    </row>
    <row r="46" spans="1:34" ht="20.100000000000001" customHeight="1" x14ac:dyDescent="0.25">
      <c r="A46" s="175">
        <f t="shared" si="5"/>
        <v>40</v>
      </c>
      <c r="B46" s="157">
        <v>0.64930555555555558</v>
      </c>
      <c r="C46" s="5" t="s">
        <v>112</v>
      </c>
      <c r="D46" s="5">
        <v>7</v>
      </c>
      <c r="E46" s="43">
        <v>2</v>
      </c>
      <c r="F46" s="76" t="s">
        <v>58</v>
      </c>
      <c r="G46" s="250">
        <f t="shared" si="6"/>
        <v>1.45</v>
      </c>
      <c r="H46" s="250">
        <f t="shared" si="7"/>
        <v>6.49</v>
      </c>
      <c r="I46" s="250">
        <f t="shared" si="8"/>
        <v>0</v>
      </c>
      <c r="J46" s="250">
        <f t="shared" si="9"/>
        <v>0</v>
      </c>
      <c r="K46" s="250">
        <f t="shared" si="10"/>
        <v>0</v>
      </c>
      <c r="L46" s="250">
        <f t="shared" si="11"/>
        <v>0</v>
      </c>
      <c r="M46" s="250">
        <f t="shared" si="12"/>
        <v>0</v>
      </c>
      <c r="N46" s="171">
        <f t="shared" si="13"/>
        <v>7.94</v>
      </c>
      <c r="O46" s="171">
        <f t="shared" si="16"/>
        <v>0.88427337030255582</v>
      </c>
      <c r="P46" s="172"/>
      <c r="Q46" s="172"/>
      <c r="R46" s="172"/>
      <c r="S46" s="172"/>
      <c r="T46" s="172"/>
      <c r="U46" s="172"/>
      <c r="V46" s="172"/>
      <c r="W46" s="172">
        <f>VLOOKUP(D46,KEY!$D$35:$E$44,2,FALSE)</f>
        <v>18</v>
      </c>
      <c r="X46" s="173" t="str">
        <f t="shared" si="17"/>
        <v>N</v>
      </c>
      <c r="Y46" s="174">
        <f t="shared" si="18"/>
        <v>0</v>
      </c>
      <c r="Z46" s="116" t="s">
        <v>436</v>
      </c>
      <c r="AB46" s="62">
        <v>1450</v>
      </c>
      <c r="AC46" s="113">
        <v>6490</v>
      </c>
      <c r="AD46" s="113"/>
      <c r="AE46" s="113"/>
      <c r="AF46" s="113"/>
      <c r="AG46" s="113"/>
      <c r="AH46" s="113"/>
    </row>
    <row r="47" spans="1:34" ht="20.100000000000001" customHeight="1" x14ac:dyDescent="0.25">
      <c r="A47" s="175">
        <v>31</v>
      </c>
      <c r="B47" s="157">
        <v>0.65486111111111112</v>
      </c>
      <c r="C47" s="5" t="s">
        <v>113</v>
      </c>
      <c r="D47" s="5">
        <v>7</v>
      </c>
      <c r="E47" s="43">
        <v>2</v>
      </c>
      <c r="F47" s="76" t="s">
        <v>58</v>
      </c>
      <c r="G47" s="250">
        <f t="shared" si="6"/>
        <v>0.9</v>
      </c>
      <c r="H47" s="250">
        <f t="shared" si="7"/>
        <v>3.31</v>
      </c>
      <c r="I47" s="250">
        <f t="shared" si="8"/>
        <v>0</v>
      </c>
      <c r="J47" s="250">
        <f t="shared" si="9"/>
        <v>0</v>
      </c>
      <c r="K47" s="250">
        <f t="shared" si="10"/>
        <v>0</v>
      </c>
      <c r="L47" s="250">
        <f t="shared" si="11"/>
        <v>0</v>
      </c>
      <c r="M47" s="250">
        <f t="shared" si="12"/>
        <v>0</v>
      </c>
      <c r="N47" s="171">
        <f t="shared" si="13"/>
        <v>4.21</v>
      </c>
      <c r="O47" s="171">
        <f t="shared" si="16"/>
        <v>5.0893663835990609E-2</v>
      </c>
      <c r="P47" s="172"/>
      <c r="Q47" s="172"/>
      <c r="R47" s="172"/>
      <c r="S47" s="172"/>
      <c r="T47" s="172"/>
      <c r="U47" s="172"/>
      <c r="V47" s="172"/>
      <c r="W47" s="172">
        <f>VLOOKUP(D47,KEY!$D$35:$E$44,2,FALSE)</f>
        <v>18</v>
      </c>
      <c r="X47" s="173" t="str">
        <f t="shared" si="17"/>
        <v>N</v>
      </c>
      <c r="Y47" s="174">
        <f t="shared" si="18"/>
        <v>0</v>
      </c>
      <c r="Z47" s="9" t="s">
        <v>428</v>
      </c>
      <c r="AB47" s="62">
        <v>900</v>
      </c>
      <c r="AC47" s="113">
        <v>3310</v>
      </c>
      <c r="AD47" s="113"/>
      <c r="AE47" s="113"/>
      <c r="AF47" s="113"/>
      <c r="AG47" s="113"/>
      <c r="AH47" s="113"/>
    </row>
    <row r="48" spans="1:34" ht="20.100000000000001" customHeight="1" x14ac:dyDescent="0.25">
      <c r="A48" s="175">
        <v>39</v>
      </c>
      <c r="B48" s="179">
        <v>0.71944444444444444</v>
      </c>
      <c r="C48" s="5" t="s">
        <v>121</v>
      </c>
      <c r="D48" s="5">
        <v>7</v>
      </c>
      <c r="E48" s="29">
        <v>2</v>
      </c>
      <c r="F48" s="142" t="s">
        <v>58</v>
      </c>
      <c r="G48" s="250">
        <f t="shared" si="6"/>
        <v>2.1</v>
      </c>
      <c r="H48" s="250">
        <f t="shared" si="7"/>
        <v>9.02</v>
      </c>
      <c r="I48" s="250">
        <f t="shared" si="8"/>
        <v>0</v>
      </c>
      <c r="J48" s="250">
        <f t="shared" si="9"/>
        <v>0</v>
      </c>
      <c r="K48" s="250">
        <f t="shared" si="10"/>
        <v>0</v>
      </c>
      <c r="L48" s="250">
        <f t="shared" si="11"/>
        <v>0</v>
      </c>
      <c r="M48" s="250">
        <f t="shared" si="12"/>
        <v>0</v>
      </c>
      <c r="N48" s="171">
        <f t="shared" si="13"/>
        <v>11.12</v>
      </c>
      <c r="O48" s="171">
        <f t="shared" si="16"/>
        <v>4.0259263735527826</v>
      </c>
      <c r="P48" s="172"/>
      <c r="Q48" s="172"/>
      <c r="R48" s="172"/>
      <c r="S48" s="172"/>
      <c r="T48" s="172"/>
      <c r="U48" s="172"/>
      <c r="V48" s="172"/>
      <c r="W48" s="172">
        <f>VLOOKUP(D48,KEY!$D$35:$E$44,2,FALSE)</f>
        <v>18</v>
      </c>
      <c r="X48" s="173" t="str">
        <f t="shared" si="17"/>
        <v>N</v>
      </c>
      <c r="Y48" s="174">
        <f t="shared" si="18"/>
        <v>0</v>
      </c>
      <c r="Z48" s="116" t="s">
        <v>436</v>
      </c>
      <c r="AB48" s="62">
        <v>2100</v>
      </c>
      <c r="AC48" s="113">
        <v>9020</v>
      </c>
      <c r="AD48" s="113"/>
      <c r="AE48" s="113"/>
      <c r="AF48" s="113"/>
      <c r="AG48" s="113"/>
      <c r="AH48" s="113"/>
    </row>
    <row r="49" spans="1:34" ht="20.100000000000001" customHeight="1" x14ac:dyDescent="0.25">
      <c r="A49" s="175">
        <f>A46+1</f>
        <v>41</v>
      </c>
      <c r="B49" s="157">
        <v>0.30416666666666664</v>
      </c>
      <c r="C49" s="5" t="s">
        <v>34</v>
      </c>
      <c r="D49" s="5">
        <v>7</v>
      </c>
      <c r="E49" s="43">
        <v>2</v>
      </c>
      <c r="F49" s="39" t="s">
        <v>58</v>
      </c>
      <c r="G49" s="250">
        <f t="shared" si="6"/>
        <v>1.8</v>
      </c>
      <c r="H49" s="250">
        <f t="shared" si="7"/>
        <v>9.4499999999999993</v>
      </c>
      <c r="I49" s="250">
        <f t="shared" si="8"/>
        <v>0</v>
      </c>
      <c r="J49" s="250">
        <f t="shared" si="9"/>
        <v>0</v>
      </c>
      <c r="K49" s="250">
        <f t="shared" si="10"/>
        <v>0</v>
      </c>
      <c r="L49" s="250">
        <f t="shared" si="11"/>
        <v>0</v>
      </c>
      <c r="M49" s="250">
        <f t="shared" si="12"/>
        <v>0</v>
      </c>
      <c r="N49" s="171">
        <f t="shared" si="13"/>
        <v>11.25</v>
      </c>
      <c r="O49" s="171">
        <f t="shared" si="16"/>
        <v>4.2420974075867841</v>
      </c>
      <c r="P49" s="172"/>
      <c r="Q49" s="172"/>
      <c r="R49" s="172"/>
      <c r="S49" s="172"/>
      <c r="T49" s="172"/>
      <c r="U49" s="172"/>
      <c r="V49" s="172"/>
      <c r="W49" s="172">
        <f>VLOOKUP(D49,KEY!$D$35:$E$44,2,FALSE)</f>
        <v>18</v>
      </c>
      <c r="X49" s="173" t="str">
        <f t="shared" si="17"/>
        <v>N</v>
      </c>
      <c r="Y49" s="174">
        <f t="shared" si="18"/>
        <v>0</v>
      </c>
      <c r="Z49" s="9" t="s">
        <v>422</v>
      </c>
      <c r="AB49" s="62">
        <v>1800</v>
      </c>
      <c r="AC49" s="113">
        <v>9450</v>
      </c>
      <c r="AD49" s="113"/>
      <c r="AE49" s="113"/>
      <c r="AF49" s="113"/>
      <c r="AG49" s="113"/>
      <c r="AH49" s="113"/>
    </row>
    <row r="50" spans="1:34" ht="20.100000000000001" customHeight="1" x14ac:dyDescent="0.25">
      <c r="A50" s="175">
        <f>A49+1</f>
        <v>42</v>
      </c>
      <c r="B50" s="157">
        <v>0.31458333333333333</v>
      </c>
      <c r="C50" s="31" t="s">
        <v>36</v>
      </c>
      <c r="D50" s="5">
        <v>7</v>
      </c>
      <c r="E50" s="43">
        <v>2</v>
      </c>
      <c r="F50" s="39" t="s">
        <v>58</v>
      </c>
      <c r="G50" s="250">
        <f t="shared" si="6"/>
        <v>1.85</v>
      </c>
      <c r="H50" s="250">
        <f t="shared" si="7"/>
        <v>8.6999999999999993</v>
      </c>
      <c r="I50" s="250">
        <f t="shared" si="8"/>
        <v>0</v>
      </c>
      <c r="J50" s="250">
        <f t="shared" si="9"/>
        <v>0</v>
      </c>
      <c r="K50" s="250">
        <f t="shared" si="10"/>
        <v>0</v>
      </c>
      <c r="L50" s="250">
        <f t="shared" si="11"/>
        <v>0</v>
      </c>
      <c r="M50" s="250">
        <f t="shared" si="12"/>
        <v>0</v>
      </c>
      <c r="N50" s="171">
        <f t="shared" si="13"/>
        <v>10.549999999999999</v>
      </c>
      <c r="O50" s="171">
        <f t="shared" si="16"/>
        <v>3.1770961183163124</v>
      </c>
      <c r="P50" s="172"/>
      <c r="Q50" s="172"/>
      <c r="R50" s="172"/>
      <c r="S50" s="172"/>
      <c r="T50" s="172"/>
      <c r="U50" s="172"/>
      <c r="V50" s="172"/>
      <c r="W50" s="172">
        <f>VLOOKUP(D50,KEY!$D$35:$E$44,2,FALSE)</f>
        <v>18</v>
      </c>
      <c r="X50" s="173" t="str">
        <f t="shared" si="17"/>
        <v>N</v>
      </c>
      <c r="Y50" s="174">
        <f t="shared" si="18"/>
        <v>0</v>
      </c>
      <c r="Z50" s="9" t="s">
        <v>428</v>
      </c>
      <c r="AB50" s="62">
        <v>1850</v>
      </c>
      <c r="AC50" s="113">
        <v>8700</v>
      </c>
      <c r="AD50" s="113"/>
      <c r="AE50" s="113"/>
      <c r="AF50" s="113"/>
      <c r="AG50" s="113"/>
      <c r="AH50" s="113"/>
    </row>
    <row r="51" spans="1:34" ht="20.100000000000001" customHeight="1" x14ac:dyDescent="0.25">
      <c r="A51" s="175">
        <f>A50+1</f>
        <v>43</v>
      </c>
      <c r="B51" s="157">
        <v>0.62847222222222221</v>
      </c>
      <c r="C51" s="5" t="s">
        <v>52</v>
      </c>
      <c r="D51" s="5">
        <v>7</v>
      </c>
      <c r="E51" s="43">
        <v>2</v>
      </c>
      <c r="F51" s="39" t="s">
        <v>58</v>
      </c>
      <c r="G51" s="250">
        <f t="shared" si="6"/>
        <v>2.0499999999999998</v>
      </c>
      <c r="H51" s="250">
        <f t="shared" si="7"/>
        <v>13.41</v>
      </c>
      <c r="I51" s="250">
        <f t="shared" si="8"/>
        <v>0</v>
      </c>
      <c r="J51" s="250">
        <f t="shared" si="9"/>
        <v>0</v>
      </c>
      <c r="K51" s="250">
        <f t="shared" si="10"/>
        <v>0</v>
      </c>
      <c r="L51" s="250">
        <f t="shared" si="11"/>
        <v>0</v>
      </c>
      <c r="M51" s="250">
        <f t="shared" si="12"/>
        <v>0</v>
      </c>
      <c r="N51" s="171">
        <f t="shared" si="13"/>
        <v>15.46</v>
      </c>
      <c r="O51" s="171">
        <f t="shared" si="16"/>
        <v>17.735236685779146</v>
      </c>
      <c r="P51" s="172"/>
      <c r="Q51" s="172"/>
      <c r="R51" s="172"/>
      <c r="S51" s="172"/>
      <c r="T51" s="172"/>
      <c r="U51" s="172"/>
      <c r="V51" s="172"/>
      <c r="W51" s="172">
        <f>VLOOKUP(D51,KEY!$D$35:$E$44,2,FALSE)</f>
        <v>18</v>
      </c>
      <c r="X51" s="173" t="str">
        <f t="shared" si="17"/>
        <v>N</v>
      </c>
      <c r="Y51" s="174">
        <f t="shared" si="18"/>
        <v>0</v>
      </c>
      <c r="Z51" s="9" t="s">
        <v>422</v>
      </c>
      <c r="AB51" s="62">
        <v>2050</v>
      </c>
      <c r="AC51" s="113">
        <v>13410</v>
      </c>
      <c r="AD51" s="113"/>
      <c r="AE51" s="113"/>
      <c r="AF51" s="113"/>
      <c r="AG51" s="113"/>
      <c r="AH51" s="113"/>
    </row>
    <row r="52" spans="1:34" ht="19.5" customHeight="1" x14ac:dyDescent="0.25">
      <c r="A52" s="227">
        <v>32</v>
      </c>
      <c r="B52" s="228">
        <v>0.72638888888888886</v>
      </c>
      <c r="C52" s="47" t="s">
        <v>63</v>
      </c>
      <c r="D52" s="5">
        <v>7</v>
      </c>
      <c r="E52" s="49">
        <v>2</v>
      </c>
      <c r="F52" s="145" t="s">
        <v>58</v>
      </c>
      <c r="G52" s="250">
        <f t="shared" si="6"/>
        <v>2.25</v>
      </c>
      <c r="H52" s="250">
        <f t="shared" si="7"/>
        <v>12.18</v>
      </c>
      <c r="I52" s="250">
        <f t="shared" si="8"/>
        <v>0</v>
      </c>
      <c r="J52" s="250">
        <f t="shared" si="9"/>
        <v>0</v>
      </c>
      <c r="K52" s="250">
        <f t="shared" si="10"/>
        <v>0</v>
      </c>
      <c r="L52" s="250">
        <f t="shared" si="11"/>
        <v>0</v>
      </c>
      <c r="M52" s="250">
        <f t="shared" si="12"/>
        <v>0</v>
      </c>
      <c r="N52" s="171">
        <f t="shared" si="13"/>
        <v>14.43</v>
      </c>
      <c r="O52" s="229">
        <f t="shared" si="16"/>
        <v>13.004473545410377</v>
      </c>
      <c r="P52" s="230"/>
      <c r="Q52" s="230"/>
      <c r="R52" s="230"/>
      <c r="S52" s="230"/>
      <c r="T52" s="230"/>
      <c r="U52" s="230"/>
      <c r="V52" s="230"/>
      <c r="W52" s="230">
        <f>VLOOKUP(D52,KEY!$D$35:$E$44,2,FALSE)</f>
        <v>18</v>
      </c>
      <c r="X52" s="231" t="str">
        <f t="shared" si="17"/>
        <v>N</v>
      </c>
      <c r="Y52" s="232">
        <f t="shared" si="18"/>
        <v>0</v>
      </c>
      <c r="Z52" s="53" t="s">
        <v>422</v>
      </c>
      <c r="AB52" s="70">
        <v>2250</v>
      </c>
      <c r="AC52" s="192">
        <v>12180</v>
      </c>
      <c r="AD52" s="192"/>
      <c r="AE52" s="192"/>
      <c r="AF52" s="192"/>
      <c r="AG52" s="192"/>
      <c r="AH52" s="192"/>
    </row>
    <row r="53" spans="1:34" s="235" customFormat="1" ht="20.100000000000001" customHeight="1" x14ac:dyDescent="0.25">
      <c r="A53" s="110">
        <f t="shared" ref="A53:A84" si="19">A52+1</f>
        <v>33</v>
      </c>
      <c r="B53" s="110">
        <v>0.56527777777777777</v>
      </c>
      <c r="C53" s="110" t="s">
        <v>146</v>
      </c>
      <c r="D53" s="110">
        <v>9</v>
      </c>
      <c r="E53" s="110">
        <v>3</v>
      </c>
      <c r="F53" s="110" t="s">
        <v>60</v>
      </c>
      <c r="G53" s="250">
        <f t="shared" si="6"/>
        <v>3.96</v>
      </c>
      <c r="H53" s="250">
        <f t="shared" si="7"/>
        <v>14.85</v>
      </c>
      <c r="I53" s="250">
        <f t="shared" si="8"/>
        <v>12.37</v>
      </c>
      <c r="J53" s="250">
        <f t="shared" si="9"/>
        <v>0</v>
      </c>
      <c r="K53" s="250">
        <f t="shared" si="10"/>
        <v>0</v>
      </c>
      <c r="L53" s="250">
        <f t="shared" si="11"/>
        <v>0</v>
      </c>
      <c r="M53" s="250">
        <f t="shared" si="12"/>
        <v>0</v>
      </c>
      <c r="N53" s="171">
        <f t="shared" si="13"/>
        <v>31.18</v>
      </c>
      <c r="O53" s="110">
        <f t="shared" si="16"/>
        <v>416.71274601154136</v>
      </c>
      <c r="P53" s="110"/>
      <c r="Q53" s="110"/>
      <c r="R53" s="110"/>
      <c r="S53" s="110"/>
      <c r="T53" s="110"/>
      <c r="U53" s="110"/>
      <c r="V53" s="110"/>
      <c r="W53" s="110">
        <f>VLOOKUP(D53,KEY!$D$35:$E$44,2,FALSE)</f>
        <v>26</v>
      </c>
      <c r="X53" s="110" t="str">
        <f t="shared" si="17"/>
        <v>Y</v>
      </c>
      <c r="Y53" s="110">
        <f t="shared" si="18"/>
        <v>0.19923076923076921</v>
      </c>
      <c r="Z53" s="110" t="s">
        <v>430</v>
      </c>
      <c r="AB53" s="110">
        <v>3960</v>
      </c>
      <c r="AC53" s="110">
        <v>14850</v>
      </c>
      <c r="AD53" s="110">
        <v>12370</v>
      </c>
      <c r="AE53" s="110"/>
      <c r="AF53" s="110"/>
      <c r="AG53" s="110"/>
      <c r="AH53" s="110"/>
    </row>
    <row r="54" spans="1:34" s="235" customFormat="1" ht="20.100000000000001" customHeight="1" x14ac:dyDescent="0.25">
      <c r="A54" s="110">
        <f t="shared" si="19"/>
        <v>34</v>
      </c>
      <c r="B54" s="110">
        <v>0.3666666666666667</v>
      </c>
      <c r="C54" s="110" t="s">
        <v>149</v>
      </c>
      <c r="D54" s="110">
        <v>9</v>
      </c>
      <c r="E54" s="110">
        <v>3</v>
      </c>
      <c r="F54" s="110" t="s">
        <v>60</v>
      </c>
      <c r="G54" s="250">
        <f t="shared" si="6"/>
        <v>2.75</v>
      </c>
      <c r="H54" s="250">
        <f t="shared" si="7"/>
        <v>13.86</v>
      </c>
      <c r="I54" s="250">
        <f t="shared" si="8"/>
        <v>16.25</v>
      </c>
      <c r="J54" s="250">
        <f t="shared" si="9"/>
        <v>0</v>
      </c>
      <c r="K54" s="250">
        <f t="shared" si="10"/>
        <v>0</v>
      </c>
      <c r="L54" s="250">
        <f t="shared" si="11"/>
        <v>0</v>
      </c>
      <c r="M54" s="250">
        <f t="shared" si="12"/>
        <v>0</v>
      </c>
      <c r="N54" s="171">
        <f t="shared" si="13"/>
        <v>32.86</v>
      </c>
      <c r="O54" s="110">
        <f t="shared" si="16"/>
        <v>527.71361796885412</v>
      </c>
      <c r="P54" s="110"/>
      <c r="Q54" s="110"/>
      <c r="R54" s="110"/>
      <c r="S54" s="110"/>
      <c r="T54" s="110"/>
      <c r="U54" s="110"/>
      <c r="V54" s="110"/>
      <c r="W54" s="110">
        <f>VLOOKUP(D54,KEY!$D$35:$E$44,2,FALSE)</f>
        <v>26</v>
      </c>
      <c r="X54" s="110" t="str">
        <f t="shared" si="17"/>
        <v>Y</v>
      </c>
      <c r="Y54" s="110">
        <f t="shared" si="18"/>
        <v>0.26384615384615384</v>
      </c>
      <c r="Z54" s="110" t="s">
        <v>426</v>
      </c>
      <c r="AB54" s="110">
        <v>2750</v>
      </c>
      <c r="AC54" s="110">
        <v>13860</v>
      </c>
      <c r="AD54" s="110">
        <v>16250</v>
      </c>
      <c r="AE54" s="110"/>
      <c r="AF54" s="110"/>
      <c r="AG54" s="110"/>
      <c r="AH54" s="110"/>
    </row>
    <row r="55" spans="1:34" s="235" customFormat="1" ht="20.100000000000001" customHeight="1" x14ac:dyDescent="0.25">
      <c r="A55" s="110">
        <f t="shared" si="19"/>
        <v>35</v>
      </c>
      <c r="B55" s="110">
        <v>0.3972222222222222</v>
      </c>
      <c r="C55" s="110" t="s">
        <v>165</v>
      </c>
      <c r="D55" s="110">
        <v>9</v>
      </c>
      <c r="E55" s="110">
        <v>3</v>
      </c>
      <c r="F55" s="110" t="s">
        <v>60</v>
      </c>
      <c r="G55" s="250">
        <f t="shared" si="6"/>
        <v>1.35</v>
      </c>
      <c r="H55" s="250">
        <f t="shared" si="7"/>
        <v>2.77</v>
      </c>
      <c r="I55" s="250">
        <f t="shared" si="8"/>
        <v>2.95</v>
      </c>
      <c r="J55" s="250">
        <f t="shared" si="9"/>
        <v>0</v>
      </c>
      <c r="K55" s="250">
        <f t="shared" si="10"/>
        <v>0</v>
      </c>
      <c r="L55" s="250">
        <f t="shared" si="11"/>
        <v>0</v>
      </c>
      <c r="M55" s="250">
        <f t="shared" si="12"/>
        <v>0</v>
      </c>
      <c r="N55" s="171">
        <f t="shared" si="13"/>
        <v>7.07</v>
      </c>
      <c r="O55" s="110">
        <f t="shared" si="16"/>
        <v>0.52454366662192209</v>
      </c>
      <c r="P55" s="110"/>
      <c r="Q55" s="110"/>
      <c r="R55" s="110"/>
      <c r="S55" s="110"/>
      <c r="T55" s="110"/>
      <c r="U55" s="110"/>
      <c r="V55" s="110"/>
      <c r="W55" s="110">
        <f>VLOOKUP(D55,KEY!$D$35:$E$44,2,FALSE)</f>
        <v>26</v>
      </c>
      <c r="X55" s="110" t="str">
        <f t="shared" si="17"/>
        <v>N</v>
      </c>
      <c r="Y55" s="110">
        <f t="shared" si="18"/>
        <v>0</v>
      </c>
      <c r="Z55" s="110" t="s">
        <v>369</v>
      </c>
      <c r="AB55" s="110">
        <v>1350</v>
      </c>
      <c r="AC55" s="110">
        <v>2770</v>
      </c>
      <c r="AD55" s="110">
        <v>2950</v>
      </c>
      <c r="AE55" s="110"/>
      <c r="AF55" s="110"/>
      <c r="AG55" s="110"/>
      <c r="AH55" s="110"/>
    </row>
    <row r="56" spans="1:34" s="235" customFormat="1" ht="20.100000000000001" customHeight="1" x14ac:dyDescent="0.25">
      <c r="A56" s="110">
        <f t="shared" si="19"/>
        <v>36</v>
      </c>
      <c r="B56" s="110">
        <v>0.45555555555555555</v>
      </c>
      <c r="C56" s="110" t="s">
        <v>208</v>
      </c>
      <c r="D56" s="110">
        <v>9</v>
      </c>
      <c r="E56" s="110">
        <v>3</v>
      </c>
      <c r="F56" s="110" t="s">
        <v>60</v>
      </c>
      <c r="G56" s="250">
        <f t="shared" si="6"/>
        <v>2.4</v>
      </c>
      <c r="H56" s="250">
        <f t="shared" si="7"/>
        <v>12.2</v>
      </c>
      <c r="I56" s="250">
        <f t="shared" si="8"/>
        <v>11.6</v>
      </c>
      <c r="J56" s="250">
        <f t="shared" si="9"/>
        <v>0</v>
      </c>
      <c r="K56" s="250">
        <f t="shared" si="10"/>
        <v>0</v>
      </c>
      <c r="L56" s="250">
        <f t="shared" si="11"/>
        <v>0</v>
      </c>
      <c r="M56" s="250">
        <f t="shared" si="12"/>
        <v>0</v>
      </c>
      <c r="N56" s="171">
        <f t="shared" si="13"/>
        <v>26.2</v>
      </c>
      <c r="O56" s="110">
        <f t="shared" si="16"/>
        <v>190.43645855990641</v>
      </c>
      <c r="P56" s="110"/>
      <c r="Q56" s="110"/>
      <c r="R56" s="110"/>
      <c r="S56" s="110"/>
      <c r="T56" s="110"/>
      <c r="U56" s="110"/>
      <c r="V56" s="110"/>
      <c r="W56" s="110">
        <f>VLOOKUP(D56,KEY!$D$35:$E$44,2,FALSE)</f>
        <v>26</v>
      </c>
      <c r="X56" s="110" t="str">
        <f t="shared" si="17"/>
        <v>Y</v>
      </c>
      <c r="Y56" s="110">
        <f t="shared" si="18"/>
        <v>7.692307692307665E-3</v>
      </c>
      <c r="Z56" s="110" t="s">
        <v>430</v>
      </c>
      <c r="AB56" s="110">
        <v>2400</v>
      </c>
      <c r="AC56" s="110">
        <v>12200</v>
      </c>
      <c r="AD56" s="110">
        <v>11600</v>
      </c>
      <c r="AE56" s="110"/>
      <c r="AF56" s="110"/>
      <c r="AG56" s="110"/>
      <c r="AH56" s="110"/>
    </row>
    <row r="57" spans="1:34" s="235" customFormat="1" ht="20.100000000000001" customHeight="1" x14ac:dyDescent="0.25">
      <c r="A57" s="110">
        <f t="shared" si="19"/>
        <v>37</v>
      </c>
      <c r="B57" s="110">
        <v>0.56388888888888888</v>
      </c>
      <c r="C57" s="110" t="s">
        <v>234</v>
      </c>
      <c r="D57" s="110">
        <v>9</v>
      </c>
      <c r="E57" s="110">
        <v>3</v>
      </c>
      <c r="F57" s="110" t="s">
        <v>60</v>
      </c>
      <c r="G57" s="250">
        <f t="shared" si="6"/>
        <v>1</v>
      </c>
      <c r="H57" s="250">
        <f t="shared" si="7"/>
        <v>2.25</v>
      </c>
      <c r="I57" s="250">
        <f t="shared" si="8"/>
        <v>2.12</v>
      </c>
      <c r="J57" s="250">
        <f t="shared" si="9"/>
        <v>0</v>
      </c>
      <c r="K57" s="250">
        <f t="shared" si="10"/>
        <v>0</v>
      </c>
      <c r="L57" s="250">
        <f t="shared" si="11"/>
        <v>0</v>
      </c>
      <c r="M57" s="250">
        <f t="shared" si="12"/>
        <v>0</v>
      </c>
      <c r="N57" s="171">
        <f t="shared" si="13"/>
        <v>5.37</v>
      </c>
      <c r="O57" s="110">
        <f t="shared" si="16"/>
        <v>0.15215231735200196</v>
      </c>
      <c r="P57" s="110"/>
      <c r="Q57" s="110"/>
      <c r="R57" s="110"/>
      <c r="S57" s="110"/>
      <c r="T57" s="110"/>
      <c r="U57" s="110"/>
      <c r="V57" s="110"/>
      <c r="W57" s="110">
        <f>VLOOKUP(D57,KEY!$D$35:$E$44,2,FALSE)</f>
        <v>26</v>
      </c>
      <c r="X57" s="110" t="str">
        <f t="shared" si="17"/>
        <v>N</v>
      </c>
      <c r="Y57" s="110">
        <f t="shared" si="18"/>
        <v>0</v>
      </c>
      <c r="Z57" s="110" t="s">
        <v>369</v>
      </c>
      <c r="AB57" s="110">
        <v>1000</v>
      </c>
      <c r="AC57" s="110">
        <v>2250</v>
      </c>
      <c r="AD57" s="110">
        <v>2120</v>
      </c>
      <c r="AE57" s="110"/>
      <c r="AF57" s="110"/>
      <c r="AG57" s="110"/>
      <c r="AH57" s="110"/>
    </row>
    <row r="58" spans="1:34" s="235" customFormat="1" ht="20.100000000000001" customHeight="1" x14ac:dyDescent="0.25">
      <c r="A58" s="110">
        <f t="shared" si="19"/>
        <v>38</v>
      </c>
      <c r="B58" s="110">
        <v>0.54236111111111118</v>
      </c>
      <c r="C58" s="110" t="s">
        <v>87</v>
      </c>
      <c r="D58" s="110">
        <v>9</v>
      </c>
      <c r="E58" s="110">
        <v>3</v>
      </c>
      <c r="F58" s="110" t="s">
        <v>60</v>
      </c>
      <c r="G58" s="250">
        <f t="shared" si="6"/>
        <v>2.75</v>
      </c>
      <c r="H58" s="250">
        <f t="shared" si="7"/>
        <v>2.5299999999999998</v>
      </c>
      <c r="I58" s="250">
        <f t="shared" si="8"/>
        <v>2.63</v>
      </c>
      <c r="J58" s="250">
        <f t="shared" si="9"/>
        <v>0</v>
      </c>
      <c r="K58" s="250">
        <f t="shared" si="10"/>
        <v>0</v>
      </c>
      <c r="L58" s="250">
        <f t="shared" si="11"/>
        <v>0</v>
      </c>
      <c r="M58" s="250">
        <f t="shared" si="12"/>
        <v>0</v>
      </c>
      <c r="N58" s="171">
        <f t="shared" si="13"/>
        <v>7.9099999999999993</v>
      </c>
      <c r="O58" s="110">
        <f t="shared" si="16"/>
        <v>0.86933759500674002</v>
      </c>
      <c r="P58" s="110"/>
      <c r="Q58" s="110"/>
      <c r="R58" s="110"/>
      <c r="S58" s="110"/>
      <c r="T58" s="110"/>
      <c r="U58" s="110"/>
      <c r="V58" s="110"/>
      <c r="W58" s="110">
        <f>VLOOKUP(D58,KEY!$D$35:$E$44,2,FALSE)</f>
        <v>26</v>
      </c>
      <c r="X58" s="110" t="str">
        <f t="shared" si="17"/>
        <v>N</v>
      </c>
      <c r="Y58" s="110">
        <f t="shared" si="18"/>
        <v>0</v>
      </c>
      <c r="Z58" s="110" t="s">
        <v>369</v>
      </c>
      <c r="AB58" s="110">
        <v>2750</v>
      </c>
      <c r="AC58" s="110">
        <v>2530</v>
      </c>
      <c r="AD58" s="110">
        <v>2630</v>
      </c>
      <c r="AE58" s="110"/>
      <c r="AF58" s="110"/>
      <c r="AG58" s="110"/>
      <c r="AH58" s="110"/>
    </row>
    <row r="59" spans="1:34" s="235" customFormat="1" ht="20.100000000000001" customHeight="1" x14ac:dyDescent="0.25">
      <c r="A59" s="110">
        <f t="shared" si="19"/>
        <v>39</v>
      </c>
      <c r="B59" s="110">
        <v>0.5493055555555556</v>
      </c>
      <c r="C59" s="110" t="s">
        <v>178</v>
      </c>
      <c r="D59" s="110">
        <v>9</v>
      </c>
      <c r="E59" s="110">
        <v>3</v>
      </c>
      <c r="F59" s="110" t="s">
        <v>60</v>
      </c>
      <c r="G59" s="250">
        <f t="shared" si="6"/>
        <v>2.7</v>
      </c>
      <c r="H59" s="250">
        <f t="shared" si="7"/>
        <v>8.1300000000000008</v>
      </c>
      <c r="I59" s="250">
        <f t="shared" si="8"/>
        <v>10.1</v>
      </c>
      <c r="J59" s="250">
        <f t="shared" si="9"/>
        <v>0</v>
      </c>
      <c r="K59" s="250">
        <f t="shared" si="10"/>
        <v>0</v>
      </c>
      <c r="L59" s="250">
        <f t="shared" si="11"/>
        <v>0</v>
      </c>
      <c r="M59" s="250">
        <f t="shared" si="12"/>
        <v>0</v>
      </c>
      <c r="N59" s="171">
        <f t="shared" si="13"/>
        <v>20.93</v>
      </c>
      <c r="O59" s="110">
        <f t="shared" si="16"/>
        <v>69.319562510459988</v>
      </c>
      <c r="P59" s="110"/>
      <c r="Q59" s="110"/>
      <c r="R59" s="110"/>
      <c r="S59" s="110"/>
      <c r="T59" s="110"/>
      <c r="U59" s="110"/>
      <c r="V59" s="110"/>
      <c r="W59" s="110">
        <f>VLOOKUP(D59,KEY!$D$35:$E$44,2,FALSE)</f>
        <v>26</v>
      </c>
      <c r="X59" s="110" t="str">
        <f t="shared" si="17"/>
        <v>N</v>
      </c>
      <c r="Y59" s="110">
        <f t="shared" si="18"/>
        <v>0</v>
      </c>
      <c r="Z59" s="110" t="s">
        <v>430</v>
      </c>
      <c r="AB59" s="110">
        <v>2700</v>
      </c>
      <c r="AC59" s="110">
        <v>8130</v>
      </c>
      <c r="AD59" s="110">
        <v>10100</v>
      </c>
      <c r="AE59" s="110"/>
      <c r="AF59" s="110"/>
      <c r="AG59" s="110"/>
      <c r="AH59" s="110"/>
    </row>
    <row r="60" spans="1:34" s="235" customFormat="1" ht="20.100000000000001" customHeight="1" x14ac:dyDescent="0.25">
      <c r="A60" s="110">
        <f t="shared" si="19"/>
        <v>40</v>
      </c>
      <c r="B60" s="110">
        <v>0.56597222222222221</v>
      </c>
      <c r="C60" s="110" t="s">
        <v>183</v>
      </c>
      <c r="D60" s="110">
        <v>9</v>
      </c>
      <c r="E60" s="110">
        <v>3</v>
      </c>
      <c r="F60" s="110" t="s">
        <v>60</v>
      </c>
      <c r="G60" s="250">
        <f t="shared" si="6"/>
        <v>1.65</v>
      </c>
      <c r="H60" s="250">
        <f t="shared" si="7"/>
        <v>4.32</v>
      </c>
      <c r="I60" s="250">
        <f t="shared" si="8"/>
        <v>5.28</v>
      </c>
      <c r="J60" s="250">
        <f t="shared" si="9"/>
        <v>0</v>
      </c>
      <c r="K60" s="250">
        <f t="shared" si="10"/>
        <v>0</v>
      </c>
      <c r="L60" s="250">
        <f t="shared" si="11"/>
        <v>0</v>
      </c>
      <c r="M60" s="250">
        <f t="shared" si="12"/>
        <v>0</v>
      </c>
      <c r="N60" s="171">
        <f t="shared" si="13"/>
        <v>11.25</v>
      </c>
      <c r="O60" s="110">
        <f t="shared" si="16"/>
        <v>4.2420974075867841</v>
      </c>
      <c r="P60" s="110"/>
      <c r="Q60" s="110"/>
      <c r="R60" s="110"/>
      <c r="S60" s="110"/>
      <c r="T60" s="110"/>
      <c r="U60" s="110"/>
      <c r="V60" s="110"/>
      <c r="W60" s="110">
        <f>VLOOKUP(D60,KEY!$D$35:$E$44,2,FALSE)</f>
        <v>26</v>
      </c>
      <c r="X60" s="110" t="str">
        <f t="shared" si="17"/>
        <v>N</v>
      </c>
      <c r="Y60" s="110">
        <f t="shared" si="18"/>
        <v>0</v>
      </c>
      <c r="Z60" s="110" t="s">
        <v>369</v>
      </c>
      <c r="AB60" s="110">
        <v>1650</v>
      </c>
      <c r="AC60" s="110">
        <v>4320</v>
      </c>
      <c r="AD60" s="110">
        <v>5280</v>
      </c>
      <c r="AE60" s="110"/>
      <c r="AF60" s="110"/>
      <c r="AG60" s="110"/>
      <c r="AH60" s="110"/>
    </row>
    <row r="61" spans="1:34" s="235" customFormat="1" ht="20.100000000000001" customHeight="1" x14ac:dyDescent="0.25">
      <c r="A61" s="110">
        <f t="shared" si="19"/>
        <v>41</v>
      </c>
      <c r="B61" s="110">
        <v>0.62569444444444444</v>
      </c>
      <c r="C61" s="110" t="s">
        <v>245</v>
      </c>
      <c r="D61" s="110">
        <v>9</v>
      </c>
      <c r="E61" s="110">
        <v>3</v>
      </c>
      <c r="F61" s="110" t="s">
        <v>257</v>
      </c>
      <c r="G61" s="250">
        <f t="shared" si="6"/>
        <v>3.4</v>
      </c>
      <c r="H61" s="250">
        <f t="shared" si="7"/>
        <v>8.1</v>
      </c>
      <c r="I61" s="250">
        <f t="shared" si="8"/>
        <v>4.13</v>
      </c>
      <c r="J61" s="250">
        <f t="shared" si="9"/>
        <v>0</v>
      </c>
      <c r="K61" s="250">
        <f t="shared" si="10"/>
        <v>0</v>
      </c>
      <c r="L61" s="250">
        <f t="shared" si="11"/>
        <v>0</v>
      </c>
      <c r="M61" s="250">
        <f t="shared" si="12"/>
        <v>0</v>
      </c>
      <c r="N61" s="171">
        <f t="shared" si="13"/>
        <v>15.629999999999999</v>
      </c>
      <c r="O61" s="110">
        <f t="shared" si="16"/>
        <v>18.629864093614842</v>
      </c>
      <c r="P61" s="110"/>
      <c r="Q61" s="110"/>
      <c r="R61" s="110"/>
      <c r="S61" s="110"/>
      <c r="T61" s="110"/>
      <c r="U61" s="110"/>
      <c r="V61" s="110"/>
      <c r="W61" s="110">
        <f>VLOOKUP(D61,KEY!$D$35:$E$44,2,FALSE)</f>
        <v>26</v>
      </c>
      <c r="X61" s="110" t="str">
        <f t="shared" si="17"/>
        <v>N</v>
      </c>
      <c r="Y61" s="110">
        <f t="shared" si="18"/>
        <v>0</v>
      </c>
      <c r="Z61" s="110" t="s">
        <v>422</v>
      </c>
      <c r="AB61" s="110">
        <v>3400</v>
      </c>
      <c r="AC61" s="110">
        <v>8100</v>
      </c>
      <c r="AD61" s="110">
        <v>4130</v>
      </c>
      <c r="AE61" s="110"/>
      <c r="AF61" s="110"/>
      <c r="AG61" s="110"/>
      <c r="AH61" s="110"/>
    </row>
    <row r="62" spans="1:34" s="235" customFormat="1" ht="20.100000000000001" customHeight="1" x14ac:dyDescent="0.25">
      <c r="A62" s="110">
        <f t="shared" si="19"/>
        <v>42</v>
      </c>
      <c r="B62" s="110">
        <v>0.75</v>
      </c>
      <c r="C62" s="110" t="s">
        <v>192</v>
      </c>
      <c r="D62" s="110">
        <v>9</v>
      </c>
      <c r="E62" s="110">
        <v>3</v>
      </c>
      <c r="F62" s="110" t="s">
        <v>60</v>
      </c>
      <c r="G62" s="250">
        <f t="shared" si="6"/>
        <v>2.65</v>
      </c>
      <c r="H62" s="250">
        <f t="shared" si="7"/>
        <v>8.43</v>
      </c>
      <c r="I62" s="250">
        <f t="shared" si="8"/>
        <v>8.5</v>
      </c>
      <c r="J62" s="250">
        <f t="shared" si="9"/>
        <v>0</v>
      </c>
      <c r="K62" s="250">
        <f t="shared" si="10"/>
        <v>0</v>
      </c>
      <c r="L62" s="250">
        <f t="shared" si="11"/>
        <v>0</v>
      </c>
      <c r="M62" s="250">
        <f t="shared" si="12"/>
        <v>0</v>
      </c>
      <c r="N62" s="171">
        <f t="shared" si="13"/>
        <v>19.579999999999998</v>
      </c>
      <c r="O62" s="110">
        <f t="shared" si="16"/>
        <v>51.351292505728225</v>
      </c>
      <c r="P62" s="110"/>
      <c r="Q62" s="110"/>
      <c r="R62" s="110"/>
      <c r="S62" s="110"/>
      <c r="T62" s="110"/>
      <c r="U62" s="110"/>
      <c r="V62" s="110"/>
      <c r="W62" s="110">
        <f>VLOOKUP(D62,KEY!$D$35:$E$44,2,FALSE)</f>
        <v>26</v>
      </c>
      <c r="X62" s="110" t="str">
        <f t="shared" si="17"/>
        <v>N</v>
      </c>
      <c r="Y62" s="110">
        <f t="shared" si="18"/>
        <v>0</v>
      </c>
      <c r="Z62" s="110" t="s">
        <v>422</v>
      </c>
      <c r="AB62" s="110">
        <v>2650</v>
      </c>
      <c r="AC62" s="110">
        <v>8430</v>
      </c>
      <c r="AD62" s="110">
        <v>8500</v>
      </c>
      <c r="AE62" s="110"/>
      <c r="AF62" s="110"/>
      <c r="AG62" s="110"/>
      <c r="AH62" s="110"/>
    </row>
    <row r="63" spans="1:34" s="235" customFormat="1" ht="20.100000000000001" customHeight="1" x14ac:dyDescent="0.25">
      <c r="A63" s="110">
        <f t="shared" si="19"/>
        <v>43</v>
      </c>
      <c r="B63" s="110">
        <v>0.16041666666666668</v>
      </c>
      <c r="C63" s="110" t="s">
        <v>316</v>
      </c>
      <c r="D63" s="110">
        <v>9</v>
      </c>
      <c r="E63" s="110">
        <v>3</v>
      </c>
      <c r="F63" s="110" t="s">
        <v>60</v>
      </c>
      <c r="G63" s="250">
        <f t="shared" si="6"/>
        <v>2.0499999999999998</v>
      </c>
      <c r="H63" s="250">
        <f t="shared" si="7"/>
        <v>10.85</v>
      </c>
      <c r="I63" s="250">
        <f t="shared" si="8"/>
        <v>10.3</v>
      </c>
      <c r="J63" s="250">
        <f t="shared" si="9"/>
        <v>0</v>
      </c>
      <c r="K63" s="250">
        <f t="shared" si="10"/>
        <v>0</v>
      </c>
      <c r="L63" s="250">
        <f t="shared" si="11"/>
        <v>0</v>
      </c>
      <c r="M63" s="250">
        <f t="shared" si="12"/>
        <v>0</v>
      </c>
      <c r="N63" s="171">
        <f t="shared" si="13"/>
        <v>23.2</v>
      </c>
      <c r="O63" s="110">
        <f t="shared" si="16"/>
        <v>110.17681601903237</v>
      </c>
      <c r="P63" s="110"/>
      <c r="Q63" s="110"/>
      <c r="R63" s="110"/>
      <c r="S63" s="110"/>
      <c r="T63" s="110"/>
      <c r="U63" s="110"/>
      <c r="V63" s="110"/>
      <c r="W63" s="110">
        <f>VLOOKUP(D63,KEY!$D$35:$E$44,2,FALSE)</f>
        <v>26</v>
      </c>
      <c r="X63" s="110" t="str">
        <f t="shared" si="17"/>
        <v>N</v>
      </c>
      <c r="Y63" s="110">
        <f t="shared" si="18"/>
        <v>0</v>
      </c>
      <c r="Z63" s="110" t="s">
        <v>426</v>
      </c>
      <c r="AB63" s="110">
        <v>2050</v>
      </c>
      <c r="AC63" s="110">
        <v>10850</v>
      </c>
      <c r="AD63" s="110">
        <v>10300</v>
      </c>
      <c r="AE63" s="110"/>
      <c r="AF63" s="110"/>
      <c r="AG63" s="110"/>
      <c r="AH63" s="110"/>
    </row>
    <row r="64" spans="1:34" s="235" customFormat="1" ht="20.100000000000001" customHeight="1" x14ac:dyDescent="0.25">
      <c r="A64" s="110">
        <f t="shared" si="19"/>
        <v>44</v>
      </c>
      <c r="B64" s="110">
        <v>0.28611111111111115</v>
      </c>
      <c r="C64" s="110" t="s">
        <v>32</v>
      </c>
      <c r="D64" s="110">
        <v>9</v>
      </c>
      <c r="E64" s="110">
        <v>3</v>
      </c>
      <c r="F64" s="110" t="s">
        <v>60</v>
      </c>
      <c r="G64" s="250">
        <f t="shared" si="6"/>
        <v>2.75</v>
      </c>
      <c r="H64" s="250">
        <f t="shared" si="7"/>
        <v>8.91</v>
      </c>
      <c r="I64" s="250">
        <f t="shared" si="8"/>
        <v>8.86</v>
      </c>
      <c r="J64" s="250">
        <f t="shared" si="9"/>
        <v>0</v>
      </c>
      <c r="K64" s="250">
        <f t="shared" si="10"/>
        <v>0</v>
      </c>
      <c r="L64" s="250">
        <f t="shared" si="11"/>
        <v>0</v>
      </c>
      <c r="M64" s="250">
        <f t="shared" si="12"/>
        <v>0</v>
      </c>
      <c r="N64" s="171">
        <f t="shared" si="13"/>
        <v>20.52</v>
      </c>
      <c r="O64" s="110">
        <f t="shared" si="16"/>
        <v>63.415057355728756</v>
      </c>
      <c r="P64" s="110"/>
      <c r="Q64" s="110"/>
      <c r="R64" s="110"/>
      <c r="S64" s="110"/>
      <c r="T64" s="110"/>
      <c r="U64" s="110"/>
      <c r="V64" s="110"/>
      <c r="W64" s="110">
        <f>VLOOKUP(D64,KEY!$D$35:$E$44,2,FALSE)</f>
        <v>26</v>
      </c>
      <c r="X64" s="110" t="str">
        <f t="shared" si="17"/>
        <v>N</v>
      </c>
      <c r="Y64" s="110">
        <f t="shared" si="18"/>
        <v>0</v>
      </c>
      <c r="Z64" s="110" t="s">
        <v>430</v>
      </c>
      <c r="AB64" s="110">
        <v>2750</v>
      </c>
      <c r="AC64" s="110">
        <v>8910</v>
      </c>
      <c r="AD64" s="110">
        <v>8860</v>
      </c>
      <c r="AE64" s="110"/>
      <c r="AF64" s="110"/>
      <c r="AG64" s="110"/>
      <c r="AH64" s="110"/>
    </row>
    <row r="65" spans="1:34" s="235" customFormat="1" ht="20.100000000000001" customHeight="1" x14ac:dyDescent="0.25">
      <c r="A65" s="110">
        <f t="shared" si="19"/>
        <v>45</v>
      </c>
      <c r="B65" s="110">
        <v>0.32500000000000001</v>
      </c>
      <c r="C65" s="110" t="s">
        <v>87</v>
      </c>
      <c r="D65" s="110">
        <v>9</v>
      </c>
      <c r="E65" s="110">
        <v>3</v>
      </c>
      <c r="F65" s="110" t="s">
        <v>60</v>
      </c>
      <c r="G65" s="250">
        <f t="shared" si="6"/>
        <v>2.5299999999999998</v>
      </c>
      <c r="H65" s="250">
        <f t="shared" si="7"/>
        <v>9.31</v>
      </c>
      <c r="I65" s="250">
        <f t="shared" si="8"/>
        <v>8.58</v>
      </c>
      <c r="J65" s="250">
        <f t="shared" si="9"/>
        <v>0</v>
      </c>
      <c r="K65" s="250">
        <f t="shared" si="10"/>
        <v>0</v>
      </c>
      <c r="L65" s="250">
        <f t="shared" si="11"/>
        <v>0</v>
      </c>
      <c r="M65" s="250">
        <f t="shared" si="12"/>
        <v>0</v>
      </c>
      <c r="N65" s="171">
        <f t="shared" si="13"/>
        <v>20.420000000000002</v>
      </c>
      <c r="O65" s="110">
        <f t="shared" si="16"/>
        <v>62.0361882935076</v>
      </c>
      <c r="P65" s="110"/>
      <c r="Q65" s="110"/>
      <c r="R65" s="110"/>
      <c r="S65" s="110"/>
      <c r="T65" s="110"/>
      <c r="U65" s="110"/>
      <c r="V65" s="110"/>
      <c r="W65" s="110">
        <f>VLOOKUP(D65,KEY!$D$35:$E$44,2,FALSE)</f>
        <v>26</v>
      </c>
      <c r="X65" s="110" t="str">
        <f t="shared" si="17"/>
        <v>N</v>
      </c>
      <c r="Y65" s="110">
        <f t="shared" si="18"/>
        <v>0</v>
      </c>
      <c r="Z65" s="110" t="s">
        <v>426</v>
      </c>
      <c r="AB65" s="110">
        <v>2530</v>
      </c>
      <c r="AC65" s="110">
        <v>9310</v>
      </c>
      <c r="AD65" s="110">
        <v>8580</v>
      </c>
      <c r="AE65" s="110"/>
      <c r="AF65" s="110"/>
      <c r="AG65" s="110"/>
      <c r="AH65" s="110"/>
    </row>
    <row r="66" spans="1:34" s="235" customFormat="1" ht="20.100000000000001" customHeight="1" x14ac:dyDescent="0.25">
      <c r="A66" s="110">
        <f t="shared" si="19"/>
        <v>46</v>
      </c>
      <c r="B66" s="110">
        <v>0.3444444444444445</v>
      </c>
      <c r="C66" s="110" t="s">
        <v>89</v>
      </c>
      <c r="D66" s="110">
        <v>9</v>
      </c>
      <c r="E66" s="110">
        <v>3</v>
      </c>
      <c r="F66" s="110" t="s">
        <v>60</v>
      </c>
      <c r="G66" s="250">
        <f t="shared" si="6"/>
        <v>2.2999999999999998</v>
      </c>
      <c r="H66" s="250">
        <f t="shared" si="7"/>
        <v>12.17</v>
      </c>
      <c r="I66" s="250">
        <f t="shared" si="8"/>
        <v>11.95</v>
      </c>
      <c r="J66" s="250">
        <f t="shared" si="9"/>
        <v>0</v>
      </c>
      <c r="K66" s="250">
        <f t="shared" si="10"/>
        <v>0</v>
      </c>
      <c r="L66" s="250">
        <f t="shared" si="11"/>
        <v>0</v>
      </c>
      <c r="M66" s="250">
        <f t="shared" si="12"/>
        <v>0</v>
      </c>
      <c r="N66" s="171">
        <f t="shared" si="13"/>
        <v>26.419999999999998</v>
      </c>
      <c r="O66" s="110">
        <f t="shared" si="16"/>
        <v>197.73882326516934</v>
      </c>
      <c r="P66" s="110"/>
      <c r="Q66" s="110"/>
      <c r="R66" s="110"/>
      <c r="S66" s="110"/>
      <c r="T66" s="110"/>
      <c r="U66" s="110"/>
      <c r="V66" s="110"/>
      <c r="W66" s="110">
        <f>VLOOKUP(D66,KEY!$D$35:$E$44,2,FALSE)</f>
        <v>26</v>
      </c>
      <c r="X66" s="110" t="str">
        <f t="shared" si="17"/>
        <v>Y</v>
      </c>
      <c r="Y66" s="110">
        <f t="shared" si="18"/>
        <v>1.6153846153846081E-2</v>
      </c>
      <c r="Z66" s="110" t="s">
        <v>430</v>
      </c>
      <c r="AB66" s="110">
        <v>2300</v>
      </c>
      <c r="AC66" s="110">
        <v>12170</v>
      </c>
      <c r="AD66" s="110">
        <v>11950</v>
      </c>
      <c r="AE66" s="110"/>
      <c r="AF66" s="110"/>
      <c r="AG66" s="110"/>
      <c r="AH66" s="110"/>
    </row>
    <row r="67" spans="1:34" s="235" customFormat="1" ht="20.100000000000001" customHeight="1" x14ac:dyDescent="0.25">
      <c r="A67" s="110">
        <f t="shared" si="19"/>
        <v>47</v>
      </c>
      <c r="B67" s="110">
        <v>0.43263888888888885</v>
      </c>
      <c r="C67" s="110" t="s">
        <v>95</v>
      </c>
      <c r="D67" s="110">
        <v>9</v>
      </c>
      <c r="E67" s="110">
        <v>3</v>
      </c>
      <c r="F67" s="110" t="s">
        <v>60</v>
      </c>
      <c r="G67" s="250">
        <f t="shared" si="6"/>
        <v>3.19</v>
      </c>
      <c r="H67" s="250">
        <f t="shared" si="7"/>
        <v>8.8000000000000007</v>
      </c>
      <c r="I67" s="250">
        <f t="shared" si="8"/>
        <v>9.24</v>
      </c>
      <c r="J67" s="250">
        <f t="shared" si="9"/>
        <v>0</v>
      </c>
      <c r="K67" s="250">
        <f t="shared" si="10"/>
        <v>0</v>
      </c>
      <c r="L67" s="250">
        <f t="shared" si="11"/>
        <v>0</v>
      </c>
      <c r="M67" s="250">
        <f t="shared" si="12"/>
        <v>0</v>
      </c>
      <c r="N67" s="171">
        <f t="shared" si="13"/>
        <v>21.23</v>
      </c>
      <c r="O67" s="110">
        <f t="shared" si="16"/>
        <v>73.904223680987442</v>
      </c>
      <c r="P67" s="110"/>
      <c r="Q67" s="110"/>
      <c r="R67" s="110"/>
      <c r="S67" s="110"/>
      <c r="T67" s="110"/>
      <c r="U67" s="110"/>
      <c r="V67" s="110"/>
      <c r="W67" s="110">
        <f>VLOOKUP(D67,KEY!$D$35:$E$44,2,FALSE)</f>
        <v>26</v>
      </c>
      <c r="X67" s="110" t="str">
        <f t="shared" si="17"/>
        <v>N</v>
      </c>
      <c r="Y67" s="110">
        <f t="shared" si="18"/>
        <v>0</v>
      </c>
      <c r="Z67" s="110" t="s">
        <v>422</v>
      </c>
      <c r="AB67" s="110">
        <v>3190</v>
      </c>
      <c r="AC67" s="110">
        <v>8800</v>
      </c>
      <c r="AD67" s="110">
        <v>9240</v>
      </c>
      <c r="AE67" s="110"/>
      <c r="AF67" s="110"/>
      <c r="AG67" s="110"/>
      <c r="AH67" s="110"/>
    </row>
    <row r="68" spans="1:34" s="235" customFormat="1" ht="20.100000000000001" customHeight="1" x14ac:dyDescent="0.25">
      <c r="A68" s="110">
        <f t="shared" si="19"/>
        <v>48</v>
      </c>
      <c r="B68" s="110">
        <v>0.3743055555555555</v>
      </c>
      <c r="C68" s="110" t="s">
        <v>40</v>
      </c>
      <c r="D68" s="110">
        <v>9</v>
      </c>
      <c r="E68" s="110">
        <v>3</v>
      </c>
      <c r="F68" s="110" t="s">
        <v>60</v>
      </c>
      <c r="G68" s="250">
        <f t="shared" si="6"/>
        <v>3.08</v>
      </c>
      <c r="H68" s="250">
        <f t="shared" si="7"/>
        <v>10.63</v>
      </c>
      <c r="I68" s="250">
        <f t="shared" si="8"/>
        <v>12.42</v>
      </c>
      <c r="J68" s="250">
        <f t="shared" si="9"/>
        <v>0</v>
      </c>
      <c r="K68" s="250">
        <f t="shared" si="10"/>
        <v>0</v>
      </c>
      <c r="L68" s="250">
        <f t="shared" si="11"/>
        <v>0</v>
      </c>
      <c r="M68" s="250">
        <f t="shared" si="12"/>
        <v>0</v>
      </c>
      <c r="N68" s="171">
        <f t="shared" si="13"/>
        <v>26.130000000000003</v>
      </c>
      <c r="O68" s="110">
        <f t="shared" si="16"/>
        <v>188.15754129058581</v>
      </c>
      <c r="P68" s="110"/>
      <c r="Q68" s="110"/>
      <c r="R68" s="110"/>
      <c r="S68" s="110"/>
      <c r="T68" s="110"/>
      <c r="U68" s="110"/>
      <c r="V68" s="110"/>
      <c r="W68" s="110">
        <f>VLOOKUP(D68,KEY!$D$35:$E$44,2,FALSE)</f>
        <v>26</v>
      </c>
      <c r="X68" s="110" t="str">
        <f t="shared" si="17"/>
        <v>Y</v>
      </c>
      <c r="Y68" s="110">
        <f t="shared" si="18"/>
        <v>5.0000000000000981E-3</v>
      </c>
      <c r="Z68" s="110" t="s">
        <v>430</v>
      </c>
      <c r="AB68" s="110">
        <v>3080</v>
      </c>
      <c r="AC68" s="110">
        <v>10630</v>
      </c>
      <c r="AD68" s="110">
        <v>12420</v>
      </c>
      <c r="AE68" s="110"/>
      <c r="AF68" s="110"/>
      <c r="AG68" s="110"/>
      <c r="AH68" s="110"/>
    </row>
    <row r="69" spans="1:34" s="244" customFormat="1" ht="20.100000000000001" customHeight="1" x14ac:dyDescent="0.25">
      <c r="A69" s="110">
        <f t="shared" si="19"/>
        <v>49</v>
      </c>
      <c r="B69" s="109">
        <v>0.31736111111111115</v>
      </c>
      <c r="C69" s="110" t="s">
        <v>343</v>
      </c>
      <c r="D69" s="5">
        <f t="shared" ref="D69:D70" si="20">IF(COUNT(G69:M69)&gt;3,10,IF(COUNT(G69:M69)&gt;2,9,7))</f>
        <v>10</v>
      </c>
      <c r="E69" s="111">
        <v>6</v>
      </c>
      <c r="F69" s="112" t="s">
        <v>29</v>
      </c>
      <c r="G69" s="250">
        <f t="shared" si="6"/>
        <v>2.65</v>
      </c>
      <c r="H69" s="250">
        <f t="shared" si="7"/>
        <v>6.46</v>
      </c>
      <c r="I69" s="250">
        <f t="shared" si="8"/>
        <v>6.05</v>
      </c>
      <c r="J69" s="250">
        <f t="shared" si="9"/>
        <v>7.4</v>
      </c>
      <c r="K69" s="250">
        <f t="shared" si="10"/>
        <v>8.5500000000000007</v>
      </c>
      <c r="L69" s="250">
        <f t="shared" si="11"/>
        <v>7.58</v>
      </c>
      <c r="M69" s="250">
        <f t="shared" si="12"/>
        <v>0</v>
      </c>
      <c r="N69" s="171">
        <f t="shared" si="13"/>
        <v>38.690000000000005</v>
      </c>
      <c r="O69" s="245">
        <f t="shared" si="16"/>
        <v>1100.4962559373344</v>
      </c>
      <c r="P69" s="245"/>
      <c r="Q69" s="245"/>
      <c r="R69" s="245"/>
      <c r="S69" s="245"/>
      <c r="T69" s="245"/>
      <c r="U69" s="245"/>
      <c r="V69" s="245"/>
      <c r="W69" s="245">
        <f>VLOOKUP(D69,KEY!$D$35:$E$44,2,FALSE)</f>
        <v>46</v>
      </c>
      <c r="X69" s="246" t="str">
        <f t="shared" si="17"/>
        <v>N</v>
      </c>
      <c r="Y69" s="247">
        <f t="shared" si="18"/>
        <v>0</v>
      </c>
      <c r="Z69" s="121" t="s">
        <v>430</v>
      </c>
      <c r="AB69" s="113">
        <v>2650</v>
      </c>
      <c r="AC69" s="113">
        <v>6460</v>
      </c>
      <c r="AD69" s="113">
        <v>6050</v>
      </c>
      <c r="AE69" s="113">
        <v>7400</v>
      </c>
      <c r="AF69" s="113">
        <v>8550</v>
      </c>
      <c r="AG69" s="113">
        <v>7580</v>
      </c>
      <c r="AH69" s="113"/>
    </row>
    <row r="70" spans="1:34" s="244" customFormat="1" ht="20.100000000000001" customHeight="1" x14ac:dyDescent="0.25">
      <c r="A70" s="110">
        <f t="shared" si="19"/>
        <v>50</v>
      </c>
      <c r="B70" s="109">
        <v>0.32291666666666669</v>
      </c>
      <c r="C70" s="110" t="s">
        <v>339</v>
      </c>
      <c r="D70" s="5">
        <f t="shared" si="20"/>
        <v>10</v>
      </c>
      <c r="E70" s="111">
        <v>4</v>
      </c>
      <c r="F70" s="118" t="s">
        <v>236</v>
      </c>
      <c r="G70" s="250">
        <f t="shared" si="6"/>
        <v>4.0999999999999996</v>
      </c>
      <c r="H70" s="250">
        <f t="shared" si="7"/>
        <v>6.41</v>
      </c>
      <c r="I70" s="250">
        <f t="shared" si="8"/>
        <v>8.6</v>
      </c>
      <c r="J70" s="250">
        <f t="shared" si="9"/>
        <v>8.09</v>
      </c>
      <c r="K70" s="250">
        <f t="shared" si="10"/>
        <v>0</v>
      </c>
      <c r="L70" s="250">
        <f t="shared" si="11"/>
        <v>0</v>
      </c>
      <c r="M70" s="250">
        <f t="shared" si="12"/>
        <v>0</v>
      </c>
      <c r="N70" s="171">
        <f t="shared" si="13"/>
        <v>27.2</v>
      </c>
      <c r="O70" s="245">
        <f t="shared" si="16"/>
        <v>225.40022942599418</v>
      </c>
      <c r="P70" s="245"/>
      <c r="Q70" s="245"/>
      <c r="R70" s="245"/>
      <c r="S70" s="245"/>
      <c r="T70" s="245"/>
      <c r="U70" s="245"/>
      <c r="V70" s="245"/>
      <c r="W70" s="245">
        <f>VLOOKUP(D70,KEY!$D$35:$E$44,2,FALSE)</f>
        <v>46</v>
      </c>
      <c r="X70" s="246" t="str">
        <f t="shared" si="17"/>
        <v>N</v>
      </c>
      <c r="Y70" s="247">
        <f t="shared" si="18"/>
        <v>0</v>
      </c>
      <c r="Z70" s="121" t="s">
        <v>430</v>
      </c>
      <c r="AB70" s="113">
        <v>4100</v>
      </c>
      <c r="AC70" s="113">
        <v>6410</v>
      </c>
      <c r="AD70" s="113">
        <v>8600</v>
      </c>
      <c r="AE70" s="113">
        <v>8090</v>
      </c>
      <c r="AF70" s="113"/>
      <c r="AG70" s="113"/>
      <c r="AH70" s="113"/>
    </row>
    <row r="71" spans="1:34" s="244" customFormat="1" ht="20.100000000000001" customHeight="1" x14ac:dyDescent="0.25">
      <c r="A71" s="110">
        <f t="shared" si="19"/>
        <v>51</v>
      </c>
      <c r="B71" s="109">
        <v>0.32361111111111113</v>
      </c>
      <c r="C71" s="110" t="s">
        <v>338</v>
      </c>
      <c r="D71" s="5">
        <f t="shared" ref="D71:D102" si="21">IF(COUNT(G71:M71)&gt;3,10,IF(COUNT(G71:M71)&gt;2,9,7))</f>
        <v>10</v>
      </c>
      <c r="E71" s="111">
        <v>6</v>
      </c>
      <c r="F71" s="112" t="s">
        <v>29</v>
      </c>
      <c r="G71" s="250">
        <f t="shared" si="6"/>
        <v>2.6</v>
      </c>
      <c r="H71" s="250">
        <f t="shared" si="7"/>
        <v>8.68</v>
      </c>
      <c r="I71" s="250">
        <f t="shared" si="8"/>
        <v>7.36</v>
      </c>
      <c r="J71" s="250">
        <f t="shared" si="9"/>
        <v>7.15</v>
      </c>
      <c r="K71" s="250">
        <f t="shared" si="10"/>
        <v>7.69</v>
      </c>
      <c r="L71" s="250">
        <f t="shared" si="11"/>
        <v>4.3</v>
      </c>
      <c r="M71" s="250">
        <f t="shared" si="12"/>
        <v>0</v>
      </c>
      <c r="N71" s="171">
        <f t="shared" si="13"/>
        <v>37.779999999999994</v>
      </c>
      <c r="O71" s="245">
        <f t="shared" ref="O71:O102" si="22">(N71/8.16)^4.5</f>
        <v>988.71944795485251</v>
      </c>
      <c r="P71" s="245"/>
      <c r="Q71" s="245"/>
      <c r="R71" s="245"/>
      <c r="S71" s="245"/>
      <c r="T71" s="245"/>
      <c r="U71" s="245"/>
      <c r="V71" s="245"/>
      <c r="W71" s="245">
        <f>VLOOKUP(D71,KEY!$D$35:$E$44,2,FALSE)</f>
        <v>46</v>
      </c>
      <c r="X71" s="246" t="str">
        <f t="shared" ref="X71:X102" si="23">IF(N71&gt;W71,"Y","N")</f>
        <v>N</v>
      </c>
      <c r="Y71" s="247">
        <f t="shared" ref="Y71:Y102" si="24">IF(X71="Y",(N71-W71)/W71,0)</f>
        <v>0</v>
      </c>
      <c r="Z71" s="121" t="s">
        <v>430</v>
      </c>
      <c r="AB71" s="113">
        <v>2600</v>
      </c>
      <c r="AC71" s="113">
        <v>8680</v>
      </c>
      <c r="AD71" s="113">
        <v>7360</v>
      </c>
      <c r="AE71" s="113">
        <v>7150</v>
      </c>
      <c r="AF71" s="113">
        <v>7690</v>
      </c>
      <c r="AG71" s="113">
        <v>4300</v>
      </c>
      <c r="AH71" s="113"/>
    </row>
    <row r="72" spans="1:34" s="244" customFormat="1" ht="20.100000000000001" customHeight="1" x14ac:dyDescent="0.25">
      <c r="A72" s="235">
        <f t="shared" si="19"/>
        <v>52</v>
      </c>
      <c r="B72" s="236">
        <v>0.32500000000000001</v>
      </c>
      <c r="C72" s="235" t="s">
        <v>337</v>
      </c>
      <c r="D72" s="237">
        <f t="shared" si="21"/>
        <v>10</v>
      </c>
      <c r="E72" s="238">
        <v>6</v>
      </c>
      <c r="F72" s="239" t="s">
        <v>29</v>
      </c>
      <c r="G72" s="250">
        <f t="shared" ref="G72:G125" si="25">AB72/1000</f>
        <v>2.75</v>
      </c>
      <c r="H72" s="250">
        <f t="shared" ref="H72:H125" si="26">AC72/1000</f>
        <v>7.44</v>
      </c>
      <c r="I72" s="250">
        <f t="shared" ref="I72:I125" si="27">AD72/1000</f>
        <v>7.59</v>
      </c>
      <c r="J72" s="250">
        <f t="shared" ref="J72:J125" si="28">AE72/1000</f>
        <v>9.25</v>
      </c>
      <c r="K72" s="250">
        <f t="shared" ref="K72:K125" si="29">AF72/1000</f>
        <v>8.85</v>
      </c>
      <c r="L72" s="250">
        <f t="shared" ref="L72:L125" si="30">AG72/1000</f>
        <v>8.0500000000000007</v>
      </c>
      <c r="M72" s="250">
        <f t="shared" ref="M72:M125" si="31">AH72/1000</f>
        <v>0</v>
      </c>
      <c r="N72" s="171">
        <f t="shared" ref="N72:N125" si="32">SUM(G72:M72)</f>
        <v>43.930000000000007</v>
      </c>
      <c r="O72" s="241">
        <f t="shared" si="22"/>
        <v>1949.0352792559349</v>
      </c>
      <c r="P72" s="241"/>
      <c r="Q72" s="241"/>
      <c r="R72" s="241"/>
      <c r="S72" s="241"/>
      <c r="T72" s="241"/>
      <c r="U72" s="241"/>
      <c r="V72" s="241"/>
      <c r="W72" s="241">
        <f>VLOOKUP(D72,KEY!$D$35:$E$44,2,FALSE)</f>
        <v>46</v>
      </c>
      <c r="X72" s="242" t="str">
        <f t="shared" si="23"/>
        <v>N</v>
      </c>
      <c r="Y72" s="243">
        <f t="shared" si="24"/>
        <v>0</v>
      </c>
      <c r="Z72" s="98" t="s">
        <v>430</v>
      </c>
      <c r="AB72" s="240">
        <v>2750</v>
      </c>
      <c r="AC72" s="240">
        <v>7440</v>
      </c>
      <c r="AD72" s="240">
        <v>7590</v>
      </c>
      <c r="AE72" s="240">
        <v>9250</v>
      </c>
      <c r="AF72" s="240">
        <v>8850</v>
      </c>
      <c r="AG72" s="240">
        <v>8050</v>
      </c>
      <c r="AH72" s="240"/>
    </row>
    <row r="73" spans="1:34" ht="20.100000000000001" customHeight="1" x14ac:dyDescent="0.25">
      <c r="A73" s="233">
        <f t="shared" si="19"/>
        <v>53</v>
      </c>
      <c r="B73" s="234">
        <v>0.32569444444444445</v>
      </c>
      <c r="C73" s="203" t="s">
        <v>336</v>
      </c>
      <c r="D73" s="13">
        <f t="shared" si="21"/>
        <v>10</v>
      </c>
      <c r="E73" s="187">
        <v>6</v>
      </c>
      <c r="F73" s="188" t="s">
        <v>29</v>
      </c>
      <c r="G73" s="250">
        <f t="shared" si="25"/>
        <v>2.8</v>
      </c>
      <c r="H73" s="250">
        <f t="shared" si="26"/>
        <v>7.2</v>
      </c>
      <c r="I73" s="250">
        <f t="shared" si="27"/>
        <v>6.02</v>
      </c>
      <c r="J73" s="250">
        <f t="shared" si="28"/>
        <v>7.54</v>
      </c>
      <c r="K73" s="250">
        <f t="shared" si="29"/>
        <v>6.19</v>
      </c>
      <c r="L73" s="250">
        <f t="shared" si="30"/>
        <v>6.12</v>
      </c>
      <c r="M73" s="250">
        <f t="shared" si="31"/>
        <v>0</v>
      </c>
      <c r="N73" s="171">
        <f t="shared" si="32"/>
        <v>35.869999999999997</v>
      </c>
      <c r="O73" s="171">
        <f t="shared" si="22"/>
        <v>782.8624824856139</v>
      </c>
      <c r="P73" s="172"/>
      <c r="Q73" s="172"/>
      <c r="R73" s="172"/>
      <c r="S73" s="172"/>
      <c r="T73" s="172"/>
      <c r="U73" s="172"/>
      <c r="V73" s="172"/>
      <c r="W73" s="172">
        <f>VLOOKUP(D73,KEY!$D$35:$E$44,2,FALSE)</f>
        <v>46</v>
      </c>
      <c r="X73" s="173" t="str">
        <f t="shared" si="23"/>
        <v>N</v>
      </c>
      <c r="Y73" s="174">
        <f t="shared" si="24"/>
        <v>0</v>
      </c>
      <c r="Z73" s="194" t="s">
        <v>430</v>
      </c>
      <c r="AB73" s="208">
        <v>2800</v>
      </c>
      <c r="AC73" s="208">
        <v>7200</v>
      </c>
      <c r="AD73" s="208">
        <v>6020</v>
      </c>
      <c r="AE73" s="208">
        <v>7540</v>
      </c>
      <c r="AF73" s="208">
        <v>6190</v>
      </c>
      <c r="AG73" s="208">
        <v>6120</v>
      </c>
      <c r="AH73" s="208"/>
    </row>
    <row r="74" spans="1:34" ht="20.100000000000001" customHeight="1" x14ac:dyDescent="0.25">
      <c r="A74" s="108">
        <f t="shared" si="19"/>
        <v>54</v>
      </c>
      <c r="B74" s="109">
        <v>0.32708333333333334</v>
      </c>
      <c r="C74" s="110" t="s">
        <v>335</v>
      </c>
      <c r="D74" s="5">
        <f t="shared" si="21"/>
        <v>10</v>
      </c>
      <c r="E74" s="111">
        <v>6</v>
      </c>
      <c r="F74" s="112" t="s">
        <v>29</v>
      </c>
      <c r="G74" s="250">
        <f t="shared" si="25"/>
        <v>2.7</v>
      </c>
      <c r="H74" s="250">
        <f t="shared" si="26"/>
        <v>7.17</v>
      </c>
      <c r="I74" s="250">
        <f t="shared" si="27"/>
        <v>8.3000000000000007</v>
      </c>
      <c r="J74" s="250">
        <f t="shared" si="28"/>
        <v>4.96</v>
      </c>
      <c r="K74" s="250">
        <f t="shared" si="29"/>
        <v>8.44</v>
      </c>
      <c r="L74" s="250">
        <f t="shared" si="30"/>
        <v>7.93</v>
      </c>
      <c r="M74" s="250">
        <f t="shared" si="31"/>
        <v>0</v>
      </c>
      <c r="N74" s="171">
        <f t="shared" si="32"/>
        <v>39.5</v>
      </c>
      <c r="O74" s="171">
        <f t="shared" si="22"/>
        <v>1208.03972536475</v>
      </c>
      <c r="P74" s="172"/>
      <c r="Q74" s="172"/>
      <c r="R74" s="172"/>
      <c r="S74" s="172"/>
      <c r="T74" s="172"/>
      <c r="U74" s="172"/>
      <c r="V74" s="172"/>
      <c r="W74" s="172">
        <f>VLOOKUP(D74,KEY!$D$35:$E$44,2,FALSE)</f>
        <v>46</v>
      </c>
      <c r="X74" s="173" t="str">
        <f t="shared" si="23"/>
        <v>N</v>
      </c>
      <c r="Y74" s="174">
        <f t="shared" si="24"/>
        <v>0</v>
      </c>
      <c r="Z74" s="116" t="s">
        <v>430</v>
      </c>
      <c r="AB74" s="113">
        <v>2700</v>
      </c>
      <c r="AC74" s="113">
        <v>7170</v>
      </c>
      <c r="AD74" s="113">
        <v>8300</v>
      </c>
      <c r="AE74" s="113">
        <v>4960</v>
      </c>
      <c r="AF74" s="113">
        <v>8440</v>
      </c>
      <c r="AG74" s="113">
        <v>7930</v>
      </c>
      <c r="AH74" s="113"/>
    </row>
    <row r="75" spans="1:34" ht="20.100000000000001" customHeight="1" x14ac:dyDescent="0.25">
      <c r="A75" s="108">
        <f t="shared" si="19"/>
        <v>55</v>
      </c>
      <c r="B75" s="109">
        <v>0.33055555555555555</v>
      </c>
      <c r="C75" s="110" t="s">
        <v>333</v>
      </c>
      <c r="D75" s="5">
        <f t="shared" si="21"/>
        <v>10</v>
      </c>
      <c r="E75" s="111">
        <v>6</v>
      </c>
      <c r="F75" s="112" t="s">
        <v>29</v>
      </c>
      <c r="G75" s="250">
        <f t="shared" si="25"/>
        <v>2.8</v>
      </c>
      <c r="H75" s="250">
        <f t="shared" si="26"/>
        <v>8.2100000000000009</v>
      </c>
      <c r="I75" s="250">
        <f t="shared" si="27"/>
        <v>7.46</v>
      </c>
      <c r="J75" s="250">
        <f t="shared" si="28"/>
        <v>7.9</v>
      </c>
      <c r="K75" s="250">
        <f t="shared" si="29"/>
        <v>7.74</v>
      </c>
      <c r="L75" s="250">
        <f t="shared" si="30"/>
        <v>4</v>
      </c>
      <c r="M75" s="250">
        <f t="shared" si="31"/>
        <v>0</v>
      </c>
      <c r="N75" s="171">
        <f t="shared" si="32"/>
        <v>38.110000000000007</v>
      </c>
      <c r="O75" s="171">
        <f t="shared" si="22"/>
        <v>1028.1809547994981</v>
      </c>
      <c r="P75" s="172"/>
      <c r="Q75" s="172"/>
      <c r="R75" s="172"/>
      <c r="S75" s="172"/>
      <c r="T75" s="172"/>
      <c r="U75" s="172"/>
      <c r="V75" s="172"/>
      <c r="W75" s="172">
        <f>VLOOKUP(D75,KEY!$D$35:$E$44,2,FALSE)</f>
        <v>46</v>
      </c>
      <c r="X75" s="173" t="str">
        <f t="shared" si="23"/>
        <v>N</v>
      </c>
      <c r="Y75" s="174">
        <f t="shared" si="24"/>
        <v>0</v>
      </c>
      <c r="Z75" s="116" t="s">
        <v>430</v>
      </c>
      <c r="AB75" s="119">
        <v>2800</v>
      </c>
      <c r="AC75" s="113">
        <v>8210</v>
      </c>
      <c r="AD75" s="113">
        <v>7460</v>
      </c>
      <c r="AE75" s="113">
        <v>7900</v>
      </c>
      <c r="AF75" s="113">
        <v>7740</v>
      </c>
      <c r="AG75" s="113">
        <v>4000</v>
      </c>
      <c r="AH75" s="113"/>
    </row>
    <row r="76" spans="1:34" ht="20.100000000000001" customHeight="1" x14ac:dyDescent="0.25">
      <c r="A76" s="108">
        <f t="shared" si="19"/>
        <v>56</v>
      </c>
      <c r="B76" s="109">
        <v>0.33124999999999999</v>
      </c>
      <c r="C76" s="110" t="s">
        <v>131</v>
      </c>
      <c r="D76" s="5">
        <f t="shared" si="21"/>
        <v>10</v>
      </c>
      <c r="E76" s="111">
        <v>6</v>
      </c>
      <c r="F76" s="112" t="s">
        <v>29</v>
      </c>
      <c r="G76" s="250">
        <f t="shared" si="25"/>
        <v>3</v>
      </c>
      <c r="H76" s="250">
        <f t="shared" si="26"/>
        <v>6.76</v>
      </c>
      <c r="I76" s="250">
        <f t="shared" si="27"/>
        <v>8.15</v>
      </c>
      <c r="J76" s="250">
        <f t="shared" si="28"/>
        <v>8.57</v>
      </c>
      <c r="K76" s="250">
        <f t="shared" si="29"/>
        <v>10.199999999999999</v>
      </c>
      <c r="L76" s="250">
        <f t="shared" si="30"/>
        <v>9.31</v>
      </c>
      <c r="M76" s="250">
        <f t="shared" si="31"/>
        <v>0</v>
      </c>
      <c r="N76" s="171">
        <f t="shared" si="32"/>
        <v>45.99</v>
      </c>
      <c r="O76" s="171">
        <f t="shared" si="22"/>
        <v>2395.408733830609</v>
      </c>
      <c r="P76" s="172"/>
      <c r="Q76" s="172"/>
      <c r="R76" s="172"/>
      <c r="S76" s="172"/>
      <c r="T76" s="172"/>
      <c r="U76" s="172"/>
      <c r="V76" s="172"/>
      <c r="W76" s="172">
        <f>VLOOKUP(D76,KEY!$D$35:$E$44,2,FALSE)</f>
        <v>46</v>
      </c>
      <c r="X76" s="173" t="str">
        <f t="shared" si="23"/>
        <v>N</v>
      </c>
      <c r="Y76" s="174">
        <f t="shared" si="24"/>
        <v>0</v>
      </c>
      <c r="Z76" s="116" t="s">
        <v>430</v>
      </c>
      <c r="AB76" s="113">
        <v>3000</v>
      </c>
      <c r="AC76" s="113">
        <v>6760</v>
      </c>
      <c r="AD76" s="113">
        <v>8150</v>
      </c>
      <c r="AE76" s="113">
        <v>8570</v>
      </c>
      <c r="AF76" s="113">
        <v>10200</v>
      </c>
      <c r="AG76" s="113">
        <v>9310</v>
      </c>
      <c r="AH76" s="113"/>
    </row>
    <row r="77" spans="1:34" ht="20.100000000000001" customHeight="1" x14ac:dyDescent="0.25">
      <c r="A77" s="108">
        <f t="shared" si="19"/>
        <v>57</v>
      </c>
      <c r="B77" s="109">
        <v>0.33333333333333331</v>
      </c>
      <c r="C77" s="110" t="s">
        <v>134</v>
      </c>
      <c r="D77" s="5">
        <f t="shared" si="21"/>
        <v>10</v>
      </c>
      <c r="E77" s="111">
        <v>6</v>
      </c>
      <c r="F77" s="112" t="s">
        <v>29</v>
      </c>
      <c r="G77" s="250">
        <f t="shared" si="25"/>
        <v>2.5299999999999998</v>
      </c>
      <c r="H77" s="250">
        <f t="shared" si="26"/>
        <v>5.53</v>
      </c>
      <c r="I77" s="250">
        <f t="shared" si="27"/>
        <v>2.5</v>
      </c>
      <c r="J77" s="250">
        <f t="shared" si="28"/>
        <v>2.36</v>
      </c>
      <c r="K77" s="250">
        <f t="shared" si="29"/>
        <v>1.33</v>
      </c>
      <c r="L77" s="250">
        <f t="shared" si="30"/>
        <v>2.52</v>
      </c>
      <c r="M77" s="250">
        <f t="shared" si="31"/>
        <v>0</v>
      </c>
      <c r="N77" s="171">
        <f t="shared" si="32"/>
        <v>16.77</v>
      </c>
      <c r="O77" s="171">
        <f t="shared" si="22"/>
        <v>25.573670621199447</v>
      </c>
      <c r="P77" s="172"/>
      <c r="Q77" s="172"/>
      <c r="R77" s="172"/>
      <c r="S77" s="172"/>
      <c r="T77" s="172"/>
      <c r="U77" s="172"/>
      <c r="V77" s="172"/>
      <c r="W77" s="172">
        <f>VLOOKUP(D77,KEY!$D$35:$E$44,2,FALSE)</f>
        <v>46</v>
      </c>
      <c r="X77" s="173" t="str">
        <f t="shared" si="23"/>
        <v>N</v>
      </c>
      <c r="Y77" s="174">
        <f t="shared" si="24"/>
        <v>0</v>
      </c>
      <c r="Z77" s="116" t="s">
        <v>369</v>
      </c>
      <c r="AB77" s="113">
        <v>2530</v>
      </c>
      <c r="AC77" s="113">
        <v>5530</v>
      </c>
      <c r="AD77" s="113">
        <v>2500</v>
      </c>
      <c r="AE77" s="113">
        <v>2360</v>
      </c>
      <c r="AF77" s="113">
        <v>1330</v>
      </c>
      <c r="AG77" s="113">
        <v>2520</v>
      </c>
      <c r="AH77" s="113"/>
    </row>
    <row r="78" spans="1:34" ht="20.100000000000001" customHeight="1" x14ac:dyDescent="0.25">
      <c r="A78" s="108">
        <f t="shared" si="19"/>
        <v>58</v>
      </c>
      <c r="B78" s="109">
        <v>0.3347222222222222</v>
      </c>
      <c r="C78" s="110" t="s">
        <v>135</v>
      </c>
      <c r="D78" s="5">
        <f t="shared" si="21"/>
        <v>10</v>
      </c>
      <c r="E78" s="111">
        <v>6</v>
      </c>
      <c r="F78" s="112" t="s">
        <v>29</v>
      </c>
      <c r="G78" s="250">
        <f t="shared" si="25"/>
        <v>1.9</v>
      </c>
      <c r="H78" s="250">
        <f t="shared" si="26"/>
        <v>5.87</v>
      </c>
      <c r="I78" s="250">
        <f t="shared" si="27"/>
        <v>10.68</v>
      </c>
      <c r="J78" s="250">
        <f t="shared" si="28"/>
        <v>6.43</v>
      </c>
      <c r="K78" s="250">
        <f t="shared" si="29"/>
        <v>32.83</v>
      </c>
      <c r="L78" s="250">
        <f t="shared" si="30"/>
        <v>8.91</v>
      </c>
      <c r="M78" s="250">
        <f t="shared" si="31"/>
        <v>0</v>
      </c>
      <c r="N78" s="171">
        <f t="shared" si="32"/>
        <v>66.61999999999999</v>
      </c>
      <c r="O78" s="171">
        <f t="shared" si="22"/>
        <v>12694.485772958871</v>
      </c>
      <c r="P78" s="172"/>
      <c r="Q78" s="172"/>
      <c r="R78" s="172"/>
      <c r="S78" s="172"/>
      <c r="T78" s="172"/>
      <c r="U78" s="172"/>
      <c r="V78" s="172"/>
      <c r="W78" s="172">
        <f>VLOOKUP(D78,KEY!$D$35:$E$44,2,FALSE)</f>
        <v>46</v>
      </c>
      <c r="X78" s="173" t="str">
        <f t="shared" si="23"/>
        <v>Y</v>
      </c>
      <c r="Y78" s="174">
        <f t="shared" si="24"/>
        <v>0.44826086956521716</v>
      </c>
      <c r="Z78" s="116" t="s">
        <v>430</v>
      </c>
      <c r="AB78" s="113">
        <v>1900</v>
      </c>
      <c r="AC78" s="113">
        <v>5870</v>
      </c>
      <c r="AD78" s="113">
        <v>10680</v>
      </c>
      <c r="AE78" s="113">
        <v>6430</v>
      </c>
      <c r="AF78" s="113">
        <v>32830</v>
      </c>
      <c r="AG78" s="113">
        <v>8910</v>
      </c>
      <c r="AH78" s="113"/>
    </row>
    <row r="79" spans="1:34" ht="20.100000000000001" customHeight="1" x14ac:dyDescent="0.25">
      <c r="A79" s="108">
        <f t="shared" si="19"/>
        <v>59</v>
      </c>
      <c r="B79" s="109">
        <v>0.31041666666666667</v>
      </c>
      <c r="C79" s="121" t="s">
        <v>142</v>
      </c>
      <c r="D79" s="5">
        <f t="shared" si="21"/>
        <v>10</v>
      </c>
      <c r="E79" s="111">
        <v>6</v>
      </c>
      <c r="F79" s="112" t="s">
        <v>29</v>
      </c>
      <c r="G79" s="250">
        <f t="shared" si="25"/>
        <v>2.31</v>
      </c>
      <c r="H79" s="250">
        <f t="shared" si="26"/>
        <v>9.8759999999999994</v>
      </c>
      <c r="I79" s="250">
        <f t="shared" si="27"/>
        <v>6.69</v>
      </c>
      <c r="J79" s="250">
        <f t="shared" si="28"/>
        <v>7.25</v>
      </c>
      <c r="K79" s="250">
        <f t="shared" si="29"/>
        <v>7.4</v>
      </c>
      <c r="L79" s="250">
        <f t="shared" si="30"/>
        <v>4.82</v>
      </c>
      <c r="M79" s="250">
        <f t="shared" si="31"/>
        <v>0</v>
      </c>
      <c r="N79" s="171">
        <f t="shared" si="32"/>
        <v>38.346000000000004</v>
      </c>
      <c r="O79" s="171">
        <f t="shared" si="22"/>
        <v>1057.1450760921457</v>
      </c>
      <c r="P79" s="172"/>
      <c r="Q79" s="172"/>
      <c r="R79" s="172"/>
      <c r="S79" s="172"/>
      <c r="T79" s="172"/>
      <c r="U79" s="172"/>
      <c r="V79" s="172"/>
      <c r="W79" s="172">
        <f>VLOOKUP(D79,KEY!$D$35:$E$44,2,FALSE)</f>
        <v>46</v>
      </c>
      <c r="X79" s="173" t="str">
        <f t="shared" si="23"/>
        <v>N</v>
      </c>
      <c r="Y79" s="174">
        <f t="shared" si="24"/>
        <v>0</v>
      </c>
      <c r="Z79" s="116" t="s">
        <v>430</v>
      </c>
      <c r="AB79" s="113">
        <v>2310</v>
      </c>
      <c r="AC79" s="113">
        <v>9876</v>
      </c>
      <c r="AD79" s="113">
        <v>6690</v>
      </c>
      <c r="AE79" s="113">
        <v>7250</v>
      </c>
      <c r="AF79" s="113">
        <v>7400</v>
      </c>
      <c r="AG79" s="113">
        <v>4820</v>
      </c>
      <c r="AH79" s="113"/>
    </row>
    <row r="80" spans="1:34" ht="20.100000000000001" customHeight="1" x14ac:dyDescent="0.25">
      <c r="A80" s="108">
        <f t="shared" si="19"/>
        <v>60</v>
      </c>
      <c r="B80" s="109">
        <v>0.35486111111111113</v>
      </c>
      <c r="C80" s="121" t="s">
        <v>90</v>
      </c>
      <c r="D80" s="5">
        <f t="shared" si="21"/>
        <v>10</v>
      </c>
      <c r="E80" s="111">
        <v>6</v>
      </c>
      <c r="F80" s="112" t="s">
        <v>29</v>
      </c>
      <c r="G80" s="250">
        <f t="shared" si="25"/>
        <v>1.65</v>
      </c>
      <c r="H80" s="250">
        <f t="shared" si="26"/>
        <v>10.33</v>
      </c>
      <c r="I80" s="250">
        <f t="shared" si="27"/>
        <v>5.36</v>
      </c>
      <c r="J80" s="250">
        <f t="shared" si="28"/>
        <v>9.9</v>
      </c>
      <c r="K80" s="250">
        <f t="shared" si="29"/>
        <v>8.26</v>
      </c>
      <c r="L80" s="250">
        <f t="shared" si="30"/>
        <v>6.63</v>
      </c>
      <c r="M80" s="250">
        <f t="shared" si="31"/>
        <v>0</v>
      </c>
      <c r="N80" s="171">
        <f t="shared" si="32"/>
        <v>42.13</v>
      </c>
      <c r="O80" s="171">
        <f t="shared" si="22"/>
        <v>1614.5661819213019</v>
      </c>
      <c r="P80" s="172"/>
      <c r="Q80" s="172"/>
      <c r="R80" s="172"/>
      <c r="S80" s="172"/>
      <c r="T80" s="172"/>
      <c r="U80" s="172"/>
      <c r="V80" s="172"/>
      <c r="W80" s="172">
        <f>VLOOKUP(D80,KEY!$D$35:$E$44,2,FALSE)</f>
        <v>46</v>
      </c>
      <c r="X80" s="173" t="str">
        <f t="shared" si="23"/>
        <v>N</v>
      </c>
      <c r="Y80" s="174">
        <f t="shared" si="24"/>
        <v>0</v>
      </c>
      <c r="Z80" s="116" t="s">
        <v>430</v>
      </c>
      <c r="AB80" s="113">
        <v>1650</v>
      </c>
      <c r="AC80" s="113">
        <v>10330</v>
      </c>
      <c r="AD80" s="113">
        <v>5360</v>
      </c>
      <c r="AE80" s="113">
        <v>9900</v>
      </c>
      <c r="AF80" s="113">
        <v>8260</v>
      </c>
      <c r="AG80" s="113">
        <v>6630</v>
      </c>
      <c r="AH80" s="113"/>
    </row>
    <row r="81" spans="1:34" ht="20.100000000000001" customHeight="1" x14ac:dyDescent="0.25">
      <c r="A81" s="108">
        <f t="shared" si="19"/>
        <v>61</v>
      </c>
      <c r="B81" s="109">
        <v>0.27361111111111108</v>
      </c>
      <c r="C81" s="121" t="s">
        <v>145</v>
      </c>
      <c r="D81" s="5">
        <f t="shared" si="21"/>
        <v>10</v>
      </c>
      <c r="E81" s="111">
        <v>6</v>
      </c>
      <c r="F81" s="112" t="s">
        <v>29</v>
      </c>
      <c r="G81" s="250">
        <f t="shared" si="25"/>
        <v>2.2000000000000002</v>
      </c>
      <c r="H81" s="250">
        <f t="shared" si="26"/>
        <v>6.35</v>
      </c>
      <c r="I81" s="250">
        <f t="shared" si="27"/>
        <v>6.55</v>
      </c>
      <c r="J81" s="250">
        <f t="shared" si="28"/>
        <v>6.85</v>
      </c>
      <c r="K81" s="250">
        <f t="shared" si="29"/>
        <v>6</v>
      </c>
      <c r="L81" s="250">
        <f t="shared" si="30"/>
        <v>5.0199999999999996</v>
      </c>
      <c r="M81" s="250">
        <f t="shared" si="31"/>
        <v>0</v>
      </c>
      <c r="N81" s="171">
        <f t="shared" si="32"/>
        <v>32.97</v>
      </c>
      <c r="O81" s="171">
        <f t="shared" si="22"/>
        <v>535.70974639878455</v>
      </c>
      <c r="P81" s="172"/>
      <c r="Q81" s="172"/>
      <c r="R81" s="172"/>
      <c r="S81" s="172"/>
      <c r="T81" s="172"/>
      <c r="U81" s="172"/>
      <c r="V81" s="172"/>
      <c r="W81" s="172">
        <f>VLOOKUP(D81,KEY!$D$35:$E$44,2,FALSE)</f>
        <v>46</v>
      </c>
      <c r="X81" s="173" t="str">
        <f t="shared" si="23"/>
        <v>N</v>
      </c>
      <c r="Y81" s="174">
        <f t="shared" si="24"/>
        <v>0</v>
      </c>
      <c r="Z81" s="116" t="s">
        <v>430</v>
      </c>
      <c r="AB81" s="113">
        <v>2200</v>
      </c>
      <c r="AC81" s="113">
        <v>6350</v>
      </c>
      <c r="AD81" s="113">
        <v>6550</v>
      </c>
      <c r="AE81" s="113">
        <v>6850</v>
      </c>
      <c r="AF81" s="113">
        <v>6000</v>
      </c>
      <c r="AG81" s="113">
        <v>5020</v>
      </c>
      <c r="AH81" s="113"/>
    </row>
    <row r="82" spans="1:34" ht="20.100000000000001" customHeight="1" x14ac:dyDescent="0.25">
      <c r="A82" s="108">
        <f t="shared" si="19"/>
        <v>62</v>
      </c>
      <c r="B82" s="109">
        <v>0.3611111111111111</v>
      </c>
      <c r="C82" s="121" t="s">
        <v>147</v>
      </c>
      <c r="D82" s="5">
        <f t="shared" si="21"/>
        <v>10</v>
      </c>
      <c r="E82" s="111">
        <v>6</v>
      </c>
      <c r="F82" s="112" t="s">
        <v>29</v>
      </c>
      <c r="G82" s="250">
        <f t="shared" si="25"/>
        <v>2.2000000000000002</v>
      </c>
      <c r="H82" s="250">
        <f t="shared" si="26"/>
        <v>8.42</v>
      </c>
      <c r="I82" s="250">
        <f t="shared" si="27"/>
        <v>8.48</v>
      </c>
      <c r="J82" s="250">
        <f t="shared" si="28"/>
        <v>6.64</v>
      </c>
      <c r="K82" s="250">
        <f t="shared" si="29"/>
        <v>8.19</v>
      </c>
      <c r="L82" s="250">
        <f t="shared" si="30"/>
        <v>9.14</v>
      </c>
      <c r="M82" s="250">
        <f t="shared" si="31"/>
        <v>0</v>
      </c>
      <c r="N82" s="171">
        <f t="shared" si="32"/>
        <v>43.07</v>
      </c>
      <c r="O82" s="171">
        <f t="shared" si="22"/>
        <v>1783.1226167431421</v>
      </c>
      <c r="P82" s="172"/>
      <c r="Q82" s="172"/>
      <c r="R82" s="172"/>
      <c r="S82" s="172"/>
      <c r="T82" s="172"/>
      <c r="U82" s="172"/>
      <c r="V82" s="172"/>
      <c r="W82" s="172">
        <f>VLOOKUP(D82,KEY!$D$35:$E$44,2,FALSE)</f>
        <v>46</v>
      </c>
      <c r="X82" s="173" t="str">
        <f t="shared" si="23"/>
        <v>N</v>
      </c>
      <c r="Y82" s="174">
        <f t="shared" si="24"/>
        <v>0</v>
      </c>
      <c r="Z82" s="116" t="s">
        <v>430</v>
      </c>
      <c r="AB82" s="113">
        <v>2200</v>
      </c>
      <c r="AC82" s="113">
        <v>8420</v>
      </c>
      <c r="AD82" s="113">
        <v>8480</v>
      </c>
      <c r="AE82" s="113">
        <v>6640</v>
      </c>
      <c r="AF82" s="113">
        <v>8190</v>
      </c>
      <c r="AG82" s="113">
        <v>9140</v>
      </c>
      <c r="AH82" s="113"/>
    </row>
    <row r="83" spans="1:34" ht="20.100000000000001" customHeight="1" x14ac:dyDescent="0.25">
      <c r="A83" s="108">
        <f t="shared" si="19"/>
        <v>63</v>
      </c>
      <c r="B83" s="109">
        <v>0.36249999999999999</v>
      </c>
      <c r="C83" s="121" t="s">
        <v>148</v>
      </c>
      <c r="D83" s="5">
        <f t="shared" si="21"/>
        <v>10</v>
      </c>
      <c r="E83" s="111">
        <v>6</v>
      </c>
      <c r="F83" s="112" t="s">
        <v>29</v>
      </c>
      <c r="G83" s="250">
        <f t="shared" si="25"/>
        <v>2.86</v>
      </c>
      <c r="H83" s="250">
        <f t="shared" si="26"/>
        <v>8.07</v>
      </c>
      <c r="I83" s="250">
        <f t="shared" si="27"/>
        <v>8.14</v>
      </c>
      <c r="J83" s="250">
        <f t="shared" si="28"/>
        <v>8.7100000000000009</v>
      </c>
      <c r="K83" s="250">
        <f t="shared" si="29"/>
        <v>8.18</v>
      </c>
      <c r="L83" s="250">
        <f t="shared" si="30"/>
        <v>7.28</v>
      </c>
      <c r="M83" s="250">
        <f t="shared" si="31"/>
        <v>0</v>
      </c>
      <c r="N83" s="171">
        <f t="shared" si="32"/>
        <v>43.24</v>
      </c>
      <c r="O83" s="171">
        <f t="shared" si="22"/>
        <v>1815.0135406375086</v>
      </c>
      <c r="P83" s="172"/>
      <c r="Q83" s="172"/>
      <c r="R83" s="172"/>
      <c r="S83" s="172"/>
      <c r="T83" s="172"/>
      <c r="U83" s="172"/>
      <c r="V83" s="172"/>
      <c r="W83" s="172">
        <f>VLOOKUP(D83,KEY!$D$35:$E$44,2,FALSE)</f>
        <v>46</v>
      </c>
      <c r="X83" s="173" t="str">
        <f t="shared" si="23"/>
        <v>N</v>
      </c>
      <c r="Y83" s="174">
        <f t="shared" si="24"/>
        <v>0</v>
      </c>
      <c r="Z83" s="116" t="s">
        <v>430</v>
      </c>
      <c r="AB83" s="113">
        <v>2860</v>
      </c>
      <c r="AC83" s="113">
        <v>8070</v>
      </c>
      <c r="AD83" s="113">
        <v>8140</v>
      </c>
      <c r="AE83" s="113">
        <v>8710</v>
      </c>
      <c r="AF83" s="113">
        <v>8180</v>
      </c>
      <c r="AG83" s="113">
        <v>7280</v>
      </c>
      <c r="AH83" s="113"/>
    </row>
    <row r="84" spans="1:34" ht="20.100000000000001" customHeight="1" x14ac:dyDescent="0.25">
      <c r="A84" s="108">
        <f t="shared" si="19"/>
        <v>64</v>
      </c>
      <c r="B84" s="109">
        <v>0.38194444444444442</v>
      </c>
      <c r="C84" s="121" t="s">
        <v>154</v>
      </c>
      <c r="D84" s="5">
        <f t="shared" si="21"/>
        <v>10</v>
      </c>
      <c r="E84" s="111">
        <v>6</v>
      </c>
      <c r="F84" s="118" t="s">
        <v>110</v>
      </c>
      <c r="G84" s="250">
        <f t="shared" si="25"/>
        <v>2.7</v>
      </c>
      <c r="H84" s="250">
        <f t="shared" si="26"/>
        <v>6.53</v>
      </c>
      <c r="I84" s="250">
        <f t="shared" si="27"/>
        <v>7.42</v>
      </c>
      <c r="J84" s="250">
        <f t="shared" si="28"/>
        <v>8.0399999999999991</v>
      </c>
      <c r="K84" s="250">
        <f t="shared" si="29"/>
        <v>7.62</v>
      </c>
      <c r="L84" s="250">
        <f t="shared" si="30"/>
        <v>7.24</v>
      </c>
      <c r="M84" s="250">
        <f t="shared" si="31"/>
        <v>0</v>
      </c>
      <c r="N84" s="171">
        <f t="shared" si="32"/>
        <v>39.549999999999997</v>
      </c>
      <c r="O84" s="171">
        <f t="shared" si="22"/>
        <v>1214.9362236445338</v>
      </c>
      <c r="P84" s="172"/>
      <c r="Q84" s="172"/>
      <c r="R84" s="172"/>
      <c r="S84" s="172"/>
      <c r="T84" s="172"/>
      <c r="U84" s="172"/>
      <c r="V84" s="172"/>
      <c r="W84" s="172">
        <f>VLOOKUP(D84,KEY!$D$35:$E$44,2,FALSE)</f>
        <v>46</v>
      </c>
      <c r="X84" s="173" t="str">
        <f t="shared" si="23"/>
        <v>N</v>
      </c>
      <c r="Y84" s="174">
        <f t="shared" si="24"/>
        <v>0</v>
      </c>
      <c r="Z84" s="116" t="s">
        <v>430</v>
      </c>
      <c r="AB84" s="113">
        <v>2700</v>
      </c>
      <c r="AC84" s="113">
        <v>6530</v>
      </c>
      <c r="AD84" s="113">
        <v>7420</v>
      </c>
      <c r="AE84" s="113">
        <v>8040</v>
      </c>
      <c r="AF84" s="113">
        <v>7620</v>
      </c>
      <c r="AG84" s="113">
        <v>7240</v>
      </c>
      <c r="AH84" s="113"/>
    </row>
    <row r="85" spans="1:34" ht="20.100000000000001" customHeight="1" x14ac:dyDescent="0.25">
      <c r="A85" s="108">
        <f t="shared" ref="A85:A115" si="33">A84+1</f>
        <v>65</v>
      </c>
      <c r="B85" s="109">
        <v>0.3840277777777778</v>
      </c>
      <c r="C85" s="121" t="s">
        <v>157</v>
      </c>
      <c r="D85" s="5">
        <f t="shared" si="21"/>
        <v>10</v>
      </c>
      <c r="E85" s="111">
        <v>4</v>
      </c>
      <c r="F85" s="118" t="s">
        <v>236</v>
      </c>
      <c r="G85" s="250">
        <f t="shared" si="25"/>
        <v>4.4000000000000004</v>
      </c>
      <c r="H85" s="250">
        <f t="shared" si="26"/>
        <v>9.0399999999999991</v>
      </c>
      <c r="I85" s="250">
        <f t="shared" si="27"/>
        <v>10.36</v>
      </c>
      <c r="J85" s="250">
        <f t="shared" si="28"/>
        <v>10.57</v>
      </c>
      <c r="K85" s="250">
        <f t="shared" si="29"/>
        <v>0</v>
      </c>
      <c r="L85" s="250">
        <f t="shared" si="30"/>
        <v>0</v>
      </c>
      <c r="M85" s="250">
        <f t="shared" si="31"/>
        <v>0</v>
      </c>
      <c r="N85" s="171">
        <f t="shared" si="32"/>
        <v>34.369999999999997</v>
      </c>
      <c r="O85" s="171">
        <f t="shared" si="22"/>
        <v>645.95487505437404</v>
      </c>
      <c r="P85" s="172"/>
      <c r="Q85" s="172"/>
      <c r="R85" s="172"/>
      <c r="S85" s="172"/>
      <c r="T85" s="172"/>
      <c r="U85" s="172"/>
      <c r="V85" s="172"/>
      <c r="W85" s="172">
        <f>VLOOKUP(D85,KEY!$D$35:$E$44,2,FALSE)</f>
        <v>46</v>
      </c>
      <c r="X85" s="173" t="str">
        <f t="shared" si="23"/>
        <v>N</v>
      </c>
      <c r="Y85" s="174">
        <f t="shared" si="24"/>
        <v>0</v>
      </c>
      <c r="Z85" s="116" t="s">
        <v>430</v>
      </c>
      <c r="AB85" s="113">
        <v>4400</v>
      </c>
      <c r="AC85" s="113">
        <v>9040</v>
      </c>
      <c r="AD85" s="113">
        <v>10360</v>
      </c>
      <c r="AE85" s="113">
        <v>10570</v>
      </c>
      <c r="AF85" s="113"/>
      <c r="AG85" s="113"/>
      <c r="AH85" s="113"/>
    </row>
    <row r="86" spans="1:34" ht="20.100000000000001" customHeight="1" x14ac:dyDescent="0.25">
      <c r="A86" s="108">
        <f t="shared" si="33"/>
        <v>66</v>
      </c>
      <c r="B86" s="109">
        <v>0.38680555555555557</v>
      </c>
      <c r="C86" s="121" t="s">
        <v>158</v>
      </c>
      <c r="D86" s="5">
        <f t="shared" si="21"/>
        <v>10</v>
      </c>
      <c r="E86" s="111">
        <v>6</v>
      </c>
      <c r="F86" s="118" t="s">
        <v>110</v>
      </c>
      <c r="G86" s="250">
        <f t="shared" si="25"/>
        <v>2.65</v>
      </c>
      <c r="H86" s="250">
        <f t="shared" si="26"/>
        <v>6</v>
      </c>
      <c r="I86" s="250">
        <f t="shared" si="27"/>
        <v>7.37</v>
      </c>
      <c r="J86" s="250">
        <f t="shared" si="28"/>
        <v>9.02</v>
      </c>
      <c r="K86" s="250">
        <f t="shared" si="29"/>
        <v>7.04</v>
      </c>
      <c r="L86" s="250">
        <f t="shared" si="30"/>
        <v>6.72</v>
      </c>
      <c r="M86" s="250">
        <f t="shared" si="31"/>
        <v>0</v>
      </c>
      <c r="N86" s="171">
        <f t="shared" si="32"/>
        <v>38.799999999999997</v>
      </c>
      <c r="O86" s="171">
        <f t="shared" si="22"/>
        <v>1114.6462282178948</v>
      </c>
      <c r="P86" s="172"/>
      <c r="Q86" s="172"/>
      <c r="R86" s="172"/>
      <c r="S86" s="172"/>
      <c r="T86" s="172"/>
      <c r="U86" s="172"/>
      <c r="V86" s="172"/>
      <c r="W86" s="172">
        <f>VLOOKUP(D86,KEY!$D$35:$E$44,2,FALSE)</f>
        <v>46</v>
      </c>
      <c r="X86" s="173" t="str">
        <f t="shared" si="23"/>
        <v>N</v>
      </c>
      <c r="Y86" s="174">
        <f t="shared" si="24"/>
        <v>0</v>
      </c>
      <c r="Z86" s="116" t="s">
        <v>430</v>
      </c>
      <c r="AB86" s="113">
        <v>2650</v>
      </c>
      <c r="AC86" s="113">
        <v>6000</v>
      </c>
      <c r="AD86" s="113">
        <v>7370</v>
      </c>
      <c r="AE86" s="113">
        <v>9020</v>
      </c>
      <c r="AF86" s="113">
        <v>7040</v>
      </c>
      <c r="AG86" s="113">
        <v>6720</v>
      </c>
      <c r="AH86" s="113"/>
    </row>
    <row r="87" spans="1:34" ht="20.100000000000001" customHeight="1" x14ac:dyDescent="0.25">
      <c r="A87" s="108">
        <f t="shared" si="33"/>
        <v>67</v>
      </c>
      <c r="B87" s="109">
        <v>0.39097222222222222</v>
      </c>
      <c r="C87" s="121" t="s">
        <v>161</v>
      </c>
      <c r="D87" s="5">
        <f t="shared" si="21"/>
        <v>10</v>
      </c>
      <c r="E87" s="111">
        <v>6</v>
      </c>
      <c r="F87" s="112" t="s">
        <v>29</v>
      </c>
      <c r="G87" s="250">
        <f t="shared" si="25"/>
        <v>3.4</v>
      </c>
      <c r="H87" s="250">
        <f t="shared" si="26"/>
        <v>7.66</v>
      </c>
      <c r="I87" s="250">
        <f t="shared" si="27"/>
        <v>6.74</v>
      </c>
      <c r="J87" s="250">
        <f t="shared" si="28"/>
        <v>8.19</v>
      </c>
      <c r="K87" s="250">
        <f t="shared" si="29"/>
        <v>8.65</v>
      </c>
      <c r="L87" s="250">
        <f t="shared" si="30"/>
        <v>6.9</v>
      </c>
      <c r="M87" s="250">
        <f t="shared" si="31"/>
        <v>0</v>
      </c>
      <c r="N87" s="171">
        <f t="shared" si="32"/>
        <v>41.54</v>
      </c>
      <c r="O87" s="171">
        <f t="shared" si="22"/>
        <v>1515.2821263564745</v>
      </c>
      <c r="P87" s="172"/>
      <c r="Q87" s="172"/>
      <c r="R87" s="172"/>
      <c r="S87" s="172"/>
      <c r="T87" s="172"/>
      <c r="U87" s="172"/>
      <c r="V87" s="172"/>
      <c r="W87" s="172">
        <f>VLOOKUP(D87,KEY!$D$35:$E$44,2,FALSE)</f>
        <v>46</v>
      </c>
      <c r="X87" s="173" t="str">
        <f t="shared" si="23"/>
        <v>N</v>
      </c>
      <c r="Y87" s="174">
        <f t="shared" si="24"/>
        <v>0</v>
      </c>
      <c r="Z87" s="116" t="s">
        <v>430</v>
      </c>
      <c r="AB87" s="113">
        <v>3400</v>
      </c>
      <c r="AC87" s="113">
        <v>7660</v>
      </c>
      <c r="AD87" s="113">
        <v>6740</v>
      </c>
      <c r="AE87" s="113">
        <v>8190</v>
      </c>
      <c r="AF87" s="113">
        <v>8650</v>
      </c>
      <c r="AG87" s="113">
        <v>6900</v>
      </c>
      <c r="AH87" s="113"/>
    </row>
    <row r="88" spans="1:34" ht="20.100000000000001" customHeight="1" x14ac:dyDescent="0.25">
      <c r="A88" s="108">
        <f t="shared" si="33"/>
        <v>68</v>
      </c>
      <c r="B88" s="109">
        <v>0.39861111111111108</v>
      </c>
      <c r="C88" s="121" t="s">
        <v>166</v>
      </c>
      <c r="D88" s="5">
        <f t="shared" si="21"/>
        <v>10</v>
      </c>
      <c r="E88" s="111">
        <v>6</v>
      </c>
      <c r="F88" s="118" t="s">
        <v>110</v>
      </c>
      <c r="G88" s="250">
        <f t="shared" si="25"/>
        <v>2.7</v>
      </c>
      <c r="H88" s="250">
        <f t="shared" si="26"/>
        <v>5.27</v>
      </c>
      <c r="I88" s="250">
        <f t="shared" si="27"/>
        <v>9.08</v>
      </c>
      <c r="J88" s="250">
        <f t="shared" si="28"/>
        <v>5.92</v>
      </c>
      <c r="K88" s="250">
        <f t="shared" si="29"/>
        <v>7.07</v>
      </c>
      <c r="L88" s="250">
        <f t="shared" si="30"/>
        <v>7.68</v>
      </c>
      <c r="M88" s="250">
        <f t="shared" si="31"/>
        <v>0</v>
      </c>
      <c r="N88" s="171">
        <f t="shared" si="32"/>
        <v>37.72</v>
      </c>
      <c r="O88" s="171">
        <f t="shared" si="22"/>
        <v>981.67303979890528</v>
      </c>
      <c r="P88" s="172"/>
      <c r="Q88" s="172"/>
      <c r="R88" s="172"/>
      <c r="S88" s="172"/>
      <c r="T88" s="172"/>
      <c r="U88" s="172"/>
      <c r="V88" s="172"/>
      <c r="W88" s="172">
        <f>VLOOKUP(D88,KEY!$D$35:$E$44,2,FALSE)</f>
        <v>46</v>
      </c>
      <c r="X88" s="173" t="str">
        <f t="shared" si="23"/>
        <v>N</v>
      </c>
      <c r="Y88" s="174">
        <f t="shared" si="24"/>
        <v>0</v>
      </c>
      <c r="Z88" s="116" t="s">
        <v>430</v>
      </c>
      <c r="AB88" s="113">
        <v>2700</v>
      </c>
      <c r="AC88" s="113">
        <v>5270</v>
      </c>
      <c r="AD88" s="113">
        <v>9080</v>
      </c>
      <c r="AE88" s="113">
        <v>5920</v>
      </c>
      <c r="AF88" s="113">
        <v>7070</v>
      </c>
      <c r="AG88" s="113">
        <v>7680</v>
      </c>
      <c r="AH88" s="113"/>
    </row>
    <row r="89" spans="1:34" ht="20.100000000000001" customHeight="1" x14ac:dyDescent="0.25">
      <c r="A89" s="108">
        <f t="shared" si="33"/>
        <v>69</v>
      </c>
      <c r="B89" s="109">
        <v>0.40208333333333335</v>
      </c>
      <c r="C89" s="121" t="s">
        <v>167</v>
      </c>
      <c r="D89" s="5">
        <f t="shared" si="21"/>
        <v>10</v>
      </c>
      <c r="E89" s="111">
        <v>6</v>
      </c>
      <c r="F89" s="118" t="s">
        <v>110</v>
      </c>
      <c r="G89" s="250">
        <f t="shared" si="25"/>
        <v>2.65</v>
      </c>
      <c r="H89" s="250">
        <f t="shared" si="26"/>
        <v>6.37</v>
      </c>
      <c r="I89" s="250">
        <f t="shared" si="27"/>
        <v>8.9499999999999993</v>
      </c>
      <c r="J89" s="250">
        <f t="shared" si="28"/>
        <v>7.95</v>
      </c>
      <c r="K89" s="250">
        <f t="shared" si="29"/>
        <v>8.0399999999999991</v>
      </c>
      <c r="L89" s="250">
        <f t="shared" si="30"/>
        <v>7.3</v>
      </c>
      <c r="M89" s="250">
        <f t="shared" si="31"/>
        <v>0</v>
      </c>
      <c r="N89" s="171">
        <f t="shared" si="32"/>
        <v>41.259999999999991</v>
      </c>
      <c r="O89" s="171">
        <f t="shared" si="22"/>
        <v>1469.8593927418638</v>
      </c>
      <c r="P89" s="172"/>
      <c r="Q89" s="172"/>
      <c r="R89" s="172"/>
      <c r="S89" s="172"/>
      <c r="T89" s="172"/>
      <c r="U89" s="172"/>
      <c r="V89" s="172"/>
      <c r="W89" s="172">
        <f>VLOOKUP(D89,KEY!$D$35:$E$44,2,FALSE)</f>
        <v>46</v>
      </c>
      <c r="X89" s="173" t="str">
        <f t="shared" si="23"/>
        <v>N</v>
      </c>
      <c r="Y89" s="174">
        <f t="shared" si="24"/>
        <v>0</v>
      </c>
      <c r="Z89" s="116" t="s">
        <v>430</v>
      </c>
      <c r="AB89" s="113">
        <v>2650</v>
      </c>
      <c r="AC89" s="113">
        <v>6370</v>
      </c>
      <c r="AD89" s="113">
        <v>8950</v>
      </c>
      <c r="AE89" s="113">
        <v>7950</v>
      </c>
      <c r="AF89" s="113">
        <v>8040</v>
      </c>
      <c r="AG89" s="113">
        <v>7300</v>
      </c>
      <c r="AH89" s="113"/>
    </row>
    <row r="90" spans="1:34" ht="20.100000000000001" customHeight="1" x14ac:dyDescent="0.25">
      <c r="A90" s="108">
        <f t="shared" si="33"/>
        <v>70</v>
      </c>
      <c r="B90" s="109">
        <v>0.40625</v>
      </c>
      <c r="C90" s="121" t="s">
        <v>168</v>
      </c>
      <c r="D90" s="5">
        <f t="shared" si="21"/>
        <v>10</v>
      </c>
      <c r="E90" s="111">
        <v>6</v>
      </c>
      <c r="F90" s="118" t="s">
        <v>239</v>
      </c>
      <c r="G90" s="250">
        <f t="shared" si="25"/>
        <v>2.8</v>
      </c>
      <c r="H90" s="250">
        <f t="shared" si="26"/>
        <v>2.61</v>
      </c>
      <c r="I90" s="250">
        <f t="shared" si="27"/>
        <v>8.9499999999999993</v>
      </c>
      <c r="J90" s="250">
        <f t="shared" si="28"/>
        <v>8.57</v>
      </c>
      <c r="K90" s="250">
        <f t="shared" si="29"/>
        <v>8.01</v>
      </c>
      <c r="L90" s="250">
        <f t="shared" si="30"/>
        <v>8.06</v>
      </c>
      <c r="M90" s="250">
        <f t="shared" si="31"/>
        <v>0</v>
      </c>
      <c r="N90" s="171">
        <f t="shared" si="32"/>
        <v>39</v>
      </c>
      <c r="O90" s="171">
        <f t="shared" si="22"/>
        <v>1140.7356578782596</v>
      </c>
      <c r="P90" s="172"/>
      <c r="Q90" s="172"/>
      <c r="R90" s="172"/>
      <c r="S90" s="172"/>
      <c r="T90" s="172"/>
      <c r="U90" s="172"/>
      <c r="V90" s="172"/>
      <c r="W90" s="172">
        <f>VLOOKUP(D90,KEY!$D$35:$E$44,2,FALSE)</f>
        <v>46</v>
      </c>
      <c r="X90" s="173" t="str">
        <f t="shared" si="23"/>
        <v>N</v>
      </c>
      <c r="Y90" s="174">
        <f t="shared" si="24"/>
        <v>0</v>
      </c>
      <c r="Z90" s="116" t="s">
        <v>430</v>
      </c>
      <c r="AB90" s="113">
        <v>2800</v>
      </c>
      <c r="AC90" s="113">
        <v>2610</v>
      </c>
      <c r="AD90" s="113">
        <v>8950</v>
      </c>
      <c r="AE90" s="113">
        <v>8570</v>
      </c>
      <c r="AF90" s="113">
        <v>8010</v>
      </c>
      <c r="AG90" s="113">
        <v>8060</v>
      </c>
      <c r="AH90" s="113"/>
    </row>
    <row r="91" spans="1:34" ht="20.100000000000001" customHeight="1" x14ac:dyDescent="0.25">
      <c r="A91" s="108">
        <f t="shared" si="33"/>
        <v>71</v>
      </c>
      <c r="B91" s="109">
        <v>0.41736111111111113</v>
      </c>
      <c r="C91" s="121" t="s">
        <v>170</v>
      </c>
      <c r="D91" s="5">
        <f t="shared" si="21"/>
        <v>10</v>
      </c>
      <c r="E91" s="111">
        <v>6</v>
      </c>
      <c r="F91" s="118" t="s">
        <v>108</v>
      </c>
      <c r="G91" s="250">
        <f t="shared" si="25"/>
        <v>3.1</v>
      </c>
      <c r="H91" s="250">
        <f t="shared" si="26"/>
        <v>7.02</v>
      </c>
      <c r="I91" s="250">
        <f t="shared" si="27"/>
        <v>6.99</v>
      </c>
      <c r="J91" s="250">
        <f t="shared" si="28"/>
        <v>6.72</v>
      </c>
      <c r="K91" s="250">
        <f t="shared" si="29"/>
        <v>7.13</v>
      </c>
      <c r="L91" s="250">
        <f t="shared" si="30"/>
        <v>7.41</v>
      </c>
      <c r="M91" s="250">
        <f t="shared" si="31"/>
        <v>0</v>
      </c>
      <c r="N91" s="171">
        <f t="shared" si="32"/>
        <v>38.369999999999997</v>
      </c>
      <c r="O91" s="171">
        <f t="shared" si="22"/>
        <v>1060.1257464246712</v>
      </c>
      <c r="P91" s="172"/>
      <c r="Q91" s="172"/>
      <c r="R91" s="172"/>
      <c r="S91" s="172"/>
      <c r="T91" s="172"/>
      <c r="U91" s="172"/>
      <c r="V91" s="172"/>
      <c r="W91" s="172">
        <f>VLOOKUP(D91,KEY!$D$35:$E$44,2,FALSE)</f>
        <v>46</v>
      </c>
      <c r="X91" s="173" t="str">
        <f t="shared" si="23"/>
        <v>N</v>
      </c>
      <c r="Y91" s="174">
        <f t="shared" si="24"/>
        <v>0</v>
      </c>
      <c r="Z91" s="116" t="s">
        <v>430</v>
      </c>
      <c r="AB91" s="113">
        <v>3100</v>
      </c>
      <c r="AC91" s="113">
        <v>7020</v>
      </c>
      <c r="AD91" s="113">
        <v>6990</v>
      </c>
      <c r="AE91" s="113">
        <v>6720</v>
      </c>
      <c r="AF91" s="113">
        <v>7130</v>
      </c>
      <c r="AG91" s="113">
        <v>7410</v>
      </c>
      <c r="AH91" s="113"/>
    </row>
    <row r="92" spans="1:34" ht="20.100000000000001" customHeight="1" x14ac:dyDescent="0.25">
      <c r="A92" s="108">
        <f t="shared" si="33"/>
        <v>72</v>
      </c>
      <c r="B92" s="109">
        <v>0.42499999999999999</v>
      </c>
      <c r="C92" s="121" t="s">
        <v>172</v>
      </c>
      <c r="D92" s="5">
        <f t="shared" si="21"/>
        <v>10</v>
      </c>
      <c r="E92" s="111">
        <v>4</v>
      </c>
      <c r="F92" s="118" t="s">
        <v>236</v>
      </c>
      <c r="G92" s="250">
        <f t="shared" si="25"/>
        <v>2</v>
      </c>
      <c r="H92" s="250">
        <f t="shared" si="26"/>
        <v>4.5</v>
      </c>
      <c r="I92" s="250">
        <f t="shared" si="27"/>
        <v>3.65</v>
      </c>
      <c r="J92" s="250">
        <f t="shared" si="28"/>
        <v>4.2699999999999996</v>
      </c>
      <c r="K92" s="250">
        <f t="shared" si="29"/>
        <v>0</v>
      </c>
      <c r="L92" s="250">
        <f t="shared" si="30"/>
        <v>0</v>
      </c>
      <c r="M92" s="250">
        <f t="shared" si="31"/>
        <v>0</v>
      </c>
      <c r="N92" s="171">
        <f t="shared" si="32"/>
        <v>14.42</v>
      </c>
      <c r="O92" s="171">
        <f t="shared" si="22"/>
        <v>12.963968208217496</v>
      </c>
      <c r="P92" s="172"/>
      <c r="Q92" s="172"/>
      <c r="R92" s="172"/>
      <c r="S92" s="172"/>
      <c r="T92" s="172"/>
      <c r="U92" s="172"/>
      <c r="V92" s="172"/>
      <c r="W92" s="172">
        <f>VLOOKUP(D92,KEY!$D$35:$E$44,2,FALSE)</f>
        <v>46</v>
      </c>
      <c r="X92" s="173" t="str">
        <f t="shared" si="23"/>
        <v>N</v>
      </c>
      <c r="Y92" s="174">
        <f t="shared" si="24"/>
        <v>0</v>
      </c>
      <c r="Z92" s="116" t="s">
        <v>369</v>
      </c>
      <c r="AB92" s="113">
        <v>2000</v>
      </c>
      <c r="AC92" s="113">
        <v>4500</v>
      </c>
      <c r="AD92" s="113">
        <v>3650</v>
      </c>
      <c r="AE92" s="113">
        <v>4270</v>
      </c>
      <c r="AF92" s="113"/>
      <c r="AG92" s="113"/>
      <c r="AH92" s="113"/>
    </row>
    <row r="93" spans="1:34" ht="20.100000000000001" customHeight="1" x14ac:dyDescent="0.25">
      <c r="A93" s="108">
        <f t="shared" si="33"/>
        <v>73</v>
      </c>
      <c r="B93" s="109">
        <v>0.4548611111111111</v>
      </c>
      <c r="C93" s="121" t="s">
        <v>207</v>
      </c>
      <c r="D93" s="5">
        <f t="shared" si="21"/>
        <v>10</v>
      </c>
      <c r="E93" s="111">
        <v>6</v>
      </c>
      <c r="F93" s="118" t="s">
        <v>29</v>
      </c>
      <c r="G93" s="250">
        <f t="shared" si="25"/>
        <v>3.1</v>
      </c>
      <c r="H93" s="250">
        <f t="shared" si="26"/>
        <v>8.31</v>
      </c>
      <c r="I93" s="250">
        <f t="shared" si="27"/>
        <v>5.5</v>
      </c>
      <c r="J93" s="250">
        <f t="shared" si="28"/>
        <v>6.93</v>
      </c>
      <c r="K93" s="250">
        <f t="shared" si="29"/>
        <v>7.32</v>
      </c>
      <c r="L93" s="250">
        <f t="shared" si="30"/>
        <v>7.41</v>
      </c>
      <c r="M93" s="250">
        <f t="shared" si="31"/>
        <v>0</v>
      </c>
      <c r="N93" s="171">
        <f t="shared" si="32"/>
        <v>38.57</v>
      </c>
      <c r="O93" s="171">
        <f t="shared" si="22"/>
        <v>1085.2196789931265</v>
      </c>
      <c r="P93" s="172"/>
      <c r="Q93" s="172"/>
      <c r="R93" s="172"/>
      <c r="S93" s="172"/>
      <c r="T93" s="172"/>
      <c r="U93" s="172"/>
      <c r="V93" s="172"/>
      <c r="W93" s="172">
        <f>VLOOKUP(D93,KEY!$D$35:$E$44,2,FALSE)</f>
        <v>46</v>
      </c>
      <c r="X93" s="173" t="str">
        <f t="shared" si="23"/>
        <v>N</v>
      </c>
      <c r="Y93" s="174">
        <f t="shared" si="24"/>
        <v>0</v>
      </c>
      <c r="Z93" s="116" t="s">
        <v>430</v>
      </c>
      <c r="AB93" s="113">
        <v>3100</v>
      </c>
      <c r="AC93" s="113">
        <v>8310</v>
      </c>
      <c r="AD93" s="113">
        <v>5500</v>
      </c>
      <c r="AE93" s="113">
        <v>6930</v>
      </c>
      <c r="AF93" s="113">
        <v>7320</v>
      </c>
      <c r="AG93" s="113">
        <v>7410</v>
      </c>
      <c r="AH93" s="113"/>
    </row>
    <row r="94" spans="1:34" ht="20.100000000000001" customHeight="1" x14ac:dyDescent="0.25">
      <c r="A94" s="108">
        <f t="shared" si="33"/>
        <v>74</v>
      </c>
      <c r="B94" s="109">
        <v>0.45624999999999999</v>
      </c>
      <c r="C94" s="121" t="s">
        <v>209</v>
      </c>
      <c r="D94" s="5">
        <f t="shared" si="21"/>
        <v>10</v>
      </c>
      <c r="E94" s="111">
        <v>6</v>
      </c>
      <c r="F94" s="118" t="s">
        <v>29</v>
      </c>
      <c r="G94" s="250">
        <f t="shared" si="25"/>
        <v>2.5499999999999998</v>
      </c>
      <c r="H94" s="250">
        <f t="shared" si="26"/>
        <v>7.6</v>
      </c>
      <c r="I94" s="250">
        <f t="shared" si="27"/>
        <v>6.85</v>
      </c>
      <c r="J94" s="250">
        <f t="shared" si="28"/>
        <v>5.65</v>
      </c>
      <c r="K94" s="250">
        <f t="shared" si="29"/>
        <v>7.07</v>
      </c>
      <c r="L94" s="250">
        <f t="shared" si="30"/>
        <v>7.06</v>
      </c>
      <c r="M94" s="250">
        <f t="shared" si="31"/>
        <v>0</v>
      </c>
      <c r="N94" s="171">
        <f t="shared" si="32"/>
        <v>36.78</v>
      </c>
      <c r="O94" s="171">
        <f t="shared" si="22"/>
        <v>876.28836968241899</v>
      </c>
      <c r="P94" s="172"/>
      <c r="Q94" s="172"/>
      <c r="R94" s="172"/>
      <c r="S94" s="172"/>
      <c r="T94" s="172"/>
      <c r="U94" s="172"/>
      <c r="V94" s="172"/>
      <c r="W94" s="172">
        <f>VLOOKUP(D94,KEY!$D$35:$E$44,2,FALSE)</f>
        <v>46</v>
      </c>
      <c r="X94" s="173" t="str">
        <f t="shared" si="23"/>
        <v>N</v>
      </c>
      <c r="Y94" s="174">
        <f t="shared" si="24"/>
        <v>0</v>
      </c>
      <c r="Z94" s="116" t="s">
        <v>430</v>
      </c>
      <c r="AB94" s="113">
        <v>2550</v>
      </c>
      <c r="AC94" s="113">
        <v>7600</v>
      </c>
      <c r="AD94" s="113">
        <v>6850</v>
      </c>
      <c r="AE94" s="113">
        <v>5650</v>
      </c>
      <c r="AF94" s="113">
        <v>7070</v>
      </c>
      <c r="AG94" s="113">
        <v>7060</v>
      </c>
      <c r="AH94" s="113"/>
    </row>
    <row r="95" spans="1:34" ht="20.100000000000001" customHeight="1" x14ac:dyDescent="0.25">
      <c r="A95" s="108">
        <f t="shared" si="33"/>
        <v>75</v>
      </c>
      <c r="B95" s="109">
        <v>0.4604166666666667</v>
      </c>
      <c r="C95" s="121" t="s">
        <v>93</v>
      </c>
      <c r="D95" s="5">
        <f t="shared" si="21"/>
        <v>10</v>
      </c>
      <c r="E95" s="111">
        <v>6</v>
      </c>
      <c r="F95" s="118" t="s">
        <v>110</v>
      </c>
      <c r="G95" s="250">
        <f t="shared" si="25"/>
        <v>2.4500000000000002</v>
      </c>
      <c r="H95" s="250">
        <f t="shared" si="26"/>
        <v>6.3</v>
      </c>
      <c r="I95" s="250">
        <f t="shared" si="27"/>
        <v>7.05</v>
      </c>
      <c r="J95" s="250">
        <f t="shared" si="28"/>
        <v>8.9</v>
      </c>
      <c r="K95" s="250">
        <f t="shared" si="29"/>
        <v>7.63</v>
      </c>
      <c r="L95" s="250">
        <f t="shared" si="30"/>
        <v>7.51</v>
      </c>
      <c r="M95" s="250">
        <f t="shared" si="31"/>
        <v>0</v>
      </c>
      <c r="N95" s="171">
        <f t="shared" si="32"/>
        <v>39.840000000000003</v>
      </c>
      <c r="O95" s="171">
        <f t="shared" si="22"/>
        <v>1255.5420702927322</v>
      </c>
      <c r="P95" s="172"/>
      <c r="Q95" s="172"/>
      <c r="R95" s="172"/>
      <c r="S95" s="172"/>
      <c r="T95" s="172"/>
      <c r="U95" s="172"/>
      <c r="V95" s="172"/>
      <c r="W95" s="172">
        <f>VLOOKUP(D95,KEY!$D$35:$E$44,2,FALSE)</f>
        <v>46</v>
      </c>
      <c r="X95" s="173" t="str">
        <f t="shared" si="23"/>
        <v>N</v>
      </c>
      <c r="Y95" s="174">
        <f t="shared" si="24"/>
        <v>0</v>
      </c>
      <c r="Z95" s="116" t="s">
        <v>430</v>
      </c>
      <c r="AB95" s="113">
        <v>2450</v>
      </c>
      <c r="AC95" s="113">
        <v>6300</v>
      </c>
      <c r="AD95" s="113">
        <v>7050</v>
      </c>
      <c r="AE95" s="113">
        <v>8900</v>
      </c>
      <c r="AF95" s="113">
        <v>7630</v>
      </c>
      <c r="AG95" s="113">
        <v>7510</v>
      </c>
      <c r="AH95" s="113"/>
    </row>
    <row r="96" spans="1:34" ht="20.100000000000001" customHeight="1" x14ac:dyDescent="0.25">
      <c r="A96" s="108">
        <f t="shared" si="33"/>
        <v>76</v>
      </c>
      <c r="B96" s="109">
        <v>0.46319444444444446</v>
      </c>
      <c r="C96" s="121" t="s">
        <v>213</v>
      </c>
      <c r="D96" s="5">
        <f t="shared" si="21"/>
        <v>10</v>
      </c>
      <c r="E96" s="111">
        <v>5</v>
      </c>
      <c r="F96" s="118" t="s">
        <v>214</v>
      </c>
      <c r="G96" s="250">
        <f t="shared" si="25"/>
        <v>2.0499999999999998</v>
      </c>
      <c r="H96" s="250">
        <f t="shared" si="26"/>
        <v>7.71</v>
      </c>
      <c r="I96" s="250">
        <f t="shared" si="27"/>
        <v>12.33</v>
      </c>
      <c r="J96" s="250">
        <f t="shared" si="28"/>
        <v>11.47</v>
      </c>
      <c r="K96" s="250">
        <f t="shared" si="29"/>
        <v>1.1399999999999999</v>
      </c>
      <c r="L96" s="250">
        <f t="shared" si="30"/>
        <v>0</v>
      </c>
      <c r="M96" s="250">
        <f t="shared" si="31"/>
        <v>0</v>
      </c>
      <c r="N96" s="171">
        <f t="shared" si="32"/>
        <v>34.700000000000003</v>
      </c>
      <c r="O96" s="171">
        <f t="shared" si="22"/>
        <v>674.33689543841353</v>
      </c>
      <c r="P96" s="172"/>
      <c r="Q96" s="172"/>
      <c r="R96" s="172"/>
      <c r="S96" s="172"/>
      <c r="T96" s="172"/>
      <c r="U96" s="172"/>
      <c r="V96" s="172"/>
      <c r="W96" s="172">
        <f>VLOOKUP(D96,KEY!$D$35:$E$44,2,FALSE)</f>
        <v>46</v>
      </c>
      <c r="X96" s="173" t="str">
        <f t="shared" si="23"/>
        <v>N</v>
      </c>
      <c r="Y96" s="174">
        <f t="shared" si="24"/>
        <v>0</v>
      </c>
      <c r="Z96" s="116" t="s">
        <v>422</v>
      </c>
      <c r="AB96" s="113">
        <v>2050</v>
      </c>
      <c r="AC96" s="113">
        <v>7710</v>
      </c>
      <c r="AD96" s="113">
        <v>12330</v>
      </c>
      <c r="AE96" s="113">
        <v>11470</v>
      </c>
      <c r="AF96" s="113">
        <v>1140</v>
      </c>
      <c r="AG96" s="113"/>
      <c r="AH96" s="113"/>
    </row>
    <row r="97" spans="1:34" ht="20.100000000000001" customHeight="1" x14ac:dyDescent="0.25">
      <c r="A97" s="108">
        <f t="shared" si="33"/>
        <v>77</v>
      </c>
      <c r="B97" s="109">
        <v>0.46527777777777773</v>
      </c>
      <c r="C97" s="121" t="s">
        <v>215</v>
      </c>
      <c r="D97" s="5">
        <f t="shared" si="21"/>
        <v>10</v>
      </c>
      <c r="E97" s="111">
        <v>5</v>
      </c>
      <c r="F97" s="118" t="s">
        <v>214</v>
      </c>
      <c r="G97" s="250">
        <f t="shared" si="25"/>
        <v>2.4</v>
      </c>
      <c r="H97" s="250">
        <f t="shared" si="26"/>
        <v>7.21</v>
      </c>
      <c r="I97" s="250">
        <f t="shared" si="27"/>
        <v>11.43</v>
      </c>
      <c r="J97" s="250">
        <f t="shared" si="28"/>
        <v>10.57</v>
      </c>
      <c r="K97" s="250">
        <f t="shared" si="29"/>
        <v>0.89</v>
      </c>
      <c r="L97" s="250">
        <f t="shared" si="30"/>
        <v>0</v>
      </c>
      <c r="M97" s="250">
        <f t="shared" si="31"/>
        <v>0</v>
      </c>
      <c r="N97" s="171">
        <f t="shared" si="32"/>
        <v>32.5</v>
      </c>
      <c r="O97" s="171">
        <f t="shared" si="22"/>
        <v>502.19156054721128</v>
      </c>
      <c r="P97" s="172"/>
      <c r="Q97" s="172"/>
      <c r="R97" s="172"/>
      <c r="S97" s="172"/>
      <c r="T97" s="172"/>
      <c r="U97" s="172"/>
      <c r="V97" s="172"/>
      <c r="W97" s="172">
        <f>VLOOKUP(D97,KEY!$D$35:$E$44,2,FALSE)</f>
        <v>46</v>
      </c>
      <c r="X97" s="173" t="str">
        <f t="shared" si="23"/>
        <v>N</v>
      </c>
      <c r="Y97" s="174">
        <f t="shared" si="24"/>
        <v>0</v>
      </c>
      <c r="Z97" s="116" t="s">
        <v>422</v>
      </c>
      <c r="AB97" s="113">
        <v>2400</v>
      </c>
      <c r="AC97" s="113">
        <v>7210</v>
      </c>
      <c r="AD97" s="113">
        <v>11430</v>
      </c>
      <c r="AE97" s="113">
        <v>10570</v>
      </c>
      <c r="AF97" s="113">
        <v>890</v>
      </c>
      <c r="AG97" s="113"/>
      <c r="AH97" s="113"/>
    </row>
    <row r="98" spans="1:34" ht="20.100000000000001" customHeight="1" x14ac:dyDescent="0.25">
      <c r="A98" s="108">
        <f t="shared" si="33"/>
        <v>78</v>
      </c>
      <c r="B98" s="109">
        <v>0.47013888888888888</v>
      </c>
      <c r="C98" s="121" t="s">
        <v>218</v>
      </c>
      <c r="D98" s="5">
        <f t="shared" si="21"/>
        <v>10</v>
      </c>
      <c r="E98" s="111">
        <v>6</v>
      </c>
      <c r="F98" s="118" t="s">
        <v>110</v>
      </c>
      <c r="G98" s="250">
        <f t="shared" si="25"/>
        <v>2</v>
      </c>
      <c r="H98" s="250">
        <f t="shared" si="26"/>
        <v>5.5</v>
      </c>
      <c r="I98" s="250">
        <f t="shared" si="27"/>
        <v>4.7699999999999996</v>
      </c>
      <c r="J98" s="250">
        <f t="shared" si="28"/>
        <v>8.06</v>
      </c>
      <c r="K98" s="250">
        <f t="shared" si="29"/>
        <v>7.86</v>
      </c>
      <c r="L98" s="250">
        <f t="shared" si="30"/>
        <v>8.94</v>
      </c>
      <c r="M98" s="250">
        <f t="shared" si="31"/>
        <v>0</v>
      </c>
      <c r="N98" s="171">
        <f t="shared" si="32"/>
        <v>37.129999999999995</v>
      </c>
      <c r="O98" s="171">
        <f t="shared" si="22"/>
        <v>914.44282599212841</v>
      </c>
      <c r="P98" s="172"/>
      <c r="Q98" s="172"/>
      <c r="R98" s="172"/>
      <c r="S98" s="172"/>
      <c r="T98" s="172"/>
      <c r="U98" s="172"/>
      <c r="V98" s="172"/>
      <c r="W98" s="172">
        <f>VLOOKUP(D98,KEY!$D$35:$E$44,2,FALSE)</f>
        <v>46</v>
      </c>
      <c r="X98" s="173" t="str">
        <f t="shared" si="23"/>
        <v>N</v>
      </c>
      <c r="Y98" s="174">
        <f t="shared" si="24"/>
        <v>0</v>
      </c>
      <c r="Z98" s="116" t="s">
        <v>430</v>
      </c>
      <c r="AB98" s="113">
        <v>2000</v>
      </c>
      <c r="AC98" s="113">
        <v>5500</v>
      </c>
      <c r="AD98" s="113">
        <v>4770</v>
      </c>
      <c r="AE98" s="113">
        <v>8060</v>
      </c>
      <c r="AF98" s="113">
        <v>7860</v>
      </c>
      <c r="AG98" s="113">
        <v>8940</v>
      </c>
      <c r="AH98" s="113"/>
    </row>
    <row r="99" spans="1:34" ht="20.100000000000001" customHeight="1" x14ac:dyDescent="0.25">
      <c r="A99" s="108">
        <f t="shared" si="33"/>
        <v>79</v>
      </c>
      <c r="B99" s="109">
        <v>0.47291666666666665</v>
      </c>
      <c r="C99" s="121" t="s">
        <v>219</v>
      </c>
      <c r="D99" s="5">
        <f t="shared" si="21"/>
        <v>10</v>
      </c>
      <c r="E99" s="111">
        <v>7</v>
      </c>
      <c r="F99" s="118" t="s">
        <v>58</v>
      </c>
      <c r="G99" s="250">
        <f t="shared" si="25"/>
        <v>2.1</v>
      </c>
      <c r="H99" s="250">
        <f t="shared" si="26"/>
        <v>3.74</v>
      </c>
      <c r="I99" s="250">
        <f t="shared" si="27"/>
        <v>3.79</v>
      </c>
      <c r="J99" s="250">
        <f t="shared" si="28"/>
        <v>2.41</v>
      </c>
      <c r="K99" s="250">
        <f t="shared" si="29"/>
        <v>5.0599999999999996</v>
      </c>
      <c r="L99" s="250">
        <f t="shared" si="30"/>
        <v>5.21</v>
      </c>
      <c r="M99" s="250">
        <f t="shared" si="31"/>
        <v>2.74</v>
      </c>
      <c r="N99" s="171">
        <f t="shared" si="32"/>
        <v>25.049999999999997</v>
      </c>
      <c r="O99" s="171">
        <f t="shared" si="22"/>
        <v>155.6069790892108</v>
      </c>
      <c r="P99" s="172"/>
      <c r="Q99" s="172"/>
      <c r="R99" s="172"/>
      <c r="S99" s="172"/>
      <c r="T99" s="172"/>
      <c r="U99" s="172"/>
      <c r="V99" s="172"/>
      <c r="W99" s="172">
        <f>VLOOKUP(D99,KEY!$D$35:$E$44,2,FALSE)</f>
        <v>46</v>
      </c>
      <c r="X99" s="173" t="str">
        <f t="shared" si="23"/>
        <v>N</v>
      </c>
      <c r="Y99" s="174">
        <f t="shared" si="24"/>
        <v>0</v>
      </c>
      <c r="Z99" s="116" t="s">
        <v>369</v>
      </c>
      <c r="AB99" s="113">
        <v>2100</v>
      </c>
      <c r="AC99" s="113">
        <v>3740</v>
      </c>
      <c r="AD99" s="113">
        <v>3790</v>
      </c>
      <c r="AE99" s="113">
        <v>2410</v>
      </c>
      <c r="AF99" s="113">
        <v>5060</v>
      </c>
      <c r="AG99" s="113">
        <v>5210</v>
      </c>
      <c r="AH99" s="113">
        <v>2740</v>
      </c>
    </row>
    <row r="100" spans="1:34" ht="20.100000000000001" customHeight="1" x14ac:dyDescent="0.25">
      <c r="A100" s="108">
        <f t="shared" si="33"/>
        <v>80</v>
      </c>
      <c r="B100" s="109">
        <v>0.47361111111111115</v>
      </c>
      <c r="C100" s="121" t="s">
        <v>220</v>
      </c>
      <c r="D100" s="5">
        <f t="shared" si="21"/>
        <v>10</v>
      </c>
      <c r="E100" s="111">
        <v>5</v>
      </c>
      <c r="F100" s="118" t="s">
        <v>214</v>
      </c>
      <c r="G100" s="250">
        <f t="shared" si="25"/>
        <v>2.2999999999999998</v>
      </c>
      <c r="H100" s="250">
        <f t="shared" si="26"/>
        <v>3.72</v>
      </c>
      <c r="I100" s="250">
        <f t="shared" si="27"/>
        <v>3.31</v>
      </c>
      <c r="J100" s="250">
        <f t="shared" si="28"/>
        <v>2.17</v>
      </c>
      <c r="K100" s="250">
        <f t="shared" si="29"/>
        <v>2.2999999999999998</v>
      </c>
      <c r="L100" s="250">
        <f t="shared" si="30"/>
        <v>0</v>
      </c>
      <c r="M100" s="250">
        <f t="shared" si="31"/>
        <v>0</v>
      </c>
      <c r="N100" s="171">
        <f t="shared" si="32"/>
        <v>13.8</v>
      </c>
      <c r="O100" s="171">
        <f t="shared" si="22"/>
        <v>10.637759669253024</v>
      </c>
      <c r="P100" s="172"/>
      <c r="Q100" s="172"/>
      <c r="R100" s="172"/>
      <c r="S100" s="172"/>
      <c r="T100" s="172"/>
      <c r="U100" s="172"/>
      <c r="V100" s="172"/>
      <c r="W100" s="172">
        <f>VLOOKUP(D100,KEY!$D$35:$E$44,2,FALSE)</f>
        <v>46</v>
      </c>
      <c r="X100" s="173" t="str">
        <f t="shared" si="23"/>
        <v>N</v>
      </c>
      <c r="Y100" s="174">
        <f t="shared" si="24"/>
        <v>0</v>
      </c>
      <c r="Z100" s="116" t="s">
        <v>369</v>
      </c>
      <c r="AB100" s="113">
        <v>2300</v>
      </c>
      <c r="AC100" s="113">
        <v>3720</v>
      </c>
      <c r="AD100" s="113">
        <v>3310</v>
      </c>
      <c r="AE100" s="113">
        <v>2170</v>
      </c>
      <c r="AF100" s="113">
        <v>2300</v>
      </c>
      <c r="AG100" s="113"/>
      <c r="AH100" s="113"/>
    </row>
    <row r="101" spans="1:34" ht="20.100000000000001" customHeight="1" x14ac:dyDescent="0.25">
      <c r="A101" s="108">
        <f t="shared" si="33"/>
        <v>81</v>
      </c>
      <c r="B101" s="109">
        <v>0.50972222222222219</v>
      </c>
      <c r="C101" s="121" t="s">
        <v>229</v>
      </c>
      <c r="D101" s="5">
        <f t="shared" si="21"/>
        <v>10</v>
      </c>
      <c r="E101" s="111">
        <v>6</v>
      </c>
      <c r="F101" s="118" t="s">
        <v>29</v>
      </c>
      <c r="G101" s="250">
        <f t="shared" si="25"/>
        <v>2.75</v>
      </c>
      <c r="H101" s="250">
        <f t="shared" si="26"/>
        <v>8.85</v>
      </c>
      <c r="I101" s="250">
        <f t="shared" si="27"/>
        <v>7.12</v>
      </c>
      <c r="J101" s="250">
        <f t="shared" si="28"/>
        <v>6.01</v>
      </c>
      <c r="K101" s="250">
        <f t="shared" si="29"/>
        <v>7.34</v>
      </c>
      <c r="L101" s="250">
        <f t="shared" si="30"/>
        <v>6.34</v>
      </c>
      <c r="M101" s="250">
        <f t="shared" si="31"/>
        <v>0</v>
      </c>
      <c r="N101" s="171">
        <f t="shared" si="32"/>
        <v>38.409999999999997</v>
      </c>
      <c r="O101" s="171">
        <f t="shared" si="22"/>
        <v>1065.1080519403656</v>
      </c>
      <c r="P101" s="172"/>
      <c r="Q101" s="172"/>
      <c r="R101" s="172"/>
      <c r="S101" s="172"/>
      <c r="T101" s="172"/>
      <c r="U101" s="172"/>
      <c r="V101" s="172"/>
      <c r="W101" s="172">
        <f>VLOOKUP(D101,KEY!$D$35:$E$44,2,FALSE)</f>
        <v>46</v>
      </c>
      <c r="X101" s="173" t="str">
        <f t="shared" si="23"/>
        <v>N</v>
      </c>
      <c r="Y101" s="174">
        <f t="shared" si="24"/>
        <v>0</v>
      </c>
      <c r="Z101" s="116" t="s">
        <v>430</v>
      </c>
      <c r="AB101" s="113">
        <v>2750</v>
      </c>
      <c r="AC101" s="113">
        <v>8850</v>
      </c>
      <c r="AD101" s="113">
        <v>7120</v>
      </c>
      <c r="AE101" s="113">
        <v>6010</v>
      </c>
      <c r="AF101" s="113">
        <v>7340</v>
      </c>
      <c r="AG101" s="113">
        <v>6340</v>
      </c>
      <c r="AH101" s="113"/>
    </row>
    <row r="102" spans="1:34" ht="20.100000000000001" customHeight="1" x14ac:dyDescent="0.25">
      <c r="A102" s="108">
        <f t="shared" si="33"/>
        <v>82</v>
      </c>
      <c r="B102" s="122">
        <v>0.52083333333333337</v>
      </c>
      <c r="C102" s="121" t="s">
        <v>233</v>
      </c>
      <c r="D102" s="5">
        <f t="shared" si="21"/>
        <v>10</v>
      </c>
      <c r="E102" s="111">
        <v>6</v>
      </c>
      <c r="F102" s="118" t="s">
        <v>29</v>
      </c>
      <c r="G102" s="250">
        <f t="shared" si="25"/>
        <v>2</v>
      </c>
      <c r="H102" s="250">
        <f t="shared" si="26"/>
        <v>2.69</v>
      </c>
      <c r="I102" s="250">
        <f t="shared" si="27"/>
        <v>2.98</v>
      </c>
      <c r="J102" s="250">
        <f t="shared" si="28"/>
        <v>1.95</v>
      </c>
      <c r="K102" s="250">
        <f t="shared" si="29"/>
        <v>2.15</v>
      </c>
      <c r="L102" s="250">
        <f t="shared" si="30"/>
        <v>2.52</v>
      </c>
      <c r="M102" s="250">
        <f t="shared" si="31"/>
        <v>0</v>
      </c>
      <c r="N102" s="171">
        <f t="shared" si="32"/>
        <v>14.29</v>
      </c>
      <c r="O102" s="171">
        <f t="shared" si="22"/>
        <v>12.446272784446771</v>
      </c>
      <c r="P102" s="172"/>
      <c r="Q102" s="172"/>
      <c r="R102" s="172"/>
      <c r="S102" s="172"/>
      <c r="T102" s="172"/>
      <c r="U102" s="172"/>
      <c r="V102" s="172"/>
      <c r="W102" s="172">
        <f>VLOOKUP(D102,KEY!$D$35:$E$44,2,FALSE)</f>
        <v>46</v>
      </c>
      <c r="X102" s="173" t="str">
        <f t="shared" si="23"/>
        <v>N</v>
      </c>
      <c r="Y102" s="174">
        <f t="shared" si="24"/>
        <v>0</v>
      </c>
      <c r="Z102" s="116" t="s">
        <v>369</v>
      </c>
      <c r="AB102" s="113">
        <v>2000</v>
      </c>
      <c r="AC102" s="113">
        <v>2690</v>
      </c>
      <c r="AD102" s="113">
        <v>2980</v>
      </c>
      <c r="AE102" s="113">
        <v>1950</v>
      </c>
      <c r="AF102" s="113">
        <v>2150</v>
      </c>
      <c r="AG102" s="113">
        <v>2520</v>
      </c>
      <c r="AH102" s="113"/>
    </row>
    <row r="103" spans="1:34" ht="24" customHeight="1" x14ac:dyDescent="0.25">
      <c r="A103" s="176">
        <f t="shared" si="33"/>
        <v>83</v>
      </c>
      <c r="B103" s="177">
        <v>0.54722222222222217</v>
      </c>
      <c r="C103" s="182" t="s">
        <v>177</v>
      </c>
      <c r="D103" s="5">
        <f t="shared" ref="D103:D125" si="34">IF(COUNT(G103:M103)&gt;3,10,IF(COUNT(G103:M103)&gt;2,9,7))</f>
        <v>10</v>
      </c>
      <c r="E103" s="111">
        <v>6</v>
      </c>
      <c r="F103" s="118" t="s">
        <v>29</v>
      </c>
      <c r="G103" s="250">
        <f t="shared" si="25"/>
        <v>2.9</v>
      </c>
      <c r="H103" s="250">
        <f t="shared" si="26"/>
        <v>6.53</v>
      </c>
      <c r="I103" s="250">
        <f t="shared" si="27"/>
        <v>7.05</v>
      </c>
      <c r="J103" s="250">
        <f t="shared" si="28"/>
        <v>6.44</v>
      </c>
      <c r="K103" s="250">
        <f t="shared" si="29"/>
        <v>7.95</v>
      </c>
      <c r="L103" s="250">
        <f t="shared" si="30"/>
        <v>9.6199999999999992</v>
      </c>
      <c r="M103" s="250">
        <f t="shared" si="31"/>
        <v>0</v>
      </c>
      <c r="N103" s="171">
        <f t="shared" si="32"/>
        <v>40.49</v>
      </c>
      <c r="O103" s="171">
        <f t="shared" ref="O103:O125" si="35">(N103/8.16)^4.5</f>
        <v>1350.3902109380106</v>
      </c>
      <c r="P103" s="172"/>
      <c r="Q103" s="172"/>
      <c r="R103" s="172"/>
      <c r="S103" s="172"/>
      <c r="T103" s="172"/>
      <c r="U103" s="172"/>
      <c r="V103" s="172"/>
      <c r="W103" s="172">
        <f>VLOOKUP(D103,KEY!$D$35:$E$44,2,FALSE)</f>
        <v>46</v>
      </c>
      <c r="X103" s="173" t="str">
        <f t="shared" ref="X103:X125" si="36">IF(N103&gt;W103,"Y","N")</f>
        <v>N</v>
      </c>
      <c r="Y103" s="174">
        <f t="shared" ref="Y103:Y125" si="37">IF(X103="Y",(N103-W103)/W103,0)</f>
        <v>0</v>
      </c>
      <c r="Z103" s="116" t="s">
        <v>430</v>
      </c>
      <c r="AB103" s="113">
        <v>2900</v>
      </c>
      <c r="AC103" s="113">
        <v>6530</v>
      </c>
      <c r="AD103" s="113">
        <v>7050</v>
      </c>
      <c r="AE103" s="113">
        <v>6440</v>
      </c>
      <c r="AF103" s="113">
        <v>7950</v>
      </c>
      <c r="AG103" s="113">
        <v>9620</v>
      </c>
      <c r="AH103" s="113"/>
    </row>
    <row r="104" spans="1:34" ht="24" customHeight="1" x14ac:dyDescent="0.25">
      <c r="A104" s="176">
        <f t="shared" si="33"/>
        <v>84</v>
      </c>
      <c r="B104" s="178">
        <v>0.57361111111111118</v>
      </c>
      <c r="C104" s="121" t="s">
        <v>184</v>
      </c>
      <c r="D104" s="5">
        <f t="shared" si="34"/>
        <v>10</v>
      </c>
      <c r="E104" s="111">
        <v>6</v>
      </c>
      <c r="F104" s="118" t="s">
        <v>110</v>
      </c>
      <c r="G104" s="250">
        <f t="shared" si="25"/>
        <v>2.7</v>
      </c>
      <c r="H104" s="250">
        <f t="shared" si="26"/>
        <v>0.94</v>
      </c>
      <c r="I104" s="250">
        <f t="shared" si="27"/>
        <v>2.83</v>
      </c>
      <c r="J104" s="250">
        <f t="shared" si="28"/>
        <v>1.76</v>
      </c>
      <c r="K104" s="250">
        <f t="shared" si="29"/>
        <v>2.4700000000000002</v>
      </c>
      <c r="L104" s="250">
        <f t="shared" si="30"/>
        <v>4</v>
      </c>
      <c r="M104" s="250">
        <f t="shared" si="31"/>
        <v>0</v>
      </c>
      <c r="N104" s="171">
        <f t="shared" si="32"/>
        <v>14.700000000000001</v>
      </c>
      <c r="O104" s="171">
        <f t="shared" si="35"/>
        <v>14.135861844198658</v>
      </c>
      <c r="P104" s="172"/>
      <c r="Q104" s="172"/>
      <c r="R104" s="172"/>
      <c r="S104" s="172"/>
      <c r="T104" s="172"/>
      <c r="U104" s="172"/>
      <c r="V104" s="172"/>
      <c r="W104" s="172">
        <f>VLOOKUP(D104,KEY!$D$35:$E$44,2,FALSE)</f>
        <v>46</v>
      </c>
      <c r="X104" s="173" t="str">
        <f t="shared" si="36"/>
        <v>N</v>
      </c>
      <c r="Y104" s="174">
        <f t="shared" si="37"/>
        <v>0</v>
      </c>
      <c r="Z104" s="127" t="s">
        <v>369</v>
      </c>
      <c r="AB104" s="113">
        <v>2700</v>
      </c>
      <c r="AC104" s="113">
        <v>940</v>
      </c>
      <c r="AD104" s="113">
        <v>2830</v>
      </c>
      <c r="AE104" s="113">
        <v>1760</v>
      </c>
      <c r="AF104" s="113">
        <v>2470</v>
      </c>
      <c r="AG104" s="113">
        <v>4000</v>
      </c>
      <c r="AH104" s="113"/>
    </row>
    <row r="105" spans="1:34" ht="24" customHeight="1" x14ac:dyDescent="0.25">
      <c r="A105" s="176">
        <f t="shared" si="33"/>
        <v>85</v>
      </c>
      <c r="B105" s="178">
        <v>0.59305555555555556</v>
      </c>
      <c r="C105" s="185" t="s">
        <v>168</v>
      </c>
      <c r="D105" s="5">
        <f t="shared" si="34"/>
        <v>10</v>
      </c>
      <c r="E105" s="111">
        <v>6</v>
      </c>
      <c r="F105" s="190" t="s">
        <v>29</v>
      </c>
      <c r="G105" s="250">
        <f t="shared" si="25"/>
        <v>3.85</v>
      </c>
      <c r="H105" s="250">
        <f t="shared" si="26"/>
        <v>6.74</v>
      </c>
      <c r="I105" s="250">
        <f t="shared" si="27"/>
        <v>8.74</v>
      </c>
      <c r="J105" s="250">
        <f t="shared" si="28"/>
        <v>7.22</v>
      </c>
      <c r="K105" s="250">
        <f t="shared" si="29"/>
        <v>7.59</v>
      </c>
      <c r="L105" s="250">
        <f t="shared" si="30"/>
        <v>11.47</v>
      </c>
      <c r="M105" s="250">
        <f t="shared" si="31"/>
        <v>0</v>
      </c>
      <c r="N105" s="171">
        <f t="shared" si="32"/>
        <v>45.61</v>
      </c>
      <c r="O105" s="171">
        <f t="shared" si="35"/>
        <v>2307.6216811148138</v>
      </c>
      <c r="P105" s="172"/>
      <c r="Q105" s="172"/>
      <c r="R105" s="172"/>
      <c r="S105" s="172"/>
      <c r="T105" s="172"/>
      <c r="U105" s="172"/>
      <c r="V105" s="172"/>
      <c r="W105" s="172">
        <f>VLOOKUP(D105,KEY!$D$35:$E$44,2,FALSE)</f>
        <v>46</v>
      </c>
      <c r="X105" s="173" t="str">
        <f t="shared" si="36"/>
        <v>N</v>
      </c>
      <c r="Y105" s="174">
        <f t="shared" si="37"/>
        <v>0</v>
      </c>
      <c r="Z105" s="116" t="s">
        <v>430</v>
      </c>
      <c r="AB105" s="113">
        <v>3850</v>
      </c>
      <c r="AC105" s="113">
        <v>6740</v>
      </c>
      <c r="AD105" s="113">
        <v>8740</v>
      </c>
      <c r="AE105" s="113">
        <v>7220</v>
      </c>
      <c r="AF105" s="113">
        <v>7590</v>
      </c>
      <c r="AG105" s="113">
        <v>11470</v>
      </c>
      <c r="AH105" s="113"/>
    </row>
    <row r="106" spans="1:34" ht="24" customHeight="1" x14ac:dyDescent="0.25">
      <c r="A106" s="176">
        <f t="shared" si="33"/>
        <v>86</v>
      </c>
      <c r="B106" s="178">
        <v>0.60555555555555551</v>
      </c>
      <c r="C106" s="121" t="s">
        <v>90</v>
      </c>
      <c r="D106" s="5">
        <f t="shared" si="34"/>
        <v>10</v>
      </c>
      <c r="E106" s="111">
        <v>6</v>
      </c>
      <c r="F106" s="188" t="s">
        <v>29</v>
      </c>
      <c r="G106" s="250">
        <f t="shared" si="25"/>
        <v>1.8</v>
      </c>
      <c r="H106" s="250">
        <f t="shared" si="26"/>
        <v>11.33</v>
      </c>
      <c r="I106" s="250">
        <f t="shared" si="27"/>
        <v>5.21</v>
      </c>
      <c r="J106" s="250">
        <f t="shared" si="28"/>
        <v>7.41</v>
      </c>
      <c r="K106" s="250">
        <f t="shared" si="29"/>
        <v>7.08</v>
      </c>
      <c r="L106" s="250">
        <f t="shared" si="30"/>
        <v>7.09</v>
      </c>
      <c r="M106" s="250">
        <f t="shared" si="31"/>
        <v>0</v>
      </c>
      <c r="N106" s="171">
        <f t="shared" si="32"/>
        <v>39.92</v>
      </c>
      <c r="O106" s="171">
        <f t="shared" si="35"/>
        <v>1266.9272646079905</v>
      </c>
      <c r="P106" s="172"/>
      <c r="Q106" s="172"/>
      <c r="R106" s="172"/>
      <c r="S106" s="172"/>
      <c r="T106" s="172"/>
      <c r="U106" s="172"/>
      <c r="V106" s="172"/>
      <c r="W106" s="172">
        <f>VLOOKUP(D106,KEY!$D$35:$E$44,2,FALSE)</f>
        <v>46</v>
      </c>
      <c r="X106" s="173" t="str">
        <f t="shared" si="36"/>
        <v>N</v>
      </c>
      <c r="Y106" s="174">
        <f t="shared" si="37"/>
        <v>0</v>
      </c>
      <c r="Z106" s="116" t="s">
        <v>430</v>
      </c>
      <c r="AB106" s="113">
        <v>1800</v>
      </c>
      <c r="AC106" s="113">
        <v>11330</v>
      </c>
      <c r="AD106" s="113">
        <v>5210</v>
      </c>
      <c r="AE106" s="113">
        <v>7410</v>
      </c>
      <c r="AF106" s="113">
        <v>7080</v>
      </c>
      <c r="AG106" s="113">
        <v>7090</v>
      </c>
      <c r="AH106" s="113"/>
    </row>
    <row r="107" spans="1:34" ht="24" customHeight="1" x14ac:dyDescent="0.25">
      <c r="A107" s="176">
        <f t="shared" si="33"/>
        <v>87</v>
      </c>
      <c r="B107" s="178">
        <v>0.61597222222222225</v>
      </c>
      <c r="C107" s="121" t="s">
        <v>242</v>
      </c>
      <c r="D107" s="5">
        <f t="shared" si="34"/>
        <v>10</v>
      </c>
      <c r="E107" s="111">
        <v>6</v>
      </c>
      <c r="F107" s="188" t="s">
        <v>108</v>
      </c>
      <c r="G107" s="250">
        <f t="shared" si="25"/>
        <v>1.98</v>
      </c>
      <c r="H107" s="250">
        <f t="shared" si="26"/>
        <v>2.75</v>
      </c>
      <c r="I107" s="250">
        <f t="shared" si="27"/>
        <v>2.57</v>
      </c>
      <c r="J107" s="250">
        <f t="shared" si="28"/>
        <v>4.51</v>
      </c>
      <c r="K107" s="250">
        <f t="shared" si="29"/>
        <v>3.45</v>
      </c>
      <c r="L107" s="250">
        <f t="shared" si="30"/>
        <v>1.24</v>
      </c>
      <c r="M107" s="250">
        <f t="shared" si="31"/>
        <v>0</v>
      </c>
      <c r="N107" s="171">
        <f t="shared" si="32"/>
        <v>16.5</v>
      </c>
      <c r="O107" s="171">
        <f t="shared" si="35"/>
        <v>23.77234555665196</v>
      </c>
      <c r="P107" s="172"/>
      <c r="Q107" s="172"/>
      <c r="R107" s="172"/>
      <c r="S107" s="172"/>
      <c r="T107" s="172"/>
      <c r="U107" s="172"/>
      <c r="V107" s="172"/>
      <c r="W107" s="172">
        <f>VLOOKUP(D107,KEY!$D$35:$E$44,2,FALSE)</f>
        <v>46</v>
      </c>
      <c r="X107" s="173" t="str">
        <f t="shared" si="36"/>
        <v>N</v>
      </c>
      <c r="Y107" s="174">
        <f t="shared" si="37"/>
        <v>0</v>
      </c>
      <c r="Z107" s="116" t="s">
        <v>369</v>
      </c>
      <c r="AB107" s="113">
        <v>1980</v>
      </c>
      <c r="AC107" s="113">
        <v>2750</v>
      </c>
      <c r="AD107" s="113">
        <v>2570</v>
      </c>
      <c r="AE107" s="113">
        <v>4510</v>
      </c>
      <c r="AF107" s="113">
        <v>3450</v>
      </c>
      <c r="AG107" s="113">
        <v>1240</v>
      </c>
      <c r="AH107" s="113"/>
    </row>
    <row r="108" spans="1:34" ht="24" customHeight="1" x14ac:dyDescent="0.25">
      <c r="A108" s="176">
        <f t="shared" si="33"/>
        <v>88</v>
      </c>
      <c r="B108" s="178">
        <v>0.64930555555555558</v>
      </c>
      <c r="C108" s="121" t="s">
        <v>42</v>
      </c>
      <c r="D108" s="5">
        <f t="shared" si="34"/>
        <v>10</v>
      </c>
      <c r="E108" s="111">
        <v>6</v>
      </c>
      <c r="F108" s="190" t="s">
        <v>29</v>
      </c>
      <c r="G108" s="250">
        <f t="shared" si="25"/>
        <v>2.5</v>
      </c>
      <c r="H108" s="250">
        <f t="shared" si="26"/>
        <v>8.7899999999999991</v>
      </c>
      <c r="I108" s="250">
        <f t="shared" si="27"/>
        <v>8.6</v>
      </c>
      <c r="J108" s="250">
        <f t="shared" si="28"/>
        <v>7.25</v>
      </c>
      <c r="K108" s="250">
        <f t="shared" si="29"/>
        <v>7.79</v>
      </c>
      <c r="L108" s="250">
        <f t="shared" si="30"/>
        <v>6.76</v>
      </c>
      <c r="M108" s="250">
        <f t="shared" si="31"/>
        <v>0</v>
      </c>
      <c r="N108" s="171">
        <f t="shared" si="32"/>
        <v>41.69</v>
      </c>
      <c r="O108" s="171">
        <f t="shared" si="35"/>
        <v>1540.060612077609</v>
      </c>
      <c r="P108" s="172"/>
      <c r="Q108" s="172"/>
      <c r="R108" s="172"/>
      <c r="S108" s="172"/>
      <c r="T108" s="172"/>
      <c r="U108" s="172"/>
      <c r="V108" s="172"/>
      <c r="W108" s="172">
        <f>VLOOKUP(D108,KEY!$D$35:$E$44,2,FALSE)</f>
        <v>46</v>
      </c>
      <c r="X108" s="173" t="str">
        <f t="shared" si="36"/>
        <v>N</v>
      </c>
      <c r="Y108" s="174">
        <f t="shared" si="37"/>
        <v>0</v>
      </c>
      <c r="Z108" s="116" t="s">
        <v>422</v>
      </c>
      <c r="AB108" s="113">
        <v>2500</v>
      </c>
      <c r="AC108" s="113">
        <v>8790</v>
      </c>
      <c r="AD108" s="113">
        <v>8600</v>
      </c>
      <c r="AE108" s="113">
        <v>7250</v>
      </c>
      <c r="AF108" s="113">
        <v>7790</v>
      </c>
      <c r="AG108" s="113">
        <v>6760</v>
      </c>
      <c r="AH108" s="113"/>
    </row>
    <row r="109" spans="1:34" ht="24" customHeight="1" x14ac:dyDescent="0.25">
      <c r="A109" s="176">
        <f t="shared" si="33"/>
        <v>89</v>
      </c>
      <c r="B109" s="178">
        <v>0.74652777777777779</v>
      </c>
      <c r="C109" s="121" t="s">
        <v>269</v>
      </c>
      <c r="D109" s="5">
        <f t="shared" si="34"/>
        <v>10</v>
      </c>
      <c r="E109" s="111">
        <v>6</v>
      </c>
      <c r="F109" s="188" t="s">
        <v>29</v>
      </c>
      <c r="G109" s="250">
        <f t="shared" si="25"/>
        <v>2.9</v>
      </c>
      <c r="H109" s="250">
        <f t="shared" si="26"/>
        <v>5.9</v>
      </c>
      <c r="I109" s="250">
        <f t="shared" si="27"/>
        <v>5.92</v>
      </c>
      <c r="J109" s="250">
        <f t="shared" si="28"/>
        <v>5.23</v>
      </c>
      <c r="K109" s="250">
        <f t="shared" si="29"/>
        <v>4.71</v>
      </c>
      <c r="L109" s="250">
        <f t="shared" si="30"/>
        <v>5.7</v>
      </c>
      <c r="M109" s="250">
        <f t="shared" si="31"/>
        <v>0</v>
      </c>
      <c r="N109" s="171">
        <f t="shared" si="32"/>
        <v>30.360000000000003</v>
      </c>
      <c r="O109" s="171">
        <f t="shared" si="35"/>
        <v>369.6172556274293</v>
      </c>
      <c r="P109" s="172"/>
      <c r="Q109" s="172"/>
      <c r="R109" s="172"/>
      <c r="S109" s="172"/>
      <c r="T109" s="172"/>
      <c r="U109" s="172"/>
      <c r="V109" s="172"/>
      <c r="W109" s="172">
        <f>VLOOKUP(D109,KEY!$D$35:$E$44,2,FALSE)</f>
        <v>46</v>
      </c>
      <c r="X109" s="173" t="str">
        <f t="shared" si="36"/>
        <v>N</v>
      </c>
      <c r="Y109" s="174">
        <f t="shared" si="37"/>
        <v>0</v>
      </c>
      <c r="Z109" s="116" t="s">
        <v>436</v>
      </c>
      <c r="AB109" s="113">
        <v>2900</v>
      </c>
      <c r="AC109" s="113">
        <v>5900</v>
      </c>
      <c r="AD109" s="113">
        <v>5920</v>
      </c>
      <c r="AE109" s="113">
        <v>5230</v>
      </c>
      <c r="AF109" s="113">
        <v>4710</v>
      </c>
      <c r="AG109" s="113">
        <v>5700</v>
      </c>
      <c r="AH109" s="113"/>
    </row>
    <row r="110" spans="1:34" ht="24" customHeight="1" x14ac:dyDescent="0.25">
      <c r="A110" s="176">
        <f t="shared" si="33"/>
        <v>90</v>
      </c>
      <c r="B110" s="178">
        <v>0.80555555555555547</v>
      </c>
      <c r="C110" s="121" t="s">
        <v>274</v>
      </c>
      <c r="D110" s="5">
        <f t="shared" si="34"/>
        <v>10</v>
      </c>
      <c r="E110" s="111">
        <v>6</v>
      </c>
      <c r="F110" s="188" t="s">
        <v>29</v>
      </c>
      <c r="G110" s="250">
        <f t="shared" si="25"/>
        <v>1.2</v>
      </c>
      <c r="H110" s="250">
        <f t="shared" si="26"/>
        <v>3.23</v>
      </c>
      <c r="I110" s="250">
        <f t="shared" si="27"/>
        <v>3.16</v>
      </c>
      <c r="J110" s="250">
        <f t="shared" si="28"/>
        <v>8.51</v>
      </c>
      <c r="K110" s="250">
        <f t="shared" si="29"/>
        <v>2.14</v>
      </c>
      <c r="L110" s="250">
        <f t="shared" si="30"/>
        <v>2.52</v>
      </c>
      <c r="M110" s="250">
        <f t="shared" si="31"/>
        <v>0</v>
      </c>
      <c r="N110" s="171">
        <f t="shared" si="32"/>
        <v>20.76</v>
      </c>
      <c r="O110" s="171">
        <f t="shared" si="35"/>
        <v>66.821674865554087</v>
      </c>
      <c r="P110" s="172"/>
      <c r="Q110" s="172"/>
      <c r="R110" s="172"/>
      <c r="S110" s="172"/>
      <c r="T110" s="172"/>
      <c r="U110" s="172"/>
      <c r="V110" s="172"/>
      <c r="W110" s="172">
        <f>VLOOKUP(D110,KEY!$D$35:$E$44,2,FALSE)</f>
        <v>46</v>
      </c>
      <c r="X110" s="173" t="str">
        <f t="shared" si="36"/>
        <v>N</v>
      </c>
      <c r="Y110" s="174">
        <f t="shared" si="37"/>
        <v>0</v>
      </c>
      <c r="Z110" s="116" t="s">
        <v>428</v>
      </c>
      <c r="AB110" s="113">
        <v>1200</v>
      </c>
      <c r="AC110" s="113">
        <v>3230</v>
      </c>
      <c r="AD110" s="113">
        <v>3160</v>
      </c>
      <c r="AE110" s="113">
        <v>8510</v>
      </c>
      <c r="AF110" s="113">
        <v>2140</v>
      </c>
      <c r="AG110" s="113">
        <v>2520</v>
      </c>
      <c r="AH110" s="113"/>
    </row>
    <row r="111" spans="1:34" ht="24" customHeight="1" x14ac:dyDescent="0.25">
      <c r="A111" s="176">
        <f t="shared" si="33"/>
        <v>91</v>
      </c>
      <c r="B111" s="178">
        <v>0.8125</v>
      </c>
      <c r="C111" s="121" t="s">
        <v>278</v>
      </c>
      <c r="D111" s="5">
        <f t="shared" si="34"/>
        <v>10</v>
      </c>
      <c r="E111" s="111">
        <v>6</v>
      </c>
      <c r="F111" s="188" t="s">
        <v>29</v>
      </c>
      <c r="G111" s="250">
        <f t="shared" si="25"/>
        <v>2.4500000000000002</v>
      </c>
      <c r="H111" s="250">
        <f t="shared" si="26"/>
        <v>5.09</v>
      </c>
      <c r="I111" s="250">
        <f t="shared" si="27"/>
        <v>5.68</v>
      </c>
      <c r="J111" s="250">
        <f t="shared" si="28"/>
        <v>7.39</v>
      </c>
      <c r="K111" s="250">
        <f t="shared" si="29"/>
        <v>6.61</v>
      </c>
      <c r="L111" s="250">
        <f t="shared" si="30"/>
        <v>6.96</v>
      </c>
      <c r="M111" s="250">
        <f t="shared" si="31"/>
        <v>0</v>
      </c>
      <c r="N111" s="171">
        <f t="shared" si="32"/>
        <v>34.18</v>
      </c>
      <c r="O111" s="171">
        <f t="shared" si="35"/>
        <v>630.04061729326804</v>
      </c>
      <c r="P111" s="172"/>
      <c r="Q111" s="172"/>
      <c r="R111" s="172"/>
      <c r="S111" s="172"/>
      <c r="T111" s="172"/>
      <c r="U111" s="172"/>
      <c r="V111" s="172"/>
      <c r="W111" s="172">
        <f>VLOOKUP(D111,KEY!$D$35:$E$44,2,FALSE)</f>
        <v>46</v>
      </c>
      <c r="X111" s="173" t="str">
        <f t="shared" si="36"/>
        <v>N</v>
      </c>
      <c r="Y111" s="174">
        <f t="shared" si="37"/>
        <v>0</v>
      </c>
      <c r="Z111" s="116" t="s">
        <v>422</v>
      </c>
      <c r="AB111" s="113">
        <v>2450</v>
      </c>
      <c r="AC111" s="113">
        <v>5090</v>
      </c>
      <c r="AD111" s="113">
        <v>5680</v>
      </c>
      <c r="AE111" s="113">
        <v>7390</v>
      </c>
      <c r="AF111" s="113">
        <v>6610</v>
      </c>
      <c r="AG111" s="113">
        <v>6960</v>
      </c>
      <c r="AH111" s="113"/>
    </row>
    <row r="112" spans="1:34" ht="24" customHeight="1" x14ac:dyDescent="0.25">
      <c r="A112" s="176">
        <f t="shared" si="33"/>
        <v>92</v>
      </c>
      <c r="B112" s="178">
        <v>0.83611111111111114</v>
      </c>
      <c r="C112" s="121" t="s">
        <v>281</v>
      </c>
      <c r="D112" s="5">
        <f t="shared" si="34"/>
        <v>10</v>
      </c>
      <c r="E112" s="111">
        <v>6</v>
      </c>
      <c r="F112" s="188" t="s">
        <v>29</v>
      </c>
      <c r="G112" s="250">
        <f t="shared" si="25"/>
        <v>2.4</v>
      </c>
      <c r="H112" s="250">
        <f t="shared" si="26"/>
        <v>9.41</v>
      </c>
      <c r="I112" s="250">
        <f t="shared" si="27"/>
        <v>6.01</v>
      </c>
      <c r="J112" s="250">
        <f t="shared" si="28"/>
        <v>6.88</v>
      </c>
      <c r="K112" s="250">
        <f t="shared" si="29"/>
        <v>7.22</v>
      </c>
      <c r="L112" s="250">
        <f t="shared" si="30"/>
        <v>7.39</v>
      </c>
      <c r="M112" s="250">
        <f t="shared" si="31"/>
        <v>0</v>
      </c>
      <c r="N112" s="171">
        <f t="shared" si="32"/>
        <v>39.309999999999995</v>
      </c>
      <c r="O112" s="171">
        <f t="shared" si="35"/>
        <v>1182.1102492102668</v>
      </c>
      <c r="P112" s="172"/>
      <c r="Q112" s="172"/>
      <c r="R112" s="172"/>
      <c r="S112" s="172"/>
      <c r="T112" s="172"/>
      <c r="U112" s="172"/>
      <c r="V112" s="172"/>
      <c r="W112" s="172">
        <f>VLOOKUP(D112,KEY!$D$35:$E$44,2,FALSE)</f>
        <v>46</v>
      </c>
      <c r="X112" s="173" t="str">
        <f t="shared" si="36"/>
        <v>N</v>
      </c>
      <c r="Y112" s="174">
        <f t="shared" si="37"/>
        <v>0</v>
      </c>
      <c r="Z112" s="116" t="s">
        <v>422</v>
      </c>
      <c r="AB112" s="113">
        <v>2400</v>
      </c>
      <c r="AC112" s="113">
        <v>9410</v>
      </c>
      <c r="AD112" s="113">
        <v>6010</v>
      </c>
      <c r="AE112" s="113">
        <v>6880</v>
      </c>
      <c r="AF112" s="113">
        <v>7220</v>
      </c>
      <c r="AG112" s="113">
        <v>7390</v>
      </c>
      <c r="AH112" s="113"/>
    </row>
    <row r="113" spans="1:34" ht="24" customHeight="1" x14ac:dyDescent="0.25">
      <c r="A113" s="176">
        <f t="shared" si="33"/>
        <v>93</v>
      </c>
      <c r="B113" s="180">
        <v>0.97569444444444453</v>
      </c>
      <c r="C113" s="183" t="s">
        <v>303</v>
      </c>
      <c r="D113" s="5">
        <f t="shared" si="34"/>
        <v>10</v>
      </c>
      <c r="E113" s="186">
        <v>6</v>
      </c>
      <c r="F113" s="191" t="s">
        <v>29</v>
      </c>
      <c r="G113" s="250">
        <f t="shared" si="25"/>
        <v>1.85</v>
      </c>
      <c r="H113" s="250">
        <f t="shared" si="26"/>
        <v>5.98</v>
      </c>
      <c r="I113" s="250">
        <f t="shared" si="27"/>
        <v>9.73</v>
      </c>
      <c r="J113" s="250">
        <f t="shared" si="28"/>
        <v>6.43</v>
      </c>
      <c r="K113" s="250">
        <f t="shared" si="29"/>
        <v>6.8</v>
      </c>
      <c r="L113" s="250">
        <f t="shared" si="30"/>
        <v>7.93</v>
      </c>
      <c r="M113" s="250">
        <f t="shared" si="31"/>
        <v>0</v>
      </c>
      <c r="N113" s="171">
        <f t="shared" si="32"/>
        <v>38.72</v>
      </c>
      <c r="O113" s="171">
        <f t="shared" si="35"/>
        <v>1104.3414025208933</v>
      </c>
      <c r="P113" s="172"/>
      <c r="Q113" s="172"/>
      <c r="R113" s="172"/>
      <c r="S113" s="172"/>
      <c r="T113" s="172"/>
      <c r="U113" s="172"/>
      <c r="V113" s="172"/>
      <c r="W113" s="172">
        <f>VLOOKUP(D113,KEY!$D$35:$E$44,2,FALSE)</f>
        <v>46</v>
      </c>
      <c r="X113" s="173" t="str">
        <f t="shared" si="36"/>
        <v>N</v>
      </c>
      <c r="Y113" s="174">
        <f t="shared" si="37"/>
        <v>0</v>
      </c>
      <c r="Z113" s="193" t="s">
        <v>422</v>
      </c>
      <c r="AB113" s="192">
        <v>1850</v>
      </c>
      <c r="AC113" s="113">
        <v>5980</v>
      </c>
      <c r="AD113" s="113">
        <v>9730</v>
      </c>
      <c r="AE113" s="113">
        <v>6430</v>
      </c>
      <c r="AF113" s="113">
        <v>6800</v>
      </c>
      <c r="AG113" s="113">
        <v>7930</v>
      </c>
      <c r="AH113" s="113"/>
    </row>
    <row r="114" spans="1:34" ht="24" customHeight="1" x14ac:dyDescent="0.25">
      <c r="A114" s="176">
        <f t="shared" si="33"/>
        <v>94</v>
      </c>
      <c r="B114" s="181">
        <v>0.25694444444444448</v>
      </c>
      <c r="C114" s="121" t="s">
        <v>319</v>
      </c>
      <c r="D114" s="5">
        <f t="shared" si="34"/>
        <v>10</v>
      </c>
      <c r="E114" s="111">
        <v>6</v>
      </c>
      <c r="F114" s="112" t="s">
        <v>110</v>
      </c>
      <c r="G114" s="250">
        <f t="shared" si="25"/>
        <v>2.6</v>
      </c>
      <c r="H114" s="250">
        <f t="shared" si="26"/>
        <v>8.0220000000000002</v>
      </c>
      <c r="I114" s="250">
        <f t="shared" si="27"/>
        <v>9.7200000000000006</v>
      </c>
      <c r="J114" s="250">
        <f t="shared" si="28"/>
        <v>7.02</v>
      </c>
      <c r="K114" s="250">
        <f t="shared" si="29"/>
        <v>7.19</v>
      </c>
      <c r="L114" s="250">
        <f t="shared" si="30"/>
        <v>5.92</v>
      </c>
      <c r="M114" s="250">
        <f t="shared" si="31"/>
        <v>0</v>
      </c>
      <c r="N114" s="171">
        <f t="shared" si="32"/>
        <v>40.472000000000001</v>
      </c>
      <c r="O114" s="171">
        <f t="shared" si="35"/>
        <v>1347.6908643583397</v>
      </c>
      <c r="P114" s="172"/>
      <c r="Q114" s="172"/>
      <c r="R114" s="172"/>
      <c r="S114" s="172"/>
      <c r="T114" s="172"/>
      <c r="U114" s="172"/>
      <c r="V114" s="172"/>
      <c r="W114" s="172">
        <f>VLOOKUP(D114,KEY!$D$35:$E$44,2,FALSE)</f>
        <v>46</v>
      </c>
      <c r="X114" s="173" t="str">
        <f t="shared" si="36"/>
        <v>N</v>
      </c>
      <c r="Y114" s="174">
        <f t="shared" si="37"/>
        <v>0</v>
      </c>
      <c r="Z114" s="116" t="s">
        <v>426</v>
      </c>
      <c r="AB114" s="121">
        <v>2600</v>
      </c>
      <c r="AC114" s="113">
        <v>8022</v>
      </c>
      <c r="AD114" s="113">
        <v>9720</v>
      </c>
      <c r="AE114" s="113">
        <v>7020</v>
      </c>
      <c r="AF114" s="113">
        <v>7190</v>
      </c>
      <c r="AG114" s="113">
        <v>5920</v>
      </c>
      <c r="AH114" s="113"/>
    </row>
    <row r="115" spans="1:34" ht="24" customHeight="1" x14ac:dyDescent="0.25">
      <c r="A115" s="176">
        <f t="shared" si="33"/>
        <v>95</v>
      </c>
      <c r="B115" s="181">
        <v>0.26597222222222222</v>
      </c>
      <c r="C115" s="184" t="s">
        <v>321</v>
      </c>
      <c r="D115" s="5">
        <f t="shared" si="34"/>
        <v>10</v>
      </c>
      <c r="E115" s="187">
        <v>6</v>
      </c>
      <c r="F115" s="112" t="s">
        <v>29</v>
      </c>
      <c r="G115" s="250">
        <f t="shared" si="25"/>
        <v>2.75</v>
      </c>
      <c r="H115" s="250">
        <f t="shared" si="26"/>
        <v>7.45</v>
      </c>
      <c r="I115" s="250">
        <f t="shared" si="27"/>
        <v>6.99</v>
      </c>
      <c r="J115" s="250">
        <f t="shared" si="28"/>
        <v>7.5</v>
      </c>
      <c r="K115" s="250">
        <f t="shared" si="29"/>
        <v>7.86</v>
      </c>
      <c r="L115" s="250">
        <f t="shared" si="30"/>
        <v>8.02</v>
      </c>
      <c r="M115" s="250">
        <f t="shared" si="31"/>
        <v>0</v>
      </c>
      <c r="N115" s="171">
        <f t="shared" si="32"/>
        <v>40.569999999999993</v>
      </c>
      <c r="O115" s="171">
        <f t="shared" si="35"/>
        <v>1362.4382264040419</v>
      </c>
      <c r="P115" s="172"/>
      <c r="Q115" s="172"/>
      <c r="R115" s="172"/>
      <c r="S115" s="172"/>
      <c r="T115" s="172"/>
      <c r="U115" s="172"/>
      <c r="V115" s="172"/>
      <c r="W115" s="172">
        <f>VLOOKUP(D115,KEY!$D$35:$E$44,2,FALSE)</f>
        <v>46</v>
      </c>
      <c r="X115" s="173" t="str">
        <f t="shared" si="36"/>
        <v>N</v>
      </c>
      <c r="Y115" s="174">
        <f t="shared" si="37"/>
        <v>0</v>
      </c>
      <c r="Z115" s="194" t="s">
        <v>426</v>
      </c>
      <c r="AB115" s="184">
        <v>2750</v>
      </c>
      <c r="AC115" s="113">
        <v>7450</v>
      </c>
      <c r="AD115" s="113">
        <v>6990</v>
      </c>
      <c r="AE115" s="113">
        <v>7500</v>
      </c>
      <c r="AF115" s="113">
        <v>7860</v>
      </c>
      <c r="AG115" s="113">
        <v>8020</v>
      </c>
      <c r="AH115" s="113"/>
    </row>
    <row r="116" spans="1:34" ht="24" customHeight="1" x14ac:dyDescent="0.25">
      <c r="A116" s="17">
        <f>A113+1</f>
        <v>94</v>
      </c>
      <c r="B116" s="10">
        <v>0.30624999999999997</v>
      </c>
      <c r="C116" s="5" t="s">
        <v>81</v>
      </c>
      <c r="D116" s="5">
        <f t="shared" si="34"/>
        <v>10</v>
      </c>
      <c r="E116" s="43">
        <v>6</v>
      </c>
      <c r="F116" s="40" t="s">
        <v>29</v>
      </c>
      <c r="G116" s="250">
        <f t="shared" si="25"/>
        <v>2</v>
      </c>
      <c r="H116" s="250">
        <f t="shared" si="26"/>
        <v>8.2200000000000006</v>
      </c>
      <c r="I116" s="250">
        <f t="shared" si="27"/>
        <v>7.88</v>
      </c>
      <c r="J116" s="250">
        <f t="shared" si="28"/>
        <v>8.73</v>
      </c>
      <c r="K116" s="250">
        <f t="shared" si="29"/>
        <v>8.3000000000000007</v>
      </c>
      <c r="L116" s="250">
        <f t="shared" si="30"/>
        <v>6.42</v>
      </c>
      <c r="M116" s="250">
        <f t="shared" si="31"/>
        <v>0</v>
      </c>
      <c r="N116" s="171">
        <f t="shared" si="32"/>
        <v>41.550000000000004</v>
      </c>
      <c r="O116" s="171">
        <f t="shared" si="35"/>
        <v>1516.924312866083</v>
      </c>
      <c r="P116" s="172"/>
      <c r="Q116" s="172"/>
      <c r="R116" s="172"/>
      <c r="S116" s="172"/>
      <c r="T116" s="172"/>
      <c r="U116" s="172"/>
      <c r="V116" s="172"/>
      <c r="W116" s="172">
        <f>VLOOKUP(D116,KEY!$D$35:$E$44,2,FALSE)</f>
        <v>46</v>
      </c>
      <c r="X116" s="173" t="str">
        <f t="shared" si="36"/>
        <v>N</v>
      </c>
      <c r="Y116" s="174">
        <f t="shared" si="37"/>
        <v>0</v>
      </c>
      <c r="Z116" s="9" t="s">
        <v>430</v>
      </c>
      <c r="AB116" s="62">
        <v>2000</v>
      </c>
      <c r="AC116" s="113">
        <v>8220</v>
      </c>
      <c r="AD116" s="113">
        <v>7880</v>
      </c>
      <c r="AE116" s="113">
        <v>8730</v>
      </c>
      <c r="AF116" s="113">
        <v>8300</v>
      </c>
      <c r="AG116" s="113">
        <v>6420</v>
      </c>
      <c r="AH116" s="113"/>
    </row>
    <row r="117" spans="1:34" ht="24" customHeight="1" x14ac:dyDescent="0.25">
      <c r="A117" s="71">
        <f>A116+1</f>
        <v>95</v>
      </c>
      <c r="B117" s="140">
        <v>0.3298611111111111</v>
      </c>
      <c r="C117" s="5" t="s">
        <v>88</v>
      </c>
      <c r="D117" s="5">
        <f t="shared" si="34"/>
        <v>10</v>
      </c>
      <c r="E117" s="43">
        <v>6</v>
      </c>
      <c r="F117" s="40" t="s">
        <v>29</v>
      </c>
      <c r="G117" s="250">
        <f t="shared" si="25"/>
        <v>2.9</v>
      </c>
      <c r="H117" s="250">
        <f t="shared" si="26"/>
        <v>9.3800000000000008</v>
      </c>
      <c r="I117" s="250">
        <f t="shared" si="27"/>
        <v>9</v>
      </c>
      <c r="J117" s="250">
        <f t="shared" si="28"/>
        <v>6.71</v>
      </c>
      <c r="K117" s="250">
        <f t="shared" si="29"/>
        <v>7.52</v>
      </c>
      <c r="L117" s="250">
        <f t="shared" si="30"/>
        <v>8.36</v>
      </c>
      <c r="M117" s="250">
        <f t="shared" si="31"/>
        <v>0</v>
      </c>
      <c r="N117" s="171">
        <f t="shared" si="32"/>
        <v>43.870000000000005</v>
      </c>
      <c r="O117" s="171">
        <f t="shared" si="35"/>
        <v>1937.0848318088858</v>
      </c>
      <c r="P117" s="172"/>
      <c r="Q117" s="172"/>
      <c r="R117" s="172"/>
      <c r="S117" s="172"/>
      <c r="T117" s="172"/>
      <c r="U117" s="172"/>
      <c r="V117" s="172"/>
      <c r="W117" s="172">
        <f>VLOOKUP(D117,KEY!$D$35:$E$44,2,FALSE)</f>
        <v>46</v>
      </c>
      <c r="X117" s="173" t="str">
        <f t="shared" si="36"/>
        <v>N</v>
      </c>
      <c r="Y117" s="174">
        <f t="shared" si="37"/>
        <v>0</v>
      </c>
      <c r="Z117" s="9" t="s">
        <v>430</v>
      </c>
      <c r="AB117" s="62">
        <v>2900</v>
      </c>
      <c r="AC117" s="113">
        <v>9380</v>
      </c>
      <c r="AD117" s="113">
        <v>9000</v>
      </c>
      <c r="AE117" s="113">
        <v>6710</v>
      </c>
      <c r="AF117" s="113">
        <v>7520</v>
      </c>
      <c r="AG117" s="113">
        <v>8360</v>
      </c>
      <c r="AH117" s="113"/>
    </row>
    <row r="118" spans="1:34" ht="24" customHeight="1" thickBot="1" x14ac:dyDescent="0.3">
      <c r="A118" s="17">
        <f>A117+1</f>
        <v>96</v>
      </c>
      <c r="B118" s="10">
        <v>0.3520833333333333</v>
      </c>
      <c r="C118" s="80" t="s">
        <v>90</v>
      </c>
      <c r="D118" s="5">
        <f t="shared" si="34"/>
        <v>10</v>
      </c>
      <c r="E118" s="81">
        <v>6</v>
      </c>
      <c r="F118" s="189" t="s">
        <v>29</v>
      </c>
      <c r="G118" s="250">
        <f t="shared" si="25"/>
        <v>2.0499999999999998</v>
      </c>
      <c r="H118" s="250">
        <f t="shared" si="26"/>
        <v>10.67</v>
      </c>
      <c r="I118" s="250">
        <f t="shared" si="27"/>
        <v>6.07</v>
      </c>
      <c r="J118" s="250">
        <f t="shared" si="28"/>
        <v>10.27</v>
      </c>
      <c r="K118" s="250">
        <f t="shared" si="29"/>
        <v>7.72</v>
      </c>
      <c r="L118" s="250">
        <f t="shared" si="30"/>
        <v>6.82</v>
      </c>
      <c r="M118" s="250">
        <f t="shared" si="31"/>
        <v>0</v>
      </c>
      <c r="N118" s="171">
        <f t="shared" si="32"/>
        <v>43.6</v>
      </c>
      <c r="O118" s="171">
        <f t="shared" si="35"/>
        <v>1884.0112306876006</v>
      </c>
      <c r="P118" s="172"/>
      <c r="Q118" s="172"/>
      <c r="R118" s="172"/>
      <c r="S118" s="172"/>
      <c r="T118" s="172"/>
      <c r="U118" s="172"/>
      <c r="V118" s="172"/>
      <c r="W118" s="172">
        <f>VLOOKUP(D118,KEY!$D$35:$E$44,2,FALSE)</f>
        <v>46</v>
      </c>
      <c r="X118" s="173" t="str">
        <f t="shared" si="36"/>
        <v>N</v>
      </c>
      <c r="Y118" s="174">
        <f t="shared" si="37"/>
        <v>0</v>
      </c>
      <c r="Z118" s="85" t="s">
        <v>430</v>
      </c>
      <c r="AB118" s="84">
        <v>2050</v>
      </c>
      <c r="AC118" s="113">
        <v>10670</v>
      </c>
      <c r="AD118" s="113">
        <v>6070</v>
      </c>
      <c r="AE118" s="113">
        <v>10270</v>
      </c>
      <c r="AF118" s="113">
        <v>7720</v>
      </c>
      <c r="AG118" s="113">
        <v>6820</v>
      </c>
      <c r="AH118" s="113"/>
    </row>
    <row r="119" spans="1:34" ht="24" customHeight="1" x14ac:dyDescent="0.25">
      <c r="A119" s="17">
        <f>A118+1</f>
        <v>97</v>
      </c>
      <c r="B119" s="10">
        <v>0.36458333333333331</v>
      </c>
      <c r="C119" s="5" t="s">
        <v>91</v>
      </c>
      <c r="D119" s="5">
        <f t="shared" si="34"/>
        <v>10</v>
      </c>
      <c r="E119" s="43">
        <v>7</v>
      </c>
      <c r="F119" s="38" t="s">
        <v>123</v>
      </c>
      <c r="G119" s="250">
        <f t="shared" si="25"/>
        <v>2.25</v>
      </c>
      <c r="H119" s="250">
        <f t="shared" si="26"/>
        <v>2.4900000000000002</v>
      </c>
      <c r="I119" s="250">
        <f t="shared" si="27"/>
        <v>2.35</v>
      </c>
      <c r="J119" s="250">
        <f t="shared" si="28"/>
        <v>2.0099999999999998</v>
      </c>
      <c r="K119" s="250">
        <f t="shared" si="29"/>
        <v>2.77</v>
      </c>
      <c r="L119" s="250">
        <f t="shared" si="30"/>
        <v>2.6</v>
      </c>
      <c r="M119" s="250">
        <f t="shared" si="31"/>
        <v>2.04</v>
      </c>
      <c r="N119" s="171">
        <f t="shared" si="32"/>
        <v>16.509999999999998</v>
      </c>
      <c r="O119" s="171">
        <f t="shared" si="35"/>
        <v>23.837248024071595</v>
      </c>
      <c r="P119" s="172"/>
      <c r="Q119" s="172"/>
      <c r="R119" s="172"/>
      <c r="S119" s="172"/>
      <c r="T119" s="172"/>
      <c r="U119" s="172"/>
      <c r="V119" s="172"/>
      <c r="W119" s="172">
        <f>VLOOKUP(D119,KEY!$D$35:$E$44,2,FALSE)</f>
        <v>46</v>
      </c>
      <c r="X119" s="173" t="str">
        <f t="shared" si="36"/>
        <v>N</v>
      </c>
      <c r="Y119" s="174">
        <f t="shared" si="37"/>
        <v>0</v>
      </c>
      <c r="Z119" s="9" t="s">
        <v>369</v>
      </c>
      <c r="AB119" s="62">
        <v>2250</v>
      </c>
      <c r="AC119" s="113">
        <v>2490</v>
      </c>
      <c r="AD119" s="113">
        <v>2350</v>
      </c>
      <c r="AE119" s="113">
        <v>2010</v>
      </c>
      <c r="AF119" s="113">
        <v>2770</v>
      </c>
      <c r="AG119" s="113">
        <v>2600</v>
      </c>
      <c r="AH119" s="113">
        <v>2040</v>
      </c>
    </row>
    <row r="120" spans="1:34" ht="24" customHeight="1" x14ac:dyDescent="0.25">
      <c r="A120" s="17">
        <v>13</v>
      </c>
      <c r="B120" s="157">
        <v>0.38750000000000001</v>
      </c>
      <c r="C120" s="143" t="s">
        <v>93</v>
      </c>
      <c r="D120" s="5">
        <f t="shared" si="34"/>
        <v>10</v>
      </c>
      <c r="E120" s="43">
        <v>6</v>
      </c>
      <c r="F120" s="38" t="s">
        <v>110</v>
      </c>
      <c r="G120" s="250">
        <f t="shared" si="25"/>
        <v>2.4500000000000002</v>
      </c>
      <c r="H120" s="250">
        <f t="shared" si="26"/>
        <v>6.02</v>
      </c>
      <c r="I120" s="250">
        <f t="shared" si="27"/>
        <v>8.2100000000000009</v>
      </c>
      <c r="J120" s="250">
        <f t="shared" si="28"/>
        <v>10.17</v>
      </c>
      <c r="K120" s="250">
        <f t="shared" si="29"/>
        <v>8.4</v>
      </c>
      <c r="L120" s="250">
        <f t="shared" si="30"/>
        <v>7.98</v>
      </c>
      <c r="M120" s="250">
        <f t="shared" si="31"/>
        <v>0</v>
      </c>
      <c r="N120" s="171">
        <f t="shared" si="32"/>
        <v>43.230000000000004</v>
      </c>
      <c r="O120" s="171">
        <f t="shared" si="35"/>
        <v>1813.1254148252663</v>
      </c>
      <c r="P120" s="172"/>
      <c r="Q120" s="172"/>
      <c r="R120" s="172"/>
      <c r="S120" s="172"/>
      <c r="T120" s="172"/>
      <c r="U120" s="172"/>
      <c r="V120" s="172"/>
      <c r="W120" s="172">
        <f>VLOOKUP(D120,KEY!$D$35:$E$44,2,FALSE)</f>
        <v>46</v>
      </c>
      <c r="X120" s="173" t="str">
        <f t="shared" si="36"/>
        <v>N</v>
      </c>
      <c r="Y120" s="174">
        <f t="shared" si="37"/>
        <v>0</v>
      </c>
      <c r="Z120" s="9" t="s">
        <v>430</v>
      </c>
      <c r="AB120" s="62">
        <v>2450</v>
      </c>
      <c r="AC120" s="113">
        <v>6020</v>
      </c>
      <c r="AD120" s="113">
        <v>8210</v>
      </c>
      <c r="AE120" s="113">
        <v>10170</v>
      </c>
      <c r="AF120" s="113">
        <v>8400</v>
      </c>
      <c r="AG120" s="113">
        <v>7980</v>
      </c>
      <c r="AH120" s="113"/>
    </row>
    <row r="121" spans="1:34" ht="24" customHeight="1" x14ac:dyDescent="0.25">
      <c r="A121" s="17">
        <f>A120+1</f>
        <v>14</v>
      </c>
      <c r="B121" s="10">
        <v>0.41388888888888892</v>
      </c>
      <c r="C121" s="5" t="s">
        <v>94</v>
      </c>
      <c r="D121" s="5">
        <f t="shared" si="34"/>
        <v>10</v>
      </c>
      <c r="E121" s="43">
        <v>6</v>
      </c>
      <c r="F121" s="40" t="s">
        <v>29</v>
      </c>
      <c r="G121" s="250">
        <f t="shared" si="25"/>
        <v>2.8</v>
      </c>
      <c r="H121" s="250">
        <f t="shared" si="26"/>
        <v>8.3000000000000007</v>
      </c>
      <c r="I121" s="250">
        <f t="shared" si="27"/>
        <v>7.8</v>
      </c>
      <c r="J121" s="250">
        <f t="shared" si="28"/>
        <v>6.97</v>
      </c>
      <c r="K121" s="250">
        <f t="shared" si="29"/>
        <v>5.98</v>
      </c>
      <c r="L121" s="250">
        <f t="shared" si="30"/>
        <v>4.28</v>
      </c>
      <c r="M121" s="250">
        <f t="shared" si="31"/>
        <v>0</v>
      </c>
      <c r="N121" s="171">
        <f t="shared" si="32"/>
        <v>36.130000000000003</v>
      </c>
      <c r="O121" s="171">
        <f t="shared" si="35"/>
        <v>808.7235923261228</v>
      </c>
      <c r="P121" s="172"/>
      <c r="Q121" s="172"/>
      <c r="R121" s="172"/>
      <c r="S121" s="172"/>
      <c r="T121" s="172"/>
      <c r="U121" s="172"/>
      <c r="V121" s="172"/>
      <c r="W121" s="172">
        <f>VLOOKUP(D121,KEY!$D$35:$E$44,2,FALSE)</f>
        <v>46</v>
      </c>
      <c r="X121" s="173" t="str">
        <f t="shared" si="36"/>
        <v>N</v>
      </c>
      <c r="Y121" s="174">
        <f t="shared" si="37"/>
        <v>0</v>
      </c>
      <c r="Z121" s="9" t="s">
        <v>430</v>
      </c>
      <c r="AB121" s="62">
        <v>2800</v>
      </c>
      <c r="AC121" s="113">
        <v>8300</v>
      </c>
      <c r="AD121" s="113">
        <v>7800</v>
      </c>
      <c r="AE121" s="113">
        <v>6970</v>
      </c>
      <c r="AF121" s="113">
        <v>5980</v>
      </c>
      <c r="AG121" s="113">
        <v>4280</v>
      </c>
      <c r="AH121" s="113"/>
    </row>
    <row r="122" spans="1:34" ht="24" customHeight="1" x14ac:dyDescent="0.25">
      <c r="A122" s="17">
        <v>32</v>
      </c>
      <c r="B122" s="10">
        <v>0.65763888888888888</v>
      </c>
      <c r="C122" s="5" t="s">
        <v>114</v>
      </c>
      <c r="D122" s="5">
        <f t="shared" si="34"/>
        <v>10</v>
      </c>
      <c r="E122" s="43">
        <v>6</v>
      </c>
      <c r="F122" s="38" t="s">
        <v>108</v>
      </c>
      <c r="G122" s="250">
        <f t="shared" si="25"/>
        <v>2.2999999999999998</v>
      </c>
      <c r="H122" s="250">
        <f t="shared" si="26"/>
        <v>8.1</v>
      </c>
      <c r="I122" s="250">
        <f t="shared" si="27"/>
        <v>7.08</v>
      </c>
      <c r="J122" s="250">
        <f t="shared" si="28"/>
        <v>7.94</v>
      </c>
      <c r="K122" s="250">
        <f t="shared" si="29"/>
        <v>8.6999999999999993</v>
      </c>
      <c r="L122" s="250">
        <f t="shared" si="30"/>
        <v>8.75</v>
      </c>
      <c r="M122" s="250">
        <f t="shared" si="31"/>
        <v>0</v>
      </c>
      <c r="N122" s="171">
        <f t="shared" si="32"/>
        <v>42.87</v>
      </c>
      <c r="O122" s="171">
        <f t="shared" si="35"/>
        <v>1746.1637230294084</v>
      </c>
      <c r="P122" s="172"/>
      <c r="Q122" s="172"/>
      <c r="R122" s="172"/>
      <c r="S122" s="172"/>
      <c r="T122" s="172"/>
      <c r="U122" s="172"/>
      <c r="V122" s="172"/>
      <c r="W122" s="172">
        <f>VLOOKUP(D122,KEY!$D$35:$E$44,2,FALSE)</f>
        <v>46</v>
      </c>
      <c r="X122" s="173" t="str">
        <f t="shared" si="36"/>
        <v>N</v>
      </c>
      <c r="Y122" s="174">
        <f t="shared" si="37"/>
        <v>0</v>
      </c>
      <c r="Z122" s="9" t="s">
        <v>430</v>
      </c>
      <c r="AB122" s="62">
        <v>2300</v>
      </c>
      <c r="AC122" s="113">
        <v>8100</v>
      </c>
      <c r="AD122" s="113">
        <v>7080</v>
      </c>
      <c r="AE122" s="113">
        <v>7940</v>
      </c>
      <c r="AF122" s="113">
        <v>8700</v>
      </c>
      <c r="AG122" s="113">
        <v>8750</v>
      </c>
      <c r="AH122" s="113"/>
    </row>
    <row r="123" spans="1:34" ht="24" customHeight="1" x14ac:dyDescent="0.25">
      <c r="A123" s="17">
        <f>A122+1</f>
        <v>33</v>
      </c>
      <c r="B123" s="10">
        <v>0.6958333333333333</v>
      </c>
      <c r="C123" s="5" t="s">
        <v>119</v>
      </c>
      <c r="D123" s="5">
        <f t="shared" si="34"/>
        <v>10</v>
      </c>
      <c r="E123" s="29">
        <v>7</v>
      </c>
      <c r="F123" s="18" t="s">
        <v>120</v>
      </c>
      <c r="G123" s="250">
        <f t="shared" si="25"/>
        <v>2.7</v>
      </c>
      <c r="H123" s="250">
        <f t="shared" si="26"/>
        <v>3.26</v>
      </c>
      <c r="I123" s="250">
        <f t="shared" si="27"/>
        <v>2.99</v>
      </c>
      <c r="J123" s="250">
        <f t="shared" si="28"/>
        <v>2.4</v>
      </c>
      <c r="K123" s="250">
        <f t="shared" si="29"/>
        <v>2.0299999999999998</v>
      </c>
      <c r="L123" s="250">
        <f t="shared" si="30"/>
        <v>2.85</v>
      </c>
      <c r="M123" s="250">
        <f t="shared" si="31"/>
        <v>2.54</v>
      </c>
      <c r="N123" s="171">
        <f t="shared" si="32"/>
        <v>18.77</v>
      </c>
      <c r="O123" s="171">
        <f t="shared" si="35"/>
        <v>42.460344395547835</v>
      </c>
      <c r="P123" s="172"/>
      <c r="Q123" s="172"/>
      <c r="R123" s="172"/>
      <c r="S123" s="172"/>
      <c r="T123" s="172"/>
      <c r="U123" s="172"/>
      <c r="V123" s="172"/>
      <c r="W123" s="172">
        <f>VLOOKUP(D123,KEY!$D$35:$E$44,2,FALSE)</f>
        <v>46</v>
      </c>
      <c r="X123" s="173" t="str">
        <f t="shared" si="36"/>
        <v>N</v>
      </c>
      <c r="Y123" s="174">
        <f t="shared" si="37"/>
        <v>0</v>
      </c>
      <c r="Z123" s="9" t="s">
        <v>369</v>
      </c>
      <c r="AB123" s="62">
        <v>2700</v>
      </c>
      <c r="AC123" s="113">
        <v>3260</v>
      </c>
      <c r="AD123" s="113">
        <v>2990</v>
      </c>
      <c r="AE123" s="113">
        <v>2400</v>
      </c>
      <c r="AF123" s="113">
        <v>2030</v>
      </c>
      <c r="AG123" s="113">
        <v>2850</v>
      </c>
      <c r="AH123" s="113">
        <v>2540</v>
      </c>
    </row>
    <row r="124" spans="1:34" ht="24" customHeight="1" x14ac:dyDescent="0.25">
      <c r="A124" s="17">
        <f>A123+1</f>
        <v>34</v>
      </c>
      <c r="B124" s="10">
        <v>0.40833333333333338</v>
      </c>
      <c r="C124" s="5" t="s">
        <v>42</v>
      </c>
      <c r="D124" s="5">
        <f t="shared" si="34"/>
        <v>10</v>
      </c>
      <c r="E124" s="43">
        <v>6</v>
      </c>
      <c r="F124" s="76" t="s">
        <v>29</v>
      </c>
      <c r="G124" s="250">
        <f t="shared" si="25"/>
        <v>2.65</v>
      </c>
      <c r="H124" s="250">
        <f t="shared" si="26"/>
        <v>8.4499999999999993</v>
      </c>
      <c r="I124" s="250">
        <f t="shared" si="27"/>
        <v>8.33</v>
      </c>
      <c r="J124" s="250">
        <f t="shared" si="28"/>
        <v>7.32</v>
      </c>
      <c r="K124" s="250">
        <f t="shared" si="29"/>
        <v>6.52</v>
      </c>
      <c r="L124" s="250">
        <f t="shared" si="30"/>
        <v>5.7</v>
      </c>
      <c r="M124" s="250">
        <f t="shared" si="31"/>
        <v>0</v>
      </c>
      <c r="N124" s="171">
        <f t="shared" si="32"/>
        <v>38.97</v>
      </c>
      <c r="O124" s="171">
        <f t="shared" si="35"/>
        <v>1136.7922696758078</v>
      </c>
      <c r="P124" s="172"/>
      <c r="Q124" s="172"/>
      <c r="R124" s="172"/>
      <c r="S124" s="172"/>
      <c r="T124" s="172"/>
      <c r="U124" s="172"/>
      <c r="V124" s="172"/>
      <c r="W124" s="172">
        <f>VLOOKUP(D124,KEY!$D$35:$E$44,2,FALSE)</f>
        <v>46</v>
      </c>
      <c r="X124" s="173" t="str">
        <f t="shared" si="36"/>
        <v>N</v>
      </c>
      <c r="Y124" s="174">
        <f t="shared" si="37"/>
        <v>0</v>
      </c>
      <c r="Z124" s="9" t="s">
        <v>430</v>
      </c>
      <c r="AB124" s="62">
        <v>2650</v>
      </c>
      <c r="AC124" s="113">
        <v>8450</v>
      </c>
      <c r="AD124" s="113">
        <v>8330</v>
      </c>
      <c r="AE124" s="113">
        <v>7320</v>
      </c>
      <c r="AF124" s="113">
        <v>6520</v>
      </c>
      <c r="AG124" s="113">
        <v>5700</v>
      </c>
      <c r="AH124" s="113"/>
    </row>
    <row r="125" spans="1:34" ht="24" customHeight="1" x14ac:dyDescent="0.25">
      <c r="A125" s="17">
        <f>A124+1</f>
        <v>35</v>
      </c>
      <c r="B125" s="10">
        <v>0.64652777777777781</v>
      </c>
      <c r="C125" s="5" t="s">
        <v>54</v>
      </c>
      <c r="D125" s="5">
        <f t="shared" si="34"/>
        <v>10</v>
      </c>
      <c r="E125" s="43">
        <v>6</v>
      </c>
      <c r="F125" s="76" t="s">
        <v>29</v>
      </c>
      <c r="G125" s="250">
        <f t="shared" si="25"/>
        <v>1.9</v>
      </c>
      <c r="H125" s="250">
        <f t="shared" si="26"/>
        <v>9.49</v>
      </c>
      <c r="I125" s="250">
        <f t="shared" si="27"/>
        <v>7.04</v>
      </c>
      <c r="J125" s="250">
        <f t="shared" si="28"/>
        <v>6.23</v>
      </c>
      <c r="K125" s="250">
        <f t="shared" si="29"/>
        <v>6.57</v>
      </c>
      <c r="L125" s="250">
        <f t="shared" si="30"/>
        <v>7.14</v>
      </c>
      <c r="M125" s="250">
        <f t="shared" si="31"/>
        <v>0</v>
      </c>
      <c r="N125" s="171">
        <f t="shared" si="32"/>
        <v>38.369999999999997</v>
      </c>
      <c r="O125" s="171">
        <f t="shared" si="35"/>
        <v>1060.1257464246712</v>
      </c>
      <c r="P125" s="172"/>
      <c r="Q125" s="172"/>
      <c r="R125" s="172"/>
      <c r="S125" s="172"/>
      <c r="T125" s="172"/>
      <c r="U125" s="172"/>
      <c r="V125" s="172"/>
      <c r="W125" s="172">
        <f>VLOOKUP(D125,KEY!$D$35:$E$44,2,FALSE)</f>
        <v>46</v>
      </c>
      <c r="X125" s="173" t="str">
        <f t="shared" si="36"/>
        <v>N</v>
      </c>
      <c r="Y125" s="174">
        <f t="shared" si="37"/>
        <v>0</v>
      </c>
      <c r="Z125" s="9" t="s">
        <v>422</v>
      </c>
      <c r="AB125" s="62">
        <v>1900</v>
      </c>
      <c r="AC125" s="113">
        <v>9490</v>
      </c>
      <c r="AD125" s="113">
        <v>7040</v>
      </c>
      <c r="AE125" s="113">
        <v>6230</v>
      </c>
      <c r="AF125" s="113">
        <v>6570</v>
      </c>
      <c r="AG125" s="113">
        <v>7140</v>
      </c>
      <c r="AH125" s="113"/>
    </row>
  </sheetData>
  <sortState xmlns:xlrd2="http://schemas.microsoft.com/office/spreadsheetml/2017/richdata2" ref="A7:AA125">
    <sortCondition ref="D7:D125"/>
  </sortState>
  <mergeCells count="18">
    <mergeCell ref="AC5:AH5"/>
    <mergeCell ref="Z5:Z6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W5:W6"/>
    <mergeCell ref="X5:X6"/>
    <mergeCell ref="Y5:Y6"/>
    <mergeCell ref="N5:N6"/>
    <mergeCell ref="O5:O6"/>
    <mergeCell ref="P5:V5"/>
  </mergeCells>
  <hyperlinks>
    <hyperlink ref="Z36" r:id="rId1" display="\\" xr:uid="{00000000-0004-0000-0500-000000000000}"/>
    <hyperlink ref="Z113" r:id="rId2" display="\\" xr:uid="{00000000-0004-0000-0500-000001000000}"/>
  </hyperlinks>
  <printOptions horizontalCentered="1"/>
  <pageMargins left="0.7" right="0.7" top="0.75" bottom="0.75" header="0.3" footer="0.3"/>
  <pageSetup paperSize="9" scale="20" orientation="landscape" horizontalDpi="300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D1B4C-ED39-4360-B07B-97EE907F6675}">
  <dimension ref="A1:Y60"/>
  <sheetViews>
    <sheetView tabSelected="1" view="pageBreakPreview" zoomScale="60" zoomScaleNormal="55" workbookViewId="0">
      <selection activeCell="C8" sqref="C8:D8"/>
    </sheetView>
  </sheetViews>
  <sheetFormatPr defaultRowHeight="15" x14ac:dyDescent="0.25"/>
  <cols>
    <col min="2" max="2" width="20" customWidth="1"/>
    <col min="3" max="3" width="13.7109375" customWidth="1"/>
    <col min="4" max="4" width="13.5703125" customWidth="1"/>
    <col min="5" max="5" width="9.85546875" customWidth="1"/>
    <col min="6" max="6" width="16.7109375" customWidth="1"/>
    <col min="8" max="8" width="20.28515625" bestFit="1" customWidth="1"/>
    <col min="9" max="10" width="16.85546875" bestFit="1" customWidth="1"/>
    <col min="11" max="11" width="6" customWidth="1"/>
    <col min="13" max="14" width="14.5703125" customWidth="1"/>
    <col min="15" max="15" width="10.7109375" customWidth="1"/>
    <col min="16" max="16" width="14.5703125" customWidth="1"/>
    <col min="17" max="22" width="10.7109375" customWidth="1"/>
  </cols>
  <sheetData>
    <row r="1" spans="1:25" ht="21" x14ac:dyDescent="0.35">
      <c r="B1" s="251" t="s">
        <v>448</v>
      </c>
    </row>
    <row r="3" spans="1:25" ht="15.75" x14ac:dyDescent="0.25">
      <c r="A3" s="210" t="s">
        <v>416</v>
      </c>
      <c r="L3" s="210" t="s">
        <v>417</v>
      </c>
    </row>
    <row r="4" spans="1:25" ht="36.75" customHeight="1" x14ac:dyDescent="0.25">
      <c r="B4" s="252" t="s">
        <v>418</v>
      </c>
      <c r="C4" s="253" t="s">
        <v>435</v>
      </c>
      <c r="D4" s="253" t="s">
        <v>434</v>
      </c>
      <c r="E4" s="254" t="s">
        <v>419</v>
      </c>
      <c r="L4" s="211" t="s">
        <v>420</v>
      </c>
      <c r="M4" s="253" t="s">
        <v>435</v>
      </c>
      <c r="N4" s="253" t="s">
        <v>434</v>
      </c>
      <c r="O4" s="213"/>
      <c r="P4" s="255"/>
      <c r="Q4" s="213"/>
      <c r="R4" s="213"/>
      <c r="S4" s="213"/>
      <c r="T4" s="213"/>
      <c r="U4" s="213"/>
      <c r="V4" s="213"/>
      <c r="W4" s="213"/>
      <c r="X4" s="213"/>
      <c r="Y4" s="256"/>
    </row>
    <row r="5" spans="1:25" ht="15.75" x14ac:dyDescent="0.25">
      <c r="A5">
        <v>7</v>
      </c>
      <c r="B5" s="37" t="s">
        <v>421</v>
      </c>
      <c r="C5" s="37">
        <f>COUNTIF('Tororo-Mbale'!$D$7:$D$500,A5)</f>
        <v>58</v>
      </c>
      <c r="D5" s="37">
        <f>COUNTIF('Mbale-Tororo'!$D$7:$D$500,A5)</f>
        <v>46</v>
      </c>
      <c r="E5" s="37">
        <f>SUM(C5:D5)</f>
        <v>104</v>
      </c>
      <c r="L5" s="257" t="s">
        <v>422</v>
      </c>
      <c r="M5" s="215">
        <f>COUNTIF('Tororo-Mbale'!$Z$7:$Z$500,L5)/$M$16</f>
        <v>0.2236024844720497</v>
      </c>
      <c r="N5" s="215">
        <f>COUNTIF('Mbale-Tororo'!$Z$7:$Z$187,L5)/$N$16</f>
        <v>0.19327731092436976</v>
      </c>
      <c r="Y5" s="211"/>
    </row>
    <row r="6" spans="1:25" ht="15.75" x14ac:dyDescent="0.25">
      <c r="A6">
        <v>9</v>
      </c>
      <c r="B6" s="37" t="s">
        <v>423</v>
      </c>
      <c r="C6" s="37">
        <f>COUNTIF('Tororo-Mbale'!$D$7:$D$500,A6)</f>
        <v>27</v>
      </c>
      <c r="D6" s="37">
        <f>COUNTIF('Mbale-Tororo'!$D$7:$D$500,A6)</f>
        <v>16</v>
      </c>
      <c r="E6" s="37">
        <f t="shared" ref="E6:E7" si="0">SUM(C6:D6)</f>
        <v>43</v>
      </c>
      <c r="L6" s="257" t="s">
        <v>424</v>
      </c>
      <c r="M6" s="215">
        <f>COUNTIF('Tororo-Mbale'!$Z$7:$Z$500,L6)/$M$16</f>
        <v>6.2111801242236021E-3</v>
      </c>
      <c r="N6" s="215">
        <f>COUNTIF('Mbale-Tororo'!$Z$7:$Z$187,L6)/$N$16</f>
        <v>4.2016806722689079E-2</v>
      </c>
      <c r="Y6" s="211"/>
    </row>
    <row r="7" spans="1:25" ht="15.75" x14ac:dyDescent="0.25">
      <c r="A7">
        <v>10</v>
      </c>
      <c r="B7" s="37" t="s">
        <v>425</v>
      </c>
      <c r="C7" s="37">
        <f>COUNTIF('Tororo-Mbale'!$D$7:$D$500,A7)</f>
        <v>76</v>
      </c>
      <c r="D7" s="37">
        <f>COUNTIF('Mbale-Tororo'!$D$7:$D$500,A7)</f>
        <v>57</v>
      </c>
      <c r="E7" s="37">
        <f t="shared" si="0"/>
        <v>133</v>
      </c>
      <c r="L7" s="257" t="s">
        <v>426</v>
      </c>
      <c r="M7" s="215">
        <f>COUNTIF('Tororo-Mbale'!$Z$7:$Z$500,L7)/$M$16</f>
        <v>0.49068322981366458</v>
      </c>
      <c r="N7" s="215">
        <f>COUNTIF('Mbale-Tororo'!$Z$7:$Z$187,L7)/$N$16</f>
        <v>5.0420168067226892E-2</v>
      </c>
    </row>
    <row r="8" spans="1:25" ht="15.75" x14ac:dyDescent="0.25">
      <c r="B8" s="214" t="s">
        <v>427</v>
      </c>
      <c r="C8" s="214">
        <f>SUM(C5:C7)</f>
        <v>161</v>
      </c>
      <c r="D8" s="214">
        <f>SUM(D5:D7)</f>
        <v>119</v>
      </c>
      <c r="E8" s="214">
        <f>SUM(E5:E7)</f>
        <v>280</v>
      </c>
      <c r="L8" s="257" t="s">
        <v>363</v>
      </c>
      <c r="M8" s="215">
        <f>COUNTIF('Tororo-Mbale'!$Z$7:$Z$500,L8)/$M$16</f>
        <v>6.2111801242236021E-3</v>
      </c>
      <c r="N8" s="215">
        <f>COUNTIF('Mbale-Tororo'!$Z$7:$Z$187,L8)/$N$16</f>
        <v>0</v>
      </c>
    </row>
    <row r="9" spans="1:25" ht="15.75" x14ac:dyDescent="0.25">
      <c r="L9" s="257" t="s">
        <v>428</v>
      </c>
      <c r="M9" s="215">
        <f>COUNTIF('Tororo-Mbale'!$Z$7:$Z$500,L9)/$M$16</f>
        <v>6.2111801242236021E-3</v>
      </c>
      <c r="N9" s="215">
        <f>COUNTIF('Mbale-Tororo'!$Z$7:$Z$187,L9)/$N$16</f>
        <v>5.0420168067226892E-2</v>
      </c>
    </row>
    <row r="10" spans="1:25" ht="15.75" x14ac:dyDescent="0.25">
      <c r="L10" s="257" t="s">
        <v>429</v>
      </c>
      <c r="M10" s="215">
        <f>COUNTIF('Tororo-Mbale'!$Z$7:$Z$500,L10)/$M$16</f>
        <v>6.2111801242236024E-2</v>
      </c>
      <c r="N10" s="215">
        <f>COUNTIF('Mbale-Tororo'!$Z$7:$Z$187,L10)/$N$16</f>
        <v>0</v>
      </c>
    </row>
    <row r="11" spans="1:25" ht="15.75" x14ac:dyDescent="0.25">
      <c r="L11" s="257" t="s">
        <v>430</v>
      </c>
      <c r="M11" s="215">
        <f>COUNTIF('Tororo-Mbale'!$Z$7:$Z$500,L11)/$M$16</f>
        <v>4.3478260869565216E-2</v>
      </c>
      <c r="N11" s="215">
        <f>COUNTIF('Mbale-Tororo'!$Z$7:$Z$187,L11)/$N$16</f>
        <v>0.38655462184873951</v>
      </c>
    </row>
    <row r="12" spans="1:25" ht="15.75" x14ac:dyDescent="0.25">
      <c r="L12" s="257" t="s">
        <v>431</v>
      </c>
      <c r="M12" s="215">
        <f>COUNTIF('Tororo-Mbale'!$Z$7:$Z$500,L12)/$M$16</f>
        <v>0</v>
      </c>
      <c r="N12" s="215">
        <f>COUNTIF('Mbale-Tororo'!$Z$7:$Z$187,L12)/$N$16</f>
        <v>0</v>
      </c>
    </row>
    <row r="13" spans="1:25" ht="15.75" x14ac:dyDescent="0.25">
      <c r="L13" s="257" t="s">
        <v>436</v>
      </c>
      <c r="M13" s="215">
        <f>COUNTIF('Tororo-Mbale'!$Z$7:$Z$500,L13)/$M$16</f>
        <v>6.8322981366459631E-2</v>
      </c>
      <c r="N13" s="215">
        <f>COUNTIF('Mbale-Tororo'!$Z$7:$Z$187,L13)/$N$16</f>
        <v>0.1092436974789916</v>
      </c>
    </row>
    <row r="14" spans="1:25" ht="15.75" x14ac:dyDescent="0.25">
      <c r="L14" s="257" t="s">
        <v>369</v>
      </c>
      <c r="M14" s="215">
        <f>COUNTIF('Tororo-Mbale'!$Z$7:$Z$500,L14)/$M$16</f>
        <v>8.0745341614906832E-2</v>
      </c>
      <c r="N14" s="215">
        <f>COUNTIF('Mbale-Tororo'!$Z$7:$Z$187,L14)/$N$16</f>
        <v>0.15966386554621848</v>
      </c>
    </row>
    <row r="15" spans="1:25" ht="15.75" x14ac:dyDescent="0.25">
      <c r="L15" s="257" t="s">
        <v>432</v>
      </c>
      <c r="M15" s="215">
        <f>COUNTIF('Tororo-Mbale'!$Z$7:$Z$500,L15)/$M$16</f>
        <v>1.2422360248447204E-2</v>
      </c>
      <c r="N15" s="215">
        <f>COUNTIF('Mbale-Tororo'!$Z$7:$Z$187,L15)/$N$16</f>
        <v>8.4033613445378148E-3</v>
      </c>
    </row>
    <row r="16" spans="1:25" ht="15.75" x14ac:dyDescent="0.25">
      <c r="L16" s="258" t="s">
        <v>433</v>
      </c>
      <c r="M16" s="214">
        <f>C8</f>
        <v>161</v>
      </c>
      <c r="N16" s="214">
        <f>D8</f>
        <v>119</v>
      </c>
      <c r="S16" s="211"/>
      <c r="T16" s="211"/>
    </row>
    <row r="27" spans="1:15" ht="15.75" x14ac:dyDescent="0.25">
      <c r="A27" s="210" t="s">
        <v>440</v>
      </c>
    </row>
    <row r="28" spans="1:15" ht="15.75" x14ac:dyDescent="0.25">
      <c r="B28" s="211" t="s">
        <v>418</v>
      </c>
      <c r="C28" s="252" t="s">
        <v>435</v>
      </c>
      <c r="D28" s="252" t="s">
        <v>434</v>
      </c>
      <c r="E28" s="211" t="s">
        <v>419</v>
      </c>
      <c r="F28" s="211" t="s">
        <v>441</v>
      </c>
      <c r="L28" s="210"/>
    </row>
    <row r="29" spans="1:15" x14ac:dyDescent="0.25">
      <c r="A29">
        <v>7</v>
      </c>
      <c r="B29" s="37" t="s">
        <v>421</v>
      </c>
      <c r="C29" s="212">
        <f>AVERAGEIF('Tororo-Mbale'!$D$7:$D$500,Graphs!A29,'Tororo-Mbale'!$N$7:$N$500)</f>
        <v>6.0539655172413802</v>
      </c>
      <c r="D29" s="212">
        <f>AVERAGEIF('Mbale-Tororo'!$D$7:$D$500,Graphs!A29,'Mbale-Tororo'!$N$7:$N$500)</f>
        <v>8.799130434782608</v>
      </c>
      <c r="E29" s="212">
        <f>AVERAGE(C29:D29)</f>
        <v>7.4265479760119941</v>
      </c>
      <c r="F29" s="37">
        <v>18</v>
      </c>
      <c r="N29" s="252"/>
      <c r="O29" s="252"/>
    </row>
    <row r="30" spans="1:15" x14ac:dyDescent="0.25">
      <c r="A30">
        <v>9</v>
      </c>
      <c r="B30" s="37" t="s">
        <v>423</v>
      </c>
      <c r="C30" s="212">
        <f>AVERAGEIF('Tororo-Mbale'!$D$7:$D$500,Graphs!A30,'Tororo-Mbale'!$N$7:$N$500)</f>
        <v>16.610962962962962</v>
      </c>
      <c r="D30" s="212">
        <f>AVERAGEIF('Mbale-Tororo'!$D$7:$D$500,Graphs!A30,'Mbale-Tororo'!$N$7:$N$500)</f>
        <v>19.743749999999999</v>
      </c>
      <c r="E30" s="212">
        <f>AVERAGE(C30:D30)</f>
        <v>18.177356481481482</v>
      </c>
      <c r="F30" s="37">
        <v>27</v>
      </c>
      <c r="N30" s="259"/>
      <c r="O30" s="259"/>
    </row>
    <row r="31" spans="1:15" x14ac:dyDescent="0.25">
      <c r="A31">
        <v>10</v>
      </c>
      <c r="B31" s="37" t="s">
        <v>425</v>
      </c>
      <c r="C31" s="212">
        <f>AVERAGEIF('Tororo-Mbale'!$D$7:$D$500,Graphs!A31,'Tororo-Mbale'!$N$7:$N$500)</f>
        <v>34.943236842105271</v>
      </c>
      <c r="D31" s="212">
        <f>AVERAGEIF('Mbale-Tororo'!$D$7:$D$500,Graphs!A31,'Mbale-Tororo'!$N$7:$N$500)</f>
        <v>35.67487719298245</v>
      </c>
      <c r="E31" s="212">
        <f>AVERAGE(C31:D31)</f>
        <v>35.309057017543864</v>
      </c>
      <c r="F31" s="37">
        <v>54</v>
      </c>
      <c r="N31" s="259"/>
      <c r="O31" s="259"/>
    </row>
    <row r="32" spans="1:15" x14ac:dyDescent="0.25">
      <c r="B32" s="214" t="s">
        <v>427</v>
      </c>
      <c r="C32" s="214"/>
      <c r="D32" s="214"/>
      <c r="E32" s="214"/>
      <c r="N32" s="259"/>
      <c r="O32" s="259"/>
    </row>
    <row r="35" spans="12:24" x14ac:dyDescent="0.25">
      <c r="U35" s="260"/>
      <c r="V35" s="260"/>
      <c r="W35" s="260"/>
      <c r="X35" s="260"/>
    </row>
    <row r="36" spans="12:24" x14ac:dyDescent="0.25">
      <c r="V36" s="261"/>
      <c r="W36" s="261"/>
      <c r="X36" s="261"/>
    </row>
    <row r="39" spans="12:24" x14ac:dyDescent="0.25">
      <c r="L39" s="211" t="s">
        <v>449</v>
      </c>
    </row>
    <row r="40" spans="12:24" x14ac:dyDescent="0.25">
      <c r="M40" s="211" t="s">
        <v>418</v>
      </c>
      <c r="N40" s="252" t="s">
        <v>435</v>
      </c>
      <c r="O40" s="252" t="s">
        <v>434</v>
      </c>
      <c r="P40" s="211" t="s">
        <v>419</v>
      </c>
    </row>
    <row r="41" spans="12:24" x14ac:dyDescent="0.25">
      <c r="M41" s="37" t="s">
        <v>443</v>
      </c>
      <c r="N41" s="215">
        <f>COUNTIF('Tororo-Mbale'!$Y$7:$Y$500,M41)/$N$45</f>
        <v>6.2111801242236021E-3</v>
      </c>
      <c r="O41" s="215">
        <f>COUNTIF('Mbale-Tororo'!$Y$7:$Y$187,M41)/$O$45</f>
        <v>0</v>
      </c>
      <c r="P41" s="215">
        <f>AVERAGE(N41:O41)</f>
        <v>3.105590062111801E-3</v>
      </c>
    </row>
    <row r="42" spans="12:24" x14ac:dyDescent="0.25">
      <c r="M42" s="37" t="s">
        <v>444</v>
      </c>
      <c r="N42" s="215">
        <f>COUNTIF('Tororo-Mbale'!$Y$7:$Y$500,M42)/$N$45</f>
        <v>0</v>
      </c>
      <c r="O42" s="215">
        <f>COUNTIF('Mbale-Tororo'!$Y$7:$Y$187,M42)/$O$45</f>
        <v>8.4033613445378148E-3</v>
      </c>
      <c r="P42" s="215">
        <f t="shared" ref="P42:P44" si="1">AVERAGE(N42:O42)</f>
        <v>4.2016806722689074E-3</v>
      </c>
    </row>
    <row r="43" spans="12:24" x14ac:dyDescent="0.25">
      <c r="M43" s="37" t="s">
        <v>445</v>
      </c>
      <c r="N43" s="215">
        <f>COUNTIF('Tororo-Mbale'!$Y$7:$Y$500,M43)/$N$45</f>
        <v>0</v>
      </c>
      <c r="O43" s="215">
        <f>COUNTIF('Mbale-Tororo'!$Y$7:$Y$187,M43)/$O$45</f>
        <v>0</v>
      </c>
      <c r="P43" s="215">
        <f t="shared" si="1"/>
        <v>0</v>
      </c>
    </row>
    <row r="44" spans="12:24" x14ac:dyDescent="0.25">
      <c r="M44" s="37" t="s">
        <v>446</v>
      </c>
      <c r="N44" s="215">
        <f>COUNTIF('Tororo-Mbale'!$Y$7:$Y$500,M44)/$N$45</f>
        <v>0</v>
      </c>
      <c r="O44" s="215">
        <f>COUNTIF('Mbale-Tororo'!$Y$7:$Y$187,M44)/$O$45</f>
        <v>0</v>
      </c>
      <c r="P44" s="215">
        <f t="shared" si="1"/>
        <v>0</v>
      </c>
    </row>
    <row r="45" spans="12:24" x14ac:dyDescent="0.25">
      <c r="N45">
        <f>C8</f>
        <v>161</v>
      </c>
      <c r="O45">
        <f>D8</f>
        <v>119</v>
      </c>
    </row>
    <row r="55" spans="1:5" x14ac:dyDescent="0.25">
      <c r="A55" s="211" t="s">
        <v>442</v>
      </c>
    </row>
    <row r="56" spans="1:5" x14ac:dyDescent="0.25">
      <c r="B56" s="211" t="s">
        <v>418</v>
      </c>
      <c r="C56" s="252" t="s">
        <v>435</v>
      </c>
      <c r="D56" s="252" t="s">
        <v>434</v>
      </c>
      <c r="E56" s="211" t="s">
        <v>419</v>
      </c>
    </row>
    <row r="57" spans="1:5" x14ac:dyDescent="0.25">
      <c r="A57">
        <v>7</v>
      </c>
      <c r="B57" s="37" t="s">
        <v>421</v>
      </c>
      <c r="C57" s="215">
        <f>COUNTIF('Tororo-Mbale'!W7:W62,"Y")/C5</f>
        <v>0</v>
      </c>
      <c r="D57" s="215">
        <f>COUNTIF('Mbale-Tororo'!W7:W52,"Y")/D5</f>
        <v>2.1739130434782608E-2</v>
      </c>
      <c r="E57" s="215">
        <f>AVERAGE(C57:D57)</f>
        <v>1.0869565217391304E-2</v>
      </c>
    </row>
    <row r="58" spans="1:5" x14ac:dyDescent="0.25">
      <c r="A58">
        <v>9</v>
      </c>
      <c r="B58" s="37" t="s">
        <v>423</v>
      </c>
      <c r="C58" s="215">
        <f>COUNTIF('Tororo-Mbale'!W63:W91,"Y")/C6</f>
        <v>0</v>
      </c>
      <c r="D58" s="215">
        <f>COUNTIF('Mbale-Tororo'!W53:W68,"y")/D6</f>
        <v>0</v>
      </c>
      <c r="E58" s="215">
        <f t="shared" ref="E58:E59" si="2">AVERAGE(C58:D58)</f>
        <v>0</v>
      </c>
    </row>
    <row r="59" spans="1:5" x14ac:dyDescent="0.25">
      <c r="A59">
        <v>10</v>
      </c>
      <c r="B59" s="37" t="s">
        <v>425</v>
      </c>
      <c r="C59" s="215">
        <f>COUNTIF('Tororo-Mbale'!W92:W500,"Y")/C7</f>
        <v>0</v>
      </c>
      <c r="D59" s="215">
        <f>COUNTIF('Mbale-Tororo'!W69:W187,"Y")/D7</f>
        <v>0</v>
      </c>
      <c r="E59" s="215">
        <f t="shared" si="2"/>
        <v>0</v>
      </c>
    </row>
    <row r="60" spans="1:5" x14ac:dyDescent="0.25">
      <c r="B60" s="214" t="s">
        <v>447</v>
      </c>
      <c r="C60" s="262">
        <f>COUNTIF('Tororo-Mbale'!W7:W500,"Y")/C8</f>
        <v>0</v>
      </c>
      <c r="D60" s="262">
        <f>COUNTIF('Mbale-Tororo'!W7:W187,"Y")/D8</f>
        <v>8.4033613445378148E-3</v>
      </c>
    </row>
  </sheetData>
  <pageMargins left="0.25" right="0.25" top="0.75" bottom="0.75" header="0.3" footer="0.3"/>
  <pageSetup scale="43" orientation="landscape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44"/>
  <sheetViews>
    <sheetView topLeftCell="A22" zoomScale="84" zoomScaleNormal="84" workbookViewId="0">
      <selection activeCell="F42" sqref="F42"/>
    </sheetView>
  </sheetViews>
  <sheetFormatPr defaultRowHeight="12.75" x14ac:dyDescent="0.2"/>
  <cols>
    <col min="1" max="2" width="9.140625" style="166"/>
    <col min="3" max="3" width="12.7109375" style="166" customWidth="1"/>
    <col min="4" max="14" width="9.140625" style="166"/>
    <col min="15" max="15" width="11.140625" style="166" customWidth="1"/>
    <col min="16" max="16384" width="9.140625" style="166"/>
  </cols>
  <sheetData>
    <row r="1" spans="1:15" x14ac:dyDescent="0.2">
      <c r="I1" s="296" t="s">
        <v>8</v>
      </c>
      <c r="J1" s="296"/>
      <c r="K1" s="296"/>
      <c r="L1" s="296"/>
      <c r="M1" s="296"/>
      <c r="N1" s="296"/>
    </row>
    <row r="2" spans="1:15" x14ac:dyDescent="0.2">
      <c r="A2" s="166" t="s">
        <v>373</v>
      </c>
      <c r="I2" s="166" t="s">
        <v>374</v>
      </c>
      <c r="J2" s="166" t="s">
        <v>374</v>
      </c>
      <c r="K2" s="166" t="s">
        <v>375</v>
      </c>
      <c r="L2" s="166" t="s">
        <v>376</v>
      </c>
      <c r="M2" s="166" t="s">
        <v>377</v>
      </c>
      <c r="N2" s="166" t="s">
        <v>378</v>
      </c>
      <c r="O2" s="166" t="s">
        <v>379</v>
      </c>
    </row>
    <row r="4" spans="1:15" x14ac:dyDescent="0.2">
      <c r="A4" s="166">
        <v>7</v>
      </c>
      <c r="B4" s="166" t="s">
        <v>380</v>
      </c>
      <c r="I4" s="166">
        <v>1.1000000000000001</v>
      </c>
      <c r="J4" s="166">
        <v>1.2</v>
      </c>
    </row>
    <row r="5" spans="1:15" x14ac:dyDescent="0.2">
      <c r="A5" s="166">
        <v>8</v>
      </c>
      <c r="B5" s="166" t="s">
        <v>381</v>
      </c>
      <c r="K5" s="166">
        <v>1.22</v>
      </c>
    </row>
    <row r="6" spans="1:15" x14ac:dyDescent="0.2">
      <c r="A6" s="166">
        <v>9</v>
      </c>
      <c r="B6" s="166" t="s">
        <v>382</v>
      </c>
      <c r="L6" s="166" t="s">
        <v>383</v>
      </c>
    </row>
    <row r="7" spans="1:15" x14ac:dyDescent="0.2">
      <c r="L7" s="167">
        <v>1.222</v>
      </c>
    </row>
    <row r="10" spans="1:15" x14ac:dyDescent="0.2">
      <c r="A10" s="166">
        <v>10</v>
      </c>
      <c r="B10" s="166" t="s">
        <v>384</v>
      </c>
      <c r="M10" s="166" t="s">
        <v>385</v>
      </c>
    </row>
    <row r="11" spans="1:15" x14ac:dyDescent="0.2">
      <c r="M11" s="166" t="s">
        <v>386</v>
      </c>
    </row>
    <row r="12" spans="1:15" x14ac:dyDescent="0.2">
      <c r="M12" s="166" t="s">
        <v>387</v>
      </c>
    </row>
    <row r="13" spans="1:15" x14ac:dyDescent="0.2">
      <c r="A13" s="166">
        <v>11</v>
      </c>
      <c r="B13" s="166" t="s">
        <v>388</v>
      </c>
      <c r="N13" s="166" t="s">
        <v>389</v>
      </c>
    </row>
    <row r="14" spans="1:15" x14ac:dyDescent="0.2">
      <c r="N14" s="166" t="s">
        <v>390</v>
      </c>
    </row>
    <row r="15" spans="1:15" x14ac:dyDescent="0.2">
      <c r="N15" s="166" t="s">
        <v>391</v>
      </c>
    </row>
    <row r="16" spans="1:15" x14ac:dyDescent="0.2">
      <c r="N16" s="166" t="s">
        <v>392</v>
      </c>
    </row>
    <row r="17" spans="1:15" x14ac:dyDescent="0.2">
      <c r="N17" s="166" t="s">
        <v>393</v>
      </c>
    </row>
    <row r="18" spans="1:15" x14ac:dyDescent="0.2">
      <c r="N18" s="166" t="s">
        <v>394</v>
      </c>
    </row>
    <row r="19" spans="1:15" x14ac:dyDescent="0.2">
      <c r="A19" s="166">
        <v>12</v>
      </c>
      <c r="B19" s="166" t="s">
        <v>395</v>
      </c>
      <c r="O19" s="166" t="s">
        <v>396</v>
      </c>
    </row>
    <row r="20" spans="1:15" x14ac:dyDescent="0.2">
      <c r="O20" s="166" t="s">
        <v>397</v>
      </c>
    </row>
    <row r="21" spans="1:15" x14ac:dyDescent="0.2">
      <c r="O21" s="166" t="s">
        <v>398</v>
      </c>
    </row>
    <row r="29" spans="1:15" ht="15.75" x14ac:dyDescent="0.2">
      <c r="B29" s="168" t="s">
        <v>399</v>
      </c>
    </row>
    <row r="30" spans="1:15" ht="15.75" x14ac:dyDescent="0.2">
      <c r="B30" s="168" t="s">
        <v>400</v>
      </c>
    </row>
    <row r="31" spans="1:15" ht="15.75" x14ac:dyDescent="0.2">
      <c r="B31" s="168" t="s">
        <v>401</v>
      </c>
    </row>
    <row r="32" spans="1:15" ht="15.75" x14ac:dyDescent="0.2">
      <c r="B32" s="168" t="s">
        <v>402</v>
      </c>
    </row>
    <row r="35" spans="2:5" x14ac:dyDescent="0.2">
      <c r="B35" s="166" t="s">
        <v>403</v>
      </c>
      <c r="C35" s="166" t="s">
        <v>404</v>
      </c>
      <c r="D35" s="166">
        <v>7</v>
      </c>
      <c r="E35" s="166">
        <v>18</v>
      </c>
    </row>
    <row r="36" spans="2:5" x14ac:dyDescent="0.2">
      <c r="B36" s="166" t="s">
        <v>58</v>
      </c>
      <c r="C36" s="166" t="s">
        <v>404</v>
      </c>
      <c r="D36" s="166">
        <v>7</v>
      </c>
      <c r="E36" s="166">
        <v>18</v>
      </c>
    </row>
    <row r="37" spans="2:5" x14ac:dyDescent="0.2">
      <c r="B37" s="166" t="s">
        <v>257</v>
      </c>
      <c r="C37" s="166" t="s">
        <v>405</v>
      </c>
      <c r="D37" s="166">
        <v>8</v>
      </c>
      <c r="E37" s="166">
        <v>26</v>
      </c>
    </row>
    <row r="38" spans="2:5" x14ac:dyDescent="0.2">
      <c r="B38" s="166" t="s">
        <v>60</v>
      </c>
      <c r="C38" s="166" t="s">
        <v>406</v>
      </c>
      <c r="D38" s="166">
        <v>9</v>
      </c>
      <c r="E38" s="166">
        <v>26</v>
      </c>
    </row>
    <row r="39" spans="2:5" x14ac:dyDescent="0.2">
      <c r="B39" s="166" t="s">
        <v>407</v>
      </c>
      <c r="C39" s="166" t="s">
        <v>408</v>
      </c>
      <c r="D39" s="166">
        <v>10</v>
      </c>
      <c r="E39" s="166">
        <v>46</v>
      </c>
    </row>
    <row r="40" spans="2:5" x14ac:dyDescent="0.2">
      <c r="B40" s="166" t="s">
        <v>409</v>
      </c>
      <c r="C40" s="166" t="s">
        <v>408</v>
      </c>
      <c r="D40" s="166">
        <v>10</v>
      </c>
      <c r="E40" s="166">
        <v>46</v>
      </c>
    </row>
    <row r="41" spans="2:5" x14ac:dyDescent="0.2">
      <c r="B41" s="166" t="s">
        <v>410</v>
      </c>
      <c r="C41" s="166" t="s">
        <v>408</v>
      </c>
      <c r="D41" s="166">
        <v>10</v>
      </c>
      <c r="E41" s="166">
        <v>46</v>
      </c>
    </row>
    <row r="42" spans="2:5" x14ac:dyDescent="0.2">
      <c r="B42" s="166" t="s">
        <v>411</v>
      </c>
      <c r="C42" s="166" t="s">
        <v>408</v>
      </c>
      <c r="D42" s="166">
        <v>10</v>
      </c>
      <c r="E42" s="166">
        <v>46</v>
      </c>
    </row>
    <row r="43" spans="2:5" x14ac:dyDescent="0.2">
      <c r="B43" s="166" t="s">
        <v>412</v>
      </c>
      <c r="C43" s="166" t="s">
        <v>408</v>
      </c>
      <c r="D43" s="166">
        <v>10</v>
      </c>
      <c r="E43" s="166">
        <v>46</v>
      </c>
    </row>
    <row r="44" spans="2:5" x14ac:dyDescent="0.2">
      <c r="B44" s="166" t="s">
        <v>236</v>
      </c>
      <c r="C44" s="166" t="s">
        <v>406</v>
      </c>
      <c r="D44" s="166">
        <v>9</v>
      </c>
      <c r="E44" s="166">
        <v>34</v>
      </c>
    </row>
  </sheetData>
  <mergeCells count="1">
    <mergeCell ref="I1:N1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D14"/>
  <sheetViews>
    <sheetView workbookViewId="0">
      <selection activeCell="B9" sqref="B9"/>
    </sheetView>
  </sheetViews>
  <sheetFormatPr defaultRowHeight="15" x14ac:dyDescent="0.25"/>
  <cols>
    <col min="2" max="2" width="38.5703125" customWidth="1"/>
  </cols>
  <sheetData>
    <row r="2" spans="1:4" ht="15.75" x14ac:dyDescent="0.25">
      <c r="A2">
        <v>1</v>
      </c>
      <c r="B2" s="162" t="s">
        <v>359</v>
      </c>
      <c r="C2" s="162"/>
      <c r="D2" s="162"/>
    </row>
    <row r="3" spans="1:4" ht="15.75" x14ac:dyDescent="0.25">
      <c r="A3">
        <v>2</v>
      </c>
      <c r="B3" s="162" t="s">
        <v>360</v>
      </c>
      <c r="C3" s="162"/>
      <c r="D3" s="162"/>
    </row>
    <row r="4" spans="1:4" ht="15.75" x14ac:dyDescent="0.25">
      <c r="A4">
        <v>3</v>
      </c>
      <c r="B4" s="162" t="s">
        <v>361</v>
      </c>
      <c r="C4" s="162"/>
      <c r="D4" s="162"/>
    </row>
    <row r="5" spans="1:4" ht="15.75" x14ac:dyDescent="0.25">
      <c r="A5">
        <v>4</v>
      </c>
      <c r="B5" s="297" t="s">
        <v>362</v>
      </c>
      <c r="C5" s="298"/>
      <c r="D5" s="299"/>
    </row>
    <row r="6" spans="1:4" ht="15.75" x14ac:dyDescent="0.25">
      <c r="A6">
        <v>5</v>
      </c>
      <c r="B6" s="162" t="s">
        <v>363</v>
      </c>
      <c r="C6" s="162"/>
      <c r="D6" s="162"/>
    </row>
    <row r="7" spans="1:4" ht="15.75" x14ac:dyDescent="0.25">
      <c r="A7">
        <v>6</v>
      </c>
      <c r="B7" s="162" t="s">
        <v>364</v>
      </c>
      <c r="C7" s="162"/>
      <c r="D7" s="162"/>
    </row>
    <row r="8" spans="1:4" ht="15.75" x14ac:dyDescent="0.25">
      <c r="A8">
        <v>7</v>
      </c>
      <c r="B8" s="162" t="s">
        <v>365</v>
      </c>
      <c r="C8" s="163"/>
      <c r="D8" s="163"/>
    </row>
    <row r="9" spans="1:4" ht="15.75" x14ac:dyDescent="0.25">
      <c r="A9">
        <v>8</v>
      </c>
      <c r="B9" s="162" t="s">
        <v>366</v>
      </c>
      <c r="C9" s="163"/>
      <c r="D9" s="163"/>
    </row>
    <row r="10" spans="1:4" ht="15.75" x14ac:dyDescent="0.25">
      <c r="A10">
        <v>9</v>
      </c>
      <c r="B10" s="162" t="s">
        <v>367</v>
      </c>
      <c r="C10" s="163"/>
      <c r="D10" s="163"/>
    </row>
    <row r="11" spans="1:4" ht="15.75" x14ac:dyDescent="0.25">
      <c r="A11">
        <v>10</v>
      </c>
      <c r="B11" s="297" t="s">
        <v>368</v>
      </c>
      <c r="C11" s="300"/>
      <c r="D11" s="300"/>
    </row>
    <row r="12" spans="1:4" ht="15.75" x14ac:dyDescent="0.25">
      <c r="A12">
        <v>11</v>
      </c>
      <c r="B12" s="162" t="s">
        <v>369</v>
      </c>
      <c r="C12" s="163"/>
      <c r="D12" s="163"/>
    </row>
    <row r="13" spans="1:4" ht="15.75" x14ac:dyDescent="0.25">
      <c r="A13">
        <v>12</v>
      </c>
      <c r="B13" s="162" t="s">
        <v>370</v>
      </c>
      <c r="C13" s="163"/>
      <c r="D13" s="163"/>
    </row>
    <row r="14" spans="1:4" ht="15.75" x14ac:dyDescent="0.25">
      <c r="A14">
        <v>4</v>
      </c>
      <c r="B14" s="164" t="s">
        <v>67</v>
      </c>
    </row>
  </sheetData>
  <mergeCells count="2">
    <mergeCell ref="B5:D5"/>
    <mergeCell ref="B11:D1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Notes</vt:lpstr>
      <vt:lpstr>DAY1</vt:lpstr>
      <vt:lpstr>DAY2</vt:lpstr>
      <vt:lpstr>DAY3</vt:lpstr>
      <vt:lpstr>Tororo-Mbale</vt:lpstr>
      <vt:lpstr>Mbale-Tororo</vt:lpstr>
      <vt:lpstr>Graphs</vt:lpstr>
      <vt:lpstr>KEY</vt:lpstr>
      <vt:lpstr>Desc</vt:lpstr>
      <vt:lpstr>'DAY1'!Print_Area</vt:lpstr>
      <vt:lpstr>'DAY2'!Print_Area</vt:lpstr>
      <vt:lpstr>'DAY3'!Print_Area</vt:lpstr>
      <vt:lpstr>Graphs!Print_Area</vt:lpstr>
      <vt:lpstr>'Mbale-Tororo'!Print_Area</vt:lpstr>
      <vt:lpstr>'Tororo-Mbale'!Print_Area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 Track Ltd</dc:creator>
  <cp:lastModifiedBy>USER</cp:lastModifiedBy>
  <cp:lastPrinted>2015-05-11T14:09:27Z</cp:lastPrinted>
  <dcterms:created xsi:type="dcterms:W3CDTF">2015-05-11T13:42:40Z</dcterms:created>
  <dcterms:modified xsi:type="dcterms:W3CDTF">2020-03-24T10:27:45Z</dcterms:modified>
</cp:coreProperties>
</file>