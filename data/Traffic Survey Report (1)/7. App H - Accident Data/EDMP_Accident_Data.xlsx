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 filterPrivacy="1"/>
  <xr:revisionPtr revIDLastSave="0" documentId="13_ncr:1_{CF45047C-2323-423E-BBCE-5D408CDEDD2F}" xr6:coauthVersionLast="45" xr6:coauthVersionMax="45" xr10:uidLastSave="{00000000-0000-0000-0000-000000000000}"/>
  <bookViews>
    <workbookView xWindow="-120" yWindow="-120" windowWidth="20730" windowHeight="11160" tabRatio="823" firstSheet="18" activeTab="24" xr2:uid="{00000000-000D-0000-FFFF-FFFF00000000}"/>
  </bookViews>
  <sheets>
    <sheet name="STN2 - JINJA" sheetId="20" r:id="rId1"/>
    <sheet name="STN3-SOROTI" sheetId="16" r:id="rId2"/>
    <sheet name="STN2 - Soroti Analysis" sheetId="23" r:id="rId3"/>
    <sheet name="STN2 -Tororo" sheetId="24" r:id="rId4"/>
    <sheet name="STN5-MBALE" sheetId="10" r:id="rId5"/>
    <sheet name="STN2 -Mbale Analysis" sheetId="25" r:id="rId6"/>
    <sheet name="STN6 -Lira" sheetId="27" r:id="rId7"/>
    <sheet name="STN7-GULU" sheetId="12" r:id="rId8"/>
    <sheet name="STN7-Gulu Analysis" sheetId="28" r:id="rId9"/>
    <sheet name="STN9 -Hoima" sheetId="29" r:id="rId10"/>
    <sheet name="STN10 -Kasese" sheetId="30" r:id="rId11"/>
    <sheet name="STN1 -Luwero" sheetId="31" r:id="rId12"/>
    <sheet name="STN12 -Masaka" sheetId="32" r:id="rId13"/>
    <sheet name="STN14-MUBENDE" sheetId="11" r:id="rId14"/>
    <sheet name="STN14-Mubende Analysis" sheetId="33" r:id="rId15"/>
    <sheet name="STN15-MBARARA" sheetId="14" r:id="rId16"/>
    <sheet name="STN15_Mbarara Analysis" sheetId="34" r:id="rId17"/>
    <sheet name="STN16 -Kabale" sheetId="36" r:id="rId18"/>
    <sheet name="STN17 -Bushenyi" sheetId="37" r:id="rId19"/>
    <sheet name="STN18 -Rukungiri" sheetId="38" r:id="rId20"/>
    <sheet name="STN19-KITGUM" sheetId="13" r:id="rId21"/>
    <sheet name="STN19-Kitgum Analysis" sheetId="39" r:id="rId22"/>
    <sheet name="STN21 -Iganga" sheetId="40" r:id="rId23"/>
    <sheet name="STN8 -Arua" sheetId="41" r:id="rId24"/>
    <sheet name="All Stations" sheetId="4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0" i="42" l="1"/>
  <c r="C10" i="42"/>
  <c r="D10" i="42"/>
  <c r="B10" i="42"/>
  <c r="E5" i="42"/>
  <c r="B6" i="42"/>
  <c r="C6" i="42"/>
  <c r="D6" i="42"/>
  <c r="E6" i="42" s="1"/>
  <c r="B7" i="42"/>
  <c r="C7" i="42"/>
  <c r="D7" i="42"/>
  <c r="B8" i="42"/>
  <c r="C8" i="42"/>
  <c r="D8" i="42"/>
  <c r="E8" i="42" s="1"/>
  <c r="B9" i="42"/>
  <c r="E9" i="42" s="1"/>
  <c r="C9" i="42"/>
  <c r="D9" i="42"/>
  <c r="C5" i="42"/>
  <c r="D5" i="42"/>
  <c r="B5" i="42"/>
  <c r="E7" i="42"/>
  <c r="E5" i="40"/>
  <c r="E5" i="39"/>
  <c r="E5" i="38"/>
  <c r="E5" i="37"/>
  <c r="E5" i="36"/>
  <c r="E5" i="33"/>
  <c r="E6" i="33"/>
  <c r="E5" i="32"/>
  <c r="E5" i="31"/>
  <c r="E6" i="31"/>
  <c r="E5" i="30"/>
  <c r="E5" i="29"/>
  <c r="E5" i="28"/>
  <c r="E5" i="27"/>
  <c r="E5" i="25"/>
  <c r="E6" i="25"/>
  <c r="E7" i="25"/>
  <c r="E5" i="24"/>
  <c r="E6" i="24"/>
  <c r="E5" i="23"/>
  <c r="E9" i="41" l="1"/>
  <c r="E8" i="41"/>
  <c r="E7" i="41"/>
  <c r="E6" i="41"/>
  <c r="E9" i="40"/>
  <c r="E8" i="40"/>
  <c r="E7" i="40"/>
  <c r="E6" i="40"/>
  <c r="E9" i="39"/>
  <c r="E8" i="39"/>
  <c r="E7" i="39"/>
  <c r="E6" i="39"/>
  <c r="E9" i="38"/>
  <c r="E8" i="38"/>
  <c r="E7" i="38"/>
  <c r="E6" i="38"/>
  <c r="E9" i="37"/>
  <c r="E8" i="37"/>
  <c r="E7" i="37"/>
  <c r="E6" i="37"/>
  <c r="E9" i="36"/>
  <c r="E8" i="36"/>
  <c r="E7" i="36"/>
  <c r="E6" i="36"/>
  <c r="E9" i="34"/>
  <c r="E8" i="34"/>
  <c r="E7" i="34"/>
  <c r="E42" i="14"/>
  <c r="D42" i="14"/>
  <c r="C42" i="14"/>
  <c r="E29" i="14"/>
  <c r="D29" i="14"/>
  <c r="C29" i="14"/>
  <c r="D16" i="14"/>
  <c r="E16" i="14"/>
  <c r="C16" i="14"/>
  <c r="E9" i="33"/>
  <c r="E8" i="33"/>
  <c r="E7" i="33"/>
  <c r="E9" i="32"/>
  <c r="E8" i="32"/>
  <c r="E7" i="32"/>
  <c r="E6" i="32"/>
  <c r="E9" i="31"/>
  <c r="E8" i="31"/>
  <c r="E7" i="31"/>
  <c r="E9" i="30"/>
  <c r="E8" i="30"/>
  <c r="E7" i="30"/>
  <c r="E6" i="30"/>
  <c r="E9" i="29"/>
  <c r="E8" i="29"/>
  <c r="E7" i="29"/>
  <c r="E6" i="29"/>
  <c r="E9" i="28"/>
  <c r="E8" i="28"/>
  <c r="E7" i="28"/>
  <c r="E6" i="28"/>
  <c r="E68" i="12"/>
  <c r="D68" i="12"/>
  <c r="C68" i="12"/>
  <c r="E55" i="12"/>
  <c r="D55" i="12"/>
  <c r="C55" i="12"/>
  <c r="E42" i="12"/>
  <c r="D42" i="12"/>
  <c r="C42" i="12"/>
  <c r="D29" i="12"/>
  <c r="E29" i="12"/>
  <c r="C29" i="12"/>
  <c r="E9" i="27"/>
  <c r="E8" i="27"/>
  <c r="E7" i="27"/>
  <c r="E6" i="27"/>
  <c r="E81" i="10"/>
  <c r="D81" i="10"/>
  <c r="C81" i="10"/>
  <c r="E68" i="10"/>
  <c r="D68" i="10"/>
  <c r="C68" i="10"/>
  <c r="E55" i="10"/>
  <c r="D55" i="10"/>
  <c r="C55" i="10"/>
  <c r="E42" i="10"/>
  <c r="D42" i="10"/>
  <c r="C42" i="10"/>
  <c r="E29" i="10"/>
  <c r="D29" i="10"/>
  <c r="C29" i="10"/>
  <c r="D16" i="10"/>
  <c r="E16" i="10"/>
  <c r="C16" i="10"/>
  <c r="E9" i="25"/>
  <c r="E8" i="25"/>
  <c r="E9" i="24" l="1"/>
  <c r="E8" i="24"/>
  <c r="E7" i="24"/>
  <c r="E68" i="16"/>
  <c r="D68" i="16"/>
  <c r="C68" i="16"/>
  <c r="E55" i="16"/>
  <c r="D55" i="16"/>
  <c r="C55" i="16"/>
  <c r="E42" i="16"/>
  <c r="D42" i="16"/>
  <c r="C42" i="16"/>
  <c r="E29" i="16"/>
  <c r="D29" i="16"/>
  <c r="C29" i="16"/>
  <c r="D16" i="16"/>
  <c r="E16" i="16"/>
  <c r="C16" i="16"/>
  <c r="E9" i="23"/>
  <c r="E8" i="23"/>
  <c r="E7" i="23"/>
  <c r="E6" i="23"/>
  <c r="D16" i="12"/>
  <c r="E16" i="12"/>
  <c r="C16" i="12"/>
  <c r="E9" i="20" l="1"/>
  <c r="E8" i="20"/>
  <c r="E7" i="20"/>
  <c r="E6" i="20"/>
  <c r="J5" i="16" l="1"/>
  <c r="J6" i="16"/>
  <c r="J7" i="16"/>
  <c r="J8" i="16"/>
  <c r="J9" i="16"/>
  <c r="J10" i="16"/>
  <c r="J11" i="16"/>
  <c r="J12" i="16"/>
  <c r="J13" i="16"/>
  <c r="J14" i="16"/>
  <c r="J15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30" i="16"/>
  <c r="J31" i="16"/>
  <c r="J32" i="16"/>
  <c r="J33" i="16"/>
  <c r="J34" i="16"/>
  <c r="J35" i="16"/>
  <c r="J36" i="16"/>
  <c r="J37" i="16"/>
  <c r="J38" i="16"/>
  <c r="J40" i="16"/>
  <c r="J41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4" i="16"/>
  <c r="F5" i="16"/>
  <c r="F6" i="16"/>
  <c r="F7" i="16"/>
  <c r="F8" i="16"/>
  <c r="F9" i="16"/>
  <c r="F10" i="16"/>
  <c r="F11" i="16"/>
  <c r="F12" i="16"/>
  <c r="F13" i="16"/>
  <c r="F14" i="16"/>
  <c r="F15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4" i="16"/>
  <c r="F57" i="11" l="1"/>
  <c r="F58" i="11"/>
  <c r="F59" i="11"/>
  <c r="F60" i="11"/>
  <c r="F61" i="11"/>
  <c r="F62" i="11"/>
  <c r="F63" i="11"/>
  <c r="F64" i="11"/>
  <c r="F65" i="11"/>
  <c r="F66" i="11"/>
  <c r="F67" i="11"/>
  <c r="F56" i="11"/>
  <c r="E68" i="11"/>
  <c r="D68" i="11"/>
  <c r="C68" i="11"/>
  <c r="F44" i="11"/>
  <c r="F45" i="11"/>
  <c r="F46" i="11"/>
  <c r="F47" i="11"/>
  <c r="F48" i="11"/>
  <c r="F49" i="11"/>
  <c r="F50" i="11"/>
  <c r="F51" i="11"/>
  <c r="F52" i="11"/>
  <c r="F53" i="11"/>
  <c r="F54" i="11"/>
  <c r="F43" i="11"/>
  <c r="E55" i="11"/>
  <c r="D55" i="11"/>
  <c r="C55" i="11"/>
  <c r="F37" i="11"/>
  <c r="F31" i="11"/>
  <c r="F32" i="11"/>
  <c r="F33" i="11"/>
  <c r="F34" i="11"/>
  <c r="F35" i="11"/>
  <c r="F36" i="11"/>
  <c r="F38" i="11"/>
  <c r="F39" i="11"/>
  <c r="F40" i="11"/>
  <c r="F41" i="11"/>
  <c r="F30" i="11"/>
  <c r="F18" i="11"/>
  <c r="F19" i="11"/>
  <c r="F20" i="11"/>
  <c r="F21" i="11"/>
  <c r="F22" i="11"/>
  <c r="F23" i="11"/>
  <c r="F24" i="11"/>
  <c r="F25" i="11"/>
  <c r="F26" i="11"/>
  <c r="F27" i="11"/>
  <c r="F28" i="11"/>
  <c r="F17" i="11"/>
  <c r="E29" i="11"/>
  <c r="E42" i="11" s="1"/>
  <c r="D29" i="11"/>
  <c r="D42" i="11" s="1"/>
  <c r="C29" i="11"/>
  <c r="C42" i="11" s="1"/>
  <c r="F5" i="11"/>
  <c r="F6" i="11"/>
  <c r="F7" i="11"/>
  <c r="F8" i="11"/>
  <c r="F9" i="11"/>
  <c r="F10" i="11"/>
  <c r="F11" i="11"/>
  <c r="F12" i="11"/>
  <c r="F13" i="11"/>
  <c r="F14" i="11"/>
  <c r="F15" i="11"/>
  <c r="F4" i="11"/>
  <c r="E16" i="11"/>
  <c r="D16" i="11"/>
  <c r="C16" i="11"/>
  <c r="E16" i="13"/>
  <c r="D16" i="13"/>
  <c r="C16" i="13"/>
  <c r="E29" i="13"/>
  <c r="D29" i="13"/>
  <c r="C29" i="13"/>
  <c r="E42" i="13"/>
  <c r="D42" i="13"/>
  <c r="C42" i="13"/>
  <c r="E55" i="13"/>
  <c r="D55" i="13"/>
  <c r="C55" i="13"/>
  <c r="E68" i="13"/>
  <c r="D68" i="13"/>
  <c r="C68" i="13"/>
  <c r="F5" i="13"/>
  <c r="F6" i="13"/>
  <c r="F7" i="13"/>
  <c r="F8" i="13"/>
  <c r="F9" i="13"/>
  <c r="F10" i="13"/>
  <c r="F11" i="13"/>
  <c r="F12" i="13"/>
  <c r="F13" i="13"/>
  <c r="F14" i="13"/>
  <c r="F15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4" i="13"/>
  <c r="F16" i="13" l="1"/>
  <c r="F29" i="13"/>
  <c r="F55" i="11"/>
  <c r="F55" i="13"/>
  <c r="F42" i="13"/>
  <c r="F68" i="13"/>
  <c r="F29" i="11"/>
  <c r="F16" i="11"/>
  <c r="F68" i="11"/>
  <c r="F42" i="11"/>
</calcChain>
</file>

<file path=xl/sharedStrings.xml><?xml version="1.0" encoding="utf-8"?>
<sst xmlns="http://schemas.openxmlformats.org/spreadsheetml/2006/main" count="541" uniqueCount="56">
  <si>
    <t>YEAR</t>
  </si>
  <si>
    <t>MONTH</t>
  </si>
  <si>
    <t>FATAL</t>
  </si>
  <si>
    <t>SERIOUS</t>
  </si>
  <si>
    <t>MINOR</t>
  </si>
  <si>
    <t>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</si>
  <si>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</si>
  <si>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</si>
  <si>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</si>
  <si>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</si>
  <si>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</si>
  <si>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</si>
  <si>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</si>
  <si>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</si>
  <si>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</si>
  <si>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</si>
  <si>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</si>
  <si>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</si>
  <si>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CATEGORY OF ACCIDENT</t>
  </si>
  <si>
    <t>KITGUM ACCIDENT REPORT</t>
  </si>
  <si>
    <t>GULU ACCIDENT REPORT</t>
  </si>
  <si>
    <t>MBALE ACCIDENT REPORT</t>
  </si>
  <si>
    <t>Total Accident</t>
  </si>
  <si>
    <t>No of Persons Killed</t>
  </si>
  <si>
    <t>No. of Persons Injured</t>
  </si>
  <si>
    <t>No. of Persons Slightly Injured</t>
  </si>
  <si>
    <t>Total No. of Victims involved</t>
  </si>
  <si>
    <t>SOROTI CENTRAL POLICE STATION ACCIDENT REPORT</t>
  </si>
  <si>
    <t>MBARARA POLICE STATION ACCIDENT REPORT</t>
  </si>
  <si>
    <t xml:space="preserve">TOTAL NO. </t>
  </si>
  <si>
    <t>2018 TOTAL</t>
  </si>
  <si>
    <t>2014 TOTAL</t>
  </si>
  <si>
    <t>2015 TOTAL</t>
  </si>
  <si>
    <t>2016 TOTAL</t>
  </si>
  <si>
    <t>2017 TOTAL</t>
  </si>
  <si>
    <t>MUBENDE POLICE STATION  ACCIDENT REPORT</t>
  </si>
  <si>
    <t>NATURE OF ACCIDENT</t>
  </si>
  <si>
    <t>ARUA SUMMARY ACCIDENT REPORT</t>
  </si>
  <si>
    <t>JINJA SUMMARY ACCIDENT REPORT</t>
  </si>
  <si>
    <t>IGANGA SUMMARY ACCIDENT REPORT</t>
  </si>
  <si>
    <t>GULU SUMMARY ACCIDENT REPORT</t>
  </si>
  <si>
    <t>HOIMA SUMMARY ACCIDENT REPORT</t>
  </si>
  <si>
    <t>KASESE SUMMARY ACCIDENT REPORT</t>
  </si>
  <si>
    <t>LUWERO SUMMARY ACCIDENT REPORT</t>
  </si>
  <si>
    <t>MASAKA SUMMARY ACCIDENT REPORT</t>
  </si>
  <si>
    <t>MUBENDE SUMMARY ACCIDENT REPORT</t>
  </si>
  <si>
    <t>MBARARA SUMMARY ACCIDENT REPORT</t>
  </si>
  <si>
    <t>KABALE SUMMARY ACCIDENT REPORT</t>
  </si>
  <si>
    <t>BUSHENYI SUMMARY ACCIDENT REPORT</t>
  </si>
  <si>
    <t>RUKUNGIRI SUMMARY ACCIDENT REPORT</t>
  </si>
  <si>
    <t>KITGUM SUMMARY ACCIDENT REPORT</t>
  </si>
  <si>
    <t>SOROTI SUMMARY ACCIDENT REPORT</t>
  </si>
  <si>
    <t>TORORO SUMMARY ACCIDENT REPORT</t>
  </si>
  <si>
    <t>MBALE SUMMARY ACCIDENT REPORT</t>
  </si>
  <si>
    <t>LIRA SUMMARY ACCIDENT REPORT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</si>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</sst>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0" xfId="0" applyFont="1"/>
    <xf numFmtId="0" fontId="1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3" xfId="0" applyFont="1" applyBorder="1"/>
    <xf numFmtId="0" fontId="2" fillId="0" borderId="2" xfId="0" applyFont="1" applyBorder="1" applyAlignment="1">
      <alignment horizontal="center"/>
    </xf>
    <xf numFmtId="0" fontId="2" fillId="0" borderId="0" xfId="0" applyFont="1" applyBorder="1"/>
    <xf numFmtId="0" fontId="1" fillId="0" borderId="4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2" fillId="0" borderId="6" xfId="0" applyFont="1" applyBorder="1"/>
    <xf numFmtId="0" fontId="2" fillId="0" borderId="11" xfId="0" applyFont="1" applyBorder="1"/>
    <xf numFmtId="0" fontId="2" fillId="0" borderId="3" xfId="0" applyFont="1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22" xfId="0" applyFont="1" applyBorder="1"/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6" xfId="0" applyFont="1" applyBorder="1"/>
    <xf numFmtId="0" fontId="2" fillId="0" borderId="26" xfId="0" applyFont="1" applyBorder="1" applyAlignment="1">
      <alignment horizontal="center"/>
    </xf>
    <xf numFmtId="0" fontId="2" fillId="0" borderId="23" xfId="0" applyFont="1" applyBorder="1"/>
    <xf numFmtId="0" fontId="1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4" xfId="0" applyFont="1" applyBorder="1"/>
    <xf numFmtId="0" fontId="2" fillId="0" borderId="4" xfId="0" applyFont="1" applyBorder="1" applyAlignment="1">
      <alignment horizontal="center"/>
    </xf>
    <xf numFmtId="0" fontId="2" fillId="0" borderId="25" xfId="0" applyFont="1" applyBorder="1"/>
    <xf numFmtId="0" fontId="2" fillId="0" borderId="35" xfId="0" applyFont="1" applyBorder="1" applyAlignment="1">
      <alignment horizontal="center"/>
    </xf>
    <xf numFmtId="0" fontId="2" fillId="2" borderId="14" xfId="0" applyFont="1" applyFill="1" applyBorder="1" applyAlignment="1">
      <alignment horizontal="center" vertical="center"/>
    </xf>
    <xf numFmtId="0" fontId="2" fillId="2" borderId="20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 vertical="center"/>
    </xf>
    <xf numFmtId="0" fontId="2" fillId="2" borderId="7" xfId="0" applyFont="1" applyFill="1" applyBorder="1"/>
    <xf numFmtId="0" fontId="2" fillId="2" borderId="16" xfId="0" applyFont="1" applyFill="1" applyBorder="1"/>
    <xf numFmtId="0" fontId="2" fillId="0" borderId="36" xfId="0" applyFont="1" applyBorder="1" applyAlignment="1">
      <alignment horizontal="center"/>
    </xf>
    <xf numFmtId="0" fontId="2" fillId="0" borderId="4" xfId="0" applyFont="1" applyBorder="1" applyAlignment="1">
      <alignment horizontal="left" vertical="center"/>
    </xf>
    <xf numFmtId="0" fontId="0" fillId="0" borderId="30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38" xfId="0" applyFont="1" applyBorder="1"/>
    <xf numFmtId="0" fontId="2" fillId="0" borderId="38" xfId="0" applyFont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39" xfId="0" applyFont="1" applyBorder="1"/>
    <xf numFmtId="0" fontId="0" fillId="0" borderId="1" xfId="0" applyBorder="1" applyAlignment="1">
      <alignment horizontal="center" vertical="center"/>
    </xf>
    <xf numFmtId="1" fontId="2" fillId="0" borderId="1" xfId="0" applyNumberFormat="1" applyFon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3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wrapText="1"/>
    </xf>
    <xf numFmtId="0" fontId="1" fillId="0" borderId="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Jinja 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'STN2 - JINJA'!$B$4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 JINJA'!$A$5:$A$9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 JINJA'!$B$5:$B$9</c:f>
              <c:numCache>
                <c:formatCode>General</c:formatCode>
                <c:ptCount val="5"/>
                <c:pt idx="1">
                  <c:v>19</c:v>
                </c:pt>
                <c:pt idx="2">
                  <c:v>50</c:v>
                </c:pt>
                <c:pt idx="3">
                  <c:v>23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89-4C65-BB47-289E0E1FDB2A}"/>
            </c:ext>
          </c:extLst>
        </c:ser>
        <c:ser>
          <c:idx val="1"/>
          <c:order val="1"/>
          <c:tx>
            <c:strRef>
              <c:f>'STN2 - JINJA'!$C$4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 JINJA'!$A$5:$A$9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 JINJA'!$C$5:$C$9</c:f>
              <c:numCache>
                <c:formatCode>General</c:formatCode>
                <c:ptCount val="5"/>
                <c:pt idx="1">
                  <c:v>121</c:v>
                </c:pt>
                <c:pt idx="2">
                  <c:v>92</c:v>
                </c:pt>
                <c:pt idx="3">
                  <c:v>44</c:v>
                </c:pt>
                <c:pt idx="4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89-4C65-BB47-289E0E1FDB2A}"/>
            </c:ext>
          </c:extLst>
        </c:ser>
        <c:ser>
          <c:idx val="2"/>
          <c:order val="2"/>
          <c:tx>
            <c:strRef>
              <c:f>'STN2 - JINJA'!$D$4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'STN2 - JINJA'!$A$5:$A$9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 JINJA'!$D$5:$D$9</c:f>
              <c:numCache>
                <c:formatCode>General</c:formatCode>
                <c:ptCount val="5"/>
                <c:pt idx="1">
                  <c:v>33</c:v>
                </c:pt>
                <c:pt idx="2">
                  <c:v>43</c:v>
                </c:pt>
                <c:pt idx="3">
                  <c:v>22</c:v>
                </c:pt>
                <c:pt idx="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89-4C65-BB47-289E0E1FD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Soroti District</a:t>
            </a:r>
          </a:p>
        </c:rich>
      </c:tx>
      <c:layout>
        <c:manualLayout>
          <c:xMode val="edge"/>
          <c:yMode val="edge"/>
          <c:x val="0.2245833333333333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'STN2 - Soroti Analysis'!$B$4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 Soroti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 Soroti Analysis'!$B$5:$B$9</c:f>
              <c:numCache>
                <c:formatCode>General</c:formatCode>
                <c:ptCount val="5"/>
                <c:pt idx="0">
                  <c:v>36</c:v>
                </c:pt>
                <c:pt idx="1">
                  <c:v>22</c:v>
                </c:pt>
                <c:pt idx="2">
                  <c:v>29</c:v>
                </c:pt>
                <c:pt idx="3">
                  <c:v>32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A20-8222-C2C98C3D89FE}"/>
            </c:ext>
          </c:extLst>
        </c:ser>
        <c:ser>
          <c:idx val="1"/>
          <c:order val="1"/>
          <c:tx>
            <c:strRef>
              <c:f>'STN2 - Soroti Analysis'!$C$4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 Soroti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 Soroti Analysis'!$C$5:$C$9</c:f>
              <c:numCache>
                <c:formatCode>General</c:formatCode>
                <c:ptCount val="5"/>
                <c:pt idx="0">
                  <c:v>80</c:v>
                </c:pt>
                <c:pt idx="1">
                  <c:v>178</c:v>
                </c:pt>
                <c:pt idx="2">
                  <c:v>79</c:v>
                </c:pt>
                <c:pt idx="3">
                  <c:v>67</c:v>
                </c:pt>
                <c:pt idx="4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BC-4A20-8222-C2C98C3D89FE}"/>
            </c:ext>
          </c:extLst>
        </c:ser>
        <c:ser>
          <c:idx val="2"/>
          <c:order val="2"/>
          <c:tx>
            <c:strRef>
              <c:f>'STN2 - Soroti Analysis'!$D$4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'STN2 - Soroti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 Soroti Analysis'!$D$5:$D$9</c:f>
              <c:numCache>
                <c:formatCode>General</c:formatCode>
                <c:ptCount val="5"/>
                <c:pt idx="0">
                  <c:v>61</c:v>
                </c:pt>
                <c:pt idx="1">
                  <c:v>51</c:v>
                </c:pt>
                <c:pt idx="2">
                  <c:v>29</c:v>
                </c:pt>
                <c:pt idx="3">
                  <c:v>30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BC-4A20-8222-C2C98C3D8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Tororo 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'STN2 -Tororo'!$B$4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'STN2 -Tororo'!$A$5:$A$9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'STN2 -Tororo'!$B$5:$B$9</c:f>
              <c:numCache>
                <c:formatCode>General</c:formatCode>
                <c:ptCount val="5"/>
                <c:pt idx="0">
                  <c:v>36</c:v>
                </c:pt>
                <c:pt idx="1">
                  <c:v>46</c:v>
                </c:pt>
                <c:pt idx="2">
                  <c:v>46</c:v>
                </c:pt>
                <c:pt idx="3">
                  <c:v>26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66-448F-AC7A-EBCCB8D8D254}"/>
            </c:ext>
          </c:extLst>
        </c:ser>
        <c:ser>
          <c:idx val="1"/>
          <c:order val="1"/>
          <c:tx>
            <c:strRef>
              <c:f>'STN2 -Tororo'!$C$4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'STN2 -Tororo'!$A$5:$A$9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'STN2 -Tororo'!$C$5:$C$9</c:f>
              <c:numCache>
                <c:formatCode>General</c:formatCode>
                <c:ptCount val="5"/>
                <c:pt idx="0">
                  <c:v>61</c:v>
                </c:pt>
                <c:pt idx="1">
                  <c:v>42</c:v>
                </c:pt>
                <c:pt idx="2">
                  <c:v>63</c:v>
                </c:pt>
                <c:pt idx="3">
                  <c:v>61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66-448F-AC7A-EBCCB8D8D254}"/>
            </c:ext>
          </c:extLst>
        </c:ser>
        <c:ser>
          <c:idx val="2"/>
          <c:order val="2"/>
          <c:tx>
            <c:strRef>
              <c:f>'STN2 -Tororo'!$D$4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'STN2 -Tororo'!$A$5:$A$9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'STN2 -Tororo'!$D$5:$D$9</c:f>
              <c:numCache>
                <c:formatCode>General</c:formatCode>
                <c:ptCount val="5"/>
                <c:pt idx="0">
                  <c:v>16</c:v>
                </c:pt>
                <c:pt idx="1">
                  <c:v>16</c:v>
                </c:pt>
                <c:pt idx="2">
                  <c:v>27</c:v>
                </c:pt>
                <c:pt idx="3">
                  <c:v>22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66-448F-AC7A-EBCCB8D8D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Mbale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'STN2 -Mbale Analysis'!$B$4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'STN2 -Mbale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'STN2 -Mbale Analysis'!$B$5:$B$9</c:f>
              <c:numCache>
                <c:formatCode>General</c:formatCode>
                <c:ptCount val="5"/>
                <c:pt idx="0">
                  <c:v>36</c:v>
                </c:pt>
                <c:pt idx="1">
                  <c:v>45</c:v>
                </c:pt>
                <c:pt idx="2">
                  <c:v>35</c:v>
                </c:pt>
                <c:pt idx="3">
                  <c:v>43</c:v>
                </c:pt>
                <c:pt idx="4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8-4B2A-9031-8186FBB22484}"/>
            </c:ext>
          </c:extLst>
        </c:ser>
        <c:ser>
          <c:idx val="1"/>
          <c:order val="1"/>
          <c:tx>
            <c:strRef>
              <c:f>'STN2 -Mbale Analysis'!$C$4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'STN2 -Mbale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'STN2 -Mbale Analysis'!$C$5:$C$9</c:f>
              <c:numCache>
                <c:formatCode>General</c:formatCode>
                <c:ptCount val="5"/>
                <c:pt idx="0">
                  <c:v>112</c:v>
                </c:pt>
                <c:pt idx="1">
                  <c:v>113</c:v>
                </c:pt>
                <c:pt idx="2">
                  <c:v>59</c:v>
                </c:pt>
                <c:pt idx="3">
                  <c:v>42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8-4B2A-9031-8186FBB22484}"/>
            </c:ext>
          </c:extLst>
        </c:ser>
        <c:ser>
          <c:idx val="2"/>
          <c:order val="2"/>
          <c:tx>
            <c:strRef>
              <c:f>'STN2 -Mbale Analysis'!$D$4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'STN2 -Mbale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'STN2 -Mbale Analysis'!$D$5:$D$9</c:f>
              <c:numCache>
                <c:formatCode>General</c:formatCode>
                <c:ptCount val="5"/>
                <c:pt idx="0">
                  <c:v>84</c:v>
                </c:pt>
                <c:pt idx="1">
                  <c:v>53</c:v>
                </c:pt>
                <c:pt idx="2">
                  <c:v>34</c:v>
                </c:pt>
                <c:pt idx="3">
                  <c:v>29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68-4B2A-9031-8186FBB22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Lira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0618810148731409"/>
          <c:y val="0.17168949771689498"/>
          <c:w val="0.76325634295713041"/>
          <c:h val="0.429015568259446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'STN6 -Lira'!$B$4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'STN6 -Lira'!$A$5:$A$9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'STN6 -Lira'!$B$5:$B$9</c:f>
              <c:numCache>
                <c:formatCode>General</c:formatCode>
                <c:ptCount val="5"/>
                <c:pt idx="0">
                  <c:v>37</c:v>
                </c:pt>
                <c:pt idx="1">
                  <c:v>33</c:v>
                </c:pt>
                <c:pt idx="2">
                  <c:v>50</c:v>
                </c:pt>
                <c:pt idx="3">
                  <c:v>45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A7-411F-8ACF-BB471F9560A7}"/>
            </c:ext>
          </c:extLst>
        </c:ser>
        <c:ser>
          <c:idx val="1"/>
          <c:order val="1"/>
          <c:tx>
            <c:strRef>
              <c:f>'STN6 -Lira'!$C$4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'STN6 -Lira'!$A$5:$A$9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'STN6 -Lira'!$C$5:$C$9</c:f>
              <c:numCache>
                <c:formatCode>General</c:formatCode>
                <c:ptCount val="5"/>
                <c:pt idx="0">
                  <c:v>133</c:v>
                </c:pt>
                <c:pt idx="1">
                  <c:v>39</c:v>
                </c:pt>
                <c:pt idx="2">
                  <c:v>69</c:v>
                </c:pt>
                <c:pt idx="3">
                  <c:v>21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A7-411F-8ACF-BB471F9560A7}"/>
            </c:ext>
          </c:extLst>
        </c:ser>
        <c:ser>
          <c:idx val="2"/>
          <c:order val="2"/>
          <c:tx>
            <c:strRef>
              <c:f>'STN6 -Lira'!$D$4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'STN6 -Lira'!$A$5:$A$9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'STN6 -Lira'!$D$5:$D$9</c:f>
              <c:numCache>
                <c:formatCode>General</c:formatCode>
                <c:ptCount val="5"/>
                <c:pt idx="0">
                  <c:v>34</c:v>
                </c:pt>
                <c:pt idx="1">
                  <c:v>7</c:v>
                </c:pt>
                <c:pt idx="2">
                  <c:v>18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A7-411F-8ACF-BB471F956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Gulu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'STN7-Gulu Analysis'!$B$4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'STN7-Gulu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'STN7-Gulu Analysis'!$B$5:$B$9</c:f>
              <c:numCache>
                <c:formatCode>General</c:formatCode>
                <c:ptCount val="5"/>
                <c:pt idx="0">
                  <c:v>34</c:v>
                </c:pt>
                <c:pt idx="1">
                  <c:v>61</c:v>
                </c:pt>
                <c:pt idx="2">
                  <c:v>59</c:v>
                </c:pt>
                <c:pt idx="3">
                  <c:v>29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FA-420E-A03D-948694B8C75C}"/>
            </c:ext>
          </c:extLst>
        </c:ser>
        <c:ser>
          <c:idx val="1"/>
          <c:order val="1"/>
          <c:tx>
            <c:strRef>
              <c:f>'STN7-Gulu Analysis'!$C$4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'STN7-Gulu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'STN7-Gulu Analysis'!$C$5:$C$9</c:f>
              <c:numCache>
                <c:formatCode>General</c:formatCode>
                <c:ptCount val="5"/>
                <c:pt idx="0">
                  <c:v>82</c:v>
                </c:pt>
                <c:pt idx="1">
                  <c:v>131</c:v>
                </c:pt>
                <c:pt idx="2">
                  <c:v>109</c:v>
                </c:pt>
                <c:pt idx="3">
                  <c:v>69</c:v>
                </c:pt>
                <c:pt idx="4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FA-420E-A03D-948694B8C75C}"/>
            </c:ext>
          </c:extLst>
        </c:ser>
        <c:ser>
          <c:idx val="2"/>
          <c:order val="2"/>
          <c:tx>
            <c:strRef>
              <c:f>'STN7-Gulu Analysis'!$D$4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'STN7-Gulu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'STN7-Gulu Analysis'!$D$5:$D$9</c:f>
              <c:numCache>
                <c:formatCode>General</c:formatCode>
                <c:ptCount val="5"/>
                <c:pt idx="0">
                  <c:v>43</c:v>
                </c:pt>
                <c:pt idx="1">
                  <c:v>69</c:v>
                </c:pt>
                <c:pt idx="2">
                  <c:v>39</c:v>
                </c:pt>
                <c:pt idx="3">
                  <c:v>34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FA-420E-A03D-948694B8C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Hoima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'STN9 -Hoima'!$B$4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'STN9 -Hoima'!$A$5:$A$9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'STN9 -Hoima'!$B$5:$B$9</c:f>
              <c:numCache>
                <c:formatCode>General</c:formatCode>
                <c:ptCount val="5"/>
                <c:pt idx="0">
                  <c:v>53</c:v>
                </c:pt>
                <c:pt idx="1">
                  <c:v>49</c:v>
                </c:pt>
                <c:pt idx="2">
                  <c:v>62</c:v>
                </c:pt>
                <c:pt idx="3">
                  <c:v>56</c:v>
                </c:pt>
                <c:pt idx="4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4-4082-BD97-39AE03E268F1}"/>
            </c:ext>
          </c:extLst>
        </c:ser>
        <c:ser>
          <c:idx val="1"/>
          <c:order val="1"/>
          <c:tx>
            <c:strRef>
              <c:f>'STN9 -Hoima'!$C$4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'STN9 -Hoima'!$A$5:$A$9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'STN9 -Hoima'!$C$5:$C$9</c:f>
              <c:numCache>
                <c:formatCode>General</c:formatCode>
                <c:ptCount val="5"/>
                <c:pt idx="0">
                  <c:v>32</c:v>
                </c:pt>
                <c:pt idx="1">
                  <c:v>29</c:v>
                </c:pt>
                <c:pt idx="2">
                  <c:v>33</c:v>
                </c:pt>
                <c:pt idx="3">
                  <c:v>38</c:v>
                </c:pt>
                <c:pt idx="4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4-4082-BD97-39AE03E268F1}"/>
            </c:ext>
          </c:extLst>
        </c:ser>
        <c:ser>
          <c:idx val="2"/>
          <c:order val="2"/>
          <c:tx>
            <c:strRef>
              <c:f>'STN9 -Hoima'!$D$4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'STN9 -Hoima'!$A$5:$A$9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'STN9 -Hoima'!$D$5:$D$9</c:f>
              <c:numCache>
                <c:formatCode>General</c:formatCode>
                <c:ptCount val="5"/>
                <c:pt idx="0">
                  <c:v>9</c:v>
                </c:pt>
                <c:pt idx="1">
                  <c:v>10</c:v>
                </c:pt>
                <c:pt idx="2">
                  <c:v>14</c:v>
                </c:pt>
                <c:pt idx="3">
                  <c:v>20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E4-4082-BD97-39AE03E26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Kasese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'STN10 -Kasese'!$B$4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'STN10 -Kasese'!$A$5:$A$9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'STN10 -Kasese'!$B$5:$B$9</c:f>
              <c:numCache>
                <c:formatCode>General</c:formatCode>
                <c:ptCount val="5"/>
                <c:pt idx="0">
                  <c:v>11</c:v>
                </c:pt>
                <c:pt idx="1">
                  <c:v>33</c:v>
                </c:pt>
                <c:pt idx="2">
                  <c:v>33</c:v>
                </c:pt>
                <c:pt idx="3">
                  <c:v>38</c:v>
                </c:pt>
                <c:pt idx="4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C-4CA4-A8E1-D475AF480D7B}"/>
            </c:ext>
          </c:extLst>
        </c:ser>
        <c:ser>
          <c:idx val="1"/>
          <c:order val="1"/>
          <c:tx>
            <c:strRef>
              <c:f>'STN10 -Kasese'!$C$4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'STN10 -Kasese'!$A$5:$A$9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'STN10 -Kasese'!$C$5:$C$9</c:f>
              <c:numCache>
                <c:formatCode>General</c:formatCode>
                <c:ptCount val="5"/>
                <c:pt idx="0">
                  <c:v>21</c:v>
                </c:pt>
                <c:pt idx="1">
                  <c:v>16</c:v>
                </c:pt>
                <c:pt idx="2">
                  <c:v>5</c:v>
                </c:pt>
                <c:pt idx="3">
                  <c:v>24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AC-4CA4-A8E1-D475AF480D7B}"/>
            </c:ext>
          </c:extLst>
        </c:ser>
        <c:ser>
          <c:idx val="2"/>
          <c:order val="2"/>
          <c:tx>
            <c:strRef>
              <c:f>'STN10 -Kasese'!$D$4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'STN10 -Kasese'!$A$5:$A$9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'STN10 -Kasese'!$D$5:$D$9</c:f>
              <c:numCache>
                <c:formatCode>General</c:formatCode>
                <c:ptCount val="5"/>
                <c:pt idx="0">
                  <c:v>5</c:v>
                </c:pt>
                <c:pt idx="1">
                  <c:v>13</c:v>
                </c:pt>
                <c:pt idx="2">
                  <c:v>2</c:v>
                </c:pt>
                <c:pt idx="3">
                  <c:v>16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AC-4CA4-A8E1-D475AF48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Luwero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'STN1 -Luwero'!$B$4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'STN1 -Luwero'!$A$5:$A$9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'STN1 -Luwero'!$B$5:$B$9</c:f>
              <c:numCache>
                <c:formatCode>General</c:formatCode>
                <c:ptCount val="5"/>
                <c:pt idx="0">
                  <c:v>25</c:v>
                </c:pt>
                <c:pt idx="1">
                  <c:v>38</c:v>
                </c:pt>
                <c:pt idx="2">
                  <c:v>35</c:v>
                </c:pt>
                <c:pt idx="3">
                  <c:v>25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9-4DB9-8B3D-F5F6CCD57F8C}"/>
            </c:ext>
          </c:extLst>
        </c:ser>
        <c:ser>
          <c:idx val="1"/>
          <c:order val="1"/>
          <c:tx>
            <c:strRef>
              <c:f>'STN1 -Luwero'!$C$4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'STN1 -Luwero'!$A$5:$A$9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'STN1 -Luwero'!$C$5:$C$9</c:f>
              <c:numCache>
                <c:formatCode>General</c:formatCode>
                <c:ptCount val="5"/>
                <c:pt idx="0">
                  <c:v>60</c:v>
                </c:pt>
                <c:pt idx="1">
                  <c:v>137</c:v>
                </c:pt>
                <c:pt idx="2">
                  <c:v>85</c:v>
                </c:pt>
                <c:pt idx="3">
                  <c:v>8</c:v>
                </c:pt>
                <c:pt idx="4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9-4DB9-8B3D-F5F6CCD57F8C}"/>
            </c:ext>
          </c:extLst>
        </c:ser>
        <c:ser>
          <c:idx val="2"/>
          <c:order val="2"/>
          <c:tx>
            <c:strRef>
              <c:f>'STN1 -Luwero'!$D$4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'STN1 -Luwero'!$A$5:$A$9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'STN1 -Luwero'!$D$5:$D$9</c:f>
              <c:numCache>
                <c:formatCode>General</c:formatCode>
                <c:ptCount val="5"/>
                <c:pt idx="0">
                  <c:v>12</c:v>
                </c:pt>
                <c:pt idx="1">
                  <c:v>42</c:v>
                </c:pt>
                <c:pt idx="2">
                  <c:v>42</c:v>
                </c:pt>
                <c:pt idx="3">
                  <c:v>28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9-4DB9-8B3D-F5F6CCD57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Masaka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'STN12 -Masaka'!$B$4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'STN12 -Masaka'!$A$5:$A$9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'STN12 -Masaka'!$B$5:$B$9</c:f>
              <c:numCache>
                <c:formatCode>General</c:formatCode>
                <c:ptCount val="5"/>
                <c:pt idx="0">
                  <c:v>75</c:v>
                </c:pt>
                <c:pt idx="1">
                  <c:v>73</c:v>
                </c:pt>
                <c:pt idx="2">
                  <c:v>68</c:v>
                </c:pt>
                <c:pt idx="3">
                  <c:v>47</c:v>
                </c:pt>
                <c:pt idx="4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B-4234-B821-B9F8B18C14B7}"/>
            </c:ext>
          </c:extLst>
        </c:ser>
        <c:ser>
          <c:idx val="1"/>
          <c:order val="1"/>
          <c:tx>
            <c:strRef>
              <c:f>'STN12 -Masaka'!$C$4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'STN12 -Masaka'!$A$5:$A$9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'STN12 -Masaka'!$C$5:$C$9</c:f>
              <c:numCache>
                <c:formatCode>General</c:formatCode>
                <c:ptCount val="5"/>
                <c:pt idx="0">
                  <c:v>93</c:v>
                </c:pt>
                <c:pt idx="1">
                  <c:v>103</c:v>
                </c:pt>
                <c:pt idx="2">
                  <c:v>30</c:v>
                </c:pt>
                <c:pt idx="3">
                  <c:v>85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DB-4234-B821-B9F8B18C14B7}"/>
            </c:ext>
          </c:extLst>
        </c:ser>
        <c:ser>
          <c:idx val="2"/>
          <c:order val="2"/>
          <c:tx>
            <c:strRef>
              <c:f>'STN12 -Masaka'!$D$4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'STN12 -Masaka'!$A$5:$A$9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'STN12 -Masaka'!$D$5:$D$9</c:f>
              <c:numCache>
                <c:formatCode>General</c:formatCode>
                <c:ptCount val="5"/>
                <c:pt idx="0">
                  <c:v>51</c:v>
                </c:pt>
                <c:pt idx="1">
                  <c:v>30</c:v>
                </c:pt>
                <c:pt idx="2">
                  <c:v>17</c:v>
                </c:pt>
                <c:pt idx="3">
                  <c:v>33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B-4234-B821-B9F8B18C14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Mubende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'STN14-Mubende Analysis'!$B$4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'STN14-Mubende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'STN14-Mubende Analysis'!$B$5:$B$9</c:f>
              <c:numCache>
                <c:formatCode>General</c:formatCode>
                <c:ptCount val="5"/>
                <c:pt idx="0">
                  <c:v>49</c:v>
                </c:pt>
                <c:pt idx="1">
                  <c:v>41</c:v>
                </c:pt>
                <c:pt idx="2">
                  <c:v>98</c:v>
                </c:pt>
                <c:pt idx="3">
                  <c:v>81</c:v>
                </c:pt>
                <c:pt idx="4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BA-4961-801E-193391439C7B}"/>
            </c:ext>
          </c:extLst>
        </c:ser>
        <c:ser>
          <c:idx val="1"/>
          <c:order val="1"/>
          <c:tx>
            <c:strRef>
              <c:f>'STN14-Mubende Analysis'!$C$4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'STN14-Mubende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'STN14-Mubende Analysis'!$C$5:$C$9</c:f>
              <c:numCache>
                <c:formatCode>General</c:formatCode>
                <c:ptCount val="5"/>
                <c:pt idx="0">
                  <c:v>28</c:v>
                </c:pt>
                <c:pt idx="1">
                  <c:v>26</c:v>
                </c:pt>
                <c:pt idx="2">
                  <c:v>56</c:v>
                </c:pt>
                <c:pt idx="3">
                  <c:v>48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BA-4961-801E-193391439C7B}"/>
            </c:ext>
          </c:extLst>
        </c:ser>
        <c:ser>
          <c:idx val="2"/>
          <c:order val="2"/>
          <c:tx>
            <c:strRef>
              <c:f>'STN14-Mubende Analysis'!$D$4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'STN14-Mubende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'STN14-Mubende Analysis'!$D$5:$D$9</c:f>
              <c:numCache>
                <c:formatCode>General</c:formatCode>
                <c:ptCount val="5"/>
                <c:pt idx="0">
                  <c:v>9</c:v>
                </c:pt>
                <c:pt idx="1">
                  <c:v>12</c:v>
                </c:pt>
                <c:pt idx="2">
                  <c:v>27</c:v>
                </c:pt>
                <c:pt idx="3">
                  <c:v>17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BA-4961-801E-193391439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Mbarara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0618810148731409"/>
          <c:y val="0.16827586206896553"/>
          <c:w val="0.76325634295713041"/>
          <c:h val="0.429675445741695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'STN15_Mbarara Analysis'!$B$4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'STN15_Mbarara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'STN15_Mbarara Analysis'!$B$5:$B$9</c:f>
              <c:numCache>
                <c:formatCode>General</c:formatCode>
                <c:ptCount val="5"/>
                <c:pt idx="2">
                  <c:v>109</c:v>
                </c:pt>
                <c:pt idx="3">
                  <c:v>110</c:v>
                </c:pt>
                <c:pt idx="4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C-42CA-B131-C63934603E1D}"/>
            </c:ext>
          </c:extLst>
        </c:ser>
        <c:ser>
          <c:idx val="1"/>
          <c:order val="1"/>
          <c:tx>
            <c:strRef>
              <c:f>'STN15_Mbarara Analysis'!$C$4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'STN15_Mbarara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'STN15_Mbarara Analysis'!$C$5:$C$9</c:f>
              <c:numCache>
                <c:formatCode>General</c:formatCode>
                <c:ptCount val="5"/>
                <c:pt idx="2">
                  <c:v>43</c:v>
                </c:pt>
                <c:pt idx="3">
                  <c:v>25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4C-42CA-B131-C63934603E1D}"/>
            </c:ext>
          </c:extLst>
        </c:ser>
        <c:ser>
          <c:idx val="2"/>
          <c:order val="2"/>
          <c:tx>
            <c:strRef>
              <c:f>'STN15_Mbarara Analysis'!$D$4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'STN15_Mbarara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'STN15_Mbarara Analysis'!$D$5:$D$9</c:f>
              <c:numCache>
                <c:formatCode>General</c:formatCode>
                <c:ptCount val="5"/>
                <c:pt idx="2">
                  <c:v>37</c:v>
                </c:pt>
                <c:pt idx="3">
                  <c:v>39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4C-42CA-B131-C63934603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Kabale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'STN16 -Kabale'!$B$4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'STN16 -Kabale'!$A$5:$A$9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'STN16 -Kabale'!$B$5:$B$9</c:f>
              <c:numCache>
                <c:formatCode>General</c:formatCode>
                <c:ptCount val="5"/>
                <c:pt idx="0">
                  <c:v>43</c:v>
                </c:pt>
                <c:pt idx="1">
                  <c:v>68</c:v>
                </c:pt>
                <c:pt idx="2">
                  <c:v>47</c:v>
                </c:pt>
                <c:pt idx="3">
                  <c:v>37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7-4CAF-9D4A-09D979F96F34}"/>
            </c:ext>
          </c:extLst>
        </c:ser>
        <c:ser>
          <c:idx val="1"/>
          <c:order val="1"/>
          <c:tx>
            <c:strRef>
              <c:f>'STN16 -Kabale'!$C$4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'STN16 -Kabale'!$A$5:$A$9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'STN16 -Kabale'!$C$5:$C$9</c:f>
              <c:numCache>
                <c:formatCode>General</c:formatCode>
                <c:ptCount val="5"/>
                <c:pt idx="0">
                  <c:v>82</c:v>
                </c:pt>
                <c:pt idx="1">
                  <c:v>94</c:v>
                </c:pt>
                <c:pt idx="2">
                  <c:v>50</c:v>
                </c:pt>
                <c:pt idx="3">
                  <c:v>42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7-4CAF-9D4A-09D979F96F34}"/>
            </c:ext>
          </c:extLst>
        </c:ser>
        <c:ser>
          <c:idx val="2"/>
          <c:order val="2"/>
          <c:tx>
            <c:strRef>
              <c:f>'STN16 -Kabale'!$D$4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'STN16 -Kabale'!$A$5:$A$9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'STN16 -Kabale'!$D$5:$D$9</c:f>
              <c:numCache>
                <c:formatCode>General</c:formatCode>
                <c:ptCount val="5"/>
                <c:pt idx="0">
                  <c:v>52</c:v>
                </c:pt>
                <c:pt idx="1">
                  <c:v>53</c:v>
                </c:pt>
                <c:pt idx="2">
                  <c:v>33</c:v>
                </c:pt>
                <c:pt idx="3">
                  <c:v>31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67-4CAF-9D4A-09D979F9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Bushenyi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'STN17 -Bushenyi'!$B$4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'STN17 -Bushenyi'!$A$5:$A$9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'STN17 -Bushenyi'!$B$5:$B$9</c:f>
              <c:numCache>
                <c:formatCode>General</c:formatCode>
                <c:ptCount val="5"/>
                <c:pt idx="0">
                  <c:v>35</c:v>
                </c:pt>
                <c:pt idx="1">
                  <c:v>27</c:v>
                </c:pt>
                <c:pt idx="2">
                  <c:v>35</c:v>
                </c:pt>
                <c:pt idx="3">
                  <c:v>23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E-446A-B960-333862D8D78E}"/>
            </c:ext>
          </c:extLst>
        </c:ser>
        <c:ser>
          <c:idx val="1"/>
          <c:order val="1"/>
          <c:tx>
            <c:strRef>
              <c:f>'STN17 -Bushenyi'!$C$4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'STN17 -Bushenyi'!$A$5:$A$9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'STN17 -Bushenyi'!$C$5:$C$9</c:f>
              <c:numCache>
                <c:formatCode>General</c:formatCode>
                <c:ptCount val="5"/>
                <c:pt idx="0">
                  <c:v>39</c:v>
                </c:pt>
                <c:pt idx="1">
                  <c:v>49</c:v>
                </c:pt>
                <c:pt idx="2">
                  <c:v>29</c:v>
                </c:pt>
                <c:pt idx="3">
                  <c:v>23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9E-446A-B960-333862D8D78E}"/>
            </c:ext>
          </c:extLst>
        </c:ser>
        <c:ser>
          <c:idx val="2"/>
          <c:order val="2"/>
          <c:tx>
            <c:strRef>
              <c:f>'STN17 -Bushenyi'!$D$4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'STN17 -Bushenyi'!$A$5:$A$9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'STN17 -Bushenyi'!$D$5:$D$9</c:f>
              <c:numCache>
                <c:formatCode>General</c:formatCode>
                <c:ptCount val="5"/>
                <c:pt idx="0">
                  <c:v>28</c:v>
                </c:pt>
                <c:pt idx="1">
                  <c:v>28</c:v>
                </c:pt>
                <c:pt idx="2">
                  <c:v>12</c:v>
                </c:pt>
                <c:pt idx="3">
                  <c:v>12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9E-446A-B960-333862D8D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Rukungiri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'STN18 -Rukungiri'!$B$4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'STN18 -Rukungiri'!$A$5:$A$9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'STN18 -Rukungiri'!$B$5:$B$9</c:f>
              <c:numCache>
                <c:formatCode>General</c:formatCode>
                <c:ptCount val="5"/>
                <c:pt idx="0">
                  <c:v>15</c:v>
                </c:pt>
                <c:pt idx="1">
                  <c:v>17</c:v>
                </c:pt>
                <c:pt idx="2">
                  <c:v>26</c:v>
                </c:pt>
                <c:pt idx="3">
                  <c:v>27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02-490F-BF49-E5B8EE4D7786}"/>
            </c:ext>
          </c:extLst>
        </c:ser>
        <c:ser>
          <c:idx val="1"/>
          <c:order val="1"/>
          <c:tx>
            <c:strRef>
              <c:f>'STN18 -Rukungiri'!$C$4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'STN18 -Rukungiri'!$A$5:$A$9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'STN18 -Rukungiri'!$C$5:$C$9</c:f>
              <c:numCache>
                <c:formatCode>General</c:formatCode>
                <c:ptCount val="5"/>
                <c:pt idx="0">
                  <c:v>47</c:v>
                </c:pt>
                <c:pt idx="1">
                  <c:v>56</c:v>
                </c:pt>
                <c:pt idx="2">
                  <c:v>52</c:v>
                </c:pt>
                <c:pt idx="3">
                  <c:v>42</c:v>
                </c:pt>
                <c:pt idx="4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02-490F-BF49-E5B8EE4D7786}"/>
            </c:ext>
          </c:extLst>
        </c:ser>
        <c:ser>
          <c:idx val="2"/>
          <c:order val="2"/>
          <c:tx>
            <c:strRef>
              <c:f>'STN18 -Rukungiri'!$D$4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'STN18 -Rukungiri'!$A$5:$A$9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'STN18 -Rukungiri'!$D$5:$D$9</c:f>
              <c:numCache>
                <c:formatCode>General</c:formatCode>
                <c:ptCount val="5"/>
                <c:pt idx="0">
                  <c:v>8</c:v>
                </c:pt>
                <c:pt idx="1">
                  <c:v>11</c:v>
                </c:pt>
                <c:pt idx="2">
                  <c:v>36</c:v>
                </c:pt>
                <c:pt idx="3">
                  <c:v>19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02-490F-BF49-E5B8EE4D7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Kitgum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'STN19-Kitgum Analysis'!$B$4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'STN19-Kitgum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'STN19-Kitgum Analysis'!$B$5:$B$9</c:f>
              <c:numCache>
                <c:formatCode>General</c:formatCode>
                <c:ptCount val="5"/>
                <c:pt idx="0">
                  <c:v>12</c:v>
                </c:pt>
                <c:pt idx="1">
                  <c:v>11</c:v>
                </c:pt>
                <c:pt idx="2">
                  <c:v>19</c:v>
                </c:pt>
                <c:pt idx="3">
                  <c:v>17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71-4A7B-8B5F-7ACEAFF69996}"/>
            </c:ext>
          </c:extLst>
        </c:ser>
        <c:ser>
          <c:idx val="1"/>
          <c:order val="1"/>
          <c:tx>
            <c:strRef>
              <c:f>'STN19-Kitgum Analysis'!$C$4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'STN19-Kitgum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'STN19-Kitgum Analysis'!$C$5:$C$9</c:f>
              <c:numCache>
                <c:formatCode>General</c:formatCode>
                <c:ptCount val="5"/>
                <c:pt idx="0">
                  <c:v>44</c:v>
                </c:pt>
                <c:pt idx="1">
                  <c:v>44</c:v>
                </c:pt>
                <c:pt idx="2">
                  <c:v>56</c:v>
                </c:pt>
                <c:pt idx="3">
                  <c:v>66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71-4A7B-8B5F-7ACEAFF69996}"/>
            </c:ext>
          </c:extLst>
        </c:ser>
        <c:ser>
          <c:idx val="2"/>
          <c:order val="2"/>
          <c:tx>
            <c:strRef>
              <c:f>'STN19-Kitgum Analysis'!$D$4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'STN19-Kitgum Analysis'!$A$5:$A$9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'STN19-Kitgum Analysis'!$D$5:$D$9</c:f>
              <c:numCache>
                <c:formatCode>General</c:formatCode>
                <c:ptCount val="5"/>
                <c:pt idx="0">
                  <c:v>16</c:v>
                </c:pt>
                <c:pt idx="1">
                  <c:v>20</c:v>
                </c:pt>
                <c:pt idx="2">
                  <c:v>19</c:v>
                </c:pt>
                <c:pt idx="3">
                  <c:v>10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71-4A7B-8B5F-7ACEAFF69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Iganga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'STN21 -Iganga'!$B$4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'STN21 -Iganga'!$A$5:$A$9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'STN21 -Iganga'!$B$5:$B$9</c:f>
              <c:numCache>
                <c:formatCode>General</c:formatCode>
                <c:ptCount val="5"/>
                <c:pt idx="0">
                  <c:v>36</c:v>
                </c:pt>
                <c:pt idx="1">
                  <c:v>48</c:v>
                </c:pt>
                <c:pt idx="2">
                  <c:v>49</c:v>
                </c:pt>
                <c:pt idx="3">
                  <c:v>40</c:v>
                </c:pt>
                <c:pt idx="4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8-4A66-BC26-E889228A0290}"/>
            </c:ext>
          </c:extLst>
        </c:ser>
        <c:ser>
          <c:idx val="1"/>
          <c:order val="1"/>
          <c:tx>
            <c:strRef>
              <c:f>'STN21 -Iganga'!$C$4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'STN21 -Iganga'!$A$5:$A$9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'STN21 -Iganga'!$C$5:$C$9</c:f>
              <c:numCache>
                <c:formatCode>General</c:formatCode>
                <c:ptCount val="5"/>
                <c:pt idx="0">
                  <c:v>52</c:v>
                </c:pt>
                <c:pt idx="1">
                  <c:v>49</c:v>
                </c:pt>
                <c:pt idx="2">
                  <c:v>25</c:v>
                </c:pt>
                <c:pt idx="3">
                  <c:v>48</c:v>
                </c:pt>
                <c:pt idx="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68-4A66-BC26-E889228A0290}"/>
            </c:ext>
          </c:extLst>
        </c:ser>
        <c:ser>
          <c:idx val="2"/>
          <c:order val="2"/>
          <c:tx>
            <c:strRef>
              <c:f>'STN21 -Iganga'!$D$4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'STN21 -Iganga'!$A$5:$A$9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'STN21 -Iganga'!$D$5:$D$9</c:f>
              <c:numCache>
                <c:formatCode>General</c:formatCode>
                <c:ptCount val="5"/>
                <c:pt idx="0">
                  <c:v>24</c:v>
                </c:pt>
                <c:pt idx="1">
                  <c:v>24</c:v>
                </c:pt>
                <c:pt idx="2">
                  <c:v>26</c:v>
                </c:pt>
                <c:pt idx="3">
                  <c:v>23</c:v>
                </c:pt>
                <c:pt idx="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68-4A66-BC26-E889228A0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Summary Accident Numbers -  Arua </a:t>
            </a:r>
          </a:p>
          <a:p>
            <a:pPr>
              <a:defRPr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District</a:t>
            </a:r>
          </a:p>
        </c:rich>
      </c:tx>
      <c:layout>
        <c:manualLayout>
          <c:xMode val="edge"/>
          <c:yMode val="edge"/>
          <c:x val="0.2440277777777777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'STN8 -Arua'!$B$4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'STN8 -Arua'!$A$5:$A$9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'STN8 -Arua'!$B$5:$B$9</c:f>
              <c:numCache>
                <c:formatCode>General</c:formatCode>
                <c:ptCount val="5"/>
                <c:pt idx="1">
                  <c:v>46</c:v>
                </c:pt>
                <c:pt idx="2">
                  <c:v>58</c:v>
                </c:pt>
                <c:pt idx="3">
                  <c:v>58</c:v>
                </c:pt>
                <c:pt idx="4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238-AF9F-E790BF8479FB}"/>
            </c:ext>
          </c:extLst>
        </c:ser>
        <c:ser>
          <c:idx val="1"/>
          <c:order val="1"/>
          <c:tx>
            <c:strRef>
              <c:f>'STN8 -Arua'!$C$4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'STN8 -Arua'!$A$5:$A$9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'STN8 -Arua'!$C$5:$C$9</c:f>
              <c:numCache>
                <c:formatCode>General</c:formatCode>
                <c:ptCount val="5"/>
                <c:pt idx="1">
                  <c:v>106</c:v>
                </c:pt>
                <c:pt idx="2">
                  <c:v>97</c:v>
                </c:pt>
                <c:pt idx="3">
                  <c:v>66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238-AF9F-E790BF8479FB}"/>
            </c:ext>
          </c:extLst>
        </c:ser>
        <c:ser>
          <c:idx val="2"/>
          <c:order val="2"/>
          <c:tx>
            <c:strRef>
              <c:f>'STN8 -Arua'!$D$4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'STN8 -Arua'!$A$5:$A$9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'STN8 -Arua'!$D$5:$D$9</c:f>
              <c:numCache>
                <c:formatCode>General</c:formatCode>
                <c:ptCount val="5"/>
                <c:pt idx="1">
                  <c:v>30</c:v>
                </c:pt>
                <c:pt idx="2">
                  <c:v>31</c:v>
                </c:pt>
                <c:pt idx="3">
                  <c:v>48</c:v>
                </c:pt>
                <c:pt idx="4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64-4238-AF9F-E790BF847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5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j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Average Accident Numbers -  All 18 Stations</a:t>
            </a:r>
          </a:p>
        </c:rich>
      </c:tx>
      <c:layout>
        <c:manualLayout>
          <c:xMode val="edge"/>
          <c:yMode val="edge"/>
          <c:x val="0.25193281669830797"/>
          <c:y val="2.77778395451352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j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0618810148731409"/>
          <c:y val="0.17168949771689498"/>
          <c:w val="0.76325634295713041"/>
          <c:h val="0.429015568259446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'All Stations'!$B$4</c:f>
              <c:strCache>
                <c:ptCount val="1"/>
                <c:pt idx="0">
                  <c:v>FATAL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'All Stations'!$A$5:$A$9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'All Stations'!$B$5:$B$9</c:f>
              <c:numCache>
                <c:formatCode>0</c:formatCode>
                <c:ptCount val="5"/>
                <c:pt idx="0">
                  <c:v>35.533333333333331</c:v>
                </c:pt>
                <c:pt idx="1">
                  <c:v>39</c:v>
                </c:pt>
                <c:pt idx="2">
                  <c:v>44.4</c:v>
                </c:pt>
                <c:pt idx="3">
                  <c:v>38.06666666666667</c:v>
                </c:pt>
                <c:pt idx="4">
                  <c:v>37.666666666666664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3C-4383-A754-98F8CA0B9E95}"/>
            </c:ext>
          </c:extLst>
        </c:ser>
        <c:ser>
          <c:idx val="1"/>
          <c:order val="1"/>
          <c:tx>
            <c:strRef>
              <c:f>'All Stations'!$C$4</c:f>
              <c:strCache>
                <c:ptCount val="1"/>
                <c:pt idx="0">
                  <c:v>SERIOUS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'All Stations'!$A$5:$A$9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'All Stations'!$C$5:$C$9</c:f>
              <c:numCache>
                <c:formatCode>0</c:formatCode>
                <c:ptCount val="5"/>
                <c:pt idx="0">
                  <c:v>61.2</c:v>
                </c:pt>
                <c:pt idx="1">
                  <c:v>67.266666666666666</c:v>
                </c:pt>
                <c:pt idx="2">
                  <c:v>48.333333333333336</c:v>
                </c:pt>
                <c:pt idx="3">
                  <c:v>43.266666666666666</c:v>
                </c:pt>
                <c:pt idx="4">
                  <c:v>38.06666666666667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3C-4383-A754-98F8CA0B9E95}"/>
            </c:ext>
          </c:extLst>
        </c:ser>
        <c:ser>
          <c:idx val="2"/>
          <c:order val="2"/>
          <c:tx>
            <c:strRef>
              <c:f>'All Stations'!$D$4</c:f>
              <c:strCache>
                <c:ptCount val="1"/>
                <c:pt idx="0">
                  <c:v>MINOR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'All Stations'!$A$5:$A$9</c:f>
              <c:numCache>
                <c:formatCode>General</c:formatCode>
                <c:ptCount val="5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</c:numCache>
            </c:numRef>
          </c:cat>
          <c:val>
            <c:numRef>
              <c:f>'All Stations'!$D$5:$D$9</c:f>
              <c:numCache>
                <c:formatCode>0</c:formatCode>
                <c:ptCount val="5"/>
                <c:pt idx="0">
                  <c:v>29.533333333333335</c:v>
                </c:pt>
                <c:pt idx="1">
                  <c:v>26.933333333333334</c:v>
                </c:pt>
                <c:pt idx="2">
                  <c:v>24.666666666666668</c:v>
                </c:pt>
                <c:pt idx="3">
                  <c:v>21.866666666666667</c:v>
                </c:pt>
                <c:pt idx="4">
                  <c:v>19.399999999999999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3C-4383-A754-98F8CA0B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5264376"/>
        <c:axId val="675264704"/>
      </c:barChart>
      <c:lineChart>
        <c:grouping val="standard"/>
        <c:varyColors val="0"/>
        <c:ser>
          <c:idx val="3"/>
          <c:order val="3"/>
          <c:tx>
            <c:strRef>
              <c:f>'All Stations'!$E$4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ysClr val="windowText" lastClr="00000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15875">
                <a:solidFill>
                  <a:sysClr val="windowText" lastClr="000000"/>
                </a:solidFill>
                <a:prstDash val="sysDash"/>
                <a:round/>
              </a:ln>
              <a:effectLst/>
            </c:spPr>
          </c:marker>
          <c:val>
            <c:numRef>
              <c:f>'All Stations'!$E$5:$E$9</c:f>
              <c:numCache>
                <c:formatCode>0</c:formatCode>
                <c:ptCount val="5"/>
                <c:pt idx="0">
                  <c:v>126.26666666666667</c:v>
                </c:pt>
                <c:pt idx="1">
                  <c:v>133.19999999999999</c:v>
                </c:pt>
                <c:pt idx="2">
                  <c:v>117.4</c:v>
                </c:pt>
                <c:pt idx="3">
                  <c:v>103.20000000000002</c:v>
                </c:pt>
                <c:pt idx="4">
                  <c:v>95.133333333333326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3C-4383-A754-98F8CA0B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5264376"/>
        <c:axId val="675264704"/>
      </c:lineChart>
      <c:catAx>
        <c:axId val="675264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675264704"/>
        <c:crosses val="autoZero"/>
        <c:auto val="1"/>
        <c:lblAlgn val="ctr"/>
        <c:lblOffset val="100"/>
        <c:noMultiLvlLbl val="0"/>
      </c:catAx>
      <c:valAx>
        <c:axId val="6752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No. Accidents</a:t>
                </a:r>
              </a:p>
            </c:rich>
          </c:tx>
          <c:layout>
            <c:manualLayout>
              <c:xMode val="edge"/>
              <c:yMode val="edge"/>
              <c:x val="8.0555555555555561E-2"/>
              <c:y val="0.206952464275298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5264376"/>
        <c:crosses val="autoZero"/>
        <c:crossBetween val="between"/>
        <c:majorUnit val="25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</c:dTable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</xdr:row>
      <xdr:rowOff>166687</xdr:rowOff>
    </xdr:from>
    <xdr:to>
      <xdr:col>12</xdr:col>
      <xdr:colOff>485775</xdr:colOff>
      <xdr:row>16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147637</xdr:rowOff>
    </xdr:from>
    <xdr:to>
      <xdr:col>12</xdr:col>
      <xdr:colOff>581025</xdr:colOff>
      <xdr:row>16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</xdr:row>
      <xdr:rowOff>147636</xdr:rowOff>
    </xdr:from>
    <xdr:to>
      <xdr:col>13</xdr:col>
      <xdr:colOff>219075</xdr:colOff>
      <xdr:row>18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37B8B-2674-4E50-927A-13733286FB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9"/>
  <sheetViews>
    <sheetView workbookViewId="0">
      <selection activeCell="C8" sqref="C8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38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</row>
    <row r="6" spans="1:5" x14ac:dyDescent="0.25">
      <c r="A6" s="49">
        <v>2015</v>
      </c>
      <c r="B6" s="49">
        <v>19</v>
      </c>
      <c r="C6" s="49">
        <v>121</v>
      </c>
      <c r="D6" s="49">
        <v>33</v>
      </c>
      <c r="E6" s="49">
        <f>SUM(B6:D6)</f>
        <v>173</v>
      </c>
    </row>
    <row r="7" spans="1:5" x14ac:dyDescent="0.25">
      <c r="A7" s="49">
        <v>2016</v>
      </c>
      <c r="B7" s="49">
        <v>50</v>
      </c>
      <c r="C7" s="49">
        <v>92</v>
      </c>
      <c r="D7" s="49">
        <v>43</v>
      </c>
      <c r="E7" s="49">
        <f t="shared" ref="E7:E9" si="0">SUM(B7:D7)</f>
        <v>185</v>
      </c>
    </row>
    <row r="8" spans="1:5" x14ac:dyDescent="0.25">
      <c r="A8" s="49">
        <v>2017</v>
      </c>
      <c r="B8" s="49">
        <v>23</v>
      </c>
      <c r="C8" s="49">
        <v>44</v>
      </c>
      <c r="D8" s="49">
        <v>22</v>
      </c>
      <c r="E8" s="49">
        <f t="shared" si="0"/>
        <v>89</v>
      </c>
    </row>
    <row r="9" spans="1:5" x14ac:dyDescent="0.25">
      <c r="A9" s="49">
        <v>2018</v>
      </c>
      <c r="B9" s="49">
        <v>12</v>
      </c>
      <c r="C9" s="49">
        <v>84</v>
      </c>
      <c r="D9" s="49">
        <v>35</v>
      </c>
      <c r="E9" s="49">
        <f t="shared" si="0"/>
        <v>131</v>
      </c>
    </row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8"/>
  <sheetViews>
    <sheetView workbookViewId="0">
      <selection activeCell="C16" sqref="C16:E16"/>
    </sheetView>
  </sheetViews>
  <sheetFormatPr defaultRowHeight="15" x14ac:dyDescent="0.25"/>
  <cols>
    <col min="2" max="2" width="10.42578125" customWidth="1"/>
    <col min="6" max="6" width="10.42578125" customWidth="1"/>
    <col min="7" max="7" width="14.7109375" customWidth="1"/>
    <col min="8" max="8" width="15.5703125" customWidth="1"/>
    <col min="9" max="10" width="17.7109375" customWidth="1"/>
  </cols>
  <sheetData>
    <row r="1" spans="1:10" ht="15.75" thickBot="1" x14ac:dyDescent="0.3">
      <c r="A1" s="67" t="s">
        <v>27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6.5" customHeight="1" thickTop="1" thickBot="1" x14ac:dyDescent="0.3">
      <c r="A2" s="73" t="s">
        <v>0</v>
      </c>
      <c r="B2" s="73" t="s">
        <v>1</v>
      </c>
      <c r="C2" s="75" t="s">
        <v>18</v>
      </c>
      <c r="D2" s="75"/>
      <c r="E2" s="76"/>
      <c r="F2" s="72" t="s">
        <v>22</v>
      </c>
      <c r="G2" s="72" t="s">
        <v>23</v>
      </c>
      <c r="H2" s="72" t="s">
        <v>24</v>
      </c>
      <c r="I2" s="72" t="s">
        <v>25</v>
      </c>
      <c r="J2" s="72" t="s">
        <v>26</v>
      </c>
    </row>
    <row r="3" spans="1:10" ht="16.5" thickTop="1" thickBot="1" x14ac:dyDescent="0.3">
      <c r="A3" s="74"/>
      <c r="B3" s="74"/>
      <c r="C3" s="13" t="s">
        <v>2</v>
      </c>
      <c r="D3" s="13" t="s">
        <v>3</v>
      </c>
      <c r="E3" s="48" t="s">
        <v>4</v>
      </c>
      <c r="F3" s="72"/>
      <c r="G3" s="72"/>
      <c r="H3" s="72"/>
      <c r="I3" s="72"/>
      <c r="J3" s="72"/>
    </row>
    <row r="4" spans="1:10" ht="15.75" thickTop="1" x14ac:dyDescent="0.25">
      <c r="A4" s="69">
        <v>2014</v>
      </c>
      <c r="B4" s="4" t="s">
        <v>6</v>
      </c>
      <c r="C4" s="3">
        <v>1</v>
      </c>
      <c r="D4" s="3">
        <v>4</v>
      </c>
      <c r="E4" s="30">
        <v>4</v>
      </c>
      <c r="F4" s="20">
        <f>SUM(C4:E4)</f>
        <v>9</v>
      </c>
      <c r="G4" s="49">
        <v>2</v>
      </c>
      <c r="H4" s="49">
        <v>10</v>
      </c>
      <c r="I4" s="49">
        <v>0</v>
      </c>
      <c r="J4" s="49">
        <f>SUM(G4:I4)</f>
        <v>12</v>
      </c>
    </row>
    <row r="5" spans="1:10" x14ac:dyDescent="0.25">
      <c r="A5" s="70"/>
      <c r="B5" s="7" t="s">
        <v>7</v>
      </c>
      <c r="C5" s="6">
        <v>3</v>
      </c>
      <c r="D5" s="6">
        <v>8</v>
      </c>
      <c r="E5" s="31">
        <v>3</v>
      </c>
      <c r="F5" s="20">
        <f t="shared" ref="F5:F67" si="0">SUM(C5:E5)</f>
        <v>14</v>
      </c>
      <c r="G5" s="49">
        <v>6</v>
      </c>
      <c r="H5" s="49">
        <v>11</v>
      </c>
      <c r="I5" s="49">
        <v>0</v>
      </c>
      <c r="J5" s="49">
        <f t="shared" ref="J5:J67" si="1">SUM(G5:I5)</f>
        <v>17</v>
      </c>
    </row>
    <row r="6" spans="1:10" x14ac:dyDescent="0.25">
      <c r="A6" s="70"/>
      <c r="B6" s="7" t="s">
        <v>8</v>
      </c>
      <c r="C6" s="6">
        <v>3</v>
      </c>
      <c r="D6" s="6">
        <v>9</v>
      </c>
      <c r="E6" s="31">
        <v>0</v>
      </c>
      <c r="F6" s="20">
        <f t="shared" si="0"/>
        <v>12</v>
      </c>
      <c r="G6" s="49">
        <v>5</v>
      </c>
      <c r="H6" s="49">
        <v>8</v>
      </c>
      <c r="I6" s="49">
        <v>0</v>
      </c>
      <c r="J6" s="49">
        <f t="shared" si="1"/>
        <v>13</v>
      </c>
    </row>
    <row r="7" spans="1:10" x14ac:dyDescent="0.25">
      <c r="A7" s="70"/>
      <c r="B7" s="7" t="s">
        <v>9</v>
      </c>
      <c r="C7" s="6">
        <v>1</v>
      </c>
      <c r="D7" s="6">
        <v>4</v>
      </c>
      <c r="E7" s="31">
        <v>0</v>
      </c>
      <c r="F7" s="20">
        <f t="shared" si="0"/>
        <v>5</v>
      </c>
      <c r="G7" s="49">
        <v>3</v>
      </c>
      <c r="H7" s="49">
        <v>5</v>
      </c>
      <c r="I7" s="49">
        <v>0</v>
      </c>
      <c r="J7" s="49">
        <f t="shared" si="1"/>
        <v>8</v>
      </c>
    </row>
    <row r="8" spans="1:10" x14ac:dyDescent="0.25">
      <c r="A8" s="70"/>
      <c r="B8" s="7" t="s">
        <v>10</v>
      </c>
      <c r="C8" s="6">
        <v>6</v>
      </c>
      <c r="D8" s="6">
        <v>3</v>
      </c>
      <c r="E8" s="31">
        <v>5</v>
      </c>
      <c r="F8" s="20">
        <f t="shared" si="0"/>
        <v>14</v>
      </c>
      <c r="G8" s="49">
        <v>8</v>
      </c>
      <c r="H8" s="49">
        <v>11</v>
      </c>
      <c r="I8" s="49">
        <v>0</v>
      </c>
      <c r="J8" s="49">
        <f t="shared" si="1"/>
        <v>19</v>
      </c>
    </row>
    <row r="9" spans="1:10" x14ac:dyDescent="0.25">
      <c r="A9" s="70"/>
      <c r="B9" s="7" t="s">
        <v>11</v>
      </c>
      <c r="C9" s="6">
        <v>2</v>
      </c>
      <c r="D9" s="6">
        <v>4</v>
      </c>
      <c r="E9" s="31">
        <v>6</v>
      </c>
      <c r="F9" s="20">
        <f t="shared" si="0"/>
        <v>12</v>
      </c>
      <c r="G9" s="49">
        <v>4</v>
      </c>
      <c r="H9" s="49">
        <v>10</v>
      </c>
      <c r="I9" s="49">
        <v>0</v>
      </c>
      <c r="J9" s="49">
        <f t="shared" si="1"/>
        <v>14</v>
      </c>
    </row>
    <row r="10" spans="1:10" x14ac:dyDescent="0.25">
      <c r="A10" s="70"/>
      <c r="B10" s="7" t="s">
        <v>12</v>
      </c>
      <c r="C10" s="6">
        <v>3</v>
      </c>
      <c r="D10" s="6">
        <v>8</v>
      </c>
      <c r="E10" s="31">
        <v>10</v>
      </c>
      <c r="F10" s="20">
        <f t="shared" si="0"/>
        <v>21</v>
      </c>
      <c r="G10" s="49">
        <v>5</v>
      </c>
      <c r="H10" s="49">
        <v>25</v>
      </c>
      <c r="I10" s="49">
        <v>0</v>
      </c>
      <c r="J10" s="49">
        <f t="shared" si="1"/>
        <v>30</v>
      </c>
    </row>
    <row r="11" spans="1:10" x14ac:dyDescent="0.25">
      <c r="A11" s="70"/>
      <c r="B11" s="7" t="s">
        <v>13</v>
      </c>
      <c r="C11" s="6">
        <v>4</v>
      </c>
      <c r="D11" s="6">
        <v>6</v>
      </c>
      <c r="E11" s="31">
        <v>7</v>
      </c>
      <c r="F11" s="20">
        <f t="shared" si="0"/>
        <v>17</v>
      </c>
      <c r="G11" s="49">
        <v>6</v>
      </c>
      <c r="H11" s="49">
        <v>21</v>
      </c>
      <c r="I11" s="49">
        <v>0</v>
      </c>
      <c r="J11" s="49">
        <f t="shared" si="1"/>
        <v>27</v>
      </c>
    </row>
    <row r="12" spans="1:10" x14ac:dyDescent="0.25">
      <c r="A12" s="70"/>
      <c r="B12" s="7" t="s">
        <v>14</v>
      </c>
      <c r="C12" s="6">
        <v>5</v>
      </c>
      <c r="D12" s="6">
        <v>7</v>
      </c>
      <c r="E12" s="31">
        <v>7</v>
      </c>
      <c r="F12" s="20">
        <f t="shared" si="0"/>
        <v>19</v>
      </c>
      <c r="G12" s="49">
        <v>6</v>
      </c>
      <c r="H12" s="49">
        <v>18</v>
      </c>
      <c r="I12" s="49">
        <v>0</v>
      </c>
      <c r="J12" s="49">
        <f t="shared" si="1"/>
        <v>24</v>
      </c>
    </row>
    <row r="13" spans="1:10" x14ac:dyDescent="0.25">
      <c r="A13" s="70"/>
      <c r="B13" s="7" t="s">
        <v>15</v>
      </c>
      <c r="C13" s="6">
        <v>2</v>
      </c>
      <c r="D13" s="6">
        <v>8</v>
      </c>
      <c r="E13" s="31">
        <v>5</v>
      </c>
      <c r="F13" s="20">
        <f t="shared" si="0"/>
        <v>15</v>
      </c>
      <c r="G13" s="49">
        <v>4</v>
      </c>
      <c r="H13" s="49">
        <v>19</v>
      </c>
      <c r="I13" s="49">
        <v>0</v>
      </c>
      <c r="J13" s="49">
        <f t="shared" si="1"/>
        <v>23</v>
      </c>
    </row>
    <row r="14" spans="1:10" x14ac:dyDescent="0.25">
      <c r="A14" s="70"/>
      <c r="B14" s="7" t="s">
        <v>16</v>
      </c>
      <c r="C14" s="6">
        <v>2</v>
      </c>
      <c r="D14" s="6">
        <v>9</v>
      </c>
      <c r="E14" s="31">
        <v>8</v>
      </c>
      <c r="F14" s="20">
        <f t="shared" si="0"/>
        <v>19</v>
      </c>
      <c r="G14" s="49">
        <v>4</v>
      </c>
      <c r="H14" s="49">
        <v>12</v>
      </c>
      <c r="I14" s="49">
        <v>3</v>
      </c>
      <c r="J14" s="49">
        <f t="shared" si="1"/>
        <v>19</v>
      </c>
    </row>
    <row r="15" spans="1:10" ht="15.75" thickBot="1" x14ac:dyDescent="0.3">
      <c r="A15" s="71"/>
      <c r="B15" s="10" t="s">
        <v>17</v>
      </c>
      <c r="C15" s="9">
        <v>4</v>
      </c>
      <c r="D15" s="9">
        <v>10</v>
      </c>
      <c r="E15" s="32">
        <v>6</v>
      </c>
      <c r="F15" s="20">
        <f t="shared" si="0"/>
        <v>20</v>
      </c>
      <c r="G15" s="49">
        <v>4</v>
      </c>
      <c r="H15" s="49">
        <v>18</v>
      </c>
      <c r="I15" s="49">
        <v>0</v>
      </c>
      <c r="J15" s="49">
        <f t="shared" si="1"/>
        <v>22</v>
      </c>
    </row>
    <row r="16" spans="1:10" ht="16.5" thickTop="1" thickBot="1" x14ac:dyDescent="0.3">
      <c r="A16" s="52"/>
      <c r="B16" s="54"/>
      <c r="C16" s="55">
        <f>SUM(C4:C15)</f>
        <v>36</v>
      </c>
      <c r="D16" s="55">
        <f t="shared" ref="D16:E16" si="2">SUM(D4:D15)</f>
        <v>80</v>
      </c>
      <c r="E16" s="55">
        <f t="shared" si="2"/>
        <v>61</v>
      </c>
      <c r="F16" s="20"/>
      <c r="G16" s="49"/>
      <c r="H16" s="49"/>
      <c r="I16" s="49"/>
      <c r="J16" s="49"/>
    </row>
    <row r="17" spans="1:10" ht="15.75" thickTop="1" x14ac:dyDescent="0.25">
      <c r="A17" s="69">
        <v>2015</v>
      </c>
      <c r="B17" s="4" t="s">
        <v>6</v>
      </c>
      <c r="C17" s="3">
        <v>1</v>
      </c>
      <c r="D17" s="3">
        <v>12</v>
      </c>
      <c r="E17" s="30">
        <v>7</v>
      </c>
      <c r="F17" s="20">
        <f t="shared" si="0"/>
        <v>20</v>
      </c>
      <c r="G17" s="49">
        <v>1</v>
      </c>
      <c r="H17" s="49">
        <v>15</v>
      </c>
      <c r="I17" s="49">
        <v>4</v>
      </c>
      <c r="J17" s="49">
        <f t="shared" si="1"/>
        <v>20</v>
      </c>
    </row>
    <row r="18" spans="1:10" x14ac:dyDescent="0.25">
      <c r="A18" s="70"/>
      <c r="B18" s="7" t="s">
        <v>7</v>
      </c>
      <c r="C18" s="6">
        <v>1</v>
      </c>
      <c r="D18" s="6">
        <v>23</v>
      </c>
      <c r="E18" s="31">
        <v>7</v>
      </c>
      <c r="F18" s="20">
        <f t="shared" si="0"/>
        <v>31</v>
      </c>
      <c r="G18" s="49">
        <v>1</v>
      </c>
      <c r="H18" s="49">
        <v>36</v>
      </c>
      <c r="I18" s="49">
        <v>0</v>
      </c>
      <c r="J18" s="49">
        <f t="shared" si="1"/>
        <v>37</v>
      </c>
    </row>
    <row r="19" spans="1:10" x14ac:dyDescent="0.25">
      <c r="A19" s="70"/>
      <c r="B19" s="7" t="s">
        <v>8</v>
      </c>
      <c r="C19" s="6">
        <v>5</v>
      </c>
      <c r="D19" s="6">
        <v>14</v>
      </c>
      <c r="E19" s="31">
        <v>6</v>
      </c>
      <c r="F19" s="20">
        <f t="shared" si="0"/>
        <v>25</v>
      </c>
      <c r="G19" s="49">
        <v>5</v>
      </c>
      <c r="H19" s="49">
        <v>20</v>
      </c>
      <c r="I19" s="49">
        <v>0</v>
      </c>
      <c r="J19" s="49">
        <f t="shared" si="1"/>
        <v>25</v>
      </c>
    </row>
    <row r="20" spans="1:10" x14ac:dyDescent="0.25">
      <c r="A20" s="70"/>
      <c r="B20" s="7" t="s">
        <v>9</v>
      </c>
      <c r="C20" s="6">
        <v>2</v>
      </c>
      <c r="D20" s="6">
        <v>13</v>
      </c>
      <c r="E20" s="31">
        <v>5</v>
      </c>
      <c r="F20" s="20">
        <f t="shared" si="0"/>
        <v>20</v>
      </c>
      <c r="G20" s="49">
        <v>2</v>
      </c>
      <c r="H20" s="49">
        <v>18</v>
      </c>
      <c r="I20" s="49">
        <v>0</v>
      </c>
      <c r="J20" s="49">
        <f t="shared" si="1"/>
        <v>20</v>
      </c>
    </row>
    <row r="21" spans="1:10" x14ac:dyDescent="0.25">
      <c r="A21" s="70"/>
      <c r="B21" s="7" t="s">
        <v>10</v>
      </c>
      <c r="C21" s="6">
        <v>2</v>
      </c>
      <c r="D21" s="6">
        <v>11</v>
      </c>
      <c r="E21" s="31">
        <v>3</v>
      </c>
      <c r="F21" s="20">
        <f t="shared" si="0"/>
        <v>16</v>
      </c>
      <c r="G21" s="49">
        <v>2</v>
      </c>
      <c r="H21" s="49">
        <v>13</v>
      </c>
      <c r="I21" s="49">
        <v>0</v>
      </c>
      <c r="J21" s="49">
        <f t="shared" si="1"/>
        <v>15</v>
      </c>
    </row>
    <row r="22" spans="1:10" x14ac:dyDescent="0.25">
      <c r="A22" s="70"/>
      <c r="B22" s="7" t="s">
        <v>11</v>
      </c>
      <c r="C22" s="6">
        <v>2</v>
      </c>
      <c r="D22" s="6">
        <v>19</v>
      </c>
      <c r="E22" s="31">
        <v>3</v>
      </c>
      <c r="F22" s="20">
        <f t="shared" si="0"/>
        <v>24</v>
      </c>
      <c r="G22" s="49">
        <v>2</v>
      </c>
      <c r="H22" s="49">
        <v>25</v>
      </c>
      <c r="I22" s="49">
        <v>0</v>
      </c>
      <c r="J22" s="49">
        <f t="shared" si="1"/>
        <v>27</v>
      </c>
    </row>
    <row r="23" spans="1:10" x14ac:dyDescent="0.25">
      <c r="A23" s="70"/>
      <c r="B23" s="7" t="s">
        <v>12</v>
      </c>
      <c r="C23" s="6">
        <v>0</v>
      </c>
      <c r="D23" s="6">
        <v>11</v>
      </c>
      <c r="E23" s="31">
        <v>8</v>
      </c>
      <c r="F23" s="20">
        <f t="shared" si="0"/>
        <v>19</v>
      </c>
      <c r="G23" s="49">
        <v>0</v>
      </c>
      <c r="H23" s="49">
        <v>14</v>
      </c>
      <c r="I23" s="49">
        <v>0</v>
      </c>
      <c r="J23" s="49">
        <f t="shared" si="1"/>
        <v>14</v>
      </c>
    </row>
    <row r="24" spans="1:10" x14ac:dyDescent="0.25">
      <c r="A24" s="70"/>
      <c r="B24" s="7" t="s">
        <v>13</v>
      </c>
      <c r="C24" s="6">
        <v>1</v>
      </c>
      <c r="D24" s="6">
        <v>24</v>
      </c>
      <c r="E24" s="31">
        <v>5</v>
      </c>
      <c r="F24" s="20">
        <f t="shared" si="0"/>
        <v>30</v>
      </c>
      <c r="G24" s="49">
        <v>1</v>
      </c>
      <c r="H24" s="49">
        <v>30</v>
      </c>
      <c r="I24" s="49">
        <v>0</v>
      </c>
      <c r="J24" s="49">
        <f t="shared" si="1"/>
        <v>31</v>
      </c>
    </row>
    <row r="25" spans="1:10" x14ac:dyDescent="0.25">
      <c r="A25" s="70"/>
      <c r="B25" s="7" t="s">
        <v>14</v>
      </c>
      <c r="C25" s="6">
        <v>2</v>
      </c>
      <c r="D25" s="6">
        <v>14</v>
      </c>
      <c r="E25" s="31">
        <v>0</v>
      </c>
      <c r="F25" s="20">
        <f t="shared" si="0"/>
        <v>16</v>
      </c>
      <c r="G25" s="49">
        <v>2</v>
      </c>
      <c r="H25" s="49">
        <v>17</v>
      </c>
      <c r="I25" s="49">
        <v>0</v>
      </c>
      <c r="J25" s="49">
        <f t="shared" si="1"/>
        <v>19</v>
      </c>
    </row>
    <row r="26" spans="1:10" x14ac:dyDescent="0.25">
      <c r="A26" s="70"/>
      <c r="B26" s="7" t="s">
        <v>15</v>
      </c>
      <c r="C26" s="6">
        <v>1</v>
      </c>
      <c r="D26" s="6">
        <v>14</v>
      </c>
      <c r="E26" s="31">
        <v>3</v>
      </c>
      <c r="F26" s="20">
        <f t="shared" si="0"/>
        <v>18</v>
      </c>
      <c r="G26" s="49">
        <v>1</v>
      </c>
      <c r="H26" s="49">
        <v>22</v>
      </c>
      <c r="I26" s="49">
        <v>0</v>
      </c>
      <c r="J26" s="49">
        <f t="shared" si="1"/>
        <v>23</v>
      </c>
    </row>
    <row r="27" spans="1:10" x14ac:dyDescent="0.25">
      <c r="A27" s="70"/>
      <c r="B27" s="7" t="s">
        <v>16</v>
      </c>
      <c r="C27" s="6">
        <v>3</v>
      </c>
      <c r="D27" s="6">
        <v>12</v>
      </c>
      <c r="E27" s="31">
        <v>1</v>
      </c>
      <c r="F27" s="20">
        <f t="shared" si="0"/>
        <v>16</v>
      </c>
      <c r="G27" s="49">
        <v>3</v>
      </c>
      <c r="H27" s="49">
        <v>18</v>
      </c>
      <c r="I27" s="49">
        <v>0</v>
      </c>
      <c r="J27" s="49">
        <f t="shared" si="1"/>
        <v>21</v>
      </c>
    </row>
    <row r="28" spans="1:10" ht="15.75" thickBot="1" x14ac:dyDescent="0.3">
      <c r="A28" s="71"/>
      <c r="B28" s="10" t="s">
        <v>17</v>
      </c>
      <c r="C28" s="9">
        <v>2</v>
      </c>
      <c r="D28" s="9">
        <v>11</v>
      </c>
      <c r="E28" s="32">
        <v>3</v>
      </c>
      <c r="F28" s="20">
        <f t="shared" si="0"/>
        <v>16</v>
      </c>
      <c r="G28" s="49">
        <v>2</v>
      </c>
      <c r="H28" s="49">
        <v>15</v>
      </c>
      <c r="I28" s="49">
        <v>0</v>
      </c>
      <c r="J28" s="49">
        <f t="shared" si="1"/>
        <v>17</v>
      </c>
    </row>
    <row r="29" spans="1:10" ht="16.5" thickTop="1" thickBot="1" x14ac:dyDescent="0.3">
      <c r="A29" s="52"/>
      <c r="B29" s="54"/>
      <c r="C29" s="55">
        <f>SUM(C17:C28)</f>
        <v>22</v>
      </c>
      <c r="D29" s="55">
        <f t="shared" ref="D29" si="3">SUM(D17:D28)</f>
        <v>178</v>
      </c>
      <c r="E29" s="55">
        <f t="shared" ref="E29" si="4">SUM(E17:E28)</f>
        <v>51</v>
      </c>
      <c r="F29" s="20"/>
      <c r="G29" s="49"/>
      <c r="H29" s="49"/>
      <c r="I29" s="49"/>
      <c r="J29" s="49"/>
    </row>
    <row r="30" spans="1:10" ht="15.75" thickTop="1" x14ac:dyDescent="0.25">
      <c r="A30" s="69">
        <v>2016</v>
      </c>
      <c r="B30" s="4" t="s">
        <v>6</v>
      </c>
      <c r="C30" s="3">
        <v>1</v>
      </c>
      <c r="D30" s="3">
        <v>7</v>
      </c>
      <c r="E30" s="30">
        <v>4</v>
      </c>
      <c r="F30" s="20">
        <f t="shared" si="0"/>
        <v>12</v>
      </c>
      <c r="G30" s="49">
        <v>2</v>
      </c>
      <c r="H30" s="49">
        <v>15</v>
      </c>
      <c r="I30" s="49">
        <v>0</v>
      </c>
      <c r="J30" s="49">
        <f t="shared" si="1"/>
        <v>17</v>
      </c>
    </row>
    <row r="31" spans="1:10" x14ac:dyDescent="0.25">
      <c r="A31" s="70"/>
      <c r="B31" s="7" t="s">
        <v>7</v>
      </c>
      <c r="C31" s="6">
        <v>3</v>
      </c>
      <c r="D31" s="6">
        <v>4</v>
      </c>
      <c r="E31" s="31">
        <v>2</v>
      </c>
      <c r="F31" s="20">
        <f t="shared" si="0"/>
        <v>9</v>
      </c>
      <c r="G31" s="49">
        <v>3</v>
      </c>
      <c r="H31" s="49">
        <v>5</v>
      </c>
      <c r="I31" s="49">
        <v>1</v>
      </c>
      <c r="J31" s="49">
        <f t="shared" si="1"/>
        <v>9</v>
      </c>
    </row>
    <row r="32" spans="1:10" x14ac:dyDescent="0.25">
      <c r="A32" s="70"/>
      <c r="B32" s="7" t="s">
        <v>8</v>
      </c>
      <c r="C32" s="6">
        <v>2</v>
      </c>
      <c r="D32" s="6">
        <v>4</v>
      </c>
      <c r="E32" s="31">
        <v>1</v>
      </c>
      <c r="F32" s="20">
        <f t="shared" si="0"/>
        <v>7</v>
      </c>
      <c r="G32" s="49">
        <v>7</v>
      </c>
      <c r="H32" s="49">
        <v>4</v>
      </c>
      <c r="I32" s="49">
        <v>0</v>
      </c>
      <c r="J32" s="49">
        <f t="shared" si="1"/>
        <v>11</v>
      </c>
    </row>
    <row r="33" spans="1:10" x14ac:dyDescent="0.25">
      <c r="A33" s="70"/>
      <c r="B33" s="7" t="s">
        <v>9</v>
      </c>
      <c r="C33" s="6">
        <v>3</v>
      </c>
      <c r="D33" s="6">
        <v>16</v>
      </c>
      <c r="E33" s="31">
        <v>3</v>
      </c>
      <c r="F33" s="20">
        <f t="shared" si="0"/>
        <v>22</v>
      </c>
      <c r="G33" s="49">
        <v>8</v>
      </c>
      <c r="H33" s="49">
        <v>17</v>
      </c>
      <c r="I33" s="49">
        <v>0</v>
      </c>
      <c r="J33" s="49">
        <f t="shared" si="1"/>
        <v>25</v>
      </c>
    </row>
    <row r="34" spans="1:10" x14ac:dyDescent="0.25">
      <c r="A34" s="70"/>
      <c r="B34" s="7" t="s">
        <v>10</v>
      </c>
      <c r="C34" s="6">
        <v>2</v>
      </c>
      <c r="D34" s="6">
        <v>8</v>
      </c>
      <c r="E34" s="31">
        <v>2</v>
      </c>
      <c r="F34" s="20">
        <f t="shared" si="0"/>
        <v>12</v>
      </c>
      <c r="G34" s="49">
        <v>2</v>
      </c>
      <c r="H34" s="49">
        <v>12</v>
      </c>
      <c r="I34" s="49">
        <v>0</v>
      </c>
      <c r="J34" s="49">
        <f t="shared" si="1"/>
        <v>14</v>
      </c>
    </row>
    <row r="35" spans="1:10" x14ac:dyDescent="0.25">
      <c r="A35" s="70"/>
      <c r="B35" s="7" t="s">
        <v>11</v>
      </c>
      <c r="C35" s="6">
        <v>4</v>
      </c>
      <c r="D35" s="6">
        <v>7</v>
      </c>
      <c r="E35" s="31">
        <v>3</v>
      </c>
      <c r="F35" s="20">
        <f t="shared" si="0"/>
        <v>14</v>
      </c>
      <c r="G35" s="49">
        <v>4</v>
      </c>
      <c r="H35" s="49">
        <v>8</v>
      </c>
      <c r="I35" s="49">
        <v>0</v>
      </c>
      <c r="J35" s="49">
        <f t="shared" si="1"/>
        <v>12</v>
      </c>
    </row>
    <row r="36" spans="1:10" x14ac:dyDescent="0.25">
      <c r="A36" s="70"/>
      <c r="B36" s="7" t="s">
        <v>12</v>
      </c>
      <c r="C36" s="6">
        <v>2</v>
      </c>
      <c r="D36" s="6">
        <v>5</v>
      </c>
      <c r="E36" s="31">
        <v>2</v>
      </c>
      <c r="F36" s="20">
        <f t="shared" si="0"/>
        <v>9</v>
      </c>
      <c r="G36" s="49">
        <v>2</v>
      </c>
      <c r="H36" s="49">
        <v>7</v>
      </c>
      <c r="I36" s="49">
        <v>0</v>
      </c>
      <c r="J36" s="49">
        <f t="shared" si="1"/>
        <v>9</v>
      </c>
    </row>
    <row r="37" spans="1:10" x14ac:dyDescent="0.25">
      <c r="A37" s="70"/>
      <c r="B37" s="7" t="s">
        <v>13</v>
      </c>
      <c r="C37" s="6">
        <v>1</v>
      </c>
      <c r="D37" s="6">
        <v>4</v>
      </c>
      <c r="E37" s="31">
        <v>2</v>
      </c>
      <c r="F37" s="20">
        <f t="shared" si="0"/>
        <v>7</v>
      </c>
      <c r="G37" s="49">
        <v>1</v>
      </c>
      <c r="H37" s="49">
        <v>7</v>
      </c>
      <c r="I37" s="49">
        <v>0</v>
      </c>
      <c r="J37" s="49">
        <f t="shared" si="1"/>
        <v>8</v>
      </c>
    </row>
    <row r="38" spans="1:10" x14ac:dyDescent="0.25">
      <c r="A38" s="70"/>
      <c r="B38" s="7" t="s">
        <v>14</v>
      </c>
      <c r="C38" s="6">
        <v>5</v>
      </c>
      <c r="D38" s="6">
        <v>13</v>
      </c>
      <c r="E38" s="31">
        <v>4</v>
      </c>
      <c r="F38" s="20">
        <f t="shared" si="0"/>
        <v>22</v>
      </c>
      <c r="G38" s="49">
        <v>5</v>
      </c>
      <c r="H38" s="49">
        <v>21</v>
      </c>
      <c r="I38" s="49">
        <v>0</v>
      </c>
      <c r="J38" s="49">
        <f t="shared" si="1"/>
        <v>26</v>
      </c>
    </row>
    <row r="39" spans="1:10" x14ac:dyDescent="0.25">
      <c r="A39" s="70"/>
      <c r="B39" s="7" t="s">
        <v>15</v>
      </c>
      <c r="C39" s="6">
        <v>1</v>
      </c>
      <c r="D39" s="6">
        <v>3</v>
      </c>
      <c r="E39" s="31">
        <v>2</v>
      </c>
      <c r="F39" s="20">
        <f t="shared" si="0"/>
        <v>6</v>
      </c>
      <c r="G39" s="49">
        <v>1</v>
      </c>
      <c r="H39" s="49">
        <v>3</v>
      </c>
      <c r="I39" s="49">
        <v>0</v>
      </c>
      <c r="J39" s="49">
        <v>4</v>
      </c>
    </row>
    <row r="40" spans="1:10" x14ac:dyDescent="0.25">
      <c r="A40" s="70"/>
      <c r="B40" s="7" t="s">
        <v>16</v>
      </c>
      <c r="C40" s="6">
        <v>3</v>
      </c>
      <c r="D40" s="6">
        <v>5</v>
      </c>
      <c r="E40" s="31">
        <v>2</v>
      </c>
      <c r="F40" s="20">
        <f t="shared" si="0"/>
        <v>10</v>
      </c>
      <c r="G40" s="49">
        <v>3</v>
      </c>
      <c r="H40" s="49">
        <v>9</v>
      </c>
      <c r="I40" s="49">
        <v>0</v>
      </c>
      <c r="J40" s="49">
        <f t="shared" si="1"/>
        <v>12</v>
      </c>
    </row>
    <row r="41" spans="1:10" ht="15.75" thickBot="1" x14ac:dyDescent="0.3">
      <c r="A41" s="71"/>
      <c r="B41" s="10" t="s">
        <v>17</v>
      </c>
      <c r="C41" s="9">
        <v>2</v>
      </c>
      <c r="D41" s="9">
        <v>3</v>
      </c>
      <c r="E41" s="32">
        <v>2</v>
      </c>
      <c r="F41" s="20">
        <f t="shared" si="0"/>
        <v>7</v>
      </c>
      <c r="G41" s="49">
        <v>2</v>
      </c>
      <c r="H41" s="49">
        <v>4</v>
      </c>
      <c r="I41" s="49">
        <v>0</v>
      </c>
      <c r="J41" s="49">
        <f t="shared" si="1"/>
        <v>6</v>
      </c>
    </row>
    <row r="42" spans="1:10" ht="16.5" thickTop="1" thickBot="1" x14ac:dyDescent="0.3">
      <c r="A42" s="52"/>
      <c r="B42" s="54"/>
      <c r="C42" s="55">
        <f>SUM(C30:C41)</f>
        <v>29</v>
      </c>
      <c r="D42" s="55">
        <f t="shared" ref="D42" si="5">SUM(D30:D41)</f>
        <v>79</v>
      </c>
      <c r="E42" s="55">
        <f t="shared" ref="E42" si="6">SUM(E30:E41)</f>
        <v>29</v>
      </c>
      <c r="F42" s="20"/>
      <c r="G42" s="49"/>
      <c r="H42" s="49"/>
      <c r="I42" s="49"/>
      <c r="J42" s="49"/>
    </row>
    <row r="43" spans="1:10" ht="15.75" thickTop="1" x14ac:dyDescent="0.25">
      <c r="A43" s="69">
        <v>2017</v>
      </c>
      <c r="B43" s="4" t="s">
        <v>6</v>
      </c>
      <c r="C43" s="3">
        <v>0</v>
      </c>
      <c r="D43" s="3">
        <v>4</v>
      </c>
      <c r="E43" s="30">
        <v>2</v>
      </c>
      <c r="F43" s="20">
        <f t="shared" si="0"/>
        <v>6</v>
      </c>
      <c r="G43" s="49">
        <v>0</v>
      </c>
      <c r="H43" s="49">
        <v>4</v>
      </c>
      <c r="I43" s="49">
        <v>0</v>
      </c>
      <c r="J43" s="49">
        <f t="shared" si="1"/>
        <v>4</v>
      </c>
    </row>
    <row r="44" spans="1:10" x14ac:dyDescent="0.25">
      <c r="A44" s="70"/>
      <c r="B44" s="7" t="s">
        <v>7</v>
      </c>
      <c r="C44" s="6">
        <v>3</v>
      </c>
      <c r="D44" s="6">
        <v>4</v>
      </c>
      <c r="E44" s="31">
        <v>4</v>
      </c>
      <c r="F44" s="20">
        <f t="shared" si="0"/>
        <v>11</v>
      </c>
      <c r="G44" s="49">
        <v>3</v>
      </c>
      <c r="H44" s="49">
        <v>4</v>
      </c>
      <c r="I44" s="49">
        <v>0</v>
      </c>
      <c r="J44" s="49">
        <f t="shared" si="1"/>
        <v>7</v>
      </c>
    </row>
    <row r="45" spans="1:10" x14ac:dyDescent="0.25">
      <c r="A45" s="70"/>
      <c r="B45" s="7" t="s">
        <v>8</v>
      </c>
      <c r="C45" s="6">
        <v>0</v>
      </c>
      <c r="D45" s="6">
        <v>5</v>
      </c>
      <c r="E45" s="31">
        <v>1</v>
      </c>
      <c r="F45" s="20">
        <f t="shared" si="0"/>
        <v>6</v>
      </c>
      <c r="G45" s="49">
        <v>0</v>
      </c>
      <c r="H45" s="49">
        <v>10</v>
      </c>
      <c r="I45" s="49">
        <v>0</v>
      </c>
      <c r="J45" s="49">
        <f t="shared" si="1"/>
        <v>10</v>
      </c>
    </row>
    <row r="46" spans="1:10" x14ac:dyDescent="0.25">
      <c r="A46" s="70"/>
      <c r="B46" s="7" t="s">
        <v>9</v>
      </c>
      <c r="C46" s="6">
        <v>4</v>
      </c>
      <c r="D46" s="6">
        <v>6</v>
      </c>
      <c r="E46" s="31">
        <v>2</v>
      </c>
      <c r="F46" s="20">
        <f t="shared" si="0"/>
        <v>12</v>
      </c>
      <c r="G46" s="49">
        <v>4</v>
      </c>
      <c r="H46" s="49">
        <v>6</v>
      </c>
      <c r="I46" s="49">
        <v>0</v>
      </c>
      <c r="J46" s="49">
        <f t="shared" si="1"/>
        <v>10</v>
      </c>
    </row>
    <row r="47" spans="1:10" x14ac:dyDescent="0.25">
      <c r="A47" s="70"/>
      <c r="B47" s="7" t="s">
        <v>10</v>
      </c>
      <c r="C47" s="6">
        <v>3</v>
      </c>
      <c r="D47" s="6">
        <v>10</v>
      </c>
      <c r="E47" s="31">
        <v>5</v>
      </c>
      <c r="F47" s="20">
        <f t="shared" si="0"/>
        <v>18</v>
      </c>
      <c r="G47" s="49">
        <v>3</v>
      </c>
      <c r="H47" s="49">
        <v>10</v>
      </c>
      <c r="I47" s="49">
        <v>3</v>
      </c>
      <c r="J47" s="49">
        <f t="shared" si="1"/>
        <v>16</v>
      </c>
    </row>
    <row r="48" spans="1:10" x14ac:dyDescent="0.25">
      <c r="A48" s="70"/>
      <c r="B48" s="7" t="s">
        <v>11</v>
      </c>
      <c r="C48" s="6">
        <v>3</v>
      </c>
      <c r="D48" s="6">
        <v>5</v>
      </c>
      <c r="E48" s="31">
        <v>4</v>
      </c>
      <c r="F48" s="20">
        <f t="shared" si="0"/>
        <v>12</v>
      </c>
      <c r="G48" s="49">
        <v>3</v>
      </c>
      <c r="H48" s="49">
        <v>5</v>
      </c>
      <c r="I48" s="49">
        <v>2</v>
      </c>
      <c r="J48" s="49">
        <f t="shared" si="1"/>
        <v>10</v>
      </c>
    </row>
    <row r="49" spans="1:10" x14ac:dyDescent="0.25">
      <c r="A49" s="70"/>
      <c r="B49" s="7" t="s">
        <v>12</v>
      </c>
      <c r="C49" s="6">
        <v>5</v>
      </c>
      <c r="D49" s="6">
        <v>5</v>
      </c>
      <c r="E49" s="31">
        <v>3</v>
      </c>
      <c r="F49" s="20">
        <f t="shared" si="0"/>
        <v>13</v>
      </c>
      <c r="G49" s="49">
        <v>0</v>
      </c>
      <c r="H49" s="49">
        <v>6</v>
      </c>
      <c r="I49" s="49">
        <v>0</v>
      </c>
      <c r="J49" s="49">
        <f t="shared" si="1"/>
        <v>6</v>
      </c>
    </row>
    <row r="50" spans="1:10" x14ac:dyDescent="0.25">
      <c r="A50" s="70"/>
      <c r="B50" s="7" t="s">
        <v>13</v>
      </c>
      <c r="C50" s="6">
        <v>1</v>
      </c>
      <c r="D50" s="6">
        <v>9</v>
      </c>
      <c r="E50" s="31">
        <v>3</v>
      </c>
      <c r="F50" s="20">
        <f t="shared" si="0"/>
        <v>13</v>
      </c>
      <c r="G50" s="49">
        <v>1</v>
      </c>
      <c r="H50" s="49">
        <v>14</v>
      </c>
      <c r="I50" s="49">
        <v>0</v>
      </c>
      <c r="J50" s="49">
        <f t="shared" si="1"/>
        <v>15</v>
      </c>
    </row>
    <row r="51" spans="1:10" x14ac:dyDescent="0.25">
      <c r="A51" s="70"/>
      <c r="B51" s="7" t="s">
        <v>14</v>
      </c>
      <c r="C51" s="6">
        <v>5</v>
      </c>
      <c r="D51" s="6">
        <v>5</v>
      </c>
      <c r="E51" s="31">
        <v>0</v>
      </c>
      <c r="F51" s="20">
        <f t="shared" si="0"/>
        <v>10</v>
      </c>
      <c r="G51" s="49">
        <v>5</v>
      </c>
      <c r="H51" s="49">
        <v>15</v>
      </c>
      <c r="I51" s="49">
        <v>6</v>
      </c>
      <c r="J51" s="49">
        <f t="shared" si="1"/>
        <v>26</v>
      </c>
    </row>
    <row r="52" spans="1:10" x14ac:dyDescent="0.25">
      <c r="A52" s="70"/>
      <c r="B52" s="7" t="s">
        <v>15</v>
      </c>
      <c r="C52" s="6">
        <v>4</v>
      </c>
      <c r="D52" s="6">
        <v>5</v>
      </c>
      <c r="E52" s="31">
        <v>1</v>
      </c>
      <c r="F52" s="20">
        <f t="shared" si="0"/>
        <v>10</v>
      </c>
      <c r="G52" s="49">
        <v>4</v>
      </c>
      <c r="H52" s="49">
        <v>16</v>
      </c>
      <c r="I52" s="49">
        <v>0</v>
      </c>
      <c r="J52" s="49">
        <f t="shared" si="1"/>
        <v>20</v>
      </c>
    </row>
    <row r="53" spans="1:10" x14ac:dyDescent="0.25">
      <c r="A53" s="70"/>
      <c r="B53" s="7" t="s">
        <v>16</v>
      </c>
      <c r="C53" s="6">
        <v>3</v>
      </c>
      <c r="D53" s="6">
        <v>7</v>
      </c>
      <c r="E53" s="31">
        <v>3</v>
      </c>
      <c r="F53" s="20">
        <f t="shared" si="0"/>
        <v>13</v>
      </c>
      <c r="G53" s="49">
        <v>4</v>
      </c>
      <c r="H53" s="49">
        <v>13</v>
      </c>
      <c r="I53" s="49">
        <v>0</v>
      </c>
      <c r="J53" s="49">
        <f t="shared" si="1"/>
        <v>17</v>
      </c>
    </row>
    <row r="54" spans="1:10" ht="15.75" thickBot="1" x14ac:dyDescent="0.3">
      <c r="A54" s="71"/>
      <c r="B54" s="10" t="s">
        <v>17</v>
      </c>
      <c r="C54" s="9">
        <v>1</v>
      </c>
      <c r="D54" s="9">
        <v>2</v>
      </c>
      <c r="E54" s="32">
        <v>2</v>
      </c>
      <c r="F54" s="20">
        <f t="shared" si="0"/>
        <v>5</v>
      </c>
      <c r="G54" s="49">
        <v>1</v>
      </c>
      <c r="H54" s="49">
        <v>3</v>
      </c>
      <c r="I54" s="49">
        <v>1</v>
      </c>
      <c r="J54" s="49">
        <f t="shared" si="1"/>
        <v>5</v>
      </c>
    </row>
    <row r="55" spans="1:10" ht="16.5" thickTop="1" thickBot="1" x14ac:dyDescent="0.3">
      <c r="A55" s="52"/>
      <c r="B55" s="54"/>
      <c r="C55" s="55">
        <f>SUM(C43:C54)</f>
        <v>32</v>
      </c>
      <c r="D55" s="55">
        <f t="shared" ref="D55" si="7">SUM(D43:D54)</f>
        <v>67</v>
      </c>
      <c r="E55" s="55">
        <f t="shared" ref="E55" si="8">SUM(E43:E54)</f>
        <v>30</v>
      </c>
      <c r="F55" s="20"/>
      <c r="G55" s="49"/>
      <c r="H55" s="49"/>
      <c r="I55" s="49"/>
      <c r="J55" s="49"/>
    </row>
    <row r="56" spans="1:10" ht="15.75" thickTop="1" x14ac:dyDescent="0.25">
      <c r="A56" s="69">
        <v>2018</v>
      </c>
      <c r="B56" s="4" t="s">
        <v>6</v>
      </c>
      <c r="C56" s="3">
        <v>2</v>
      </c>
      <c r="D56" s="3">
        <v>15</v>
      </c>
      <c r="E56" s="30">
        <v>3</v>
      </c>
      <c r="F56" s="20">
        <f t="shared" si="0"/>
        <v>20</v>
      </c>
      <c r="G56" s="49">
        <v>2</v>
      </c>
      <c r="H56" s="49">
        <v>23</v>
      </c>
      <c r="I56" s="49">
        <v>0</v>
      </c>
      <c r="J56" s="49">
        <f t="shared" si="1"/>
        <v>25</v>
      </c>
    </row>
    <row r="57" spans="1:10" x14ac:dyDescent="0.25">
      <c r="A57" s="70"/>
      <c r="B57" s="7" t="s">
        <v>7</v>
      </c>
      <c r="C57" s="6">
        <v>4</v>
      </c>
      <c r="D57" s="6">
        <v>5</v>
      </c>
      <c r="E57" s="31">
        <v>3</v>
      </c>
      <c r="F57" s="20">
        <f t="shared" si="0"/>
        <v>12</v>
      </c>
      <c r="G57" s="49">
        <v>4</v>
      </c>
      <c r="H57" s="49">
        <v>7</v>
      </c>
      <c r="I57" s="49">
        <v>0</v>
      </c>
      <c r="J57" s="49">
        <f t="shared" si="1"/>
        <v>11</v>
      </c>
    </row>
    <row r="58" spans="1:10" x14ac:dyDescent="0.25">
      <c r="A58" s="70"/>
      <c r="B58" s="7" t="s">
        <v>8</v>
      </c>
      <c r="C58" s="6">
        <v>3</v>
      </c>
      <c r="D58" s="6">
        <v>4</v>
      </c>
      <c r="E58" s="31">
        <v>0</v>
      </c>
      <c r="F58" s="20">
        <f t="shared" si="0"/>
        <v>7</v>
      </c>
      <c r="G58" s="49">
        <v>3</v>
      </c>
      <c r="H58" s="49">
        <v>7</v>
      </c>
      <c r="I58" s="49">
        <v>0</v>
      </c>
      <c r="J58" s="49">
        <f t="shared" si="1"/>
        <v>10</v>
      </c>
    </row>
    <row r="59" spans="1:10" x14ac:dyDescent="0.25">
      <c r="A59" s="70"/>
      <c r="B59" s="7" t="s">
        <v>9</v>
      </c>
      <c r="C59" s="6">
        <v>0</v>
      </c>
      <c r="D59" s="6">
        <v>3</v>
      </c>
      <c r="E59" s="31">
        <v>0</v>
      </c>
      <c r="F59" s="20">
        <f t="shared" si="0"/>
        <v>3</v>
      </c>
      <c r="G59" s="49">
        <v>0</v>
      </c>
      <c r="H59" s="49">
        <v>3</v>
      </c>
      <c r="I59" s="49">
        <v>0</v>
      </c>
      <c r="J59" s="49">
        <f t="shared" si="1"/>
        <v>3</v>
      </c>
    </row>
    <row r="60" spans="1:10" x14ac:dyDescent="0.25">
      <c r="A60" s="70"/>
      <c r="B60" s="7" t="s">
        <v>10</v>
      </c>
      <c r="C60" s="6">
        <v>2</v>
      </c>
      <c r="D60" s="6">
        <v>5</v>
      </c>
      <c r="E60" s="31">
        <v>4</v>
      </c>
      <c r="F60" s="20">
        <f t="shared" si="0"/>
        <v>11</v>
      </c>
      <c r="G60" s="49">
        <v>2</v>
      </c>
      <c r="H60" s="49">
        <v>8</v>
      </c>
      <c r="I60" s="49">
        <v>0</v>
      </c>
      <c r="J60" s="49">
        <f t="shared" si="1"/>
        <v>10</v>
      </c>
    </row>
    <row r="61" spans="1:10" x14ac:dyDescent="0.25">
      <c r="A61" s="70"/>
      <c r="B61" s="7" t="s">
        <v>11</v>
      </c>
      <c r="C61" s="6">
        <v>2</v>
      </c>
      <c r="D61" s="6">
        <v>6</v>
      </c>
      <c r="E61" s="31">
        <v>1</v>
      </c>
      <c r="F61" s="20">
        <f t="shared" si="0"/>
        <v>9</v>
      </c>
      <c r="G61" s="49">
        <v>2</v>
      </c>
      <c r="H61" s="49">
        <v>6</v>
      </c>
      <c r="I61" s="49">
        <v>0</v>
      </c>
      <c r="J61" s="49">
        <f t="shared" si="1"/>
        <v>8</v>
      </c>
    </row>
    <row r="62" spans="1:10" x14ac:dyDescent="0.25">
      <c r="A62" s="70"/>
      <c r="B62" s="7" t="s">
        <v>12</v>
      </c>
      <c r="C62" s="6">
        <v>0</v>
      </c>
      <c r="D62" s="6">
        <v>3</v>
      </c>
      <c r="E62" s="31">
        <v>0</v>
      </c>
      <c r="F62" s="20">
        <f t="shared" si="0"/>
        <v>3</v>
      </c>
      <c r="G62" s="49">
        <v>3</v>
      </c>
      <c r="H62" s="49">
        <v>0</v>
      </c>
      <c r="I62" s="49"/>
      <c r="J62" s="49">
        <f t="shared" si="1"/>
        <v>3</v>
      </c>
    </row>
    <row r="63" spans="1:10" x14ac:dyDescent="0.25">
      <c r="A63" s="70"/>
      <c r="B63" s="7" t="s">
        <v>13</v>
      </c>
      <c r="C63" s="6">
        <v>3</v>
      </c>
      <c r="D63" s="6">
        <v>3</v>
      </c>
      <c r="E63" s="31">
        <v>1</v>
      </c>
      <c r="F63" s="20">
        <f t="shared" si="0"/>
        <v>7</v>
      </c>
      <c r="G63" s="49">
        <v>5</v>
      </c>
      <c r="H63" s="49">
        <v>8</v>
      </c>
      <c r="I63" s="49">
        <v>0</v>
      </c>
      <c r="J63" s="49">
        <f t="shared" si="1"/>
        <v>13</v>
      </c>
    </row>
    <row r="64" spans="1:10" x14ac:dyDescent="0.25">
      <c r="A64" s="70"/>
      <c r="B64" s="7" t="s">
        <v>14</v>
      </c>
      <c r="C64" s="6">
        <v>2</v>
      </c>
      <c r="D64" s="6">
        <v>5</v>
      </c>
      <c r="E64" s="31">
        <v>1</v>
      </c>
      <c r="F64" s="20">
        <f t="shared" si="0"/>
        <v>8</v>
      </c>
      <c r="G64" s="49">
        <v>2</v>
      </c>
      <c r="H64" s="49">
        <v>7</v>
      </c>
      <c r="I64" s="49">
        <v>0</v>
      </c>
      <c r="J64" s="49">
        <f t="shared" si="1"/>
        <v>9</v>
      </c>
    </row>
    <row r="65" spans="1:10" x14ac:dyDescent="0.25">
      <c r="A65" s="70"/>
      <c r="B65" s="7" t="s">
        <v>15</v>
      </c>
      <c r="C65" s="6">
        <v>2</v>
      </c>
      <c r="D65" s="6">
        <v>4</v>
      </c>
      <c r="E65" s="31">
        <v>1</v>
      </c>
      <c r="F65" s="20">
        <f t="shared" si="0"/>
        <v>7</v>
      </c>
      <c r="G65" s="49">
        <v>2</v>
      </c>
      <c r="H65" s="49">
        <v>6</v>
      </c>
      <c r="I65" s="49">
        <v>0</v>
      </c>
      <c r="J65" s="49">
        <f t="shared" si="1"/>
        <v>8</v>
      </c>
    </row>
    <row r="66" spans="1:10" x14ac:dyDescent="0.25">
      <c r="A66" s="70"/>
      <c r="B66" s="7" t="s">
        <v>16</v>
      </c>
      <c r="C66" s="6">
        <v>3</v>
      </c>
      <c r="D66" s="6">
        <v>3</v>
      </c>
      <c r="E66" s="31">
        <v>1</v>
      </c>
      <c r="F66" s="20">
        <f t="shared" si="0"/>
        <v>7</v>
      </c>
      <c r="G66" s="49">
        <v>3</v>
      </c>
      <c r="H66" s="49">
        <v>10</v>
      </c>
      <c r="I66" s="49">
        <v>4</v>
      </c>
      <c r="J66" s="49">
        <f t="shared" si="1"/>
        <v>17</v>
      </c>
    </row>
    <row r="67" spans="1:10" ht="15.75" thickBot="1" x14ac:dyDescent="0.3">
      <c r="A67" s="71"/>
      <c r="B67" s="10" t="s">
        <v>17</v>
      </c>
      <c r="C67" s="9">
        <v>3</v>
      </c>
      <c r="D67" s="9">
        <v>1</v>
      </c>
      <c r="E67" s="32">
        <v>0</v>
      </c>
      <c r="F67" s="20">
        <f t="shared" si="0"/>
        <v>4</v>
      </c>
      <c r="G67" s="49">
        <v>4</v>
      </c>
      <c r="H67" s="49">
        <v>2</v>
      </c>
      <c r="I67" s="49">
        <v>0</v>
      </c>
      <c r="J67" s="49">
        <f t="shared" si="1"/>
        <v>6</v>
      </c>
    </row>
    <row r="68" spans="1:10" ht="15.75" thickTop="1" x14ac:dyDescent="0.25">
      <c r="C68" s="55">
        <f>SUM(C56:C67)</f>
        <v>26</v>
      </c>
      <c r="D68" s="55">
        <f t="shared" ref="D68" si="9">SUM(D56:D67)</f>
        <v>57</v>
      </c>
      <c r="E68" s="55">
        <f t="shared" ref="E68" si="10">SUM(E56:E67)</f>
        <v>15</v>
      </c>
    </row>
  </sheetData>
  <mergeCells count="14">
    <mergeCell ref="A43:A54"/>
    <mergeCell ref="A56:A67"/>
    <mergeCell ref="A2:A3"/>
    <mergeCell ref="B2:B3"/>
    <mergeCell ref="F2:F3"/>
    <mergeCell ref="C2:E2"/>
    <mergeCell ref="A4:A15"/>
    <mergeCell ref="A17:A28"/>
    <mergeCell ref="A1:J1"/>
    <mergeCell ref="A30:A41"/>
    <mergeCell ref="G2:G3"/>
    <mergeCell ref="H2:H3"/>
    <mergeCell ref="I2:I3"/>
    <mergeCell ref="J2:J3"/>
  </mergeCell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E9"/>
  <sheetViews>
    <sheetView workbookViewId="0">
      <selection activeCell="N13" sqref="N13:N14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51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  <c r="B5">
        <v>36</v>
      </c>
      <c r="C5">
        <v>80</v>
      </c>
      <c r="D5">
        <v>61</v>
      </c>
      <c r="E5" s="49">
        <f>SUM(B5:D5)</f>
        <v>177</v>
      </c>
    </row>
    <row r="6" spans="1:5" x14ac:dyDescent="0.25">
      <c r="A6" s="49">
        <v>2015</v>
      </c>
      <c r="B6" s="49">
        <v>22</v>
      </c>
      <c r="C6" s="49">
        <v>178</v>
      </c>
      <c r="D6" s="49">
        <v>51</v>
      </c>
      <c r="E6" s="49">
        <f>SUM(B6:D6)</f>
        <v>251</v>
      </c>
    </row>
    <row r="7" spans="1:5" x14ac:dyDescent="0.25">
      <c r="A7" s="49">
        <v>2016</v>
      </c>
      <c r="B7" s="49">
        <v>29</v>
      </c>
      <c r="C7" s="49">
        <v>79</v>
      </c>
      <c r="D7" s="49">
        <v>29</v>
      </c>
      <c r="E7" s="49">
        <f t="shared" ref="E7:E9" si="0">SUM(B7:D7)</f>
        <v>137</v>
      </c>
    </row>
    <row r="8" spans="1:5" x14ac:dyDescent="0.25">
      <c r="A8" s="49">
        <v>2017</v>
      </c>
      <c r="B8" s="49">
        <v>32</v>
      </c>
      <c r="C8" s="49">
        <v>67</v>
      </c>
      <c r="D8" s="49">
        <v>30</v>
      </c>
      <c r="E8" s="49">
        <f t="shared" si="0"/>
        <v>129</v>
      </c>
    </row>
    <row r="9" spans="1:5" x14ac:dyDescent="0.25">
      <c r="A9" s="49">
        <v>2018</v>
      </c>
      <c r="B9" s="49">
        <v>26</v>
      </c>
      <c r="C9" s="49">
        <v>57</v>
      </c>
      <c r="D9" s="49">
        <v>15</v>
      </c>
      <c r="E9" s="49">
        <f t="shared" si="0"/>
        <v>98</v>
      </c>
    </row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0"/>
  <sheetViews>
    <sheetView workbookViewId="0">
      <selection activeCell="D7" sqref="D7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52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3">
        <v>36</v>
      </c>
      <c r="C5" s="3">
        <v>61</v>
      </c>
      <c r="D5" s="30">
        <v>16</v>
      </c>
      <c r="E5" s="21">
        <f t="shared" ref="E5:E9" si="0">SUM(B5:D5)</f>
        <v>113</v>
      </c>
    </row>
    <row r="6" spans="1:5" x14ac:dyDescent="0.25">
      <c r="A6" s="49">
        <v>2015</v>
      </c>
      <c r="B6" s="6">
        <v>46</v>
      </c>
      <c r="C6" s="6">
        <v>42</v>
      </c>
      <c r="D6" s="31">
        <v>16</v>
      </c>
      <c r="E6" s="21">
        <f t="shared" si="0"/>
        <v>104</v>
      </c>
    </row>
    <row r="7" spans="1:5" x14ac:dyDescent="0.25">
      <c r="A7" s="49">
        <v>2016</v>
      </c>
      <c r="B7" s="6">
        <v>46</v>
      </c>
      <c r="C7" s="6">
        <v>63</v>
      </c>
      <c r="D7" s="31">
        <v>27</v>
      </c>
      <c r="E7" s="21">
        <f t="shared" si="0"/>
        <v>136</v>
      </c>
    </row>
    <row r="8" spans="1:5" x14ac:dyDescent="0.25">
      <c r="A8" s="49">
        <v>2017</v>
      </c>
      <c r="B8" s="6">
        <v>26</v>
      </c>
      <c r="C8" s="6">
        <v>61</v>
      </c>
      <c r="D8" s="31">
        <v>22</v>
      </c>
      <c r="E8" s="21">
        <f t="shared" si="0"/>
        <v>109</v>
      </c>
    </row>
    <row r="9" spans="1:5" ht="15.75" thickBot="1" x14ac:dyDescent="0.3">
      <c r="A9" s="49">
        <v>2018</v>
      </c>
      <c r="B9" s="9">
        <v>42</v>
      </c>
      <c r="C9" s="9">
        <v>51</v>
      </c>
      <c r="D9" s="32">
        <v>18</v>
      </c>
      <c r="E9" s="22">
        <f t="shared" si="0"/>
        <v>111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1"/>
  <sheetViews>
    <sheetView workbookViewId="0">
      <selection activeCell="C16" sqref="C16:E16"/>
    </sheetView>
  </sheetViews>
  <sheetFormatPr defaultRowHeight="14.25" x14ac:dyDescent="0.2"/>
  <cols>
    <col min="1" max="1" width="9.140625" style="1"/>
    <col min="2" max="2" width="11.85546875" style="1" customWidth="1"/>
    <col min="3" max="16384" width="9.140625" style="1"/>
  </cols>
  <sheetData>
    <row r="1" spans="1:5" ht="15.75" thickTop="1" thickBot="1" x14ac:dyDescent="0.25">
      <c r="A1" s="76" t="s">
        <v>21</v>
      </c>
      <c r="B1" s="77"/>
      <c r="C1" s="77"/>
      <c r="D1" s="77"/>
      <c r="E1" s="78"/>
    </row>
    <row r="2" spans="1:5" ht="15.75" thickTop="1" thickBot="1" x14ac:dyDescent="0.25">
      <c r="A2" s="73" t="s">
        <v>0</v>
      </c>
      <c r="B2" s="73" t="s">
        <v>1</v>
      </c>
      <c r="C2" s="75" t="s">
        <v>18</v>
      </c>
      <c r="D2" s="75"/>
      <c r="E2" s="75"/>
    </row>
    <row r="3" spans="1:5" ht="15.75" thickTop="1" thickBot="1" x14ac:dyDescent="0.25">
      <c r="A3" s="74"/>
      <c r="B3" s="74"/>
      <c r="C3" s="13" t="s">
        <v>2</v>
      </c>
      <c r="D3" s="13" t="s">
        <v>3</v>
      </c>
      <c r="E3" s="13" t="s">
        <v>4</v>
      </c>
    </row>
    <row r="4" spans="1:5" ht="15" thickTop="1" x14ac:dyDescent="0.2">
      <c r="A4" s="69">
        <v>2014</v>
      </c>
      <c r="B4" s="4" t="s">
        <v>6</v>
      </c>
      <c r="C4" s="3">
        <v>2</v>
      </c>
      <c r="D4" s="3">
        <v>2</v>
      </c>
      <c r="E4" s="5">
        <v>2</v>
      </c>
    </row>
    <row r="5" spans="1:5" x14ac:dyDescent="0.2">
      <c r="A5" s="70"/>
      <c r="B5" s="7" t="s">
        <v>7</v>
      </c>
      <c r="C5" s="6">
        <v>1</v>
      </c>
      <c r="D5" s="6">
        <v>10</v>
      </c>
      <c r="E5" s="8">
        <v>7</v>
      </c>
    </row>
    <row r="6" spans="1:5" x14ac:dyDescent="0.2">
      <c r="A6" s="70"/>
      <c r="B6" s="7" t="s">
        <v>8</v>
      </c>
      <c r="C6" s="6">
        <v>3</v>
      </c>
      <c r="D6" s="6">
        <v>7</v>
      </c>
      <c r="E6" s="8">
        <v>13</v>
      </c>
    </row>
    <row r="7" spans="1:5" x14ac:dyDescent="0.2">
      <c r="A7" s="70"/>
      <c r="B7" s="7" t="s">
        <v>9</v>
      </c>
      <c r="C7" s="6">
        <v>3</v>
      </c>
      <c r="D7" s="6">
        <v>9</v>
      </c>
      <c r="E7" s="8">
        <v>3</v>
      </c>
    </row>
    <row r="8" spans="1:5" x14ac:dyDescent="0.2">
      <c r="A8" s="70"/>
      <c r="B8" s="7" t="s">
        <v>10</v>
      </c>
      <c r="C8" s="6">
        <v>4</v>
      </c>
      <c r="D8" s="6">
        <v>13</v>
      </c>
      <c r="E8" s="8">
        <v>4</v>
      </c>
    </row>
    <row r="9" spans="1:5" x14ac:dyDescent="0.2">
      <c r="A9" s="70"/>
      <c r="B9" s="7" t="s">
        <v>11</v>
      </c>
      <c r="C9" s="6">
        <v>3</v>
      </c>
      <c r="D9" s="6">
        <v>19</v>
      </c>
      <c r="E9" s="8">
        <v>8</v>
      </c>
    </row>
    <row r="10" spans="1:5" x14ac:dyDescent="0.2">
      <c r="A10" s="70"/>
      <c r="B10" s="7" t="s">
        <v>12</v>
      </c>
      <c r="C10" s="6">
        <v>5</v>
      </c>
      <c r="D10" s="6">
        <v>10</v>
      </c>
      <c r="E10" s="8">
        <v>14</v>
      </c>
    </row>
    <row r="11" spans="1:5" x14ac:dyDescent="0.2">
      <c r="A11" s="70"/>
      <c r="B11" s="7" t="s">
        <v>13</v>
      </c>
      <c r="C11" s="6">
        <v>4</v>
      </c>
      <c r="D11" s="6">
        <v>12</v>
      </c>
      <c r="E11" s="8">
        <v>11</v>
      </c>
    </row>
    <row r="12" spans="1:5" x14ac:dyDescent="0.2">
      <c r="A12" s="70"/>
      <c r="B12" s="7" t="s">
        <v>14</v>
      </c>
      <c r="C12" s="6">
        <v>0</v>
      </c>
      <c r="D12" s="6">
        <v>7</v>
      </c>
      <c r="E12" s="8">
        <v>5</v>
      </c>
    </row>
    <row r="13" spans="1:5" x14ac:dyDescent="0.2">
      <c r="A13" s="70"/>
      <c r="B13" s="7" t="s">
        <v>15</v>
      </c>
      <c r="C13" s="6">
        <v>4</v>
      </c>
      <c r="D13" s="6">
        <v>6</v>
      </c>
      <c r="E13" s="8">
        <v>6</v>
      </c>
    </row>
    <row r="14" spans="1:5" x14ac:dyDescent="0.2">
      <c r="A14" s="70"/>
      <c r="B14" s="7" t="s">
        <v>16</v>
      </c>
      <c r="C14" s="6">
        <v>4</v>
      </c>
      <c r="D14" s="6">
        <v>4</v>
      </c>
      <c r="E14" s="8">
        <v>7</v>
      </c>
    </row>
    <row r="15" spans="1:5" ht="15" thickBot="1" x14ac:dyDescent="0.25">
      <c r="A15" s="71"/>
      <c r="B15" s="10" t="s">
        <v>17</v>
      </c>
      <c r="C15" s="9">
        <v>3</v>
      </c>
      <c r="D15" s="9">
        <v>13</v>
      </c>
      <c r="E15" s="11">
        <v>4</v>
      </c>
    </row>
    <row r="16" spans="1:5" ht="15.75" thickTop="1" thickBot="1" x14ac:dyDescent="0.25">
      <c r="A16" s="56"/>
      <c r="B16" s="54"/>
      <c r="C16" s="55">
        <f>SUM(C4:C15)</f>
        <v>36</v>
      </c>
      <c r="D16" s="55">
        <f t="shared" ref="D16:E16" si="0">SUM(D4:D15)</f>
        <v>112</v>
      </c>
      <c r="E16" s="55">
        <f t="shared" si="0"/>
        <v>84</v>
      </c>
    </row>
    <row r="17" spans="1:5" ht="15" thickTop="1" x14ac:dyDescent="0.2">
      <c r="A17" s="69">
        <v>2015</v>
      </c>
      <c r="B17" s="4" t="s">
        <v>6</v>
      </c>
      <c r="C17" s="3">
        <v>8</v>
      </c>
      <c r="D17" s="3">
        <v>10</v>
      </c>
      <c r="E17" s="5">
        <v>2</v>
      </c>
    </row>
    <row r="18" spans="1:5" x14ac:dyDescent="0.2">
      <c r="A18" s="70"/>
      <c r="B18" s="7" t="s">
        <v>7</v>
      </c>
      <c r="C18" s="6">
        <v>7</v>
      </c>
      <c r="D18" s="6">
        <v>17</v>
      </c>
      <c r="E18" s="8">
        <v>1</v>
      </c>
    </row>
    <row r="19" spans="1:5" x14ac:dyDescent="0.2">
      <c r="A19" s="70"/>
      <c r="B19" s="7" t="s">
        <v>8</v>
      </c>
      <c r="C19" s="6">
        <v>2</v>
      </c>
      <c r="D19" s="6">
        <v>20</v>
      </c>
      <c r="E19" s="8">
        <v>3</v>
      </c>
    </row>
    <row r="20" spans="1:5" x14ac:dyDescent="0.2">
      <c r="A20" s="70"/>
      <c r="B20" s="7" t="s">
        <v>9</v>
      </c>
      <c r="C20" s="6">
        <v>1</v>
      </c>
      <c r="D20" s="6">
        <v>13</v>
      </c>
      <c r="E20" s="8">
        <v>3</v>
      </c>
    </row>
    <row r="21" spans="1:5" x14ac:dyDescent="0.2">
      <c r="A21" s="70"/>
      <c r="B21" s="7" t="s">
        <v>10</v>
      </c>
      <c r="C21" s="6">
        <v>0</v>
      </c>
      <c r="D21" s="6">
        <v>2</v>
      </c>
      <c r="E21" s="8">
        <v>9</v>
      </c>
    </row>
    <row r="22" spans="1:5" x14ac:dyDescent="0.2">
      <c r="A22" s="70"/>
      <c r="B22" s="7" t="s">
        <v>11</v>
      </c>
      <c r="C22" s="6">
        <v>6</v>
      </c>
      <c r="D22" s="6">
        <v>4</v>
      </c>
      <c r="E22" s="8">
        <v>3</v>
      </c>
    </row>
    <row r="23" spans="1:5" x14ac:dyDescent="0.2">
      <c r="A23" s="70"/>
      <c r="B23" s="7" t="s">
        <v>12</v>
      </c>
      <c r="C23" s="6">
        <v>4</v>
      </c>
      <c r="D23" s="6">
        <v>16</v>
      </c>
      <c r="E23" s="8">
        <v>8</v>
      </c>
    </row>
    <row r="24" spans="1:5" x14ac:dyDescent="0.2">
      <c r="A24" s="70"/>
      <c r="B24" s="7" t="s">
        <v>13</v>
      </c>
      <c r="C24" s="6">
        <v>5</v>
      </c>
      <c r="D24" s="6">
        <v>10</v>
      </c>
      <c r="E24" s="8">
        <v>7</v>
      </c>
    </row>
    <row r="25" spans="1:5" x14ac:dyDescent="0.2">
      <c r="A25" s="70"/>
      <c r="B25" s="7" t="s">
        <v>14</v>
      </c>
      <c r="C25" s="6">
        <v>4</v>
      </c>
      <c r="D25" s="6">
        <v>7</v>
      </c>
      <c r="E25" s="8">
        <v>7</v>
      </c>
    </row>
    <row r="26" spans="1:5" x14ac:dyDescent="0.2">
      <c r="A26" s="70"/>
      <c r="B26" s="7" t="s">
        <v>15</v>
      </c>
      <c r="C26" s="6">
        <v>4</v>
      </c>
      <c r="D26" s="6">
        <v>6</v>
      </c>
      <c r="E26" s="8">
        <v>5</v>
      </c>
    </row>
    <row r="27" spans="1:5" x14ac:dyDescent="0.2">
      <c r="A27" s="70"/>
      <c r="B27" s="7" t="s">
        <v>16</v>
      </c>
      <c r="C27" s="6">
        <v>3</v>
      </c>
      <c r="D27" s="6">
        <v>3</v>
      </c>
      <c r="E27" s="8">
        <v>3</v>
      </c>
    </row>
    <row r="28" spans="1:5" ht="15" thickBot="1" x14ac:dyDescent="0.25">
      <c r="A28" s="71"/>
      <c r="B28" s="10" t="s">
        <v>17</v>
      </c>
      <c r="C28" s="9">
        <v>1</v>
      </c>
      <c r="D28" s="9">
        <v>5</v>
      </c>
      <c r="E28" s="11">
        <v>2</v>
      </c>
    </row>
    <row r="29" spans="1:5" ht="15.75" thickTop="1" thickBot="1" x14ac:dyDescent="0.25">
      <c r="A29" s="56"/>
      <c r="B29" s="54"/>
      <c r="C29" s="55">
        <f>SUM(C17:C28)</f>
        <v>45</v>
      </c>
      <c r="D29" s="55">
        <f t="shared" ref="D29" si="1">SUM(D17:D28)</f>
        <v>113</v>
      </c>
      <c r="E29" s="55">
        <f t="shared" ref="E29" si="2">SUM(E17:E28)</f>
        <v>53</v>
      </c>
    </row>
    <row r="30" spans="1:5" ht="15" thickTop="1" x14ac:dyDescent="0.2">
      <c r="A30" s="69">
        <v>2016</v>
      </c>
      <c r="B30" s="4" t="s">
        <v>6</v>
      </c>
      <c r="C30" s="3">
        <v>3</v>
      </c>
      <c r="D30" s="3">
        <v>4</v>
      </c>
      <c r="E30" s="5">
        <v>5</v>
      </c>
    </row>
    <row r="31" spans="1:5" x14ac:dyDescent="0.2">
      <c r="A31" s="70"/>
      <c r="B31" s="7" t="s">
        <v>7</v>
      </c>
      <c r="C31" s="6">
        <v>2</v>
      </c>
      <c r="D31" s="6">
        <v>7</v>
      </c>
      <c r="E31" s="8">
        <v>5</v>
      </c>
    </row>
    <row r="32" spans="1:5" x14ac:dyDescent="0.2">
      <c r="A32" s="70"/>
      <c r="B32" s="7" t="s">
        <v>8</v>
      </c>
      <c r="C32" s="6">
        <v>1</v>
      </c>
      <c r="D32" s="6">
        <v>6</v>
      </c>
      <c r="E32" s="8">
        <v>1</v>
      </c>
    </row>
    <row r="33" spans="1:5" x14ac:dyDescent="0.2">
      <c r="A33" s="70"/>
      <c r="B33" s="7" t="s">
        <v>9</v>
      </c>
      <c r="C33" s="6">
        <v>3</v>
      </c>
      <c r="D33" s="6">
        <v>3</v>
      </c>
      <c r="E33" s="8">
        <v>1</v>
      </c>
    </row>
    <row r="34" spans="1:5" x14ac:dyDescent="0.2">
      <c r="A34" s="70"/>
      <c r="B34" s="7" t="s">
        <v>10</v>
      </c>
      <c r="C34" s="6">
        <v>2</v>
      </c>
      <c r="D34" s="6">
        <v>11</v>
      </c>
      <c r="E34" s="8">
        <v>2</v>
      </c>
    </row>
    <row r="35" spans="1:5" x14ac:dyDescent="0.2">
      <c r="A35" s="70"/>
      <c r="B35" s="7" t="s">
        <v>11</v>
      </c>
      <c r="C35" s="6">
        <v>3</v>
      </c>
      <c r="D35" s="6">
        <v>4</v>
      </c>
      <c r="E35" s="8">
        <v>5</v>
      </c>
    </row>
    <row r="36" spans="1:5" x14ac:dyDescent="0.2">
      <c r="A36" s="70"/>
      <c r="B36" s="7" t="s">
        <v>12</v>
      </c>
      <c r="C36" s="6">
        <v>4</v>
      </c>
      <c r="D36" s="6">
        <v>1</v>
      </c>
      <c r="E36" s="8">
        <v>0</v>
      </c>
    </row>
    <row r="37" spans="1:5" x14ac:dyDescent="0.2">
      <c r="A37" s="70"/>
      <c r="B37" s="7" t="s">
        <v>13</v>
      </c>
      <c r="C37" s="6">
        <v>4</v>
      </c>
      <c r="D37" s="6">
        <v>2</v>
      </c>
      <c r="E37" s="8">
        <v>1</v>
      </c>
    </row>
    <row r="38" spans="1:5" x14ac:dyDescent="0.2">
      <c r="A38" s="70"/>
      <c r="B38" s="7" t="s">
        <v>14</v>
      </c>
      <c r="C38" s="6">
        <v>1</v>
      </c>
      <c r="D38" s="6">
        <v>7</v>
      </c>
      <c r="E38" s="8">
        <v>3</v>
      </c>
    </row>
    <row r="39" spans="1:5" x14ac:dyDescent="0.2">
      <c r="A39" s="70"/>
      <c r="B39" s="7" t="s">
        <v>15</v>
      </c>
      <c r="C39" s="6">
        <v>5</v>
      </c>
      <c r="D39" s="6">
        <v>8</v>
      </c>
      <c r="E39" s="8">
        <v>2</v>
      </c>
    </row>
    <row r="40" spans="1:5" x14ac:dyDescent="0.2">
      <c r="A40" s="70"/>
      <c r="B40" s="7" t="s">
        <v>16</v>
      </c>
      <c r="C40" s="6">
        <v>5</v>
      </c>
      <c r="D40" s="6">
        <v>2</v>
      </c>
      <c r="E40" s="8">
        <v>8</v>
      </c>
    </row>
    <row r="41" spans="1:5" ht="15" thickBot="1" x14ac:dyDescent="0.25">
      <c r="A41" s="71"/>
      <c r="B41" s="10" t="s">
        <v>17</v>
      </c>
      <c r="C41" s="9">
        <v>2</v>
      </c>
      <c r="D41" s="9">
        <v>4</v>
      </c>
      <c r="E41" s="11">
        <v>1</v>
      </c>
    </row>
    <row r="42" spans="1:5" ht="15.75" thickTop="1" thickBot="1" x14ac:dyDescent="0.25">
      <c r="A42" s="56"/>
      <c r="B42" s="54"/>
      <c r="C42" s="55">
        <f>SUM(C30:C41)</f>
        <v>35</v>
      </c>
      <c r="D42" s="55">
        <f t="shared" ref="D42" si="3">SUM(D30:D41)</f>
        <v>59</v>
      </c>
      <c r="E42" s="55">
        <f t="shared" ref="E42" si="4">SUM(E30:E41)</f>
        <v>34</v>
      </c>
    </row>
    <row r="43" spans="1:5" ht="15" thickTop="1" x14ac:dyDescent="0.2">
      <c r="A43" s="79">
        <v>2017</v>
      </c>
      <c r="B43" s="4" t="s">
        <v>6</v>
      </c>
      <c r="C43" s="3">
        <v>3</v>
      </c>
      <c r="D43" s="3">
        <v>6</v>
      </c>
      <c r="E43" s="5">
        <v>2</v>
      </c>
    </row>
    <row r="44" spans="1:5" x14ac:dyDescent="0.2">
      <c r="A44" s="80"/>
      <c r="B44" s="7" t="s">
        <v>7</v>
      </c>
      <c r="C44" s="6">
        <v>2</v>
      </c>
      <c r="D44" s="6">
        <v>0</v>
      </c>
      <c r="E44" s="8">
        <v>2</v>
      </c>
    </row>
    <row r="45" spans="1:5" x14ac:dyDescent="0.2">
      <c r="A45" s="80"/>
      <c r="B45" s="7" t="s">
        <v>8</v>
      </c>
      <c r="C45" s="6">
        <v>4</v>
      </c>
      <c r="D45" s="6">
        <v>2</v>
      </c>
      <c r="E45" s="8">
        <v>2</v>
      </c>
    </row>
    <row r="46" spans="1:5" x14ac:dyDescent="0.2">
      <c r="A46" s="80"/>
      <c r="B46" s="7" t="s">
        <v>9</v>
      </c>
      <c r="C46" s="6">
        <v>3</v>
      </c>
      <c r="D46" s="6">
        <v>6</v>
      </c>
      <c r="E46" s="8">
        <v>3</v>
      </c>
    </row>
    <row r="47" spans="1:5" x14ac:dyDescent="0.2">
      <c r="A47" s="80"/>
      <c r="B47" s="7" t="s">
        <v>10</v>
      </c>
      <c r="C47" s="6">
        <v>4</v>
      </c>
      <c r="D47" s="6">
        <v>3</v>
      </c>
      <c r="E47" s="8">
        <v>0</v>
      </c>
    </row>
    <row r="48" spans="1:5" x14ac:dyDescent="0.2">
      <c r="A48" s="80"/>
      <c r="B48" s="7" t="s">
        <v>11</v>
      </c>
      <c r="C48" s="6">
        <v>4</v>
      </c>
      <c r="D48" s="6">
        <v>1</v>
      </c>
      <c r="E48" s="8">
        <v>1</v>
      </c>
    </row>
    <row r="49" spans="1:5" x14ac:dyDescent="0.2">
      <c r="A49" s="80"/>
      <c r="B49" s="7" t="s">
        <v>12</v>
      </c>
      <c r="C49" s="6">
        <v>2</v>
      </c>
      <c r="D49" s="6">
        <v>1</v>
      </c>
      <c r="E49" s="8">
        <v>3</v>
      </c>
    </row>
    <row r="50" spans="1:5" x14ac:dyDescent="0.2">
      <c r="A50" s="80"/>
      <c r="B50" s="7" t="s">
        <v>13</v>
      </c>
      <c r="C50" s="6">
        <v>5</v>
      </c>
      <c r="D50" s="6">
        <v>9</v>
      </c>
      <c r="E50" s="8">
        <v>3</v>
      </c>
    </row>
    <row r="51" spans="1:5" x14ac:dyDescent="0.2">
      <c r="A51" s="80"/>
      <c r="B51" s="7" t="s">
        <v>14</v>
      </c>
      <c r="C51" s="6">
        <v>4</v>
      </c>
      <c r="D51" s="6">
        <v>2</v>
      </c>
      <c r="E51" s="8">
        <v>3</v>
      </c>
    </row>
    <row r="52" spans="1:5" x14ac:dyDescent="0.2">
      <c r="A52" s="80"/>
      <c r="B52" s="7" t="s">
        <v>15</v>
      </c>
      <c r="C52" s="6">
        <v>4</v>
      </c>
      <c r="D52" s="6">
        <v>5</v>
      </c>
      <c r="E52" s="8">
        <v>3</v>
      </c>
    </row>
    <row r="53" spans="1:5" x14ac:dyDescent="0.2">
      <c r="A53" s="80"/>
      <c r="B53" s="7" t="s">
        <v>16</v>
      </c>
      <c r="C53" s="6">
        <v>2</v>
      </c>
      <c r="D53" s="6">
        <v>3</v>
      </c>
      <c r="E53" s="8">
        <v>2</v>
      </c>
    </row>
    <row r="54" spans="1:5" ht="15" thickBot="1" x14ac:dyDescent="0.25">
      <c r="A54" s="81"/>
      <c r="B54" s="10" t="s">
        <v>17</v>
      </c>
      <c r="C54" s="9">
        <v>6</v>
      </c>
      <c r="D54" s="9">
        <v>4</v>
      </c>
      <c r="E54" s="11">
        <v>5</v>
      </c>
    </row>
    <row r="55" spans="1:5" ht="15.75" thickTop="1" thickBot="1" x14ac:dyDescent="0.25">
      <c r="A55" s="56"/>
      <c r="B55" s="54"/>
      <c r="C55" s="55">
        <f>SUM(C43:C54)</f>
        <v>43</v>
      </c>
      <c r="D55" s="55">
        <f t="shared" ref="D55" si="5">SUM(D43:D54)</f>
        <v>42</v>
      </c>
      <c r="E55" s="55">
        <f t="shared" ref="E55" si="6">SUM(E43:E54)</f>
        <v>29</v>
      </c>
    </row>
    <row r="56" spans="1:5" ht="15" thickTop="1" x14ac:dyDescent="0.2">
      <c r="A56" s="69">
        <v>2018</v>
      </c>
      <c r="B56" s="4" t="s">
        <v>6</v>
      </c>
      <c r="C56" s="3">
        <v>5</v>
      </c>
      <c r="D56" s="3">
        <v>4</v>
      </c>
      <c r="E56" s="5">
        <v>4</v>
      </c>
    </row>
    <row r="57" spans="1:5" x14ac:dyDescent="0.2">
      <c r="A57" s="70"/>
      <c r="B57" s="7" t="s">
        <v>7</v>
      </c>
      <c r="C57" s="6">
        <v>2</v>
      </c>
      <c r="D57" s="6">
        <v>4</v>
      </c>
      <c r="E57" s="8">
        <v>3</v>
      </c>
    </row>
    <row r="58" spans="1:5" x14ac:dyDescent="0.2">
      <c r="A58" s="70"/>
      <c r="B58" s="7" t="s">
        <v>8</v>
      </c>
      <c r="C58" s="6">
        <v>2</v>
      </c>
      <c r="D58" s="6">
        <v>5</v>
      </c>
      <c r="E58" s="8">
        <v>5</v>
      </c>
    </row>
    <row r="59" spans="1:5" x14ac:dyDescent="0.2">
      <c r="A59" s="70"/>
      <c r="B59" s="7" t="s">
        <v>9</v>
      </c>
      <c r="C59" s="6">
        <v>6</v>
      </c>
      <c r="D59" s="6">
        <v>3</v>
      </c>
      <c r="E59" s="8">
        <v>3</v>
      </c>
    </row>
    <row r="60" spans="1:5" x14ac:dyDescent="0.2">
      <c r="A60" s="70"/>
      <c r="B60" s="7" t="s">
        <v>10</v>
      </c>
      <c r="C60" s="6">
        <v>0</v>
      </c>
      <c r="D60" s="6">
        <v>2</v>
      </c>
      <c r="E60" s="8">
        <v>5</v>
      </c>
    </row>
    <row r="61" spans="1:5" x14ac:dyDescent="0.2">
      <c r="A61" s="70"/>
      <c r="B61" s="7" t="s">
        <v>11</v>
      </c>
      <c r="C61" s="6">
        <v>5</v>
      </c>
      <c r="D61" s="6">
        <v>3</v>
      </c>
      <c r="E61" s="8">
        <v>3</v>
      </c>
    </row>
    <row r="62" spans="1:5" x14ac:dyDescent="0.2">
      <c r="A62" s="70"/>
      <c r="B62" s="7" t="s">
        <v>12</v>
      </c>
      <c r="C62" s="6">
        <v>7</v>
      </c>
      <c r="D62" s="6">
        <v>4</v>
      </c>
      <c r="E62" s="8">
        <v>4</v>
      </c>
    </row>
    <row r="63" spans="1:5" x14ac:dyDescent="0.2">
      <c r="A63" s="70"/>
      <c r="B63" s="7" t="s">
        <v>13</v>
      </c>
      <c r="C63" s="6">
        <v>1</v>
      </c>
      <c r="D63" s="6">
        <v>2</v>
      </c>
      <c r="E63" s="8">
        <v>3</v>
      </c>
    </row>
    <row r="64" spans="1:5" x14ac:dyDescent="0.2">
      <c r="A64" s="70"/>
      <c r="B64" s="7" t="s">
        <v>14</v>
      </c>
      <c r="C64" s="6">
        <v>6</v>
      </c>
      <c r="D64" s="6">
        <v>3</v>
      </c>
      <c r="E64" s="8">
        <v>4</v>
      </c>
    </row>
    <row r="65" spans="1:5" x14ac:dyDescent="0.2">
      <c r="A65" s="70"/>
      <c r="B65" s="7" t="s">
        <v>15</v>
      </c>
      <c r="C65" s="6">
        <v>9</v>
      </c>
      <c r="D65" s="6">
        <v>2</v>
      </c>
      <c r="E65" s="8">
        <v>1</v>
      </c>
    </row>
    <row r="66" spans="1:5" x14ac:dyDescent="0.2">
      <c r="A66" s="70"/>
      <c r="B66" s="7" t="s">
        <v>16</v>
      </c>
      <c r="C66" s="6">
        <v>2</v>
      </c>
      <c r="D66" s="6">
        <v>6</v>
      </c>
      <c r="E66" s="8">
        <v>4</v>
      </c>
    </row>
    <row r="67" spans="1:5" ht="15" thickBot="1" x14ac:dyDescent="0.25">
      <c r="A67" s="71"/>
      <c r="B67" s="10" t="s">
        <v>17</v>
      </c>
      <c r="C67" s="9">
        <v>9</v>
      </c>
      <c r="D67" s="9">
        <v>4</v>
      </c>
      <c r="E67" s="11">
        <v>3</v>
      </c>
    </row>
    <row r="68" spans="1:5" ht="15.75" thickTop="1" thickBot="1" x14ac:dyDescent="0.25">
      <c r="A68" s="56"/>
      <c r="B68" s="54"/>
      <c r="C68" s="55">
        <f>SUM(C56:C67)</f>
        <v>54</v>
      </c>
      <c r="D68" s="55">
        <f t="shared" ref="D68" si="7">SUM(D56:D67)</f>
        <v>42</v>
      </c>
      <c r="E68" s="55">
        <f t="shared" ref="E68" si="8">SUM(E56:E67)</f>
        <v>42</v>
      </c>
    </row>
    <row r="69" spans="1:5" ht="15" thickTop="1" x14ac:dyDescent="0.2">
      <c r="A69" s="69">
        <v>2019</v>
      </c>
      <c r="B69" s="4" t="s">
        <v>6</v>
      </c>
      <c r="C69" s="3">
        <v>11</v>
      </c>
      <c r="D69" s="3">
        <v>3</v>
      </c>
      <c r="E69" s="5">
        <v>4</v>
      </c>
    </row>
    <row r="70" spans="1:5" ht="15" customHeight="1" x14ac:dyDescent="0.2">
      <c r="A70" s="70"/>
      <c r="B70" s="7" t="s">
        <v>7</v>
      </c>
      <c r="C70" s="6">
        <v>7</v>
      </c>
      <c r="D70" s="6">
        <v>3</v>
      </c>
      <c r="E70" s="8">
        <v>1</v>
      </c>
    </row>
    <row r="71" spans="1:5" ht="15" customHeight="1" x14ac:dyDescent="0.2">
      <c r="A71" s="70"/>
      <c r="B71" s="7" t="s">
        <v>8</v>
      </c>
      <c r="C71" s="6">
        <v>8</v>
      </c>
      <c r="D71" s="6">
        <v>2</v>
      </c>
      <c r="E71" s="8">
        <v>1</v>
      </c>
    </row>
    <row r="72" spans="1:5" ht="15" customHeight="1" x14ac:dyDescent="0.2">
      <c r="A72" s="70"/>
      <c r="B72" s="7" t="s">
        <v>9</v>
      </c>
      <c r="C72" s="6">
        <v>2</v>
      </c>
      <c r="D72" s="6">
        <v>1</v>
      </c>
      <c r="E72" s="8">
        <v>5</v>
      </c>
    </row>
    <row r="73" spans="1:5" ht="15" customHeight="1" x14ac:dyDescent="0.2">
      <c r="A73" s="70"/>
      <c r="B73" s="7" t="s">
        <v>10</v>
      </c>
      <c r="C73" s="6">
        <v>3</v>
      </c>
      <c r="D73" s="6">
        <v>7</v>
      </c>
      <c r="E73" s="8">
        <v>5</v>
      </c>
    </row>
    <row r="74" spans="1:5" ht="15" customHeight="1" x14ac:dyDescent="0.2">
      <c r="A74" s="70"/>
      <c r="B74" s="7" t="s">
        <v>11</v>
      </c>
      <c r="C74" s="6">
        <v>3</v>
      </c>
      <c r="D74" s="6">
        <v>4</v>
      </c>
      <c r="E74" s="8">
        <v>2</v>
      </c>
    </row>
    <row r="75" spans="1:5" ht="15" customHeight="1" x14ac:dyDescent="0.2">
      <c r="A75" s="70"/>
      <c r="B75" s="7" t="s">
        <v>12</v>
      </c>
      <c r="C75" s="6">
        <v>5</v>
      </c>
      <c r="D75" s="6">
        <v>5</v>
      </c>
      <c r="E75" s="8">
        <v>1</v>
      </c>
    </row>
    <row r="76" spans="1:5" ht="15" customHeight="1" x14ac:dyDescent="0.2">
      <c r="A76" s="70"/>
      <c r="B76" s="7" t="s">
        <v>13</v>
      </c>
      <c r="C76" s="6">
        <v>7</v>
      </c>
      <c r="D76" s="6">
        <v>4</v>
      </c>
      <c r="E76" s="8">
        <v>2</v>
      </c>
    </row>
    <row r="77" spans="1:5" ht="15" customHeight="1" x14ac:dyDescent="0.2">
      <c r="A77" s="70"/>
      <c r="B77" s="7" t="s">
        <v>14</v>
      </c>
      <c r="C77" s="6">
        <v>8</v>
      </c>
      <c r="D77" s="6">
        <v>4</v>
      </c>
      <c r="E77" s="8">
        <v>2</v>
      </c>
    </row>
    <row r="78" spans="1:5" ht="15" customHeight="1" x14ac:dyDescent="0.2">
      <c r="A78" s="70"/>
      <c r="B78" s="7" t="s">
        <v>15</v>
      </c>
      <c r="C78" s="6"/>
      <c r="D78" s="6"/>
      <c r="E78" s="8"/>
    </row>
    <row r="79" spans="1:5" ht="15" customHeight="1" x14ac:dyDescent="0.2">
      <c r="A79" s="70"/>
      <c r="B79" s="7" t="s">
        <v>16</v>
      </c>
      <c r="C79" s="6"/>
      <c r="D79" s="6"/>
      <c r="E79" s="8"/>
    </row>
    <row r="80" spans="1:5" ht="15.75" customHeight="1" thickBot="1" x14ac:dyDescent="0.25">
      <c r="A80" s="71"/>
      <c r="B80" s="10" t="s">
        <v>17</v>
      </c>
      <c r="C80" s="9"/>
      <c r="D80" s="9"/>
      <c r="E80" s="11"/>
    </row>
    <row r="81" spans="3:5" ht="15" thickTop="1" x14ac:dyDescent="0.2">
      <c r="C81" s="55">
        <f>SUM(C69:C80)</f>
        <v>54</v>
      </c>
      <c r="D81" s="55">
        <f t="shared" ref="D81" si="9">SUM(D69:D80)</f>
        <v>33</v>
      </c>
      <c r="E81" s="55">
        <f t="shared" ref="E81" si="10">SUM(E69:E80)</f>
        <v>23</v>
      </c>
    </row>
  </sheetData>
  <mergeCells count="10">
    <mergeCell ref="A30:A41"/>
    <mergeCell ref="A43:A54"/>
    <mergeCell ref="A56:A67"/>
    <mergeCell ref="A69:A80"/>
    <mergeCell ref="A1:E1"/>
    <mergeCell ref="A2:A3"/>
    <mergeCell ref="B2:B3"/>
    <mergeCell ref="C2:E2"/>
    <mergeCell ref="A4:A15"/>
    <mergeCell ref="A17:A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E10"/>
  <sheetViews>
    <sheetView workbookViewId="0">
      <selection activeCell="D14" sqref="D14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53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  <c r="B5" s="55">
        <v>36</v>
      </c>
      <c r="C5" s="55">
        <v>112</v>
      </c>
      <c r="D5" s="55">
        <v>84</v>
      </c>
      <c r="E5" s="21">
        <f t="shared" ref="E5:E9" si="0">SUM(B5:D5)</f>
        <v>232</v>
      </c>
    </row>
    <row r="6" spans="1:5" x14ac:dyDescent="0.25">
      <c r="A6" s="49">
        <v>2015</v>
      </c>
      <c r="B6" s="6">
        <v>45</v>
      </c>
      <c r="C6" s="6">
        <v>113</v>
      </c>
      <c r="D6" s="31">
        <v>53</v>
      </c>
      <c r="E6" s="21">
        <f t="shared" si="0"/>
        <v>211</v>
      </c>
    </row>
    <row r="7" spans="1:5" x14ac:dyDescent="0.25">
      <c r="A7" s="49">
        <v>2016</v>
      </c>
      <c r="B7" s="6">
        <v>35</v>
      </c>
      <c r="C7" s="6">
        <v>59</v>
      </c>
      <c r="D7" s="31">
        <v>34</v>
      </c>
      <c r="E7" s="21">
        <f t="shared" si="0"/>
        <v>128</v>
      </c>
    </row>
    <row r="8" spans="1:5" x14ac:dyDescent="0.25">
      <c r="A8" s="49">
        <v>2017</v>
      </c>
      <c r="B8" s="6">
        <v>43</v>
      </c>
      <c r="C8" s="6">
        <v>42</v>
      </c>
      <c r="D8" s="31">
        <v>29</v>
      </c>
      <c r="E8" s="21">
        <f t="shared" si="0"/>
        <v>114</v>
      </c>
    </row>
    <row r="9" spans="1:5" ht="15.75" thickBot="1" x14ac:dyDescent="0.3">
      <c r="A9" s="49">
        <v>2018</v>
      </c>
      <c r="B9" s="9">
        <v>54</v>
      </c>
      <c r="C9" s="9">
        <v>42</v>
      </c>
      <c r="D9" s="32">
        <v>42</v>
      </c>
      <c r="E9" s="22">
        <f t="shared" si="0"/>
        <v>138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10"/>
  <sheetViews>
    <sheetView workbookViewId="0">
      <selection activeCell="D7" sqref="D7:D8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54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3">
        <v>37</v>
      </c>
      <c r="C5" s="3">
        <v>133</v>
      </c>
      <c r="D5" s="3">
        <v>34</v>
      </c>
      <c r="E5" s="5">
        <f>SUM(B5:D5)</f>
        <v>204</v>
      </c>
    </row>
    <row r="6" spans="1:5" x14ac:dyDescent="0.25">
      <c r="A6" s="49">
        <v>2015</v>
      </c>
      <c r="B6" s="6">
        <v>33</v>
      </c>
      <c r="C6" s="6">
        <v>39</v>
      </c>
      <c r="D6" s="31">
        <v>7</v>
      </c>
      <c r="E6" s="21">
        <f t="shared" ref="E6:E9" si="0">SUM(B6:D6)</f>
        <v>79</v>
      </c>
    </row>
    <row r="7" spans="1:5" x14ac:dyDescent="0.25">
      <c r="A7" s="49">
        <v>2016</v>
      </c>
      <c r="B7" s="6">
        <v>50</v>
      </c>
      <c r="C7" s="6">
        <v>69</v>
      </c>
      <c r="D7" s="31">
        <v>18</v>
      </c>
      <c r="E7" s="21">
        <f t="shared" si="0"/>
        <v>137</v>
      </c>
    </row>
    <row r="8" spans="1:5" x14ac:dyDescent="0.25">
      <c r="A8" s="49">
        <v>2017</v>
      </c>
      <c r="B8" s="6">
        <v>45</v>
      </c>
      <c r="C8" s="6">
        <v>21</v>
      </c>
      <c r="D8" s="31">
        <v>4</v>
      </c>
      <c r="E8" s="21">
        <f t="shared" si="0"/>
        <v>70</v>
      </c>
    </row>
    <row r="9" spans="1:5" ht="15.75" thickBot="1" x14ac:dyDescent="0.3">
      <c r="A9" s="49">
        <v>2018</v>
      </c>
      <c r="B9" s="9">
        <v>40</v>
      </c>
      <c r="C9" s="9">
        <v>15</v>
      </c>
      <c r="D9" s="32">
        <v>4</v>
      </c>
      <c r="E9" s="22">
        <f t="shared" si="0"/>
        <v>59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9"/>
  <sheetViews>
    <sheetView workbookViewId="0">
      <selection activeCell="C16" sqref="C16:E16"/>
    </sheetView>
  </sheetViews>
  <sheetFormatPr defaultRowHeight="14.25" x14ac:dyDescent="0.2"/>
  <cols>
    <col min="1" max="1" width="9.140625" style="1"/>
    <col min="2" max="2" width="10.28515625" style="1" customWidth="1"/>
    <col min="3" max="16384" width="9.140625" style="1"/>
  </cols>
  <sheetData>
    <row r="1" spans="1:5" ht="15.75" thickTop="1" thickBot="1" x14ac:dyDescent="0.25">
      <c r="A1" s="76" t="s">
        <v>20</v>
      </c>
      <c r="B1" s="77"/>
      <c r="C1" s="77"/>
      <c r="D1" s="77"/>
      <c r="E1" s="78"/>
    </row>
    <row r="2" spans="1:5" ht="15.75" thickTop="1" thickBot="1" x14ac:dyDescent="0.25">
      <c r="A2" s="73" t="s">
        <v>0</v>
      </c>
      <c r="B2" s="73" t="s">
        <v>1</v>
      </c>
      <c r="C2" s="75" t="s">
        <v>18</v>
      </c>
      <c r="D2" s="75"/>
      <c r="E2" s="75"/>
    </row>
    <row r="3" spans="1:5" ht="15.75" thickTop="1" thickBot="1" x14ac:dyDescent="0.25">
      <c r="A3" s="74"/>
      <c r="B3" s="74"/>
      <c r="C3" s="13" t="s">
        <v>2</v>
      </c>
      <c r="D3" s="13" t="s">
        <v>3</v>
      </c>
      <c r="E3" s="13" t="s">
        <v>4</v>
      </c>
    </row>
    <row r="4" spans="1:5" ht="15" thickTop="1" x14ac:dyDescent="0.2">
      <c r="A4" s="82">
        <v>2014</v>
      </c>
      <c r="B4" s="4" t="s">
        <v>6</v>
      </c>
      <c r="C4" s="3">
        <v>3</v>
      </c>
      <c r="D4" s="3">
        <v>8</v>
      </c>
      <c r="E4" s="5">
        <v>4</v>
      </c>
    </row>
    <row r="5" spans="1:5" x14ac:dyDescent="0.2">
      <c r="A5" s="83"/>
      <c r="B5" s="7" t="s">
        <v>7</v>
      </c>
      <c r="C5" s="6">
        <v>4</v>
      </c>
      <c r="D5" s="6">
        <v>4</v>
      </c>
      <c r="E5" s="8">
        <v>3</v>
      </c>
    </row>
    <row r="6" spans="1:5" x14ac:dyDescent="0.2">
      <c r="A6" s="83"/>
      <c r="B6" s="7" t="s">
        <v>8</v>
      </c>
      <c r="C6" s="6">
        <v>3</v>
      </c>
      <c r="D6" s="6">
        <v>7</v>
      </c>
      <c r="E6" s="8">
        <v>2</v>
      </c>
    </row>
    <row r="7" spans="1:5" x14ac:dyDescent="0.2">
      <c r="A7" s="83"/>
      <c r="B7" s="7" t="s">
        <v>9</v>
      </c>
      <c r="C7" s="6">
        <v>2</v>
      </c>
      <c r="D7" s="6">
        <v>10</v>
      </c>
      <c r="E7" s="8">
        <v>3</v>
      </c>
    </row>
    <row r="8" spans="1:5" x14ac:dyDescent="0.2">
      <c r="A8" s="83"/>
      <c r="B8" s="7" t="s">
        <v>10</v>
      </c>
      <c r="C8" s="6">
        <v>3</v>
      </c>
      <c r="D8" s="6">
        <v>4</v>
      </c>
      <c r="E8" s="8">
        <v>2</v>
      </c>
    </row>
    <row r="9" spans="1:5" x14ac:dyDescent="0.2">
      <c r="A9" s="83"/>
      <c r="B9" s="7" t="s">
        <v>11</v>
      </c>
      <c r="C9" s="6">
        <v>4</v>
      </c>
      <c r="D9" s="6">
        <v>5</v>
      </c>
      <c r="E9" s="8">
        <v>3</v>
      </c>
    </row>
    <row r="10" spans="1:5" x14ac:dyDescent="0.2">
      <c r="A10" s="83"/>
      <c r="B10" s="7" t="s">
        <v>12</v>
      </c>
      <c r="C10" s="6">
        <v>2</v>
      </c>
      <c r="D10" s="6">
        <v>3</v>
      </c>
      <c r="E10" s="8">
        <v>4</v>
      </c>
    </row>
    <row r="11" spans="1:5" x14ac:dyDescent="0.2">
      <c r="A11" s="83"/>
      <c r="B11" s="7" t="s">
        <v>13</v>
      </c>
      <c r="C11" s="6">
        <v>2</v>
      </c>
      <c r="D11" s="6">
        <v>3</v>
      </c>
      <c r="E11" s="8">
        <v>5</v>
      </c>
    </row>
    <row r="12" spans="1:5" x14ac:dyDescent="0.2">
      <c r="A12" s="83"/>
      <c r="B12" s="7" t="s">
        <v>14</v>
      </c>
      <c r="C12" s="6">
        <v>2</v>
      </c>
      <c r="D12" s="6">
        <v>4</v>
      </c>
      <c r="E12" s="8">
        <v>3</v>
      </c>
    </row>
    <row r="13" spans="1:5" x14ac:dyDescent="0.2">
      <c r="A13" s="83"/>
      <c r="B13" s="7" t="s">
        <v>15</v>
      </c>
      <c r="C13" s="6">
        <v>3</v>
      </c>
      <c r="D13" s="6">
        <v>4</v>
      </c>
      <c r="E13" s="8">
        <v>6</v>
      </c>
    </row>
    <row r="14" spans="1:5" x14ac:dyDescent="0.2">
      <c r="A14" s="83"/>
      <c r="B14" s="7" t="s">
        <v>16</v>
      </c>
      <c r="C14" s="6">
        <v>5</v>
      </c>
      <c r="D14" s="6">
        <v>7</v>
      </c>
      <c r="E14" s="8">
        <v>5</v>
      </c>
    </row>
    <row r="15" spans="1:5" ht="15" thickBot="1" x14ac:dyDescent="0.25">
      <c r="A15" s="84"/>
      <c r="B15" s="10" t="s">
        <v>17</v>
      </c>
      <c r="C15" s="9">
        <v>1</v>
      </c>
      <c r="D15" s="9">
        <v>23</v>
      </c>
      <c r="E15" s="11">
        <v>3</v>
      </c>
    </row>
    <row r="16" spans="1:5" ht="15.75" thickTop="1" thickBot="1" x14ac:dyDescent="0.25">
      <c r="A16" s="53"/>
      <c r="B16" s="54"/>
      <c r="C16" s="55">
        <f>SUM(C4:C15)</f>
        <v>34</v>
      </c>
      <c r="D16" s="55">
        <f t="shared" ref="D16:E16" si="0">SUM(D4:D15)</f>
        <v>82</v>
      </c>
      <c r="E16" s="55">
        <f t="shared" si="0"/>
        <v>43</v>
      </c>
    </row>
    <row r="17" spans="1:5" ht="15" thickTop="1" x14ac:dyDescent="0.2">
      <c r="A17" s="69">
        <v>2015</v>
      </c>
      <c r="B17" s="4" t="s">
        <v>6</v>
      </c>
      <c r="C17" s="3">
        <v>3</v>
      </c>
      <c r="D17" s="3">
        <v>10</v>
      </c>
      <c r="E17" s="5">
        <v>4</v>
      </c>
    </row>
    <row r="18" spans="1:5" x14ac:dyDescent="0.2">
      <c r="A18" s="70"/>
      <c r="B18" s="7" t="s">
        <v>7</v>
      </c>
      <c r="C18" s="6">
        <v>2</v>
      </c>
      <c r="D18" s="6">
        <v>11</v>
      </c>
      <c r="E18" s="8">
        <v>2</v>
      </c>
    </row>
    <row r="19" spans="1:5" x14ac:dyDescent="0.2">
      <c r="A19" s="70"/>
      <c r="B19" s="7" t="s">
        <v>8</v>
      </c>
      <c r="C19" s="6">
        <v>2</v>
      </c>
      <c r="D19" s="6">
        <v>13</v>
      </c>
      <c r="E19" s="8">
        <v>4</v>
      </c>
    </row>
    <row r="20" spans="1:5" x14ac:dyDescent="0.2">
      <c r="A20" s="70"/>
      <c r="B20" s="7" t="s">
        <v>9</v>
      </c>
      <c r="C20" s="6">
        <v>5</v>
      </c>
      <c r="D20" s="6">
        <v>27</v>
      </c>
      <c r="E20" s="8">
        <v>10</v>
      </c>
    </row>
    <row r="21" spans="1:5" x14ac:dyDescent="0.2">
      <c r="A21" s="70"/>
      <c r="B21" s="7" t="s">
        <v>10</v>
      </c>
      <c r="C21" s="6">
        <v>6</v>
      </c>
      <c r="D21" s="6">
        <v>10</v>
      </c>
      <c r="E21" s="8">
        <v>7</v>
      </c>
    </row>
    <row r="22" spans="1:5" x14ac:dyDescent="0.2">
      <c r="A22" s="70"/>
      <c r="B22" s="7" t="s">
        <v>11</v>
      </c>
      <c r="C22" s="6">
        <v>7</v>
      </c>
      <c r="D22" s="6">
        <v>5</v>
      </c>
      <c r="E22" s="8">
        <v>6</v>
      </c>
    </row>
    <row r="23" spans="1:5" x14ac:dyDescent="0.2">
      <c r="A23" s="70"/>
      <c r="B23" s="7" t="s">
        <v>12</v>
      </c>
      <c r="C23" s="6">
        <v>8</v>
      </c>
      <c r="D23" s="6">
        <v>6</v>
      </c>
      <c r="E23" s="8">
        <v>7</v>
      </c>
    </row>
    <row r="24" spans="1:5" x14ac:dyDescent="0.2">
      <c r="A24" s="70"/>
      <c r="B24" s="7" t="s">
        <v>13</v>
      </c>
      <c r="C24" s="6">
        <v>9</v>
      </c>
      <c r="D24" s="6">
        <v>5</v>
      </c>
      <c r="E24" s="8">
        <v>5</v>
      </c>
    </row>
    <row r="25" spans="1:5" x14ac:dyDescent="0.2">
      <c r="A25" s="70"/>
      <c r="B25" s="7" t="s">
        <v>14</v>
      </c>
      <c r="C25" s="6">
        <v>10</v>
      </c>
      <c r="D25" s="6">
        <v>6</v>
      </c>
      <c r="E25" s="8">
        <v>7</v>
      </c>
    </row>
    <row r="26" spans="1:5" x14ac:dyDescent="0.2">
      <c r="A26" s="70"/>
      <c r="B26" s="7" t="s">
        <v>15</v>
      </c>
      <c r="C26" s="6">
        <v>7</v>
      </c>
      <c r="D26" s="6">
        <v>7</v>
      </c>
      <c r="E26" s="8">
        <v>8</v>
      </c>
    </row>
    <row r="27" spans="1:5" x14ac:dyDescent="0.2">
      <c r="A27" s="70"/>
      <c r="B27" s="7" t="s">
        <v>16</v>
      </c>
      <c r="C27" s="6">
        <v>1</v>
      </c>
      <c r="D27" s="6">
        <v>8</v>
      </c>
      <c r="E27" s="8">
        <v>5</v>
      </c>
    </row>
    <row r="28" spans="1:5" ht="15" thickBot="1" x14ac:dyDescent="0.25">
      <c r="A28" s="71"/>
      <c r="B28" s="10" t="s">
        <v>17</v>
      </c>
      <c r="C28" s="9">
        <v>1</v>
      </c>
      <c r="D28" s="9">
        <v>23</v>
      </c>
      <c r="E28" s="11">
        <v>4</v>
      </c>
    </row>
    <row r="29" spans="1:5" ht="15.75" thickTop="1" thickBot="1" x14ac:dyDescent="0.25">
      <c r="A29" s="56"/>
      <c r="B29" s="54"/>
      <c r="C29" s="55">
        <f>SUM(C17:C28)</f>
        <v>61</v>
      </c>
      <c r="D29" s="55">
        <f t="shared" ref="D29:E29" si="1">SUM(D17:D28)</f>
        <v>131</v>
      </c>
      <c r="E29" s="55">
        <f t="shared" si="1"/>
        <v>69</v>
      </c>
    </row>
    <row r="30" spans="1:5" ht="15" thickTop="1" x14ac:dyDescent="0.2">
      <c r="A30" s="69">
        <v>2016</v>
      </c>
      <c r="B30" s="4" t="s">
        <v>6</v>
      </c>
      <c r="C30" s="3">
        <v>4</v>
      </c>
      <c r="D30" s="3">
        <v>10</v>
      </c>
      <c r="E30" s="5">
        <v>3</v>
      </c>
    </row>
    <row r="31" spans="1:5" x14ac:dyDescent="0.2">
      <c r="A31" s="70"/>
      <c r="B31" s="7" t="s">
        <v>7</v>
      </c>
      <c r="C31" s="6">
        <v>5</v>
      </c>
      <c r="D31" s="6">
        <v>14</v>
      </c>
      <c r="E31" s="8">
        <v>5</v>
      </c>
    </row>
    <row r="32" spans="1:5" x14ac:dyDescent="0.2">
      <c r="A32" s="70"/>
      <c r="B32" s="7" t="s">
        <v>8</v>
      </c>
      <c r="C32" s="6">
        <v>6</v>
      </c>
      <c r="D32" s="6">
        <v>14</v>
      </c>
      <c r="E32" s="8">
        <v>2</v>
      </c>
    </row>
    <row r="33" spans="1:5" x14ac:dyDescent="0.2">
      <c r="A33" s="70"/>
      <c r="B33" s="7" t="s">
        <v>9</v>
      </c>
      <c r="C33" s="6">
        <v>7</v>
      </c>
      <c r="D33" s="6">
        <v>5</v>
      </c>
      <c r="E33" s="8">
        <v>3</v>
      </c>
    </row>
    <row r="34" spans="1:5" x14ac:dyDescent="0.2">
      <c r="A34" s="70"/>
      <c r="B34" s="7" t="s">
        <v>10</v>
      </c>
      <c r="C34" s="6">
        <v>3</v>
      </c>
      <c r="D34" s="6">
        <v>26</v>
      </c>
      <c r="E34" s="8">
        <v>5</v>
      </c>
    </row>
    <row r="35" spans="1:5" x14ac:dyDescent="0.2">
      <c r="A35" s="70"/>
      <c r="B35" s="7" t="s">
        <v>11</v>
      </c>
      <c r="C35" s="6">
        <v>4</v>
      </c>
      <c r="D35" s="6">
        <v>5</v>
      </c>
      <c r="E35" s="8">
        <v>2</v>
      </c>
    </row>
    <row r="36" spans="1:5" x14ac:dyDescent="0.2">
      <c r="A36" s="70"/>
      <c r="B36" s="7" t="s">
        <v>12</v>
      </c>
      <c r="C36" s="6">
        <v>5</v>
      </c>
      <c r="D36" s="6">
        <v>7</v>
      </c>
      <c r="E36" s="8">
        <v>1</v>
      </c>
    </row>
    <row r="37" spans="1:5" x14ac:dyDescent="0.2">
      <c r="A37" s="70"/>
      <c r="B37" s="7" t="s">
        <v>13</v>
      </c>
      <c r="C37" s="6">
        <v>6</v>
      </c>
      <c r="D37" s="6">
        <v>8</v>
      </c>
      <c r="E37" s="8">
        <v>4</v>
      </c>
    </row>
    <row r="38" spans="1:5" x14ac:dyDescent="0.2">
      <c r="A38" s="70"/>
      <c r="B38" s="7" t="s">
        <v>14</v>
      </c>
      <c r="C38" s="6">
        <v>7</v>
      </c>
      <c r="D38" s="6">
        <v>4</v>
      </c>
      <c r="E38" s="8">
        <v>5</v>
      </c>
    </row>
    <row r="39" spans="1:5" x14ac:dyDescent="0.2">
      <c r="A39" s="70"/>
      <c r="B39" s="7" t="s">
        <v>15</v>
      </c>
      <c r="C39" s="6">
        <v>6</v>
      </c>
      <c r="D39" s="6">
        <v>5</v>
      </c>
      <c r="E39" s="8">
        <v>3</v>
      </c>
    </row>
    <row r="40" spans="1:5" x14ac:dyDescent="0.2">
      <c r="A40" s="70"/>
      <c r="B40" s="7" t="s">
        <v>16</v>
      </c>
      <c r="C40" s="6">
        <v>5</v>
      </c>
      <c r="D40" s="6">
        <v>4</v>
      </c>
      <c r="E40" s="8">
        <v>3</v>
      </c>
    </row>
    <row r="41" spans="1:5" ht="15" thickBot="1" x14ac:dyDescent="0.25">
      <c r="A41" s="71"/>
      <c r="B41" s="10" t="s">
        <v>17</v>
      </c>
      <c r="C41" s="9">
        <v>1</v>
      </c>
      <c r="D41" s="9">
        <v>7</v>
      </c>
      <c r="E41" s="11">
        <v>3</v>
      </c>
    </row>
    <row r="42" spans="1:5" ht="15.75" thickTop="1" thickBot="1" x14ac:dyDescent="0.25">
      <c r="A42" s="56"/>
      <c r="B42" s="54"/>
      <c r="C42" s="55">
        <f>SUM(C30:C41)</f>
        <v>59</v>
      </c>
      <c r="D42" s="55">
        <f t="shared" ref="D42" si="2">SUM(D30:D41)</f>
        <v>109</v>
      </c>
      <c r="E42" s="55">
        <f t="shared" ref="E42" si="3">SUM(E30:E41)</f>
        <v>39</v>
      </c>
    </row>
    <row r="43" spans="1:5" ht="15" thickTop="1" x14ac:dyDescent="0.2">
      <c r="A43" s="69">
        <v>2017</v>
      </c>
      <c r="B43" s="4" t="s">
        <v>6</v>
      </c>
      <c r="C43" s="3">
        <v>1</v>
      </c>
      <c r="D43" s="3">
        <v>3</v>
      </c>
      <c r="E43" s="5">
        <v>3</v>
      </c>
    </row>
    <row r="44" spans="1:5" x14ac:dyDescent="0.2">
      <c r="A44" s="70"/>
      <c r="B44" s="7" t="s">
        <v>7</v>
      </c>
      <c r="C44" s="6">
        <v>4</v>
      </c>
      <c r="D44" s="6">
        <v>3</v>
      </c>
      <c r="E44" s="8">
        <v>4</v>
      </c>
    </row>
    <row r="45" spans="1:5" x14ac:dyDescent="0.2">
      <c r="A45" s="70"/>
      <c r="B45" s="7" t="s">
        <v>8</v>
      </c>
      <c r="C45" s="6">
        <v>3</v>
      </c>
      <c r="D45" s="6">
        <v>2</v>
      </c>
      <c r="E45" s="8">
        <v>3</v>
      </c>
    </row>
    <row r="46" spans="1:5" x14ac:dyDescent="0.2">
      <c r="A46" s="70"/>
      <c r="B46" s="7" t="s">
        <v>9</v>
      </c>
      <c r="C46" s="6">
        <v>1</v>
      </c>
      <c r="D46" s="6">
        <v>4</v>
      </c>
      <c r="E46" s="8">
        <v>3</v>
      </c>
    </row>
    <row r="47" spans="1:5" x14ac:dyDescent="0.2">
      <c r="A47" s="70"/>
      <c r="B47" s="7" t="s">
        <v>10</v>
      </c>
      <c r="C47" s="6">
        <v>1</v>
      </c>
      <c r="D47" s="6">
        <v>11</v>
      </c>
      <c r="E47" s="8">
        <v>5</v>
      </c>
    </row>
    <row r="48" spans="1:5" x14ac:dyDescent="0.2">
      <c r="A48" s="70"/>
      <c r="B48" s="7" t="s">
        <v>11</v>
      </c>
      <c r="C48" s="6">
        <v>2</v>
      </c>
      <c r="D48" s="6">
        <v>4</v>
      </c>
      <c r="E48" s="8">
        <v>3</v>
      </c>
    </row>
    <row r="49" spans="1:5" x14ac:dyDescent="0.2">
      <c r="A49" s="70"/>
      <c r="B49" s="7" t="s">
        <v>12</v>
      </c>
      <c r="C49" s="6">
        <v>5</v>
      </c>
      <c r="D49" s="6">
        <v>10</v>
      </c>
      <c r="E49" s="8">
        <v>0</v>
      </c>
    </row>
    <row r="50" spans="1:5" x14ac:dyDescent="0.2">
      <c r="A50" s="70"/>
      <c r="B50" s="7" t="s">
        <v>13</v>
      </c>
      <c r="C50" s="6">
        <v>2</v>
      </c>
      <c r="D50" s="6">
        <v>4</v>
      </c>
      <c r="E50" s="8">
        <v>0</v>
      </c>
    </row>
    <row r="51" spans="1:5" x14ac:dyDescent="0.2">
      <c r="A51" s="70"/>
      <c r="B51" s="7" t="s">
        <v>14</v>
      </c>
      <c r="C51" s="6">
        <v>2</v>
      </c>
      <c r="D51" s="6">
        <v>7</v>
      </c>
      <c r="E51" s="8">
        <v>4</v>
      </c>
    </row>
    <row r="52" spans="1:5" x14ac:dyDescent="0.2">
      <c r="A52" s="70"/>
      <c r="B52" s="7" t="s">
        <v>15</v>
      </c>
      <c r="C52" s="6">
        <v>5</v>
      </c>
      <c r="D52" s="6">
        <v>11</v>
      </c>
      <c r="E52" s="8">
        <v>3</v>
      </c>
    </row>
    <row r="53" spans="1:5" x14ac:dyDescent="0.2">
      <c r="A53" s="70"/>
      <c r="B53" s="7" t="s">
        <v>16</v>
      </c>
      <c r="C53" s="6">
        <v>0</v>
      </c>
      <c r="D53" s="6">
        <v>8</v>
      </c>
      <c r="E53" s="8">
        <v>4</v>
      </c>
    </row>
    <row r="54" spans="1:5" ht="15" thickBot="1" x14ac:dyDescent="0.25">
      <c r="A54" s="71"/>
      <c r="B54" s="10" t="s">
        <v>17</v>
      </c>
      <c r="C54" s="9">
        <v>3</v>
      </c>
      <c r="D54" s="9">
        <v>2</v>
      </c>
      <c r="E54" s="11">
        <v>2</v>
      </c>
    </row>
    <row r="55" spans="1:5" ht="15.75" thickTop="1" thickBot="1" x14ac:dyDescent="0.25">
      <c r="A55" s="56"/>
      <c r="B55" s="54"/>
      <c r="C55" s="55">
        <f>SUM(C43:C54)</f>
        <v>29</v>
      </c>
      <c r="D55" s="55">
        <f t="shared" ref="D55" si="4">SUM(D43:D54)</f>
        <v>69</v>
      </c>
      <c r="E55" s="55">
        <f t="shared" ref="E55" si="5">SUM(E43:E54)</f>
        <v>34</v>
      </c>
    </row>
    <row r="56" spans="1:5" ht="15" thickTop="1" x14ac:dyDescent="0.2">
      <c r="A56" s="69">
        <v>2018</v>
      </c>
      <c r="B56" s="4" t="s">
        <v>6</v>
      </c>
      <c r="C56" s="3">
        <v>3</v>
      </c>
      <c r="D56" s="3">
        <v>8</v>
      </c>
      <c r="E56" s="5">
        <v>5</v>
      </c>
    </row>
    <row r="57" spans="1:5" x14ac:dyDescent="0.2">
      <c r="A57" s="70"/>
      <c r="B57" s="7" t="s">
        <v>7</v>
      </c>
      <c r="C57" s="6">
        <v>6</v>
      </c>
      <c r="D57" s="6">
        <v>7</v>
      </c>
      <c r="E57" s="8">
        <v>6</v>
      </c>
    </row>
    <row r="58" spans="1:5" x14ac:dyDescent="0.2">
      <c r="A58" s="70"/>
      <c r="B58" s="7" t="s">
        <v>8</v>
      </c>
      <c r="C58" s="6">
        <v>4</v>
      </c>
      <c r="D58" s="6">
        <v>9</v>
      </c>
      <c r="E58" s="8">
        <v>6</v>
      </c>
    </row>
    <row r="59" spans="1:5" x14ac:dyDescent="0.2">
      <c r="A59" s="70"/>
      <c r="B59" s="7" t="s">
        <v>9</v>
      </c>
      <c r="C59" s="6">
        <v>2</v>
      </c>
      <c r="D59" s="6">
        <v>2</v>
      </c>
      <c r="E59" s="8">
        <v>1</v>
      </c>
    </row>
    <row r="60" spans="1:5" x14ac:dyDescent="0.2">
      <c r="A60" s="70"/>
      <c r="B60" s="7" t="s">
        <v>10</v>
      </c>
      <c r="C60" s="6">
        <v>3</v>
      </c>
      <c r="D60" s="6">
        <v>6</v>
      </c>
      <c r="E60" s="8">
        <v>2</v>
      </c>
    </row>
    <row r="61" spans="1:5" x14ac:dyDescent="0.2">
      <c r="A61" s="70"/>
      <c r="B61" s="7" t="s">
        <v>11</v>
      </c>
      <c r="C61" s="6">
        <v>2</v>
      </c>
      <c r="D61" s="6">
        <v>5</v>
      </c>
      <c r="E61" s="8">
        <v>0</v>
      </c>
    </row>
    <row r="62" spans="1:5" x14ac:dyDescent="0.2">
      <c r="A62" s="70"/>
      <c r="B62" s="7" t="s">
        <v>12</v>
      </c>
      <c r="C62" s="6">
        <v>2</v>
      </c>
      <c r="D62" s="6">
        <v>2</v>
      </c>
      <c r="E62" s="8">
        <v>1</v>
      </c>
    </row>
    <row r="63" spans="1:5" x14ac:dyDescent="0.2">
      <c r="A63" s="70"/>
      <c r="B63" s="7" t="s">
        <v>13</v>
      </c>
      <c r="C63" s="6">
        <v>4</v>
      </c>
      <c r="D63" s="6">
        <v>2</v>
      </c>
      <c r="E63" s="8">
        <v>2</v>
      </c>
    </row>
    <row r="64" spans="1:5" x14ac:dyDescent="0.2">
      <c r="A64" s="70"/>
      <c r="B64" s="7" t="s">
        <v>14</v>
      </c>
      <c r="C64" s="6">
        <v>2</v>
      </c>
      <c r="D64" s="6">
        <v>5</v>
      </c>
      <c r="E64" s="8">
        <v>3</v>
      </c>
    </row>
    <row r="65" spans="1:5" x14ac:dyDescent="0.2">
      <c r="A65" s="70"/>
      <c r="B65" s="7" t="s">
        <v>15</v>
      </c>
      <c r="C65" s="6">
        <v>5</v>
      </c>
      <c r="D65" s="6">
        <v>6</v>
      </c>
      <c r="E65" s="8">
        <v>2</v>
      </c>
    </row>
    <row r="66" spans="1:5" x14ac:dyDescent="0.2">
      <c r="A66" s="70"/>
      <c r="B66" s="7" t="s">
        <v>16</v>
      </c>
      <c r="C66" s="6">
        <v>3</v>
      </c>
      <c r="D66" s="6">
        <v>6</v>
      </c>
      <c r="E66" s="8">
        <v>2</v>
      </c>
    </row>
    <row r="67" spans="1:5" ht="15" thickBot="1" x14ac:dyDescent="0.25">
      <c r="A67" s="71"/>
      <c r="B67" s="10" t="s">
        <v>17</v>
      </c>
      <c r="C67" s="9">
        <v>7</v>
      </c>
      <c r="D67" s="9">
        <v>4</v>
      </c>
      <c r="E67" s="11">
        <v>2</v>
      </c>
    </row>
    <row r="68" spans="1:5" ht="15" thickTop="1" x14ac:dyDescent="0.2">
      <c r="A68" s="58"/>
      <c r="B68" s="12"/>
      <c r="C68" s="55">
        <f>SUM(C56:C67)</f>
        <v>43</v>
      </c>
      <c r="D68" s="55">
        <f t="shared" ref="D68" si="6">SUM(D56:D67)</f>
        <v>62</v>
      </c>
      <c r="E68" s="55">
        <f t="shared" ref="E68" si="7">SUM(E56:E67)</f>
        <v>32</v>
      </c>
    </row>
    <row r="69" spans="1:5" x14ac:dyDescent="0.2">
      <c r="A69" s="58"/>
      <c r="B69" s="12"/>
      <c r="C69" s="59"/>
      <c r="D69" s="59"/>
      <c r="E69" s="59"/>
    </row>
  </sheetData>
  <mergeCells count="9">
    <mergeCell ref="A30:A41"/>
    <mergeCell ref="A43:A54"/>
    <mergeCell ref="A56:A67"/>
    <mergeCell ref="A1:E1"/>
    <mergeCell ref="A2:A3"/>
    <mergeCell ref="B2:B3"/>
    <mergeCell ref="C2:E2"/>
    <mergeCell ref="A4:A15"/>
    <mergeCell ref="A17:A2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E10"/>
  <sheetViews>
    <sheetView workbookViewId="0">
      <selection activeCell="C6" sqref="C6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40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  <c r="B5" s="55">
        <v>34</v>
      </c>
      <c r="C5" s="55">
        <v>82</v>
      </c>
      <c r="D5" s="55">
        <v>43</v>
      </c>
      <c r="E5" s="21">
        <f t="shared" ref="E5:E9" si="0">SUM(B5:D5)</f>
        <v>159</v>
      </c>
    </row>
    <row r="6" spans="1:5" x14ac:dyDescent="0.25">
      <c r="A6" s="49">
        <v>2015</v>
      </c>
      <c r="B6" s="6">
        <v>61</v>
      </c>
      <c r="C6" s="6">
        <v>131</v>
      </c>
      <c r="D6" s="31">
        <v>69</v>
      </c>
      <c r="E6" s="21">
        <f t="shared" si="0"/>
        <v>261</v>
      </c>
    </row>
    <row r="7" spans="1:5" x14ac:dyDescent="0.25">
      <c r="A7" s="49">
        <v>2016</v>
      </c>
      <c r="B7" s="6">
        <v>59</v>
      </c>
      <c r="C7" s="6">
        <v>109</v>
      </c>
      <c r="D7" s="31">
        <v>39</v>
      </c>
      <c r="E7" s="21">
        <f t="shared" si="0"/>
        <v>207</v>
      </c>
    </row>
    <row r="8" spans="1:5" x14ac:dyDescent="0.25">
      <c r="A8" s="49">
        <v>2017</v>
      </c>
      <c r="B8" s="6">
        <v>29</v>
      </c>
      <c r="C8" s="6">
        <v>69</v>
      </c>
      <c r="D8" s="31">
        <v>34</v>
      </c>
      <c r="E8" s="21">
        <f t="shared" si="0"/>
        <v>132</v>
      </c>
    </row>
    <row r="9" spans="1:5" ht="15.75" thickBot="1" x14ac:dyDescent="0.3">
      <c r="A9" s="49">
        <v>2018</v>
      </c>
      <c r="B9" s="9">
        <v>43</v>
      </c>
      <c r="C9" s="9">
        <v>62</v>
      </c>
      <c r="D9" s="32">
        <v>32</v>
      </c>
      <c r="E9" s="22">
        <f t="shared" si="0"/>
        <v>137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E10"/>
  <sheetViews>
    <sheetView workbookViewId="0">
      <selection activeCell="C5" sqref="C5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41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3">
        <v>53</v>
      </c>
      <c r="C5" s="3">
        <v>32</v>
      </c>
      <c r="D5" s="30">
        <v>9</v>
      </c>
      <c r="E5" s="5">
        <f>SUM(B5:D5)</f>
        <v>94</v>
      </c>
    </row>
    <row r="6" spans="1:5" x14ac:dyDescent="0.25">
      <c r="A6" s="49">
        <v>2015</v>
      </c>
      <c r="B6" s="6">
        <v>49</v>
      </c>
      <c r="C6" s="6">
        <v>29</v>
      </c>
      <c r="D6" s="31">
        <v>10</v>
      </c>
      <c r="E6" s="21">
        <f t="shared" ref="E6:E9" si="0">SUM(B6:D6)</f>
        <v>88</v>
      </c>
    </row>
    <row r="7" spans="1:5" x14ac:dyDescent="0.25">
      <c r="A7" s="49">
        <v>2016</v>
      </c>
      <c r="B7" s="6">
        <v>62</v>
      </c>
      <c r="C7" s="6">
        <v>33</v>
      </c>
      <c r="D7" s="31">
        <v>14</v>
      </c>
      <c r="E7" s="21">
        <f t="shared" si="0"/>
        <v>109</v>
      </c>
    </row>
    <row r="8" spans="1:5" x14ac:dyDescent="0.25">
      <c r="A8" s="49">
        <v>2017</v>
      </c>
      <c r="B8" s="6">
        <v>56</v>
      </c>
      <c r="C8" s="6">
        <v>38</v>
      </c>
      <c r="D8" s="31">
        <v>20</v>
      </c>
      <c r="E8" s="21">
        <f t="shared" si="0"/>
        <v>114</v>
      </c>
    </row>
    <row r="9" spans="1:5" ht="15.75" thickBot="1" x14ac:dyDescent="0.3">
      <c r="A9" s="49">
        <v>2018</v>
      </c>
      <c r="B9" s="9">
        <v>56</v>
      </c>
      <c r="C9" s="9">
        <v>44</v>
      </c>
      <c r="D9" s="32">
        <v>37</v>
      </c>
      <c r="E9" s="22">
        <f t="shared" si="0"/>
        <v>137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E10"/>
  <sheetViews>
    <sheetView workbookViewId="0">
      <selection activeCell="D14" sqref="D14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42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3">
        <v>11</v>
      </c>
      <c r="C5" s="3">
        <v>21</v>
      </c>
      <c r="D5" s="30">
        <v>5</v>
      </c>
      <c r="E5" s="5">
        <f>SUM(B5:D5)</f>
        <v>37</v>
      </c>
    </row>
    <row r="6" spans="1:5" x14ac:dyDescent="0.25">
      <c r="A6" s="49">
        <v>2015</v>
      </c>
      <c r="B6" s="6">
        <v>33</v>
      </c>
      <c r="C6" s="6">
        <v>16</v>
      </c>
      <c r="D6" s="31">
        <v>13</v>
      </c>
      <c r="E6" s="21">
        <f t="shared" ref="E6:E9" si="0">SUM(B6:D6)</f>
        <v>62</v>
      </c>
    </row>
    <row r="7" spans="1:5" x14ac:dyDescent="0.25">
      <c r="A7" s="49">
        <v>2016</v>
      </c>
      <c r="B7" s="6">
        <v>33</v>
      </c>
      <c r="C7" s="6">
        <v>5</v>
      </c>
      <c r="D7" s="31">
        <v>2</v>
      </c>
      <c r="E7" s="21">
        <f t="shared" si="0"/>
        <v>40</v>
      </c>
    </row>
    <row r="8" spans="1:5" x14ac:dyDescent="0.25">
      <c r="A8" s="49">
        <v>2017</v>
      </c>
      <c r="B8" s="6">
        <v>38</v>
      </c>
      <c r="C8" s="6">
        <v>24</v>
      </c>
      <c r="D8" s="31">
        <v>16</v>
      </c>
      <c r="E8" s="21">
        <f t="shared" si="0"/>
        <v>78</v>
      </c>
    </row>
    <row r="9" spans="1:5" ht="15.75" thickBot="1" x14ac:dyDescent="0.3">
      <c r="A9" s="49">
        <v>2018</v>
      </c>
      <c r="B9" s="9">
        <v>57</v>
      </c>
      <c r="C9" s="9">
        <v>28</v>
      </c>
      <c r="D9" s="32">
        <v>12</v>
      </c>
      <c r="E9" s="22">
        <f t="shared" si="0"/>
        <v>97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E10"/>
  <sheetViews>
    <sheetView workbookViewId="0">
      <selection activeCell="B5" sqref="B5:D5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43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  <c r="B5" s="6">
        <v>25</v>
      </c>
      <c r="C5" s="6">
        <v>60</v>
      </c>
      <c r="D5" s="6">
        <v>12</v>
      </c>
      <c r="E5" s="21">
        <f t="shared" ref="E5:E9" si="0">SUM(B5:D5)</f>
        <v>97</v>
      </c>
    </row>
    <row r="6" spans="1:5" x14ac:dyDescent="0.25">
      <c r="A6" s="49">
        <v>2015</v>
      </c>
      <c r="B6" s="6">
        <v>38</v>
      </c>
      <c r="C6" s="6">
        <v>137</v>
      </c>
      <c r="D6" s="31">
        <v>42</v>
      </c>
      <c r="E6" s="21">
        <f t="shared" si="0"/>
        <v>217</v>
      </c>
    </row>
    <row r="7" spans="1:5" x14ac:dyDescent="0.25">
      <c r="A7" s="49">
        <v>2016</v>
      </c>
      <c r="B7" s="6">
        <v>35</v>
      </c>
      <c r="C7" s="6">
        <v>85</v>
      </c>
      <c r="D7" s="31">
        <v>42</v>
      </c>
      <c r="E7" s="21">
        <f t="shared" si="0"/>
        <v>162</v>
      </c>
    </row>
    <row r="8" spans="1:5" x14ac:dyDescent="0.25">
      <c r="A8" s="49">
        <v>2017</v>
      </c>
      <c r="B8" s="6">
        <v>25</v>
      </c>
      <c r="C8" s="6">
        <v>8</v>
      </c>
      <c r="D8" s="31">
        <v>28</v>
      </c>
      <c r="E8" s="21">
        <f t="shared" si="0"/>
        <v>61</v>
      </c>
    </row>
    <row r="9" spans="1:5" ht="15.75" thickBot="1" x14ac:dyDescent="0.3">
      <c r="A9" s="49">
        <v>2018</v>
      </c>
      <c r="B9" s="9">
        <v>16</v>
      </c>
      <c r="C9" s="9">
        <v>71</v>
      </c>
      <c r="D9" s="32">
        <v>21</v>
      </c>
      <c r="E9" s="22">
        <f t="shared" si="0"/>
        <v>108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E10"/>
  <sheetViews>
    <sheetView workbookViewId="0">
      <selection activeCell="O13" sqref="O13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44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3">
        <v>75</v>
      </c>
      <c r="C5" s="3">
        <v>93</v>
      </c>
      <c r="D5" s="30">
        <v>51</v>
      </c>
      <c r="E5" s="5">
        <f>SUM(B5:D5)</f>
        <v>219</v>
      </c>
    </row>
    <row r="6" spans="1:5" x14ac:dyDescent="0.25">
      <c r="A6" s="49">
        <v>2015</v>
      </c>
      <c r="B6" s="6">
        <v>73</v>
      </c>
      <c r="C6" s="6">
        <v>103</v>
      </c>
      <c r="D6" s="31">
        <v>30</v>
      </c>
      <c r="E6" s="21">
        <f t="shared" ref="E6:E9" si="0">SUM(B6:D6)</f>
        <v>206</v>
      </c>
    </row>
    <row r="7" spans="1:5" x14ac:dyDescent="0.25">
      <c r="A7" s="49">
        <v>2016</v>
      </c>
      <c r="B7" s="6">
        <v>68</v>
      </c>
      <c r="C7" s="6">
        <v>30</v>
      </c>
      <c r="D7" s="31">
        <v>17</v>
      </c>
      <c r="E7" s="21">
        <f t="shared" si="0"/>
        <v>115</v>
      </c>
    </row>
    <row r="8" spans="1:5" x14ac:dyDescent="0.25">
      <c r="A8" s="49">
        <v>2017</v>
      </c>
      <c r="B8" s="6">
        <v>47</v>
      </c>
      <c r="C8" s="6">
        <v>85</v>
      </c>
      <c r="D8" s="31">
        <v>33</v>
      </c>
      <c r="E8" s="21">
        <f t="shared" si="0"/>
        <v>165</v>
      </c>
    </row>
    <row r="9" spans="1:5" ht="15.75" thickBot="1" x14ac:dyDescent="0.3">
      <c r="A9" s="49">
        <v>2018</v>
      </c>
      <c r="B9" s="9">
        <v>49</v>
      </c>
      <c r="C9" s="9">
        <v>67</v>
      </c>
      <c r="D9" s="32">
        <v>17</v>
      </c>
      <c r="E9" s="22">
        <f t="shared" si="0"/>
        <v>133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69"/>
  <sheetViews>
    <sheetView workbookViewId="0">
      <selection activeCell="C16" sqref="C16:E16"/>
    </sheetView>
  </sheetViews>
  <sheetFormatPr defaultRowHeight="14.25" x14ac:dyDescent="0.2"/>
  <cols>
    <col min="1" max="1" width="9.140625" style="1"/>
    <col min="2" max="2" width="11.7109375" style="1" customWidth="1"/>
    <col min="3" max="5" width="9.140625" style="1"/>
    <col min="6" max="6" width="12.7109375" style="1" customWidth="1"/>
    <col min="7" max="16384" width="9.140625" style="1"/>
  </cols>
  <sheetData>
    <row r="1" spans="1:6" ht="15.75" thickTop="1" thickBot="1" x14ac:dyDescent="0.25">
      <c r="A1" s="85" t="s">
        <v>35</v>
      </c>
      <c r="B1" s="86"/>
      <c r="C1" s="86"/>
      <c r="D1" s="86"/>
      <c r="E1" s="86"/>
      <c r="F1" s="87"/>
    </row>
    <row r="2" spans="1:6" ht="15.75" thickTop="1" thickBot="1" x14ac:dyDescent="0.25">
      <c r="A2" s="73" t="s">
        <v>0</v>
      </c>
      <c r="B2" s="73" t="s">
        <v>1</v>
      </c>
      <c r="C2" s="88" t="s">
        <v>18</v>
      </c>
      <c r="D2" s="86"/>
      <c r="E2" s="86"/>
      <c r="F2" s="87"/>
    </row>
    <row r="3" spans="1:6" ht="15.75" thickTop="1" thickBot="1" x14ac:dyDescent="0.25">
      <c r="A3" s="74"/>
      <c r="B3" s="74"/>
      <c r="C3" s="2" t="s">
        <v>2</v>
      </c>
      <c r="D3" s="2" t="s">
        <v>3</v>
      </c>
      <c r="E3" s="14" t="s">
        <v>4</v>
      </c>
      <c r="F3" s="29" t="s">
        <v>29</v>
      </c>
    </row>
    <row r="4" spans="1:6" ht="15" thickTop="1" x14ac:dyDescent="0.2">
      <c r="A4" s="69">
        <v>2014</v>
      </c>
      <c r="B4" s="4" t="s">
        <v>6</v>
      </c>
      <c r="C4" s="3">
        <v>7</v>
      </c>
      <c r="D4" s="3">
        <v>3</v>
      </c>
      <c r="E4" s="30">
        <v>1</v>
      </c>
      <c r="F4" s="5">
        <f>SUM(C4:E4)</f>
        <v>11</v>
      </c>
    </row>
    <row r="5" spans="1:6" x14ac:dyDescent="0.2">
      <c r="A5" s="70"/>
      <c r="B5" s="7" t="s">
        <v>7</v>
      </c>
      <c r="C5" s="6">
        <v>3</v>
      </c>
      <c r="D5" s="6">
        <v>2</v>
      </c>
      <c r="E5" s="31">
        <v>0</v>
      </c>
      <c r="F5" s="8">
        <f t="shared" ref="F5:F67" si="0">SUM(C5:E5)</f>
        <v>5</v>
      </c>
    </row>
    <row r="6" spans="1:6" x14ac:dyDescent="0.2">
      <c r="A6" s="70"/>
      <c r="B6" s="7" t="s">
        <v>8</v>
      </c>
      <c r="C6" s="6">
        <v>2</v>
      </c>
      <c r="D6" s="6">
        <v>2</v>
      </c>
      <c r="E6" s="31">
        <v>1</v>
      </c>
      <c r="F6" s="8">
        <f t="shared" si="0"/>
        <v>5</v>
      </c>
    </row>
    <row r="7" spans="1:6" x14ac:dyDescent="0.2">
      <c r="A7" s="70"/>
      <c r="B7" s="7" t="s">
        <v>9</v>
      </c>
      <c r="C7" s="6">
        <v>7</v>
      </c>
      <c r="D7" s="6">
        <v>2</v>
      </c>
      <c r="E7" s="31">
        <v>1</v>
      </c>
      <c r="F7" s="8">
        <f t="shared" si="0"/>
        <v>10</v>
      </c>
    </row>
    <row r="8" spans="1:6" x14ac:dyDescent="0.2">
      <c r="A8" s="70"/>
      <c r="B8" s="7" t="s">
        <v>10</v>
      </c>
      <c r="C8" s="6">
        <v>4</v>
      </c>
      <c r="D8" s="6">
        <v>5</v>
      </c>
      <c r="E8" s="31">
        <v>0</v>
      </c>
      <c r="F8" s="8">
        <f t="shared" si="0"/>
        <v>9</v>
      </c>
    </row>
    <row r="9" spans="1:6" x14ac:dyDescent="0.2">
      <c r="A9" s="70"/>
      <c r="B9" s="7" t="s">
        <v>11</v>
      </c>
      <c r="C9" s="6">
        <v>5</v>
      </c>
      <c r="D9" s="6">
        <v>1</v>
      </c>
      <c r="E9" s="31">
        <v>1</v>
      </c>
      <c r="F9" s="8">
        <f t="shared" si="0"/>
        <v>7</v>
      </c>
    </row>
    <row r="10" spans="1:6" x14ac:dyDescent="0.2">
      <c r="A10" s="70"/>
      <c r="B10" s="7" t="s">
        <v>12</v>
      </c>
      <c r="C10" s="6">
        <v>3</v>
      </c>
      <c r="D10" s="6">
        <v>4</v>
      </c>
      <c r="E10" s="31">
        <v>2</v>
      </c>
      <c r="F10" s="8">
        <f t="shared" si="0"/>
        <v>9</v>
      </c>
    </row>
    <row r="11" spans="1:6" x14ac:dyDescent="0.2">
      <c r="A11" s="70"/>
      <c r="B11" s="7" t="s">
        <v>13</v>
      </c>
      <c r="C11" s="6">
        <v>4</v>
      </c>
      <c r="D11" s="6">
        <v>5</v>
      </c>
      <c r="E11" s="31">
        <v>1</v>
      </c>
      <c r="F11" s="8">
        <f t="shared" si="0"/>
        <v>10</v>
      </c>
    </row>
    <row r="12" spans="1:6" x14ac:dyDescent="0.2">
      <c r="A12" s="70"/>
      <c r="B12" s="7" t="s">
        <v>14</v>
      </c>
      <c r="C12" s="6">
        <v>2</v>
      </c>
      <c r="D12" s="6">
        <v>0</v>
      </c>
      <c r="E12" s="31">
        <v>1</v>
      </c>
      <c r="F12" s="8">
        <f t="shared" si="0"/>
        <v>3</v>
      </c>
    </row>
    <row r="13" spans="1:6" x14ac:dyDescent="0.2">
      <c r="A13" s="70"/>
      <c r="B13" s="7" t="s">
        <v>15</v>
      </c>
      <c r="C13" s="6">
        <v>3</v>
      </c>
      <c r="D13" s="6">
        <v>1</v>
      </c>
      <c r="E13" s="31">
        <v>0</v>
      </c>
      <c r="F13" s="8">
        <f t="shared" si="0"/>
        <v>4</v>
      </c>
    </row>
    <row r="14" spans="1:6" x14ac:dyDescent="0.2">
      <c r="A14" s="70"/>
      <c r="B14" s="7" t="s">
        <v>16</v>
      </c>
      <c r="C14" s="6">
        <v>6</v>
      </c>
      <c r="D14" s="6">
        <v>2</v>
      </c>
      <c r="E14" s="31">
        <v>0</v>
      </c>
      <c r="F14" s="8">
        <f t="shared" si="0"/>
        <v>8</v>
      </c>
    </row>
    <row r="15" spans="1:6" ht="15" thickBot="1" x14ac:dyDescent="0.25">
      <c r="A15" s="92"/>
      <c r="B15" s="26" t="s">
        <v>17</v>
      </c>
      <c r="C15" s="27">
        <v>3</v>
      </c>
      <c r="D15" s="27">
        <v>1</v>
      </c>
      <c r="E15" s="32">
        <v>1</v>
      </c>
      <c r="F15" s="11">
        <f t="shared" si="0"/>
        <v>5</v>
      </c>
    </row>
    <row r="16" spans="1:6" ht="16.5" customHeight="1" thickTop="1" thickBot="1" x14ac:dyDescent="0.25">
      <c r="A16" s="89" t="s">
        <v>31</v>
      </c>
      <c r="B16" s="90"/>
      <c r="C16" s="35">
        <f>SUM(C4:C15)</f>
        <v>49</v>
      </c>
      <c r="D16" s="35">
        <f>SUM(D4:D15)</f>
        <v>28</v>
      </c>
      <c r="E16" s="35">
        <f>SUM(E4:E15)</f>
        <v>9</v>
      </c>
      <c r="F16" s="35">
        <f>SUM(F4:F15)</f>
        <v>86</v>
      </c>
    </row>
    <row r="17" spans="1:6" ht="15" thickTop="1" x14ac:dyDescent="0.2">
      <c r="A17" s="91">
        <v>2015</v>
      </c>
      <c r="B17" s="28" t="s">
        <v>6</v>
      </c>
      <c r="C17" s="24">
        <v>3</v>
      </c>
      <c r="D17" s="24">
        <v>1</v>
      </c>
      <c r="E17" s="44">
        <v>0</v>
      </c>
      <c r="F17" s="25">
        <f t="shared" si="0"/>
        <v>4</v>
      </c>
    </row>
    <row r="18" spans="1:6" x14ac:dyDescent="0.2">
      <c r="A18" s="70"/>
      <c r="B18" s="7" t="s">
        <v>7</v>
      </c>
      <c r="C18" s="6">
        <v>2</v>
      </c>
      <c r="D18" s="6">
        <v>1</v>
      </c>
      <c r="E18" s="31">
        <v>1</v>
      </c>
      <c r="F18" s="25">
        <f t="shared" si="0"/>
        <v>4</v>
      </c>
    </row>
    <row r="19" spans="1:6" x14ac:dyDescent="0.2">
      <c r="A19" s="70"/>
      <c r="B19" s="7" t="s">
        <v>8</v>
      </c>
      <c r="C19" s="6">
        <v>4</v>
      </c>
      <c r="D19" s="6">
        <v>1</v>
      </c>
      <c r="E19" s="31">
        <v>1</v>
      </c>
      <c r="F19" s="25">
        <f t="shared" si="0"/>
        <v>6</v>
      </c>
    </row>
    <row r="20" spans="1:6" x14ac:dyDescent="0.2">
      <c r="A20" s="70"/>
      <c r="B20" s="7" t="s">
        <v>9</v>
      </c>
      <c r="C20" s="6">
        <v>2</v>
      </c>
      <c r="D20" s="6">
        <v>4</v>
      </c>
      <c r="E20" s="31">
        <v>0</v>
      </c>
      <c r="F20" s="25">
        <f t="shared" si="0"/>
        <v>6</v>
      </c>
    </row>
    <row r="21" spans="1:6" x14ac:dyDescent="0.2">
      <c r="A21" s="70"/>
      <c r="B21" s="7" t="s">
        <v>10</v>
      </c>
      <c r="C21" s="6">
        <v>1</v>
      </c>
      <c r="D21" s="6">
        <v>3</v>
      </c>
      <c r="E21" s="31">
        <v>1</v>
      </c>
      <c r="F21" s="25">
        <f t="shared" si="0"/>
        <v>5</v>
      </c>
    </row>
    <row r="22" spans="1:6" x14ac:dyDescent="0.2">
      <c r="A22" s="70"/>
      <c r="B22" s="7" t="s">
        <v>11</v>
      </c>
      <c r="C22" s="6">
        <v>5</v>
      </c>
      <c r="D22" s="6">
        <v>5</v>
      </c>
      <c r="E22" s="31">
        <v>1</v>
      </c>
      <c r="F22" s="25">
        <f t="shared" si="0"/>
        <v>11</v>
      </c>
    </row>
    <row r="23" spans="1:6" x14ac:dyDescent="0.2">
      <c r="A23" s="70"/>
      <c r="B23" s="7" t="s">
        <v>12</v>
      </c>
      <c r="C23" s="6">
        <v>3</v>
      </c>
      <c r="D23" s="6">
        <v>1</v>
      </c>
      <c r="E23" s="31">
        <v>2</v>
      </c>
      <c r="F23" s="25">
        <f t="shared" si="0"/>
        <v>6</v>
      </c>
    </row>
    <row r="24" spans="1:6" x14ac:dyDescent="0.2">
      <c r="A24" s="70"/>
      <c r="B24" s="7" t="s">
        <v>13</v>
      </c>
      <c r="C24" s="6">
        <v>5</v>
      </c>
      <c r="D24" s="6">
        <v>1</v>
      </c>
      <c r="E24" s="31">
        <v>2</v>
      </c>
      <c r="F24" s="25">
        <f t="shared" si="0"/>
        <v>8</v>
      </c>
    </row>
    <row r="25" spans="1:6" x14ac:dyDescent="0.2">
      <c r="A25" s="70"/>
      <c r="B25" s="7" t="s">
        <v>14</v>
      </c>
      <c r="C25" s="6">
        <v>5</v>
      </c>
      <c r="D25" s="6">
        <v>1</v>
      </c>
      <c r="E25" s="31">
        <v>0</v>
      </c>
      <c r="F25" s="25">
        <f t="shared" si="0"/>
        <v>6</v>
      </c>
    </row>
    <row r="26" spans="1:6" x14ac:dyDescent="0.2">
      <c r="A26" s="70"/>
      <c r="B26" s="7" t="s">
        <v>15</v>
      </c>
      <c r="C26" s="6">
        <v>3</v>
      </c>
      <c r="D26" s="6">
        <v>1</v>
      </c>
      <c r="E26" s="31">
        <v>2</v>
      </c>
      <c r="F26" s="25">
        <f t="shared" si="0"/>
        <v>6</v>
      </c>
    </row>
    <row r="27" spans="1:6" x14ac:dyDescent="0.2">
      <c r="A27" s="70"/>
      <c r="B27" s="7" t="s">
        <v>16</v>
      </c>
      <c r="C27" s="6">
        <v>3</v>
      </c>
      <c r="D27" s="6">
        <v>2</v>
      </c>
      <c r="E27" s="31">
        <v>1</v>
      </c>
      <c r="F27" s="25">
        <f t="shared" si="0"/>
        <v>6</v>
      </c>
    </row>
    <row r="28" spans="1:6" ht="15" thickBot="1" x14ac:dyDescent="0.25">
      <c r="A28" s="92"/>
      <c r="B28" s="26" t="s">
        <v>17</v>
      </c>
      <c r="C28" s="27">
        <v>5</v>
      </c>
      <c r="D28" s="27">
        <v>5</v>
      </c>
      <c r="E28" s="37">
        <v>1</v>
      </c>
      <c r="F28" s="25">
        <f t="shared" si="0"/>
        <v>11</v>
      </c>
    </row>
    <row r="29" spans="1:6" ht="15.75" thickTop="1" thickBot="1" x14ac:dyDescent="0.25">
      <c r="A29" s="45" t="s">
        <v>32</v>
      </c>
      <c r="B29" s="34"/>
      <c r="C29" s="35">
        <f>SUM(C17:C28)</f>
        <v>41</v>
      </c>
      <c r="D29" s="35">
        <f>SUM(D17:D28)</f>
        <v>26</v>
      </c>
      <c r="E29" s="35">
        <f>SUM(E17:E28)</f>
        <v>12</v>
      </c>
      <c r="F29" s="35">
        <f>SUM(F17:F28)</f>
        <v>79</v>
      </c>
    </row>
    <row r="30" spans="1:6" ht="15" thickTop="1" x14ac:dyDescent="0.2">
      <c r="A30" s="91">
        <v>2016</v>
      </c>
      <c r="B30" s="28" t="s">
        <v>6</v>
      </c>
      <c r="C30" s="24">
        <v>4</v>
      </c>
      <c r="D30" s="24">
        <v>3</v>
      </c>
      <c r="E30" s="44">
        <v>4</v>
      </c>
      <c r="F30" s="25">
        <f t="shared" si="0"/>
        <v>11</v>
      </c>
    </row>
    <row r="31" spans="1:6" x14ac:dyDescent="0.2">
      <c r="A31" s="70"/>
      <c r="B31" s="7" t="s">
        <v>7</v>
      </c>
      <c r="C31" s="6">
        <v>8</v>
      </c>
      <c r="D31" s="6">
        <v>4</v>
      </c>
      <c r="E31" s="31">
        <v>2</v>
      </c>
      <c r="F31" s="25">
        <f t="shared" si="0"/>
        <v>14</v>
      </c>
    </row>
    <row r="32" spans="1:6" x14ac:dyDescent="0.2">
      <c r="A32" s="70"/>
      <c r="B32" s="7" t="s">
        <v>8</v>
      </c>
      <c r="C32" s="6">
        <v>3</v>
      </c>
      <c r="D32" s="6">
        <v>6</v>
      </c>
      <c r="E32" s="31">
        <v>3</v>
      </c>
      <c r="F32" s="25">
        <f t="shared" si="0"/>
        <v>12</v>
      </c>
    </row>
    <row r="33" spans="1:6" x14ac:dyDescent="0.2">
      <c r="A33" s="70"/>
      <c r="B33" s="7" t="s">
        <v>9</v>
      </c>
      <c r="C33" s="6">
        <v>2</v>
      </c>
      <c r="D33" s="6">
        <v>2</v>
      </c>
      <c r="E33" s="31">
        <v>1</v>
      </c>
      <c r="F33" s="25">
        <f t="shared" si="0"/>
        <v>5</v>
      </c>
    </row>
    <row r="34" spans="1:6" x14ac:dyDescent="0.2">
      <c r="A34" s="70"/>
      <c r="B34" s="7" t="s">
        <v>10</v>
      </c>
      <c r="C34" s="6">
        <v>5</v>
      </c>
      <c r="D34" s="6">
        <v>4</v>
      </c>
      <c r="E34" s="31">
        <v>2</v>
      </c>
      <c r="F34" s="25">
        <f t="shared" si="0"/>
        <v>11</v>
      </c>
    </row>
    <row r="35" spans="1:6" x14ac:dyDescent="0.2">
      <c r="A35" s="70"/>
      <c r="B35" s="7" t="s">
        <v>11</v>
      </c>
      <c r="C35" s="6">
        <v>8</v>
      </c>
      <c r="D35" s="6">
        <v>1</v>
      </c>
      <c r="E35" s="31">
        <v>0</v>
      </c>
      <c r="F35" s="25">
        <f t="shared" si="0"/>
        <v>9</v>
      </c>
    </row>
    <row r="36" spans="1:6" x14ac:dyDescent="0.2">
      <c r="A36" s="70"/>
      <c r="B36" s="7" t="s">
        <v>12</v>
      </c>
      <c r="C36" s="6">
        <v>3</v>
      </c>
      <c r="D36" s="6">
        <v>0</v>
      </c>
      <c r="E36" s="31">
        <v>0</v>
      </c>
      <c r="F36" s="25">
        <f t="shared" si="0"/>
        <v>3</v>
      </c>
    </row>
    <row r="37" spans="1:6" x14ac:dyDescent="0.2">
      <c r="A37" s="70"/>
      <c r="B37" s="7" t="s">
        <v>13</v>
      </c>
      <c r="C37" s="6">
        <v>7</v>
      </c>
      <c r="D37" s="6">
        <v>3</v>
      </c>
      <c r="E37" s="31">
        <v>0</v>
      </c>
      <c r="F37" s="25">
        <f t="shared" si="0"/>
        <v>10</v>
      </c>
    </row>
    <row r="38" spans="1:6" x14ac:dyDescent="0.2">
      <c r="A38" s="70"/>
      <c r="B38" s="7" t="s">
        <v>14</v>
      </c>
      <c r="C38" s="6">
        <v>1</v>
      </c>
      <c r="D38" s="6">
        <v>2</v>
      </c>
      <c r="E38" s="31">
        <v>0</v>
      </c>
      <c r="F38" s="25">
        <f t="shared" si="0"/>
        <v>3</v>
      </c>
    </row>
    <row r="39" spans="1:6" x14ac:dyDescent="0.2">
      <c r="A39" s="70"/>
      <c r="B39" s="7" t="s">
        <v>15</v>
      </c>
      <c r="C39" s="6">
        <v>3</v>
      </c>
      <c r="D39" s="6">
        <v>3</v>
      </c>
      <c r="E39" s="31">
        <v>0</v>
      </c>
      <c r="F39" s="25">
        <f t="shared" si="0"/>
        <v>6</v>
      </c>
    </row>
    <row r="40" spans="1:6" x14ac:dyDescent="0.2">
      <c r="A40" s="70"/>
      <c r="B40" s="7" t="s">
        <v>16</v>
      </c>
      <c r="C40" s="6">
        <v>6</v>
      </c>
      <c r="D40" s="6">
        <v>0</v>
      </c>
      <c r="E40" s="31">
        <v>3</v>
      </c>
      <c r="F40" s="25">
        <f t="shared" si="0"/>
        <v>9</v>
      </c>
    </row>
    <row r="41" spans="1:6" ht="15" thickBot="1" x14ac:dyDescent="0.25">
      <c r="A41" s="92"/>
      <c r="B41" s="26" t="s">
        <v>17</v>
      </c>
      <c r="C41" s="27">
        <v>7</v>
      </c>
      <c r="D41" s="27">
        <v>2</v>
      </c>
      <c r="E41" s="37">
        <v>0</v>
      </c>
      <c r="F41" s="25">
        <f t="shared" si="0"/>
        <v>9</v>
      </c>
    </row>
    <row r="42" spans="1:6" ht="15.75" thickTop="1" thickBot="1" x14ac:dyDescent="0.25">
      <c r="A42" s="45" t="s">
        <v>33</v>
      </c>
      <c r="B42" s="34"/>
      <c r="C42" s="35">
        <f>SUM(C29:C41)</f>
        <v>98</v>
      </c>
      <c r="D42" s="35">
        <f>SUM(D29:D41)</f>
        <v>56</v>
      </c>
      <c r="E42" s="35">
        <f>SUM(E29:E41)</f>
        <v>27</v>
      </c>
      <c r="F42" s="35">
        <f>SUM(F30:F41)</f>
        <v>102</v>
      </c>
    </row>
    <row r="43" spans="1:6" ht="15" thickTop="1" x14ac:dyDescent="0.2">
      <c r="A43" s="91">
        <v>2017</v>
      </c>
      <c r="B43" s="28" t="s">
        <v>6</v>
      </c>
      <c r="C43" s="24">
        <v>5</v>
      </c>
      <c r="D43" s="24">
        <v>5</v>
      </c>
      <c r="E43" s="44">
        <v>2</v>
      </c>
      <c r="F43" s="25">
        <f t="shared" si="0"/>
        <v>12</v>
      </c>
    </row>
    <row r="44" spans="1:6" x14ac:dyDescent="0.2">
      <c r="A44" s="70"/>
      <c r="B44" s="7" t="s">
        <v>7</v>
      </c>
      <c r="C44" s="6">
        <v>6</v>
      </c>
      <c r="D44" s="6">
        <v>1</v>
      </c>
      <c r="E44" s="31">
        <v>0</v>
      </c>
      <c r="F44" s="25">
        <f t="shared" si="0"/>
        <v>7</v>
      </c>
    </row>
    <row r="45" spans="1:6" x14ac:dyDescent="0.2">
      <c r="A45" s="70"/>
      <c r="B45" s="7" t="s">
        <v>8</v>
      </c>
      <c r="C45" s="6">
        <v>2</v>
      </c>
      <c r="D45" s="6">
        <v>5</v>
      </c>
      <c r="E45" s="31">
        <v>1</v>
      </c>
      <c r="F45" s="25">
        <f t="shared" si="0"/>
        <v>8</v>
      </c>
    </row>
    <row r="46" spans="1:6" x14ac:dyDescent="0.2">
      <c r="A46" s="70"/>
      <c r="B46" s="7" t="s">
        <v>9</v>
      </c>
      <c r="C46" s="6">
        <v>7</v>
      </c>
      <c r="D46" s="6">
        <v>2</v>
      </c>
      <c r="E46" s="31">
        <v>2</v>
      </c>
      <c r="F46" s="25">
        <f t="shared" si="0"/>
        <v>11</v>
      </c>
    </row>
    <row r="47" spans="1:6" x14ac:dyDescent="0.2">
      <c r="A47" s="70"/>
      <c r="B47" s="7" t="s">
        <v>10</v>
      </c>
      <c r="C47" s="6">
        <v>8</v>
      </c>
      <c r="D47" s="6">
        <v>5</v>
      </c>
      <c r="E47" s="31">
        <v>1</v>
      </c>
      <c r="F47" s="25">
        <f t="shared" si="0"/>
        <v>14</v>
      </c>
    </row>
    <row r="48" spans="1:6" x14ac:dyDescent="0.2">
      <c r="A48" s="70"/>
      <c r="B48" s="7" t="s">
        <v>11</v>
      </c>
      <c r="C48" s="6">
        <v>6</v>
      </c>
      <c r="D48" s="6">
        <v>6</v>
      </c>
      <c r="E48" s="31">
        <v>0</v>
      </c>
      <c r="F48" s="25">
        <f t="shared" si="0"/>
        <v>12</v>
      </c>
    </row>
    <row r="49" spans="1:6" x14ac:dyDescent="0.2">
      <c r="A49" s="70"/>
      <c r="B49" s="7" t="s">
        <v>12</v>
      </c>
      <c r="C49" s="6">
        <v>12</v>
      </c>
      <c r="D49" s="6">
        <v>2</v>
      </c>
      <c r="E49" s="31">
        <v>1</v>
      </c>
      <c r="F49" s="25">
        <f t="shared" si="0"/>
        <v>15</v>
      </c>
    </row>
    <row r="50" spans="1:6" x14ac:dyDescent="0.2">
      <c r="A50" s="70"/>
      <c r="B50" s="7" t="s">
        <v>13</v>
      </c>
      <c r="C50" s="6">
        <v>15</v>
      </c>
      <c r="D50" s="6">
        <v>10</v>
      </c>
      <c r="E50" s="31">
        <v>2</v>
      </c>
      <c r="F50" s="25">
        <f t="shared" si="0"/>
        <v>27</v>
      </c>
    </row>
    <row r="51" spans="1:6" x14ac:dyDescent="0.2">
      <c r="A51" s="70"/>
      <c r="B51" s="7" t="s">
        <v>14</v>
      </c>
      <c r="C51" s="6">
        <v>3</v>
      </c>
      <c r="D51" s="6">
        <v>3</v>
      </c>
      <c r="E51" s="31">
        <v>1</v>
      </c>
      <c r="F51" s="25">
        <f t="shared" si="0"/>
        <v>7</v>
      </c>
    </row>
    <row r="52" spans="1:6" x14ac:dyDescent="0.2">
      <c r="A52" s="70"/>
      <c r="B52" s="7" t="s">
        <v>15</v>
      </c>
      <c r="C52" s="6">
        <v>9</v>
      </c>
      <c r="D52" s="6">
        <v>1</v>
      </c>
      <c r="E52" s="31">
        <v>0</v>
      </c>
      <c r="F52" s="25">
        <f t="shared" si="0"/>
        <v>10</v>
      </c>
    </row>
    <row r="53" spans="1:6" x14ac:dyDescent="0.2">
      <c r="A53" s="70"/>
      <c r="B53" s="7" t="s">
        <v>16</v>
      </c>
      <c r="C53" s="6">
        <v>5</v>
      </c>
      <c r="D53" s="6">
        <v>5</v>
      </c>
      <c r="E53" s="31">
        <v>1</v>
      </c>
      <c r="F53" s="25">
        <f t="shared" si="0"/>
        <v>11</v>
      </c>
    </row>
    <row r="54" spans="1:6" ht="15" thickBot="1" x14ac:dyDescent="0.25">
      <c r="A54" s="92"/>
      <c r="B54" s="26" t="s">
        <v>17</v>
      </c>
      <c r="C54" s="27">
        <v>3</v>
      </c>
      <c r="D54" s="27">
        <v>3</v>
      </c>
      <c r="E54" s="37">
        <v>6</v>
      </c>
      <c r="F54" s="25">
        <f t="shared" si="0"/>
        <v>12</v>
      </c>
    </row>
    <row r="55" spans="1:6" ht="15.75" thickTop="1" thickBot="1" x14ac:dyDescent="0.25">
      <c r="A55" s="45" t="s">
        <v>34</v>
      </c>
      <c r="B55" s="34"/>
      <c r="C55" s="35">
        <f>SUM(C43:C54)</f>
        <v>81</v>
      </c>
      <c r="D55" s="35">
        <f>SUM(D43:D54)</f>
        <v>48</v>
      </c>
      <c r="E55" s="35">
        <f>SUM(E43:E54)</f>
        <v>17</v>
      </c>
      <c r="F55" s="35">
        <f>SUM(F43:F54)</f>
        <v>146</v>
      </c>
    </row>
    <row r="56" spans="1:6" ht="15" thickTop="1" x14ac:dyDescent="0.2">
      <c r="A56" s="91">
        <v>2018</v>
      </c>
      <c r="B56" s="28" t="s">
        <v>6</v>
      </c>
      <c r="C56" s="24">
        <v>8</v>
      </c>
      <c r="D56" s="24">
        <v>2</v>
      </c>
      <c r="E56" s="44">
        <v>1</v>
      </c>
      <c r="F56" s="25">
        <f t="shared" si="0"/>
        <v>11</v>
      </c>
    </row>
    <row r="57" spans="1:6" x14ac:dyDescent="0.2">
      <c r="A57" s="70"/>
      <c r="B57" s="7" t="s">
        <v>7</v>
      </c>
      <c r="C57" s="6">
        <v>5</v>
      </c>
      <c r="D57" s="6">
        <v>3</v>
      </c>
      <c r="E57" s="31">
        <v>1</v>
      </c>
      <c r="F57" s="25">
        <f t="shared" si="0"/>
        <v>9</v>
      </c>
    </row>
    <row r="58" spans="1:6" x14ac:dyDescent="0.2">
      <c r="A58" s="70"/>
      <c r="B58" s="7" t="s">
        <v>8</v>
      </c>
      <c r="C58" s="6">
        <v>5</v>
      </c>
      <c r="D58" s="6">
        <v>1</v>
      </c>
      <c r="E58" s="31">
        <v>1</v>
      </c>
      <c r="F58" s="25">
        <f t="shared" si="0"/>
        <v>7</v>
      </c>
    </row>
    <row r="59" spans="1:6" x14ac:dyDescent="0.2">
      <c r="A59" s="70"/>
      <c r="B59" s="7" t="s">
        <v>9</v>
      </c>
      <c r="C59" s="6">
        <v>5</v>
      </c>
      <c r="D59" s="6">
        <v>0</v>
      </c>
      <c r="E59" s="31">
        <v>2</v>
      </c>
      <c r="F59" s="25">
        <f t="shared" si="0"/>
        <v>7</v>
      </c>
    </row>
    <row r="60" spans="1:6" x14ac:dyDescent="0.2">
      <c r="A60" s="70"/>
      <c r="B60" s="7" t="s">
        <v>10</v>
      </c>
      <c r="C60" s="6">
        <v>7</v>
      </c>
      <c r="D60" s="6">
        <v>7</v>
      </c>
      <c r="E60" s="31">
        <v>2</v>
      </c>
      <c r="F60" s="25">
        <f t="shared" si="0"/>
        <v>16</v>
      </c>
    </row>
    <row r="61" spans="1:6" x14ac:dyDescent="0.2">
      <c r="A61" s="70"/>
      <c r="B61" s="7" t="s">
        <v>11</v>
      </c>
      <c r="C61" s="6">
        <v>9</v>
      </c>
      <c r="D61" s="6">
        <v>4</v>
      </c>
      <c r="E61" s="31">
        <v>0</v>
      </c>
      <c r="F61" s="25">
        <f t="shared" si="0"/>
        <v>13</v>
      </c>
    </row>
    <row r="62" spans="1:6" x14ac:dyDescent="0.2">
      <c r="A62" s="70"/>
      <c r="B62" s="7" t="s">
        <v>12</v>
      </c>
      <c r="C62" s="6">
        <v>6</v>
      </c>
      <c r="D62" s="6">
        <v>1</v>
      </c>
      <c r="E62" s="31">
        <v>0</v>
      </c>
      <c r="F62" s="25">
        <f t="shared" si="0"/>
        <v>7</v>
      </c>
    </row>
    <row r="63" spans="1:6" x14ac:dyDescent="0.2">
      <c r="A63" s="70"/>
      <c r="B63" s="7" t="s">
        <v>13</v>
      </c>
      <c r="C63" s="6">
        <v>8</v>
      </c>
      <c r="D63" s="6">
        <v>1</v>
      </c>
      <c r="E63" s="31">
        <v>1</v>
      </c>
      <c r="F63" s="25">
        <f t="shared" si="0"/>
        <v>10</v>
      </c>
    </row>
    <row r="64" spans="1:6" x14ac:dyDescent="0.2">
      <c r="A64" s="70"/>
      <c r="B64" s="7" t="s">
        <v>14</v>
      </c>
      <c r="C64" s="6">
        <v>0</v>
      </c>
      <c r="D64" s="6">
        <v>0</v>
      </c>
      <c r="E64" s="31">
        <v>0</v>
      </c>
      <c r="F64" s="25">
        <f t="shared" si="0"/>
        <v>0</v>
      </c>
    </row>
    <row r="65" spans="1:6" x14ac:dyDescent="0.2">
      <c r="A65" s="70"/>
      <c r="B65" s="7" t="s">
        <v>15</v>
      </c>
      <c r="C65" s="6">
        <v>3</v>
      </c>
      <c r="D65" s="6">
        <v>4</v>
      </c>
      <c r="E65" s="31">
        <v>0</v>
      </c>
      <c r="F65" s="25">
        <f t="shared" si="0"/>
        <v>7</v>
      </c>
    </row>
    <row r="66" spans="1:6" x14ac:dyDescent="0.2">
      <c r="A66" s="70"/>
      <c r="B66" s="7" t="s">
        <v>16</v>
      </c>
      <c r="C66" s="6">
        <v>0</v>
      </c>
      <c r="D66" s="6">
        <v>5</v>
      </c>
      <c r="E66" s="31">
        <v>3</v>
      </c>
      <c r="F66" s="25">
        <f t="shared" si="0"/>
        <v>8</v>
      </c>
    </row>
    <row r="67" spans="1:6" ht="15" thickBot="1" x14ac:dyDescent="0.25">
      <c r="A67" s="71"/>
      <c r="B67" s="10" t="s">
        <v>17</v>
      </c>
      <c r="C67" s="9">
        <v>5</v>
      </c>
      <c r="D67" s="9">
        <v>4</v>
      </c>
      <c r="E67" s="32">
        <v>1</v>
      </c>
      <c r="F67" s="25">
        <f t="shared" si="0"/>
        <v>10</v>
      </c>
    </row>
    <row r="68" spans="1:6" ht="15.75" thickTop="1" thickBot="1" x14ac:dyDescent="0.25">
      <c r="A68" s="45" t="s">
        <v>30</v>
      </c>
      <c r="B68" s="34"/>
      <c r="C68" s="35">
        <f>SUM(C56:C67)</f>
        <v>61</v>
      </c>
      <c r="D68" s="35">
        <f>SUM(D56:D67)</f>
        <v>32</v>
      </c>
      <c r="E68" s="35">
        <f>SUM(E56:E67)</f>
        <v>12</v>
      </c>
      <c r="F68" s="35">
        <f>SUM(F56:F67)</f>
        <v>105</v>
      </c>
    </row>
    <row r="69" spans="1:6" ht="15" thickTop="1" x14ac:dyDescent="0.2"/>
  </sheetData>
  <mergeCells count="10">
    <mergeCell ref="A56:A67"/>
    <mergeCell ref="A43:A54"/>
    <mergeCell ref="A30:A41"/>
    <mergeCell ref="A17:A28"/>
    <mergeCell ref="A4:A15"/>
    <mergeCell ref="A1:F1"/>
    <mergeCell ref="C2:F2"/>
    <mergeCell ref="A16:B16"/>
    <mergeCell ref="A2:A3"/>
    <mergeCell ref="B2:B3"/>
  </mergeCells>
  <pageMargins left="0.7" right="0.7" top="0.75" bottom="0.75" header="0.3" footer="0.3"/>
  <ignoredErrors>
    <ignoredError sqref="F16 F29 F55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E10"/>
  <sheetViews>
    <sheetView workbookViewId="0">
      <selection activeCell="P13" sqref="P13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45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6.5" thickTop="1" thickBot="1" x14ac:dyDescent="0.3">
      <c r="A5" s="49">
        <v>2014</v>
      </c>
      <c r="B5" s="35">
        <v>49</v>
      </c>
      <c r="C5" s="35">
        <v>28</v>
      </c>
      <c r="D5" s="35">
        <v>9</v>
      </c>
      <c r="E5" s="21">
        <f t="shared" ref="E5:E9" si="0">SUM(B5:D5)</f>
        <v>86</v>
      </c>
    </row>
    <row r="6" spans="1:5" ht="15.75" thickTop="1" x14ac:dyDescent="0.25">
      <c r="A6" s="49">
        <v>2015</v>
      </c>
      <c r="B6" s="6">
        <v>41</v>
      </c>
      <c r="C6" s="6">
        <v>26</v>
      </c>
      <c r="D6" s="31">
        <v>12</v>
      </c>
      <c r="E6" s="21">
        <f t="shared" si="0"/>
        <v>79</v>
      </c>
    </row>
    <row r="7" spans="1:5" x14ac:dyDescent="0.25">
      <c r="A7" s="49">
        <v>2016</v>
      </c>
      <c r="B7" s="6">
        <v>98</v>
      </c>
      <c r="C7" s="6">
        <v>56</v>
      </c>
      <c r="D7" s="31">
        <v>27</v>
      </c>
      <c r="E7" s="21">
        <f t="shared" si="0"/>
        <v>181</v>
      </c>
    </row>
    <row r="8" spans="1:5" x14ac:dyDescent="0.25">
      <c r="A8" s="49">
        <v>2017</v>
      </c>
      <c r="B8" s="6">
        <v>81</v>
      </c>
      <c r="C8" s="6">
        <v>48</v>
      </c>
      <c r="D8" s="31">
        <v>17</v>
      </c>
      <c r="E8" s="21">
        <f t="shared" si="0"/>
        <v>146</v>
      </c>
    </row>
    <row r="9" spans="1:5" ht="15.75" thickBot="1" x14ac:dyDescent="0.3">
      <c r="A9" s="49">
        <v>2018</v>
      </c>
      <c r="B9" s="9">
        <v>61</v>
      </c>
      <c r="C9" s="9">
        <v>32</v>
      </c>
      <c r="D9" s="32">
        <v>12</v>
      </c>
      <c r="E9" s="22">
        <f t="shared" si="0"/>
        <v>105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42"/>
  <sheetViews>
    <sheetView workbookViewId="0">
      <selection activeCell="E47" sqref="E47"/>
    </sheetView>
  </sheetViews>
  <sheetFormatPr defaultRowHeight="14.25" x14ac:dyDescent="0.2"/>
  <cols>
    <col min="1" max="1" width="9.140625" style="1"/>
    <col min="2" max="2" width="12.140625" style="1" customWidth="1"/>
    <col min="3" max="16384" width="9.140625" style="1"/>
  </cols>
  <sheetData>
    <row r="1" spans="1:5" ht="15.75" thickTop="1" thickBot="1" x14ac:dyDescent="0.25">
      <c r="A1" s="76" t="s">
        <v>28</v>
      </c>
      <c r="B1" s="77"/>
      <c r="C1" s="77"/>
      <c r="D1" s="77"/>
      <c r="E1" s="78"/>
    </row>
    <row r="2" spans="1:5" ht="15.75" thickTop="1" thickBot="1" x14ac:dyDescent="0.25">
      <c r="A2" s="73" t="s">
        <v>0</v>
      </c>
      <c r="B2" s="73" t="s">
        <v>1</v>
      </c>
      <c r="C2" s="75" t="s">
        <v>18</v>
      </c>
      <c r="D2" s="75"/>
      <c r="E2" s="75"/>
    </row>
    <row r="3" spans="1:5" ht="15.75" thickTop="1" thickBot="1" x14ac:dyDescent="0.25">
      <c r="A3" s="74"/>
      <c r="B3" s="74"/>
      <c r="C3" s="13" t="s">
        <v>2</v>
      </c>
      <c r="D3" s="13" t="s">
        <v>3</v>
      </c>
      <c r="E3" s="13" t="s">
        <v>4</v>
      </c>
    </row>
    <row r="4" spans="1:5" ht="15" thickTop="1" x14ac:dyDescent="0.2">
      <c r="A4" s="93">
        <v>2016</v>
      </c>
      <c r="B4" s="23" t="s">
        <v>6</v>
      </c>
      <c r="C4" s="24">
        <v>5</v>
      </c>
      <c r="D4" s="24">
        <v>4</v>
      </c>
      <c r="E4" s="25">
        <v>7</v>
      </c>
    </row>
    <row r="5" spans="1:5" ht="15" customHeight="1" x14ac:dyDescent="0.2">
      <c r="A5" s="94"/>
      <c r="B5" s="16" t="s">
        <v>7</v>
      </c>
      <c r="C5" s="6">
        <v>13</v>
      </c>
      <c r="D5" s="6">
        <v>4</v>
      </c>
      <c r="E5" s="8">
        <v>2</v>
      </c>
    </row>
    <row r="6" spans="1:5" ht="15" customHeight="1" x14ac:dyDescent="0.2">
      <c r="A6" s="94"/>
      <c r="B6" s="16" t="s">
        <v>8</v>
      </c>
      <c r="C6" s="6">
        <v>13</v>
      </c>
      <c r="D6" s="6">
        <v>6</v>
      </c>
      <c r="E6" s="8">
        <v>4</v>
      </c>
    </row>
    <row r="7" spans="1:5" ht="15" customHeight="1" x14ac:dyDescent="0.2">
      <c r="A7" s="94"/>
      <c r="B7" s="16" t="s">
        <v>9</v>
      </c>
      <c r="C7" s="6">
        <v>15</v>
      </c>
      <c r="D7" s="6">
        <v>1</v>
      </c>
      <c r="E7" s="8">
        <v>0</v>
      </c>
    </row>
    <row r="8" spans="1:5" ht="15" customHeight="1" x14ac:dyDescent="0.2">
      <c r="A8" s="94"/>
      <c r="B8" s="16" t="s">
        <v>10</v>
      </c>
      <c r="C8" s="6">
        <v>5</v>
      </c>
      <c r="D8" s="6">
        <v>1</v>
      </c>
      <c r="E8" s="8">
        <v>4</v>
      </c>
    </row>
    <row r="9" spans="1:5" ht="15" customHeight="1" x14ac:dyDescent="0.2">
      <c r="A9" s="94"/>
      <c r="B9" s="16" t="s">
        <v>11</v>
      </c>
      <c r="C9" s="6">
        <v>12</v>
      </c>
      <c r="D9" s="6">
        <v>3</v>
      </c>
      <c r="E9" s="8">
        <v>0</v>
      </c>
    </row>
    <row r="10" spans="1:5" ht="15" customHeight="1" x14ac:dyDescent="0.2">
      <c r="A10" s="94"/>
      <c r="B10" s="16" t="s">
        <v>12</v>
      </c>
      <c r="C10" s="6">
        <v>11</v>
      </c>
      <c r="D10" s="6">
        <v>3</v>
      </c>
      <c r="E10" s="8">
        <v>3</v>
      </c>
    </row>
    <row r="11" spans="1:5" ht="15" customHeight="1" x14ac:dyDescent="0.2">
      <c r="A11" s="94"/>
      <c r="B11" s="16" t="s">
        <v>13</v>
      </c>
      <c r="C11" s="6">
        <v>8</v>
      </c>
      <c r="D11" s="6">
        <v>5</v>
      </c>
      <c r="E11" s="8">
        <v>2</v>
      </c>
    </row>
    <row r="12" spans="1:5" ht="15" customHeight="1" x14ac:dyDescent="0.2">
      <c r="A12" s="94"/>
      <c r="B12" s="16" t="s">
        <v>14</v>
      </c>
      <c r="C12" s="6">
        <v>4</v>
      </c>
      <c r="D12" s="6">
        <v>5</v>
      </c>
      <c r="E12" s="8">
        <v>5</v>
      </c>
    </row>
    <row r="13" spans="1:5" ht="15" customHeight="1" x14ac:dyDescent="0.2">
      <c r="A13" s="94"/>
      <c r="B13" s="16" t="s">
        <v>15</v>
      </c>
      <c r="C13" s="6">
        <v>8</v>
      </c>
      <c r="D13" s="6">
        <v>4</v>
      </c>
      <c r="E13" s="8">
        <v>4</v>
      </c>
    </row>
    <row r="14" spans="1:5" ht="15" customHeight="1" x14ac:dyDescent="0.2">
      <c r="A14" s="94"/>
      <c r="B14" s="16" t="s">
        <v>16</v>
      </c>
      <c r="C14" s="6">
        <v>4</v>
      </c>
      <c r="D14" s="6">
        <v>3</v>
      </c>
      <c r="E14" s="8">
        <v>1</v>
      </c>
    </row>
    <row r="15" spans="1:5" ht="15.75" customHeight="1" thickBot="1" x14ac:dyDescent="0.25">
      <c r="A15" s="95"/>
      <c r="B15" s="17" t="s">
        <v>17</v>
      </c>
      <c r="C15" s="9">
        <v>11</v>
      </c>
      <c r="D15" s="9">
        <v>4</v>
      </c>
      <c r="E15" s="11">
        <v>5</v>
      </c>
    </row>
    <row r="16" spans="1:5" ht="15.75" customHeight="1" thickTop="1" thickBot="1" x14ac:dyDescent="0.25">
      <c r="A16" s="57"/>
      <c r="B16" s="60"/>
      <c r="C16" s="55">
        <f>SUM(C4:C15)</f>
        <v>109</v>
      </c>
      <c r="D16" s="55">
        <f t="shared" ref="D16:E16" si="0">SUM(D4:D15)</f>
        <v>43</v>
      </c>
      <c r="E16" s="55">
        <f t="shared" si="0"/>
        <v>37</v>
      </c>
    </row>
    <row r="17" spans="1:5" ht="15" thickTop="1" x14ac:dyDescent="0.2">
      <c r="A17" s="69">
        <v>2017</v>
      </c>
      <c r="B17" s="4" t="s">
        <v>6</v>
      </c>
      <c r="C17" s="3">
        <v>10</v>
      </c>
      <c r="D17" s="3">
        <v>3</v>
      </c>
      <c r="E17" s="5">
        <v>2</v>
      </c>
    </row>
    <row r="18" spans="1:5" ht="15" customHeight="1" x14ac:dyDescent="0.2">
      <c r="A18" s="70"/>
      <c r="B18" s="7" t="s">
        <v>7</v>
      </c>
      <c r="C18" s="6">
        <v>7</v>
      </c>
      <c r="D18" s="6">
        <v>1</v>
      </c>
      <c r="E18" s="8">
        <v>4</v>
      </c>
    </row>
    <row r="19" spans="1:5" ht="15" customHeight="1" x14ac:dyDescent="0.2">
      <c r="A19" s="70"/>
      <c r="B19" s="7" t="s">
        <v>8</v>
      </c>
      <c r="C19" s="6">
        <v>12</v>
      </c>
      <c r="D19" s="6">
        <v>5</v>
      </c>
      <c r="E19" s="8">
        <v>2</v>
      </c>
    </row>
    <row r="20" spans="1:5" ht="15" customHeight="1" x14ac:dyDescent="0.2">
      <c r="A20" s="70"/>
      <c r="B20" s="7" t="s">
        <v>9</v>
      </c>
      <c r="C20" s="6">
        <v>8</v>
      </c>
      <c r="D20" s="6">
        <v>1</v>
      </c>
      <c r="E20" s="8">
        <v>7</v>
      </c>
    </row>
    <row r="21" spans="1:5" ht="15" customHeight="1" x14ac:dyDescent="0.2">
      <c r="A21" s="70"/>
      <c r="B21" s="7" t="s">
        <v>10</v>
      </c>
      <c r="C21" s="6">
        <v>10</v>
      </c>
      <c r="D21" s="6">
        <v>2</v>
      </c>
      <c r="E21" s="8">
        <v>0</v>
      </c>
    </row>
    <row r="22" spans="1:5" ht="15" customHeight="1" x14ac:dyDescent="0.2">
      <c r="A22" s="70"/>
      <c r="B22" s="7" t="s">
        <v>11</v>
      </c>
      <c r="C22" s="6">
        <v>12</v>
      </c>
      <c r="D22" s="6">
        <v>3</v>
      </c>
      <c r="E22" s="8">
        <v>4</v>
      </c>
    </row>
    <row r="23" spans="1:5" ht="15" customHeight="1" x14ac:dyDescent="0.2">
      <c r="A23" s="70"/>
      <c r="B23" s="7" t="s">
        <v>12</v>
      </c>
      <c r="C23" s="6">
        <v>7</v>
      </c>
      <c r="D23" s="6">
        <v>1</v>
      </c>
      <c r="E23" s="8">
        <v>1</v>
      </c>
    </row>
    <row r="24" spans="1:5" ht="15" customHeight="1" x14ac:dyDescent="0.2">
      <c r="A24" s="70"/>
      <c r="B24" s="7" t="s">
        <v>13</v>
      </c>
      <c r="C24" s="6">
        <v>5</v>
      </c>
      <c r="D24" s="6">
        <v>1</v>
      </c>
      <c r="E24" s="8">
        <v>6</v>
      </c>
    </row>
    <row r="25" spans="1:5" ht="15" customHeight="1" x14ac:dyDescent="0.2">
      <c r="A25" s="70"/>
      <c r="B25" s="7" t="s">
        <v>14</v>
      </c>
      <c r="C25" s="6">
        <v>13</v>
      </c>
      <c r="D25" s="6">
        <v>4</v>
      </c>
      <c r="E25" s="8">
        <v>4</v>
      </c>
    </row>
    <row r="26" spans="1:5" ht="15" customHeight="1" x14ac:dyDescent="0.2">
      <c r="A26" s="70"/>
      <c r="B26" s="7" t="s">
        <v>15</v>
      </c>
      <c r="C26" s="6">
        <v>11</v>
      </c>
      <c r="D26" s="6">
        <v>1</v>
      </c>
      <c r="E26" s="8">
        <v>7</v>
      </c>
    </row>
    <row r="27" spans="1:5" ht="15" customHeight="1" x14ac:dyDescent="0.2">
      <c r="A27" s="70"/>
      <c r="B27" s="7" t="s">
        <v>16</v>
      </c>
      <c r="C27" s="6">
        <v>7</v>
      </c>
      <c r="D27" s="6">
        <v>2</v>
      </c>
      <c r="E27" s="8">
        <v>0</v>
      </c>
    </row>
    <row r="28" spans="1:5" ht="15.75" customHeight="1" thickBot="1" x14ac:dyDescent="0.25">
      <c r="A28" s="71"/>
      <c r="B28" s="10" t="s">
        <v>17</v>
      </c>
      <c r="C28" s="9">
        <v>8</v>
      </c>
      <c r="D28" s="9">
        <v>1</v>
      </c>
      <c r="E28" s="11">
        <v>2</v>
      </c>
    </row>
    <row r="29" spans="1:5" ht="15.75" customHeight="1" thickTop="1" thickBot="1" x14ac:dyDescent="0.25">
      <c r="A29" s="56"/>
      <c r="B29" s="54"/>
      <c r="C29" s="55">
        <f>SUM(C17:C28)</f>
        <v>110</v>
      </c>
      <c r="D29" s="55">
        <f t="shared" ref="D29" si="1">SUM(D17:D28)</f>
        <v>25</v>
      </c>
      <c r="E29" s="55">
        <f t="shared" ref="E29" si="2">SUM(E17:E28)</f>
        <v>39</v>
      </c>
    </row>
    <row r="30" spans="1:5" ht="15" thickTop="1" x14ac:dyDescent="0.2">
      <c r="A30" s="69">
        <v>2018</v>
      </c>
      <c r="B30" s="4" t="s">
        <v>6</v>
      </c>
      <c r="C30" s="3">
        <v>7</v>
      </c>
      <c r="D30" s="3">
        <v>0</v>
      </c>
      <c r="E30" s="5">
        <v>2</v>
      </c>
    </row>
    <row r="31" spans="1:5" x14ac:dyDescent="0.2">
      <c r="A31" s="70"/>
      <c r="B31" s="7" t="s">
        <v>7</v>
      </c>
      <c r="C31" s="6">
        <v>5</v>
      </c>
      <c r="D31" s="6">
        <v>3</v>
      </c>
      <c r="E31" s="8">
        <v>3</v>
      </c>
    </row>
    <row r="32" spans="1:5" x14ac:dyDescent="0.2">
      <c r="A32" s="70"/>
      <c r="B32" s="7" t="s">
        <v>8</v>
      </c>
      <c r="C32" s="6">
        <v>7</v>
      </c>
      <c r="D32" s="6">
        <v>1</v>
      </c>
      <c r="E32" s="8">
        <v>2</v>
      </c>
    </row>
    <row r="33" spans="1:5" x14ac:dyDescent="0.2">
      <c r="A33" s="70"/>
      <c r="B33" s="7" t="s">
        <v>9</v>
      </c>
      <c r="C33" s="6">
        <v>9</v>
      </c>
      <c r="D33" s="6">
        <v>2</v>
      </c>
      <c r="E33" s="8">
        <v>3</v>
      </c>
    </row>
    <row r="34" spans="1:5" x14ac:dyDescent="0.2">
      <c r="A34" s="70"/>
      <c r="B34" s="7" t="s">
        <v>10</v>
      </c>
      <c r="C34" s="6">
        <v>5</v>
      </c>
      <c r="D34" s="6">
        <v>0</v>
      </c>
      <c r="E34" s="8">
        <v>1</v>
      </c>
    </row>
    <row r="35" spans="1:5" x14ac:dyDescent="0.2">
      <c r="A35" s="70"/>
      <c r="B35" s="7" t="s">
        <v>11</v>
      </c>
      <c r="C35" s="6">
        <v>8</v>
      </c>
      <c r="D35" s="6">
        <v>1</v>
      </c>
      <c r="E35" s="8">
        <v>3</v>
      </c>
    </row>
    <row r="36" spans="1:5" x14ac:dyDescent="0.2">
      <c r="A36" s="70"/>
      <c r="B36" s="7" t="s">
        <v>12</v>
      </c>
      <c r="C36" s="6">
        <v>6</v>
      </c>
      <c r="D36" s="6">
        <v>2</v>
      </c>
      <c r="E36" s="8">
        <v>3</v>
      </c>
    </row>
    <row r="37" spans="1:5" x14ac:dyDescent="0.2">
      <c r="A37" s="70"/>
      <c r="B37" s="7" t="s">
        <v>13</v>
      </c>
      <c r="C37" s="6">
        <v>9</v>
      </c>
      <c r="D37" s="6">
        <v>3</v>
      </c>
      <c r="E37" s="8">
        <v>4</v>
      </c>
    </row>
    <row r="38" spans="1:5" x14ac:dyDescent="0.2">
      <c r="A38" s="70"/>
      <c r="B38" s="7" t="s">
        <v>14</v>
      </c>
      <c r="C38" s="6">
        <v>10</v>
      </c>
      <c r="D38" s="6">
        <v>6</v>
      </c>
      <c r="E38" s="8">
        <v>5</v>
      </c>
    </row>
    <row r="39" spans="1:5" x14ac:dyDescent="0.2">
      <c r="A39" s="70"/>
      <c r="B39" s="7" t="s">
        <v>15</v>
      </c>
      <c r="C39" s="6">
        <v>4</v>
      </c>
      <c r="D39" s="6">
        <v>3</v>
      </c>
      <c r="E39" s="8">
        <v>5</v>
      </c>
    </row>
    <row r="40" spans="1:5" x14ac:dyDescent="0.2">
      <c r="A40" s="70"/>
      <c r="B40" s="7" t="s">
        <v>16</v>
      </c>
      <c r="C40" s="6">
        <v>7</v>
      </c>
      <c r="D40" s="6">
        <v>3</v>
      </c>
      <c r="E40" s="8">
        <v>7</v>
      </c>
    </row>
    <row r="41" spans="1:5" ht="15" thickBot="1" x14ac:dyDescent="0.25">
      <c r="A41" s="71"/>
      <c r="B41" s="10" t="s">
        <v>17</v>
      </c>
      <c r="C41" s="9">
        <v>5</v>
      </c>
      <c r="D41" s="9">
        <v>2</v>
      </c>
      <c r="E41" s="11">
        <v>2</v>
      </c>
    </row>
    <row r="42" spans="1:5" ht="15" thickTop="1" x14ac:dyDescent="0.2">
      <c r="A42" s="58"/>
      <c r="B42" s="12"/>
      <c r="C42" s="55">
        <f>SUM(C30:C41)</f>
        <v>82</v>
      </c>
      <c r="D42" s="55">
        <f t="shared" ref="D42" si="3">SUM(D30:D41)</f>
        <v>26</v>
      </c>
      <c r="E42" s="55">
        <f t="shared" ref="E42" si="4">SUM(E30:E41)</f>
        <v>40</v>
      </c>
    </row>
  </sheetData>
  <mergeCells count="7">
    <mergeCell ref="A30:A41"/>
    <mergeCell ref="A1:E1"/>
    <mergeCell ref="A2:A3"/>
    <mergeCell ref="B2:B3"/>
    <mergeCell ref="C2:E2"/>
    <mergeCell ref="A4:A15"/>
    <mergeCell ref="A17:A2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0"/>
  <sheetViews>
    <sheetView workbookViewId="0">
      <selection activeCell="C17" sqref="C17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46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</row>
    <row r="6" spans="1:5" x14ac:dyDescent="0.25">
      <c r="A6" s="49">
        <v>2015</v>
      </c>
      <c r="B6" s="6"/>
      <c r="C6" s="6"/>
      <c r="D6" s="6"/>
      <c r="E6" s="21"/>
    </row>
    <row r="7" spans="1:5" x14ac:dyDescent="0.25">
      <c r="A7" s="49">
        <v>2016</v>
      </c>
      <c r="B7" s="6">
        <v>109</v>
      </c>
      <c r="C7" s="6">
        <v>43</v>
      </c>
      <c r="D7" s="31">
        <v>37</v>
      </c>
      <c r="E7" s="21">
        <f t="shared" ref="E7:E9" si="0">SUM(B7:D7)</f>
        <v>189</v>
      </c>
    </row>
    <row r="8" spans="1:5" x14ac:dyDescent="0.25">
      <c r="A8" s="49">
        <v>2017</v>
      </c>
      <c r="B8" s="6">
        <v>110</v>
      </c>
      <c r="C8" s="6">
        <v>25</v>
      </c>
      <c r="D8" s="31">
        <v>39</v>
      </c>
      <c r="E8" s="21">
        <f t="shared" si="0"/>
        <v>174</v>
      </c>
    </row>
    <row r="9" spans="1:5" ht="15.75" thickBot="1" x14ac:dyDescent="0.3">
      <c r="A9" s="49">
        <v>2018</v>
      </c>
      <c r="B9" s="9">
        <v>82</v>
      </c>
      <c r="C9" s="9">
        <v>26</v>
      </c>
      <c r="D9" s="32">
        <v>40</v>
      </c>
      <c r="E9" s="22">
        <f t="shared" si="0"/>
        <v>148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E10"/>
  <sheetViews>
    <sheetView workbookViewId="0">
      <selection activeCell="O14" sqref="O14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47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3">
        <v>43</v>
      </c>
      <c r="C5" s="3">
        <v>82</v>
      </c>
      <c r="D5" s="30">
        <v>52</v>
      </c>
      <c r="E5" s="47">
        <f>SUM(B5:D5)</f>
        <v>177</v>
      </c>
    </row>
    <row r="6" spans="1:5" x14ac:dyDescent="0.25">
      <c r="A6" s="49">
        <v>2015</v>
      </c>
      <c r="B6" s="6">
        <v>68</v>
      </c>
      <c r="C6" s="6">
        <v>94</v>
      </c>
      <c r="D6" s="6">
        <v>53</v>
      </c>
      <c r="E6" s="21">
        <f t="shared" ref="E6:E9" si="0">SUM(B6:D6)</f>
        <v>215</v>
      </c>
    </row>
    <row r="7" spans="1:5" x14ac:dyDescent="0.25">
      <c r="A7" s="49">
        <v>2016</v>
      </c>
      <c r="B7" s="6">
        <v>47</v>
      </c>
      <c r="C7" s="6">
        <v>50</v>
      </c>
      <c r="D7" s="31">
        <v>33</v>
      </c>
      <c r="E7" s="21">
        <f t="shared" si="0"/>
        <v>130</v>
      </c>
    </row>
    <row r="8" spans="1:5" x14ac:dyDescent="0.25">
      <c r="A8" s="49">
        <v>2017</v>
      </c>
      <c r="B8" s="6">
        <v>37</v>
      </c>
      <c r="C8" s="6">
        <v>42</v>
      </c>
      <c r="D8" s="31">
        <v>31</v>
      </c>
      <c r="E8" s="21">
        <f t="shared" si="0"/>
        <v>110</v>
      </c>
    </row>
    <row r="9" spans="1:5" ht="15.75" thickBot="1" x14ac:dyDescent="0.3">
      <c r="A9" s="49">
        <v>2018</v>
      </c>
      <c r="B9" s="9">
        <v>21</v>
      </c>
      <c r="C9" s="9">
        <v>21</v>
      </c>
      <c r="D9" s="32">
        <v>13</v>
      </c>
      <c r="E9" s="22">
        <f t="shared" si="0"/>
        <v>55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E10"/>
  <sheetViews>
    <sheetView workbookViewId="0">
      <selection activeCell="D13" sqref="D13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48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3">
        <v>35</v>
      </c>
      <c r="C5" s="3">
        <v>39</v>
      </c>
      <c r="D5" s="30">
        <v>28</v>
      </c>
      <c r="E5" s="5">
        <f>SUM(B5:D5)</f>
        <v>102</v>
      </c>
    </row>
    <row r="6" spans="1:5" x14ac:dyDescent="0.25">
      <c r="A6" s="49">
        <v>2015</v>
      </c>
      <c r="B6" s="6">
        <v>27</v>
      </c>
      <c r="C6" s="6">
        <v>49</v>
      </c>
      <c r="D6" s="6">
        <v>28</v>
      </c>
      <c r="E6" s="21">
        <f t="shared" ref="E6:E9" si="0">SUM(B6:D6)</f>
        <v>104</v>
      </c>
    </row>
    <row r="7" spans="1:5" x14ac:dyDescent="0.25">
      <c r="A7" s="49">
        <v>2016</v>
      </c>
      <c r="B7" s="6">
        <v>35</v>
      </c>
      <c r="C7" s="6">
        <v>29</v>
      </c>
      <c r="D7" s="31">
        <v>12</v>
      </c>
      <c r="E7" s="21">
        <f t="shared" si="0"/>
        <v>76</v>
      </c>
    </row>
    <row r="8" spans="1:5" x14ac:dyDescent="0.25">
      <c r="A8" s="49">
        <v>2017</v>
      </c>
      <c r="B8" s="6">
        <v>23</v>
      </c>
      <c r="C8" s="6">
        <v>23</v>
      </c>
      <c r="D8" s="31">
        <v>12</v>
      </c>
      <c r="E8" s="21">
        <f t="shared" si="0"/>
        <v>58</v>
      </c>
    </row>
    <row r="9" spans="1:5" ht="15.75" thickBot="1" x14ac:dyDescent="0.3">
      <c r="A9" s="49">
        <v>2018</v>
      </c>
      <c r="B9" s="9">
        <v>25</v>
      </c>
      <c r="C9" s="9">
        <v>15</v>
      </c>
      <c r="D9" s="32">
        <v>20</v>
      </c>
      <c r="E9" s="22">
        <f t="shared" si="0"/>
        <v>60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E10"/>
  <sheetViews>
    <sheetView workbookViewId="0">
      <selection activeCell="E13" sqref="E13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49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ht="15.75" thickBot="1" x14ac:dyDescent="0.3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ht="15.75" thickTop="1" x14ac:dyDescent="0.25">
      <c r="A5" s="49">
        <v>2014</v>
      </c>
      <c r="B5" s="18">
        <v>15</v>
      </c>
      <c r="C5" s="18">
        <v>47</v>
      </c>
      <c r="D5" s="46">
        <v>8</v>
      </c>
      <c r="E5" s="19">
        <f>SUM(B5:D5)</f>
        <v>70</v>
      </c>
    </row>
    <row r="6" spans="1:5" x14ac:dyDescent="0.25">
      <c r="A6" s="49">
        <v>2015</v>
      </c>
      <c r="B6" s="6">
        <v>17</v>
      </c>
      <c r="C6" s="6">
        <v>56</v>
      </c>
      <c r="D6" s="6">
        <v>11</v>
      </c>
      <c r="E6" s="21">
        <f t="shared" ref="E6:E9" si="0">SUM(B6:D6)</f>
        <v>84</v>
      </c>
    </row>
    <row r="7" spans="1:5" x14ac:dyDescent="0.25">
      <c r="A7" s="49">
        <v>2016</v>
      </c>
      <c r="B7" s="6">
        <v>26</v>
      </c>
      <c r="C7" s="6">
        <v>52</v>
      </c>
      <c r="D7" s="31">
        <v>36</v>
      </c>
      <c r="E7" s="21">
        <f t="shared" si="0"/>
        <v>114</v>
      </c>
    </row>
    <row r="8" spans="1:5" x14ac:dyDescent="0.25">
      <c r="A8" s="49">
        <v>2017</v>
      </c>
      <c r="B8" s="6">
        <v>27</v>
      </c>
      <c r="C8" s="6">
        <v>42</v>
      </c>
      <c r="D8" s="31">
        <v>19</v>
      </c>
      <c r="E8" s="21">
        <f t="shared" si="0"/>
        <v>88</v>
      </c>
    </row>
    <row r="9" spans="1:5" ht="15.75" thickBot="1" x14ac:dyDescent="0.3">
      <c r="A9" s="49">
        <v>2018</v>
      </c>
      <c r="B9" s="9">
        <v>16</v>
      </c>
      <c r="C9" s="9">
        <v>39</v>
      </c>
      <c r="D9" s="32">
        <v>17</v>
      </c>
      <c r="E9" s="22">
        <f t="shared" si="0"/>
        <v>72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69"/>
  <sheetViews>
    <sheetView workbookViewId="0">
      <selection activeCell="C16" sqref="C16:F16"/>
    </sheetView>
  </sheetViews>
  <sheetFormatPr defaultRowHeight="14.25" x14ac:dyDescent="0.2"/>
  <cols>
    <col min="1" max="1" width="11.140625" style="1" customWidth="1"/>
    <col min="2" max="2" width="10.7109375" style="1" customWidth="1"/>
    <col min="3" max="3" width="9.85546875" style="1" customWidth="1"/>
    <col min="4" max="4" width="10.85546875" style="1" customWidth="1"/>
    <col min="5" max="5" width="16.28515625" style="1" customWidth="1"/>
    <col min="6" max="6" width="13.140625" style="1" customWidth="1"/>
    <col min="7" max="16384" width="9.140625" style="1"/>
  </cols>
  <sheetData>
    <row r="1" spans="1:7" ht="15.75" customHeight="1" thickTop="1" thickBot="1" x14ac:dyDescent="0.25">
      <c r="A1" s="85" t="s">
        <v>19</v>
      </c>
      <c r="B1" s="86"/>
      <c r="C1" s="86"/>
      <c r="D1" s="86"/>
      <c r="E1" s="86"/>
      <c r="F1" s="87"/>
    </row>
    <row r="2" spans="1:7" ht="16.5" customHeight="1" thickTop="1" thickBot="1" x14ac:dyDescent="0.25">
      <c r="A2" s="73" t="s">
        <v>0</v>
      </c>
      <c r="B2" s="73" t="s">
        <v>1</v>
      </c>
      <c r="C2" s="88" t="s">
        <v>18</v>
      </c>
      <c r="D2" s="86"/>
      <c r="E2" s="86"/>
      <c r="F2" s="87"/>
      <c r="G2" s="12"/>
    </row>
    <row r="3" spans="1:7" ht="15.75" thickTop="1" thickBot="1" x14ac:dyDescent="0.25">
      <c r="A3" s="74"/>
      <c r="B3" s="74"/>
      <c r="C3" s="2" t="s">
        <v>2</v>
      </c>
      <c r="D3" s="2" t="s">
        <v>3</v>
      </c>
      <c r="E3" s="14" t="s">
        <v>4</v>
      </c>
      <c r="F3" s="29" t="s">
        <v>29</v>
      </c>
    </row>
    <row r="4" spans="1:7" ht="15" thickTop="1" x14ac:dyDescent="0.2">
      <c r="A4" s="93">
        <v>2014</v>
      </c>
      <c r="B4" s="15" t="s">
        <v>6</v>
      </c>
      <c r="C4" s="3">
        <v>0</v>
      </c>
      <c r="D4" s="3">
        <v>5</v>
      </c>
      <c r="E4" s="30">
        <v>5</v>
      </c>
      <c r="F4" s="25">
        <f>SUM(C4:E4)</f>
        <v>10</v>
      </c>
    </row>
    <row r="5" spans="1:7" ht="15" customHeight="1" x14ac:dyDescent="0.2">
      <c r="A5" s="94"/>
      <c r="B5" s="16" t="s">
        <v>7</v>
      </c>
      <c r="C5" s="6">
        <v>1</v>
      </c>
      <c r="D5" s="6">
        <v>4</v>
      </c>
      <c r="E5" s="31">
        <v>2</v>
      </c>
      <c r="F5" s="25">
        <f t="shared" ref="F5:F67" si="0">SUM(C5:E5)</f>
        <v>7</v>
      </c>
    </row>
    <row r="6" spans="1:7" ht="15" customHeight="1" x14ac:dyDescent="0.2">
      <c r="A6" s="94"/>
      <c r="B6" s="16" t="s">
        <v>8</v>
      </c>
      <c r="C6" s="6">
        <v>1</v>
      </c>
      <c r="D6" s="6">
        <v>3</v>
      </c>
      <c r="E6" s="31">
        <v>1</v>
      </c>
      <c r="F6" s="25">
        <f t="shared" si="0"/>
        <v>5</v>
      </c>
    </row>
    <row r="7" spans="1:7" ht="15" customHeight="1" x14ac:dyDescent="0.2">
      <c r="A7" s="94"/>
      <c r="B7" s="16" t="s">
        <v>9</v>
      </c>
      <c r="C7" s="6">
        <v>1</v>
      </c>
      <c r="D7" s="6">
        <v>6</v>
      </c>
      <c r="E7" s="31">
        <v>1</v>
      </c>
      <c r="F7" s="25">
        <f t="shared" si="0"/>
        <v>8</v>
      </c>
    </row>
    <row r="8" spans="1:7" ht="15" customHeight="1" x14ac:dyDescent="0.2">
      <c r="A8" s="94"/>
      <c r="B8" s="16" t="s">
        <v>10</v>
      </c>
      <c r="C8" s="6">
        <v>2</v>
      </c>
      <c r="D8" s="6">
        <v>4</v>
      </c>
      <c r="E8" s="31">
        <v>0</v>
      </c>
      <c r="F8" s="25">
        <f t="shared" si="0"/>
        <v>6</v>
      </c>
    </row>
    <row r="9" spans="1:7" ht="15" customHeight="1" x14ac:dyDescent="0.2">
      <c r="A9" s="94"/>
      <c r="B9" s="16" t="s">
        <v>11</v>
      </c>
      <c r="C9" s="6">
        <v>0</v>
      </c>
      <c r="D9" s="6">
        <v>4</v>
      </c>
      <c r="E9" s="31">
        <v>1</v>
      </c>
      <c r="F9" s="25">
        <f t="shared" si="0"/>
        <v>5</v>
      </c>
    </row>
    <row r="10" spans="1:7" ht="15" customHeight="1" x14ac:dyDescent="0.2">
      <c r="A10" s="94"/>
      <c r="B10" s="16" t="s">
        <v>12</v>
      </c>
      <c r="C10" s="6">
        <v>0</v>
      </c>
      <c r="D10" s="6">
        <v>2</v>
      </c>
      <c r="E10" s="31">
        <v>1</v>
      </c>
      <c r="F10" s="25">
        <f t="shared" si="0"/>
        <v>3</v>
      </c>
    </row>
    <row r="11" spans="1:7" ht="15" customHeight="1" x14ac:dyDescent="0.2">
      <c r="A11" s="94"/>
      <c r="B11" s="16" t="s">
        <v>13</v>
      </c>
      <c r="C11" s="6">
        <v>1</v>
      </c>
      <c r="D11" s="6">
        <v>3</v>
      </c>
      <c r="E11" s="31">
        <v>0</v>
      </c>
      <c r="F11" s="25">
        <f t="shared" si="0"/>
        <v>4</v>
      </c>
    </row>
    <row r="12" spans="1:7" ht="15" customHeight="1" x14ac:dyDescent="0.2">
      <c r="A12" s="94"/>
      <c r="B12" s="16" t="s">
        <v>14</v>
      </c>
      <c r="C12" s="6">
        <v>0</v>
      </c>
      <c r="D12" s="6">
        <v>2</v>
      </c>
      <c r="E12" s="31">
        <v>1</v>
      </c>
      <c r="F12" s="25">
        <f t="shared" si="0"/>
        <v>3</v>
      </c>
    </row>
    <row r="13" spans="1:7" ht="15" customHeight="1" x14ac:dyDescent="0.2">
      <c r="A13" s="94"/>
      <c r="B13" s="16" t="s">
        <v>15</v>
      </c>
      <c r="C13" s="6">
        <v>4</v>
      </c>
      <c r="D13" s="6">
        <v>3</v>
      </c>
      <c r="E13" s="31">
        <v>0</v>
      </c>
      <c r="F13" s="25">
        <f t="shared" si="0"/>
        <v>7</v>
      </c>
    </row>
    <row r="14" spans="1:7" ht="15" customHeight="1" x14ac:dyDescent="0.2">
      <c r="A14" s="94"/>
      <c r="B14" s="16" t="s">
        <v>16</v>
      </c>
      <c r="C14" s="6">
        <v>0</v>
      </c>
      <c r="D14" s="6">
        <v>2</v>
      </c>
      <c r="E14" s="31">
        <v>1</v>
      </c>
      <c r="F14" s="25">
        <f t="shared" si="0"/>
        <v>3</v>
      </c>
    </row>
    <row r="15" spans="1:7" ht="15.75" customHeight="1" thickBot="1" x14ac:dyDescent="0.25">
      <c r="A15" s="95"/>
      <c r="B15" s="36" t="s">
        <v>17</v>
      </c>
      <c r="C15" s="27">
        <v>2</v>
      </c>
      <c r="D15" s="27">
        <v>6</v>
      </c>
      <c r="E15" s="37">
        <v>3</v>
      </c>
      <c r="F15" s="33">
        <f t="shared" si="0"/>
        <v>11</v>
      </c>
    </row>
    <row r="16" spans="1:7" ht="15.75" customHeight="1" thickTop="1" thickBot="1" x14ac:dyDescent="0.25">
      <c r="A16" s="38" t="s">
        <v>31</v>
      </c>
      <c r="B16" s="39"/>
      <c r="C16" s="40">
        <f>SUM(C4:C15)</f>
        <v>12</v>
      </c>
      <c r="D16" s="40">
        <f>SUM(D4:D15)</f>
        <v>44</v>
      </c>
      <c r="E16" s="40">
        <f>SUM(E4:E15)</f>
        <v>16</v>
      </c>
      <c r="F16" s="40">
        <f>SUM(F4:F15)</f>
        <v>72</v>
      </c>
    </row>
    <row r="17" spans="1:6" ht="15" thickTop="1" x14ac:dyDescent="0.2">
      <c r="A17" s="93">
        <v>2015</v>
      </c>
      <c r="B17" s="15" t="s">
        <v>6</v>
      </c>
      <c r="C17" s="3">
        <v>0</v>
      </c>
      <c r="D17" s="3">
        <v>5</v>
      </c>
      <c r="E17" s="30">
        <v>2</v>
      </c>
      <c r="F17" s="5">
        <f t="shared" si="0"/>
        <v>7</v>
      </c>
    </row>
    <row r="18" spans="1:6" ht="15" customHeight="1" x14ac:dyDescent="0.2">
      <c r="A18" s="94"/>
      <c r="B18" s="16" t="s">
        <v>7</v>
      </c>
      <c r="C18" s="6">
        <v>1</v>
      </c>
      <c r="D18" s="6">
        <v>3</v>
      </c>
      <c r="E18" s="31">
        <v>0</v>
      </c>
      <c r="F18" s="25">
        <f t="shared" si="0"/>
        <v>4</v>
      </c>
    </row>
    <row r="19" spans="1:6" ht="15" customHeight="1" x14ac:dyDescent="0.2">
      <c r="A19" s="94"/>
      <c r="B19" s="16" t="s">
        <v>8</v>
      </c>
      <c r="C19" s="6">
        <v>2</v>
      </c>
      <c r="D19" s="6">
        <v>4</v>
      </c>
      <c r="E19" s="31">
        <v>2</v>
      </c>
      <c r="F19" s="25">
        <f t="shared" si="0"/>
        <v>8</v>
      </c>
    </row>
    <row r="20" spans="1:6" ht="15" customHeight="1" x14ac:dyDescent="0.2">
      <c r="A20" s="94"/>
      <c r="B20" s="16" t="s">
        <v>9</v>
      </c>
      <c r="C20" s="6">
        <v>0</v>
      </c>
      <c r="D20" s="6">
        <v>4</v>
      </c>
      <c r="E20" s="31">
        <v>3</v>
      </c>
      <c r="F20" s="25">
        <f t="shared" si="0"/>
        <v>7</v>
      </c>
    </row>
    <row r="21" spans="1:6" ht="15" customHeight="1" x14ac:dyDescent="0.2">
      <c r="A21" s="94"/>
      <c r="B21" s="16" t="s">
        <v>10</v>
      </c>
      <c r="C21" s="6">
        <v>0</v>
      </c>
      <c r="D21" s="6">
        <v>4</v>
      </c>
      <c r="E21" s="31">
        <v>4</v>
      </c>
      <c r="F21" s="25">
        <f t="shared" si="0"/>
        <v>8</v>
      </c>
    </row>
    <row r="22" spans="1:6" ht="15" customHeight="1" x14ac:dyDescent="0.2">
      <c r="A22" s="94"/>
      <c r="B22" s="16" t="s">
        <v>11</v>
      </c>
      <c r="C22" s="6">
        <v>1</v>
      </c>
      <c r="D22" s="6">
        <v>4</v>
      </c>
      <c r="E22" s="31">
        <v>2</v>
      </c>
      <c r="F22" s="25">
        <f t="shared" si="0"/>
        <v>7</v>
      </c>
    </row>
    <row r="23" spans="1:6" ht="15" customHeight="1" x14ac:dyDescent="0.2">
      <c r="A23" s="94"/>
      <c r="B23" s="16" t="s">
        <v>12</v>
      </c>
      <c r="C23" s="6">
        <v>1</v>
      </c>
      <c r="D23" s="6">
        <v>4</v>
      </c>
      <c r="E23" s="31">
        <v>2</v>
      </c>
      <c r="F23" s="25">
        <f t="shared" si="0"/>
        <v>7</v>
      </c>
    </row>
    <row r="24" spans="1:6" ht="15" customHeight="1" x14ac:dyDescent="0.2">
      <c r="A24" s="94"/>
      <c r="B24" s="16" t="s">
        <v>13</v>
      </c>
      <c r="C24" s="6">
        <v>3</v>
      </c>
      <c r="D24" s="6">
        <v>3</v>
      </c>
      <c r="E24" s="31">
        <v>1</v>
      </c>
      <c r="F24" s="25">
        <f t="shared" si="0"/>
        <v>7</v>
      </c>
    </row>
    <row r="25" spans="1:6" ht="15" customHeight="1" x14ac:dyDescent="0.2">
      <c r="A25" s="94"/>
      <c r="B25" s="16" t="s">
        <v>14</v>
      </c>
      <c r="C25" s="6">
        <v>1</v>
      </c>
      <c r="D25" s="6">
        <v>3</v>
      </c>
      <c r="E25" s="31">
        <v>0</v>
      </c>
      <c r="F25" s="25">
        <f t="shared" si="0"/>
        <v>4</v>
      </c>
    </row>
    <row r="26" spans="1:6" ht="15" customHeight="1" x14ac:dyDescent="0.2">
      <c r="A26" s="94"/>
      <c r="B26" s="16" t="s">
        <v>15</v>
      </c>
      <c r="C26" s="6">
        <v>1</v>
      </c>
      <c r="D26" s="6">
        <v>4</v>
      </c>
      <c r="E26" s="31">
        <v>1</v>
      </c>
      <c r="F26" s="25">
        <f t="shared" si="0"/>
        <v>6</v>
      </c>
    </row>
    <row r="27" spans="1:6" ht="15" customHeight="1" x14ac:dyDescent="0.2">
      <c r="A27" s="94"/>
      <c r="B27" s="16" t="s">
        <v>16</v>
      </c>
      <c r="C27" s="6">
        <v>0</v>
      </c>
      <c r="D27" s="6">
        <v>4</v>
      </c>
      <c r="E27" s="31">
        <v>1</v>
      </c>
      <c r="F27" s="25">
        <f t="shared" si="0"/>
        <v>5</v>
      </c>
    </row>
    <row r="28" spans="1:6" ht="15.75" customHeight="1" thickBot="1" x14ac:dyDescent="0.25">
      <c r="A28" s="95"/>
      <c r="B28" s="17" t="s">
        <v>17</v>
      </c>
      <c r="C28" s="9">
        <v>1</v>
      </c>
      <c r="D28" s="9">
        <v>2</v>
      </c>
      <c r="E28" s="32">
        <v>2</v>
      </c>
      <c r="F28" s="33">
        <f t="shared" si="0"/>
        <v>5</v>
      </c>
    </row>
    <row r="29" spans="1:6" ht="15.75" customHeight="1" thickTop="1" thickBot="1" x14ac:dyDescent="0.25">
      <c r="A29" s="41" t="s">
        <v>32</v>
      </c>
      <c r="B29" s="39"/>
      <c r="C29" s="40">
        <f>SUM(C17:C28)</f>
        <v>11</v>
      </c>
      <c r="D29" s="40">
        <f>SUM(D17:D28)</f>
        <v>44</v>
      </c>
      <c r="E29" s="40">
        <f>SUM(E17:E28)</f>
        <v>20</v>
      </c>
      <c r="F29" s="40">
        <f>SUM(F17:F28)</f>
        <v>75</v>
      </c>
    </row>
    <row r="30" spans="1:6" ht="15" thickTop="1" x14ac:dyDescent="0.2">
      <c r="A30" s="93">
        <v>2016</v>
      </c>
      <c r="B30" s="15" t="s">
        <v>6</v>
      </c>
      <c r="C30" s="3">
        <v>0</v>
      </c>
      <c r="D30" s="3">
        <v>3</v>
      </c>
      <c r="E30" s="30">
        <v>1</v>
      </c>
      <c r="F30" s="5">
        <f t="shared" si="0"/>
        <v>4</v>
      </c>
    </row>
    <row r="31" spans="1:6" ht="15" customHeight="1" x14ac:dyDescent="0.2">
      <c r="A31" s="94"/>
      <c r="B31" s="16" t="s">
        <v>7</v>
      </c>
      <c r="C31" s="6">
        <v>2</v>
      </c>
      <c r="D31" s="6">
        <v>2</v>
      </c>
      <c r="E31" s="31">
        <v>1</v>
      </c>
      <c r="F31" s="25">
        <f t="shared" si="0"/>
        <v>5</v>
      </c>
    </row>
    <row r="32" spans="1:6" ht="15" customHeight="1" x14ac:dyDescent="0.2">
      <c r="A32" s="94"/>
      <c r="B32" s="16" t="s">
        <v>8</v>
      </c>
      <c r="C32" s="6">
        <v>2</v>
      </c>
      <c r="D32" s="6">
        <v>4</v>
      </c>
      <c r="E32" s="31">
        <v>3</v>
      </c>
      <c r="F32" s="25">
        <f t="shared" si="0"/>
        <v>9</v>
      </c>
    </row>
    <row r="33" spans="1:6" ht="15" customHeight="1" x14ac:dyDescent="0.2">
      <c r="A33" s="94"/>
      <c r="B33" s="16" t="s">
        <v>9</v>
      </c>
      <c r="C33" s="6">
        <v>0</v>
      </c>
      <c r="D33" s="6">
        <v>2</v>
      </c>
      <c r="E33" s="31">
        <v>1</v>
      </c>
      <c r="F33" s="25">
        <f t="shared" si="0"/>
        <v>3</v>
      </c>
    </row>
    <row r="34" spans="1:6" ht="15" customHeight="1" x14ac:dyDescent="0.2">
      <c r="A34" s="94"/>
      <c r="B34" s="16" t="s">
        <v>10</v>
      </c>
      <c r="C34" s="6">
        <v>0</v>
      </c>
      <c r="D34" s="6">
        <v>6</v>
      </c>
      <c r="E34" s="31">
        <v>1</v>
      </c>
      <c r="F34" s="25">
        <f t="shared" si="0"/>
        <v>7</v>
      </c>
    </row>
    <row r="35" spans="1:6" ht="15" customHeight="1" x14ac:dyDescent="0.2">
      <c r="A35" s="94"/>
      <c r="B35" s="16" t="s">
        <v>11</v>
      </c>
      <c r="C35" s="6">
        <v>2</v>
      </c>
      <c r="D35" s="6">
        <v>5</v>
      </c>
      <c r="E35" s="31">
        <v>0</v>
      </c>
      <c r="F35" s="25">
        <f t="shared" si="0"/>
        <v>7</v>
      </c>
    </row>
    <row r="36" spans="1:6" ht="15" customHeight="1" x14ac:dyDescent="0.2">
      <c r="A36" s="94"/>
      <c r="B36" s="16" t="s">
        <v>12</v>
      </c>
      <c r="C36" s="6">
        <v>3</v>
      </c>
      <c r="D36" s="6">
        <v>5</v>
      </c>
      <c r="E36" s="31">
        <v>1</v>
      </c>
      <c r="F36" s="25">
        <f t="shared" si="0"/>
        <v>9</v>
      </c>
    </row>
    <row r="37" spans="1:6" ht="15" customHeight="1" x14ac:dyDescent="0.2">
      <c r="A37" s="94"/>
      <c r="B37" s="16" t="s">
        <v>13</v>
      </c>
      <c r="C37" s="6">
        <v>2</v>
      </c>
      <c r="D37" s="6">
        <v>3</v>
      </c>
      <c r="E37" s="31">
        <v>4</v>
      </c>
      <c r="F37" s="25">
        <f t="shared" si="0"/>
        <v>9</v>
      </c>
    </row>
    <row r="38" spans="1:6" ht="15" customHeight="1" x14ac:dyDescent="0.2">
      <c r="A38" s="94"/>
      <c r="B38" s="16" t="s">
        <v>14</v>
      </c>
      <c r="C38" s="6">
        <v>2</v>
      </c>
      <c r="D38" s="6">
        <v>8</v>
      </c>
      <c r="E38" s="31">
        <v>1</v>
      </c>
      <c r="F38" s="25">
        <f t="shared" si="0"/>
        <v>11</v>
      </c>
    </row>
    <row r="39" spans="1:6" ht="15" customHeight="1" x14ac:dyDescent="0.2">
      <c r="A39" s="94"/>
      <c r="B39" s="16" t="s">
        <v>15</v>
      </c>
      <c r="C39" s="6">
        <v>1</v>
      </c>
      <c r="D39" s="6">
        <v>5</v>
      </c>
      <c r="E39" s="31">
        <v>4</v>
      </c>
      <c r="F39" s="25">
        <f t="shared" si="0"/>
        <v>10</v>
      </c>
    </row>
    <row r="40" spans="1:6" ht="15" customHeight="1" x14ac:dyDescent="0.2">
      <c r="A40" s="94"/>
      <c r="B40" s="16" t="s">
        <v>16</v>
      </c>
      <c r="C40" s="6">
        <v>1</v>
      </c>
      <c r="D40" s="6">
        <v>8</v>
      </c>
      <c r="E40" s="31">
        <v>1</v>
      </c>
      <c r="F40" s="25">
        <f t="shared" si="0"/>
        <v>10</v>
      </c>
    </row>
    <row r="41" spans="1:6" ht="15.75" customHeight="1" thickBot="1" x14ac:dyDescent="0.25">
      <c r="A41" s="95"/>
      <c r="B41" s="17" t="s">
        <v>17</v>
      </c>
      <c r="C41" s="9">
        <v>4</v>
      </c>
      <c r="D41" s="9">
        <v>5</v>
      </c>
      <c r="E41" s="32">
        <v>1</v>
      </c>
      <c r="F41" s="33">
        <f t="shared" si="0"/>
        <v>10</v>
      </c>
    </row>
    <row r="42" spans="1:6" ht="15.75" customHeight="1" thickTop="1" thickBot="1" x14ac:dyDescent="0.25">
      <c r="A42" s="41" t="s">
        <v>33</v>
      </c>
      <c r="B42" s="39"/>
      <c r="C42" s="40">
        <f>SUM(C30:C41)</f>
        <v>19</v>
      </c>
      <c r="D42" s="40">
        <f>SUM(D30:D41)</f>
        <v>56</v>
      </c>
      <c r="E42" s="40">
        <f>SUM(E30:E41)</f>
        <v>19</v>
      </c>
      <c r="F42" s="40">
        <f>SUM(F30:F41)</f>
        <v>94</v>
      </c>
    </row>
    <row r="43" spans="1:6" ht="15" thickTop="1" x14ac:dyDescent="0.2">
      <c r="A43" s="93">
        <v>2017</v>
      </c>
      <c r="B43" s="15" t="s">
        <v>6</v>
      </c>
      <c r="C43" s="3">
        <v>2</v>
      </c>
      <c r="D43" s="3">
        <v>10</v>
      </c>
      <c r="E43" s="30">
        <v>2</v>
      </c>
      <c r="F43" s="5">
        <f t="shared" si="0"/>
        <v>14</v>
      </c>
    </row>
    <row r="44" spans="1:6" ht="15" customHeight="1" x14ac:dyDescent="0.2">
      <c r="A44" s="94"/>
      <c r="B44" s="16" t="s">
        <v>7</v>
      </c>
      <c r="C44" s="6">
        <v>2</v>
      </c>
      <c r="D44" s="6">
        <v>6</v>
      </c>
      <c r="E44" s="31">
        <v>1</v>
      </c>
      <c r="F44" s="25">
        <f t="shared" si="0"/>
        <v>9</v>
      </c>
    </row>
    <row r="45" spans="1:6" ht="15" customHeight="1" x14ac:dyDescent="0.2">
      <c r="A45" s="94"/>
      <c r="B45" s="16" t="s">
        <v>8</v>
      </c>
      <c r="C45" s="6">
        <v>1</v>
      </c>
      <c r="D45" s="6">
        <v>6</v>
      </c>
      <c r="E45" s="31">
        <v>1</v>
      </c>
      <c r="F45" s="25">
        <f t="shared" si="0"/>
        <v>8</v>
      </c>
    </row>
    <row r="46" spans="1:6" ht="15" customHeight="1" x14ac:dyDescent="0.2">
      <c r="A46" s="94"/>
      <c r="B46" s="16" t="s">
        <v>9</v>
      </c>
      <c r="C46" s="6">
        <v>2</v>
      </c>
      <c r="D46" s="6">
        <v>6</v>
      </c>
      <c r="E46" s="31">
        <v>1</v>
      </c>
      <c r="F46" s="25">
        <f t="shared" si="0"/>
        <v>9</v>
      </c>
    </row>
    <row r="47" spans="1:6" ht="15" customHeight="1" x14ac:dyDescent="0.2">
      <c r="A47" s="94"/>
      <c r="B47" s="16" t="s">
        <v>10</v>
      </c>
      <c r="C47" s="6">
        <v>2</v>
      </c>
      <c r="D47" s="6">
        <v>3</v>
      </c>
      <c r="E47" s="31">
        <v>1</v>
      </c>
      <c r="F47" s="25">
        <f t="shared" si="0"/>
        <v>6</v>
      </c>
    </row>
    <row r="48" spans="1:6" ht="15" customHeight="1" x14ac:dyDescent="0.2">
      <c r="A48" s="94"/>
      <c r="B48" s="16" t="s">
        <v>11</v>
      </c>
      <c r="C48" s="6">
        <v>0</v>
      </c>
      <c r="D48" s="6">
        <v>4</v>
      </c>
      <c r="E48" s="31">
        <v>1</v>
      </c>
      <c r="F48" s="25">
        <f t="shared" si="0"/>
        <v>5</v>
      </c>
    </row>
    <row r="49" spans="1:6" ht="15" customHeight="1" x14ac:dyDescent="0.2">
      <c r="A49" s="94"/>
      <c r="B49" s="16" t="s">
        <v>12</v>
      </c>
      <c r="C49" s="6">
        <v>2</v>
      </c>
      <c r="D49" s="6">
        <v>5</v>
      </c>
      <c r="E49" s="31">
        <v>0</v>
      </c>
      <c r="F49" s="25">
        <f t="shared" si="0"/>
        <v>7</v>
      </c>
    </row>
    <row r="50" spans="1:6" ht="15" customHeight="1" x14ac:dyDescent="0.2">
      <c r="A50" s="94"/>
      <c r="B50" s="16" t="s">
        <v>13</v>
      </c>
      <c r="C50" s="6">
        <v>2</v>
      </c>
      <c r="D50" s="6">
        <v>5</v>
      </c>
      <c r="E50" s="31">
        <v>0</v>
      </c>
      <c r="F50" s="25">
        <f t="shared" si="0"/>
        <v>7</v>
      </c>
    </row>
    <row r="51" spans="1:6" ht="15" customHeight="1" x14ac:dyDescent="0.2">
      <c r="A51" s="94"/>
      <c r="B51" s="16" t="s">
        <v>14</v>
      </c>
      <c r="C51" s="6">
        <v>3</v>
      </c>
      <c r="D51" s="6">
        <v>6</v>
      </c>
      <c r="E51" s="31">
        <v>2</v>
      </c>
      <c r="F51" s="25">
        <f t="shared" si="0"/>
        <v>11</v>
      </c>
    </row>
    <row r="52" spans="1:6" ht="15" customHeight="1" x14ac:dyDescent="0.2">
      <c r="A52" s="94"/>
      <c r="B52" s="16" t="s">
        <v>15</v>
      </c>
      <c r="C52" s="6">
        <v>0</v>
      </c>
      <c r="D52" s="6">
        <v>9</v>
      </c>
      <c r="E52" s="31">
        <v>1</v>
      </c>
      <c r="F52" s="25">
        <f t="shared" si="0"/>
        <v>10</v>
      </c>
    </row>
    <row r="53" spans="1:6" ht="15" customHeight="1" x14ac:dyDescent="0.2">
      <c r="A53" s="94"/>
      <c r="B53" s="16" t="s">
        <v>16</v>
      </c>
      <c r="C53" s="6">
        <v>0</v>
      </c>
      <c r="D53" s="6">
        <v>3</v>
      </c>
      <c r="E53" s="31">
        <v>0</v>
      </c>
      <c r="F53" s="25">
        <f t="shared" si="0"/>
        <v>3</v>
      </c>
    </row>
    <row r="54" spans="1:6" ht="15.75" customHeight="1" thickBot="1" x14ac:dyDescent="0.25">
      <c r="A54" s="95"/>
      <c r="B54" s="17" t="s">
        <v>17</v>
      </c>
      <c r="C54" s="9">
        <v>1</v>
      </c>
      <c r="D54" s="9">
        <v>3</v>
      </c>
      <c r="E54" s="32">
        <v>0</v>
      </c>
      <c r="F54" s="33">
        <f t="shared" si="0"/>
        <v>4</v>
      </c>
    </row>
    <row r="55" spans="1:6" ht="15.75" customHeight="1" thickTop="1" thickBot="1" x14ac:dyDescent="0.25">
      <c r="A55" s="41" t="s">
        <v>34</v>
      </c>
      <c r="B55" s="42"/>
      <c r="C55" s="40">
        <f>SUM(C43:C54)</f>
        <v>17</v>
      </c>
      <c r="D55" s="40">
        <f>SUM(D43:D54)</f>
        <v>66</v>
      </c>
      <c r="E55" s="40">
        <f>SUM(E43:E54)</f>
        <v>10</v>
      </c>
      <c r="F55" s="40">
        <f>SUM(F43:F54)</f>
        <v>93</v>
      </c>
    </row>
    <row r="56" spans="1:6" ht="15" thickTop="1" x14ac:dyDescent="0.2">
      <c r="A56" s="93">
        <v>2018</v>
      </c>
      <c r="B56" s="15" t="s">
        <v>6</v>
      </c>
      <c r="C56" s="3">
        <v>1</v>
      </c>
      <c r="D56" s="3">
        <v>1</v>
      </c>
      <c r="E56" s="30">
        <v>0</v>
      </c>
      <c r="F56" s="5">
        <f t="shared" si="0"/>
        <v>2</v>
      </c>
    </row>
    <row r="57" spans="1:6" ht="15" customHeight="1" x14ac:dyDescent="0.2">
      <c r="A57" s="94"/>
      <c r="B57" s="16" t="s">
        <v>7</v>
      </c>
      <c r="C57" s="6">
        <v>2</v>
      </c>
      <c r="D57" s="6">
        <v>1</v>
      </c>
      <c r="E57" s="31">
        <v>3</v>
      </c>
      <c r="F57" s="25">
        <f t="shared" si="0"/>
        <v>6</v>
      </c>
    </row>
    <row r="58" spans="1:6" ht="15" customHeight="1" x14ac:dyDescent="0.2">
      <c r="A58" s="94"/>
      <c r="B58" s="16" t="s">
        <v>8</v>
      </c>
      <c r="C58" s="6">
        <v>4</v>
      </c>
      <c r="D58" s="6">
        <v>0</v>
      </c>
      <c r="E58" s="31">
        <v>2</v>
      </c>
      <c r="F58" s="25">
        <f t="shared" si="0"/>
        <v>6</v>
      </c>
    </row>
    <row r="59" spans="1:6" ht="15" customHeight="1" x14ac:dyDescent="0.2">
      <c r="A59" s="94"/>
      <c r="B59" s="16" t="s">
        <v>9</v>
      </c>
      <c r="C59" s="6">
        <v>0</v>
      </c>
      <c r="D59" s="6">
        <v>1</v>
      </c>
      <c r="E59" s="31">
        <v>1</v>
      </c>
      <c r="F59" s="25">
        <f t="shared" si="0"/>
        <v>2</v>
      </c>
    </row>
    <row r="60" spans="1:6" ht="15" customHeight="1" x14ac:dyDescent="0.2">
      <c r="A60" s="94"/>
      <c r="B60" s="16" t="s">
        <v>10</v>
      </c>
      <c r="C60" s="6">
        <v>0</v>
      </c>
      <c r="D60" s="6">
        <v>1</v>
      </c>
      <c r="E60" s="31">
        <v>1</v>
      </c>
      <c r="F60" s="25">
        <f t="shared" si="0"/>
        <v>2</v>
      </c>
    </row>
    <row r="61" spans="1:6" ht="15" customHeight="1" x14ac:dyDescent="0.2">
      <c r="A61" s="94"/>
      <c r="B61" s="16" t="s">
        <v>11</v>
      </c>
      <c r="C61" s="6">
        <v>0</v>
      </c>
      <c r="D61" s="6">
        <v>4</v>
      </c>
      <c r="E61" s="31">
        <v>1</v>
      </c>
      <c r="F61" s="25">
        <f t="shared" si="0"/>
        <v>5</v>
      </c>
    </row>
    <row r="62" spans="1:6" ht="15" customHeight="1" x14ac:dyDescent="0.2">
      <c r="A62" s="94"/>
      <c r="B62" s="16" t="s">
        <v>12</v>
      </c>
      <c r="C62" s="6">
        <v>2</v>
      </c>
      <c r="D62" s="6">
        <v>3</v>
      </c>
      <c r="E62" s="31">
        <v>0</v>
      </c>
      <c r="F62" s="25">
        <f t="shared" si="0"/>
        <v>5</v>
      </c>
    </row>
    <row r="63" spans="1:6" ht="15" customHeight="1" x14ac:dyDescent="0.2">
      <c r="A63" s="94"/>
      <c r="B63" s="16" t="s">
        <v>13</v>
      </c>
      <c r="C63" s="6">
        <v>0</v>
      </c>
      <c r="D63" s="6">
        <v>2</v>
      </c>
      <c r="E63" s="31">
        <v>0</v>
      </c>
      <c r="F63" s="25">
        <f t="shared" si="0"/>
        <v>2</v>
      </c>
    </row>
    <row r="64" spans="1:6" ht="15" customHeight="1" x14ac:dyDescent="0.2">
      <c r="A64" s="94"/>
      <c r="B64" s="16" t="s">
        <v>14</v>
      </c>
      <c r="C64" s="6">
        <v>2</v>
      </c>
      <c r="D64" s="6">
        <v>1</v>
      </c>
      <c r="E64" s="31">
        <v>0</v>
      </c>
      <c r="F64" s="25">
        <f t="shared" si="0"/>
        <v>3</v>
      </c>
    </row>
    <row r="65" spans="1:6" ht="15" customHeight="1" x14ac:dyDescent="0.2">
      <c r="A65" s="94"/>
      <c r="B65" s="16" t="s">
        <v>15</v>
      </c>
      <c r="C65" s="6">
        <v>1</v>
      </c>
      <c r="D65" s="6">
        <v>2</v>
      </c>
      <c r="E65" s="31">
        <v>0</v>
      </c>
      <c r="F65" s="25">
        <f t="shared" si="0"/>
        <v>3</v>
      </c>
    </row>
    <row r="66" spans="1:6" ht="15" customHeight="1" x14ac:dyDescent="0.2">
      <c r="A66" s="94"/>
      <c r="B66" s="16" t="s">
        <v>16</v>
      </c>
      <c r="C66" s="6">
        <v>1</v>
      </c>
      <c r="D66" s="6">
        <v>1</v>
      </c>
      <c r="E66" s="31">
        <v>0</v>
      </c>
      <c r="F66" s="25">
        <f t="shared" si="0"/>
        <v>2</v>
      </c>
    </row>
    <row r="67" spans="1:6" ht="15.75" customHeight="1" thickBot="1" x14ac:dyDescent="0.25">
      <c r="A67" s="95"/>
      <c r="B67" s="17" t="s">
        <v>17</v>
      </c>
      <c r="C67" s="9">
        <v>3</v>
      </c>
      <c r="D67" s="9">
        <v>3</v>
      </c>
      <c r="E67" s="32">
        <v>0</v>
      </c>
      <c r="F67" s="33">
        <f t="shared" si="0"/>
        <v>6</v>
      </c>
    </row>
    <row r="68" spans="1:6" ht="15.75" thickTop="1" thickBot="1" x14ac:dyDescent="0.25">
      <c r="A68" s="43" t="s">
        <v>30</v>
      </c>
      <c r="B68" s="42"/>
      <c r="C68" s="40">
        <f>SUM(C56:C67)</f>
        <v>16</v>
      </c>
      <c r="D68" s="40">
        <f>SUM(D56:D67)</f>
        <v>20</v>
      </c>
      <c r="E68" s="40">
        <f>SUM(E56:E67)</f>
        <v>8</v>
      </c>
      <c r="F68" s="40">
        <f>SUM(F56:F67)</f>
        <v>44</v>
      </c>
    </row>
    <row r="69" spans="1:6" ht="15" thickTop="1" x14ac:dyDescent="0.2"/>
  </sheetData>
  <mergeCells count="9">
    <mergeCell ref="A1:F1"/>
    <mergeCell ref="C2:F2"/>
    <mergeCell ref="B2:B3"/>
    <mergeCell ref="A2:A3"/>
    <mergeCell ref="A56:A67"/>
    <mergeCell ref="A43:A54"/>
    <mergeCell ref="A30:A41"/>
    <mergeCell ref="A17:A28"/>
    <mergeCell ref="A4:A15"/>
  </mergeCells>
  <pageMargins left="0.7" right="0.7" top="0.75" bottom="0.75" header="0.3" footer="0.3"/>
  <pageSetup orientation="portrait" r:id="rId1"/>
  <ignoredErrors>
    <ignoredError sqref="C68:E68" formulaRange="1"/>
    <ignoredError sqref="F55 F42 F29 F16" formula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E10"/>
  <sheetViews>
    <sheetView workbookViewId="0">
      <selection activeCell="D12" sqref="D12:D13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50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  <c r="B5" s="6">
        <v>12</v>
      </c>
      <c r="C5" s="6">
        <v>44</v>
      </c>
      <c r="D5" s="6">
        <v>16</v>
      </c>
      <c r="E5" s="21">
        <f t="shared" ref="E5:E9" si="0">SUM(B5:D5)</f>
        <v>72</v>
      </c>
    </row>
    <row r="6" spans="1:5" x14ac:dyDescent="0.25">
      <c r="A6" s="49">
        <v>2015</v>
      </c>
      <c r="B6" s="6">
        <v>11</v>
      </c>
      <c r="C6" s="6">
        <v>44</v>
      </c>
      <c r="D6" s="6">
        <v>20</v>
      </c>
      <c r="E6" s="21">
        <f t="shared" si="0"/>
        <v>75</v>
      </c>
    </row>
    <row r="7" spans="1:5" x14ac:dyDescent="0.25">
      <c r="A7" s="49">
        <v>2016</v>
      </c>
      <c r="B7" s="6">
        <v>19</v>
      </c>
      <c r="C7" s="6">
        <v>56</v>
      </c>
      <c r="D7" s="31">
        <v>19</v>
      </c>
      <c r="E7" s="21">
        <f t="shared" si="0"/>
        <v>94</v>
      </c>
    </row>
    <row r="8" spans="1:5" x14ac:dyDescent="0.25">
      <c r="A8" s="49">
        <v>2017</v>
      </c>
      <c r="B8" s="6">
        <v>17</v>
      </c>
      <c r="C8" s="6">
        <v>66</v>
      </c>
      <c r="D8" s="31">
        <v>10</v>
      </c>
      <c r="E8" s="21">
        <f t="shared" si="0"/>
        <v>93</v>
      </c>
    </row>
    <row r="9" spans="1:5" ht="15.75" thickBot="1" x14ac:dyDescent="0.3">
      <c r="A9" s="49">
        <v>2018</v>
      </c>
      <c r="B9" s="9">
        <v>16</v>
      </c>
      <c r="C9" s="9">
        <v>20</v>
      </c>
      <c r="D9" s="32">
        <v>8</v>
      </c>
      <c r="E9" s="22">
        <f t="shared" si="0"/>
        <v>44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E10"/>
  <sheetViews>
    <sheetView workbookViewId="0">
      <selection activeCell="O14" sqref="O14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39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  <c r="B5" s="61">
        <v>36</v>
      </c>
      <c r="C5" s="61">
        <v>52</v>
      </c>
      <c r="D5" s="61">
        <v>24</v>
      </c>
      <c r="E5" s="21">
        <f t="shared" ref="E5:E9" si="0">SUM(B5:D5)</f>
        <v>112</v>
      </c>
    </row>
    <row r="6" spans="1:5" x14ac:dyDescent="0.25">
      <c r="A6" s="49">
        <v>2015</v>
      </c>
      <c r="B6" s="6">
        <v>48</v>
      </c>
      <c r="C6" s="6">
        <v>49</v>
      </c>
      <c r="D6" s="6">
        <v>24</v>
      </c>
      <c r="E6" s="21">
        <f t="shared" si="0"/>
        <v>121</v>
      </c>
    </row>
    <row r="7" spans="1:5" x14ac:dyDescent="0.25">
      <c r="A7" s="49">
        <v>2016</v>
      </c>
      <c r="B7" s="6">
        <v>49</v>
      </c>
      <c r="C7" s="6">
        <v>25</v>
      </c>
      <c r="D7" s="31">
        <v>26</v>
      </c>
      <c r="E7" s="21">
        <f t="shared" si="0"/>
        <v>100</v>
      </c>
    </row>
    <row r="8" spans="1:5" x14ac:dyDescent="0.25">
      <c r="A8" s="49">
        <v>2017</v>
      </c>
      <c r="B8" s="6">
        <v>40</v>
      </c>
      <c r="C8" s="6">
        <v>48</v>
      </c>
      <c r="D8" s="31">
        <v>23</v>
      </c>
      <c r="E8" s="21">
        <f t="shared" si="0"/>
        <v>111</v>
      </c>
    </row>
    <row r="9" spans="1:5" ht="15.75" thickBot="1" x14ac:dyDescent="0.3">
      <c r="A9" s="49">
        <v>2018</v>
      </c>
      <c r="B9" s="9">
        <v>52</v>
      </c>
      <c r="C9" s="9">
        <v>35</v>
      </c>
      <c r="D9" s="32">
        <v>21</v>
      </c>
      <c r="E9" s="22">
        <f t="shared" si="0"/>
        <v>108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E10"/>
  <sheetViews>
    <sheetView workbookViewId="0">
      <selection activeCell="D15" sqref="D15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37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</row>
    <row r="6" spans="1:5" x14ac:dyDescent="0.25">
      <c r="A6" s="49">
        <v>2015</v>
      </c>
      <c r="B6" s="6">
        <v>46</v>
      </c>
      <c r="C6" s="6">
        <v>106</v>
      </c>
      <c r="D6" s="6">
        <v>30</v>
      </c>
      <c r="E6" s="21">
        <f t="shared" ref="E6:E9" si="0">SUM(B6:D6)</f>
        <v>182</v>
      </c>
    </row>
    <row r="7" spans="1:5" x14ac:dyDescent="0.25">
      <c r="A7" s="49">
        <v>2016</v>
      </c>
      <c r="B7" s="6">
        <v>58</v>
      </c>
      <c r="C7" s="6">
        <v>97</v>
      </c>
      <c r="D7" s="31">
        <v>31</v>
      </c>
      <c r="E7" s="21">
        <f t="shared" si="0"/>
        <v>186</v>
      </c>
    </row>
    <row r="8" spans="1:5" x14ac:dyDescent="0.25">
      <c r="A8" s="49">
        <v>2017</v>
      </c>
      <c r="B8" s="6">
        <v>58</v>
      </c>
      <c r="C8" s="6">
        <v>66</v>
      </c>
      <c r="D8" s="31">
        <v>48</v>
      </c>
      <c r="E8" s="21">
        <f t="shared" si="0"/>
        <v>172</v>
      </c>
    </row>
    <row r="9" spans="1:5" ht="15.75" thickBot="1" x14ac:dyDescent="0.3">
      <c r="A9" s="49">
        <v>2018</v>
      </c>
      <c r="B9" s="9">
        <v>51</v>
      </c>
      <c r="C9" s="9">
        <v>50</v>
      </c>
      <c r="D9" s="32">
        <v>52</v>
      </c>
      <c r="E9" s="22">
        <f t="shared" si="0"/>
        <v>153</v>
      </c>
    </row>
    <row r="10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3C3A1-E497-4BE0-B573-A9260D5B0F41}">
  <dimension ref="A2:E11"/>
  <sheetViews>
    <sheetView tabSelected="1" workbookViewId="0">
      <selection activeCell="D5" sqref="D5"/>
    </sheetView>
  </sheetViews>
  <sheetFormatPr defaultRowHeight="15" x14ac:dyDescent="0.25"/>
  <cols>
    <col min="2" max="2" width="11.85546875" customWidth="1"/>
    <col min="3" max="3" width="11.7109375" customWidth="1"/>
    <col min="4" max="4" width="10.42578125" customWidth="1"/>
  </cols>
  <sheetData>
    <row r="2" spans="1:5" x14ac:dyDescent="0.25">
      <c r="A2" s="65" t="s">
        <v>37</v>
      </c>
      <c r="B2" s="65"/>
      <c r="C2" s="65"/>
      <c r="D2" s="65"/>
      <c r="E2" s="65"/>
    </row>
    <row r="3" spans="1:5" x14ac:dyDescent="0.25">
      <c r="B3" s="66" t="s">
        <v>36</v>
      </c>
      <c r="C3" s="66"/>
      <c r="D3" s="66"/>
      <c r="E3" s="66"/>
    </row>
    <row r="4" spans="1:5" x14ac:dyDescent="0.25">
      <c r="A4" s="50" t="s">
        <v>0</v>
      </c>
      <c r="B4" s="50" t="s">
        <v>2</v>
      </c>
      <c r="C4" s="50" t="s">
        <v>3</v>
      </c>
      <c r="D4" s="50" t="s">
        <v>4</v>
      </c>
      <c r="E4" s="51" t="s">
        <v>5</v>
      </c>
    </row>
    <row r="5" spans="1:5" x14ac:dyDescent="0.25">
      <c r="A5" s="49">
        <v>2014</v>
      </c>
      <c r="B5" s="62">
        <f>AVERAGE('STN2 - Soroti Analysis'!B5,'STN2 -Tororo'!B5,'STN2 -Mbale Analysis'!B5,'STN6 -Lira'!B5,'STN7-Gulu Analysis'!$B$5,'STN9 -Hoima'!B5,'STN10 -Kasese'!B5,'STN1 -Luwero'!B5,'STN12 -Masaka'!B5,'STN14-Mubende Analysis'!B5,'STN16 -Kabale'!B5,'STN17 -Bushenyi'!B5,'STN18 -Rukungiri'!B5,'STN19-Kitgum Analysis'!B5,'STN21 -Iganga'!B5)</f>
        <v>35.533333333333331</v>
      </c>
      <c r="C5" s="62">
        <f>AVERAGE('STN2 - Soroti Analysis'!C5,'STN2 -Tororo'!C5,'STN2 -Mbale Analysis'!C5,'STN6 -Lira'!C5,'STN7-Gulu Analysis'!$B$5,'STN9 -Hoima'!C5,'STN10 -Kasese'!C5,'STN1 -Luwero'!C5,'STN12 -Masaka'!C5,'STN14-Mubende Analysis'!C5,'STN16 -Kabale'!C5,'STN17 -Bushenyi'!C5,'STN18 -Rukungiri'!C5,'STN19-Kitgum Analysis'!C5,'STN21 -Iganga'!C5)</f>
        <v>61.2</v>
      </c>
      <c r="D5" s="62">
        <f>AVERAGE('STN2 - Soroti Analysis'!D5,'STN2 -Tororo'!D5,'STN2 -Mbale Analysis'!D5,'STN6 -Lira'!D5,'STN7-Gulu Analysis'!$B$5,'STN9 -Hoima'!D5,'STN10 -Kasese'!D5,'STN1 -Luwero'!D5,'STN12 -Masaka'!D5,'STN14-Mubende Analysis'!D5,'STN16 -Kabale'!D5,'STN17 -Bushenyi'!D5,'STN18 -Rukungiri'!D5,'STN19-Kitgum Analysis'!D5,'STN21 -Iganga'!D5)</f>
        <v>29.533333333333335</v>
      </c>
      <c r="E5" s="63">
        <f t="shared" ref="E5:E10" si="0">SUM(B5:D5)</f>
        <v>126.26666666666667</v>
      </c>
    </row>
    <row r="6" spans="1:5" x14ac:dyDescent="0.25">
      <c r="A6" s="49">
        <v>2015</v>
      </c>
      <c r="B6" s="62">
        <f>AVERAGE('STN2 - Soroti Analysis'!B6,'STN2 -Tororo'!B6,'STN2 -Mbale Analysis'!B6,'STN6 -Lira'!B6,'STN7-Gulu Analysis'!$B$5,'STN9 -Hoima'!B6,'STN10 -Kasese'!B6,'STN1 -Luwero'!B6,'STN12 -Masaka'!B6,'STN14-Mubende Analysis'!B6,'STN16 -Kabale'!B6,'STN17 -Bushenyi'!B6,'STN18 -Rukungiri'!B6,'STN19-Kitgum Analysis'!B6,'STN21 -Iganga'!B6)</f>
        <v>39</v>
      </c>
      <c r="C6" s="62">
        <f>AVERAGE('STN2 - Soroti Analysis'!C6,'STN2 -Tororo'!C6,'STN2 -Mbale Analysis'!C6,'STN6 -Lira'!C6,'STN7-Gulu Analysis'!$B$5,'STN9 -Hoima'!C6,'STN10 -Kasese'!C6,'STN1 -Luwero'!C6,'STN12 -Masaka'!C6,'STN14-Mubende Analysis'!C6,'STN16 -Kabale'!C6,'STN17 -Bushenyi'!C6,'STN18 -Rukungiri'!C6,'STN19-Kitgum Analysis'!C6,'STN21 -Iganga'!C6)</f>
        <v>67.266666666666666</v>
      </c>
      <c r="D6" s="62">
        <f>AVERAGE('STN2 - Soroti Analysis'!D6,'STN2 -Tororo'!D6,'STN2 -Mbale Analysis'!D6,'STN6 -Lira'!D6,'STN7-Gulu Analysis'!$B$5,'STN9 -Hoima'!D6,'STN10 -Kasese'!D6,'STN1 -Luwero'!D6,'STN12 -Masaka'!D6,'STN14-Mubende Analysis'!D6,'STN16 -Kabale'!D6,'STN17 -Bushenyi'!D6,'STN18 -Rukungiri'!D6,'STN19-Kitgum Analysis'!D6,'STN21 -Iganga'!D6)</f>
        <v>26.933333333333334</v>
      </c>
      <c r="E6" s="63">
        <f t="shared" si="0"/>
        <v>133.19999999999999</v>
      </c>
    </row>
    <row r="7" spans="1:5" x14ac:dyDescent="0.25">
      <c r="A7" s="49">
        <v>2016</v>
      </c>
      <c r="B7" s="62">
        <f>AVERAGE('STN2 - Soroti Analysis'!B7,'STN2 -Tororo'!B7,'STN2 -Mbale Analysis'!B7,'STN6 -Lira'!B7,'STN7-Gulu Analysis'!$B$5,'STN9 -Hoima'!B7,'STN10 -Kasese'!B7,'STN1 -Luwero'!B7,'STN12 -Masaka'!B7,'STN14-Mubende Analysis'!B7,'STN16 -Kabale'!B7,'STN17 -Bushenyi'!B7,'STN18 -Rukungiri'!B7,'STN19-Kitgum Analysis'!B7,'STN21 -Iganga'!B7)</f>
        <v>44.4</v>
      </c>
      <c r="C7" s="62">
        <f>AVERAGE('STN2 - Soroti Analysis'!C7,'STN2 -Tororo'!C7,'STN2 -Mbale Analysis'!C7,'STN6 -Lira'!C7,'STN7-Gulu Analysis'!$B$5,'STN9 -Hoima'!C7,'STN10 -Kasese'!C7,'STN1 -Luwero'!C7,'STN12 -Masaka'!C7,'STN14-Mubende Analysis'!C7,'STN16 -Kabale'!C7,'STN17 -Bushenyi'!C7,'STN18 -Rukungiri'!C7,'STN19-Kitgum Analysis'!C7,'STN21 -Iganga'!C7)</f>
        <v>48.333333333333336</v>
      </c>
      <c r="D7" s="62">
        <f>AVERAGE('STN2 - Soroti Analysis'!D7,'STN2 -Tororo'!D7,'STN2 -Mbale Analysis'!D7,'STN6 -Lira'!D7,'STN7-Gulu Analysis'!$B$5,'STN9 -Hoima'!D7,'STN10 -Kasese'!D7,'STN1 -Luwero'!D7,'STN12 -Masaka'!D7,'STN14-Mubende Analysis'!D7,'STN16 -Kabale'!D7,'STN17 -Bushenyi'!D7,'STN18 -Rukungiri'!D7,'STN19-Kitgum Analysis'!D7,'STN21 -Iganga'!D7)</f>
        <v>24.666666666666668</v>
      </c>
      <c r="E7" s="63">
        <f t="shared" si="0"/>
        <v>117.4</v>
      </c>
    </row>
    <row r="8" spans="1:5" x14ac:dyDescent="0.25">
      <c r="A8" s="49">
        <v>2017</v>
      </c>
      <c r="B8" s="62">
        <f>AVERAGE('STN2 - Soroti Analysis'!B8,'STN2 -Tororo'!B8,'STN2 -Mbale Analysis'!B8,'STN6 -Lira'!B8,'STN7-Gulu Analysis'!$B$5,'STN9 -Hoima'!B8,'STN10 -Kasese'!B8,'STN1 -Luwero'!B8,'STN12 -Masaka'!B8,'STN14-Mubende Analysis'!B8,'STN16 -Kabale'!B8,'STN17 -Bushenyi'!B8,'STN18 -Rukungiri'!B8,'STN19-Kitgum Analysis'!B8,'STN21 -Iganga'!B8)</f>
        <v>38.06666666666667</v>
      </c>
      <c r="C8" s="62">
        <f>AVERAGE('STN2 - Soroti Analysis'!C8,'STN2 -Tororo'!C8,'STN2 -Mbale Analysis'!C8,'STN6 -Lira'!C8,'STN7-Gulu Analysis'!$B$5,'STN9 -Hoima'!C8,'STN10 -Kasese'!C8,'STN1 -Luwero'!C8,'STN12 -Masaka'!C8,'STN14-Mubende Analysis'!C8,'STN16 -Kabale'!C8,'STN17 -Bushenyi'!C8,'STN18 -Rukungiri'!C8,'STN19-Kitgum Analysis'!C8,'STN21 -Iganga'!C8)</f>
        <v>43.266666666666666</v>
      </c>
      <c r="D8" s="62">
        <f>AVERAGE('STN2 - Soroti Analysis'!D8,'STN2 -Tororo'!D8,'STN2 -Mbale Analysis'!D8,'STN6 -Lira'!D8,'STN7-Gulu Analysis'!$B$5,'STN9 -Hoima'!D8,'STN10 -Kasese'!D8,'STN1 -Luwero'!D8,'STN12 -Masaka'!D8,'STN14-Mubende Analysis'!D8,'STN16 -Kabale'!D8,'STN17 -Bushenyi'!D8,'STN18 -Rukungiri'!D8,'STN19-Kitgum Analysis'!D8,'STN21 -Iganga'!D8)</f>
        <v>21.866666666666667</v>
      </c>
      <c r="E8" s="63">
        <f t="shared" si="0"/>
        <v>103.20000000000002</v>
      </c>
    </row>
    <row r="9" spans="1:5" ht="15.75" thickBot="1" x14ac:dyDescent="0.3">
      <c r="A9" s="49">
        <v>2018</v>
      </c>
      <c r="B9" s="62">
        <f>AVERAGE('STN2 - Soroti Analysis'!B9,'STN2 -Tororo'!B9,'STN2 -Mbale Analysis'!B9,'STN6 -Lira'!B9,'STN7-Gulu Analysis'!$B$5,'STN9 -Hoima'!B9,'STN10 -Kasese'!B9,'STN1 -Luwero'!B9,'STN12 -Masaka'!B9,'STN14-Mubende Analysis'!B9,'STN16 -Kabale'!B9,'STN17 -Bushenyi'!B9,'STN18 -Rukungiri'!B9,'STN19-Kitgum Analysis'!B9,'STN21 -Iganga'!B9)</f>
        <v>37.666666666666664</v>
      </c>
      <c r="C9" s="62">
        <f>AVERAGE('STN2 - Soroti Analysis'!C9,'STN2 -Tororo'!C9,'STN2 -Mbale Analysis'!C9,'STN6 -Lira'!C9,'STN7-Gulu Analysis'!$B$5,'STN9 -Hoima'!C9,'STN10 -Kasese'!C9,'STN1 -Luwero'!C9,'STN12 -Masaka'!C9,'STN14-Mubende Analysis'!C9,'STN16 -Kabale'!C9,'STN17 -Bushenyi'!C9,'STN18 -Rukungiri'!C9,'STN19-Kitgum Analysis'!C9,'STN21 -Iganga'!C9)</f>
        <v>38.06666666666667</v>
      </c>
      <c r="D9" s="62">
        <f>AVERAGE('STN2 - Soroti Analysis'!D9,'STN2 -Tororo'!D9,'STN2 -Mbale Analysis'!D9,'STN6 -Lira'!D9,'STN7-Gulu Analysis'!$B$5,'STN9 -Hoima'!D9,'STN10 -Kasese'!D9,'STN1 -Luwero'!D9,'STN12 -Masaka'!D9,'STN14-Mubende Analysis'!D9,'STN16 -Kabale'!D9,'STN17 -Bushenyi'!D9,'STN18 -Rukungiri'!D9,'STN19-Kitgum Analysis'!D9,'STN21 -Iganga'!D9)</f>
        <v>19.399999999999999</v>
      </c>
      <c r="E9" s="64">
        <f t="shared" si="0"/>
        <v>95.133333333333326</v>
      </c>
    </row>
    <row r="10" spans="1:5" ht="16.5" thickTop="1" thickBot="1" x14ac:dyDescent="0.3">
      <c r="A10" s="49" t="s">
        <v>55</v>
      </c>
      <c r="B10" s="62">
        <f>SUM(B5:B9)</f>
        <v>194.66666666666666</v>
      </c>
      <c r="C10" s="62">
        <f t="shared" ref="C10:D10" si="1">SUM(C5:C9)</f>
        <v>258.13333333333333</v>
      </c>
      <c r="D10" s="62">
        <f t="shared" si="1"/>
        <v>122.4</v>
      </c>
      <c r="E10" s="64">
        <f t="shared" si="0"/>
        <v>575.19999999999993</v>
      </c>
    </row>
    <row r="11" spans="1:5" ht="15.75" thickTop="1" x14ac:dyDescent="0.25"/>
  </sheetData>
  <mergeCells count="2">
    <mergeCell ref="A2:E2"/>
    <mergeCell ref="B3:E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STN2 - JINJA</vt:lpstr>
      <vt:lpstr>STN3-SOROTI</vt:lpstr>
      <vt:lpstr>STN2 - Soroti Analysis</vt:lpstr>
      <vt:lpstr>STN2 -Tororo</vt:lpstr>
      <vt:lpstr>STN5-MBALE</vt:lpstr>
      <vt:lpstr>STN2 -Mbale Analysis</vt:lpstr>
      <vt:lpstr>STN6 -Lira</vt:lpstr>
      <vt:lpstr>STN7-GULU</vt:lpstr>
      <vt:lpstr>STN7-Gulu Analysis</vt:lpstr>
      <vt:lpstr>STN9 -Hoima</vt:lpstr>
      <vt:lpstr>STN10 -Kasese</vt:lpstr>
      <vt:lpstr>STN1 -Luwero</vt:lpstr>
      <vt:lpstr>STN12 -Masaka</vt:lpstr>
      <vt:lpstr>STN14-MUBENDE</vt:lpstr>
      <vt:lpstr>STN14-Mubende Analysis</vt:lpstr>
      <vt:lpstr>STN15-MBARARA</vt:lpstr>
      <vt:lpstr>STN15_Mbarara Analysis</vt:lpstr>
      <vt:lpstr>STN16 -Kabale</vt:lpstr>
      <vt:lpstr>STN17 -Bushenyi</vt:lpstr>
      <vt:lpstr>STN18 -Rukungiri</vt:lpstr>
      <vt:lpstr>STN19-KITGUM</vt:lpstr>
      <vt:lpstr>STN19-Kitgum Analysis</vt:lpstr>
      <vt:lpstr>STN21 -Iganga</vt:lpstr>
      <vt:lpstr>STN8 -Arua</vt:lpstr>
      <vt:lpstr>All Stations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2020-04-16T11:10:10Z</dcterms:modified>
</cp:coreProperties>
</file>